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rive\Desktop\Synchrony Financial\"/>
    </mc:Choice>
  </mc:AlternateContent>
  <xr:revisionPtr revIDLastSave="0" documentId="12_ncr:520000_{3280C37F-BE05-477A-BFD5-5FD6F16D6E97}" xr6:coauthVersionLast="31" xr6:coauthVersionMax="31" xr10:uidLastSave="{00000000-0000-0000-0000-000000000000}"/>
  <bookViews>
    <workbookView xWindow="0" yWindow="0" windowWidth="15350" windowHeight="6740" tabRatio="699" xr2:uid="{00000000-000D-0000-FFFF-FFFF00000000}"/>
  </bookViews>
  <sheets>
    <sheet name="UI Datathon Development" sheetId="1" r:id="rId1"/>
    <sheet name="Niteesh's data" sheetId="10" r:id="rId2"/>
    <sheet name="Sreenath's data" sheetId="12" r:id="rId3"/>
    <sheet name="LOWE'S GROSS PROFIT" sheetId="16" r:id="rId4"/>
    <sheet name="Home Depot Gross Profit" sheetId="15" r:id="rId5"/>
    <sheet name="Existing home Sales" sheetId="14" r:id="rId6"/>
    <sheet name="Houses for sale" sheetId="7" r:id="rId7"/>
    <sheet name="New house sales" sheetId="9" r:id="rId8"/>
    <sheet name="House starts" sheetId="8" r:id="rId9"/>
    <sheet name="PSR" sheetId="2" r:id="rId10"/>
    <sheet name="BLS Data Series" sheetId="6" r:id="rId11"/>
    <sheet name="CCI_USA" sheetId="5" r:id="rId12"/>
    <sheet name="Income Tax " sheetId="3" r:id="rId13"/>
    <sheet name="Retail Sales" sheetId="13" r:id="rId14"/>
    <sheet name="CCI" sheetId="4" r:id="rId15"/>
  </sheets>
  <externalReferences>
    <externalReference r:id="rId16"/>
  </externalReferences>
  <definedNames>
    <definedName name="_xlnm._FilterDatabase" localSheetId="14" hidden="1">CCI!$A$1:$H$11240</definedName>
    <definedName name="_xlnm._FilterDatabase" localSheetId="11" hidden="1">CCI_USA!$A$1:$H$317</definedName>
    <definedName name="_xlnm._FilterDatabase" localSheetId="7" hidden="1">'New house sales'!$A$12:$D$324</definedName>
    <definedName name="_xlnm._FilterDatabase" localSheetId="0" hidden="1">'UI Datathon Development'!$A$1:$D$289</definedName>
  </definedNames>
  <calcPr calcId="162913"/>
  <fileRecoveryPr repairLoad="1"/>
</workbook>
</file>

<file path=xl/calcChain.xml><?xml version="1.0" encoding="utf-8"?>
<calcChain xmlns="http://schemas.openxmlformats.org/spreadsheetml/2006/main">
  <c r="AB317" i="1" l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U317" i="1"/>
  <c r="T317" i="1"/>
  <c r="S317" i="1"/>
  <c r="R317" i="1"/>
  <c r="Q317" i="1"/>
  <c r="P317" i="1"/>
  <c r="O317" i="1"/>
  <c r="U316" i="1"/>
  <c r="T316" i="1"/>
  <c r="S316" i="1"/>
  <c r="R316" i="1"/>
  <c r="Q316" i="1"/>
  <c r="P316" i="1"/>
  <c r="O316" i="1"/>
  <c r="U315" i="1"/>
  <c r="T315" i="1"/>
  <c r="S315" i="1"/>
  <c r="R315" i="1"/>
  <c r="Q315" i="1"/>
  <c r="P315" i="1"/>
  <c r="O315" i="1"/>
  <c r="U314" i="1"/>
  <c r="T314" i="1"/>
  <c r="S314" i="1"/>
  <c r="R314" i="1"/>
  <c r="Q314" i="1"/>
  <c r="P314" i="1"/>
  <c r="O314" i="1"/>
  <c r="U313" i="1"/>
  <c r="T313" i="1"/>
  <c r="S313" i="1"/>
  <c r="R313" i="1"/>
  <c r="Q313" i="1"/>
  <c r="P313" i="1"/>
  <c r="O313" i="1"/>
  <c r="U312" i="1"/>
  <c r="T312" i="1"/>
  <c r="S312" i="1"/>
  <c r="R312" i="1"/>
  <c r="Q312" i="1"/>
  <c r="P312" i="1"/>
  <c r="O312" i="1"/>
  <c r="U311" i="1"/>
  <c r="T311" i="1"/>
  <c r="S311" i="1"/>
  <c r="R311" i="1"/>
  <c r="Q311" i="1"/>
  <c r="P311" i="1"/>
  <c r="O311" i="1"/>
  <c r="U310" i="1"/>
  <c r="T310" i="1"/>
  <c r="S310" i="1"/>
  <c r="R310" i="1"/>
  <c r="Q310" i="1"/>
  <c r="P310" i="1"/>
  <c r="O310" i="1"/>
  <c r="U309" i="1"/>
  <c r="T309" i="1"/>
  <c r="S309" i="1"/>
  <c r="R309" i="1"/>
  <c r="Q309" i="1"/>
  <c r="P309" i="1"/>
  <c r="O309" i="1"/>
  <c r="U308" i="1"/>
  <c r="T308" i="1"/>
  <c r="S308" i="1"/>
  <c r="R308" i="1"/>
  <c r="Q308" i="1"/>
  <c r="P308" i="1"/>
  <c r="O308" i="1"/>
  <c r="U307" i="1"/>
  <c r="T307" i="1"/>
  <c r="S307" i="1"/>
  <c r="R307" i="1"/>
  <c r="Q307" i="1"/>
  <c r="P307" i="1"/>
  <c r="O307" i="1"/>
  <c r="U306" i="1"/>
  <c r="T306" i="1"/>
  <c r="S306" i="1"/>
  <c r="R306" i="1"/>
  <c r="Q306" i="1"/>
  <c r="P306" i="1"/>
  <c r="O306" i="1"/>
  <c r="U305" i="1"/>
  <c r="T305" i="1"/>
  <c r="S305" i="1"/>
  <c r="R305" i="1"/>
  <c r="Q305" i="1"/>
  <c r="P305" i="1"/>
  <c r="O305" i="1"/>
  <c r="U304" i="1"/>
  <c r="T304" i="1"/>
  <c r="S304" i="1"/>
  <c r="R304" i="1"/>
  <c r="Q304" i="1"/>
  <c r="P304" i="1"/>
  <c r="O304" i="1"/>
  <c r="U303" i="1"/>
  <c r="T303" i="1"/>
  <c r="S303" i="1"/>
  <c r="R303" i="1"/>
  <c r="Q303" i="1"/>
  <c r="P303" i="1"/>
  <c r="O303" i="1"/>
  <c r="U302" i="1"/>
  <c r="T302" i="1"/>
  <c r="S302" i="1"/>
  <c r="R302" i="1"/>
  <c r="Q302" i="1"/>
  <c r="P302" i="1"/>
  <c r="O302" i="1"/>
  <c r="U301" i="1"/>
  <c r="T301" i="1"/>
  <c r="S301" i="1"/>
  <c r="R301" i="1"/>
  <c r="Q301" i="1"/>
  <c r="P301" i="1"/>
  <c r="O301" i="1"/>
  <c r="U300" i="1"/>
  <c r="T300" i="1"/>
  <c r="S300" i="1"/>
  <c r="R300" i="1"/>
  <c r="Q300" i="1"/>
  <c r="P300" i="1"/>
  <c r="O300" i="1"/>
  <c r="U299" i="1"/>
  <c r="T299" i="1"/>
  <c r="S299" i="1"/>
  <c r="R299" i="1"/>
  <c r="Q299" i="1"/>
  <c r="P299" i="1"/>
  <c r="O299" i="1"/>
  <c r="U298" i="1"/>
  <c r="T298" i="1"/>
  <c r="S298" i="1"/>
  <c r="R298" i="1"/>
  <c r="Q298" i="1"/>
  <c r="P298" i="1"/>
  <c r="O298" i="1"/>
  <c r="U297" i="1"/>
  <c r="T297" i="1"/>
  <c r="S297" i="1"/>
  <c r="R297" i="1"/>
  <c r="Q297" i="1"/>
  <c r="P297" i="1"/>
  <c r="O297" i="1"/>
  <c r="U296" i="1"/>
  <c r="T296" i="1"/>
  <c r="S296" i="1"/>
  <c r="R296" i="1"/>
  <c r="Q296" i="1"/>
  <c r="P296" i="1"/>
  <c r="O296" i="1"/>
  <c r="U295" i="1"/>
  <c r="T295" i="1"/>
  <c r="S295" i="1"/>
  <c r="R295" i="1"/>
  <c r="Q295" i="1"/>
  <c r="P295" i="1"/>
  <c r="O295" i="1"/>
  <c r="U294" i="1"/>
  <c r="T294" i="1"/>
  <c r="S294" i="1"/>
  <c r="R294" i="1"/>
  <c r="Q294" i="1"/>
  <c r="P294" i="1"/>
  <c r="O294" i="1"/>
  <c r="U289" i="1"/>
  <c r="T289" i="1"/>
  <c r="S289" i="1"/>
  <c r="R289" i="1"/>
  <c r="Q289" i="1"/>
  <c r="P289" i="1"/>
  <c r="O289" i="1"/>
  <c r="U288" i="1"/>
  <c r="T288" i="1"/>
  <c r="S288" i="1"/>
  <c r="R288" i="1"/>
  <c r="Q288" i="1"/>
  <c r="P288" i="1"/>
  <c r="O288" i="1"/>
  <c r="U287" i="1"/>
  <c r="T287" i="1"/>
  <c r="S287" i="1"/>
  <c r="R287" i="1"/>
  <c r="Q287" i="1"/>
  <c r="P287" i="1"/>
  <c r="O287" i="1"/>
  <c r="U286" i="1"/>
  <c r="T286" i="1"/>
  <c r="S286" i="1"/>
  <c r="R286" i="1"/>
  <c r="Q286" i="1"/>
  <c r="P286" i="1"/>
  <c r="O286" i="1"/>
  <c r="U285" i="1"/>
  <c r="T285" i="1"/>
  <c r="S285" i="1"/>
  <c r="R285" i="1"/>
  <c r="Q285" i="1"/>
  <c r="P285" i="1"/>
  <c r="O285" i="1"/>
  <c r="U284" i="1"/>
  <c r="T284" i="1"/>
  <c r="S284" i="1"/>
  <c r="R284" i="1"/>
  <c r="Q284" i="1"/>
  <c r="P284" i="1"/>
  <c r="O284" i="1"/>
  <c r="U283" i="1"/>
  <c r="T283" i="1"/>
  <c r="S283" i="1"/>
  <c r="R283" i="1"/>
  <c r="Q283" i="1"/>
  <c r="P283" i="1"/>
  <c r="O283" i="1"/>
  <c r="U282" i="1"/>
  <c r="T282" i="1"/>
  <c r="S282" i="1"/>
  <c r="R282" i="1"/>
  <c r="Q282" i="1"/>
  <c r="P282" i="1"/>
  <c r="O282" i="1"/>
  <c r="U281" i="1"/>
  <c r="T281" i="1"/>
  <c r="S281" i="1"/>
  <c r="R281" i="1"/>
  <c r="Q281" i="1"/>
  <c r="P281" i="1"/>
  <c r="O281" i="1"/>
  <c r="U280" i="1"/>
  <c r="T280" i="1"/>
  <c r="S280" i="1"/>
  <c r="R280" i="1"/>
  <c r="Q280" i="1"/>
  <c r="P280" i="1"/>
  <c r="O280" i="1"/>
  <c r="U279" i="1"/>
  <c r="T279" i="1"/>
  <c r="S279" i="1"/>
  <c r="R279" i="1"/>
  <c r="Q279" i="1"/>
  <c r="P279" i="1"/>
  <c r="O279" i="1"/>
  <c r="U278" i="1"/>
  <c r="T278" i="1"/>
  <c r="S278" i="1"/>
  <c r="R278" i="1"/>
  <c r="Q278" i="1"/>
  <c r="P278" i="1"/>
  <c r="O278" i="1"/>
  <c r="U277" i="1"/>
  <c r="T277" i="1"/>
  <c r="S277" i="1"/>
  <c r="R277" i="1"/>
  <c r="Q277" i="1"/>
  <c r="P277" i="1"/>
  <c r="O277" i="1"/>
  <c r="U276" i="1"/>
  <c r="T276" i="1"/>
  <c r="S276" i="1"/>
  <c r="R276" i="1"/>
  <c r="Q276" i="1"/>
  <c r="P276" i="1"/>
  <c r="O276" i="1"/>
  <c r="U275" i="1"/>
  <c r="T275" i="1"/>
  <c r="S275" i="1"/>
  <c r="R275" i="1"/>
  <c r="Q275" i="1"/>
  <c r="P275" i="1"/>
  <c r="O275" i="1"/>
  <c r="U274" i="1"/>
  <c r="T274" i="1"/>
  <c r="S274" i="1"/>
  <c r="R274" i="1"/>
  <c r="Q274" i="1"/>
  <c r="P274" i="1"/>
  <c r="O274" i="1"/>
  <c r="U273" i="1"/>
  <c r="T273" i="1"/>
  <c r="S273" i="1"/>
  <c r="R273" i="1"/>
  <c r="Q273" i="1"/>
  <c r="P273" i="1"/>
  <c r="O273" i="1"/>
  <c r="U272" i="1"/>
  <c r="T272" i="1"/>
  <c r="S272" i="1"/>
  <c r="R272" i="1"/>
  <c r="Q272" i="1"/>
  <c r="P272" i="1"/>
  <c r="O272" i="1"/>
  <c r="U271" i="1"/>
  <c r="T271" i="1"/>
  <c r="S271" i="1"/>
  <c r="R271" i="1"/>
  <c r="Q271" i="1"/>
  <c r="P271" i="1"/>
  <c r="O271" i="1"/>
  <c r="U270" i="1"/>
  <c r="T270" i="1"/>
  <c r="S270" i="1"/>
  <c r="R270" i="1"/>
  <c r="Q270" i="1"/>
  <c r="P270" i="1"/>
  <c r="O270" i="1"/>
  <c r="U269" i="1"/>
  <c r="T269" i="1"/>
  <c r="S269" i="1"/>
  <c r="R269" i="1"/>
  <c r="Q269" i="1"/>
  <c r="P269" i="1"/>
  <c r="O269" i="1"/>
  <c r="U268" i="1"/>
  <c r="T268" i="1"/>
  <c r="S268" i="1"/>
  <c r="R268" i="1"/>
  <c r="Q268" i="1"/>
  <c r="P268" i="1"/>
  <c r="O268" i="1"/>
  <c r="U267" i="1"/>
  <c r="T267" i="1"/>
  <c r="S267" i="1"/>
  <c r="R267" i="1"/>
  <c r="Q267" i="1"/>
  <c r="P267" i="1"/>
  <c r="O267" i="1"/>
  <c r="U266" i="1"/>
  <c r="T266" i="1"/>
  <c r="S266" i="1"/>
  <c r="R266" i="1"/>
  <c r="Q266" i="1"/>
  <c r="P266" i="1"/>
  <c r="O266" i="1"/>
  <c r="U265" i="1"/>
  <c r="T265" i="1"/>
  <c r="S265" i="1"/>
  <c r="R265" i="1"/>
  <c r="Q265" i="1"/>
  <c r="P265" i="1"/>
  <c r="O265" i="1"/>
  <c r="U264" i="1"/>
  <c r="T264" i="1"/>
  <c r="S264" i="1"/>
  <c r="R264" i="1"/>
  <c r="Q264" i="1"/>
  <c r="P264" i="1"/>
  <c r="O264" i="1"/>
  <c r="U263" i="1"/>
  <c r="T263" i="1"/>
  <c r="S263" i="1"/>
  <c r="R263" i="1"/>
  <c r="Q263" i="1"/>
  <c r="P263" i="1"/>
  <c r="O263" i="1"/>
  <c r="U262" i="1"/>
  <c r="T262" i="1"/>
  <c r="S262" i="1"/>
  <c r="R262" i="1"/>
  <c r="Q262" i="1"/>
  <c r="P262" i="1"/>
  <c r="O262" i="1"/>
  <c r="U261" i="1"/>
  <c r="T261" i="1"/>
  <c r="S261" i="1"/>
  <c r="R261" i="1"/>
  <c r="Q261" i="1"/>
  <c r="P261" i="1"/>
  <c r="O261" i="1"/>
  <c r="U260" i="1"/>
  <c r="T260" i="1"/>
  <c r="S260" i="1"/>
  <c r="R260" i="1"/>
  <c r="Q260" i="1"/>
  <c r="P260" i="1"/>
  <c r="O260" i="1"/>
  <c r="U259" i="1"/>
  <c r="T259" i="1"/>
  <c r="S259" i="1"/>
  <c r="R259" i="1"/>
  <c r="Q259" i="1"/>
  <c r="P259" i="1"/>
  <c r="O259" i="1"/>
  <c r="U258" i="1"/>
  <c r="T258" i="1"/>
  <c r="S258" i="1"/>
  <c r="R258" i="1"/>
  <c r="Q258" i="1"/>
  <c r="P258" i="1"/>
  <c r="O258" i="1"/>
  <c r="U257" i="1"/>
  <c r="T257" i="1"/>
  <c r="S257" i="1"/>
  <c r="R257" i="1"/>
  <c r="Q257" i="1"/>
  <c r="P257" i="1"/>
  <c r="O257" i="1"/>
  <c r="U256" i="1"/>
  <c r="T256" i="1"/>
  <c r="S256" i="1"/>
  <c r="R256" i="1"/>
  <c r="Q256" i="1"/>
  <c r="P256" i="1"/>
  <c r="O256" i="1"/>
  <c r="U255" i="1"/>
  <c r="T255" i="1"/>
  <c r="S255" i="1"/>
  <c r="R255" i="1"/>
  <c r="Q255" i="1"/>
  <c r="P255" i="1"/>
  <c r="O255" i="1"/>
  <c r="U254" i="1"/>
  <c r="T254" i="1"/>
  <c r="S254" i="1"/>
  <c r="R254" i="1"/>
  <c r="Q254" i="1"/>
  <c r="P254" i="1"/>
  <c r="O254" i="1"/>
  <c r="U253" i="1"/>
  <c r="T253" i="1"/>
  <c r="S253" i="1"/>
  <c r="R253" i="1"/>
  <c r="Q253" i="1"/>
  <c r="P253" i="1"/>
  <c r="O253" i="1"/>
  <c r="U252" i="1"/>
  <c r="T252" i="1"/>
  <c r="S252" i="1"/>
  <c r="R252" i="1"/>
  <c r="Q252" i="1"/>
  <c r="P252" i="1"/>
  <c r="O252" i="1"/>
  <c r="U251" i="1"/>
  <c r="T251" i="1"/>
  <c r="S251" i="1"/>
  <c r="R251" i="1"/>
  <c r="Q251" i="1"/>
  <c r="P251" i="1"/>
  <c r="O251" i="1"/>
  <c r="U250" i="1"/>
  <c r="T250" i="1"/>
  <c r="S250" i="1"/>
  <c r="R250" i="1"/>
  <c r="Q250" i="1"/>
  <c r="P250" i="1"/>
  <c r="O250" i="1"/>
  <c r="U249" i="1"/>
  <c r="T249" i="1"/>
  <c r="S249" i="1"/>
  <c r="R249" i="1"/>
  <c r="Q249" i="1"/>
  <c r="P249" i="1"/>
  <c r="O249" i="1"/>
  <c r="U248" i="1"/>
  <c r="T248" i="1"/>
  <c r="S248" i="1"/>
  <c r="R248" i="1"/>
  <c r="Q248" i="1"/>
  <c r="P248" i="1"/>
  <c r="O248" i="1"/>
  <c r="U247" i="1"/>
  <c r="T247" i="1"/>
  <c r="S247" i="1"/>
  <c r="R247" i="1"/>
  <c r="Q247" i="1"/>
  <c r="P247" i="1"/>
  <c r="O247" i="1"/>
  <c r="U246" i="1"/>
  <c r="T246" i="1"/>
  <c r="S246" i="1"/>
  <c r="R246" i="1"/>
  <c r="Q246" i="1"/>
  <c r="P246" i="1"/>
  <c r="O246" i="1"/>
  <c r="U245" i="1"/>
  <c r="T245" i="1"/>
  <c r="S245" i="1"/>
  <c r="R245" i="1"/>
  <c r="Q245" i="1"/>
  <c r="P245" i="1"/>
  <c r="O245" i="1"/>
  <c r="U244" i="1"/>
  <c r="T244" i="1"/>
  <c r="S244" i="1"/>
  <c r="R244" i="1"/>
  <c r="Q244" i="1"/>
  <c r="P244" i="1"/>
  <c r="O244" i="1"/>
  <c r="U243" i="1"/>
  <c r="T243" i="1"/>
  <c r="S243" i="1"/>
  <c r="R243" i="1"/>
  <c r="Q243" i="1"/>
  <c r="P243" i="1"/>
  <c r="O243" i="1"/>
  <c r="U242" i="1"/>
  <c r="T242" i="1"/>
  <c r="S242" i="1"/>
  <c r="R242" i="1"/>
  <c r="Q242" i="1"/>
  <c r="P242" i="1"/>
  <c r="O242" i="1"/>
  <c r="U241" i="1"/>
  <c r="T241" i="1"/>
  <c r="S241" i="1"/>
  <c r="R241" i="1"/>
  <c r="Q241" i="1"/>
  <c r="P241" i="1"/>
  <c r="O241" i="1"/>
  <c r="U240" i="1"/>
  <c r="T240" i="1"/>
  <c r="S240" i="1"/>
  <c r="R240" i="1"/>
  <c r="Q240" i="1"/>
  <c r="P240" i="1"/>
  <c r="O240" i="1"/>
  <c r="U239" i="1"/>
  <c r="T239" i="1"/>
  <c r="S239" i="1"/>
  <c r="R239" i="1"/>
  <c r="Q239" i="1"/>
  <c r="P239" i="1"/>
  <c r="O239" i="1"/>
  <c r="U238" i="1"/>
  <c r="T238" i="1"/>
  <c r="S238" i="1"/>
  <c r="R238" i="1"/>
  <c r="Q238" i="1"/>
  <c r="P238" i="1"/>
  <c r="O238" i="1"/>
  <c r="U237" i="1"/>
  <c r="T237" i="1"/>
  <c r="S237" i="1"/>
  <c r="R237" i="1"/>
  <c r="Q237" i="1"/>
  <c r="P237" i="1"/>
  <c r="O237" i="1"/>
  <c r="U236" i="1"/>
  <c r="T236" i="1"/>
  <c r="S236" i="1"/>
  <c r="R236" i="1"/>
  <c r="Q236" i="1"/>
  <c r="P236" i="1"/>
  <c r="O236" i="1"/>
  <c r="U235" i="1"/>
  <c r="T235" i="1"/>
  <c r="S235" i="1"/>
  <c r="R235" i="1"/>
  <c r="Q235" i="1"/>
  <c r="P235" i="1"/>
  <c r="O235" i="1"/>
  <c r="U234" i="1"/>
  <c r="T234" i="1"/>
  <c r="S234" i="1"/>
  <c r="R234" i="1"/>
  <c r="Q234" i="1"/>
  <c r="P234" i="1"/>
  <c r="O234" i="1"/>
  <c r="U233" i="1"/>
  <c r="T233" i="1"/>
  <c r="S233" i="1"/>
  <c r="R233" i="1"/>
  <c r="Q233" i="1"/>
  <c r="P233" i="1"/>
  <c r="O233" i="1"/>
  <c r="U232" i="1"/>
  <c r="T232" i="1"/>
  <c r="S232" i="1"/>
  <c r="R232" i="1"/>
  <c r="Q232" i="1"/>
  <c r="P232" i="1"/>
  <c r="O232" i="1"/>
  <c r="U231" i="1"/>
  <c r="T231" i="1"/>
  <c r="S231" i="1"/>
  <c r="R231" i="1"/>
  <c r="Q231" i="1"/>
  <c r="P231" i="1"/>
  <c r="O231" i="1"/>
  <c r="U230" i="1"/>
  <c r="T230" i="1"/>
  <c r="S230" i="1"/>
  <c r="R230" i="1"/>
  <c r="Q230" i="1"/>
  <c r="P230" i="1"/>
  <c r="O230" i="1"/>
  <c r="U229" i="1"/>
  <c r="T229" i="1"/>
  <c r="S229" i="1"/>
  <c r="R229" i="1"/>
  <c r="Q229" i="1"/>
  <c r="P229" i="1"/>
  <c r="O229" i="1"/>
  <c r="U228" i="1"/>
  <c r="T228" i="1"/>
  <c r="S228" i="1"/>
  <c r="R228" i="1"/>
  <c r="Q228" i="1"/>
  <c r="P228" i="1"/>
  <c r="O228" i="1"/>
  <c r="U227" i="1"/>
  <c r="T227" i="1"/>
  <c r="S227" i="1"/>
  <c r="R227" i="1"/>
  <c r="Q227" i="1"/>
  <c r="P227" i="1"/>
  <c r="O227" i="1"/>
  <c r="U226" i="1"/>
  <c r="T226" i="1"/>
  <c r="S226" i="1"/>
  <c r="R226" i="1"/>
  <c r="Q226" i="1"/>
  <c r="P226" i="1"/>
  <c r="O226" i="1"/>
  <c r="U225" i="1"/>
  <c r="T225" i="1"/>
  <c r="S225" i="1"/>
  <c r="R225" i="1"/>
  <c r="Q225" i="1"/>
  <c r="P225" i="1"/>
  <c r="O225" i="1"/>
  <c r="U224" i="1"/>
  <c r="T224" i="1"/>
  <c r="S224" i="1"/>
  <c r="R224" i="1"/>
  <c r="Q224" i="1"/>
  <c r="P224" i="1"/>
  <c r="O224" i="1"/>
  <c r="U223" i="1"/>
  <c r="T223" i="1"/>
  <c r="S223" i="1"/>
  <c r="R223" i="1"/>
  <c r="Q223" i="1"/>
  <c r="P223" i="1"/>
  <c r="O223" i="1"/>
  <c r="U222" i="1"/>
  <c r="T222" i="1"/>
  <c r="S222" i="1"/>
  <c r="R222" i="1"/>
  <c r="Q222" i="1"/>
  <c r="P222" i="1"/>
  <c r="O222" i="1"/>
  <c r="U221" i="1"/>
  <c r="T221" i="1"/>
  <c r="S221" i="1"/>
  <c r="R221" i="1"/>
  <c r="Q221" i="1"/>
  <c r="P221" i="1"/>
  <c r="O221" i="1"/>
  <c r="U220" i="1"/>
  <c r="T220" i="1"/>
  <c r="S220" i="1"/>
  <c r="R220" i="1"/>
  <c r="Q220" i="1"/>
  <c r="P220" i="1"/>
  <c r="O220" i="1"/>
  <c r="U219" i="1"/>
  <c r="T219" i="1"/>
  <c r="S219" i="1"/>
  <c r="R219" i="1"/>
  <c r="Q219" i="1"/>
  <c r="P219" i="1"/>
  <c r="O219" i="1"/>
  <c r="U218" i="1"/>
  <c r="T218" i="1"/>
  <c r="S218" i="1"/>
  <c r="R218" i="1"/>
  <c r="Q218" i="1"/>
  <c r="P218" i="1"/>
  <c r="O218" i="1"/>
  <c r="U217" i="1"/>
  <c r="T217" i="1"/>
  <c r="S217" i="1"/>
  <c r="R217" i="1"/>
  <c r="Q217" i="1"/>
  <c r="P217" i="1"/>
  <c r="O217" i="1"/>
  <c r="U216" i="1"/>
  <c r="T216" i="1"/>
  <c r="S216" i="1"/>
  <c r="R216" i="1"/>
  <c r="Q216" i="1"/>
  <c r="P216" i="1"/>
  <c r="O216" i="1"/>
  <c r="U215" i="1"/>
  <c r="T215" i="1"/>
  <c r="S215" i="1"/>
  <c r="R215" i="1"/>
  <c r="Q215" i="1"/>
  <c r="P215" i="1"/>
  <c r="O215" i="1"/>
  <c r="U214" i="1"/>
  <c r="T214" i="1"/>
  <c r="S214" i="1"/>
  <c r="R214" i="1"/>
  <c r="Q214" i="1"/>
  <c r="P214" i="1"/>
  <c r="O214" i="1"/>
  <c r="U213" i="1"/>
  <c r="T213" i="1"/>
  <c r="S213" i="1"/>
  <c r="R213" i="1"/>
  <c r="Q213" i="1"/>
  <c r="P213" i="1"/>
  <c r="O213" i="1"/>
  <c r="U212" i="1"/>
  <c r="T212" i="1"/>
  <c r="S212" i="1"/>
  <c r="R212" i="1"/>
  <c r="Q212" i="1"/>
  <c r="P212" i="1"/>
  <c r="O212" i="1"/>
  <c r="U211" i="1"/>
  <c r="T211" i="1"/>
  <c r="S211" i="1"/>
  <c r="R211" i="1"/>
  <c r="Q211" i="1"/>
  <c r="P211" i="1"/>
  <c r="O211" i="1"/>
  <c r="U210" i="1"/>
  <c r="T210" i="1"/>
  <c r="S210" i="1"/>
  <c r="R210" i="1"/>
  <c r="Q210" i="1"/>
  <c r="P210" i="1"/>
  <c r="O210" i="1"/>
  <c r="U209" i="1"/>
  <c r="T209" i="1"/>
  <c r="S209" i="1"/>
  <c r="R209" i="1"/>
  <c r="Q209" i="1"/>
  <c r="P209" i="1"/>
  <c r="O209" i="1"/>
  <c r="U208" i="1"/>
  <c r="T208" i="1"/>
  <c r="S208" i="1"/>
  <c r="R208" i="1"/>
  <c r="Q208" i="1"/>
  <c r="P208" i="1"/>
  <c r="O208" i="1"/>
  <c r="U207" i="1"/>
  <c r="T207" i="1"/>
  <c r="S207" i="1"/>
  <c r="R207" i="1"/>
  <c r="Q207" i="1"/>
  <c r="P207" i="1"/>
  <c r="O207" i="1"/>
  <c r="U206" i="1"/>
  <c r="T206" i="1"/>
  <c r="S206" i="1"/>
  <c r="R206" i="1"/>
  <c r="Q206" i="1"/>
  <c r="P206" i="1"/>
  <c r="O206" i="1"/>
  <c r="U205" i="1"/>
  <c r="T205" i="1"/>
  <c r="S205" i="1"/>
  <c r="R205" i="1"/>
  <c r="Q205" i="1"/>
  <c r="P205" i="1"/>
  <c r="O205" i="1"/>
  <c r="U204" i="1"/>
  <c r="T204" i="1"/>
  <c r="S204" i="1"/>
  <c r="R204" i="1"/>
  <c r="Q204" i="1"/>
  <c r="P204" i="1"/>
  <c r="O204" i="1"/>
  <c r="U203" i="1"/>
  <c r="T203" i="1"/>
  <c r="S203" i="1"/>
  <c r="R203" i="1"/>
  <c r="Q203" i="1"/>
  <c r="P203" i="1"/>
  <c r="O203" i="1"/>
  <c r="U202" i="1"/>
  <c r="T202" i="1"/>
  <c r="S202" i="1"/>
  <c r="R202" i="1"/>
  <c r="Q202" i="1"/>
  <c r="P202" i="1"/>
  <c r="O202" i="1"/>
  <c r="U201" i="1"/>
  <c r="T201" i="1"/>
  <c r="S201" i="1"/>
  <c r="R201" i="1"/>
  <c r="Q201" i="1"/>
  <c r="P201" i="1"/>
  <c r="O201" i="1"/>
  <c r="U200" i="1"/>
  <c r="T200" i="1"/>
  <c r="S200" i="1"/>
  <c r="R200" i="1"/>
  <c r="Q200" i="1"/>
  <c r="P200" i="1"/>
  <c r="O200" i="1"/>
  <c r="U199" i="1"/>
  <c r="T199" i="1"/>
  <c r="S199" i="1"/>
  <c r="R199" i="1"/>
  <c r="Q199" i="1"/>
  <c r="P199" i="1"/>
  <c r="O199" i="1"/>
  <c r="U198" i="1"/>
  <c r="T198" i="1"/>
  <c r="S198" i="1"/>
  <c r="R198" i="1"/>
  <c r="Q198" i="1"/>
  <c r="P198" i="1"/>
  <c r="O198" i="1"/>
  <c r="U197" i="1"/>
  <c r="T197" i="1"/>
  <c r="S197" i="1"/>
  <c r="R197" i="1"/>
  <c r="Q197" i="1"/>
  <c r="P197" i="1"/>
  <c r="O197" i="1"/>
  <c r="U196" i="1"/>
  <c r="T196" i="1"/>
  <c r="S196" i="1"/>
  <c r="R196" i="1"/>
  <c r="Q196" i="1"/>
  <c r="P196" i="1"/>
  <c r="O196" i="1"/>
  <c r="U195" i="1"/>
  <c r="T195" i="1"/>
  <c r="S195" i="1"/>
  <c r="R195" i="1"/>
  <c r="Q195" i="1"/>
  <c r="P195" i="1"/>
  <c r="O195" i="1"/>
  <c r="U194" i="1"/>
  <c r="T194" i="1"/>
  <c r="S194" i="1"/>
  <c r="R194" i="1"/>
  <c r="Q194" i="1"/>
  <c r="P194" i="1"/>
  <c r="O194" i="1"/>
  <c r="U193" i="1"/>
  <c r="T193" i="1"/>
  <c r="S193" i="1"/>
  <c r="R193" i="1"/>
  <c r="Q193" i="1"/>
  <c r="P193" i="1"/>
  <c r="O193" i="1"/>
  <c r="U192" i="1"/>
  <c r="T192" i="1"/>
  <c r="S192" i="1"/>
  <c r="R192" i="1"/>
  <c r="Q192" i="1"/>
  <c r="P192" i="1"/>
  <c r="O192" i="1"/>
  <c r="U191" i="1"/>
  <c r="T191" i="1"/>
  <c r="S191" i="1"/>
  <c r="R191" i="1"/>
  <c r="Q191" i="1"/>
  <c r="P191" i="1"/>
  <c r="O191" i="1"/>
  <c r="U190" i="1"/>
  <c r="T190" i="1"/>
  <c r="S190" i="1"/>
  <c r="R190" i="1"/>
  <c r="Q190" i="1"/>
  <c r="P190" i="1"/>
  <c r="O190" i="1"/>
  <c r="U189" i="1"/>
  <c r="T189" i="1"/>
  <c r="S189" i="1"/>
  <c r="R189" i="1"/>
  <c r="Q189" i="1"/>
  <c r="P189" i="1"/>
  <c r="O189" i="1"/>
  <c r="U188" i="1"/>
  <c r="T188" i="1"/>
  <c r="S188" i="1"/>
  <c r="R188" i="1"/>
  <c r="Q188" i="1"/>
  <c r="P188" i="1"/>
  <c r="O188" i="1"/>
  <c r="U187" i="1"/>
  <c r="T187" i="1"/>
  <c r="S187" i="1"/>
  <c r="R187" i="1"/>
  <c r="Q187" i="1"/>
  <c r="P187" i="1"/>
  <c r="O187" i="1"/>
  <c r="U186" i="1"/>
  <c r="T186" i="1"/>
  <c r="S186" i="1"/>
  <c r="R186" i="1"/>
  <c r="Q186" i="1"/>
  <c r="P186" i="1"/>
  <c r="O186" i="1"/>
  <c r="U185" i="1"/>
  <c r="T185" i="1"/>
  <c r="S185" i="1"/>
  <c r="R185" i="1"/>
  <c r="Q185" i="1"/>
  <c r="P185" i="1"/>
  <c r="O185" i="1"/>
  <c r="U184" i="1"/>
  <c r="T184" i="1"/>
  <c r="S184" i="1"/>
  <c r="R184" i="1"/>
  <c r="Q184" i="1"/>
  <c r="P184" i="1"/>
  <c r="O184" i="1"/>
  <c r="U183" i="1"/>
  <c r="T183" i="1"/>
  <c r="S183" i="1"/>
  <c r="R183" i="1"/>
  <c r="Q183" i="1"/>
  <c r="P183" i="1"/>
  <c r="O183" i="1"/>
  <c r="U182" i="1"/>
  <c r="T182" i="1"/>
  <c r="S182" i="1"/>
  <c r="R182" i="1"/>
  <c r="Q182" i="1"/>
  <c r="P182" i="1"/>
  <c r="O182" i="1"/>
  <c r="U181" i="1"/>
  <c r="T181" i="1"/>
  <c r="S181" i="1"/>
  <c r="R181" i="1"/>
  <c r="Q181" i="1"/>
  <c r="P181" i="1"/>
  <c r="O181" i="1"/>
  <c r="U180" i="1"/>
  <c r="T180" i="1"/>
  <c r="S180" i="1"/>
  <c r="R180" i="1"/>
  <c r="Q180" i="1"/>
  <c r="P180" i="1"/>
  <c r="O180" i="1"/>
  <c r="U179" i="1"/>
  <c r="T179" i="1"/>
  <c r="S179" i="1"/>
  <c r="R179" i="1"/>
  <c r="Q179" i="1"/>
  <c r="P179" i="1"/>
  <c r="O179" i="1"/>
  <c r="U178" i="1"/>
  <c r="T178" i="1"/>
  <c r="S178" i="1"/>
  <c r="R178" i="1"/>
  <c r="Q178" i="1"/>
  <c r="P178" i="1"/>
  <c r="O178" i="1"/>
  <c r="U177" i="1"/>
  <c r="T177" i="1"/>
  <c r="S177" i="1"/>
  <c r="R177" i="1"/>
  <c r="Q177" i="1"/>
  <c r="P177" i="1"/>
  <c r="O177" i="1"/>
  <c r="U176" i="1"/>
  <c r="T176" i="1"/>
  <c r="S176" i="1"/>
  <c r="R176" i="1"/>
  <c r="Q176" i="1"/>
  <c r="P176" i="1"/>
  <c r="O176" i="1"/>
  <c r="U175" i="1"/>
  <c r="T175" i="1"/>
  <c r="S175" i="1"/>
  <c r="R175" i="1"/>
  <c r="Q175" i="1"/>
  <c r="P175" i="1"/>
  <c r="O175" i="1"/>
  <c r="U174" i="1"/>
  <c r="T174" i="1"/>
  <c r="S174" i="1"/>
  <c r="R174" i="1"/>
  <c r="Q174" i="1"/>
  <c r="P174" i="1"/>
  <c r="O174" i="1"/>
  <c r="U173" i="1"/>
  <c r="T173" i="1"/>
  <c r="S173" i="1"/>
  <c r="R173" i="1"/>
  <c r="Q173" i="1"/>
  <c r="P173" i="1"/>
  <c r="O173" i="1"/>
  <c r="U172" i="1"/>
  <c r="T172" i="1"/>
  <c r="S172" i="1"/>
  <c r="R172" i="1"/>
  <c r="Q172" i="1"/>
  <c r="P172" i="1"/>
  <c r="O172" i="1"/>
  <c r="U171" i="1"/>
  <c r="T171" i="1"/>
  <c r="S171" i="1"/>
  <c r="R171" i="1"/>
  <c r="Q171" i="1"/>
  <c r="P171" i="1"/>
  <c r="O171" i="1"/>
  <c r="U170" i="1"/>
  <c r="T170" i="1"/>
  <c r="S170" i="1"/>
  <c r="R170" i="1"/>
  <c r="Q170" i="1"/>
  <c r="P170" i="1"/>
  <c r="O170" i="1"/>
  <c r="U169" i="1"/>
  <c r="T169" i="1"/>
  <c r="S169" i="1"/>
  <c r="R169" i="1"/>
  <c r="Q169" i="1"/>
  <c r="P169" i="1"/>
  <c r="O169" i="1"/>
  <c r="U168" i="1"/>
  <c r="T168" i="1"/>
  <c r="S168" i="1"/>
  <c r="R168" i="1"/>
  <c r="Q168" i="1"/>
  <c r="P168" i="1"/>
  <c r="O168" i="1"/>
  <c r="U167" i="1"/>
  <c r="T167" i="1"/>
  <c r="S167" i="1"/>
  <c r="R167" i="1"/>
  <c r="Q167" i="1"/>
  <c r="P167" i="1"/>
  <c r="O167" i="1"/>
  <c r="U166" i="1"/>
  <c r="T166" i="1"/>
  <c r="S166" i="1"/>
  <c r="R166" i="1"/>
  <c r="Q166" i="1"/>
  <c r="P166" i="1"/>
  <c r="O166" i="1"/>
  <c r="U165" i="1"/>
  <c r="T165" i="1"/>
  <c r="S165" i="1"/>
  <c r="R165" i="1"/>
  <c r="Q165" i="1"/>
  <c r="P165" i="1"/>
  <c r="O165" i="1"/>
  <c r="U164" i="1"/>
  <c r="T164" i="1"/>
  <c r="S164" i="1"/>
  <c r="R164" i="1"/>
  <c r="Q164" i="1"/>
  <c r="P164" i="1"/>
  <c r="O164" i="1"/>
  <c r="U163" i="1"/>
  <c r="T163" i="1"/>
  <c r="S163" i="1"/>
  <c r="R163" i="1"/>
  <c r="Q163" i="1"/>
  <c r="P163" i="1"/>
  <c r="O163" i="1"/>
  <c r="U162" i="1"/>
  <c r="T162" i="1"/>
  <c r="S162" i="1"/>
  <c r="R162" i="1"/>
  <c r="Q162" i="1"/>
  <c r="P162" i="1"/>
  <c r="O162" i="1"/>
  <c r="U161" i="1"/>
  <c r="T161" i="1"/>
  <c r="S161" i="1"/>
  <c r="R161" i="1"/>
  <c r="Q161" i="1"/>
  <c r="P161" i="1"/>
  <c r="O161" i="1"/>
  <c r="U160" i="1"/>
  <c r="T160" i="1"/>
  <c r="S160" i="1"/>
  <c r="R160" i="1"/>
  <c r="Q160" i="1"/>
  <c r="P160" i="1"/>
  <c r="O160" i="1"/>
  <c r="U159" i="1"/>
  <c r="T159" i="1"/>
  <c r="S159" i="1"/>
  <c r="R159" i="1"/>
  <c r="Q159" i="1"/>
  <c r="P159" i="1"/>
  <c r="O159" i="1"/>
  <c r="U158" i="1"/>
  <c r="T158" i="1"/>
  <c r="S158" i="1"/>
  <c r="R158" i="1"/>
  <c r="Q158" i="1"/>
  <c r="P158" i="1"/>
  <c r="O158" i="1"/>
  <c r="U157" i="1"/>
  <c r="T157" i="1"/>
  <c r="S157" i="1"/>
  <c r="R157" i="1"/>
  <c r="Q157" i="1"/>
  <c r="P157" i="1"/>
  <c r="O157" i="1"/>
  <c r="U156" i="1"/>
  <c r="T156" i="1"/>
  <c r="S156" i="1"/>
  <c r="R156" i="1"/>
  <c r="Q156" i="1"/>
  <c r="P156" i="1"/>
  <c r="O156" i="1"/>
  <c r="U155" i="1"/>
  <c r="T155" i="1"/>
  <c r="S155" i="1"/>
  <c r="R155" i="1"/>
  <c r="Q155" i="1"/>
  <c r="P155" i="1"/>
  <c r="O155" i="1"/>
  <c r="U154" i="1"/>
  <c r="T154" i="1"/>
  <c r="S154" i="1"/>
  <c r="R154" i="1"/>
  <c r="Q154" i="1"/>
  <c r="P154" i="1"/>
  <c r="O154" i="1"/>
  <c r="U153" i="1"/>
  <c r="T153" i="1"/>
  <c r="S153" i="1"/>
  <c r="R153" i="1"/>
  <c r="Q153" i="1"/>
  <c r="P153" i="1"/>
  <c r="O153" i="1"/>
  <c r="U152" i="1"/>
  <c r="T152" i="1"/>
  <c r="S152" i="1"/>
  <c r="R152" i="1"/>
  <c r="Q152" i="1"/>
  <c r="P152" i="1"/>
  <c r="O152" i="1"/>
  <c r="U151" i="1"/>
  <c r="T151" i="1"/>
  <c r="S151" i="1"/>
  <c r="R151" i="1"/>
  <c r="Q151" i="1"/>
  <c r="P151" i="1"/>
  <c r="O151" i="1"/>
  <c r="U150" i="1"/>
  <c r="T150" i="1"/>
  <c r="S150" i="1"/>
  <c r="R150" i="1"/>
  <c r="Q150" i="1"/>
  <c r="P150" i="1"/>
  <c r="O150" i="1"/>
  <c r="U149" i="1"/>
  <c r="T149" i="1"/>
  <c r="S149" i="1"/>
  <c r="R149" i="1"/>
  <c r="Q149" i="1"/>
  <c r="P149" i="1"/>
  <c r="O149" i="1"/>
  <c r="U148" i="1"/>
  <c r="T148" i="1"/>
  <c r="S148" i="1"/>
  <c r="R148" i="1"/>
  <c r="Q148" i="1"/>
  <c r="P148" i="1"/>
  <c r="O148" i="1"/>
  <c r="U147" i="1"/>
  <c r="T147" i="1"/>
  <c r="S147" i="1"/>
  <c r="R147" i="1"/>
  <c r="Q147" i="1"/>
  <c r="P147" i="1"/>
  <c r="O147" i="1"/>
  <c r="U146" i="1"/>
  <c r="T146" i="1"/>
  <c r="S146" i="1"/>
  <c r="R146" i="1"/>
  <c r="Q146" i="1"/>
  <c r="P146" i="1"/>
  <c r="O146" i="1"/>
  <c r="U145" i="1"/>
  <c r="T145" i="1"/>
  <c r="S145" i="1"/>
  <c r="R145" i="1"/>
  <c r="Q145" i="1"/>
  <c r="P145" i="1"/>
  <c r="O145" i="1"/>
  <c r="U144" i="1"/>
  <c r="T144" i="1"/>
  <c r="S144" i="1"/>
  <c r="R144" i="1"/>
  <c r="Q144" i="1"/>
  <c r="P144" i="1"/>
  <c r="O144" i="1"/>
  <c r="U143" i="1"/>
  <c r="T143" i="1"/>
  <c r="S143" i="1"/>
  <c r="R143" i="1"/>
  <c r="Q143" i="1"/>
  <c r="P143" i="1"/>
  <c r="O143" i="1"/>
  <c r="U142" i="1"/>
  <c r="T142" i="1"/>
  <c r="S142" i="1"/>
  <c r="R142" i="1"/>
  <c r="Q142" i="1"/>
  <c r="P142" i="1"/>
  <c r="O142" i="1"/>
  <c r="U141" i="1"/>
  <c r="T141" i="1"/>
  <c r="S141" i="1"/>
  <c r="R141" i="1"/>
  <c r="Q141" i="1"/>
  <c r="P141" i="1"/>
  <c r="O141" i="1"/>
  <c r="U140" i="1"/>
  <c r="T140" i="1"/>
  <c r="S140" i="1"/>
  <c r="R140" i="1"/>
  <c r="Q140" i="1"/>
  <c r="P140" i="1"/>
  <c r="O140" i="1"/>
  <c r="U139" i="1"/>
  <c r="T139" i="1"/>
  <c r="S139" i="1"/>
  <c r="R139" i="1"/>
  <c r="Q139" i="1"/>
  <c r="P139" i="1"/>
  <c r="O139" i="1"/>
  <c r="U138" i="1"/>
  <c r="T138" i="1"/>
  <c r="S138" i="1"/>
  <c r="R138" i="1"/>
  <c r="Q138" i="1"/>
  <c r="P138" i="1"/>
  <c r="O138" i="1"/>
  <c r="U137" i="1"/>
  <c r="T137" i="1"/>
  <c r="S137" i="1"/>
  <c r="R137" i="1"/>
  <c r="Q137" i="1"/>
  <c r="P137" i="1"/>
  <c r="O137" i="1"/>
  <c r="U136" i="1"/>
  <c r="T136" i="1"/>
  <c r="S136" i="1"/>
  <c r="R136" i="1"/>
  <c r="Q136" i="1"/>
  <c r="P136" i="1"/>
  <c r="O136" i="1"/>
  <c r="U135" i="1"/>
  <c r="T135" i="1"/>
  <c r="S135" i="1"/>
  <c r="R135" i="1"/>
  <c r="Q135" i="1"/>
  <c r="P135" i="1"/>
  <c r="O135" i="1"/>
  <c r="U134" i="1"/>
  <c r="T134" i="1"/>
  <c r="S134" i="1"/>
  <c r="R134" i="1"/>
  <c r="Q134" i="1"/>
  <c r="P134" i="1"/>
  <c r="O134" i="1"/>
  <c r="U133" i="1"/>
  <c r="T133" i="1"/>
  <c r="S133" i="1"/>
  <c r="R133" i="1"/>
  <c r="Q133" i="1"/>
  <c r="P133" i="1"/>
  <c r="O133" i="1"/>
  <c r="U132" i="1"/>
  <c r="T132" i="1"/>
  <c r="S132" i="1"/>
  <c r="R132" i="1"/>
  <c r="Q132" i="1"/>
  <c r="P132" i="1"/>
  <c r="O132" i="1"/>
  <c r="U131" i="1"/>
  <c r="T131" i="1"/>
  <c r="S131" i="1"/>
  <c r="R131" i="1"/>
  <c r="Q131" i="1"/>
  <c r="P131" i="1"/>
  <c r="O131" i="1"/>
  <c r="U130" i="1"/>
  <c r="T130" i="1"/>
  <c r="S130" i="1"/>
  <c r="R130" i="1"/>
  <c r="Q130" i="1"/>
  <c r="P130" i="1"/>
  <c r="O130" i="1"/>
  <c r="U129" i="1"/>
  <c r="T129" i="1"/>
  <c r="S129" i="1"/>
  <c r="R129" i="1"/>
  <c r="Q129" i="1"/>
  <c r="P129" i="1"/>
  <c r="O129" i="1"/>
  <c r="U128" i="1"/>
  <c r="T128" i="1"/>
  <c r="S128" i="1"/>
  <c r="R128" i="1"/>
  <c r="Q128" i="1"/>
  <c r="P128" i="1"/>
  <c r="O128" i="1"/>
  <c r="U127" i="1"/>
  <c r="T127" i="1"/>
  <c r="S127" i="1"/>
  <c r="R127" i="1"/>
  <c r="Q127" i="1"/>
  <c r="P127" i="1"/>
  <c r="O127" i="1"/>
  <c r="U126" i="1"/>
  <c r="T126" i="1"/>
  <c r="S126" i="1"/>
  <c r="R126" i="1"/>
  <c r="Q126" i="1"/>
  <c r="P126" i="1"/>
  <c r="O126" i="1"/>
  <c r="U125" i="1"/>
  <c r="T125" i="1"/>
  <c r="S125" i="1"/>
  <c r="R125" i="1"/>
  <c r="Q125" i="1"/>
  <c r="P125" i="1"/>
  <c r="O125" i="1"/>
  <c r="U124" i="1"/>
  <c r="T124" i="1"/>
  <c r="S124" i="1"/>
  <c r="R124" i="1"/>
  <c r="Q124" i="1"/>
  <c r="P124" i="1"/>
  <c r="O124" i="1"/>
  <c r="U123" i="1"/>
  <c r="T123" i="1"/>
  <c r="S123" i="1"/>
  <c r="R123" i="1"/>
  <c r="Q123" i="1"/>
  <c r="P123" i="1"/>
  <c r="O123" i="1"/>
  <c r="U122" i="1"/>
  <c r="T122" i="1"/>
  <c r="S122" i="1"/>
  <c r="R122" i="1"/>
  <c r="Q122" i="1"/>
  <c r="P122" i="1"/>
  <c r="O122" i="1"/>
  <c r="U121" i="1"/>
  <c r="T121" i="1"/>
  <c r="S121" i="1"/>
  <c r="R121" i="1"/>
  <c r="Q121" i="1"/>
  <c r="P121" i="1"/>
  <c r="O121" i="1"/>
  <c r="U120" i="1"/>
  <c r="T120" i="1"/>
  <c r="S120" i="1"/>
  <c r="R120" i="1"/>
  <c r="Q120" i="1"/>
  <c r="P120" i="1"/>
  <c r="O120" i="1"/>
  <c r="U119" i="1"/>
  <c r="T119" i="1"/>
  <c r="S119" i="1"/>
  <c r="R119" i="1"/>
  <c r="Q119" i="1"/>
  <c r="P119" i="1"/>
  <c r="O119" i="1"/>
  <c r="U118" i="1"/>
  <c r="T118" i="1"/>
  <c r="S118" i="1"/>
  <c r="R118" i="1"/>
  <c r="Q118" i="1"/>
  <c r="P118" i="1"/>
  <c r="O118" i="1"/>
  <c r="U117" i="1"/>
  <c r="T117" i="1"/>
  <c r="S117" i="1"/>
  <c r="R117" i="1"/>
  <c r="Q117" i="1"/>
  <c r="P117" i="1"/>
  <c r="O117" i="1"/>
  <c r="U116" i="1"/>
  <c r="T116" i="1"/>
  <c r="S116" i="1"/>
  <c r="R116" i="1"/>
  <c r="Q116" i="1"/>
  <c r="P116" i="1"/>
  <c r="O116" i="1"/>
  <c r="U115" i="1"/>
  <c r="T115" i="1"/>
  <c r="S115" i="1"/>
  <c r="R115" i="1"/>
  <c r="Q115" i="1"/>
  <c r="P115" i="1"/>
  <c r="O115" i="1"/>
  <c r="U114" i="1"/>
  <c r="T114" i="1"/>
  <c r="S114" i="1"/>
  <c r="R114" i="1"/>
  <c r="Q114" i="1"/>
  <c r="P114" i="1"/>
  <c r="O114" i="1"/>
  <c r="U113" i="1"/>
  <c r="T113" i="1"/>
  <c r="S113" i="1"/>
  <c r="R113" i="1"/>
  <c r="Q113" i="1"/>
  <c r="P113" i="1"/>
  <c r="O113" i="1"/>
  <c r="U112" i="1"/>
  <c r="T112" i="1"/>
  <c r="S112" i="1"/>
  <c r="R112" i="1"/>
  <c r="Q112" i="1"/>
  <c r="P112" i="1"/>
  <c r="O112" i="1"/>
  <c r="U111" i="1"/>
  <c r="T111" i="1"/>
  <c r="S111" i="1"/>
  <c r="R111" i="1"/>
  <c r="Q111" i="1"/>
  <c r="P111" i="1"/>
  <c r="O111" i="1"/>
  <c r="U110" i="1"/>
  <c r="T110" i="1"/>
  <c r="S110" i="1"/>
  <c r="R110" i="1"/>
  <c r="Q110" i="1"/>
  <c r="P110" i="1"/>
  <c r="O110" i="1"/>
  <c r="U109" i="1"/>
  <c r="T109" i="1"/>
  <c r="S109" i="1"/>
  <c r="R109" i="1"/>
  <c r="Q109" i="1"/>
  <c r="P109" i="1"/>
  <c r="O109" i="1"/>
  <c r="U108" i="1"/>
  <c r="T108" i="1"/>
  <c r="S108" i="1"/>
  <c r="R108" i="1"/>
  <c r="Q108" i="1"/>
  <c r="P108" i="1"/>
  <c r="O108" i="1"/>
  <c r="U107" i="1"/>
  <c r="T107" i="1"/>
  <c r="S107" i="1"/>
  <c r="R107" i="1"/>
  <c r="Q107" i="1"/>
  <c r="P107" i="1"/>
  <c r="O107" i="1"/>
  <c r="U106" i="1"/>
  <c r="T106" i="1"/>
  <c r="S106" i="1"/>
  <c r="R106" i="1"/>
  <c r="Q106" i="1"/>
  <c r="P106" i="1"/>
  <c r="O106" i="1"/>
  <c r="U105" i="1"/>
  <c r="T105" i="1"/>
  <c r="S105" i="1"/>
  <c r="R105" i="1"/>
  <c r="Q105" i="1"/>
  <c r="P105" i="1"/>
  <c r="O105" i="1"/>
  <c r="U104" i="1"/>
  <c r="T104" i="1"/>
  <c r="S104" i="1"/>
  <c r="R104" i="1"/>
  <c r="Q104" i="1"/>
  <c r="P104" i="1"/>
  <c r="O104" i="1"/>
  <c r="U103" i="1"/>
  <c r="T103" i="1"/>
  <c r="S103" i="1"/>
  <c r="R103" i="1"/>
  <c r="Q103" i="1"/>
  <c r="P103" i="1"/>
  <c r="O103" i="1"/>
  <c r="U102" i="1"/>
  <c r="T102" i="1"/>
  <c r="S102" i="1"/>
  <c r="R102" i="1"/>
  <c r="Q102" i="1"/>
  <c r="P102" i="1"/>
  <c r="O102" i="1"/>
  <c r="U101" i="1"/>
  <c r="T101" i="1"/>
  <c r="S101" i="1"/>
  <c r="R101" i="1"/>
  <c r="Q101" i="1"/>
  <c r="P101" i="1"/>
  <c r="O101" i="1"/>
  <c r="U100" i="1"/>
  <c r="T100" i="1"/>
  <c r="S100" i="1"/>
  <c r="R100" i="1"/>
  <c r="Q100" i="1"/>
  <c r="P100" i="1"/>
  <c r="O100" i="1"/>
  <c r="U99" i="1"/>
  <c r="T99" i="1"/>
  <c r="S99" i="1"/>
  <c r="R99" i="1"/>
  <c r="Q99" i="1"/>
  <c r="P99" i="1"/>
  <c r="O99" i="1"/>
  <c r="U98" i="1"/>
  <c r="T98" i="1"/>
  <c r="S98" i="1"/>
  <c r="R98" i="1"/>
  <c r="Q98" i="1"/>
  <c r="P98" i="1"/>
  <c r="O98" i="1"/>
  <c r="U97" i="1"/>
  <c r="T97" i="1"/>
  <c r="S97" i="1"/>
  <c r="R97" i="1"/>
  <c r="Q97" i="1"/>
  <c r="P97" i="1"/>
  <c r="O97" i="1"/>
  <c r="U96" i="1"/>
  <c r="T96" i="1"/>
  <c r="S96" i="1"/>
  <c r="R96" i="1"/>
  <c r="Q96" i="1"/>
  <c r="P96" i="1"/>
  <c r="O96" i="1"/>
  <c r="U95" i="1"/>
  <c r="T95" i="1"/>
  <c r="S95" i="1"/>
  <c r="R95" i="1"/>
  <c r="Q95" i="1"/>
  <c r="P95" i="1"/>
  <c r="O95" i="1"/>
  <c r="U94" i="1"/>
  <c r="T94" i="1"/>
  <c r="S94" i="1"/>
  <c r="R94" i="1"/>
  <c r="Q94" i="1"/>
  <c r="P94" i="1"/>
  <c r="O94" i="1"/>
  <c r="U93" i="1"/>
  <c r="T93" i="1"/>
  <c r="S93" i="1"/>
  <c r="R93" i="1"/>
  <c r="Q93" i="1"/>
  <c r="P93" i="1"/>
  <c r="O93" i="1"/>
  <c r="U92" i="1"/>
  <c r="T92" i="1"/>
  <c r="S92" i="1"/>
  <c r="R92" i="1"/>
  <c r="Q92" i="1"/>
  <c r="P92" i="1"/>
  <c r="O92" i="1"/>
  <c r="U91" i="1"/>
  <c r="T91" i="1"/>
  <c r="S91" i="1"/>
  <c r="R91" i="1"/>
  <c r="Q91" i="1"/>
  <c r="P91" i="1"/>
  <c r="O91" i="1"/>
  <c r="U90" i="1"/>
  <c r="T90" i="1"/>
  <c r="S90" i="1"/>
  <c r="R90" i="1"/>
  <c r="Q90" i="1"/>
  <c r="P90" i="1"/>
  <c r="O90" i="1"/>
  <c r="U89" i="1"/>
  <c r="T89" i="1"/>
  <c r="S89" i="1"/>
  <c r="R89" i="1"/>
  <c r="Q89" i="1"/>
  <c r="P89" i="1"/>
  <c r="O89" i="1"/>
  <c r="U88" i="1"/>
  <c r="T88" i="1"/>
  <c r="S88" i="1"/>
  <c r="R88" i="1"/>
  <c r="Q88" i="1"/>
  <c r="P88" i="1"/>
  <c r="O88" i="1"/>
  <c r="U87" i="1"/>
  <c r="T87" i="1"/>
  <c r="S87" i="1"/>
  <c r="R87" i="1"/>
  <c r="Q87" i="1"/>
  <c r="P87" i="1"/>
  <c r="O87" i="1"/>
  <c r="U86" i="1"/>
  <c r="T86" i="1"/>
  <c r="S86" i="1"/>
  <c r="R86" i="1"/>
  <c r="Q86" i="1"/>
  <c r="P86" i="1"/>
  <c r="O86" i="1"/>
  <c r="U85" i="1"/>
  <c r="T85" i="1"/>
  <c r="S85" i="1"/>
  <c r="R85" i="1"/>
  <c r="Q85" i="1"/>
  <c r="P85" i="1"/>
  <c r="O85" i="1"/>
  <c r="U84" i="1"/>
  <c r="T84" i="1"/>
  <c r="S84" i="1"/>
  <c r="R84" i="1"/>
  <c r="Q84" i="1"/>
  <c r="P84" i="1"/>
  <c r="O84" i="1"/>
  <c r="U83" i="1"/>
  <c r="T83" i="1"/>
  <c r="S83" i="1"/>
  <c r="R83" i="1"/>
  <c r="Q83" i="1"/>
  <c r="P83" i="1"/>
  <c r="O83" i="1"/>
  <c r="U82" i="1"/>
  <c r="T82" i="1"/>
  <c r="S82" i="1"/>
  <c r="R82" i="1"/>
  <c r="Q82" i="1"/>
  <c r="P82" i="1"/>
  <c r="O82" i="1"/>
  <c r="U81" i="1"/>
  <c r="T81" i="1"/>
  <c r="S81" i="1"/>
  <c r="R81" i="1"/>
  <c r="Q81" i="1"/>
  <c r="P81" i="1"/>
  <c r="O81" i="1"/>
  <c r="U80" i="1"/>
  <c r="T80" i="1"/>
  <c r="S80" i="1"/>
  <c r="R80" i="1"/>
  <c r="Q80" i="1"/>
  <c r="P80" i="1"/>
  <c r="O80" i="1"/>
  <c r="U79" i="1"/>
  <c r="T79" i="1"/>
  <c r="S79" i="1"/>
  <c r="R79" i="1"/>
  <c r="Q79" i="1"/>
  <c r="P79" i="1"/>
  <c r="O79" i="1"/>
  <c r="U78" i="1"/>
  <c r="T78" i="1"/>
  <c r="S78" i="1"/>
  <c r="R78" i="1"/>
  <c r="Q78" i="1"/>
  <c r="P78" i="1"/>
  <c r="O78" i="1"/>
  <c r="U77" i="1"/>
  <c r="T77" i="1"/>
  <c r="S77" i="1"/>
  <c r="R77" i="1"/>
  <c r="Q77" i="1"/>
  <c r="P77" i="1"/>
  <c r="O77" i="1"/>
  <c r="U76" i="1"/>
  <c r="T76" i="1"/>
  <c r="S76" i="1"/>
  <c r="R76" i="1"/>
  <c r="Q76" i="1"/>
  <c r="P76" i="1"/>
  <c r="O76" i="1"/>
  <c r="U75" i="1"/>
  <c r="T75" i="1"/>
  <c r="S75" i="1"/>
  <c r="R75" i="1"/>
  <c r="Q75" i="1"/>
  <c r="P75" i="1"/>
  <c r="O75" i="1"/>
  <c r="U74" i="1"/>
  <c r="T74" i="1"/>
  <c r="S74" i="1"/>
  <c r="R74" i="1"/>
  <c r="Q74" i="1"/>
  <c r="P74" i="1"/>
  <c r="O74" i="1"/>
  <c r="U73" i="1"/>
  <c r="T73" i="1"/>
  <c r="S73" i="1"/>
  <c r="R73" i="1"/>
  <c r="Q73" i="1"/>
  <c r="P73" i="1"/>
  <c r="O73" i="1"/>
  <c r="U72" i="1"/>
  <c r="T72" i="1"/>
  <c r="S72" i="1"/>
  <c r="R72" i="1"/>
  <c r="Q72" i="1"/>
  <c r="P72" i="1"/>
  <c r="O72" i="1"/>
  <c r="U71" i="1"/>
  <c r="T71" i="1"/>
  <c r="S71" i="1"/>
  <c r="R71" i="1"/>
  <c r="Q71" i="1"/>
  <c r="P71" i="1"/>
  <c r="O71" i="1"/>
  <c r="U70" i="1"/>
  <c r="T70" i="1"/>
  <c r="S70" i="1"/>
  <c r="R70" i="1"/>
  <c r="Q70" i="1"/>
  <c r="P70" i="1"/>
  <c r="O70" i="1"/>
  <c r="U69" i="1"/>
  <c r="T69" i="1"/>
  <c r="S69" i="1"/>
  <c r="R69" i="1"/>
  <c r="Q69" i="1"/>
  <c r="P69" i="1"/>
  <c r="O69" i="1"/>
  <c r="U68" i="1"/>
  <c r="T68" i="1"/>
  <c r="S68" i="1"/>
  <c r="R68" i="1"/>
  <c r="Q68" i="1"/>
  <c r="P68" i="1"/>
  <c r="O68" i="1"/>
  <c r="U67" i="1"/>
  <c r="T67" i="1"/>
  <c r="S67" i="1"/>
  <c r="R67" i="1"/>
  <c r="Q67" i="1"/>
  <c r="P67" i="1"/>
  <c r="O67" i="1"/>
  <c r="U66" i="1"/>
  <c r="T66" i="1"/>
  <c r="S66" i="1"/>
  <c r="R66" i="1"/>
  <c r="Q66" i="1"/>
  <c r="P66" i="1"/>
  <c r="O66" i="1"/>
  <c r="U65" i="1"/>
  <c r="T65" i="1"/>
  <c r="S65" i="1"/>
  <c r="R65" i="1"/>
  <c r="Q65" i="1"/>
  <c r="P65" i="1"/>
  <c r="O65" i="1"/>
  <c r="U64" i="1"/>
  <c r="T64" i="1"/>
  <c r="S64" i="1"/>
  <c r="R64" i="1"/>
  <c r="Q64" i="1"/>
  <c r="P64" i="1"/>
  <c r="O64" i="1"/>
  <c r="U63" i="1"/>
  <c r="T63" i="1"/>
  <c r="S63" i="1"/>
  <c r="R63" i="1"/>
  <c r="Q63" i="1"/>
  <c r="P63" i="1"/>
  <c r="O63" i="1"/>
  <c r="U62" i="1"/>
  <c r="T62" i="1"/>
  <c r="S62" i="1"/>
  <c r="R62" i="1"/>
  <c r="Q62" i="1"/>
  <c r="P62" i="1"/>
  <c r="O62" i="1"/>
  <c r="U61" i="1"/>
  <c r="T61" i="1"/>
  <c r="S61" i="1"/>
  <c r="R61" i="1"/>
  <c r="Q61" i="1"/>
  <c r="P61" i="1"/>
  <c r="O61" i="1"/>
  <c r="U60" i="1"/>
  <c r="T60" i="1"/>
  <c r="S60" i="1"/>
  <c r="R60" i="1"/>
  <c r="Q60" i="1"/>
  <c r="P60" i="1"/>
  <c r="O60" i="1"/>
  <c r="U59" i="1"/>
  <c r="T59" i="1"/>
  <c r="S59" i="1"/>
  <c r="R59" i="1"/>
  <c r="Q59" i="1"/>
  <c r="P59" i="1"/>
  <c r="O59" i="1"/>
  <c r="U58" i="1"/>
  <c r="T58" i="1"/>
  <c r="S58" i="1"/>
  <c r="R58" i="1"/>
  <c r="Q58" i="1"/>
  <c r="P58" i="1"/>
  <c r="O58" i="1"/>
  <c r="U57" i="1"/>
  <c r="T57" i="1"/>
  <c r="S57" i="1"/>
  <c r="R57" i="1"/>
  <c r="Q57" i="1"/>
  <c r="P57" i="1"/>
  <c r="O57" i="1"/>
  <c r="U56" i="1"/>
  <c r="T56" i="1"/>
  <c r="S56" i="1"/>
  <c r="R56" i="1"/>
  <c r="Q56" i="1"/>
  <c r="P56" i="1"/>
  <c r="O56" i="1"/>
  <c r="U55" i="1"/>
  <c r="T55" i="1"/>
  <c r="S55" i="1"/>
  <c r="R55" i="1"/>
  <c r="Q55" i="1"/>
  <c r="P55" i="1"/>
  <c r="O55" i="1"/>
  <c r="U54" i="1"/>
  <c r="T54" i="1"/>
  <c r="S54" i="1"/>
  <c r="R54" i="1"/>
  <c r="Q54" i="1"/>
  <c r="P54" i="1"/>
  <c r="O54" i="1"/>
  <c r="U53" i="1"/>
  <c r="T53" i="1"/>
  <c r="S53" i="1"/>
  <c r="R53" i="1"/>
  <c r="Q53" i="1"/>
  <c r="P53" i="1"/>
  <c r="O53" i="1"/>
  <c r="U52" i="1"/>
  <c r="T52" i="1"/>
  <c r="S52" i="1"/>
  <c r="R52" i="1"/>
  <c r="Q52" i="1"/>
  <c r="P52" i="1"/>
  <c r="O52" i="1"/>
  <c r="U51" i="1"/>
  <c r="T51" i="1"/>
  <c r="S51" i="1"/>
  <c r="R51" i="1"/>
  <c r="Q51" i="1"/>
  <c r="P51" i="1"/>
  <c r="O51" i="1"/>
  <c r="U50" i="1"/>
  <c r="T50" i="1"/>
  <c r="S50" i="1"/>
  <c r="R50" i="1"/>
  <c r="Q50" i="1"/>
  <c r="P50" i="1"/>
  <c r="O50" i="1"/>
  <c r="U49" i="1"/>
  <c r="T49" i="1"/>
  <c r="S49" i="1"/>
  <c r="R49" i="1"/>
  <c r="Q49" i="1"/>
  <c r="P49" i="1"/>
  <c r="O49" i="1"/>
  <c r="U48" i="1"/>
  <c r="T48" i="1"/>
  <c r="S48" i="1"/>
  <c r="R48" i="1"/>
  <c r="Q48" i="1"/>
  <c r="P48" i="1"/>
  <c r="O48" i="1"/>
  <c r="U47" i="1"/>
  <c r="T47" i="1"/>
  <c r="S47" i="1"/>
  <c r="R47" i="1"/>
  <c r="Q47" i="1"/>
  <c r="P47" i="1"/>
  <c r="O47" i="1"/>
  <c r="U46" i="1"/>
  <c r="T46" i="1"/>
  <c r="S46" i="1"/>
  <c r="R46" i="1"/>
  <c r="Q46" i="1"/>
  <c r="P46" i="1"/>
  <c r="O46" i="1"/>
  <c r="U45" i="1"/>
  <c r="T45" i="1"/>
  <c r="S45" i="1"/>
  <c r="R45" i="1"/>
  <c r="Q45" i="1"/>
  <c r="P45" i="1"/>
  <c r="O45" i="1"/>
  <c r="U44" i="1"/>
  <c r="T44" i="1"/>
  <c r="S44" i="1"/>
  <c r="R44" i="1"/>
  <c r="Q44" i="1"/>
  <c r="P44" i="1"/>
  <c r="O44" i="1"/>
  <c r="U43" i="1"/>
  <c r="T43" i="1"/>
  <c r="S43" i="1"/>
  <c r="R43" i="1"/>
  <c r="Q43" i="1"/>
  <c r="P43" i="1"/>
  <c r="O43" i="1"/>
  <c r="U42" i="1"/>
  <c r="T42" i="1"/>
  <c r="S42" i="1"/>
  <c r="R42" i="1"/>
  <c r="Q42" i="1"/>
  <c r="P42" i="1"/>
  <c r="O42" i="1"/>
  <c r="U41" i="1"/>
  <c r="T41" i="1"/>
  <c r="S41" i="1"/>
  <c r="R41" i="1"/>
  <c r="Q41" i="1"/>
  <c r="P41" i="1"/>
  <c r="O41" i="1"/>
  <c r="U40" i="1"/>
  <c r="T40" i="1"/>
  <c r="S40" i="1"/>
  <c r="R40" i="1"/>
  <c r="Q40" i="1"/>
  <c r="P40" i="1"/>
  <c r="O40" i="1"/>
  <c r="U39" i="1"/>
  <c r="T39" i="1"/>
  <c r="S39" i="1"/>
  <c r="R39" i="1"/>
  <c r="Q39" i="1"/>
  <c r="P39" i="1"/>
  <c r="O39" i="1"/>
  <c r="U38" i="1"/>
  <c r="T38" i="1"/>
  <c r="S38" i="1"/>
  <c r="R38" i="1"/>
  <c r="Q38" i="1"/>
  <c r="P38" i="1"/>
  <c r="O38" i="1"/>
  <c r="U37" i="1"/>
  <c r="T37" i="1"/>
  <c r="S37" i="1"/>
  <c r="R37" i="1"/>
  <c r="Q37" i="1"/>
  <c r="P37" i="1"/>
  <c r="O37" i="1"/>
  <c r="U36" i="1"/>
  <c r="T36" i="1"/>
  <c r="S36" i="1"/>
  <c r="R36" i="1"/>
  <c r="Q36" i="1"/>
  <c r="P36" i="1"/>
  <c r="O36" i="1"/>
  <c r="U35" i="1"/>
  <c r="T35" i="1"/>
  <c r="S35" i="1"/>
  <c r="R35" i="1"/>
  <c r="Q35" i="1"/>
  <c r="P35" i="1"/>
  <c r="O35" i="1"/>
  <c r="U34" i="1"/>
  <c r="T34" i="1"/>
  <c r="S34" i="1"/>
  <c r="R34" i="1"/>
  <c r="Q34" i="1"/>
  <c r="P34" i="1"/>
  <c r="O34" i="1"/>
  <c r="U33" i="1"/>
  <c r="T33" i="1"/>
  <c r="S33" i="1"/>
  <c r="R33" i="1"/>
  <c r="Q33" i="1"/>
  <c r="P33" i="1"/>
  <c r="O33" i="1"/>
  <c r="U32" i="1"/>
  <c r="T32" i="1"/>
  <c r="S32" i="1"/>
  <c r="R32" i="1"/>
  <c r="Q32" i="1"/>
  <c r="P32" i="1"/>
  <c r="O32" i="1"/>
  <c r="U31" i="1"/>
  <c r="T31" i="1"/>
  <c r="S31" i="1"/>
  <c r="R31" i="1"/>
  <c r="Q31" i="1"/>
  <c r="P31" i="1"/>
  <c r="O31" i="1"/>
  <c r="U30" i="1"/>
  <c r="T30" i="1"/>
  <c r="S30" i="1"/>
  <c r="R30" i="1"/>
  <c r="Q30" i="1"/>
  <c r="P30" i="1"/>
  <c r="O30" i="1"/>
  <c r="U29" i="1"/>
  <c r="T29" i="1"/>
  <c r="S29" i="1"/>
  <c r="R29" i="1"/>
  <c r="Q29" i="1"/>
  <c r="P29" i="1"/>
  <c r="O29" i="1"/>
  <c r="U28" i="1"/>
  <c r="T28" i="1"/>
  <c r="S28" i="1"/>
  <c r="R28" i="1"/>
  <c r="Q28" i="1"/>
  <c r="P28" i="1"/>
  <c r="O28" i="1"/>
  <c r="U27" i="1"/>
  <c r="T27" i="1"/>
  <c r="S27" i="1"/>
  <c r="R27" i="1"/>
  <c r="Q27" i="1"/>
  <c r="P27" i="1"/>
  <c r="O27" i="1"/>
  <c r="U26" i="1"/>
  <c r="T26" i="1"/>
  <c r="S26" i="1"/>
  <c r="R26" i="1"/>
  <c r="Q26" i="1"/>
  <c r="P26" i="1"/>
  <c r="O26" i="1"/>
  <c r="U25" i="1"/>
  <c r="T25" i="1"/>
  <c r="S25" i="1"/>
  <c r="R25" i="1"/>
  <c r="Q25" i="1"/>
  <c r="P25" i="1"/>
  <c r="O25" i="1"/>
  <c r="U24" i="1"/>
  <c r="T24" i="1"/>
  <c r="S24" i="1"/>
  <c r="R24" i="1"/>
  <c r="Q24" i="1"/>
  <c r="P24" i="1"/>
  <c r="O24" i="1"/>
  <c r="U23" i="1"/>
  <c r="T23" i="1"/>
  <c r="S23" i="1"/>
  <c r="R23" i="1"/>
  <c r="Q23" i="1"/>
  <c r="P23" i="1"/>
  <c r="O23" i="1"/>
  <c r="U22" i="1"/>
  <c r="T22" i="1"/>
  <c r="S22" i="1"/>
  <c r="R22" i="1"/>
  <c r="Q22" i="1"/>
  <c r="P22" i="1"/>
  <c r="O22" i="1"/>
  <c r="U21" i="1"/>
  <c r="T21" i="1"/>
  <c r="S21" i="1"/>
  <c r="R21" i="1"/>
  <c r="Q21" i="1"/>
  <c r="P21" i="1"/>
  <c r="O21" i="1"/>
  <c r="U20" i="1"/>
  <c r="T20" i="1"/>
  <c r="S20" i="1"/>
  <c r="R20" i="1"/>
  <c r="Q20" i="1"/>
  <c r="P20" i="1"/>
  <c r="O20" i="1"/>
  <c r="U19" i="1"/>
  <c r="T19" i="1"/>
  <c r="S19" i="1"/>
  <c r="R19" i="1"/>
  <c r="Q19" i="1"/>
  <c r="P19" i="1"/>
  <c r="O19" i="1"/>
  <c r="U18" i="1"/>
  <c r="T18" i="1"/>
  <c r="S18" i="1"/>
  <c r="R18" i="1"/>
  <c r="Q18" i="1"/>
  <c r="P18" i="1"/>
  <c r="O18" i="1"/>
  <c r="U17" i="1"/>
  <c r="T17" i="1"/>
  <c r="S17" i="1"/>
  <c r="R17" i="1"/>
  <c r="Q17" i="1"/>
  <c r="P17" i="1"/>
  <c r="O17" i="1"/>
  <c r="U16" i="1"/>
  <c r="T16" i="1"/>
  <c r="S16" i="1"/>
  <c r="R16" i="1"/>
  <c r="Q16" i="1"/>
  <c r="P16" i="1"/>
  <c r="O16" i="1"/>
  <c r="U15" i="1"/>
  <c r="T15" i="1"/>
  <c r="S15" i="1"/>
  <c r="R15" i="1"/>
  <c r="Q15" i="1"/>
  <c r="P15" i="1"/>
  <c r="O15" i="1"/>
  <c r="U14" i="1"/>
  <c r="T14" i="1"/>
  <c r="S14" i="1"/>
  <c r="R14" i="1"/>
  <c r="Q14" i="1"/>
  <c r="P14" i="1"/>
  <c r="O14" i="1"/>
  <c r="U13" i="1"/>
  <c r="T13" i="1"/>
  <c r="S13" i="1"/>
  <c r="R13" i="1"/>
  <c r="Q13" i="1"/>
  <c r="P13" i="1"/>
  <c r="O13" i="1"/>
  <c r="U12" i="1"/>
  <c r="T12" i="1"/>
  <c r="S12" i="1"/>
  <c r="R12" i="1"/>
  <c r="Q12" i="1"/>
  <c r="P12" i="1"/>
  <c r="O12" i="1"/>
  <c r="U11" i="1"/>
  <c r="T11" i="1"/>
  <c r="S11" i="1"/>
  <c r="R11" i="1"/>
  <c r="Q11" i="1"/>
  <c r="P11" i="1"/>
  <c r="O11" i="1"/>
  <c r="U10" i="1"/>
  <c r="T10" i="1"/>
  <c r="S10" i="1"/>
  <c r="R10" i="1"/>
  <c r="Q10" i="1"/>
  <c r="P10" i="1"/>
  <c r="O10" i="1"/>
  <c r="U9" i="1"/>
  <c r="T9" i="1"/>
  <c r="S9" i="1"/>
  <c r="R9" i="1"/>
  <c r="Q9" i="1"/>
  <c r="P9" i="1"/>
  <c r="O9" i="1"/>
  <c r="U8" i="1"/>
  <c r="T8" i="1"/>
  <c r="S8" i="1"/>
  <c r="R8" i="1"/>
  <c r="Q8" i="1"/>
  <c r="P8" i="1"/>
  <c r="O8" i="1"/>
  <c r="U7" i="1"/>
  <c r="T7" i="1"/>
  <c r="S7" i="1"/>
  <c r="R7" i="1"/>
  <c r="Q7" i="1"/>
  <c r="P7" i="1"/>
  <c r="O7" i="1"/>
  <c r="U6" i="1"/>
  <c r="T6" i="1"/>
  <c r="S6" i="1"/>
  <c r="R6" i="1"/>
  <c r="Q6" i="1"/>
  <c r="P6" i="1"/>
  <c r="O6" i="1"/>
  <c r="U5" i="1"/>
  <c r="T5" i="1"/>
  <c r="S5" i="1"/>
  <c r="R5" i="1"/>
  <c r="Q5" i="1"/>
  <c r="P5" i="1"/>
  <c r="O5" i="1"/>
  <c r="U4" i="1"/>
  <c r="T4" i="1"/>
  <c r="S4" i="1"/>
  <c r="R4" i="1"/>
  <c r="Q4" i="1"/>
  <c r="P4" i="1"/>
  <c r="O4" i="1"/>
  <c r="U3" i="1"/>
  <c r="T3" i="1"/>
  <c r="S3" i="1"/>
  <c r="R3" i="1"/>
  <c r="Q3" i="1"/>
  <c r="P3" i="1"/>
  <c r="O3" i="1"/>
  <c r="U2" i="1"/>
  <c r="T2" i="1"/>
  <c r="S2" i="1"/>
  <c r="R2" i="1"/>
  <c r="Q2" i="1"/>
  <c r="P2" i="1"/>
  <c r="O2" i="1"/>
  <c r="N317" i="1"/>
  <c r="M317" i="1"/>
  <c r="L317" i="1"/>
  <c r="K317" i="1"/>
  <c r="N316" i="1"/>
  <c r="M316" i="1"/>
  <c r="L316" i="1"/>
  <c r="K316" i="1"/>
  <c r="N315" i="1"/>
  <c r="M315" i="1"/>
  <c r="L315" i="1"/>
  <c r="K315" i="1"/>
  <c r="N314" i="1"/>
  <c r="M314" i="1"/>
  <c r="L314" i="1"/>
  <c r="K314" i="1"/>
  <c r="N313" i="1"/>
  <c r="M313" i="1"/>
  <c r="L313" i="1"/>
  <c r="K313" i="1"/>
  <c r="N312" i="1"/>
  <c r="M312" i="1"/>
  <c r="L312" i="1"/>
  <c r="K312" i="1"/>
  <c r="N311" i="1"/>
  <c r="M311" i="1"/>
  <c r="L311" i="1"/>
  <c r="K311" i="1"/>
  <c r="N310" i="1"/>
  <c r="M310" i="1"/>
  <c r="L310" i="1"/>
  <c r="K310" i="1"/>
  <c r="N309" i="1"/>
  <c r="M309" i="1"/>
  <c r="L309" i="1"/>
  <c r="K309" i="1"/>
  <c r="N308" i="1"/>
  <c r="M308" i="1"/>
  <c r="L308" i="1"/>
  <c r="K308" i="1"/>
  <c r="N307" i="1"/>
  <c r="M307" i="1"/>
  <c r="L307" i="1"/>
  <c r="K307" i="1"/>
  <c r="N306" i="1"/>
  <c r="M306" i="1"/>
  <c r="L306" i="1"/>
  <c r="K306" i="1"/>
  <c r="N305" i="1"/>
  <c r="M305" i="1"/>
  <c r="L305" i="1"/>
  <c r="K305" i="1"/>
  <c r="N304" i="1"/>
  <c r="M304" i="1"/>
  <c r="L304" i="1"/>
  <c r="K304" i="1"/>
  <c r="N303" i="1"/>
  <c r="M303" i="1"/>
  <c r="L303" i="1"/>
  <c r="K303" i="1"/>
  <c r="N302" i="1"/>
  <c r="M302" i="1"/>
  <c r="L302" i="1"/>
  <c r="K302" i="1"/>
  <c r="N301" i="1"/>
  <c r="M301" i="1"/>
  <c r="L301" i="1"/>
  <c r="K301" i="1"/>
  <c r="N300" i="1"/>
  <c r="M300" i="1"/>
  <c r="L300" i="1"/>
  <c r="K300" i="1"/>
  <c r="N299" i="1"/>
  <c r="M299" i="1"/>
  <c r="L299" i="1"/>
  <c r="K299" i="1"/>
  <c r="N298" i="1"/>
  <c r="M298" i="1"/>
  <c r="L298" i="1"/>
  <c r="K298" i="1"/>
  <c r="N297" i="1"/>
  <c r="M297" i="1"/>
  <c r="L297" i="1"/>
  <c r="K297" i="1"/>
  <c r="N296" i="1"/>
  <c r="M296" i="1"/>
  <c r="L296" i="1"/>
  <c r="K296" i="1"/>
  <c r="N295" i="1"/>
  <c r="M295" i="1"/>
  <c r="L295" i="1"/>
  <c r="K295" i="1"/>
  <c r="N294" i="1"/>
  <c r="M294" i="1"/>
  <c r="L294" i="1"/>
  <c r="K294" i="1"/>
  <c r="N289" i="1"/>
  <c r="M289" i="1"/>
  <c r="L289" i="1"/>
  <c r="K289" i="1"/>
  <c r="N288" i="1"/>
  <c r="M288" i="1"/>
  <c r="L288" i="1"/>
  <c r="K288" i="1"/>
  <c r="N287" i="1"/>
  <c r="M287" i="1"/>
  <c r="L287" i="1"/>
  <c r="K287" i="1"/>
  <c r="N286" i="1"/>
  <c r="M286" i="1"/>
  <c r="L286" i="1"/>
  <c r="K286" i="1"/>
  <c r="N285" i="1"/>
  <c r="M285" i="1"/>
  <c r="L285" i="1"/>
  <c r="K285" i="1"/>
  <c r="N284" i="1"/>
  <c r="M284" i="1"/>
  <c r="L284" i="1"/>
  <c r="K284" i="1"/>
  <c r="N283" i="1"/>
  <c r="M283" i="1"/>
  <c r="L283" i="1"/>
  <c r="K283" i="1"/>
  <c r="N282" i="1"/>
  <c r="M282" i="1"/>
  <c r="L282" i="1"/>
  <c r="K282" i="1"/>
  <c r="N281" i="1"/>
  <c r="M281" i="1"/>
  <c r="L281" i="1"/>
  <c r="K281" i="1"/>
  <c r="N280" i="1"/>
  <c r="M280" i="1"/>
  <c r="L280" i="1"/>
  <c r="K280" i="1"/>
  <c r="N279" i="1"/>
  <c r="M279" i="1"/>
  <c r="L279" i="1"/>
  <c r="K279" i="1"/>
  <c r="N278" i="1"/>
  <c r="M278" i="1"/>
  <c r="L278" i="1"/>
  <c r="K278" i="1"/>
  <c r="N277" i="1"/>
  <c r="M277" i="1"/>
  <c r="L277" i="1"/>
  <c r="K277" i="1"/>
  <c r="N276" i="1"/>
  <c r="M276" i="1"/>
  <c r="L276" i="1"/>
  <c r="K276" i="1"/>
  <c r="N275" i="1"/>
  <c r="M275" i="1"/>
  <c r="L275" i="1"/>
  <c r="K275" i="1"/>
  <c r="N274" i="1"/>
  <c r="M274" i="1"/>
  <c r="L274" i="1"/>
  <c r="K274" i="1"/>
  <c r="N273" i="1"/>
  <c r="M273" i="1"/>
  <c r="L273" i="1"/>
  <c r="K273" i="1"/>
  <c r="N272" i="1"/>
  <c r="M272" i="1"/>
  <c r="L272" i="1"/>
  <c r="K272" i="1"/>
  <c r="N271" i="1"/>
  <c r="M271" i="1"/>
  <c r="L271" i="1"/>
  <c r="K271" i="1"/>
  <c r="N270" i="1"/>
  <c r="M270" i="1"/>
  <c r="L270" i="1"/>
  <c r="K270" i="1"/>
  <c r="N269" i="1"/>
  <c r="M269" i="1"/>
  <c r="L269" i="1"/>
  <c r="K269" i="1"/>
  <c r="N268" i="1"/>
  <c r="M268" i="1"/>
  <c r="L268" i="1"/>
  <c r="K268" i="1"/>
  <c r="N267" i="1"/>
  <c r="M267" i="1"/>
  <c r="L267" i="1"/>
  <c r="K267" i="1"/>
  <c r="N266" i="1"/>
  <c r="M266" i="1"/>
  <c r="L266" i="1"/>
  <c r="K266" i="1"/>
  <c r="N265" i="1"/>
  <c r="M265" i="1"/>
  <c r="L265" i="1"/>
  <c r="K265" i="1"/>
  <c r="N264" i="1"/>
  <c r="M264" i="1"/>
  <c r="L264" i="1"/>
  <c r="K264" i="1"/>
  <c r="N263" i="1"/>
  <c r="M263" i="1"/>
  <c r="L263" i="1"/>
  <c r="K263" i="1"/>
  <c r="N262" i="1"/>
  <c r="M262" i="1"/>
  <c r="L262" i="1"/>
  <c r="K262" i="1"/>
  <c r="N261" i="1"/>
  <c r="M261" i="1"/>
  <c r="L261" i="1"/>
  <c r="K261" i="1"/>
  <c r="N260" i="1"/>
  <c r="M260" i="1"/>
  <c r="L260" i="1"/>
  <c r="K260" i="1"/>
  <c r="N259" i="1"/>
  <c r="M259" i="1"/>
  <c r="L259" i="1"/>
  <c r="K259" i="1"/>
  <c r="N258" i="1"/>
  <c r="M258" i="1"/>
  <c r="L258" i="1"/>
  <c r="K258" i="1"/>
  <c r="N257" i="1"/>
  <c r="M257" i="1"/>
  <c r="L257" i="1"/>
  <c r="K257" i="1"/>
  <c r="N256" i="1"/>
  <c r="M256" i="1"/>
  <c r="L256" i="1"/>
  <c r="K256" i="1"/>
  <c r="N255" i="1"/>
  <c r="M255" i="1"/>
  <c r="L255" i="1"/>
  <c r="K255" i="1"/>
  <c r="N254" i="1"/>
  <c r="M254" i="1"/>
  <c r="L254" i="1"/>
  <c r="K254" i="1"/>
  <c r="N253" i="1"/>
  <c r="M253" i="1"/>
  <c r="L253" i="1"/>
  <c r="K253" i="1"/>
  <c r="N252" i="1"/>
  <c r="M252" i="1"/>
  <c r="L252" i="1"/>
  <c r="K252" i="1"/>
  <c r="N251" i="1"/>
  <c r="M251" i="1"/>
  <c r="L251" i="1"/>
  <c r="K251" i="1"/>
  <c r="N250" i="1"/>
  <c r="M250" i="1"/>
  <c r="L250" i="1"/>
  <c r="K250" i="1"/>
  <c r="N249" i="1"/>
  <c r="M249" i="1"/>
  <c r="L249" i="1"/>
  <c r="K249" i="1"/>
  <c r="N248" i="1"/>
  <c r="M248" i="1"/>
  <c r="L248" i="1"/>
  <c r="K248" i="1"/>
  <c r="N247" i="1"/>
  <c r="M247" i="1"/>
  <c r="L247" i="1"/>
  <c r="K247" i="1"/>
  <c r="N246" i="1"/>
  <c r="M246" i="1"/>
  <c r="L246" i="1"/>
  <c r="K246" i="1"/>
  <c r="N245" i="1"/>
  <c r="M245" i="1"/>
  <c r="L245" i="1"/>
  <c r="K245" i="1"/>
  <c r="N244" i="1"/>
  <c r="M244" i="1"/>
  <c r="L244" i="1"/>
  <c r="K244" i="1"/>
  <c r="N243" i="1"/>
  <c r="M243" i="1"/>
  <c r="L243" i="1"/>
  <c r="K243" i="1"/>
  <c r="N242" i="1"/>
  <c r="M242" i="1"/>
  <c r="L242" i="1"/>
  <c r="K242" i="1"/>
  <c r="N241" i="1"/>
  <c r="M241" i="1"/>
  <c r="L241" i="1"/>
  <c r="K241" i="1"/>
  <c r="N240" i="1"/>
  <c r="M240" i="1"/>
  <c r="L240" i="1"/>
  <c r="K240" i="1"/>
  <c r="N239" i="1"/>
  <c r="M239" i="1"/>
  <c r="L239" i="1"/>
  <c r="K239" i="1"/>
  <c r="N238" i="1"/>
  <c r="M238" i="1"/>
  <c r="L238" i="1"/>
  <c r="K238" i="1"/>
  <c r="N237" i="1"/>
  <c r="M237" i="1"/>
  <c r="L237" i="1"/>
  <c r="K237" i="1"/>
  <c r="N236" i="1"/>
  <c r="M236" i="1"/>
  <c r="L236" i="1"/>
  <c r="K236" i="1"/>
  <c r="N235" i="1"/>
  <c r="M235" i="1"/>
  <c r="L235" i="1"/>
  <c r="K235" i="1"/>
  <c r="N234" i="1"/>
  <c r="M234" i="1"/>
  <c r="L234" i="1"/>
  <c r="K234" i="1"/>
  <c r="N233" i="1"/>
  <c r="M233" i="1"/>
  <c r="L233" i="1"/>
  <c r="K233" i="1"/>
  <c r="N232" i="1"/>
  <c r="M232" i="1"/>
  <c r="L232" i="1"/>
  <c r="K232" i="1"/>
  <c r="N231" i="1"/>
  <c r="M231" i="1"/>
  <c r="L231" i="1"/>
  <c r="K231" i="1"/>
  <c r="N230" i="1"/>
  <c r="M230" i="1"/>
  <c r="L230" i="1"/>
  <c r="K230" i="1"/>
  <c r="N229" i="1"/>
  <c r="M229" i="1"/>
  <c r="L229" i="1"/>
  <c r="K229" i="1"/>
  <c r="N228" i="1"/>
  <c r="M228" i="1"/>
  <c r="L228" i="1"/>
  <c r="K228" i="1"/>
  <c r="N227" i="1"/>
  <c r="M227" i="1"/>
  <c r="L227" i="1"/>
  <c r="K227" i="1"/>
  <c r="N226" i="1"/>
  <c r="M226" i="1"/>
  <c r="L226" i="1"/>
  <c r="K226" i="1"/>
  <c r="N225" i="1"/>
  <c r="M225" i="1"/>
  <c r="L225" i="1"/>
  <c r="K225" i="1"/>
  <c r="N224" i="1"/>
  <c r="M224" i="1"/>
  <c r="L224" i="1"/>
  <c r="K224" i="1"/>
  <c r="N223" i="1"/>
  <c r="M223" i="1"/>
  <c r="L223" i="1"/>
  <c r="K223" i="1"/>
  <c r="N222" i="1"/>
  <c r="M222" i="1"/>
  <c r="L222" i="1"/>
  <c r="K222" i="1"/>
  <c r="N221" i="1"/>
  <c r="M221" i="1"/>
  <c r="L221" i="1"/>
  <c r="K221" i="1"/>
  <c r="N220" i="1"/>
  <c r="M220" i="1"/>
  <c r="L220" i="1"/>
  <c r="K220" i="1"/>
  <c r="N219" i="1"/>
  <c r="M219" i="1"/>
  <c r="L219" i="1"/>
  <c r="K219" i="1"/>
  <c r="N218" i="1"/>
  <c r="M218" i="1"/>
  <c r="L218" i="1"/>
  <c r="K218" i="1"/>
  <c r="N217" i="1"/>
  <c r="M217" i="1"/>
  <c r="L217" i="1"/>
  <c r="K217" i="1"/>
  <c r="N216" i="1"/>
  <c r="M216" i="1"/>
  <c r="L216" i="1"/>
  <c r="K216" i="1"/>
  <c r="N215" i="1"/>
  <c r="M215" i="1"/>
  <c r="L215" i="1"/>
  <c r="K215" i="1"/>
  <c r="N214" i="1"/>
  <c r="M214" i="1"/>
  <c r="L214" i="1"/>
  <c r="K214" i="1"/>
  <c r="N213" i="1"/>
  <c r="M213" i="1"/>
  <c r="L213" i="1"/>
  <c r="K213" i="1"/>
  <c r="N212" i="1"/>
  <c r="M212" i="1"/>
  <c r="L212" i="1"/>
  <c r="K212" i="1"/>
  <c r="N211" i="1"/>
  <c r="M211" i="1"/>
  <c r="L211" i="1"/>
  <c r="K211" i="1"/>
  <c r="N210" i="1"/>
  <c r="M210" i="1"/>
  <c r="L210" i="1"/>
  <c r="K210" i="1"/>
  <c r="N209" i="1"/>
  <c r="M209" i="1"/>
  <c r="L209" i="1"/>
  <c r="K209" i="1"/>
  <c r="N208" i="1"/>
  <c r="M208" i="1"/>
  <c r="L208" i="1"/>
  <c r="K208" i="1"/>
  <c r="N207" i="1"/>
  <c r="M207" i="1"/>
  <c r="L207" i="1"/>
  <c r="K207" i="1"/>
  <c r="N206" i="1"/>
  <c r="M206" i="1"/>
  <c r="L206" i="1"/>
  <c r="K206" i="1"/>
  <c r="N205" i="1"/>
  <c r="M205" i="1"/>
  <c r="L205" i="1"/>
  <c r="K205" i="1"/>
  <c r="N204" i="1"/>
  <c r="M204" i="1"/>
  <c r="L204" i="1"/>
  <c r="K204" i="1"/>
  <c r="N203" i="1"/>
  <c r="M203" i="1"/>
  <c r="L203" i="1"/>
  <c r="K203" i="1"/>
  <c r="N202" i="1"/>
  <c r="M202" i="1"/>
  <c r="L202" i="1"/>
  <c r="K202" i="1"/>
  <c r="N201" i="1"/>
  <c r="M201" i="1"/>
  <c r="L201" i="1"/>
  <c r="K201" i="1"/>
  <c r="N200" i="1"/>
  <c r="M200" i="1"/>
  <c r="L200" i="1"/>
  <c r="K200" i="1"/>
  <c r="N199" i="1"/>
  <c r="M199" i="1"/>
  <c r="L199" i="1"/>
  <c r="K199" i="1"/>
  <c r="N198" i="1"/>
  <c r="M198" i="1"/>
  <c r="L198" i="1"/>
  <c r="K198" i="1"/>
  <c r="N197" i="1"/>
  <c r="M197" i="1"/>
  <c r="L197" i="1"/>
  <c r="K197" i="1"/>
  <c r="N196" i="1"/>
  <c r="M196" i="1"/>
  <c r="L196" i="1"/>
  <c r="K196" i="1"/>
  <c r="N195" i="1"/>
  <c r="M195" i="1"/>
  <c r="L195" i="1"/>
  <c r="K195" i="1"/>
  <c r="N194" i="1"/>
  <c r="M194" i="1"/>
  <c r="L194" i="1"/>
  <c r="K194" i="1"/>
  <c r="N193" i="1"/>
  <c r="M193" i="1"/>
  <c r="L193" i="1"/>
  <c r="K193" i="1"/>
  <c r="N192" i="1"/>
  <c r="M192" i="1"/>
  <c r="L192" i="1"/>
  <c r="K192" i="1"/>
  <c r="N191" i="1"/>
  <c r="M191" i="1"/>
  <c r="L191" i="1"/>
  <c r="K191" i="1"/>
  <c r="N190" i="1"/>
  <c r="M190" i="1"/>
  <c r="L190" i="1"/>
  <c r="K190" i="1"/>
  <c r="N189" i="1"/>
  <c r="M189" i="1"/>
  <c r="L189" i="1"/>
  <c r="K189" i="1"/>
  <c r="N188" i="1"/>
  <c r="M188" i="1"/>
  <c r="L188" i="1"/>
  <c r="K188" i="1"/>
  <c r="N187" i="1"/>
  <c r="M187" i="1"/>
  <c r="L187" i="1"/>
  <c r="K187" i="1"/>
  <c r="N186" i="1"/>
  <c r="M186" i="1"/>
  <c r="L186" i="1"/>
  <c r="K186" i="1"/>
  <c r="N185" i="1"/>
  <c r="M185" i="1"/>
  <c r="L185" i="1"/>
  <c r="K185" i="1"/>
  <c r="N184" i="1"/>
  <c r="M184" i="1"/>
  <c r="L184" i="1"/>
  <c r="K184" i="1"/>
  <c r="N183" i="1"/>
  <c r="M183" i="1"/>
  <c r="L183" i="1"/>
  <c r="K183" i="1"/>
  <c r="N182" i="1"/>
  <c r="M182" i="1"/>
  <c r="L182" i="1"/>
  <c r="K182" i="1"/>
  <c r="N181" i="1"/>
  <c r="M181" i="1"/>
  <c r="L181" i="1"/>
  <c r="K181" i="1"/>
  <c r="N180" i="1"/>
  <c r="M180" i="1"/>
  <c r="L180" i="1"/>
  <c r="K180" i="1"/>
  <c r="N179" i="1"/>
  <c r="M179" i="1"/>
  <c r="L179" i="1"/>
  <c r="K179" i="1"/>
  <c r="N178" i="1"/>
  <c r="M178" i="1"/>
  <c r="L178" i="1"/>
  <c r="K178" i="1"/>
  <c r="N177" i="1"/>
  <c r="M177" i="1"/>
  <c r="L177" i="1"/>
  <c r="K177" i="1"/>
  <c r="N176" i="1"/>
  <c r="M176" i="1"/>
  <c r="L176" i="1"/>
  <c r="K176" i="1"/>
  <c r="N175" i="1"/>
  <c r="M175" i="1"/>
  <c r="L175" i="1"/>
  <c r="K175" i="1"/>
  <c r="N174" i="1"/>
  <c r="M174" i="1"/>
  <c r="L174" i="1"/>
  <c r="K174" i="1"/>
  <c r="N173" i="1"/>
  <c r="M173" i="1"/>
  <c r="L173" i="1"/>
  <c r="K173" i="1"/>
  <c r="N172" i="1"/>
  <c r="M172" i="1"/>
  <c r="L172" i="1"/>
  <c r="K172" i="1"/>
  <c r="N171" i="1"/>
  <c r="M171" i="1"/>
  <c r="L171" i="1"/>
  <c r="K171" i="1"/>
  <c r="N170" i="1"/>
  <c r="M170" i="1"/>
  <c r="L170" i="1"/>
  <c r="K170" i="1"/>
  <c r="N169" i="1"/>
  <c r="M169" i="1"/>
  <c r="L169" i="1"/>
  <c r="K169" i="1"/>
  <c r="N168" i="1"/>
  <c r="M168" i="1"/>
  <c r="L168" i="1"/>
  <c r="K168" i="1"/>
  <c r="N167" i="1"/>
  <c r="M167" i="1"/>
  <c r="L167" i="1"/>
  <c r="K167" i="1"/>
  <c r="N166" i="1"/>
  <c r="M166" i="1"/>
  <c r="L166" i="1"/>
  <c r="K166" i="1"/>
  <c r="N165" i="1"/>
  <c r="M165" i="1"/>
  <c r="L165" i="1"/>
  <c r="K165" i="1"/>
  <c r="N164" i="1"/>
  <c r="M164" i="1"/>
  <c r="L164" i="1"/>
  <c r="K164" i="1"/>
  <c r="N163" i="1"/>
  <c r="M163" i="1"/>
  <c r="L163" i="1"/>
  <c r="K163" i="1"/>
  <c r="N162" i="1"/>
  <c r="M162" i="1"/>
  <c r="L162" i="1"/>
  <c r="K162" i="1"/>
  <c r="N161" i="1"/>
  <c r="M161" i="1"/>
  <c r="L161" i="1"/>
  <c r="K161" i="1"/>
  <c r="N160" i="1"/>
  <c r="M160" i="1"/>
  <c r="L160" i="1"/>
  <c r="K160" i="1"/>
  <c r="N159" i="1"/>
  <c r="M159" i="1"/>
  <c r="L159" i="1"/>
  <c r="K159" i="1"/>
  <c r="N158" i="1"/>
  <c r="M158" i="1"/>
  <c r="L158" i="1"/>
  <c r="K158" i="1"/>
  <c r="N157" i="1"/>
  <c r="M157" i="1"/>
  <c r="L157" i="1"/>
  <c r="K157" i="1"/>
  <c r="N156" i="1"/>
  <c r="M156" i="1"/>
  <c r="L156" i="1"/>
  <c r="K156" i="1"/>
  <c r="N155" i="1"/>
  <c r="M155" i="1"/>
  <c r="L155" i="1"/>
  <c r="K155" i="1"/>
  <c r="N154" i="1"/>
  <c r="M154" i="1"/>
  <c r="L154" i="1"/>
  <c r="K154" i="1"/>
  <c r="N153" i="1"/>
  <c r="M153" i="1"/>
  <c r="L153" i="1"/>
  <c r="K153" i="1"/>
  <c r="N152" i="1"/>
  <c r="M152" i="1"/>
  <c r="L152" i="1"/>
  <c r="K152" i="1"/>
  <c r="N151" i="1"/>
  <c r="M151" i="1"/>
  <c r="L151" i="1"/>
  <c r="K151" i="1"/>
  <c r="N150" i="1"/>
  <c r="M150" i="1"/>
  <c r="L150" i="1"/>
  <c r="K150" i="1"/>
  <c r="N149" i="1"/>
  <c r="M149" i="1"/>
  <c r="L149" i="1"/>
  <c r="K149" i="1"/>
  <c r="N148" i="1"/>
  <c r="M148" i="1"/>
  <c r="L148" i="1"/>
  <c r="K148" i="1"/>
  <c r="N147" i="1"/>
  <c r="M147" i="1"/>
  <c r="L147" i="1"/>
  <c r="K147" i="1"/>
  <c r="N146" i="1"/>
  <c r="M146" i="1"/>
  <c r="L146" i="1"/>
  <c r="K146" i="1"/>
  <c r="N145" i="1"/>
  <c r="M145" i="1"/>
  <c r="L145" i="1"/>
  <c r="K145" i="1"/>
  <c r="N144" i="1"/>
  <c r="M144" i="1"/>
  <c r="L144" i="1"/>
  <c r="K144" i="1"/>
  <c r="N143" i="1"/>
  <c r="M143" i="1"/>
  <c r="L143" i="1"/>
  <c r="K143" i="1"/>
  <c r="N142" i="1"/>
  <c r="M142" i="1"/>
  <c r="L142" i="1"/>
  <c r="K142" i="1"/>
  <c r="N141" i="1"/>
  <c r="M141" i="1"/>
  <c r="L141" i="1"/>
  <c r="K141" i="1"/>
  <c r="N140" i="1"/>
  <c r="M140" i="1"/>
  <c r="L140" i="1"/>
  <c r="K140" i="1"/>
  <c r="N139" i="1"/>
  <c r="M139" i="1"/>
  <c r="L139" i="1"/>
  <c r="K139" i="1"/>
  <c r="N138" i="1"/>
  <c r="M138" i="1"/>
  <c r="L138" i="1"/>
  <c r="K138" i="1"/>
  <c r="N137" i="1"/>
  <c r="M137" i="1"/>
  <c r="L137" i="1"/>
  <c r="K137" i="1"/>
  <c r="N136" i="1"/>
  <c r="M136" i="1"/>
  <c r="L136" i="1"/>
  <c r="K136" i="1"/>
  <c r="N135" i="1"/>
  <c r="M135" i="1"/>
  <c r="L135" i="1"/>
  <c r="K135" i="1"/>
  <c r="N134" i="1"/>
  <c r="M134" i="1"/>
  <c r="L134" i="1"/>
  <c r="K134" i="1"/>
  <c r="N133" i="1"/>
  <c r="M133" i="1"/>
  <c r="L133" i="1"/>
  <c r="K133" i="1"/>
  <c r="N132" i="1"/>
  <c r="M132" i="1"/>
  <c r="L132" i="1"/>
  <c r="K132" i="1"/>
  <c r="N131" i="1"/>
  <c r="M131" i="1"/>
  <c r="L131" i="1"/>
  <c r="K131" i="1"/>
  <c r="N130" i="1"/>
  <c r="M130" i="1"/>
  <c r="L130" i="1"/>
  <c r="K130" i="1"/>
  <c r="N129" i="1"/>
  <c r="M129" i="1"/>
  <c r="L129" i="1"/>
  <c r="K129" i="1"/>
  <c r="N128" i="1"/>
  <c r="M128" i="1"/>
  <c r="L128" i="1"/>
  <c r="K128" i="1"/>
  <c r="N127" i="1"/>
  <c r="M127" i="1"/>
  <c r="L127" i="1"/>
  <c r="K127" i="1"/>
  <c r="N126" i="1"/>
  <c r="M126" i="1"/>
  <c r="L126" i="1"/>
  <c r="K126" i="1"/>
  <c r="N125" i="1"/>
  <c r="M125" i="1"/>
  <c r="L125" i="1"/>
  <c r="K125" i="1"/>
  <c r="N124" i="1"/>
  <c r="M124" i="1"/>
  <c r="L124" i="1"/>
  <c r="K124" i="1"/>
  <c r="N123" i="1"/>
  <c r="M123" i="1"/>
  <c r="L123" i="1"/>
  <c r="K123" i="1"/>
  <c r="N122" i="1"/>
  <c r="M122" i="1"/>
  <c r="L122" i="1"/>
  <c r="K122" i="1"/>
  <c r="N121" i="1"/>
  <c r="M121" i="1"/>
  <c r="L121" i="1"/>
  <c r="K121" i="1"/>
  <c r="N120" i="1"/>
  <c r="M120" i="1"/>
  <c r="L120" i="1"/>
  <c r="K120" i="1"/>
  <c r="N119" i="1"/>
  <c r="M119" i="1"/>
  <c r="L119" i="1"/>
  <c r="K119" i="1"/>
  <c r="N118" i="1"/>
  <c r="M118" i="1"/>
  <c r="L118" i="1"/>
  <c r="K118" i="1"/>
  <c r="N117" i="1"/>
  <c r="M117" i="1"/>
  <c r="L117" i="1"/>
  <c r="K117" i="1"/>
  <c r="N116" i="1"/>
  <c r="M116" i="1"/>
  <c r="L116" i="1"/>
  <c r="K116" i="1"/>
  <c r="N115" i="1"/>
  <c r="M115" i="1"/>
  <c r="L115" i="1"/>
  <c r="K115" i="1"/>
  <c r="N114" i="1"/>
  <c r="M114" i="1"/>
  <c r="L114" i="1"/>
  <c r="K114" i="1"/>
  <c r="N113" i="1"/>
  <c r="M113" i="1"/>
  <c r="L113" i="1"/>
  <c r="K113" i="1"/>
  <c r="N112" i="1"/>
  <c r="M112" i="1"/>
  <c r="L112" i="1"/>
  <c r="K112" i="1"/>
  <c r="N111" i="1"/>
  <c r="M111" i="1"/>
  <c r="L111" i="1"/>
  <c r="K111" i="1"/>
  <c r="N110" i="1"/>
  <c r="M110" i="1"/>
  <c r="L110" i="1"/>
  <c r="K110" i="1"/>
  <c r="N109" i="1"/>
  <c r="M109" i="1"/>
  <c r="L109" i="1"/>
  <c r="K109" i="1"/>
  <c r="N108" i="1"/>
  <c r="M108" i="1"/>
  <c r="L108" i="1"/>
  <c r="K108" i="1"/>
  <c r="N107" i="1"/>
  <c r="M107" i="1"/>
  <c r="L107" i="1"/>
  <c r="K107" i="1"/>
  <c r="N106" i="1"/>
  <c r="M106" i="1"/>
  <c r="L106" i="1"/>
  <c r="K106" i="1"/>
  <c r="N105" i="1"/>
  <c r="M105" i="1"/>
  <c r="L105" i="1"/>
  <c r="K105" i="1"/>
  <c r="N104" i="1"/>
  <c r="M104" i="1"/>
  <c r="L104" i="1"/>
  <c r="K104" i="1"/>
  <c r="N103" i="1"/>
  <c r="M103" i="1"/>
  <c r="L103" i="1"/>
  <c r="K103" i="1"/>
  <c r="N102" i="1"/>
  <c r="M102" i="1"/>
  <c r="L102" i="1"/>
  <c r="K102" i="1"/>
  <c r="N101" i="1"/>
  <c r="M101" i="1"/>
  <c r="L101" i="1"/>
  <c r="K101" i="1"/>
  <c r="N100" i="1"/>
  <c r="M100" i="1"/>
  <c r="L100" i="1"/>
  <c r="K100" i="1"/>
  <c r="N99" i="1"/>
  <c r="M99" i="1"/>
  <c r="L99" i="1"/>
  <c r="K99" i="1"/>
  <c r="N98" i="1"/>
  <c r="M98" i="1"/>
  <c r="L98" i="1"/>
  <c r="K98" i="1"/>
  <c r="N97" i="1"/>
  <c r="M97" i="1"/>
  <c r="L97" i="1"/>
  <c r="K97" i="1"/>
  <c r="N96" i="1"/>
  <c r="M96" i="1"/>
  <c r="L96" i="1"/>
  <c r="K96" i="1"/>
  <c r="N95" i="1"/>
  <c r="M95" i="1"/>
  <c r="L95" i="1"/>
  <c r="K95" i="1"/>
  <c r="N94" i="1"/>
  <c r="M94" i="1"/>
  <c r="L94" i="1"/>
  <c r="K94" i="1"/>
  <c r="N93" i="1"/>
  <c r="M93" i="1"/>
  <c r="L93" i="1"/>
  <c r="K93" i="1"/>
  <c r="N92" i="1"/>
  <c r="M92" i="1"/>
  <c r="L92" i="1"/>
  <c r="K92" i="1"/>
  <c r="N91" i="1"/>
  <c r="M91" i="1"/>
  <c r="L91" i="1"/>
  <c r="K91" i="1"/>
  <c r="N90" i="1"/>
  <c r="M90" i="1"/>
  <c r="L90" i="1"/>
  <c r="K90" i="1"/>
  <c r="N89" i="1"/>
  <c r="M89" i="1"/>
  <c r="L89" i="1"/>
  <c r="K89" i="1"/>
  <c r="N88" i="1"/>
  <c r="M88" i="1"/>
  <c r="L88" i="1"/>
  <c r="K88" i="1"/>
  <c r="N87" i="1"/>
  <c r="M87" i="1"/>
  <c r="L87" i="1"/>
  <c r="K87" i="1"/>
  <c r="N86" i="1"/>
  <c r="M86" i="1"/>
  <c r="L86" i="1"/>
  <c r="K86" i="1"/>
  <c r="N85" i="1"/>
  <c r="M85" i="1"/>
  <c r="L85" i="1"/>
  <c r="K85" i="1"/>
  <c r="N84" i="1"/>
  <c r="M84" i="1"/>
  <c r="L84" i="1"/>
  <c r="K84" i="1"/>
  <c r="N83" i="1"/>
  <c r="M83" i="1"/>
  <c r="L83" i="1"/>
  <c r="K83" i="1"/>
  <c r="N82" i="1"/>
  <c r="M82" i="1"/>
  <c r="L82" i="1"/>
  <c r="K82" i="1"/>
  <c r="N81" i="1"/>
  <c r="M81" i="1"/>
  <c r="L81" i="1"/>
  <c r="K81" i="1"/>
  <c r="N80" i="1"/>
  <c r="M80" i="1"/>
  <c r="L80" i="1"/>
  <c r="K80" i="1"/>
  <c r="N79" i="1"/>
  <c r="M79" i="1"/>
  <c r="L79" i="1"/>
  <c r="K79" i="1"/>
  <c r="N78" i="1"/>
  <c r="M78" i="1"/>
  <c r="L78" i="1"/>
  <c r="K78" i="1"/>
  <c r="N77" i="1"/>
  <c r="M77" i="1"/>
  <c r="L77" i="1"/>
  <c r="K77" i="1"/>
  <c r="N76" i="1"/>
  <c r="M76" i="1"/>
  <c r="L76" i="1"/>
  <c r="K76" i="1"/>
  <c r="N75" i="1"/>
  <c r="M75" i="1"/>
  <c r="L75" i="1"/>
  <c r="K75" i="1"/>
  <c r="N74" i="1"/>
  <c r="M74" i="1"/>
  <c r="L74" i="1"/>
  <c r="K74" i="1"/>
  <c r="N73" i="1"/>
  <c r="M73" i="1"/>
  <c r="L73" i="1"/>
  <c r="K73" i="1"/>
  <c r="N72" i="1"/>
  <c r="M72" i="1"/>
  <c r="L72" i="1"/>
  <c r="K72" i="1"/>
  <c r="N71" i="1"/>
  <c r="M71" i="1"/>
  <c r="L71" i="1"/>
  <c r="K71" i="1"/>
  <c r="N70" i="1"/>
  <c r="M70" i="1"/>
  <c r="L70" i="1"/>
  <c r="K70" i="1"/>
  <c r="N69" i="1"/>
  <c r="M69" i="1"/>
  <c r="L69" i="1"/>
  <c r="K69" i="1"/>
  <c r="N68" i="1"/>
  <c r="M68" i="1"/>
  <c r="L68" i="1"/>
  <c r="K68" i="1"/>
  <c r="N67" i="1"/>
  <c r="M67" i="1"/>
  <c r="L67" i="1"/>
  <c r="K67" i="1"/>
  <c r="N66" i="1"/>
  <c r="M66" i="1"/>
  <c r="L66" i="1"/>
  <c r="K66" i="1"/>
  <c r="N65" i="1"/>
  <c r="M65" i="1"/>
  <c r="L65" i="1"/>
  <c r="K65" i="1"/>
  <c r="N64" i="1"/>
  <c r="M64" i="1"/>
  <c r="L64" i="1"/>
  <c r="K64" i="1"/>
  <c r="N63" i="1"/>
  <c r="M63" i="1"/>
  <c r="L63" i="1"/>
  <c r="K63" i="1"/>
  <c r="N62" i="1"/>
  <c r="M62" i="1"/>
  <c r="L62" i="1"/>
  <c r="K62" i="1"/>
  <c r="N61" i="1"/>
  <c r="M61" i="1"/>
  <c r="L61" i="1"/>
  <c r="K61" i="1"/>
  <c r="N60" i="1"/>
  <c r="M60" i="1"/>
  <c r="L60" i="1"/>
  <c r="K60" i="1"/>
  <c r="N59" i="1"/>
  <c r="M59" i="1"/>
  <c r="L59" i="1"/>
  <c r="K59" i="1"/>
  <c r="N58" i="1"/>
  <c r="M58" i="1"/>
  <c r="L58" i="1"/>
  <c r="K58" i="1"/>
  <c r="N57" i="1"/>
  <c r="M57" i="1"/>
  <c r="L57" i="1"/>
  <c r="K57" i="1"/>
  <c r="N56" i="1"/>
  <c r="M56" i="1"/>
  <c r="L56" i="1"/>
  <c r="K56" i="1"/>
  <c r="N55" i="1"/>
  <c r="M55" i="1"/>
  <c r="L55" i="1"/>
  <c r="K55" i="1"/>
  <c r="N54" i="1"/>
  <c r="M54" i="1"/>
  <c r="L54" i="1"/>
  <c r="K54" i="1"/>
  <c r="N53" i="1"/>
  <c r="M53" i="1"/>
  <c r="L53" i="1"/>
  <c r="K53" i="1"/>
  <c r="N52" i="1"/>
  <c r="M52" i="1"/>
  <c r="L52" i="1"/>
  <c r="K52" i="1"/>
  <c r="N51" i="1"/>
  <c r="M51" i="1"/>
  <c r="L51" i="1"/>
  <c r="K51" i="1"/>
  <c r="N50" i="1"/>
  <c r="M50" i="1"/>
  <c r="L50" i="1"/>
  <c r="K50" i="1"/>
  <c r="N49" i="1"/>
  <c r="M49" i="1"/>
  <c r="L49" i="1"/>
  <c r="K49" i="1"/>
  <c r="N48" i="1"/>
  <c r="M48" i="1"/>
  <c r="L48" i="1"/>
  <c r="K48" i="1"/>
  <c r="N47" i="1"/>
  <c r="M47" i="1"/>
  <c r="L47" i="1"/>
  <c r="K47" i="1"/>
  <c r="N46" i="1"/>
  <c r="M46" i="1"/>
  <c r="L46" i="1"/>
  <c r="K46" i="1"/>
  <c r="N45" i="1"/>
  <c r="M45" i="1"/>
  <c r="L45" i="1"/>
  <c r="K45" i="1"/>
  <c r="N44" i="1"/>
  <c r="M44" i="1"/>
  <c r="L44" i="1"/>
  <c r="K44" i="1"/>
  <c r="N43" i="1"/>
  <c r="M43" i="1"/>
  <c r="L43" i="1"/>
  <c r="K43" i="1"/>
  <c r="N42" i="1"/>
  <c r="M42" i="1"/>
  <c r="L42" i="1"/>
  <c r="K42" i="1"/>
  <c r="N41" i="1"/>
  <c r="M41" i="1"/>
  <c r="L41" i="1"/>
  <c r="K41" i="1"/>
  <c r="N40" i="1"/>
  <c r="M40" i="1"/>
  <c r="L40" i="1"/>
  <c r="K40" i="1"/>
  <c r="N39" i="1"/>
  <c r="M39" i="1"/>
  <c r="L39" i="1"/>
  <c r="K39" i="1"/>
  <c r="N38" i="1"/>
  <c r="M38" i="1"/>
  <c r="L38" i="1"/>
  <c r="K38" i="1"/>
  <c r="N37" i="1"/>
  <c r="M37" i="1"/>
  <c r="L37" i="1"/>
  <c r="K37" i="1"/>
  <c r="N36" i="1"/>
  <c r="M36" i="1"/>
  <c r="L36" i="1"/>
  <c r="K36" i="1"/>
  <c r="N35" i="1"/>
  <c r="M35" i="1"/>
  <c r="L35" i="1"/>
  <c r="K35" i="1"/>
  <c r="N34" i="1"/>
  <c r="M34" i="1"/>
  <c r="L34" i="1"/>
  <c r="K34" i="1"/>
  <c r="N33" i="1"/>
  <c r="M33" i="1"/>
  <c r="L33" i="1"/>
  <c r="K33" i="1"/>
  <c r="N32" i="1"/>
  <c r="M32" i="1"/>
  <c r="L32" i="1"/>
  <c r="K32" i="1"/>
  <c r="N31" i="1"/>
  <c r="M31" i="1"/>
  <c r="L31" i="1"/>
  <c r="K31" i="1"/>
  <c r="N30" i="1"/>
  <c r="M30" i="1"/>
  <c r="L30" i="1"/>
  <c r="K30" i="1"/>
  <c r="N29" i="1"/>
  <c r="M29" i="1"/>
  <c r="L29" i="1"/>
  <c r="K29" i="1"/>
  <c r="N28" i="1"/>
  <c r="M28" i="1"/>
  <c r="L28" i="1"/>
  <c r="K28" i="1"/>
  <c r="N27" i="1"/>
  <c r="M27" i="1"/>
  <c r="L27" i="1"/>
  <c r="K27" i="1"/>
  <c r="N26" i="1"/>
  <c r="M26" i="1"/>
  <c r="L26" i="1"/>
  <c r="K26" i="1"/>
  <c r="N25" i="1"/>
  <c r="M25" i="1"/>
  <c r="L25" i="1"/>
  <c r="K25" i="1"/>
  <c r="N24" i="1"/>
  <c r="M24" i="1"/>
  <c r="L24" i="1"/>
  <c r="K24" i="1"/>
  <c r="N23" i="1"/>
  <c r="M23" i="1"/>
  <c r="L23" i="1"/>
  <c r="K23" i="1"/>
  <c r="N22" i="1"/>
  <c r="M22" i="1"/>
  <c r="L22" i="1"/>
  <c r="K22" i="1"/>
  <c r="N21" i="1"/>
  <c r="M21" i="1"/>
  <c r="L21" i="1"/>
  <c r="K21" i="1"/>
  <c r="N20" i="1"/>
  <c r="M20" i="1"/>
  <c r="L20" i="1"/>
  <c r="K20" i="1"/>
  <c r="N19" i="1"/>
  <c r="M19" i="1"/>
  <c r="L19" i="1"/>
  <c r="K19" i="1"/>
  <c r="N18" i="1"/>
  <c r="M18" i="1"/>
  <c r="L18" i="1"/>
  <c r="K18" i="1"/>
  <c r="N17" i="1"/>
  <c r="M17" i="1"/>
  <c r="L17" i="1"/>
  <c r="K17" i="1"/>
  <c r="N16" i="1"/>
  <c r="M16" i="1"/>
  <c r="L16" i="1"/>
  <c r="K16" i="1"/>
  <c r="N15" i="1"/>
  <c r="M15" i="1"/>
  <c r="L15" i="1"/>
  <c r="K15" i="1"/>
  <c r="N14" i="1"/>
  <c r="M14" i="1"/>
  <c r="L14" i="1"/>
  <c r="K14" i="1"/>
  <c r="N13" i="1"/>
  <c r="M13" i="1"/>
  <c r="L13" i="1"/>
  <c r="K13" i="1"/>
  <c r="N12" i="1"/>
  <c r="M12" i="1"/>
  <c r="L12" i="1"/>
  <c r="K12" i="1"/>
  <c r="N11" i="1"/>
  <c r="M11" i="1"/>
  <c r="L11" i="1"/>
  <c r="K11" i="1"/>
  <c r="N10" i="1"/>
  <c r="M10" i="1"/>
  <c r="L10" i="1"/>
  <c r="K10" i="1"/>
  <c r="N9" i="1"/>
  <c r="M9" i="1"/>
  <c r="L9" i="1"/>
  <c r="K9" i="1"/>
  <c r="N8" i="1"/>
  <c r="M8" i="1"/>
  <c r="L8" i="1"/>
  <c r="K8" i="1"/>
  <c r="N7" i="1"/>
  <c r="M7" i="1"/>
  <c r="L7" i="1"/>
  <c r="K7" i="1"/>
  <c r="N6" i="1"/>
  <c r="M6" i="1"/>
  <c r="L6" i="1"/>
  <c r="K6" i="1"/>
  <c r="N5" i="1"/>
  <c r="M5" i="1"/>
  <c r="L5" i="1"/>
  <c r="K5" i="1"/>
  <c r="N4" i="1"/>
  <c r="M4" i="1"/>
  <c r="L4" i="1"/>
  <c r="K4" i="1"/>
  <c r="N3" i="1"/>
  <c r="M3" i="1"/>
  <c r="L3" i="1"/>
  <c r="K3" i="1"/>
  <c r="N2" i="1"/>
  <c r="M2" i="1"/>
  <c r="L2" i="1"/>
  <c r="K2" i="1"/>
  <c r="V317" i="1"/>
  <c r="V316" i="1"/>
  <c r="Y315" i="1"/>
  <c r="X315" i="1"/>
  <c r="X316" i="1" s="1"/>
  <c r="V315" i="1"/>
  <c r="V314" i="1"/>
  <c r="X313" i="1"/>
  <c r="Y313" i="1" s="1"/>
  <c r="V313" i="1"/>
  <c r="Y312" i="1"/>
  <c r="X312" i="1"/>
  <c r="V312" i="1"/>
  <c r="V311" i="1"/>
  <c r="V310" i="1"/>
  <c r="Y309" i="1"/>
  <c r="X309" i="1"/>
  <c r="X310" i="1" s="1"/>
  <c r="V309" i="1"/>
  <c r="V308" i="1"/>
  <c r="X307" i="1"/>
  <c r="X308" i="1" s="1"/>
  <c r="V307" i="1"/>
  <c r="Y306" i="1"/>
  <c r="X306" i="1"/>
  <c r="V306" i="1"/>
  <c r="V305" i="1"/>
  <c r="V304" i="1"/>
  <c r="Y303" i="1"/>
  <c r="X303" i="1"/>
  <c r="X304" i="1" s="1"/>
  <c r="V303" i="1"/>
  <c r="V302" i="1"/>
  <c r="V301" i="1"/>
  <c r="Y300" i="1"/>
  <c r="X300" i="1"/>
  <c r="X301" i="1" s="1"/>
  <c r="Y301" i="1" s="1"/>
  <c r="V300" i="1"/>
  <c r="V299" i="1"/>
  <c r="X298" i="1"/>
  <c r="V298" i="1"/>
  <c r="Y297" i="1"/>
  <c r="X297" i="1"/>
  <c r="V297" i="1"/>
  <c r="V296" i="1"/>
  <c r="V295" i="1"/>
  <c r="Y294" i="1"/>
  <c r="X294" i="1"/>
  <c r="X295" i="1" s="1"/>
  <c r="X296" i="1" s="1"/>
  <c r="V294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N291" i="1"/>
  <c r="AM291" i="1"/>
  <c r="AL291" i="1"/>
  <c r="AK291" i="1"/>
  <c r="AJ291" i="1"/>
  <c r="AI291" i="1"/>
  <c r="AH291" i="1"/>
  <c r="AG291" i="1"/>
  <c r="AF291" i="1"/>
  <c r="AE291" i="1"/>
  <c r="AD291" i="1"/>
  <c r="AC291" i="1"/>
  <c r="AN290" i="1"/>
  <c r="AM290" i="1"/>
  <c r="AL290" i="1"/>
  <c r="AK290" i="1"/>
  <c r="AJ290" i="1"/>
  <c r="AI290" i="1"/>
  <c r="AH290" i="1"/>
  <c r="AG290" i="1"/>
  <c r="AF290" i="1"/>
  <c r="AE290" i="1"/>
  <c r="AD290" i="1"/>
  <c r="AC290" i="1"/>
  <c r="Z292" i="1"/>
  <c r="Z291" i="1"/>
  <c r="Z290" i="1"/>
  <c r="Y287" i="1"/>
  <c r="Y284" i="1"/>
  <c r="Y281" i="1"/>
  <c r="Y278" i="1"/>
  <c r="Y275" i="1"/>
  <c r="Y272" i="1"/>
  <c r="Y269" i="1"/>
  <c r="Y266" i="1"/>
  <c r="Y263" i="1"/>
  <c r="Y260" i="1"/>
  <c r="Y257" i="1"/>
  <c r="Y254" i="1"/>
  <c r="Y251" i="1"/>
  <c r="Y248" i="1"/>
  <c r="Y245" i="1"/>
  <c r="Y242" i="1"/>
  <c r="Y239" i="1"/>
  <c r="Y236" i="1"/>
  <c r="Y233" i="1"/>
  <c r="Y230" i="1"/>
  <c r="Y227" i="1"/>
  <c r="Y224" i="1"/>
  <c r="Y221" i="1"/>
  <c r="Y218" i="1"/>
  <c r="Y215" i="1"/>
  <c r="Y212" i="1"/>
  <c r="Y209" i="1"/>
  <c r="Y206" i="1"/>
  <c r="Y203" i="1"/>
  <c r="Y200" i="1"/>
  <c r="Y197" i="1"/>
  <c r="Y194" i="1"/>
  <c r="Y191" i="1"/>
  <c r="Y188" i="1"/>
  <c r="Y185" i="1"/>
  <c r="Y182" i="1"/>
  <c r="Y179" i="1"/>
  <c r="Y176" i="1"/>
  <c r="Y173" i="1"/>
  <c r="Y170" i="1"/>
  <c r="Y167" i="1"/>
  <c r="Y164" i="1"/>
  <c r="Y161" i="1"/>
  <c r="Y158" i="1"/>
  <c r="Y155" i="1"/>
  <c r="Y152" i="1"/>
  <c r="Y149" i="1"/>
  <c r="Y146" i="1"/>
  <c r="Y143" i="1"/>
  <c r="Y140" i="1"/>
  <c r="Y137" i="1"/>
  <c r="Y134" i="1"/>
  <c r="Y131" i="1"/>
  <c r="Y128" i="1"/>
  <c r="Y125" i="1"/>
  <c r="Y122" i="1"/>
  <c r="Y119" i="1"/>
  <c r="Y116" i="1"/>
  <c r="Y113" i="1"/>
  <c r="Y110" i="1"/>
  <c r="Y107" i="1"/>
  <c r="Y104" i="1"/>
  <c r="Y101" i="1"/>
  <c r="Y98" i="1"/>
  <c r="Y95" i="1"/>
  <c r="Y92" i="1"/>
  <c r="Y89" i="1"/>
  <c r="Y86" i="1"/>
  <c r="Y83" i="1"/>
  <c r="Y80" i="1"/>
  <c r="Y77" i="1"/>
  <c r="Y74" i="1"/>
  <c r="Y71" i="1"/>
  <c r="Y68" i="1"/>
  <c r="Y65" i="1"/>
  <c r="Y62" i="1"/>
  <c r="Y59" i="1"/>
  <c r="Y56" i="1"/>
  <c r="Y53" i="1"/>
  <c r="Y50" i="1"/>
  <c r="Y47" i="1"/>
  <c r="Y44" i="1"/>
  <c r="Y41" i="1"/>
  <c r="Y38" i="1"/>
  <c r="Y35" i="1"/>
  <c r="Y32" i="1"/>
  <c r="Y29" i="1"/>
  <c r="Y26" i="1"/>
  <c r="Y23" i="1"/>
  <c r="Y20" i="1"/>
  <c r="Y17" i="1"/>
  <c r="Y14" i="1"/>
  <c r="Y11" i="1"/>
  <c r="Y8" i="1"/>
  <c r="Y5" i="1"/>
  <c r="Y2" i="1"/>
  <c r="X287" i="1"/>
  <c r="X288" i="1" s="1"/>
  <c r="X284" i="1"/>
  <c r="X285" i="1" s="1"/>
  <c r="X281" i="1"/>
  <c r="X282" i="1" s="1"/>
  <c r="X278" i="1"/>
  <c r="X279" i="1" s="1"/>
  <c r="X280" i="1" s="1"/>
  <c r="X275" i="1"/>
  <c r="X276" i="1" s="1"/>
  <c r="X272" i="1"/>
  <c r="X273" i="1" s="1"/>
  <c r="X269" i="1"/>
  <c r="X270" i="1" s="1"/>
  <c r="X266" i="1"/>
  <c r="X267" i="1" s="1"/>
  <c r="X268" i="1" s="1"/>
  <c r="X263" i="1"/>
  <c r="X264" i="1" s="1"/>
  <c r="X260" i="1"/>
  <c r="X261" i="1" s="1"/>
  <c r="X257" i="1"/>
  <c r="X258" i="1" s="1"/>
  <c r="X254" i="1"/>
  <c r="X255" i="1" s="1"/>
  <c r="X256" i="1" s="1"/>
  <c r="X251" i="1"/>
  <c r="X252" i="1" s="1"/>
  <c r="X248" i="1"/>
  <c r="X249" i="1" s="1"/>
  <c r="X245" i="1"/>
  <c r="X246" i="1" s="1"/>
  <c r="X242" i="1"/>
  <c r="X243" i="1" s="1"/>
  <c r="X244" i="1" s="1"/>
  <c r="X239" i="1"/>
  <c r="X240" i="1" s="1"/>
  <c r="X236" i="1"/>
  <c r="X237" i="1" s="1"/>
  <c r="Y237" i="1" s="1"/>
  <c r="X233" i="1"/>
  <c r="X234" i="1" s="1"/>
  <c r="X230" i="1"/>
  <c r="X231" i="1" s="1"/>
  <c r="X232" i="1" s="1"/>
  <c r="X227" i="1"/>
  <c r="X228" i="1" s="1"/>
  <c r="Y228" i="1" s="1"/>
  <c r="X224" i="1"/>
  <c r="X225" i="1" s="1"/>
  <c r="X221" i="1"/>
  <c r="X222" i="1" s="1"/>
  <c r="X218" i="1"/>
  <c r="X219" i="1" s="1"/>
  <c r="X220" i="1" s="1"/>
  <c r="X215" i="1"/>
  <c r="X216" i="1" s="1"/>
  <c r="X212" i="1"/>
  <c r="X213" i="1" s="1"/>
  <c r="X209" i="1"/>
  <c r="X210" i="1" s="1"/>
  <c r="X206" i="1"/>
  <c r="X207" i="1" s="1"/>
  <c r="X208" i="1" s="1"/>
  <c r="X203" i="1"/>
  <c r="X204" i="1" s="1"/>
  <c r="X205" i="1" s="1"/>
  <c r="X200" i="1"/>
  <c r="X201" i="1" s="1"/>
  <c r="X197" i="1"/>
  <c r="X198" i="1" s="1"/>
  <c r="X194" i="1"/>
  <c r="X195" i="1" s="1"/>
  <c r="X196" i="1" s="1"/>
  <c r="X191" i="1"/>
  <c r="X192" i="1" s="1"/>
  <c r="X188" i="1"/>
  <c r="X189" i="1" s="1"/>
  <c r="X185" i="1"/>
  <c r="X186" i="1" s="1"/>
  <c r="X182" i="1"/>
  <c r="X183" i="1" s="1"/>
  <c r="X184" i="1" s="1"/>
  <c r="X179" i="1"/>
  <c r="X180" i="1" s="1"/>
  <c r="X176" i="1"/>
  <c r="X177" i="1" s="1"/>
  <c r="X173" i="1"/>
  <c r="X174" i="1" s="1"/>
  <c r="X170" i="1"/>
  <c r="X171" i="1" s="1"/>
  <c r="X172" i="1" s="1"/>
  <c r="X167" i="1"/>
  <c r="X168" i="1" s="1"/>
  <c r="X169" i="1" s="1"/>
  <c r="X164" i="1"/>
  <c r="X165" i="1" s="1"/>
  <c r="X161" i="1"/>
  <c r="X162" i="1" s="1"/>
  <c r="X158" i="1"/>
  <c r="X159" i="1" s="1"/>
  <c r="X160" i="1" s="1"/>
  <c r="X155" i="1"/>
  <c r="X156" i="1" s="1"/>
  <c r="X157" i="1" s="1"/>
  <c r="X152" i="1"/>
  <c r="X153" i="1" s="1"/>
  <c r="X149" i="1"/>
  <c r="X150" i="1" s="1"/>
  <c r="X151" i="1" s="1"/>
  <c r="X146" i="1"/>
  <c r="X147" i="1" s="1"/>
  <c r="X148" i="1" s="1"/>
  <c r="X143" i="1"/>
  <c r="X144" i="1" s="1"/>
  <c r="X145" i="1" s="1"/>
  <c r="X140" i="1"/>
  <c r="X141" i="1" s="1"/>
  <c r="X137" i="1"/>
  <c r="X138" i="1" s="1"/>
  <c r="X134" i="1"/>
  <c r="X135" i="1" s="1"/>
  <c r="X136" i="1" s="1"/>
  <c r="X131" i="1"/>
  <c r="X132" i="1" s="1"/>
  <c r="X133" i="1" s="1"/>
  <c r="X128" i="1"/>
  <c r="X129" i="1" s="1"/>
  <c r="X125" i="1"/>
  <c r="X126" i="1" s="1"/>
  <c r="X122" i="1"/>
  <c r="X123" i="1" s="1"/>
  <c r="X124" i="1" s="1"/>
  <c r="X119" i="1"/>
  <c r="X120" i="1" s="1"/>
  <c r="X121" i="1" s="1"/>
  <c r="X116" i="1"/>
  <c r="X117" i="1" s="1"/>
  <c r="X113" i="1"/>
  <c r="X114" i="1" s="1"/>
  <c r="X110" i="1"/>
  <c r="X111" i="1" s="1"/>
  <c r="X112" i="1" s="1"/>
  <c r="X107" i="1"/>
  <c r="X108" i="1" s="1"/>
  <c r="X109" i="1" s="1"/>
  <c r="X104" i="1"/>
  <c r="X105" i="1" s="1"/>
  <c r="X101" i="1"/>
  <c r="X102" i="1" s="1"/>
  <c r="X103" i="1" s="1"/>
  <c r="X98" i="1"/>
  <c r="X99" i="1" s="1"/>
  <c r="X100" i="1" s="1"/>
  <c r="X95" i="1"/>
  <c r="X96" i="1" s="1"/>
  <c r="X97" i="1" s="1"/>
  <c r="X92" i="1"/>
  <c r="X93" i="1" s="1"/>
  <c r="X89" i="1"/>
  <c r="X90" i="1" s="1"/>
  <c r="X86" i="1"/>
  <c r="X87" i="1" s="1"/>
  <c r="X88" i="1" s="1"/>
  <c r="X83" i="1"/>
  <c r="X84" i="1" s="1"/>
  <c r="X85" i="1" s="1"/>
  <c r="X80" i="1"/>
  <c r="X81" i="1" s="1"/>
  <c r="X82" i="1" s="1"/>
  <c r="X77" i="1"/>
  <c r="X78" i="1" s="1"/>
  <c r="X74" i="1"/>
  <c r="X75" i="1" s="1"/>
  <c r="X76" i="1" s="1"/>
  <c r="X71" i="1"/>
  <c r="X72" i="1" s="1"/>
  <c r="X73" i="1" s="1"/>
  <c r="X68" i="1"/>
  <c r="X69" i="1" s="1"/>
  <c r="X65" i="1"/>
  <c r="X66" i="1" s="1"/>
  <c r="X62" i="1"/>
  <c r="X63" i="1" s="1"/>
  <c r="X64" i="1" s="1"/>
  <c r="X59" i="1"/>
  <c r="X60" i="1" s="1"/>
  <c r="X61" i="1" s="1"/>
  <c r="X56" i="1"/>
  <c r="X57" i="1" s="1"/>
  <c r="X58" i="1" s="1"/>
  <c r="X53" i="1"/>
  <c r="X54" i="1" s="1"/>
  <c r="X55" i="1" s="1"/>
  <c r="X50" i="1"/>
  <c r="X51" i="1" s="1"/>
  <c r="X52" i="1" s="1"/>
  <c r="X47" i="1"/>
  <c r="X48" i="1" s="1"/>
  <c r="X49" i="1" s="1"/>
  <c r="X44" i="1"/>
  <c r="X45" i="1" s="1"/>
  <c r="X41" i="1"/>
  <c r="X42" i="1" s="1"/>
  <c r="X38" i="1"/>
  <c r="X39" i="1" s="1"/>
  <c r="X40" i="1" s="1"/>
  <c r="X35" i="1"/>
  <c r="X36" i="1" s="1"/>
  <c r="X37" i="1" s="1"/>
  <c r="X32" i="1"/>
  <c r="X33" i="1" s="1"/>
  <c r="X34" i="1" s="1"/>
  <c r="X29" i="1"/>
  <c r="X30" i="1" s="1"/>
  <c r="X31" i="1" s="1"/>
  <c r="X26" i="1"/>
  <c r="X27" i="1" s="1"/>
  <c r="X28" i="1" s="1"/>
  <c r="X23" i="1"/>
  <c r="X24" i="1" s="1"/>
  <c r="X25" i="1" s="1"/>
  <c r="X20" i="1"/>
  <c r="X21" i="1" s="1"/>
  <c r="X17" i="1"/>
  <c r="X18" i="1" s="1"/>
  <c r="X14" i="1"/>
  <c r="X15" i="1" s="1"/>
  <c r="X16" i="1" s="1"/>
  <c r="X11" i="1"/>
  <c r="X12" i="1" s="1"/>
  <c r="X13" i="1" s="1"/>
  <c r="X8" i="1"/>
  <c r="X9" i="1" s="1"/>
  <c r="X10" i="1" s="1"/>
  <c r="X5" i="1"/>
  <c r="X6" i="1" s="1"/>
  <c r="X2" i="1"/>
  <c r="X3" i="1" s="1"/>
  <c r="X4" i="1" s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Y298" i="1" l="1"/>
  <c r="Y310" i="1"/>
  <c r="X311" i="1"/>
  <c r="AB292" i="1"/>
  <c r="X302" i="1"/>
  <c r="Y302" i="1" s="1"/>
  <c r="X299" i="1"/>
  <c r="X314" i="1"/>
  <c r="X317" i="1"/>
  <c r="Y316" i="1"/>
  <c r="Y299" i="1"/>
  <c r="Y314" i="1"/>
  <c r="X305" i="1"/>
  <c r="Y304" i="1"/>
  <c r="Y311" i="1"/>
  <c r="Y295" i="1"/>
  <c r="Y296" i="1" s="1"/>
  <c r="Y307" i="1"/>
  <c r="Y308" i="1" s="1"/>
  <c r="Y81" i="1"/>
  <c r="AB290" i="1"/>
  <c r="Y105" i="1"/>
  <c r="Y51" i="1"/>
  <c r="Y52" i="1" s="1"/>
  <c r="AB291" i="1"/>
  <c r="Y153" i="1"/>
  <c r="Y189" i="1"/>
  <c r="Y213" i="1"/>
  <c r="X154" i="1"/>
  <c r="Y27" i="1"/>
  <c r="Y28" i="1" s="1"/>
  <c r="X214" i="1"/>
  <c r="Y204" i="1"/>
  <c r="Y205" i="1" s="1"/>
  <c r="Y180" i="1"/>
  <c r="X130" i="1"/>
  <c r="Y129" i="1"/>
  <c r="X229" i="1"/>
  <c r="Y229" i="1" s="1"/>
  <c r="X238" i="1"/>
  <c r="Y238" i="1" s="1"/>
  <c r="Y57" i="1"/>
  <c r="Y108" i="1"/>
  <c r="Y109" i="1" s="1"/>
  <c r="X7" i="1"/>
  <c r="Y6" i="1"/>
  <c r="Y147" i="1"/>
  <c r="Y148" i="1" s="1"/>
  <c r="Y75" i="1"/>
  <c r="Y76" i="1" s="1"/>
  <c r="Y99" i="1"/>
  <c r="Y100" i="1" s="1"/>
  <c r="Y123" i="1"/>
  <c r="Y124" i="1" s="1"/>
  <c r="X22" i="1"/>
  <c r="Y21" i="1"/>
  <c r="X127" i="1"/>
  <c r="Y126" i="1"/>
  <c r="X178" i="1"/>
  <c r="Y177" i="1"/>
  <c r="X193" i="1"/>
  <c r="Y192" i="1"/>
  <c r="Y171" i="1"/>
  <c r="Y172" i="1" s="1"/>
  <c r="Y45" i="1"/>
  <c r="X46" i="1"/>
  <c r="X91" i="1"/>
  <c r="Y90" i="1"/>
  <c r="X106" i="1"/>
  <c r="Y106" i="1" s="1"/>
  <c r="Y141" i="1"/>
  <c r="X142" i="1"/>
  <c r="X202" i="1"/>
  <c r="Y201" i="1"/>
  <c r="X211" i="1"/>
  <c r="Y210" i="1"/>
  <c r="X217" i="1"/>
  <c r="Y216" i="1"/>
  <c r="X247" i="1"/>
  <c r="Y246" i="1"/>
  <c r="Y261" i="1"/>
  <c r="X262" i="1"/>
  <c r="X271" i="1"/>
  <c r="Y270" i="1"/>
  <c r="X286" i="1"/>
  <c r="Y285" i="1"/>
  <c r="Y33" i="1"/>
  <c r="Y34" i="1" s="1"/>
  <c r="Y60" i="1"/>
  <c r="Y61" i="1" s="1"/>
  <c r="Y150" i="1"/>
  <c r="Y151" i="1" s="1"/>
  <c r="X67" i="1"/>
  <c r="Y66" i="1"/>
  <c r="Y82" i="1"/>
  <c r="Y117" i="1"/>
  <c r="X118" i="1"/>
  <c r="X163" i="1"/>
  <c r="Y162" i="1"/>
  <c r="X187" i="1"/>
  <c r="Y186" i="1"/>
  <c r="X223" i="1"/>
  <c r="Y222" i="1"/>
  <c r="X253" i="1"/>
  <c r="Y252" i="1"/>
  <c r="X277" i="1"/>
  <c r="Y276" i="1"/>
  <c r="Y69" i="1"/>
  <c r="X70" i="1"/>
  <c r="X79" i="1"/>
  <c r="Y78" i="1"/>
  <c r="X115" i="1"/>
  <c r="Y114" i="1"/>
  <c r="Y165" i="1"/>
  <c r="X166" i="1"/>
  <c r="X175" i="1"/>
  <c r="Y174" i="1"/>
  <c r="X181" i="1"/>
  <c r="X190" i="1"/>
  <c r="X226" i="1"/>
  <c r="Y225" i="1"/>
  <c r="X235" i="1"/>
  <c r="Y234" i="1"/>
  <c r="X241" i="1"/>
  <c r="Y240" i="1"/>
  <c r="X265" i="1"/>
  <c r="Y264" i="1"/>
  <c r="X289" i="1"/>
  <c r="Y288" i="1"/>
  <c r="Y3" i="1"/>
  <c r="Y9" i="1"/>
  <c r="Y36" i="1"/>
  <c r="Y37" i="1" s="1"/>
  <c r="Y54" i="1"/>
  <c r="Y55" i="1" s="1"/>
  <c r="Y102" i="1"/>
  <c r="Y103" i="1" s="1"/>
  <c r="Y10" i="1"/>
  <c r="X19" i="1"/>
  <c r="Y18" i="1"/>
  <c r="X43" i="1"/>
  <c r="Y42" i="1"/>
  <c r="Y58" i="1"/>
  <c r="Y93" i="1"/>
  <c r="X94" i="1"/>
  <c r="X139" i="1"/>
  <c r="Y138" i="1"/>
  <c r="X199" i="1"/>
  <c r="Y198" i="1"/>
  <c r="X250" i="1"/>
  <c r="Y249" i="1"/>
  <c r="X259" i="1"/>
  <c r="Y258" i="1"/>
  <c r="X274" i="1"/>
  <c r="Y273" i="1"/>
  <c r="X283" i="1"/>
  <c r="Y282" i="1"/>
  <c r="Y12" i="1"/>
  <c r="Y13" i="1" s="1"/>
  <c r="Y30" i="1"/>
  <c r="Y31" i="1" s="1"/>
  <c r="Y156" i="1"/>
  <c r="Y157" i="1" s="1"/>
  <c r="Y219" i="1"/>
  <c r="Y220" i="1" s="1"/>
  <c r="Y267" i="1"/>
  <c r="Y268" i="1" s="1"/>
  <c r="Y15" i="1"/>
  <c r="Y16" i="1" s="1"/>
  <c r="Y48" i="1"/>
  <c r="Y49" i="1" s="1"/>
  <c r="Y63" i="1"/>
  <c r="Y64" i="1" s="1"/>
  <c r="Y96" i="1"/>
  <c r="Y97" i="1" s="1"/>
  <c r="Y111" i="1"/>
  <c r="Y112" i="1" s="1"/>
  <c r="Y144" i="1"/>
  <c r="Y145" i="1" s="1"/>
  <c r="Y159" i="1"/>
  <c r="Y160" i="1" s="1"/>
  <c r="Y183" i="1"/>
  <c r="Y184" i="1" s="1"/>
  <c r="Y231" i="1"/>
  <c r="Y232" i="1" s="1"/>
  <c r="Y279" i="1"/>
  <c r="Y280" i="1" s="1"/>
  <c r="Y84" i="1"/>
  <c r="Y85" i="1" s="1"/>
  <c r="Y132" i="1"/>
  <c r="Y133" i="1" s="1"/>
  <c r="Y195" i="1"/>
  <c r="Y196" i="1" s="1"/>
  <c r="Y243" i="1"/>
  <c r="Y244" i="1" s="1"/>
  <c r="V292" i="1"/>
  <c r="Y24" i="1"/>
  <c r="Y25" i="1" s="1"/>
  <c r="Y39" i="1"/>
  <c r="Y40" i="1" s="1"/>
  <c r="Y72" i="1"/>
  <c r="Y73" i="1" s="1"/>
  <c r="Y87" i="1"/>
  <c r="Y88" i="1" s="1"/>
  <c r="Y120" i="1"/>
  <c r="Y121" i="1" s="1"/>
  <c r="Y135" i="1"/>
  <c r="Y136" i="1" s="1"/>
  <c r="Y168" i="1"/>
  <c r="Y169" i="1" s="1"/>
  <c r="Y207" i="1"/>
  <c r="Y208" i="1" s="1"/>
  <c r="Y255" i="1"/>
  <c r="Y256" i="1" s="1"/>
  <c r="V291" i="1"/>
  <c r="V290" i="1"/>
  <c r="N292" i="1"/>
  <c r="M292" i="1"/>
  <c r="L292" i="1"/>
  <c r="K292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F317" i="1"/>
  <c r="E317" i="1"/>
  <c r="F316" i="1"/>
  <c r="E316" i="1"/>
  <c r="F315" i="1"/>
  <c r="E315" i="1"/>
  <c r="F314" i="1"/>
  <c r="E314" i="1"/>
  <c r="F313" i="1"/>
  <c r="E313" i="1"/>
  <c r="F312" i="1"/>
  <c r="E312" i="1"/>
  <c r="F311" i="1"/>
  <c r="E311" i="1"/>
  <c r="F310" i="1"/>
  <c r="E310" i="1"/>
  <c r="F309" i="1"/>
  <c r="E309" i="1"/>
  <c r="F308" i="1"/>
  <c r="E308" i="1"/>
  <c r="F307" i="1"/>
  <c r="E307" i="1"/>
  <c r="F306" i="1"/>
  <c r="E306" i="1"/>
  <c r="F305" i="1"/>
  <c r="E305" i="1"/>
  <c r="F304" i="1"/>
  <c r="E304" i="1"/>
  <c r="F303" i="1"/>
  <c r="E303" i="1"/>
  <c r="F302" i="1"/>
  <c r="E302" i="1"/>
  <c r="F301" i="1"/>
  <c r="E301" i="1"/>
  <c r="F300" i="1"/>
  <c r="E300" i="1"/>
  <c r="F299" i="1"/>
  <c r="E299" i="1"/>
  <c r="F298" i="1"/>
  <c r="E298" i="1"/>
  <c r="F297" i="1"/>
  <c r="E297" i="1"/>
  <c r="F296" i="1"/>
  <c r="E296" i="1"/>
  <c r="F295" i="1"/>
  <c r="E295" i="1"/>
  <c r="F294" i="1"/>
  <c r="E294" i="1"/>
  <c r="C317" i="1"/>
  <c r="B317" i="1"/>
  <c r="C316" i="1"/>
  <c r="B316" i="1"/>
  <c r="C315" i="1"/>
  <c r="B315" i="1"/>
  <c r="C314" i="1"/>
  <c r="B314" i="1"/>
  <c r="C313" i="1"/>
  <c r="B313" i="1"/>
  <c r="C312" i="1"/>
  <c r="B312" i="1"/>
  <c r="C311" i="1"/>
  <c r="B311" i="1"/>
  <c r="C310" i="1"/>
  <c r="B310" i="1"/>
  <c r="C309" i="1"/>
  <c r="B309" i="1"/>
  <c r="C308" i="1"/>
  <c r="B308" i="1"/>
  <c r="C307" i="1"/>
  <c r="B307" i="1"/>
  <c r="C306" i="1"/>
  <c r="B306" i="1"/>
  <c r="C305" i="1"/>
  <c r="B305" i="1"/>
  <c r="C304" i="1"/>
  <c r="B304" i="1"/>
  <c r="C303" i="1"/>
  <c r="B303" i="1"/>
  <c r="C302" i="1"/>
  <c r="B302" i="1"/>
  <c r="C301" i="1"/>
  <c r="B301" i="1"/>
  <c r="C300" i="1"/>
  <c r="B300" i="1"/>
  <c r="C299" i="1"/>
  <c r="B299" i="1"/>
  <c r="C298" i="1"/>
  <c r="B298" i="1"/>
  <c r="C297" i="1"/>
  <c r="B297" i="1"/>
  <c r="C296" i="1"/>
  <c r="B296" i="1"/>
  <c r="C295" i="1"/>
  <c r="B295" i="1"/>
  <c r="C294" i="1"/>
  <c r="B294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21" i="5"/>
  <c r="F105" i="5"/>
  <c r="F89" i="5"/>
  <c r="F73" i="5"/>
  <c r="F57" i="5"/>
  <c r="F41" i="5"/>
  <c r="F25" i="5"/>
  <c r="F9" i="5"/>
  <c r="I317" i="5"/>
  <c r="F317" i="5" s="1"/>
  <c r="I316" i="5"/>
  <c r="F316" i="5" s="1"/>
  <c r="I315" i="5"/>
  <c r="F315" i="5" s="1"/>
  <c r="I314" i="5"/>
  <c r="F314" i="5" s="1"/>
  <c r="I313" i="5"/>
  <c r="F313" i="5" s="1"/>
  <c r="I312" i="5"/>
  <c r="F312" i="5" s="1"/>
  <c r="I311" i="5"/>
  <c r="F311" i="5" s="1"/>
  <c r="I310" i="5"/>
  <c r="F310" i="5" s="1"/>
  <c r="I309" i="5"/>
  <c r="F309" i="5" s="1"/>
  <c r="I308" i="5"/>
  <c r="F308" i="5" s="1"/>
  <c r="I307" i="5"/>
  <c r="F307" i="5" s="1"/>
  <c r="I306" i="5"/>
  <c r="F306" i="5" s="1"/>
  <c r="I305" i="5"/>
  <c r="F305" i="5" s="1"/>
  <c r="I304" i="5"/>
  <c r="F304" i="5" s="1"/>
  <c r="I303" i="5"/>
  <c r="F303" i="5" s="1"/>
  <c r="I302" i="5"/>
  <c r="F302" i="5" s="1"/>
  <c r="I301" i="5"/>
  <c r="F301" i="5" s="1"/>
  <c r="I300" i="5"/>
  <c r="F300" i="5" s="1"/>
  <c r="I299" i="5"/>
  <c r="F299" i="5" s="1"/>
  <c r="I298" i="5"/>
  <c r="F298" i="5" s="1"/>
  <c r="I297" i="5"/>
  <c r="F297" i="5" s="1"/>
  <c r="I296" i="5"/>
  <c r="F296" i="5" s="1"/>
  <c r="I295" i="5"/>
  <c r="F295" i="5" s="1"/>
  <c r="I294" i="5"/>
  <c r="F294" i="5" s="1"/>
  <c r="I293" i="5"/>
  <c r="F293" i="5" s="1"/>
  <c r="I292" i="5"/>
  <c r="F292" i="5" s="1"/>
  <c r="I291" i="5"/>
  <c r="F291" i="5" s="1"/>
  <c r="I290" i="5"/>
  <c r="F290" i="5" s="1"/>
  <c r="I289" i="5"/>
  <c r="F289" i="5" s="1"/>
  <c r="I288" i="5"/>
  <c r="F288" i="5" s="1"/>
  <c r="I287" i="5"/>
  <c r="F287" i="5" s="1"/>
  <c r="I286" i="5"/>
  <c r="F286" i="5" s="1"/>
  <c r="I285" i="5"/>
  <c r="F285" i="5" s="1"/>
  <c r="I284" i="5"/>
  <c r="F284" i="5" s="1"/>
  <c r="I283" i="5"/>
  <c r="F283" i="5" s="1"/>
  <c r="I282" i="5"/>
  <c r="F282" i="5" s="1"/>
  <c r="I281" i="5"/>
  <c r="F281" i="5" s="1"/>
  <c r="I280" i="5"/>
  <c r="F280" i="5" s="1"/>
  <c r="I279" i="5"/>
  <c r="F279" i="5" s="1"/>
  <c r="I278" i="5"/>
  <c r="F278" i="5" s="1"/>
  <c r="I277" i="5"/>
  <c r="F277" i="5" s="1"/>
  <c r="I276" i="5"/>
  <c r="F276" i="5" s="1"/>
  <c r="I275" i="5"/>
  <c r="F275" i="5" s="1"/>
  <c r="I274" i="5"/>
  <c r="F274" i="5" s="1"/>
  <c r="I273" i="5"/>
  <c r="F273" i="5" s="1"/>
  <c r="I272" i="5"/>
  <c r="F272" i="5" s="1"/>
  <c r="I271" i="5"/>
  <c r="F271" i="5" s="1"/>
  <c r="I270" i="5"/>
  <c r="F270" i="5" s="1"/>
  <c r="I269" i="5"/>
  <c r="F269" i="5" s="1"/>
  <c r="I268" i="5"/>
  <c r="F268" i="5" s="1"/>
  <c r="I267" i="5"/>
  <c r="F267" i="5" s="1"/>
  <c r="I266" i="5"/>
  <c r="F266" i="5" s="1"/>
  <c r="I265" i="5"/>
  <c r="F265" i="5" s="1"/>
  <c r="I264" i="5"/>
  <c r="F264" i="5" s="1"/>
  <c r="I263" i="5"/>
  <c r="F263" i="5" s="1"/>
  <c r="I262" i="5"/>
  <c r="F262" i="5" s="1"/>
  <c r="I261" i="5"/>
  <c r="F261" i="5" s="1"/>
  <c r="I260" i="5"/>
  <c r="F260" i="5" s="1"/>
  <c r="I259" i="5"/>
  <c r="F259" i="5" s="1"/>
  <c r="I258" i="5"/>
  <c r="F258" i="5" s="1"/>
  <c r="I257" i="5"/>
  <c r="F257" i="5" s="1"/>
  <c r="I256" i="5"/>
  <c r="F256" i="5" s="1"/>
  <c r="I255" i="5"/>
  <c r="F255" i="5" s="1"/>
  <c r="I254" i="5"/>
  <c r="F254" i="5" s="1"/>
  <c r="I253" i="5"/>
  <c r="F253" i="5" s="1"/>
  <c r="I252" i="5"/>
  <c r="F252" i="5" s="1"/>
  <c r="I251" i="5"/>
  <c r="F251" i="5" s="1"/>
  <c r="I250" i="5"/>
  <c r="F250" i="5" s="1"/>
  <c r="I249" i="5"/>
  <c r="F249" i="5" s="1"/>
  <c r="I248" i="5"/>
  <c r="F248" i="5" s="1"/>
  <c r="I247" i="5"/>
  <c r="F247" i="5" s="1"/>
  <c r="I246" i="5"/>
  <c r="F246" i="5" s="1"/>
  <c r="I245" i="5"/>
  <c r="F245" i="5" s="1"/>
  <c r="I244" i="5"/>
  <c r="F244" i="5" s="1"/>
  <c r="I243" i="5"/>
  <c r="F243" i="5" s="1"/>
  <c r="I242" i="5"/>
  <c r="F242" i="5" s="1"/>
  <c r="I241" i="5"/>
  <c r="F241" i="5" s="1"/>
  <c r="I240" i="5"/>
  <c r="F240" i="5" s="1"/>
  <c r="I239" i="5"/>
  <c r="F239" i="5" s="1"/>
  <c r="I238" i="5"/>
  <c r="F238" i="5" s="1"/>
  <c r="I237" i="5"/>
  <c r="F237" i="5" s="1"/>
  <c r="I236" i="5"/>
  <c r="F236" i="5" s="1"/>
  <c r="I235" i="5"/>
  <c r="F235" i="5" s="1"/>
  <c r="I234" i="5"/>
  <c r="F234" i="5" s="1"/>
  <c r="I233" i="5"/>
  <c r="F233" i="5" s="1"/>
  <c r="I232" i="5"/>
  <c r="F232" i="5" s="1"/>
  <c r="I231" i="5"/>
  <c r="F231" i="5" s="1"/>
  <c r="I230" i="5"/>
  <c r="F230" i="5" s="1"/>
  <c r="I229" i="5"/>
  <c r="F229" i="5" s="1"/>
  <c r="I228" i="5"/>
  <c r="F228" i="5" s="1"/>
  <c r="I227" i="5"/>
  <c r="F227" i="5" s="1"/>
  <c r="I226" i="5"/>
  <c r="F226" i="5" s="1"/>
  <c r="I225" i="5"/>
  <c r="F225" i="5" s="1"/>
  <c r="I224" i="5"/>
  <c r="F224" i="5" s="1"/>
  <c r="I223" i="5"/>
  <c r="F223" i="5" s="1"/>
  <c r="I222" i="5"/>
  <c r="F222" i="5" s="1"/>
  <c r="I221" i="5"/>
  <c r="F221" i="5" s="1"/>
  <c r="I220" i="5"/>
  <c r="F220" i="5" s="1"/>
  <c r="I219" i="5"/>
  <c r="F219" i="5" s="1"/>
  <c r="I218" i="5"/>
  <c r="F218" i="5" s="1"/>
  <c r="I217" i="5"/>
  <c r="F217" i="5" s="1"/>
  <c r="I216" i="5"/>
  <c r="F216" i="5" s="1"/>
  <c r="I215" i="5"/>
  <c r="F215" i="5" s="1"/>
  <c r="I214" i="5"/>
  <c r="F214" i="5" s="1"/>
  <c r="I213" i="5"/>
  <c r="F213" i="5" s="1"/>
  <c r="I212" i="5"/>
  <c r="F212" i="5" s="1"/>
  <c r="I211" i="5"/>
  <c r="F211" i="5" s="1"/>
  <c r="I210" i="5"/>
  <c r="F210" i="5" s="1"/>
  <c r="I209" i="5"/>
  <c r="F209" i="5" s="1"/>
  <c r="I208" i="5"/>
  <c r="F208" i="5" s="1"/>
  <c r="I207" i="5"/>
  <c r="F207" i="5" s="1"/>
  <c r="I206" i="5"/>
  <c r="F206" i="5" s="1"/>
  <c r="I205" i="5"/>
  <c r="F205" i="5" s="1"/>
  <c r="I204" i="5"/>
  <c r="F204" i="5" s="1"/>
  <c r="I203" i="5"/>
  <c r="F203" i="5" s="1"/>
  <c r="I202" i="5"/>
  <c r="F202" i="5" s="1"/>
  <c r="I201" i="5"/>
  <c r="F201" i="5" s="1"/>
  <c r="I200" i="5"/>
  <c r="F200" i="5" s="1"/>
  <c r="I199" i="5"/>
  <c r="F199" i="5" s="1"/>
  <c r="I198" i="5"/>
  <c r="F198" i="5" s="1"/>
  <c r="I197" i="5"/>
  <c r="F197" i="5" s="1"/>
  <c r="I196" i="5"/>
  <c r="F196" i="5" s="1"/>
  <c r="I195" i="5"/>
  <c r="F195" i="5" s="1"/>
  <c r="I194" i="5"/>
  <c r="F194" i="5" s="1"/>
  <c r="I193" i="5"/>
  <c r="F193" i="5" s="1"/>
  <c r="I192" i="5"/>
  <c r="F192" i="5" s="1"/>
  <c r="I191" i="5"/>
  <c r="F191" i="5" s="1"/>
  <c r="I190" i="5"/>
  <c r="F190" i="5" s="1"/>
  <c r="I189" i="5"/>
  <c r="F189" i="5" s="1"/>
  <c r="I188" i="5"/>
  <c r="F188" i="5" s="1"/>
  <c r="I187" i="5"/>
  <c r="F187" i="5" s="1"/>
  <c r="I186" i="5"/>
  <c r="F186" i="5" s="1"/>
  <c r="I185" i="5"/>
  <c r="F185" i="5" s="1"/>
  <c r="I184" i="5"/>
  <c r="F184" i="5" s="1"/>
  <c r="I183" i="5"/>
  <c r="F183" i="5" s="1"/>
  <c r="I182" i="5"/>
  <c r="F182" i="5" s="1"/>
  <c r="I181" i="5"/>
  <c r="F181" i="5" s="1"/>
  <c r="I180" i="5"/>
  <c r="F180" i="5" s="1"/>
  <c r="I179" i="5"/>
  <c r="F179" i="5" s="1"/>
  <c r="I178" i="5"/>
  <c r="F178" i="5" s="1"/>
  <c r="I177" i="5"/>
  <c r="F177" i="5" s="1"/>
  <c r="I176" i="5"/>
  <c r="F176" i="5" s="1"/>
  <c r="I175" i="5"/>
  <c r="F175" i="5" s="1"/>
  <c r="I174" i="5"/>
  <c r="F174" i="5" s="1"/>
  <c r="I173" i="5"/>
  <c r="F173" i="5" s="1"/>
  <c r="I172" i="5"/>
  <c r="F172" i="5" s="1"/>
  <c r="I171" i="5"/>
  <c r="F171" i="5" s="1"/>
  <c r="I170" i="5"/>
  <c r="F170" i="5" s="1"/>
  <c r="I169" i="5"/>
  <c r="F169" i="5" s="1"/>
  <c r="I168" i="5"/>
  <c r="F168" i="5" s="1"/>
  <c r="I167" i="5"/>
  <c r="F167" i="5" s="1"/>
  <c r="I166" i="5"/>
  <c r="F166" i="5" s="1"/>
  <c r="I165" i="5"/>
  <c r="F165" i="5" s="1"/>
  <c r="I164" i="5"/>
  <c r="F164" i="5" s="1"/>
  <c r="I163" i="5"/>
  <c r="F163" i="5" s="1"/>
  <c r="I162" i="5"/>
  <c r="F162" i="5" s="1"/>
  <c r="I161" i="5"/>
  <c r="F161" i="5" s="1"/>
  <c r="I160" i="5"/>
  <c r="F160" i="5" s="1"/>
  <c r="I159" i="5"/>
  <c r="F159" i="5" s="1"/>
  <c r="I158" i="5"/>
  <c r="F158" i="5" s="1"/>
  <c r="I157" i="5"/>
  <c r="F157" i="5" s="1"/>
  <c r="I156" i="5"/>
  <c r="F156" i="5" s="1"/>
  <c r="I155" i="5"/>
  <c r="F155" i="5" s="1"/>
  <c r="I154" i="5"/>
  <c r="F154" i="5" s="1"/>
  <c r="I153" i="5"/>
  <c r="F153" i="5" s="1"/>
  <c r="I152" i="5"/>
  <c r="F152" i="5" s="1"/>
  <c r="I151" i="5"/>
  <c r="F151" i="5" s="1"/>
  <c r="I150" i="5"/>
  <c r="F150" i="5" s="1"/>
  <c r="I149" i="5"/>
  <c r="F149" i="5" s="1"/>
  <c r="I148" i="5"/>
  <c r="F148" i="5" s="1"/>
  <c r="I147" i="5"/>
  <c r="F147" i="5" s="1"/>
  <c r="I146" i="5"/>
  <c r="F146" i="5" s="1"/>
  <c r="I145" i="5"/>
  <c r="F145" i="5" s="1"/>
  <c r="I144" i="5"/>
  <c r="F144" i="5" s="1"/>
  <c r="I143" i="5"/>
  <c r="F143" i="5" s="1"/>
  <c r="I142" i="5"/>
  <c r="F142" i="5" s="1"/>
  <c r="I141" i="5"/>
  <c r="F141" i="5" s="1"/>
  <c r="I140" i="5"/>
  <c r="F140" i="5" s="1"/>
  <c r="I139" i="5"/>
  <c r="F139" i="5" s="1"/>
  <c r="I138" i="5"/>
  <c r="F138" i="5" s="1"/>
  <c r="I137" i="5"/>
  <c r="F137" i="5" s="1"/>
  <c r="I136" i="5"/>
  <c r="F136" i="5" s="1"/>
  <c r="I135" i="5"/>
  <c r="F135" i="5" s="1"/>
  <c r="I134" i="5"/>
  <c r="F134" i="5" s="1"/>
  <c r="I133" i="5"/>
  <c r="F133" i="5" s="1"/>
  <c r="I132" i="5"/>
  <c r="F132" i="5" s="1"/>
  <c r="I131" i="5"/>
  <c r="F131" i="5" s="1"/>
  <c r="I130" i="5"/>
  <c r="F130" i="5" s="1"/>
  <c r="I129" i="5"/>
  <c r="F129" i="5" s="1"/>
  <c r="I128" i="5"/>
  <c r="F128" i="5" s="1"/>
  <c r="I127" i="5"/>
  <c r="F127" i="5" s="1"/>
  <c r="I126" i="5"/>
  <c r="F126" i="5" s="1"/>
  <c r="I125" i="5"/>
  <c r="F125" i="5" s="1"/>
  <c r="I124" i="5"/>
  <c r="F124" i="5" s="1"/>
  <c r="I123" i="5"/>
  <c r="F123" i="5" s="1"/>
  <c r="I122" i="5"/>
  <c r="F122" i="5" s="1"/>
  <c r="I121" i="5"/>
  <c r="I120" i="5"/>
  <c r="F120" i="5" s="1"/>
  <c r="I119" i="5"/>
  <c r="F119" i="5" s="1"/>
  <c r="I118" i="5"/>
  <c r="F118" i="5" s="1"/>
  <c r="I117" i="5"/>
  <c r="F117" i="5" s="1"/>
  <c r="I116" i="5"/>
  <c r="F116" i="5" s="1"/>
  <c r="I115" i="5"/>
  <c r="F115" i="5" s="1"/>
  <c r="I114" i="5"/>
  <c r="F114" i="5" s="1"/>
  <c r="I113" i="5"/>
  <c r="F113" i="5" s="1"/>
  <c r="I112" i="5"/>
  <c r="F112" i="5" s="1"/>
  <c r="I111" i="5"/>
  <c r="F111" i="5" s="1"/>
  <c r="I110" i="5"/>
  <c r="F110" i="5" s="1"/>
  <c r="I109" i="5"/>
  <c r="F109" i="5" s="1"/>
  <c r="I108" i="5"/>
  <c r="F108" i="5" s="1"/>
  <c r="I107" i="5"/>
  <c r="F107" i="5" s="1"/>
  <c r="I106" i="5"/>
  <c r="F106" i="5" s="1"/>
  <c r="I105" i="5"/>
  <c r="I104" i="5"/>
  <c r="F104" i="5" s="1"/>
  <c r="I103" i="5"/>
  <c r="F103" i="5" s="1"/>
  <c r="I102" i="5"/>
  <c r="F102" i="5" s="1"/>
  <c r="I101" i="5"/>
  <c r="F101" i="5" s="1"/>
  <c r="I100" i="5"/>
  <c r="F100" i="5" s="1"/>
  <c r="I99" i="5"/>
  <c r="F99" i="5" s="1"/>
  <c r="I98" i="5"/>
  <c r="F98" i="5" s="1"/>
  <c r="I97" i="5"/>
  <c r="F97" i="5" s="1"/>
  <c r="I96" i="5"/>
  <c r="F96" i="5" s="1"/>
  <c r="I95" i="5"/>
  <c r="F95" i="5" s="1"/>
  <c r="I94" i="5"/>
  <c r="F94" i="5" s="1"/>
  <c r="I93" i="5"/>
  <c r="F93" i="5" s="1"/>
  <c r="I92" i="5"/>
  <c r="F92" i="5" s="1"/>
  <c r="I91" i="5"/>
  <c r="F91" i="5" s="1"/>
  <c r="I90" i="5"/>
  <c r="F90" i="5" s="1"/>
  <c r="I89" i="5"/>
  <c r="I88" i="5"/>
  <c r="F88" i="5" s="1"/>
  <c r="I87" i="5"/>
  <c r="F87" i="5" s="1"/>
  <c r="I86" i="5"/>
  <c r="F86" i="5" s="1"/>
  <c r="I85" i="5"/>
  <c r="F85" i="5" s="1"/>
  <c r="I84" i="5"/>
  <c r="F84" i="5" s="1"/>
  <c r="I83" i="5"/>
  <c r="F83" i="5" s="1"/>
  <c r="I82" i="5"/>
  <c r="F82" i="5" s="1"/>
  <c r="I81" i="5"/>
  <c r="F81" i="5" s="1"/>
  <c r="I80" i="5"/>
  <c r="F80" i="5" s="1"/>
  <c r="I79" i="5"/>
  <c r="F79" i="5" s="1"/>
  <c r="I78" i="5"/>
  <c r="F78" i="5" s="1"/>
  <c r="I77" i="5"/>
  <c r="F77" i="5" s="1"/>
  <c r="I76" i="5"/>
  <c r="F76" i="5" s="1"/>
  <c r="I75" i="5"/>
  <c r="F75" i="5" s="1"/>
  <c r="I74" i="5"/>
  <c r="F74" i="5" s="1"/>
  <c r="I73" i="5"/>
  <c r="I72" i="5"/>
  <c r="F72" i="5" s="1"/>
  <c r="I71" i="5"/>
  <c r="F71" i="5" s="1"/>
  <c r="I70" i="5"/>
  <c r="F70" i="5" s="1"/>
  <c r="I69" i="5"/>
  <c r="F69" i="5" s="1"/>
  <c r="I68" i="5"/>
  <c r="F68" i="5" s="1"/>
  <c r="I67" i="5"/>
  <c r="F67" i="5" s="1"/>
  <c r="I66" i="5"/>
  <c r="F66" i="5" s="1"/>
  <c r="I65" i="5"/>
  <c r="F65" i="5" s="1"/>
  <c r="I64" i="5"/>
  <c r="F64" i="5" s="1"/>
  <c r="I63" i="5"/>
  <c r="F63" i="5" s="1"/>
  <c r="I62" i="5"/>
  <c r="F62" i="5" s="1"/>
  <c r="I61" i="5"/>
  <c r="F61" i="5" s="1"/>
  <c r="I60" i="5"/>
  <c r="F60" i="5" s="1"/>
  <c r="I59" i="5"/>
  <c r="F59" i="5" s="1"/>
  <c r="I58" i="5"/>
  <c r="F58" i="5" s="1"/>
  <c r="I57" i="5"/>
  <c r="I56" i="5"/>
  <c r="F56" i="5" s="1"/>
  <c r="I55" i="5"/>
  <c r="F55" i="5" s="1"/>
  <c r="I54" i="5"/>
  <c r="F54" i="5" s="1"/>
  <c r="I53" i="5"/>
  <c r="F53" i="5" s="1"/>
  <c r="I52" i="5"/>
  <c r="F52" i="5" s="1"/>
  <c r="I51" i="5"/>
  <c r="F51" i="5" s="1"/>
  <c r="I50" i="5"/>
  <c r="F50" i="5" s="1"/>
  <c r="I49" i="5"/>
  <c r="F49" i="5" s="1"/>
  <c r="I48" i="5"/>
  <c r="F48" i="5" s="1"/>
  <c r="I47" i="5"/>
  <c r="F47" i="5" s="1"/>
  <c r="I46" i="5"/>
  <c r="F46" i="5" s="1"/>
  <c r="I45" i="5"/>
  <c r="F45" i="5" s="1"/>
  <c r="I44" i="5"/>
  <c r="F44" i="5" s="1"/>
  <c r="I43" i="5"/>
  <c r="F43" i="5" s="1"/>
  <c r="I42" i="5"/>
  <c r="F42" i="5" s="1"/>
  <c r="I41" i="5"/>
  <c r="I40" i="5"/>
  <c r="F40" i="5" s="1"/>
  <c r="I39" i="5"/>
  <c r="F39" i="5" s="1"/>
  <c r="I38" i="5"/>
  <c r="F38" i="5" s="1"/>
  <c r="I37" i="5"/>
  <c r="F37" i="5" s="1"/>
  <c r="I36" i="5"/>
  <c r="F36" i="5" s="1"/>
  <c r="I35" i="5"/>
  <c r="F35" i="5" s="1"/>
  <c r="I34" i="5"/>
  <c r="F34" i="5" s="1"/>
  <c r="I33" i="5"/>
  <c r="F33" i="5" s="1"/>
  <c r="I32" i="5"/>
  <c r="F32" i="5" s="1"/>
  <c r="I31" i="5"/>
  <c r="F31" i="5" s="1"/>
  <c r="I30" i="5"/>
  <c r="F30" i="5" s="1"/>
  <c r="I29" i="5"/>
  <c r="F29" i="5" s="1"/>
  <c r="I28" i="5"/>
  <c r="F28" i="5" s="1"/>
  <c r="I27" i="5"/>
  <c r="F27" i="5" s="1"/>
  <c r="I26" i="5"/>
  <c r="F26" i="5" s="1"/>
  <c r="I25" i="5"/>
  <c r="I24" i="5"/>
  <c r="F24" i="5" s="1"/>
  <c r="I23" i="5"/>
  <c r="F23" i="5" s="1"/>
  <c r="I22" i="5"/>
  <c r="F22" i="5" s="1"/>
  <c r="I21" i="5"/>
  <c r="F21" i="5" s="1"/>
  <c r="I20" i="5"/>
  <c r="F20" i="5" s="1"/>
  <c r="I19" i="5"/>
  <c r="F19" i="5" s="1"/>
  <c r="I18" i="5"/>
  <c r="F18" i="5" s="1"/>
  <c r="I17" i="5"/>
  <c r="F17" i="5" s="1"/>
  <c r="I16" i="5"/>
  <c r="F16" i="5" s="1"/>
  <c r="I15" i="5"/>
  <c r="F15" i="5" s="1"/>
  <c r="I14" i="5"/>
  <c r="F14" i="5" s="1"/>
  <c r="I13" i="5"/>
  <c r="F13" i="5" s="1"/>
  <c r="I12" i="5"/>
  <c r="F12" i="5" s="1"/>
  <c r="I11" i="5"/>
  <c r="F11" i="5" s="1"/>
  <c r="I10" i="5"/>
  <c r="F10" i="5" s="1"/>
  <c r="I9" i="5"/>
  <c r="I8" i="5"/>
  <c r="F8" i="5" s="1"/>
  <c r="I7" i="5"/>
  <c r="F7" i="5" s="1"/>
  <c r="I6" i="5"/>
  <c r="F6" i="5" s="1"/>
  <c r="I5" i="5"/>
  <c r="F5" i="5" s="1"/>
  <c r="I4" i="5"/>
  <c r="F4" i="5" s="1"/>
  <c r="I3" i="5"/>
  <c r="F3" i="5" s="1"/>
  <c r="I2" i="5"/>
  <c r="F2" i="5" s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Y91" i="1" l="1"/>
  <c r="Y181" i="1"/>
  <c r="Y305" i="1"/>
  <c r="Y317" i="1"/>
  <c r="Y154" i="1"/>
  <c r="Y190" i="1"/>
  <c r="Y139" i="1"/>
  <c r="Y214" i="1"/>
  <c r="Y7" i="1"/>
  <c r="X292" i="1"/>
  <c r="Y241" i="1"/>
  <c r="Y226" i="1"/>
  <c r="Y253" i="1"/>
  <c r="Y286" i="1"/>
  <c r="Y217" i="1"/>
  <c r="Y202" i="1"/>
  <c r="Y178" i="1"/>
  <c r="Y22" i="1"/>
  <c r="Y130" i="1"/>
  <c r="G295" i="1"/>
  <c r="G299" i="1"/>
  <c r="G311" i="1"/>
  <c r="Y265" i="1"/>
  <c r="Y277" i="1"/>
  <c r="Y193" i="1"/>
  <c r="G4" i="1"/>
  <c r="G8" i="1"/>
  <c r="G24" i="1"/>
  <c r="G36" i="1"/>
  <c r="G40" i="1"/>
  <c r="G56" i="1"/>
  <c r="G68" i="1"/>
  <c r="G72" i="1"/>
  <c r="G88" i="1"/>
  <c r="G100" i="1"/>
  <c r="G104" i="1"/>
  <c r="G120" i="1"/>
  <c r="G132" i="1"/>
  <c r="G136" i="1"/>
  <c r="G152" i="1"/>
  <c r="G164" i="1"/>
  <c r="G168" i="1"/>
  <c r="G184" i="1"/>
  <c r="G196" i="1"/>
  <c r="G200" i="1"/>
  <c r="G216" i="1"/>
  <c r="G228" i="1"/>
  <c r="G232" i="1"/>
  <c r="G248" i="1"/>
  <c r="G260" i="1"/>
  <c r="G264" i="1"/>
  <c r="G280" i="1"/>
  <c r="G84" i="1"/>
  <c r="G212" i="1"/>
  <c r="G116" i="1"/>
  <c r="G244" i="1"/>
  <c r="G20" i="1"/>
  <c r="G148" i="1"/>
  <c r="G276" i="1"/>
  <c r="G52" i="1"/>
  <c r="G180" i="1"/>
  <c r="Q292" i="1"/>
  <c r="U292" i="1"/>
  <c r="Y283" i="1"/>
  <c r="Y259" i="1"/>
  <c r="Y199" i="1"/>
  <c r="Y94" i="1"/>
  <c r="Y67" i="1"/>
  <c r="Y46" i="1"/>
  <c r="G9" i="1"/>
  <c r="G13" i="1"/>
  <c r="G25" i="1"/>
  <c r="G29" i="1"/>
  <c r="G41" i="1"/>
  <c r="G45" i="1"/>
  <c r="G57" i="1"/>
  <c r="G61" i="1"/>
  <c r="G73" i="1"/>
  <c r="G77" i="1"/>
  <c r="G89" i="1"/>
  <c r="G93" i="1"/>
  <c r="G105" i="1"/>
  <c r="G109" i="1"/>
  <c r="G121" i="1"/>
  <c r="G125" i="1"/>
  <c r="G137" i="1"/>
  <c r="G141" i="1"/>
  <c r="G153" i="1"/>
  <c r="G157" i="1"/>
  <c r="G169" i="1"/>
  <c r="G173" i="1"/>
  <c r="G185" i="1"/>
  <c r="G189" i="1"/>
  <c r="G201" i="1"/>
  <c r="G205" i="1"/>
  <c r="G217" i="1"/>
  <c r="G221" i="1"/>
  <c r="G233" i="1"/>
  <c r="G237" i="1"/>
  <c r="G249" i="1"/>
  <c r="G253" i="1"/>
  <c r="G265" i="1"/>
  <c r="G269" i="1"/>
  <c r="G281" i="1"/>
  <c r="G285" i="1"/>
  <c r="G297" i="1"/>
  <c r="G301" i="1"/>
  <c r="G303" i="1"/>
  <c r="G305" i="1"/>
  <c r="G307" i="1"/>
  <c r="G309" i="1"/>
  <c r="G313" i="1"/>
  <c r="G317" i="1"/>
  <c r="G315" i="1"/>
  <c r="X291" i="1"/>
  <c r="G15" i="1"/>
  <c r="G31" i="1"/>
  <c r="G47" i="1"/>
  <c r="G63" i="1"/>
  <c r="G79" i="1"/>
  <c r="G95" i="1"/>
  <c r="G111" i="1"/>
  <c r="G127" i="1"/>
  <c r="G143" i="1"/>
  <c r="G159" i="1"/>
  <c r="G175" i="1"/>
  <c r="G191" i="1"/>
  <c r="G207" i="1"/>
  <c r="G223" i="1"/>
  <c r="G239" i="1"/>
  <c r="G255" i="1"/>
  <c r="G271" i="1"/>
  <c r="G287" i="1"/>
  <c r="G294" i="1"/>
  <c r="G296" i="1"/>
  <c r="G298" i="1"/>
  <c r="G300" i="1"/>
  <c r="G302" i="1"/>
  <c r="G304" i="1"/>
  <c r="G306" i="1"/>
  <c r="G308" i="1"/>
  <c r="G310" i="1"/>
  <c r="G312" i="1"/>
  <c r="G314" i="1"/>
  <c r="G316" i="1"/>
  <c r="X290" i="1"/>
  <c r="Y274" i="1"/>
  <c r="Y250" i="1"/>
  <c r="Y43" i="1"/>
  <c r="Y235" i="1"/>
  <c r="Y166" i="1"/>
  <c r="Y79" i="1"/>
  <c r="Y223" i="1"/>
  <c r="Y163" i="1"/>
  <c r="Y262" i="1"/>
  <c r="G12" i="1"/>
  <c r="G16" i="1"/>
  <c r="G28" i="1"/>
  <c r="G32" i="1"/>
  <c r="G44" i="1"/>
  <c r="G48" i="1"/>
  <c r="G60" i="1"/>
  <c r="G64" i="1"/>
  <c r="G76" i="1"/>
  <c r="G80" i="1"/>
  <c r="G92" i="1"/>
  <c r="G96" i="1"/>
  <c r="G108" i="1"/>
  <c r="G112" i="1"/>
  <c r="G124" i="1"/>
  <c r="G128" i="1"/>
  <c r="G140" i="1"/>
  <c r="G144" i="1"/>
  <c r="G156" i="1"/>
  <c r="G160" i="1"/>
  <c r="G172" i="1"/>
  <c r="G176" i="1"/>
  <c r="G188" i="1"/>
  <c r="G192" i="1"/>
  <c r="G204" i="1"/>
  <c r="G208" i="1"/>
  <c r="G220" i="1"/>
  <c r="G224" i="1"/>
  <c r="G236" i="1"/>
  <c r="G240" i="1"/>
  <c r="G252" i="1"/>
  <c r="G256" i="1"/>
  <c r="G268" i="1"/>
  <c r="G272" i="1"/>
  <c r="G284" i="1"/>
  <c r="G288" i="1"/>
  <c r="Y4" i="1"/>
  <c r="G5" i="1"/>
  <c r="G17" i="1"/>
  <c r="G21" i="1"/>
  <c r="G33" i="1"/>
  <c r="G37" i="1"/>
  <c r="G49" i="1"/>
  <c r="G53" i="1"/>
  <c r="G65" i="1"/>
  <c r="G69" i="1"/>
  <c r="G81" i="1"/>
  <c r="G85" i="1"/>
  <c r="G97" i="1"/>
  <c r="G101" i="1"/>
  <c r="G113" i="1"/>
  <c r="G117" i="1"/>
  <c r="G129" i="1"/>
  <c r="G133" i="1"/>
  <c r="G145" i="1"/>
  <c r="G149" i="1"/>
  <c r="G161" i="1"/>
  <c r="G165" i="1"/>
  <c r="G177" i="1"/>
  <c r="G181" i="1"/>
  <c r="G193" i="1"/>
  <c r="G197" i="1"/>
  <c r="G209" i="1"/>
  <c r="G213" i="1"/>
  <c r="G225" i="1"/>
  <c r="G229" i="1"/>
  <c r="G241" i="1"/>
  <c r="G245" i="1"/>
  <c r="G257" i="1"/>
  <c r="G261" i="1"/>
  <c r="G273" i="1"/>
  <c r="G277" i="1"/>
  <c r="G289" i="1"/>
  <c r="Y19" i="1"/>
  <c r="Y289" i="1"/>
  <c r="Y175" i="1"/>
  <c r="Y115" i="1"/>
  <c r="Y70" i="1"/>
  <c r="Y187" i="1"/>
  <c r="Y118" i="1"/>
  <c r="Y271" i="1"/>
  <c r="Y247" i="1"/>
  <c r="Y211" i="1"/>
  <c r="Y142" i="1"/>
  <c r="Y127" i="1"/>
  <c r="R292" i="1"/>
  <c r="E292" i="1"/>
  <c r="F292" i="1"/>
  <c r="I292" i="1"/>
  <c r="J292" i="1"/>
  <c r="H292" i="1"/>
  <c r="O292" i="1"/>
  <c r="S292" i="1"/>
  <c r="P292" i="1"/>
  <c r="T292" i="1"/>
  <c r="M291" i="1"/>
  <c r="M290" i="1"/>
  <c r="Q291" i="1"/>
  <c r="Q290" i="1"/>
  <c r="U291" i="1"/>
  <c r="U290" i="1"/>
  <c r="E291" i="1"/>
  <c r="E290" i="1"/>
  <c r="N290" i="1"/>
  <c r="N291" i="1"/>
  <c r="R290" i="1"/>
  <c r="R291" i="1"/>
  <c r="I291" i="1"/>
  <c r="I290" i="1"/>
  <c r="J290" i="1"/>
  <c r="J291" i="1"/>
  <c r="H291" i="1"/>
  <c r="H290" i="1"/>
  <c r="K291" i="1"/>
  <c r="K290" i="1"/>
  <c r="O290" i="1"/>
  <c r="O291" i="1"/>
  <c r="S290" i="1"/>
  <c r="S291" i="1"/>
  <c r="F290" i="1"/>
  <c r="F291" i="1"/>
  <c r="L291" i="1"/>
  <c r="L290" i="1"/>
  <c r="P291" i="1"/>
  <c r="P290" i="1"/>
  <c r="T291" i="1"/>
  <c r="T290" i="1"/>
  <c r="G3" i="1"/>
  <c r="G27" i="1"/>
  <c r="G43" i="1"/>
  <c r="G55" i="1"/>
  <c r="G67" i="1"/>
  <c r="G91" i="1"/>
  <c r="G107" i="1"/>
  <c r="G119" i="1"/>
  <c r="G131" i="1"/>
  <c r="G155" i="1"/>
  <c r="G167" i="1"/>
  <c r="G179" i="1"/>
  <c r="G203" i="1"/>
  <c r="G215" i="1"/>
  <c r="G227" i="1"/>
  <c r="G251" i="1"/>
  <c r="G263" i="1"/>
  <c r="G283" i="1"/>
  <c r="G7" i="1"/>
  <c r="G19" i="1"/>
  <c r="G35" i="1"/>
  <c r="G59" i="1"/>
  <c r="G71" i="1"/>
  <c r="G83" i="1"/>
  <c r="G103" i="1"/>
  <c r="G115" i="1"/>
  <c r="G139" i="1"/>
  <c r="G147" i="1"/>
  <c r="G171" i="1"/>
  <c r="G183" i="1"/>
  <c r="G195" i="1"/>
  <c r="G219" i="1"/>
  <c r="G231" i="1"/>
  <c r="G243" i="1"/>
  <c r="G267" i="1"/>
  <c r="G275" i="1"/>
  <c r="G11" i="1"/>
  <c r="G23" i="1"/>
  <c r="G39" i="1"/>
  <c r="G51" i="1"/>
  <c r="G75" i="1"/>
  <c r="G87" i="1"/>
  <c r="G99" i="1"/>
  <c r="G123" i="1"/>
  <c r="G135" i="1"/>
  <c r="G151" i="1"/>
  <c r="G163" i="1"/>
  <c r="G187" i="1"/>
  <c r="G199" i="1"/>
  <c r="G211" i="1"/>
  <c r="G235" i="1"/>
  <c r="G247" i="1"/>
  <c r="G259" i="1"/>
  <c r="G279" i="1"/>
  <c r="G2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G282" i="1"/>
  <c r="G286" i="1"/>
  <c r="AP2" i="1" l="1"/>
  <c r="Y291" i="1"/>
  <c r="AA290" i="1"/>
  <c r="AA292" i="1"/>
  <c r="AA291" i="1"/>
  <c r="Y290" i="1"/>
  <c r="Y292" i="1"/>
  <c r="G292" i="1"/>
  <c r="G290" i="1"/>
  <c r="G291" i="1"/>
</calcChain>
</file>

<file path=xl/sharedStrings.xml><?xml version="1.0" encoding="utf-8"?>
<sst xmlns="http://schemas.openxmlformats.org/spreadsheetml/2006/main" count="70312" uniqueCount="694">
  <si>
    <t>DATE</t>
  </si>
  <si>
    <t>Sales in $MM</t>
  </si>
  <si>
    <t xml:space="preserve">Individual income tax </t>
  </si>
  <si>
    <t>Business income tax</t>
  </si>
  <si>
    <t>Other [1]</t>
  </si>
  <si>
    <t xml:space="preserve">Total 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</si>
  <si>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</si>
  <si>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</si>
  <si>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</si>
  <si>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</si>
  <si>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</si>
  <si>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</si>
  <si>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PSAVERT</t>
  </si>
  <si>
    <t>Personal Saving Rate, Percent, Monthly, Seasonally Adjusted Annual Rate</t>
  </si>
  <si>
    <t>Frequency: Monthly</t>
  </si>
  <si>
    <t>observation_date</t>
  </si>
  <si>
    <t>Personal Savings Rate</t>
  </si>
  <si>
    <t>LOCATION</t>
  </si>
  <si>
    <t>INDICATOR</t>
  </si>
  <si>
    <t>SUBJECT</t>
  </si>
  <si>
    <t>MEASURE</t>
  </si>
  <si>
    <t>FREQUENCY</t>
  </si>
  <si>
    <t>TIME</t>
  </si>
  <si>
    <t>Value</t>
  </si>
  <si>
    <t>Flag Codes</t>
  </si>
  <si>
    <t>NLD</t>
  </si>
  <si>
    <t>CCI</t>
  </si>
  <si>
    <t>AMPLITUD</t>
  </si>
  <si>
    <t>LTRENDIDX</t>
  </si>
  <si>
    <t>M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</si>
  <si>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</si>
  <si>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</si>
  <si>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</si>
  <si>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</si>
  <si>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</si>
  <si>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</si>
  <si>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</si>
  <si>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</si>
  <si>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</si>
  <si>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</si>
  <si>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</si>
  <si>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</si>
  <si>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</si>
  <si>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</si>
  <si>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</si>
  <si>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</si>
  <si>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</si>
  <si>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</si>
  <si>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</si>
  <si>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</si>
  <si>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</si>
  <si>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</si>
  <si>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</si>
  <si>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</si>
  <si>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</si>
  <si>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</si>
  <si>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</si>
  <si>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</si>
  <si>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</si>
  <si>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</si>
  <si>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</si>
  <si>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</si>
  <si>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</si>
  <si>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</si>
  <si>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</si>
  <si>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</si>
  <si>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</si>
  <si>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</si>
  <si>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</si>
  <si>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</si>
  <si>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</si>
  <si>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</si>
  <si>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</si>
  <si>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</si>
  <si>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</si>
  <si>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</si>
  <si>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</si>
  <si>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</si>
  <si>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</si>
  <si>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</si>
  <si>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</si>
  <si>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</si>
  <si>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</si>
  <si>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</si>
  <si>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</si>
  <si>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</si>
  <si>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</si>
  <si>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</si>
  <si>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</si>
  <si>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</si>
  <si>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</si>
  <si>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</si>
  <si>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</si>
  <si>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</si>
  <si>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</si>
  <si>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</si>
  <si>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</si>
  <si>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</si>
  <si>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</si>
  <si>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</si>
  <si>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</si>
  <si>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</si>
  <si>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</si>
  <si>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</si>
  <si>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</si>
  <si>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</si>
  <si>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</si>
  <si>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</si>
  <si>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</si>
  <si>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</si>
  <si>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</si>
  <si>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</si>
  <si>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</si>
  <si>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</si>
  <si>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</si>
  <si>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</si>
  <si>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</si>
  <si>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</si>
  <si>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</si>
  <si>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</si>
  <si>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</si>
  <si>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</si>
  <si>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</si>
  <si>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</si>
  <si>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</si>
  <si>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</si>
  <si>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</si>
  <si>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</si>
  <si>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</si>
  <si>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</si>
  <si>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</si>
  <si>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</si>
  <si>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</si>
  <si>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</si>
  <si>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</si>
  <si>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</si>
  <si>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</si>
  <si>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</si>
  <si>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</si>
  <si>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</si>
  <si>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</si>
  <si>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</si>
  <si>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</si>
  <si>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</si>
  <si>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</si>
  <si>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</si>
  <si>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</si>
  <si>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</si>
  <si>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</si>
  <si>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</si>
  <si>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</si>
  <si>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</si>
  <si>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</si>
  <si>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</si>
  <si>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</si>
  <si>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</si>
  <si>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</si>
  <si>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</si>
  <si>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</si>
  <si>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</si>
  <si>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</si>
  <si>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</si>
  <si>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</si>
  <si>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</si>
  <si>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</si>
  <si>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</si>
  <si>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</si>
  <si>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</si>
  <si>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</si>
  <si>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</si>
  <si>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</si>
  <si>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</si>
  <si>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</si>
  <si>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</si>
  <si>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</si>
  <si>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</si>
  <si>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</si>
  <si>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</si>
  <si>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</si>
  <si>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</si>
  <si>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</si>
  <si>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</si>
  <si>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</si>
  <si>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</si>
  <si>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</si>
  <si>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</si>
  <si>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</si>
  <si>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</si>
  <si>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</si>
  <si>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</si>
  <si>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</si>
  <si>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</si>
  <si>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</si>
  <si>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</si>
  <si>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</si>
  <si>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</si>
  <si>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</si>
  <si>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</si>
  <si>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</si>
  <si>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</si>
  <si>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</si>
  <si>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</si>
  <si>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</si>
  <si>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</si>
  <si>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</si>
  <si>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</si>
  <si>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</si>
  <si>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</si>
  <si>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</si>
  <si>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</si>
  <si>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</si>
  <si>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</si>
  <si>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</si>
  <si>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</si>
  <si>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</si>
  <si>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</si>
  <si>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</si>
  <si>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</si>
  <si>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</si>
  <si>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</si>
  <si>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</si>
  <si>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</si>
  <si>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</si>
  <si>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</si>
  <si>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</si>
  <si>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</si>
  <si>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</si>
  <si>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</si>
  <si>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</si>
  <si>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</si>
  <si>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</si>
  <si>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</si>
  <si>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</si>
  <si>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</si>
  <si>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</si>
  <si>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</si>
  <si>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</si>
  <si>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</si>
  <si>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</si>
  <si>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</si>
  <si>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</si>
  <si>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</si>
  <si>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</si>
  <si>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</si>
  <si>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</si>
  <si>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</si>
  <si>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</si>
  <si>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</si>
  <si>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</si>
  <si>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</si>
  <si>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</si>
  <si>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</si>
  <si>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</si>
  <si>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</si>
  <si>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</si>
  <si>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</si>
  <si>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</si>
  <si>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</si>
  <si>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</si>
  <si>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</si>
  <si>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</si>
  <si>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</si>
  <si>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</si>
  <si>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</si>
  <si>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</si>
  <si>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</si>
  <si>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</si>
  <si>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</si>
  <si>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</si>
  <si>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</si>
  <si>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</si>
  <si>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</si>
  <si>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</si>
  <si>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</si>
  <si>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</si>
  <si>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</si>
  <si>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</si>
  <si>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</si>
  <si>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</si>
  <si>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</si>
  <si>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</si>
  <si>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</si>
  <si>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</si>
  <si>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</si>
  <si>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</si>
  <si>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</si>
  <si>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</si>
  <si>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</si>
  <si>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</si>
  <si>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</si>
  <si>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</si>
  <si>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</si>
  <si>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</si>
  <si>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</si>
  <si>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</si>
  <si>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</si>
  <si>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</si>
  <si>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</si>
  <si>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</si>
  <si>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</si>
  <si>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</si>
  <si>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</si>
  <si>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</si>
  <si>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</si>
  <si>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</si>
  <si>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</si>
  <si>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</si>
  <si>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</si>
  <si>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</si>
  <si>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</si>
  <si>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</si>
  <si>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</si>
  <si>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</si>
  <si>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</si>
  <si>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</si>
  <si>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</si>
  <si>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</si>
  <si>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</si>
  <si>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</si>
  <si>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</si>
  <si>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</si>
  <si>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</si>
  <si>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</si>
  <si>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</si>
  <si>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</si>
  <si>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</si>
  <si>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</si>
  <si>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</si>
  <si>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</si>
  <si>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</si>
  <si>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</si>
  <si>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</si>
  <si>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</si>
  <si>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</si>
  <si>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</si>
  <si>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</si>
  <si>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</si>
  <si>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</si>
  <si>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</si>
  <si>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</si>
  <si>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</si>
  <si>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</si>
  <si>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</si>
  <si>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</si>
  <si>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</si>
  <si>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</si>
  <si>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</si>
  <si>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CHE</t>
  </si>
  <si>
    <t>FRA</t>
  </si>
  <si>
    <t>POL</t>
  </si>
  <si>
    <t>CZE</t>
  </si>
  <si>
    <t>JPN</t>
  </si>
  <si>
    <t>OECDE</t>
  </si>
  <si>
    <t>AUS</t>
  </si>
  <si>
    <t>OECD</t>
  </si>
  <si>
    <t>SWE</t>
  </si>
  <si>
    <t>MEX</t>
  </si>
  <si>
    <t>GBR</t>
  </si>
  <si>
    <t>ZAF</t>
  </si>
  <si>
    <t>USA</t>
  </si>
  <si>
    <t>HUN</t>
  </si>
  <si>
    <t>PRT</t>
  </si>
  <si>
    <t>DNK</t>
  </si>
  <si>
    <t>ESP</t>
  </si>
  <si>
    <t>LUX</t>
  </si>
  <si>
    <t>GRC</t>
  </si>
  <si>
    <t>BRA</t>
  </si>
  <si>
    <t>SVK</t>
  </si>
  <si>
    <t>CHN</t>
  </si>
  <si>
    <t>BEL</t>
  </si>
  <si>
    <t>FIN</t>
  </si>
  <si>
    <t>NZL</t>
  </si>
  <si>
    <t>G-7</t>
  </si>
  <si>
    <t>IDN</t>
  </si>
  <si>
    <t>TUR</t>
  </si>
  <si>
    <t>AUT</t>
  </si>
  <si>
    <t>ITA</t>
  </si>
  <si>
    <t>IRL</t>
  </si>
  <si>
    <t>SVN</t>
  </si>
  <si>
    <t>DEU</t>
  </si>
  <si>
    <t>KOR</t>
  </si>
  <si>
    <t>EST</t>
  </si>
  <si>
    <t>EA19</t>
  </si>
  <si>
    <t>ISR</t>
  </si>
  <si>
    <t>RUS</t>
  </si>
  <si>
    <t>LVA</t>
  </si>
  <si>
    <t>https://data.oecd.org/leadind/consumer-confidence-index-cci.htm</t>
  </si>
  <si>
    <t>Labor Force Statistics from the Current Population Survey</t>
  </si>
  <si>
    <t>Original Data Value</t>
  </si>
  <si>
    <t>Series Id:</t>
  </si>
  <si>
    <t>LNS14000000</t>
  </si>
  <si>
    <t>Seasonally Adjusted</t>
  </si>
  <si>
    <t>Series title:</t>
  </si>
  <si>
    <t>(Seas) Unemployment Rate</t>
  </si>
  <si>
    <t>Labor force status:</t>
  </si>
  <si>
    <t>Unemployment rate</t>
  </si>
  <si>
    <t>Type of data:</t>
  </si>
  <si>
    <t>Percent or rate</t>
  </si>
  <si>
    <t>Age:</t>
  </si>
  <si>
    <t>16 years and over</t>
  </si>
  <si>
    <t>Years:</t>
  </si>
  <si>
    <t>1992 to 2018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</si>
  <si>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</si>
  <si>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</si>
  <si>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</si>
  <si>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</si>
  <si>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</si>
  <si>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</si>
  <si>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</si>
  <si>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</si>
  <si>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</si>
  <si>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</si>
  <si>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</si>
  <si>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</si>
  <si>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</si>
  <si>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</si>
  <si>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Houses For Sale by Region and Months'  Supply at Current Sales Rate</t>
  </si>
  <si>
    <t>(Components may not add to total because of rounding.  Number of housing units in thousands.)</t>
  </si>
  <si>
    <t>Not Seasonally adjusted</t>
  </si>
  <si>
    <t xml:space="preserve">Seasonally adjusted </t>
  </si>
  <si>
    <t>For sale at end of period</t>
  </si>
  <si>
    <t>Months'</t>
  </si>
  <si>
    <t>Period</t>
  </si>
  <si>
    <t>Supply</t>
  </si>
  <si>
    <t>For sale at</t>
  </si>
  <si>
    <t>United</t>
  </si>
  <si>
    <t>North-</t>
  </si>
  <si>
    <t>Mid-</t>
  </si>
  <si>
    <t>South</t>
  </si>
  <si>
    <t>West</t>
  </si>
  <si>
    <t>at Current</t>
  </si>
  <si>
    <t>end of</t>
  </si>
  <si>
    <t>States</t>
  </si>
  <si>
    <t>east</t>
  </si>
  <si>
    <r>
      <t>sales rate</t>
    </r>
    <r>
      <rPr>
        <vertAlign val="superscript"/>
        <sz val="10"/>
        <rFont val="Arial"/>
        <family val="2"/>
      </rPr>
      <t>1</t>
    </r>
  </si>
  <si>
    <t>period</t>
  </si>
  <si>
    <t>(NA)</t>
  </si>
  <si>
    <r>
      <t>1</t>
    </r>
    <r>
      <rPr>
        <sz val="10"/>
        <rFont val="Arial"/>
        <family val="2"/>
      </rPr>
      <t>Ratio of houses for sale to houses sold.</t>
    </r>
  </si>
  <si>
    <t xml:space="preserve">Note: Estimates prior to 1999 include an upward adjustment of 3.3 percent made to account for </t>
  </si>
  <si>
    <t>houses for sale in permit-issuing areas that will never have a permit authorization.</t>
  </si>
  <si>
    <t>Houses for sale</t>
  </si>
  <si>
    <t>HOUST</t>
  </si>
  <si>
    <t>Housing Starts: Total: New Privately Owned Housing Units Started, Thousands of Units, Monthly, Seasonally Adjusted Annual Rate</t>
  </si>
  <si>
    <t>House Starts</t>
  </si>
  <si>
    <t>ALFRED Graph Observations</t>
  </si>
  <si>
    <t>Archival Federal Reserve Economic Data</t>
  </si>
  <si>
    <t>Link: https://alfred.stlouisfed.org</t>
  </si>
  <si>
    <t>Help: https://alfred.stlouisfed.org/help</t>
  </si>
  <si>
    <t>MSPNHSUS_20180226</t>
  </si>
  <si>
    <t>Median Sales Price for New Houses Sold in the United States Vintage: 2018-02-26, Dollars, Monthly, Not Seasonally Adjusted</t>
  </si>
  <si>
    <t>MSPNHSUS_20180323</t>
  </si>
  <si>
    <t>Median Sales Price for New Houses Sold in the United States Vintage: 2018-03-23, Dollars, Monthly, Not Seasonally Adjusted</t>
  </si>
  <si>
    <t>ss</t>
  </si>
  <si>
    <t>New house sales</t>
  </si>
  <si>
    <t>Date</t>
  </si>
  <si>
    <t>Sales</t>
  </si>
  <si>
    <t>Open</t>
  </si>
  <si>
    <t>High</t>
  </si>
  <si>
    <t>Low</t>
  </si>
  <si>
    <t>Close</t>
  </si>
  <si>
    <t>Adj Close</t>
  </si>
  <si>
    <t>Volume</t>
  </si>
  <si>
    <t>% change</t>
  </si>
  <si>
    <t>S&amp;P Sales_Price Index</t>
  </si>
  <si>
    <t>DPI($bn)</t>
  </si>
  <si>
    <t>US households (in thousands)</t>
  </si>
  <si>
    <t>CPI_Index</t>
  </si>
  <si>
    <t>RSBMGESD</t>
  </si>
  <si>
    <t>Advance Retail Sales: Building Materials, Garden Equipment and Supplies Dealers, Millions of Dollars, Monthly, Seasonally Adjusted</t>
  </si>
  <si>
    <t>Actual</t>
  </si>
  <si>
    <t>5.54M</t>
  </si>
  <si>
    <t>5.38M</t>
  </si>
  <si>
    <t>5.57M</t>
  </si>
  <si>
    <t>5.81M</t>
  </si>
  <si>
    <t>5.48M</t>
  </si>
  <si>
    <t>5.39M</t>
  </si>
  <si>
    <t>5.35M</t>
  </si>
  <si>
    <t>5.44M</t>
  </si>
  <si>
    <t>5.52M</t>
  </si>
  <si>
    <t>5.62M</t>
  </si>
  <si>
    <t>5.71M</t>
  </si>
  <si>
    <t>5.69M</t>
  </si>
  <si>
    <t>5.49M</t>
  </si>
  <si>
    <t>5.61M</t>
  </si>
  <si>
    <t>5.60M</t>
  </si>
  <si>
    <t>5.47M</t>
  </si>
  <si>
    <t>5.33M</t>
  </si>
  <si>
    <t>5.53M</t>
  </si>
  <si>
    <t>5.45M</t>
  </si>
  <si>
    <t>5.08M</t>
  </si>
  <si>
    <t>5.46M</t>
  </si>
  <si>
    <t>4.76M</t>
  </si>
  <si>
    <t>5.36M</t>
  </si>
  <si>
    <t>5.55M</t>
  </si>
  <si>
    <t>5.31M</t>
  </si>
  <si>
    <t>5.59M</t>
  </si>
  <si>
    <t>5.04M</t>
  </si>
  <si>
    <t>5.19M</t>
  </si>
  <si>
    <t>4.88M</t>
  </si>
  <si>
    <t>4.82M</t>
  </si>
  <si>
    <t>4.93M</t>
  </si>
  <si>
    <t>5.26M</t>
  </si>
  <si>
    <t>5.17M</t>
  </si>
  <si>
    <t>5.05M</t>
  </si>
  <si>
    <t>5.15M</t>
  </si>
  <si>
    <t>4.89M</t>
  </si>
  <si>
    <t>4.65M</t>
  </si>
  <si>
    <t>4.59M</t>
  </si>
  <si>
    <t>4.60M</t>
  </si>
  <si>
    <t>4.62M</t>
  </si>
  <si>
    <t>4.87M</t>
  </si>
  <si>
    <t>4.90M</t>
  </si>
  <si>
    <t>5.12M</t>
  </si>
  <si>
    <t>5.29M</t>
  </si>
  <si>
    <t>5.18M</t>
  </si>
  <si>
    <t>4.97M</t>
  </si>
  <si>
    <t>4.92M</t>
  </si>
  <si>
    <t>4.98M</t>
  </si>
  <si>
    <t>4.94M</t>
  </si>
  <si>
    <t>4.79M</t>
  </si>
  <si>
    <t>4.75M</t>
  </si>
  <si>
    <t>4.47M</t>
  </si>
  <si>
    <t>4.37M</t>
  </si>
  <si>
    <t>4.55M</t>
  </si>
  <si>
    <t>4.48M</t>
  </si>
  <si>
    <t>4.57M</t>
  </si>
  <si>
    <t>4.61M</t>
  </si>
  <si>
    <t>4.42M</t>
  </si>
  <si>
    <t>4.91M</t>
  </si>
  <si>
    <t>5.03M</t>
  </si>
  <si>
    <t>4.67M</t>
  </si>
  <si>
    <t>4.77M</t>
  </si>
  <si>
    <t>4.81M</t>
  </si>
  <si>
    <t>5.10M</t>
  </si>
  <si>
    <t>5.28M</t>
  </si>
  <si>
    <t>4.68M</t>
  </si>
  <si>
    <t>4.43M</t>
  </si>
  <si>
    <t>4.53M</t>
  </si>
  <si>
    <t>4.13M</t>
  </si>
  <si>
    <t>3.83M</t>
  </si>
  <si>
    <t>5.37M</t>
  </si>
  <si>
    <t>5.66M</t>
  </si>
  <si>
    <t>5.77M</t>
  </si>
  <si>
    <t>5.02M</t>
  </si>
  <si>
    <t>6.54M</t>
  </si>
  <si>
    <t>6.10M</t>
  </si>
  <si>
    <t>5.24M</t>
  </si>
  <si>
    <t>4.72M</t>
  </si>
  <si>
    <t>4.49M</t>
  </si>
  <si>
    <t>4.74M</t>
  </si>
  <si>
    <t>5.00M</t>
  </si>
  <si>
    <t>4.86M</t>
  </si>
  <si>
    <t>4.99M</t>
  </si>
  <si>
    <t>4.41M</t>
  </si>
  <si>
    <t>4.46M</t>
  </si>
  <si>
    <t>4.58M</t>
  </si>
  <si>
    <t>5.07M</t>
  </si>
  <si>
    <t>5.27M</t>
  </si>
  <si>
    <t>5.79M</t>
  </si>
  <si>
    <t>5.74M</t>
  </si>
  <si>
    <t>6.40M</t>
  </si>
  <si>
    <t>6.34M</t>
  </si>
  <si>
    <t>6.36M</t>
  </si>
  <si>
    <t>6.28M</t>
  </si>
  <si>
    <t>6.32M</t>
  </si>
  <si>
    <t>6.48M</t>
  </si>
  <si>
    <t>6.58M</t>
  </si>
  <si>
    <t>6.70M</t>
  </si>
  <si>
    <t>6.83M</t>
  </si>
  <si>
    <t>6.84M</t>
  </si>
  <si>
    <t>6.72M</t>
  </si>
  <si>
    <t>7.03M</t>
  </si>
  <si>
    <t>7.10M</t>
  </si>
  <si>
    <t>7.25M</t>
  </si>
  <si>
    <t>7.23M</t>
  </si>
  <si>
    <t>7.14M</t>
  </si>
  <si>
    <t>7.18M</t>
  </si>
  <si>
    <t>7.08M</t>
  </si>
  <si>
    <t>7.12M</t>
  </si>
  <si>
    <t>6.96M</t>
  </si>
  <si>
    <t>6.88M</t>
  </si>
  <si>
    <t>6.89M</t>
  </si>
  <si>
    <t>6.85M</t>
  </si>
  <si>
    <t>6.68M</t>
  </si>
  <si>
    <t>6.92M</t>
  </si>
  <si>
    <t>6.73M</t>
  </si>
  <si>
    <t>6.66M</t>
  </si>
  <si>
    <t>6.41M</t>
  </si>
  <si>
    <t>6.23M</t>
  </si>
  <si>
    <t>6.49M</t>
  </si>
  <si>
    <t>6.39M</t>
  </si>
  <si>
    <t>6.52M</t>
  </si>
  <si>
    <t>6.27M</t>
  </si>
  <si>
    <t>5.94M</t>
  </si>
  <si>
    <t>5.84M</t>
  </si>
  <si>
    <t>5.86M</t>
  </si>
  <si>
    <t>6.02M</t>
  </si>
  <si>
    <t>6.03M</t>
  </si>
  <si>
    <t>5.97M</t>
  </si>
  <si>
    <t>5.73M</t>
  </si>
  <si>
    <t>5.68M</t>
  </si>
  <si>
    <t>5.41M</t>
  </si>
  <si>
    <t>5.51M</t>
  </si>
  <si>
    <t>5.64M</t>
  </si>
  <si>
    <t>5.67M</t>
  </si>
  <si>
    <t>5.63M</t>
  </si>
  <si>
    <t>5.90M</t>
  </si>
  <si>
    <t>5.25M</t>
  </si>
  <si>
    <t>5.23M</t>
  </si>
  <si>
    <t>5.43M</t>
  </si>
  <si>
    <t>5.32M</t>
  </si>
  <si>
    <t>5.11M</t>
  </si>
  <si>
    <t>5.13M</t>
  </si>
  <si>
    <t>5.20M</t>
  </si>
  <si>
    <t>5.09M</t>
  </si>
  <si>
    <t>4.96M</t>
  </si>
  <si>
    <t>4.83M</t>
  </si>
  <si>
    <t>4.30M</t>
  </si>
  <si>
    <t>4.25M</t>
  </si>
  <si>
    <t>4.32M</t>
  </si>
  <si>
    <t>4.19M</t>
  </si>
  <si>
    <t>4.28M</t>
  </si>
  <si>
    <t>4.26M</t>
  </si>
  <si>
    <t>4.17M</t>
  </si>
  <si>
    <t>4.21M</t>
  </si>
  <si>
    <t>4.12M</t>
  </si>
  <si>
    <t>4.24M</t>
  </si>
  <si>
    <t>4.31M</t>
  </si>
  <si>
    <t>4.34M</t>
  </si>
  <si>
    <t>4.20M</t>
  </si>
  <si>
    <t>4.01M</t>
  </si>
  <si>
    <t>4.06M</t>
  </si>
  <si>
    <t>4.10M</t>
  </si>
  <si>
    <t>4.11M</t>
  </si>
  <si>
    <t>3.96M</t>
  </si>
  <si>
    <t>3.84M</t>
  </si>
  <si>
    <t>3.69M</t>
  </si>
  <si>
    <t>3.46M</t>
  </si>
  <si>
    <t>3.65M</t>
  </si>
  <si>
    <t>3.67M</t>
  </si>
  <si>
    <t>3.68M</t>
  </si>
  <si>
    <t>3.81M</t>
  </si>
  <si>
    <t>3.71M</t>
  </si>
  <si>
    <t>3.78M</t>
  </si>
  <si>
    <t>3.76M</t>
  </si>
  <si>
    <t>3.85M</t>
  </si>
  <si>
    <t>3.82M</t>
  </si>
  <si>
    <t>3.97M</t>
  </si>
  <si>
    <t>4.09M</t>
  </si>
  <si>
    <t>4.14M</t>
  </si>
  <si>
    <t>4.05M</t>
  </si>
  <si>
    <t>4.08M</t>
  </si>
  <si>
    <t>3.93M</t>
  </si>
  <si>
    <t>3.92M</t>
  </si>
  <si>
    <t>3.72M</t>
  </si>
  <si>
    <t>3.60M</t>
  </si>
  <si>
    <t>3.44M</t>
  </si>
  <si>
    <t>3.54M</t>
  </si>
  <si>
    <t>3.66M</t>
  </si>
  <si>
    <t>3.59M</t>
  </si>
  <si>
    <t>3.39M</t>
  </si>
  <si>
    <t>3.32M</t>
  </si>
  <si>
    <t>3.35M</t>
  </si>
  <si>
    <t>3.34M</t>
  </si>
  <si>
    <t>3.42M</t>
  </si>
  <si>
    <t>3.50M</t>
  </si>
  <si>
    <t>3.51M</t>
  </si>
  <si>
    <t>3.26M</t>
  </si>
  <si>
    <t>3.14M</t>
  </si>
  <si>
    <t>3.09M</t>
  </si>
  <si>
    <t>3.07M</t>
  </si>
  <si>
    <t>3.17M</t>
  </si>
  <si>
    <t>3.13M</t>
  </si>
  <si>
    <t>3.40M</t>
  </si>
  <si>
    <t>3.23M</t>
  </si>
  <si>
    <t>Existing Home sales</t>
  </si>
  <si>
    <t>% Population change</t>
  </si>
  <si>
    <t>Home Depot Profit</t>
  </si>
  <si>
    <t>Lowe's Profit</t>
  </si>
  <si>
    <t>30 Year Mortgage</t>
  </si>
  <si>
    <t>#Construction Emplyees</t>
  </si>
  <si>
    <t>Fed Interest</t>
  </si>
  <si>
    <t>HD_Open</t>
  </si>
  <si>
    <t>HD_close</t>
  </si>
  <si>
    <t>HD_high</t>
  </si>
  <si>
    <t>HD_Low</t>
  </si>
  <si>
    <t>HD_Adjclose</t>
  </si>
  <si>
    <t>HD_Volume</t>
  </si>
  <si>
    <t>LOW_Open</t>
  </si>
  <si>
    <t>LOW_High</t>
  </si>
  <si>
    <t>LOW_Low</t>
  </si>
  <si>
    <t>LOW_Close</t>
  </si>
  <si>
    <t>LOW_Adj Close</t>
  </si>
  <si>
    <t>LOW_Volume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</si>
</sst>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3" formatCode="_(* #,##0.00_);_(* \(#,##0.00\);_(* &quot;-&quot;??_);_(@_)"/>
    <numFmt numFmtId="164" formatCode="yyyy\-mm\-dd"/>
    <numFmt numFmtId="165" formatCode="0.0"/>
    <numFmt numFmtId="166" formatCode="#0.0"/>
    <numFmt numFmtId="167" formatCode="mmm\ yyyy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vertAlign val="superscript"/>
      <sz val="10"/>
      <name val="Arial"/>
      <family val="2"/>
    </font>
    <font>
      <sz val="11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rgb="FFCCCCCC"/>
      </bottom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8" fillId="0" borderId="0"/>
    <xf numFmtId="0" fontId="19" fillId="0" borderId="0"/>
    <xf numFmtId="0" fontId="20" fillId="0" borderId="0" applyNumberFormat="0" applyFill="0" applyBorder="0" applyAlignment="0" applyProtection="0"/>
  </cellStyleXfs>
  <cellXfs count="69">
    <xf numFmtId="0" fontId="0" fillId="0" borderId="0" xfId="0"/>
    <xf numFmtId="14" fontId="0" fillId="0" borderId="0" xfId="0" applyNumberFormat="1"/>
    <xf numFmtId="6" fontId="0" fillId="0" borderId="0" xfId="0" applyNumberFormat="1"/>
    <xf numFmtId="3" fontId="0" fillId="0" borderId="0" xfId="0" applyNumberFormat="1"/>
    <xf numFmtId="0" fontId="19" fillId="0" borderId="0" xfId="46"/>
    <xf numFmtId="165" fontId="19" fillId="0" borderId="0" xfId="46" applyNumberFormat="1" applyFont="1" applyFill="1" applyBorder="1" applyAlignment="1" applyProtection="1"/>
    <xf numFmtId="164" fontId="19" fillId="0" borderId="0" xfId="46" applyNumberFormat="1" applyFont="1" applyFill="1" applyBorder="1" applyAlignment="1" applyProtection="1"/>
    <xf numFmtId="0" fontId="0" fillId="0" borderId="0" xfId="0"/>
    <xf numFmtId="0" fontId="0" fillId="0" borderId="0" xfId="0"/>
    <xf numFmtId="0" fontId="22" fillId="0" borderId="0" xfId="0" applyFont="1" applyFill="1" applyAlignment="1">
      <alignment horizontal="left" vertical="top" wrapText="1"/>
    </xf>
    <xf numFmtId="0" fontId="22" fillId="0" borderId="12" xfId="0" applyFont="1" applyFill="1" applyBorder="1" applyAlignment="1">
      <alignment horizontal="center" wrapText="1"/>
    </xf>
    <xf numFmtId="0" fontId="22" fillId="0" borderId="0" xfId="0" applyFont="1" applyFill="1" applyAlignment="1">
      <alignment horizontal="left"/>
    </xf>
    <xf numFmtId="166" fontId="23" fillId="0" borderId="0" xfId="0" applyNumberFormat="1" applyFont="1" applyFill="1" applyAlignment="1">
      <alignment horizontal="right"/>
    </xf>
    <xf numFmtId="0" fontId="0" fillId="0" borderId="0" xfId="0" applyNumberFormat="1"/>
    <xf numFmtId="0" fontId="14" fillId="0" borderId="0" xfId="0" applyFont="1"/>
    <xf numFmtId="167" fontId="24" fillId="0" borderId="0" xfId="0" applyNumberFormat="1" applyFont="1" applyAlignment="1">
      <alignment horizontal="centerContinuous"/>
    </xf>
    <xf numFmtId="0" fontId="24" fillId="0" borderId="0" xfId="0" applyFont="1" applyAlignment="1">
      <alignment horizontal="centerContinuous"/>
    </xf>
    <xf numFmtId="167" fontId="0" fillId="0" borderId="0" xfId="0" applyNumberFormat="1"/>
    <xf numFmtId="167" fontId="0" fillId="0" borderId="0" xfId="0" applyNumberFormat="1" applyAlignment="1">
      <alignment horizontal="centerContinuous"/>
    </xf>
    <xf numFmtId="0" fontId="0" fillId="0" borderId="0" xfId="0" applyAlignment="1">
      <alignment horizontal="centerContinuous"/>
    </xf>
    <xf numFmtId="167" fontId="18" fillId="0" borderId="13" xfId="0" applyNumberFormat="1" applyFont="1" applyBorder="1"/>
    <xf numFmtId="0" fontId="18" fillId="0" borderId="15" xfId="0" applyFont="1" applyBorder="1" applyAlignment="1">
      <alignment horizontal="centerContinuous"/>
    </xf>
    <xf numFmtId="0" fontId="18" fillId="0" borderId="14" xfId="0" applyFont="1" applyBorder="1" applyAlignment="1">
      <alignment horizontal="centerContinuous"/>
    </xf>
    <xf numFmtId="0" fontId="18" fillId="0" borderId="0" xfId="0" applyFont="1" applyBorder="1"/>
    <xf numFmtId="167" fontId="18" fillId="0" borderId="16" xfId="0" applyNumberFormat="1" applyFont="1" applyBorder="1" applyAlignment="1">
      <alignment horizontal="centerContinuous"/>
    </xf>
    <xf numFmtId="0" fontId="18" fillId="0" borderId="17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8" fillId="0" borderId="18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167" fontId="18" fillId="0" borderId="16" xfId="0" applyNumberFormat="1" applyFont="1" applyBorder="1" applyAlignment="1">
      <alignment horizontal="center"/>
    </xf>
    <xf numFmtId="0" fontId="18" fillId="0" borderId="19" xfId="0" applyFont="1" applyBorder="1" applyAlignment="1">
      <alignment horizontal="centerContinuous"/>
    </xf>
    <xf numFmtId="0" fontId="18" fillId="0" borderId="18" xfId="0" applyFont="1" applyBorder="1" applyAlignment="1">
      <alignment horizontal="centerContinuous"/>
    </xf>
    <xf numFmtId="0" fontId="18" fillId="0" borderId="16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167" fontId="18" fillId="0" borderId="16" xfId="0" applyNumberFormat="1" applyFont="1" applyBorder="1"/>
    <xf numFmtId="167" fontId="18" fillId="0" borderId="21" xfId="0" applyNumberFormat="1" applyFont="1" applyBorder="1"/>
    <xf numFmtId="0" fontId="18" fillId="0" borderId="17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0" borderId="22" xfId="0" applyFont="1" applyBorder="1" applyAlignment="1">
      <alignment horizontal="center"/>
    </xf>
    <xf numFmtId="167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0" fontId="25" fillId="0" borderId="0" xfId="0" applyFont="1" applyAlignment="1"/>
    <xf numFmtId="1" fontId="0" fillId="0" borderId="0" xfId="0" applyNumberFormat="1"/>
    <xf numFmtId="0" fontId="18" fillId="0" borderId="0" xfId="0" applyNumberFormat="1" applyFont="1" applyAlignment="1">
      <alignment horizontal="left"/>
    </xf>
    <xf numFmtId="14" fontId="0" fillId="0" borderId="0" xfId="0" applyNumberFormat="1" applyAlignment="1">
      <alignment horizontal="right"/>
    </xf>
    <xf numFmtId="0" fontId="18" fillId="0" borderId="0" xfId="45" applyFill="1"/>
    <xf numFmtId="0" fontId="18" fillId="0" borderId="0" xfId="45"/>
    <xf numFmtId="164" fontId="18" fillId="0" borderId="0" xfId="45" applyNumberFormat="1" applyFont="1" applyFill="1" applyBorder="1" applyAlignment="1" applyProtection="1"/>
    <xf numFmtId="1" fontId="18" fillId="0" borderId="0" xfId="45" applyNumberFormat="1" applyFont="1" applyFill="1" applyBorder="1" applyAlignment="1" applyProtection="1"/>
    <xf numFmtId="0" fontId="18" fillId="0" borderId="0" xfId="45"/>
    <xf numFmtId="164" fontId="18" fillId="0" borderId="0" xfId="45" applyNumberFormat="1" applyFont="1" applyFill="1" applyBorder="1" applyAlignment="1" applyProtection="1"/>
    <xf numFmtId="1" fontId="18" fillId="0" borderId="0" xfId="45" applyNumberFormat="1" applyFont="1" applyFill="1" applyBorder="1" applyAlignment="1" applyProtection="1"/>
    <xf numFmtId="10" fontId="0" fillId="0" borderId="0" xfId="0" applyNumberFormat="1"/>
    <xf numFmtId="11" fontId="0" fillId="0" borderId="0" xfId="0" applyNumberFormat="1"/>
    <xf numFmtId="0" fontId="20" fillId="0" borderId="0" xfId="47"/>
    <xf numFmtId="164" fontId="0" fillId="0" borderId="0" xfId="0" applyNumberFormat="1" applyFont="1" applyFill="1" applyBorder="1" applyAlignment="1" applyProtection="1"/>
    <xf numFmtId="1" fontId="0" fillId="0" borderId="0" xfId="0" applyNumberFormat="1" applyFont="1" applyFill="1" applyBorder="1" applyAlignment="1" applyProtection="1"/>
    <xf numFmtId="0" fontId="26" fillId="0" borderId="23" xfId="0" applyFont="1" applyBorder="1" applyAlignment="1">
      <alignment horizontal="right" vertical="top"/>
    </xf>
    <xf numFmtId="0" fontId="0" fillId="33" borderId="0" xfId="0" applyFill="1"/>
    <xf numFmtId="0" fontId="0" fillId="0" borderId="0" xfId="42" applyNumberFormat="1" applyFont="1"/>
    <xf numFmtId="0" fontId="18" fillId="0" borderId="10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23" fillId="0" borderId="0" xfId="0" applyFont="1" applyFill="1" applyAlignment="1">
      <alignment horizontal="left" vertical="top" wrapText="1"/>
    </xf>
    <xf numFmtId="0" fontId="0" fillId="0" borderId="0" xfId="0"/>
    <xf numFmtId="0" fontId="23" fillId="0" borderId="0" xfId="0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22" fillId="0" borderId="0" xfId="0" applyFont="1" applyFill="1" applyAlignment="1">
      <alignment horizontal="left" vertical="top" wrapText="1"/>
    </xf>
  </cellXfs>
  <cellStyles count="48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 xr:uid="{00000000-0005-0000-0000-00002F000000}"/>
    <cellStyle name="Comma 3" xfId="44" xr:uid="{00000000-0005-0000-0000-000030000000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7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5" xr:uid="{00000000-0005-0000-0000-000031000000}"/>
    <cellStyle name="Normal 3" xfId="46" xr:uid="{00000000-0005-0000-0000-000032000000}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rive/Downloads/Fed_Int%20(1)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d_Int (1)"/>
    </sheetNames>
    <sheetDataSet>
      <sheetData sheetId="0">
        <row r="2">
          <cell r="A2">
            <v>33604</v>
          </cell>
          <cell r="B2">
            <v>4.03</v>
          </cell>
        </row>
        <row r="3">
          <cell r="A3">
            <v>33635</v>
          </cell>
          <cell r="B3">
            <v>4.0599999999999996</v>
          </cell>
        </row>
        <row r="4">
          <cell r="A4">
            <v>33664</v>
          </cell>
          <cell r="B4">
            <v>3.98</v>
          </cell>
        </row>
        <row r="5">
          <cell r="A5">
            <v>33695</v>
          </cell>
          <cell r="B5">
            <v>3.73</v>
          </cell>
        </row>
        <row r="6">
          <cell r="A6">
            <v>33725</v>
          </cell>
          <cell r="B6">
            <v>3.82</v>
          </cell>
        </row>
        <row r="7">
          <cell r="A7">
            <v>33756</v>
          </cell>
          <cell r="B7">
            <v>3.76</v>
          </cell>
        </row>
        <row r="8">
          <cell r="A8">
            <v>33786</v>
          </cell>
          <cell r="B8">
            <v>3.25</v>
          </cell>
        </row>
        <row r="9">
          <cell r="A9">
            <v>33817</v>
          </cell>
          <cell r="B9">
            <v>3.3</v>
          </cell>
        </row>
        <row r="10">
          <cell r="A10">
            <v>33848</v>
          </cell>
          <cell r="B10">
            <v>3.22</v>
          </cell>
        </row>
        <row r="11">
          <cell r="A11">
            <v>33878</v>
          </cell>
          <cell r="B11">
            <v>3.1</v>
          </cell>
        </row>
        <row r="12">
          <cell r="A12">
            <v>33909</v>
          </cell>
          <cell r="B12">
            <v>3.09</v>
          </cell>
        </row>
        <row r="13">
          <cell r="A13">
            <v>33939</v>
          </cell>
          <cell r="B13">
            <v>2.92</v>
          </cell>
        </row>
        <row r="14">
          <cell r="A14">
            <v>33970</v>
          </cell>
          <cell r="B14">
            <v>3.02</v>
          </cell>
        </row>
        <row r="15">
          <cell r="A15">
            <v>34001</v>
          </cell>
          <cell r="B15">
            <v>3.03</v>
          </cell>
        </row>
        <row r="16">
          <cell r="A16">
            <v>34029</v>
          </cell>
          <cell r="B16">
            <v>3.07</v>
          </cell>
        </row>
        <row r="17">
          <cell r="A17">
            <v>34060</v>
          </cell>
          <cell r="B17">
            <v>2.96</v>
          </cell>
        </row>
        <row r="18">
          <cell r="A18">
            <v>34090</v>
          </cell>
          <cell r="B18">
            <v>3</v>
          </cell>
        </row>
        <row r="19">
          <cell r="A19">
            <v>34121</v>
          </cell>
          <cell r="B19">
            <v>3.04</v>
          </cell>
        </row>
        <row r="20">
          <cell r="A20">
            <v>34151</v>
          </cell>
          <cell r="B20">
            <v>3.06</v>
          </cell>
        </row>
        <row r="21">
          <cell r="A21">
            <v>34182</v>
          </cell>
          <cell r="B21">
            <v>3.03</v>
          </cell>
        </row>
        <row r="22">
          <cell r="A22">
            <v>34213</v>
          </cell>
          <cell r="B22">
            <v>3.09</v>
          </cell>
        </row>
        <row r="23">
          <cell r="A23">
            <v>34243</v>
          </cell>
          <cell r="B23">
            <v>2.99</v>
          </cell>
        </row>
        <row r="24">
          <cell r="A24">
            <v>34274</v>
          </cell>
          <cell r="B24">
            <v>3.02</v>
          </cell>
        </row>
        <row r="25">
          <cell r="A25">
            <v>34304</v>
          </cell>
          <cell r="B25">
            <v>2.96</v>
          </cell>
        </row>
        <row r="26">
          <cell r="A26">
            <v>34335</v>
          </cell>
          <cell r="B26">
            <v>3.05</v>
          </cell>
        </row>
        <row r="27">
          <cell r="A27">
            <v>34366</v>
          </cell>
          <cell r="B27">
            <v>3.25</v>
          </cell>
        </row>
        <row r="28">
          <cell r="A28">
            <v>34394</v>
          </cell>
          <cell r="B28">
            <v>3.34</v>
          </cell>
        </row>
        <row r="29">
          <cell r="A29">
            <v>34425</v>
          </cell>
          <cell r="B29">
            <v>3.56</v>
          </cell>
        </row>
        <row r="30">
          <cell r="A30">
            <v>34455</v>
          </cell>
          <cell r="B30">
            <v>4.01</v>
          </cell>
        </row>
        <row r="31">
          <cell r="A31">
            <v>34486</v>
          </cell>
          <cell r="B31">
            <v>4.25</v>
          </cell>
        </row>
        <row r="32">
          <cell r="A32">
            <v>34516</v>
          </cell>
          <cell r="B32">
            <v>4.26</v>
          </cell>
        </row>
        <row r="33">
          <cell r="A33">
            <v>34547</v>
          </cell>
          <cell r="B33">
            <v>4.47</v>
          </cell>
        </row>
        <row r="34">
          <cell r="A34">
            <v>34578</v>
          </cell>
          <cell r="B34">
            <v>4.7300000000000004</v>
          </cell>
        </row>
        <row r="35">
          <cell r="A35">
            <v>34608</v>
          </cell>
          <cell r="B35">
            <v>4.76</v>
          </cell>
        </row>
        <row r="36">
          <cell r="A36">
            <v>34639</v>
          </cell>
          <cell r="B36">
            <v>5.29</v>
          </cell>
        </row>
        <row r="37">
          <cell r="A37">
            <v>34669</v>
          </cell>
          <cell r="B37">
            <v>5.45</v>
          </cell>
        </row>
        <row r="38">
          <cell r="A38">
            <v>34700</v>
          </cell>
          <cell r="B38">
            <v>5.53</v>
          </cell>
        </row>
        <row r="39">
          <cell r="A39">
            <v>34731</v>
          </cell>
          <cell r="B39">
            <v>5.92</v>
          </cell>
        </row>
        <row r="40">
          <cell r="A40">
            <v>34759</v>
          </cell>
          <cell r="B40">
            <v>5.98</v>
          </cell>
        </row>
        <row r="41">
          <cell r="A41">
            <v>34790</v>
          </cell>
          <cell r="B41">
            <v>6.05</v>
          </cell>
        </row>
        <row r="42">
          <cell r="A42">
            <v>34820</v>
          </cell>
          <cell r="B42">
            <v>6.01</v>
          </cell>
        </row>
        <row r="43">
          <cell r="A43">
            <v>34851</v>
          </cell>
          <cell r="B43">
            <v>6</v>
          </cell>
        </row>
        <row r="44">
          <cell r="A44">
            <v>34881</v>
          </cell>
          <cell r="B44">
            <v>5.85</v>
          </cell>
        </row>
        <row r="45">
          <cell r="A45">
            <v>34912</v>
          </cell>
          <cell r="B45">
            <v>5.74</v>
          </cell>
        </row>
        <row r="46">
          <cell r="A46">
            <v>34943</v>
          </cell>
          <cell r="B46">
            <v>5.8</v>
          </cell>
        </row>
        <row r="47">
          <cell r="A47">
            <v>34973</v>
          </cell>
          <cell r="B47">
            <v>5.76</v>
          </cell>
        </row>
        <row r="48">
          <cell r="A48">
            <v>35004</v>
          </cell>
          <cell r="B48">
            <v>5.8</v>
          </cell>
        </row>
        <row r="49">
          <cell r="A49">
            <v>35034</v>
          </cell>
          <cell r="B49">
            <v>5.6</v>
          </cell>
        </row>
        <row r="50">
          <cell r="A50">
            <v>35065</v>
          </cell>
          <cell r="B50">
            <v>5.56</v>
          </cell>
        </row>
        <row r="51">
          <cell r="A51">
            <v>35096</v>
          </cell>
          <cell r="B51">
            <v>5.22</v>
          </cell>
        </row>
        <row r="52">
          <cell r="A52">
            <v>35125</v>
          </cell>
          <cell r="B52">
            <v>5.31</v>
          </cell>
        </row>
        <row r="53">
          <cell r="A53">
            <v>35156</v>
          </cell>
          <cell r="B53">
            <v>5.22</v>
          </cell>
        </row>
        <row r="54">
          <cell r="A54">
            <v>35186</v>
          </cell>
          <cell r="B54">
            <v>5.24</v>
          </cell>
        </row>
        <row r="55">
          <cell r="A55">
            <v>35217</v>
          </cell>
          <cell r="B55">
            <v>5.27</v>
          </cell>
        </row>
        <row r="56">
          <cell r="A56">
            <v>35247</v>
          </cell>
          <cell r="B56">
            <v>5.4</v>
          </cell>
        </row>
        <row r="57">
          <cell r="A57">
            <v>35278</v>
          </cell>
          <cell r="B57">
            <v>5.22</v>
          </cell>
        </row>
        <row r="58">
          <cell r="A58">
            <v>35309</v>
          </cell>
          <cell r="B58">
            <v>5.3</v>
          </cell>
        </row>
        <row r="59">
          <cell r="A59">
            <v>35339</v>
          </cell>
          <cell r="B59">
            <v>5.24</v>
          </cell>
        </row>
        <row r="60">
          <cell r="A60">
            <v>35370</v>
          </cell>
          <cell r="B60">
            <v>5.31</v>
          </cell>
        </row>
        <row r="61">
          <cell r="A61">
            <v>35400</v>
          </cell>
          <cell r="B61">
            <v>5.29</v>
          </cell>
        </row>
        <row r="62">
          <cell r="A62">
            <v>35431</v>
          </cell>
          <cell r="B62">
            <v>5.25</v>
          </cell>
        </row>
        <row r="63">
          <cell r="A63">
            <v>35462</v>
          </cell>
          <cell r="B63">
            <v>5.19</v>
          </cell>
        </row>
        <row r="64">
          <cell r="A64">
            <v>35490</v>
          </cell>
          <cell r="B64">
            <v>5.39</v>
          </cell>
        </row>
        <row r="65">
          <cell r="A65">
            <v>35521</v>
          </cell>
          <cell r="B65">
            <v>5.51</v>
          </cell>
        </row>
        <row r="66">
          <cell r="A66">
            <v>35551</v>
          </cell>
          <cell r="B66">
            <v>5.5</v>
          </cell>
        </row>
        <row r="67">
          <cell r="A67">
            <v>35582</v>
          </cell>
          <cell r="B67">
            <v>5.56</v>
          </cell>
        </row>
        <row r="68">
          <cell r="A68">
            <v>35612</v>
          </cell>
          <cell r="B68">
            <v>5.52</v>
          </cell>
        </row>
        <row r="69">
          <cell r="A69">
            <v>35643</v>
          </cell>
          <cell r="B69">
            <v>5.54</v>
          </cell>
        </row>
        <row r="70">
          <cell r="A70">
            <v>35674</v>
          </cell>
          <cell r="B70">
            <v>5.54</v>
          </cell>
        </row>
        <row r="71">
          <cell r="A71">
            <v>35704</v>
          </cell>
          <cell r="B71">
            <v>5.5</v>
          </cell>
        </row>
        <row r="72">
          <cell r="A72">
            <v>35735</v>
          </cell>
          <cell r="B72">
            <v>5.52</v>
          </cell>
        </row>
        <row r="73">
          <cell r="A73">
            <v>35765</v>
          </cell>
          <cell r="B73">
            <v>5.5</v>
          </cell>
        </row>
        <row r="74">
          <cell r="A74">
            <v>35796</v>
          </cell>
          <cell r="B74">
            <v>5.56</v>
          </cell>
        </row>
        <row r="75">
          <cell r="A75">
            <v>35827</v>
          </cell>
          <cell r="B75">
            <v>5.51</v>
          </cell>
        </row>
        <row r="76">
          <cell r="A76">
            <v>35855</v>
          </cell>
          <cell r="B76">
            <v>5.49</v>
          </cell>
        </row>
        <row r="77">
          <cell r="A77">
            <v>35886</v>
          </cell>
          <cell r="B77">
            <v>5.45</v>
          </cell>
        </row>
        <row r="78">
          <cell r="A78">
            <v>35916</v>
          </cell>
          <cell r="B78">
            <v>5.49</v>
          </cell>
        </row>
        <row r="79">
          <cell r="A79">
            <v>35947</v>
          </cell>
          <cell r="B79">
            <v>5.56</v>
          </cell>
        </row>
        <row r="80">
          <cell r="A80">
            <v>35977</v>
          </cell>
          <cell r="B80">
            <v>5.54</v>
          </cell>
        </row>
        <row r="81">
          <cell r="A81">
            <v>36008</v>
          </cell>
          <cell r="B81">
            <v>5.55</v>
          </cell>
        </row>
        <row r="82">
          <cell r="A82">
            <v>36039</v>
          </cell>
          <cell r="B82">
            <v>5.51</v>
          </cell>
        </row>
        <row r="83">
          <cell r="A83">
            <v>36069</v>
          </cell>
          <cell r="B83">
            <v>5.07</v>
          </cell>
        </row>
        <row r="84">
          <cell r="A84">
            <v>36100</v>
          </cell>
          <cell r="B84">
            <v>4.83</v>
          </cell>
        </row>
        <row r="85">
          <cell r="A85">
            <v>36130</v>
          </cell>
          <cell r="B85">
            <v>4.68</v>
          </cell>
        </row>
        <row r="86">
          <cell r="A86">
            <v>36161</v>
          </cell>
          <cell r="B86">
            <v>4.63</v>
          </cell>
        </row>
        <row r="87">
          <cell r="A87">
            <v>36192</v>
          </cell>
          <cell r="B87">
            <v>4.76</v>
          </cell>
        </row>
        <row r="88">
          <cell r="A88">
            <v>36220</v>
          </cell>
          <cell r="B88">
            <v>4.8099999999999996</v>
          </cell>
        </row>
        <row r="89">
          <cell r="A89">
            <v>36251</v>
          </cell>
          <cell r="B89">
            <v>4.74</v>
          </cell>
        </row>
        <row r="90">
          <cell r="A90">
            <v>36281</v>
          </cell>
          <cell r="B90">
            <v>4.74</v>
          </cell>
        </row>
        <row r="91">
          <cell r="A91">
            <v>36312</v>
          </cell>
          <cell r="B91">
            <v>4.76</v>
          </cell>
        </row>
        <row r="92">
          <cell r="A92">
            <v>36342</v>
          </cell>
          <cell r="B92">
            <v>4.99</v>
          </cell>
        </row>
        <row r="93">
          <cell r="A93">
            <v>36373</v>
          </cell>
          <cell r="B93">
            <v>5.07</v>
          </cell>
        </row>
        <row r="94">
          <cell r="A94">
            <v>36404</v>
          </cell>
          <cell r="B94">
            <v>5.22</v>
          </cell>
        </row>
        <row r="95">
          <cell r="A95">
            <v>36434</v>
          </cell>
          <cell r="B95">
            <v>5.2</v>
          </cell>
        </row>
        <row r="96">
          <cell r="A96">
            <v>36465</v>
          </cell>
          <cell r="B96">
            <v>5.42</v>
          </cell>
        </row>
        <row r="97">
          <cell r="A97">
            <v>36495</v>
          </cell>
          <cell r="B97">
            <v>5.3</v>
          </cell>
        </row>
        <row r="98">
          <cell r="A98">
            <v>36526</v>
          </cell>
          <cell r="B98">
            <v>5.45</v>
          </cell>
        </row>
        <row r="99">
          <cell r="A99">
            <v>36557</v>
          </cell>
          <cell r="B99">
            <v>5.73</v>
          </cell>
        </row>
        <row r="100">
          <cell r="A100">
            <v>36586</v>
          </cell>
          <cell r="B100">
            <v>5.85</v>
          </cell>
        </row>
        <row r="101">
          <cell r="A101">
            <v>36617</v>
          </cell>
          <cell r="B101">
            <v>6.02</v>
          </cell>
        </row>
        <row r="102">
          <cell r="A102">
            <v>36647</v>
          </cell>
          <cell r="B102">
            <v>6.27</v>
          </cell>
        </row>
        <row r="103">
          <cell r="A103">
            <v>36678</v>
          </cell>
          <cell r="B103">
            <v>6.53</v>
          </cell>
        </row>
        <row r="104">
          <cell r="A104">
            <v>36708</v>
          </cell>
          <cell r="B104">
            <v>6.54</v>
          </cell>
        </row>
        <row r="105">
          <cell r="A105">
            <v>36739</v>
          </cell>
          <cell r="B105">
            <v>6.5</v>
          </cell>
        </row>
        <row r="106">
          <cell r="A106">
            <v>36770</v>
          </cell>
          <cell r="B106">
            <v>6.52</v>
          </cell>
        </row>
        <row r="107">
          <cell r="A107">
            <v>36800</v>
          </cell>
          <cell r="B107">
            <v>6.51</v>
          </cell>
        </row>
        <row r="108">
          <cell r="A108">
            <v>36831</v>
          </cell>
          <cell r="B108">
            <v>6.51</v>
          </cell>
        </row>
        <row r="109">
          <cell r="A109">
            <v>36861</v>
          </cell>
          <cell r="B109">
            <v>6.4</v>
          </cell>
        </row>
        <row r="110">
          <cell r="A110">
            <v>36892</v>
          </cell>
          <cell r="B110">
            <v>5.98</v>
          </cell>
        </row>
        <row r="111">
          <cell r="A111">
            <v>36923</v>
          </cell>
          <cell r="B111">
            <v>5.49</v>
          </cell>
        </row>
        <row r="112">
          <cell r="A112">
            <v>36951</v>
          </cell>
          <cell r="B112">
            <v>5.31</v>
          </cell>
        </row>
        <row r="113">
          <cell r="A113">
            <v>36982</v>
          </cell>
          <cell r="B113">
            <v>4.8</v>
          </cell>
        </row>
        <row r="114">
          <cell r="A114">
            <v>37012</v>
          </cell>
          <cell r="B114">
            <v>4.21</v>
          </cell>
        </row>
        <row r="115">
          <cell r="A115">
            <v>37043</v>
          </cell>
          <cell r="B115">
            <v>3.97</v>
          </cell>
        </row>
        <row r="116">
          <cell r="A116">
            <v>37073</v>
          </cell>
          <cell r="B116">
            <v>3.77</v>
          </cell>
        </row>
        <row r="117">
          <cell r="A117">
            <v>37104</v>
          </cell>
          <cell r="B117">
            <v>3.65</v>
          </cell>
        </row>
        <row r="118">
          <cell r="A118">
            <v>37135</v>
          </cell>
          <cell r="B118">
            <v>3.07</v>
          </cell>
        </row>
        <row r="119">
          <cell r="A119">
            <v>37165</v>
          </cell>
          <cell r="B119">
            <v>2.4900000000000002</v>
          </cell>
        </row>
        <row r="120">
          <cell r="A120">
            <v>37196</v>
          </cell>
          <cell r="B120">
            <v>2.09</v>
          </cell>
        </row>
        <row r="121">
          <cell r="A121">
            <v>37226</v>
          </cell>
          <cell r="B121">
            <v>1.82</v>
          </cell>
        </row>
        <row r="122">
          <cell r="A122">
            <v>37257</v>
          </cell>
          <cell r="B122">
            <v>1.73</v>
          </cell>
        </row>
        <row r="123">
          <cell r="A123">
            <v>37288</v>
          </cell>
          <cell r="B123">
            <v>1.74</v>
          </cell>
        </row>
        <row r="124">
          <cell r="A124">
            <v>37316</v>
          </cell>
          <cell r="B124">
            <v>1.73</v>
          </cell>
        </row>
        <row r="125">
          <cell r="A125">
            <v>37347</v>
          </cell>
          <cell r="B125">
            <v>1.75</v>
          </cell>
        </row>
        <row r="126">
          <cell r="A126">
            <v>37377</v>
          </cell>
          <cell r="B126">
            <v>1.75</v>
          </cell>
        </row>
        <row r="127">
          <cell r="A127">
            <v>37408</v>
          </cell>
          <cell r="B127">
            <v>1.75</v>
          </cell>
        </row>
        <row r="128">
          <cell r="A128">
            <v>37438</v>
          </cell>
          <cell r="B128">
            <v>1.73</v>
          </cell>
        </row>
        <row r="129">
          <cell r="A129">
            <v>37469</v>
          </cell>
          <cell r="B129">
            <v>1.74</v>
          </cell>
        </row>
        <row r="130">
          <cell r="A130">
            <v>37500</v>
          </cell>
          <cell r="B130">
            <v>1.75</v>
          </cell>
        </row>
        <row r="131">
          <cell r="A131">
            <v>37530</v>
          </cell>
          <cell r="B131">
            <v>1.75</v>
          </cell>
        </row>
        <row r="132">
          <cell r="A132">
            <v>37561</v>
          </cell>
          <cell r="B132">
            <v>1.34</v>
          </cell>
        </row>
        <row r="133">
          <cell r="A133">
            <v>37591</v>
          </cell>
          <cell r="B133">
            <v>1.24</v>
          </cell>
        </row>
        <row r="134">
          <cell r="A134">
            <v>37622</v>
          </cell>
          <cell r="B134">
            <v>1.24</v>
          </cell>
        </row>
        <row r="135">
          <cell r="A135">
            <v>37653</v>
          </cell>
          <cell r="B135">
            <v>1.26</v>
          </cell>
        </row>
        <row r="136">
          <cell r="A136">
            <v>37681</v>
          </cell>
          <cell r="B136">
            <v>1.25</v>
          </cell>
        </row>
        <row r="137">
          <cell r="A137">
            <v>37712</v>
          </cell>
          <cell r="B137">
            <v>1.26</v>
          </cell>
        </row>
        <row r="138">
          <cell r="A138">
            <v>37742</v>
          </cell>
          <cell r="B138">
            <v>1.26</v>
          </cell>
        </row>
        <row r="139">
          <cell r="A139">
            <v>37773</v>
          </cell>
          <cell r="B139">
            <v>1.22</v>
          </cell>
        </row>
        <row r="140">
          <cell r="A140">
            <v>37803</v>
          </cell>
          <cell r="B140">
            <v>1.01</v>
          </cell>
        </row>
        <row r="141">
          <cell r="A141">
            <v>37834</v>
          </cell>
          <cell r="B141">
            <v>1.03</v>
          </cell>
        </row>
        <row r="142">
          <cell r="A142">
            <v>37865</v>
          </cell>
          <cell r="B142">
            <v>1.01</v>
          </cell>
        </row>
        <row r="143">
          <cell r="A143">
            <v>37895</v>
          </cell>
          <cell r="B143">
            <v>1.01</v>
          </cell>
        </row>
        <row r="144">
          <cell r="A144">
            <v>37926</v>
          </cell>
          <cell r="B144">
            <v>1</v>
          </cell>
        </row>
        <row r="145">
          <cell r="A145">
            <v>37956</v>
          </cell>
          <cell r="B145">
            <v>0.98</v>
          </cell>
        </row>
        <row r="146">
          <cell r="A146">
            <v>37987</v>
          </cell>
          <cell r="B146">
            <v>1</v>
          </cell>
        </row>
        <row r="147">
          <cell r="A147">
            <v>38018</v>
          </cell>
          <cell r="B147">
            <v>1.01</v>
          </cell>
        </row>
        <row r="148">
          <cell r="A148">
            <v>38047</v>
          </cell>
          <cell r="B148">
            <v>1</v>
          </cell>
        </row>
        <row r="149">
          <cell r="A149">
            <v>38078</v>
          </cell>
          <cell r="B149">
            <v>1</v>
          </cell>
        </row>
        <row r="150">
          <cell r="A150">
            <v>38108</v>
          </cell>
          <cell r="B150">
            <v>1</v>
          </cell>
        </row>
        <row r="151">
          <cell r="A151">
            <v>38139</v>
          </cell>
          <cell r="B151">
            <v>1.03</v>
          </cell>
        </row>
        <row r="152">
          <cell r="A152">
            <v>38169</v>
          </cell>
          <cell r="B152">
            <v>1.26</v>
          </cell>
        </row>
        <row r="153">
          <cell r="A153">
            <v>38200</v>
          </cell>
          <cell r="B153">
            <v>1.43</v>
          </cell>
        </row>
        <row r="154">
          <cell r="A154">
            <v>38231</v>
          </cell>
          <cell r="B154">
            <v>1.61</v>
          </cell>
        </row>
        <row r="155">
          <cell r="A155">
            <v>38261</v>
          </cell>
          <cell r="B155">
            <v>1.76</v>
          </cell>
        </row>
        <row r="156">
          <cell r="A156">
            <v>38292</v>
          </cell>
          <cell r="B156">
            <v>1.93</v>
          </cell>
        </row>
        <row r="157">
          <cell r="A157">
            <v>38322</v>
          </cell>
          <cell r="B157">
            <v>2.16</v>
          </cell>
        </row>
        <row r="158">
          <cell r="A158">
            <v>38353</v>
          </cell>
          <cell r="B158">
            <v>2.2799999999999998</v>
          </cell>
        </row>
        <row r="159">
          <cell r="A159">
            <v>38384</v>
          </cell>
          <cell r="B159">
            <v>2.5</v>
          </cell>
        </row>
        <row r="160">
          <cell r="A160">
            <v>38412</v>
          </cell>
          <cell r="B160">
            <v>2.63</v>
          </cell>
        </row>
        <row r="161">
          <cell r="A161">
            <v>38443</v>
          </cell>
          <cell r="B161">
            <v>2.79</v>
          </cell>
        </row>
        <row r="162">
          <cell r="A162">
            <v>38473</v>
          </cell>
          <cell r="B162">
            <v>3</v>
          </cell>
        </row>
        <row r="163">
          <cell r="A163">
            <v>38504</v>
          </cell>
          <cell r="B163">
            <v>3.04</v>
          </cell>
        </row>
        <row r="164">
          <cell r="A164">
            <v>38534</v>
          </cell>
          <cell r="B164">
            <v>3.26</v>
          </cell>
        </row>
        <row r="165">
          <cell r="A165">
            <v>38565</v>
          </cell>
          <cell r="B165">
            <v>3.5</v>
          </cell>
        </row>
        <row r="166">
          <cell r="A166">
            <v>38596</v>
          </cell>
          <cell r="B166">
            <v>3.62</v>
          </cell>
        </row>
        <row r="167">
          <cell r="A167">
            <v>38626</v>
          </cell>
          <cell r="B167">
            <v>3.78</v>
          </cell>
        </row>
        <row r="168">
          <cell r="A168">
            <v>38657</v>
          </cell>
          <cell r="B168">
            <v>4</v>
          </cell>
        </row>
        <row r="169">
          <cell r="A169">
            <v>38687</v>
          </cell>
          <cell r="B169">
            <v>4.16</v>
          </cell>
        </row>
        <row r="170">
          <cell r="A170">
            <v>38718</v>
          </cell>
          <cell r="B170">
            <v>4.29</v>
          </cell>
        </row>
        <row r="171">
          <cell r="A171">
            <v>38749</v>
          </cell>
          <cell r="B171">
            <v>4.49</v>
          </cell>
        </row>
        <row r="172">
          <cell r="A172">
            <v>38777</v>
          </cell>
          <cell r="B172">
            <v>4.59</v>
          </cell>
        </row>
        <row r="173">
          <cell r="A173">
            <v>38808</v>
          </cell>
          <cell r="B173">
            <v>4.79</v>
          </cell>
        </row>
        <row r="174">
          <cell r="A174">
            <v>38838</v>
          </cell>
          <cell r="B174">
            <v>4.9400000000000004</v>
          </cell>
        </row>
        <row r="175">
          <cell r="A175">
            <v>38869</v>
          </cell>
          <cell r="B175">
            <v>4.99</v>
          </cell>
        </row>
        <row r="176">
          <cell r="A176">
            <v>38899</v>
          </cell>
          <cell r="B176">
            <v>5.24</v>
          </cell>
        </row>
        <row r="177">
          <cell r="A177">
            <v>38930</v>
          </cell>
          <cell r="B177">
            <v>5.25</v>
          </cell>
        </row>
        <row r="178">
          <cell r="A178">
            <v>38961</v>
          </cell>
          <cell r="B178">
            <v>5.25</v>
          </cell>
        </row>
        <row r="179">
          <cell r="A179">
            <v>38991</v>
          </cell>
          <cell r="B179">
            <v>5.25</v>
          </cell>
        </row>
        <row r="180">
          <cell r="A180">
            <v>39022</v>
          </cell>
          <cell r="B180">
            <v>5.25</v>
          </cell>
        </row>
        <row r="181">
          <cell r="A181">
            <v>39052</v>
          </cell>
          <cell r="B181">
            <v>5.24</v>
          </cell>
        </row>
        <row r="182">
          <cell r="A182">
            <v>39083</v>
          </cell>
          <cell r="B182">
            <v>5.25</v>
          </cell>
        </row>
        <row r="183">
          <cell r="A183">
            <v>39114</v>
          </cell>
          <cell r="B183">
            <v>5.26</v>
          </cell>
        </row>
        <row r="184">
          <cell r="A184">
            <v>39142</v>
          </cell>
          <cell r="B184">
            <v>5.26</v>
          </cell>
        </row>
        <row r="185">
          <cell r="A185">
            <v>39173</v>
          </cell>
          <cell r="B185">
            <v>5.25</v>
          </cell>
        </row>
        <row r="186">
          <cell r="A186">
            <v>39203</v>
          </cell>
          <cell r="B186">
            <v>5.25</v>
          </cell>
        </row>
        <row r="187">
          <cell r="A187">
            <v>39234</v>
          </cell>
          <cell r="B187">
            <v>5.25</v>
          </cell>
        </row>
        <row r="188">
          <cell r="A188">
            <v>39264</v>
          </cell>
          <cell r="B188">
            <v>5.26</v>
          </cell>
        </row>
        <row r="189">
          <cell r="A189">
            <v>39295</v>
          </cell>
          <cell r="B189">
            <v>5.0199999999999996</v>
          </cell>
        </row>
        <row r="190">
          <cell r="A190">
            <v>39326</v>
          </cell>
          <cell r="B190">
            <v>4.9400000000000004</v>
          </cell>
        </row>
        <row r="191">
          <cell r="A191">
            <v>39356</v>
          </cell>
          <cell r="B191">
            <v>4.76</v>
          </cell>
        </row>
        <row r="192">
          <cell r="A192">
            <v>39387</v>
          </cell>
          <cell r="B192">
            <v>4.49</v>
          </cell>
        </row>
        <row r="193">
          <cell r="A193">
            <v>39417</v>
          </cell>
          <cell r="B193">
            <v>4.24</v>
          </cell>
        </row>
        <row r="194">
          <cell r="A194">
            <v>39448</v>
          </cell>
          <cell r="B194">
            <v>3.94</v>
          </cell>
        </row>
        <row r="195">
          <cell r="A195">
            <v>39479</v>
          </cell>
          <cell r="B195">
            <v>2.98</v>
          </cell>
        </row>
        <row r="196">
          <cell r="A196">
            <v>39508</v>
          </cell>
          <cell r="B196">
            <v>2.61</v>
          </cell>
        </row>
        <row r="197">
          <cell r="A197">
            <v>39539</v>
          </cell>
          <cell r="B197">
            <v>2.2799999999999998</v>
          </cell>
        </row>
        <row r="198">
          <cell r="A198">
            <v>39569</v>
          </cell>
          <cell r="B198">
            <v>1.98</v>
          </cell>
        </row>
        <row r="199">
          <cell r="A199">
            <v>39600</v>
          </cell>
          <cell r="B199">
            <v>2</v>
          </cell>
        </row>
        <row r="200">
          <cell r="A200">
            <v>39630</v>
          </cell>
          <cell r="B200">
            <v>2.0099999999999998</v>
          </cell>
        </row>
        <row r="201">
          <cell r="A201">
            <v>39661</v>
          </cell>
          <cell r="B201">
            <v>2</v>
          </cell>
        </row>
        <row r="202">
          <cell r="A202">
            <v>39692</v>
          </cell>
          <cell r="B202">
            <v>1.81</v>
          </cell>
        </row>
        <row r="203">
          <cell r="A203">
            <v>39722</v>
          </cell>
          <cell r="B203">
            <v>0.97</v>
          </cell>
        </row>
        <row r="204">
          <cell r="A204">
            <v>39753</v>
          </cell>
          <cell r="B204">
            <v>0.39</v>
          </cell>
        </row>
        <row r="205">
          <cell r="A205">
            <v>39783</v>
          </cell>
          <cell r="B205">
            <v>0.16</v>
          </cell>
        </row>
        <row r="206">
          <cell r="A206">
            <v>39814</v>
          </cell>
          <cell r="B206">
            <v>0.15</v>
          </cell>
        </row>
        <row r="207">
          <cell r="A207">
            <v>39845</v>
          </cell>
          <cell r="B207">
            <v>0.22</v>
          </cell>
        </row>
        <row r="208">
          <cell r="A208">
            <v>39873</v>
          </cell>
          <cell r="B208">
            <v>0.18</v>
          </cell>
        </row>
        <row r="209">
          <cell r="A209">
            <v>39904</v>
          </cell>
          <cell r="B209">
            <v>0.15</v>
          </cell>
        </row>
        <row r="210">
          <cell r="A210">
            <v>39934</v>
          </cell>
          <cell r="B210">
            <v>0.18</v>
          </cell>
        </row>
        <row r="211">
          <cell r="A211">
            <v>39965</v>
          </cell>
          <cell r="B211">
            <v>0.21</v>
          </cell>
        </row>
        <row r="212">
          <cell r="A212">
            <v>39995</v>
          </cell>
          <cell r="B212">
            <v>0.16</v>
          </cell>
        </row>
        <row r="213">
          <cell r="A213">
            <v>40026</v>
          </cell>
          <cell r="B213">
            <v>0.16</v>
          </cell>
        </row>
        <row r="214">
          <cell r="A214">
            <v>40057</v>
          </cell>
          <cell r="B214">
            <v>0.15</v>
          </cell>
        </row>
        <row r="215">
          <cell r="A215">
            <v>40087</v>
          </cell>
          <cell r="B215">
            <v>0.12</v>
          </cell>
        </row>
        <row r="216">
          <cell r="A216">
            <v>40118</v>
          </cell>
          <cell r="B216">
            <v>0.12</v>
          </cell>
        </row>
        <row r="217">
          <cell r="A217">
            <v>40148</v>
          </cell>
          <cell r="B217">
            <v>0.12</v>
          </cell>
        </row>
        <row r="218">
          <cell r="A218">
            <v>40179</v>
          </cell>
          <cell r="B218">
            <v>0.11</v>
          </cell>
        </row>
        <row r="219">
          <cell r="A219">
            <v>40210</v>
          </cell>
          <cell r="B219">
            <v>0.13</v>
          </cell>
        </row>
        <row r="220">
          <cell r="A220">
            <v>40238</v>
          </cell>
          <cell r="B220">
            <v>0.16</v>
          </cell>
        </row>
        <row r="221">
          <cell r="A221">
            <v>40269</v>
          </cell>
          <cell r="B221">
            <v>0.2</v>
          </cell>
        </row>
        <row r="222">
          <cell r="A222">
            <v>40299</v>
          </cell>
          <cell r="B222">
            <v>0.2</v>
          </cell>
        </row>
        <row r="223">
          <cell r="A223">
            <v>40330</v>
          </cell>
          <cell r="B223">
            <v>0.18</v>
          </cell>
        </row>
        <row r="224">
          <cell r="A224">
            <v>40360</v>
          </cell>
          <cell r="B224">
            <v>0.18</v>
          </cell>
        </row>
        <row r="225">
          <cell r="A225">
            <v>40391</v>
          </cell>
          <cell r="B225">
            <v>0.19</v>
          </cell>
        </row>
        <row r="226">
          <cell r="A226">
            <v>40422</v>
          </cell>
          <cell r="B226">
            <v>0.19</v>
          </cell>
        </row>
        <row r="227">
          <cell r="A227">
            <v>40452</v>
          </cell>
          <cell r="B227">
            <v>0.19</v>
          </cell>
        </row>
        <row r="228">
          <cell r="A228">
            <v>40483</v>
          </cell>
          <cell r="B228">
            <v>0.19</v>
          </cell>
        </row>
        <row r="229">
          <cell r="A229">
            <v>40513</v>
          </cell>
          <cell r="B229">
            <v>0.18</v>
          </cell>
        </row>
        <row r="230">
          <cell r="A230">
            <v>40544</v>
          </cell>
          <cell r="B230">
            <v>0.17</v>
          </cell>
        </row>
        <row r="231">
          <cell r="A231">
            <v>40575</v>
          </cell>
          <cell r="B231">
            <v>0.16</v>
          </cell>
        </row>
        <row r="232">
          <cell r="A232">
            <v>40603</v>
          </cell>
          <cell r="B232">
            <v>0.14000000000000001</v>
          </cell>
        </row>
        <row r="233">
          <cell r="A233">
            <v>40634</v>
          </cell>
          <cell r="B233">
            <v>0.1</v>
          </cell>
        </row>
        <row r="234">
          <cell r="A234">
            <v>40664</v>
          </cell>
          <cell r="B234">
            <v>0.09</v>
          </cell>
        </row>
        <row r="235">
          <cell r="A235">
            <v>40695</v>
          </cell>
          <cell r="B235">
            <v>0.09</v>
          </cell>
        </row>
        <row r="236">
          <cell r="A236">
            <v>40725</v>
          </cell>
          <cell r="B236">
            <v>7.0000000000000007E-2</v>
          </cell>
        </row>
        <row r="237">
          <cell r="A237">
            <v>40756</v>
          </cell>
          <cell r="B237">
            <v>0.1</v>
          </cell>
        </row>
        <row r="238">
          <cell r="A238">
            <v>40787</v>
          </cell>
          <cell r="B238">
            <v>0.08</v>
          </cell>
        </row>
        <row r="239">
          <cell r="A239">
            <v>40817</v>
          </cell>
          <cell r="B239">
            <v>7.0000000000000007E-2</v>
          </cell>
        </row>
        <row r="240">
          <cell r="A240">
            <v>40848</v>
          </cell>
          <cell r="B240">
            <v>0.08</v>
          </cell>
        </row>
        <row r="241">
          <cell r="A241">
            <v>40878</v>
          </cell>
          <cell r="B241">
            <v>7.0000000000000007E-2</v>
          </cell>
        </row>
        <row r="242">
          <cell r="A242">
            <v>40909</v>
          </cell>
          <cell r="B242">
            <v>0.08</v>
          </cell>
        </row>
        <row r="243">
          <cell r="A243">
            <v>40940</v>
          </cell>
          <cell r="B243">
            <v>0.1</v>
          </cell>
        </row>
        <row r="244">
          <cell r="A244">
            <v>40969</v>
          </cell>
          <cell r="B244">
            <v>0.13</v>
          </cell>
        </row>
        <row r="245">
          <cell r="A245">
            <v>41000</v>
          </cell>
          <cell r="B245">
            <v>0.14000000000000001</v>
          </cell>
        </row>
        <row r="246">
          <cell r="A246">
            <v>41030</v>
          </cell>
          <cell r="B246">
            <v>0.16</v>
          </cell>
        </row>
        <row r="247">
          <cell r="A247">
            <v>41061</v>
          </cell>
          <cell r="B247">
            <v>0.16</v>
          </cell>
        </row>
        <row r="248">
          <cell r="A248">
            <v>41091</v>
          </cell>
          <cell r="B248">
            <v>0.16</v>
          </cell>
        </row>
        <row r="249">
          <cell r="A249">
            <v>41122</v>
          </cell>
          <cell r="B249">
            <v>0.13</v>
          </cell>
        </row>
        <row r="250">
          <cell r="A250">
            <v>41153</v>
          </cell>
          <cell r="B250">
            <v>0.14000000000000001</v>
          </cell>
        </row>
        <row r="251">
          <cell r="A251">
            <v>41183</v>
          </cell>
          <cell r="B251">
            <v>0.16</v>
          </cell>
        </row>
        <row r="252">
          <cell r="A252">
            <v>41214</v>
          </cell>
          <cell r="B252">
            <v>0.16</v>
          </cell>
        </row>
        <row r="253">
          <cell r="A253">
            <v>41244</v>
          </cell>
          <cell r="B253">
            <v>0.16</v>
          </cell>
        </row>
        <row r="254">
          <cell r="A254">
            <v>41275</v>
          </cell>
          <cell r="B254">
            <v>0.14000000000000001</v>
          </cell>
        </row>
        <row r="255">
          <cell r="A255">
            <v>41306</v>
          </cell>
          <cell r="B255">
            <v>0.15</v>
          </cell>
        </row>
        <row r="256">
          <cell r="A256">
            <v>41334</v>
          </cell>
          <cell r="B256">
            <v>0.14000000000000001</v>
          </cell>
        </row>
        <row r="257">
          <cell r="A257">
            <v>41365</v>
          </cell>
          <cell r="B257">
            <v>0.15</v>
          </cell>
        </row>
        <row r="258">
          <cell r="A258">
            <v>41395</v>
          </cell>
          <cell r="B258">
            <v>0.11</v>
          </cell>
        </row>
        <row r="259">
          <cell r="A259">
            <v>41426</v>
          </cell>
          <cell r="B259">
            <v>0.09</v>
          </cell>
        </row>
        <row r="260">
          <cell r="A260">
            <v>41456</v>
          </cell>
          <cell r="B260">
            <v>0.09</v>
          </cell>
        </row>
        <row r="261">
          <cell r="A261">
            <v>41487</v>
          </cell>
          <cell r="B261">
            <v>0.08</v>
          </cell>
        </row>
        <row r="262">
          <cell r="A262">
            <v>41518</v>
          </cell>
          <cell r="B262">
            <v>0.08</v>
          </cell>
        </row>
        <row r="263">
          <cell r="A263">
            <v>41548</v>
          </cell>
          <cell r="B263">
            <v>0.09</v>
          </cell>
        </row>
        <row r="264">
          <cell r="A264">
            <v>41579</v>
          </cell>
          <cell r="B264">
            <v>0.08</v>
          </cell>
        </row>
        <row r="265">
          <cell r="A265">
            <v>41609</v>
          </cell>
          <cell r="B265">
            <v>0.09</v>
          </cell>
        </row>
        <row r="266">
          <cell r="A266">
            <v>41640</v>
          </cell>
          <cell r="B266">
            <v>7.0000000000000007E-2</v>
          </cell>
        </row>
        <row r="267">
          <cell r="A267">
            <v>41671</v>
          </cell>
          <cell r="B267">
            <v>7.0000000000000007E-2</v>
          </cell>
        </row>
        <row r="268">
          <cell r="A268">
            <v>41699</v>
          </cell>
          <cell r="B268">
            <v>0.08</v>
          </cell>
        </row>
        <row r="269">
          <cell r="A269">
            <v>41730</v>
          </cell>
          <cell r="B269">
            <v>0.09</v>
          </cell>
        </row>
        <row r="270">
          <cell r="A270">
            <v>41760</v>
          </cell>
          <cell r="B270">
            <v>0.09</v>
          </cell>
        </row>
        <row r="271">
          <cell r="A271">
            <v>41791</v>
          </cell>
          <cell r="B271">
            <v>0.1</v>
          </cell>
        </row>
        <row r="272">
          <cell r="A272">
            <v>41821</v>
          </cell>
          <cell r="B272">
            <v>0.09</v>
          </cell>
        </row>
        <row r="273">
          <cell r="A273">
            <v>41852</v>
          </cell>
          <cell r="B273">
            <v>0.09</v>
          </cell>
        </row>
        <row r="274">
          <cell r="A274">
            <v>41883</v>
          </cell>
          <cell r="B274">
            <v>0.09</v>
          </cell>
        </row>
        <row r="275">
          <cell r="A275">
            <v>41913</v>
          </cell>
          <cell r="B275">
            <v>0.09</v>
          </cell>
        </row>
        <row r="276">
          <cell r="A276">
            <v>41944</v>
          </cell>
          <cell r="B276">
            <v>0.09</v>
          </cell>
        </row>
        <row r="277">
          <cell r="A277">
            <v>41974</v>
          </cell>
          <cell r="B277">
            <v>0.12</v>
          </cell>
        </row>
        <row r="278">
          <cell r="A278">
            <v>42005</v>
          </cell>
          <cell r="B278">
            <v>0.11</v>
          </cell>
        </row>
        <row r="279">
          <cell r="A279">
            <v>42036</v>
          </cell>
          <cell r="B279">
            <v>0.11</v>
          </cell>
        </row>
        <row r="280">
          <cell r="A280">
            <v>42064</v>
          </cell>
          <cell r="B280">
            <v>0.11</v>
          </cell>
        </row>
        <row r="281">
          <cell r="A281">
            <v>42095</v>
          </cell>
          <cell r="B281">
            <v>0.12</v>
          </cell>
        </row>
        <row r="282">
          <cell r="A282">
            <v>42125</v>
          </cell>
          <cell r="B282">
            <v>0.12</v>
          </cell>
        </row>
        <row r="283">
          <cell r="A283">
            <v>42156</v>
          </cell>
          <cell r="B283">
            <v>0.13</v>
          </cell>
        </row>
        <row r="284">
          <cell r="A284">
            <v>42186</v>
          </cell>
          <cell r="B284">
            <v>0.13</v>
          </cell>
        </row>
        <row r="285">
          <cell r="A285">
            <v>42217</v>
          </cell>
          <cell r="B285">
            <v>0.14000000000000001</v>
          </cell>
        </row>
        <row r="286">
          <cell r="A286">
            <v>42248</v>
          </cell>
          <cell r="B286">
            <v>0.14000000000000001</v>
          </cell>
        </row>
        <row r="287">
          <cell r="A287">
            <v>42278</v>
          </cell>
          <cell r="B287">
            <v>0.12</v>
          </cell>
        </row>
        <row r="288">
          <cell r="A288">
            <v>42309</v>
          </cell>
          <cell r="B288">
            <v>0.12</v>
          </cell>
        </row>
        <row r="289">
          <cell r="A289">
            <v>42339</v>
          </cell>
          <cell r="B289">
            <v>0.24</v>
          </cell>
        </row>
        <row r="290">
          <cell r="A290">
            <v>42370</v>
          </cell>
          <cell r="B290">
            <v>0.34</v>
          </cell>
        </row>
        <row r="291">
          <cell r="A291">
            <v>42401</v>
          </cell>
          <cell r="B291">
            <v>0.38</v>
          </cell>
        </row>
        <row r="292">
          <cell r="A292">
            <v>42430</v>
          </cell>
          <cell r="B292">
            <v>0.36</v>
          </cell>
        </row>
        <row r="293">
          <cell r="A293">
            <v>42461</v>
          </cell>
          <cell r="B293">
            <v>0.37</v>
          </cell>
        </row>
        <row r="294">
          <cell r="A294">
            <v>42491</v>
          </cell>
          <cell r="B294">
            <v>0.37</v>
          </cell>
        </row>
        <row r="295">
          <cell r="A295">
            <v>42522</v>
          </cell>
          <cell r="B295">
            <v>0.38</v>
          </cell>
        </row>
        <row r="296">
          <cell r="A296">
            <v>42552</v>
          </cell>
          <cell r="B296">
            <v>0.39</v>
          </cell>
        </row>
        <row r="297">
          <cell r="A297">
            <v>42583</v>
          </cell>
          <cell r="B297">
            <v>0.4</v>
          </cell>
        </row>
        <row r="298">
          <cell r="A298">
            <v>42614</v>
          </cell>
          <cell r="B298">
            <v>0.4</v>
          </cell>
        </row>
        <row r="299">
          <cell r="A299">
            <v>42644</v>
          </cell>
          <cell r="B299">
            <v>0.4</v>
          </cell>
        </row>
        <row r="300">
          <cell r="A300">
            <v>42675</v>
          </cell>
          <cell r="B300">
            <v>0.41</v>
          </cell>
        </row>
        <row r="301">
          <cell r="A301">
            <v>42705</v>
          </cell>
          <cell r="B301">
            <v>0.54</v>
          </cell>
        </row>
        <row r="302">
          <cell r="A302">
            <v>42736</v>
          </cell>
          <cell r="B302">
            <v>0.65</v>
          </cell>
        </row>
        <row r="303">
          <cell r="A303">
            <v>42767</v>
          </cell>
          <cell r="B303">
            <v>0.66</v>
          </cell>
        </row>
        <row r="304">
          <cell r="A304">
            <v>42795</v>
          </cell>
          <cell r="B304">
            <v>0.79</v>
          </cell>
        </row>
        <row r="305">
          <cell r="A305">
            <v>42826</v>
          </cell>
          <cell r="B305">
            <v>0.9</v>
          </cell>
        </row>
        <row r="306">
          <cell r="A306">
            <v>42856</v>
          </cell>
          <cell r="B306">
            <v>0.91</v>
          </cell>
        </row>
        <row r="307">
          <cell r="A307">
            <v>42887</v>
          </cell>
          <cell r="B307">
            <v>1.04</v>
          </cell>
        </row>
        <row r="308">
          <cell r="A308">
            <v>42917</v>
          </cell>
          <cell r="B308">
            <v>1.1499999999999999</v>
          </cell>
        </row>
        <row r="309">
          <cell r="A309">
            <v>42948</v>
          </cell>
          <cell r="B309">
            <v>1.1599999999999999</v>
          </cell>
        </row>
        <row r="310">
          <cell r="A310">
            <v>42979</v>
          </cell>
          <cell r="B310">
            <v>1.1499999999999999</v>
          </cell>
        </row>
        <row r="311">
          <cell r="A311">
            <v>43009</v>
          </cell>
          <cell r="B311">
            <v>1.1499999999999999</v>
          </cell>
        </row>
        <row r="312">
          <cell r="A312">
            <v>43040</v>
          </cell>
          <cell r="B312">
            <v>1.1599999999999999</v>
          </cell>
        </row>
        <row r="313">
          <cell r="A313">
            <v>43070</v>
          </cell>
          <cell r="B313">
            <v>1.3</v>
          </cell>
        </row>
        <row r="314">
          <cell r="A314">
            <v>43101</v>
          </cell>
          <cell r="B314">
            <v>1.41</v>
          </cell>
        </row>
        <row r="315">
          <cell r="A315">
            <v>43132</v>
          </cell>
          <cell r="B315">
            <v>1.42</v>
          </cell>
        </row>
        <row r="316">
          <cell r="A316">
            <v>43160</v>
          </cell>
          <cell r="B316">
            <v>1.51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TTLHHM156N" TargetMode="External"/><Relationship Id="rId2" Type="http://schemas.openxmlformats.org/officeDocument/2006/relationships/hyperlink" Target="https://fred.stlouisfed.org/series/DSPIC96" TargetMode="External"/><Relationship Id="rId1" Type="http://schemas.openxmlformats.org/officeDocument/2006/relationships/hyperlink" Target="https://fred.stlouisfed.org/series/CSUSHPINSA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P322"/>
  <sheetViews>
    <sheetView tabSelected="1" workbookViewId="0">
      <pane ySplit="1" topLeftCell="A270" activePane="bottomLeft" state="frozen"/>
      <selection activeCell="H1" sqref="H1"/>
      <selection pane="bottomLeft" activeCell="A289" sqref="A289"/>
    </sheetView>
  </sheetViews>
  <sheetFormatPr defaultRowHeight="14.5" x14ac:dyDescent="0.35"/>
  <cols>
    <col min="1" max="1" width="9.453125" bestFit="1" customWidth="1"/>
    <col min="2" max="2" width="8.7265625" style="7" bestFit="1" customWidth="1"/>
    <col min="3" max="3" width="6.81640625" style="7" bestFit="1" customWidth="1"/>
    <col min="4" max="4" width="14.1796875" bestFit="1" customWidth="1"/>
    <col min="5" max="5" width="18.90625" bestFit="1" customWidth="1"/>
    <col min="6" max="6" width="12.453125" bestFit="1" customWidth="1"/>
    <col min="7" max="7" width="17.7265625" bestFit="1" customWidth="1"/>
    <col min="8" max="8" width="13.6328125" customWidth="1"/>
    <col min="9" max="9" width="12.453125" bestFit="1" customWidth="1"/>
    <col min="10" max="10" width="14.7265625" bestFit="1" customWidth="1"/>
    <col min="11" max="11" width="19" bestFit="1" customWidth="1"/>
    <col min="12" max="12" width="11.81640625" bestFit="1" customWidth="1"/>
    <col min="13" max="13" width="25.90625" bestFit="1" customWidth="1"/>
    <col min="14" max="20" width="11.81640625" bestFit="1" customWidth="1"/>
    <col min="21" max="21" width="18.26953125" bestFit="1" customWidth="1"/>
    <col min="22" max="22" width="17.26953125" bestFit="1" customWidth="1"/>
    <col min="23" max="23" width="1.81640625" style="8" hidden="1" customWidth="1"/>
    <col min="24" max="24" width="16.453125" bestFit="1" customWidth="1"/>
    <col min="25" max="25" width="11.81640625" bestFit="1" customWidth="1"/>
    <col min="26" max="26" width="15.54296875" bestFit="1" customWidth="1"/>
    <col min="27" max="27" width="21.08984375" bestFit="1" customWidth="1"/>
    <col min="28" max="28" width="12.453125" bestFit="1" customWidth="1"/>
    <col min="29" max="38" width="11.81640625" bestFit="1" customWidth="1"/>
    <col min="39" max="39" width="13.54296875" bestFit="1" customWidth="1"/>
    <col min="40" max="40" width="12.1796875" bestFit="1" customWidth="1"/>
    <col min="42" max="42" width="12.36328125" customWidth="1"/>
  </cols>
  <sheetData>
    <row r="1" spans="1:42" x14ac:dyDescent="0.35">
      <c r="A1" t="s">
        <v>0</v>
      </c>
      <c r="B1" s="7" t="s">
        <v>415</v>
      </c>
      <c r="C1" s="7" t="s">
        <v>402</v>
      </c>
      <c r="D1" t="s">
        <v>1</v>
      </c>
      <c r="E1" t="s">
        <v>16</v>
      </c>
      <c r="F1" t="s">
        <v>26</v>
      </c>
      <c r="G1" t="s">
        <v>395</v>
      </c>
      <c r="H1" t="s">
        <v>440</v>
      </c>
      <c r="I1" s="60" t="s">
        <v>443</v>
      </c>
      <c r="J1" s="60" t="s">
        <v>453</v>
      </c>
      <c r="K1" s="60" t="s">
        <v>463</v>
      </c>
      <c r="L1" t="s">
        <v>464</v>
      </c>
      <c r="M1" s="60" t="s">
        <v>465</v>
      </c>
      <c r="N1" s="60" t="s">
        <v>466</v>
      </c>
      <c r="O1" t="s">
        <v>456</v>
      </c>
      <c r="P1" s="60" t="s">
        <v>457</v>
      </c>
      <c r="Q1" t="s">
        <v>458</v>
      </c>
      <c r="R1" t="s">
        <v>459</v>
      </c>
      <c r="S1" t="s">
        <v>460</v>
      </c>
      <c r="T1" t="s">
        <v>461</v>
      </c>
      <c r="U1" t="s">
        <v>676</v>
      </c>
      <c r="V1" s="60" t="s">
        <v>675</v>
      </c>
      <c r="X1" t="s">
        <v>677</v>
      </c>
      <c r="Y1" t="s">
        <v>678</v>
      </c>
      <c r="Z1" t="s">
        <v>679</v>
      </c>
      <c r="AA1" s="60" t="s">
        <v>680</v>
      </c>
      <c r="AB1" t="s">
        <v>681</v>
      </c>
      <c r="AC1" t="s">
        <v>682</v>
      </c>
      <c r="AD1" s="60" t="s">
        <v>684</v>
      </c>
      <c r="AE1" t="s">
        <v>685</v>
      </c>
      <c r="AF1" t="s">
        <v>683</v>
      </c>
      <c r="AG1" t="s">
        <v>686</v>
      </c>
      <c r="AH1" t="s">
        <v>687</v>
      </c>
      <c r="AI1" s="8" t="s">
        <v>688</v>
      </c>
      <c r="AJ1" s="60" t="s">
        <v>689</v>
      </c>
      <c r="AK1" s="8" t="s">
        <v>690</v>
      </c>
      <c r="AL1" s="8" t="s">
        <v>691</v>
      </c>
      <c r="AM1" s="8" t="s">
        <v>692</v>
      </c>
      <c r="AN1" s="8" t="s">
        <v>693</v>
      </c>
    </row>
    <row r="2" spans="1:42" x14ac:dyDescent="0.35">
      <c r="A2" s="1">
        <v>33604</v>
      </c>
      <c r="B2" s="13">
        <f>MONTH(A2)</f>
        <v>1</v>
      </c>
      <c r="C2" s="13">
        <f>YEAR(A2)</f>
        <v>1992</v>
      </c>
      <c r="D2" s="2">
        <v>10845</v>
      </c>
      <c r="E2">
        <f>VLOOKUP(A2,PSR!$A$12:$B$721,2,FALSE)</f>
        <v>8.8000000000000007</v>
      </c>
      <c r="F2">
        <f>VLOOKUP(A2,CCI_USA!$F$2:$H$317,3,FALSE)</f>
        <v>97.863020000000006</v>
      </c>
      <c r="G2">
        <f>INDEX('BLS Data Series'!$A$11:$M$39,MATCH('UI Datathon Development'!C2,'BLS Data Series'!$A$13:$A$39,0)+2,MATCH('UI Datathon Development'!B2,'BLS Data Series'!$B$11:$M$11,0)+1)</f>
        <v>7.3</v>
      </c>
      <c r="H2">
        <f>VLOOKUP(A2,'Houses for sale'!$B$10:$I$671,8,FALSE)</f>
        <v>281</v>
      </c>
      <c r="I2">
        <f>VLOOKUP(A2,'House starts'!$A$12:$B$325,2,FALSE)</f>
        <v>1176</v>
      </c>
      <c r="J2">
        <f>VLOOKUP(A2,'New house sales'!$A$13:$C$324,3,FALSE)</f>
        <v>120000</v>
      </c>
      <c r="K2">
        <f>VLOOKUP($A2,'Sreenath''s data'!$A$2:$F$313,3,FALSE)</f>
        <v>75.697000000000003</v>
      </c>
      <c r="L2" s="7">
        <f>VLOOKUP($A2,'Sreenath''s data'!$A$2:$F$313,4,FALSE)</f>
        <v>6616.3</v>
      </c>
      <c r="M2" s="7">
        <f>VLOOKUP($A2,'Sreenath''s data'!$A$2:$F$313,5,FALSE)</f>
        <v>95776</v>
      </c>
      <c r="N2" s="7">
        <f>VLOOKUP($A2,'Sreenath''s data'!$A$2:$F$313,6,FALSE)</f>
        <v>59.963759016779797</v>
      </c>
      <c r="O2" s="7">
        <f>VLOOKUP($A2,'Niteesh''s data'!$A$2:$I$313,3,FALSE)</f>
        <v>417.02999899999998</v>
      </c>
      <c r="P2" s="8">
        <f>VLOOKUP($A2,'Niteesh''s data'!$A$2:$I$313,4,FALSE)</f>
        <v>421.17999300000002</v>
      </c>
      <c r="Q2" s="8">
        <f>VLOOKUP($A2,'Niteesh''s data'!$A$2:$I$313,5,FALSE)</f>
        <v>408.64001500000001</v>
      </c>
      <c r="R2" s="8">
        <f>VLOOKUP($A2,'Niteesh''s data'!$A$2:$I$313,6,FALSE)</f>
        <v>408.77999899999998</v>
      </c>
      <c r="S2" s="8">
        <f>VLOOKUP($A2,'Niteesh''s data'!$A$2:$I$313,7,FALSE)</f>
        <v>408.77999899999998</v>
      </c>
      <c r="T2" s="8">
        <f>VLOOKUP($A2,'Niteesh''s data'!$A$2:$I$313,8,FALSE)</f>
        <v>5286280000</v>
      </c>
      <c r="U2" s="13">
        <f>VLOOKUP($A2,'Niteesh''s data'!$A$2:$I$313,9,FALSE)</f>
        <v>1.4200000000000001E-2</v>
      </c>
      <c r="V2">
        <f>VLOOKUP(A2,'Existing home Sales'!$A$2:$C$324,3,FALSE)</f>
        <v>3.14</v>
      </c>
      <c r="W2" s="8">
        <v>1</v>
      </c>
      <c r="X2" s="8">
        <f>IFERROR(VLOOKUP(A2,'Home Depot Gross Profit'!$A$1:$B$105,2,FALSE)/3,IF(W2=2,X1/3,X1))</f>
        <v>132.86666666666667</v>
      </c>
      <c r="Y2" s="8">
        <f>IFERROR(VLOOKUP(A2,'LOWE''S GROSS PROFIT'!$A$1:$B$105,2,FALSE)/3,IF(X2=2,Y1/3,Y1))</f>
        <v>56.833333333333336</v>
      </c>
      <c r="Z2" s="8">
        <v>8.4499999999999993</v>
      </c>
      <c r="AA2" s="8">
        <v>4667</v>
      </c>
      <c r="AB2">
        <f>VLOOKUP(A2,'[1]Fed_Int (1)'!$A$2:$B$316,2,FALSE)</f>
        <v>4.03</v>
      </c>
      <c r="AC2" s="8">
        <v>7.4166670000000003</v>
      </c>
      <c r="AD2" s="8">
        <v>7.9861110000000002</v>
      </c>
      <c r="AE2" s="8">
        <v>6.75</v>
      </c>
      <c r="AF2" s="8">
        <v>6.8472220000000004</v>
      </c>
      <c r="AG2" s="8">
        <v>4.3189380000000002</v>
      </c>
      <c r="AH2" s="8">
        <v>227041800</v>
      </c>
      <c r="AI2" s="8">
        <v>1.042969</v>
      </c>
      <c r="AJ2" s="8">
        <v>1.292969</v>
      </c>
      <c r="AK2" s="8">
        <v>1.011719</v>
      </c>
      <c r="AL2" s="8">
        <v>1.28125</v>
      </c>
      <c r="AM2" s="8">
        <v>0.46605799999999997</v>
      </c>
      <c r="AN2" s="8">
        <v>160835200</v>
      </c>
      <c r="AP2">
        <f>MAX(B2:AN289)</f>
        <v>162000000000</v>
      </c>
    </row>
    <row r="3" spans="1:42" x14ac:dyDescent="0.35">
      <c r="A3" s="1">
        <v>33635</v>
      </c>
      <c r="B3" s="13">
        <f t="shared" ref="B3:B66" si="0">MONTH(A3)</f>
        <v>2</v>
      </c>
      <c r="C3" s="13">
        <f t="shared" ref="C3:C66" si="1">YEAR(A3)</f>
        <v>1992</v>
      </c>
      <c r="D3" s="2">
        <v>10904</v>
      </c>
      <c r="E3">
        <f>VLOOKUP(A3,PSR!$A$12:$B$721,2,FALSE)</f>
        <v>9.1999999999999993</v>
      </c>
      <c r="F3">
        <f>VLOOKUP(A3,CCI_USA!$F$2:$H$317,3,FALSE)</f>
        <v>98.106099999999998</v>
      </c>
      <c r="G3">
        <f>INDEX('BLS Data Series'!$A$11:$M$39,MATCH('UI Datathon Development'!C3,'BLS Data Series'!$A$13:$A$39,0)+2,MATCH('UI Datathon Development'!B3,'BLS Data Series'!$B$11:$M$11,0)+1)</f>
        <v>7.4</v>
      </c>
      <c r="H3">
        <f>VLOOKUP(A3,'Houses for sale'!$B$10:$I$671,8,FALSE)</f>
        <v>269</v>
      </c>
      <c r="I3">
        <f>VLOOKUP(A3,'House starts'!$A$12:$B$325,2,FALSE)</f>
        <v>1250</v>
      </c>
      <c r="J3" s="3">
        <f>VLOOKUP(A3,'New house sales'!$A$13:$C$324,3,FALSE)</f>
        <v>117200</v>
      </c>
      <c r="K3" s="3">
        <f>VLOOKUP($A3,'Sreenath''s data'!$A$2:$F$313,3,FALSE)</f>
        <v>75.652000000000001</v>
      </c>
      <c r="L3" s="3">
        <f>VLOOKUP($A3,'Sreenath''s data'!$A$2:$F$313,4,FALSE)</f>
        <v>6649.9</v>
      </c>
      <c r="M3" s="3">
        <f>VLOOKUP($A3,'Sreenath''s data'!$A$2:$F$313,5,FALSE)</f>
        <v>95888</v>
      </c>
      <c r="N3" s="3">
        <f>VLOOKUP($A3,'Sreenath''s data'!$A$2:$F$313,6,FALSE)</f>
        <v>60.195577672772501</v>
      </c>
      <c r="O3">
        <f>VLOOKUP($A3,'Niteesh''s data'!$A$2:$I$313,3,FALSE)</f>
        <v>408.790009</v>
      </c>
      <c r="P3">
        <f>VLOOKUP($A3,'Niteesh''s data'!$A$2:$I$313,4,FALSE)</f>
        <v>418.07998700000002</v>
      </c>
      <c r="Q3">
        <f>VLOOKUP($A3,'Niteesh''s data'!$A$2:$I$313,5,FALSE)</f>
        <v>406.33999599999999</v>
      </c>
      <c r="R3">
        <f>VLOOKUP($A3,'Niteesh''s data'!$A$2:$I$313,6,FALSE)</f>
        <v>412.70001200000002</v>
      </c>
      <c r="S3">
        <f>VLOOKUP($A3,'Niteesh''s data'!$A$2:$I$313,7,FALSE)</f>
        <v>412.70001200000002</v>
      </c>
      <c r="T3">
        <f>VLOOKUP($A3,'Niteesh''s data'!$A$2:$I$313,8,FALSE)</f>
        <v>4267610000</v>
      </c>
      <c r="U3" s="61">
        <f>VLOOKUP($A3,'Niteesh''s data'!$A$2:$I$313,9,FALSE)</f>
        <v>1.4200000000000001E-2</v>
      </c>
      <c r="V3">
        <f>VLOOKUP(A3,'Existing home Sales'!$A$2:$C$324,3,FALSE)</f>
        <v>3.26</v>
      </c>
      <c r="W3" s="8">
        <v>2</v>
      </c>
      <c r="X3" s="8">
        <f>IFERROR(VLOOKUP(A3,'Home Depot Gross Profit'!$A$1:$B$105,2,FALSE)/3,IF(W3=2,X2,X2))</f>
        <v>132.86666666666667</v>
      </c>
      <c r="Y3">
        <f>IFERROR(VLOOKUP(A3,'LOWE''S GROSS PROFIT'!$A$1:$B$105,2,FALSE)/3,IF(X3=2,Y2/3,Y2))</f>
        <v>56.833333333333336</v>
      </c>
      <c r="Z3" s="8">
        <v>8.7750000000000004</v>
      </c>
      <c r="AA3">
        <v>4612</v>
      </c>
      <c r="AB3">
        <f>VLOOKUP(A3,'[1]Fed_Int (1)'!$A$2:$B$316,2,FALSE)</f>
        <v>4.0599999999999996</v>
      </c>
      <c r="AC3" s="8">
        <v>6.8611110000000002</v>
      </c>
      <c r="AD3" s="8">
        <v>7.5416670000000003</v>
      </c>
      <c r="AE3" s="8">
        <v>6.6111110000000002</v>
      </c>
      <c r="AF3" s="8">
        <v>7.1111110000000002</v>
      </c>
      <c r="AG3" s="8">
        <v>4.4853880000000004</v>
      </c>
      <c r="AH3" s="8">
        <v>140568900</v>
      </c>
      <c r="AI3" s="8">
        <v>1.28125</v>
      </c>
      <c r="AJ3" s="8">
        <v>1.359375</v>
      </c>
      <c r="AK3" s="8">
        <v>1.175781</v>
      </c>
      <c r="AL3" s="8">
        <v>1.2109380000000001</v>
      </c>
      <c r="AM3" s="8">
        <v>0.50610200000000005</v>
      </c>
      <c r="AN3" s="8">
        <v>124624000</v>
      </c>
    </row>
    <row r="4" spans="1:42" x14ac:dyDescent="0.35">
      <c r="A4" s="1">
        <v>33664</v>
      </c>
      <c r="B4" s="13">
        <f t="shared" si="0"/>
        <v>3</v>
      </c>
      <c r="C4" s="13">
        <f t="shared" si="1"/>
        <v>1992</v>
      </c>
      <c r="D4" s="2">
        <v>10986</v>
      </c>
      <c r="E4">
        <f>VLOOKUP(A4,PSR!$A$12:$B$721,2,FALSE)</f>
        <v>9.1999999999999993</v>
      </c>
      <c r="F4">
        <f>VLOOKUP(A4,CCI_USA!$F$2:$H$317,3,FALSE)</f>
        <v>98.542240000000007</v>
      </c>
      <c r="G4">
        <f>INDEX('BLS Data Series'!$A$11:$M$39,MATCH('UI Datathon Development'!C4,'BLS Data Series'!$A$13:$A$39,0)+2,MATCH('UI Datathon Development'!B4,'BLS Data Series'!$B$11:$M$11,0)+1)</f>
        <v>7.4</v>
      </c>
      <c r="H4">
        <f>VLOOKUP(A4,'Houses for sale'!$B$10:$I$671,8,FALSE)</f>
        <v>279</v>
      </c>
      <c r="I4">
        <f>VLOOKUP(A4,'House starts'!$A$12:$B$325,2,FALSE)</f>
        <v>1297</v>
      </c>
      <c r="J4">
        <f>VLOOKUP(A4,'New house sales'!$A$13:$C$324,3,FALSE)</f>
        <v>120000</v>
      </c>
      <c r="K4">
        <f>VLOOKUP($A4,'Sreenath''s data'!$A$2:$F$313,3,FALSE)</f>
        <v>75.811999999999998</v>
      </c>
      <c r="L4">
        <f>VLOOKUP($A4,'Sreenath''s data'!$A$2:$F$313,4,FALSE)</f>
        <v>6659.6</v>
      </c>
      <c r="M4">
        <f>VLOOKUP($A4,'Sreenath''s data'!$A$2:$F$313,5,FALSE)</f>
        <v>95984</v>
      </c>
      <c r="N4">
        <f>VLOOKUP($A4,'Sreenath''s data'!$A$2:$F$313,6,FALSE)</f>
        <v>60.466032771430598</v>
      </c>
      <c r="O4">
        <f>VLOOKUP($A4,'Niteesh''s data'!$A$2:$I$313,3,FALSE)</f>
        <v>412.67999300000002</v>
      </c>
      <c r="P4">
        <f>VLOOKUP($A4,'Niteesh''s data'!$A$2:$I$313,4,FALSE)</f>
        <v>413.77999899999998</v>
      </c>
      <c r="Q4">
        <f>VLOOKUP($A4,'Niteesh''s data'!$A$2:$I$313,5,FALSE)</f>
        <v>401.94000199999999</v>
      </c>
      <c r="R4">
        <f>VLOOKUP($A4,'Niteesh''s data'!$A$2:$I$313,6,FALSE)</f>
        <v>403.69000199999999</v>
      </c>
      <c r="S4">
        <f>VLOOKUP($A4,'Niteesh''s data'!$A$2:$I$313,7,FALSE)</f>
        <v>403.69000199999999</v>
      </c>
      <c r="T4">
        <f>VLOOKUP($A4,'Niteesh''s data'!$A$2:$I$313,8,FALSE)</f>
        <v>4066240000</v>
      </c>
      <c r="U4" s="61">
        <f>VLOOKUP($A4,'Niteesh''s data'!$A$2:$I$313,9,FALSE)</f>
        <v>1.43E-2</v>
      </c>
      <c r="V4">
        <f>VLOOKUP(A4,'Existing home Sales'!$A$2:$C$324,3,FALSE)</f>
        <v>3.5</v>
      </c>
      <c r="W4" s="8">
        <v>3</v>
      </c>
      <c r="X4" s="8">
        <f>IFERROR(VLOOKUP(A4,'Home Depot Gross Profit'!$A$1:$B$105,2,FALSE)/3,IF(W4=2,X3,X3))</f>
        <v>132.86666666666667</v>
      </c>
      <c r="Y4">
        <f>IFERROR(VLOOKUP(A4,'LOWE''S GROSS PROFIT'!$A$1:$B$105,2,FALSE)/3,IF(X4=2,Y3/3,Y3))</f>
        <v>56.833333333333336</v>
      </c>
      <c r="Z4" s="8">
        <v>8.93</v>
      </c>
      <c r="AA4">
        <v>4621</v>
      </c>
      <c r="AB4">
        <f>VLOOKUP(A4,'[1]Fed_Int (1)'!$A$2:$B$316,2,FALSE)</f>
        <v>3.98</v>
      </c>
      <c r="AC4" s="8">
        <v>7.125</v>
      </c>
      <c r="AD4" s="8">
        <v>7.430555</v>
      </c>
      <c r="AE4" s="8">
        <v>6.7222220000000004</v>
      </c>
      <c r="AF4" s="8">
        <v>7.194445</v>
      </c>
      <c r="AG4" s="8">
        <v>4.5379509999999996</v>
      </c>
      <c r="AH4" s="8">
        <v>124140600</v>
      </c>
      <c r="AI4" s="8">
        <v>1.199219</v>
      </c>
      <c r="AJ4" s="8">
        <v>1.296875</v>
      </c>
      <c r="AK4" s="8">
        <v>1.175781</v>
      </c>
      <c r="AL4" s="8">
        <v>1.1796880000000001</v>
      </c>
      <c r="AM4" s="8">
        <v>0.49304100000000001</v>
      </c>
      <c r="AN4" s="8">
        <v>98467200</v>
      </c>
    </row>
    <row r="5" spans="1:42" x14ac:dyDescent="0.35">
      <c r="A5" s="1">
        <v>33695</v>
      </c>
      <c r="B5" s="13">
        <f t="shared" si="0"/>
        <v>4</v>
      </c>
      <c r="C5" s="13">
        <f t="shared" si="1"/>
        <v>1992</v>
      </c>
      <c r="D5" s="2">
        <v>10738</v>
      </c>
      <c r="E5">
        <f>VLOOKUP(A5,PSR!$A$12:$B$721,2,FALSE)</f>
        <v>9.4</v>
      </c>
      <c r="F5">
        <f>VLOOKUP(A5,CCI_USA!$F$2:$H$317,3,FALSE)</f>
        <v>98.888710000000003</v>
      </c>
      <c r="G5">
        <f>INDEX('BLS Data Series'!$A$11:$M$39,MATCH('UI Datathon Development'!C5,'BLS Data Series'!$A$13:$A$39,0)+2,MATCH('UI Datathon Development'!B5,'BLS Data Series'!$B$11:$M$11,0)+1)</f>
        <v>7.4</v>
      </c>
      <c r="H5">
        <f>VLOOKUP(A5,'Houses for sale'!$B$10:$I$671,8,FALSE)</f>
        <v>274</v>
      </c>
      <c r="I5">
        <f>VLOOKUP(A5,'House starts'!$A$12:$B$325,2,FALSE)</f>
        <v>1099</v>
      </c>
      <c r="J5" s="3">
        <f>VLOOKUP(A5,'New house sales'!$A$13:$C$324,3,FALSE)</f>
        <v>120000</v>
      </c>
      <c r="K5" s="3">
        <f>VLOOKUP($A5,'Sreenath''s data'!$A$2:$F$313,3,FALSE)</f>
        <v>76.078999999999994</v>
      </c>
      <c r="L5" s="3">
        <f>VLOOKUP($A5,'Sreenath''s data'!$A$2:$F$313,4,FALSE)</f>
        <v>6679.4</v>
      </c>
      <c r="M5" s="3">
        <f>VLOOKUP($A5,'Sreenath''s data'!$A$2:$F$313,5,FALSE)</f>
        <v>96309</v>
      </c>
      <c r="N5" s="3">
        <f>VLOOKUP($A5,'Sreenath''s data'!$A$2:$F$313,6,FALSE)</f>
        <v>60.388759886099798</v>
      </c>
      <c r="O5" s="3">
        <f>VLOOKUP($A5,'Niteesh''s data'!$A$2:$I$313,3,FALSE)</f>
        <v>403.67001299999998</v>
      </c>
      <c r="P5" s="3">
        <f>VLOOKUP($A5,'Niteesh''s data'!$A$2:$I$313,4,FALSE)</f>
        <v>416.27999899999998</v>
      </c>
      <c r="Q5" s="3">
        <f>VLOOKUP($A5,'Niteesh''s data'!$A$2:$I$313,5,FALSE)</f>
        <v>392.41000400000001</v>
      </c>
      <c r="R5" s="3">
        <f>VLOOKUP($A5,'Niteesh''s data'!$A$2:$I$313,6,FALSE)</f>
        <v>414.95001200000002</v>
      </c>
      <c r="S5">
        <f>VLOOKUP($A5,'Niteesh''s data'!$A$2:$I$313,7,FALSE)</f>
        <v>414.95001200000002</v>
      </c>
      <c r="T5">
        <f>VLOOKUP($A5,'Niteesh''s data'!$A$2:$I$313,8,FALSE)</f>
        <v>4315840000</v>
      </c>
      <c r="U5" s="61">
        <f>VLOOKUP($A5,'Niteesh''s data'!$A$2:$I$313,9,FALSE)</f>
        <v>1.44E-2</v>
      </c>
      <c r="V5">
        <f>VLOOKUP(A5,'Existing home Sales'!$A$2:$C$324,3,FALSE)</f>
        <v>3.51</v>
      </c>
      <c r="W5" s="8">
        <v>1</v>
      </c>
      <c r="X5">
        <f>IFERROR(VLOOKUP(A5,'Home Depot Gross Profit'!$A$1:$B$105,2,FALSE)/3,IF(W5=2,X4,X4))</f>
        <v>153.76666666666668</v>
      </c>
      <c r="Y5">
        <f>IFERROR(VLOOKUP(A5,'LOWE''S GROSS PROFIT'!$A$1:$B$105,2,FALSE)/3,IF(X5=2,Y4/3,Y4))</f>
        <v>71.066666666666663</v>
      </c>
      <c r="Z5" s="8">
        <v>8.84499999999999</v>
      </c>
      <c r="AA5">
        <v>4603</v>
      </c>
      <c r="AB5">
        <f>VLOOKUP(A5,'[1]Fed_Int (1)'!$A$2:$B$316,2,FALSE)</f>
        <v>3.73</v>
      </c>
      <c r="AC5" s="8">
        <v>7.1666670000000003</v>
      </c>
      <c r="AD5" s="8">
        <v>7.625</v>
      </c>
      <c r="AE5" s="8">
        <v>6.7083329999999997</v>
      </c>
      <c r="AF5" s="8">
        <v>6.930555</v>
      </c>
      <c r="AG5" s="8">
        <v>4.3806500000000002</v>
      </c>
      <c r="AH5" s="8">
        <v>172449300</v>
      </c>
      <c r="AI5" s="8">
        <v>1.171875</v>
      </c>
      <c r="AJ5" s="8">
        <v>1.2421880000000001</v>
      </c>
      <c r="AK5" s="8">
        <v>1.082031</v>
      </c>
      <c r="AL5" s="8">
        <v>1.183594</v>
      </c>
      <c r="AM5" s="8">
        <v>0.49467299999999997</v>
      </c>
      <c r="AN5" s="8">
        <v>63289600</v>
      </c>
    </row>
    <row r="6" spans="1:42" x14ac:dyDescent="0.35">
      <c r="A6" s="1">
        <v>33725</v>
      </c>
      <c r="B6" s="13">
        <f t="shared" si="0"/>
        <v>5</v>
      </c>
      <c r="C6" s="13">
        <f t="shared" si="1"/>
        <v>1992</v>
      </c>
      <c r="D6" s="2">
        <v>10777</v>
      </c>
      <c r="E6">
        <f>VLOOKUP(A6,PSR!$A$12:$B$721,2,FALSE)</f>
        <v>9.4</v>
      </c>
      <c r="F6">
        <f>VLOOKUP(A6,CCI_USA!$F$2:$H$317,3,FALSE)</f>
        <v>99.08596</v>
      </c>
      <c r="G6">
        <f>INDEX('BLS Data Series'!$A$11:$M$39,MATCH('UI Datathon Development'!C6,'BLS Data Series'!$A$13:$A$39,0)+2,MATCH('UI Datathon Development'!B6,'BLS Data Series'!$B$11:$M$11,0)+1)</f>
        <v>7.6</v>
      </c>
      <c r="H6">
        <f>VLOOKUP(A6,'Houses for sale'!$B$10:$I$671,8,FALSE)</f>
        <v>273</v>
      </c>
      <c r="I6">
        <f>VLOOKUP(A6,'House starts'!$A$12:$B$325,2,FALSE)</f>
        <v>1214</v>
      </c>
      <c r="J6" s="3">
        <f>VLOOKUP(A6,'New house sales'!$A$13:$C$324,3,FALSE)</f>
        <v>113000</v>
      </c>
      <c r="K6" s="3">
        <f>VLOOKUP($A6,'Sreenath''s data'!$A$2:$F$313,3,FALSE)</f>
        <v>76.397999999999996</v>
      </c>
      <c r="L6" s="3">
        <f>VLOOKUP($A6,'Sreenath''s data'!$A$2:$F$313,4,FALSE)</f>
        <v>6712.9</v>
      </c>
      <c r="M6" s="3">
        <f>VLOOKUP($A6,'Sreenath''s data'!$A$2:$F$313,5,FALSE)</f>
        <v>96456</v>
      </c>
      <c r="N6" s="3">
        <f>VLOOKUP($A6,'Sreenath''s data'!$A$2:$F$313,6,FALSE)</f>
        <v>60.350123443434299</v>
      </c>
      <c r="O6" s="3">
        <f>VLOOKUP($A6,'Niteesh''s data'!$A$2:$I$313,3,FALSE)</f>
        <v>414.95001200000002</v>
      </c>
      <c r="P6" s="3">
        <f>VLOOKUP($A6,'Niteesh''s data'!$A$2:$I$313,4,FALSE)</f>
        <v>418.75</v>
      </c>
      <c r="Q6" s="3">
        <f>VLOOKUP($A6,'Niteesh''s data'!$A$2:$I$313,5,FALSE)</f>
        <v>409.85000600000001</v>
      </c>
      <c r="R6" s="3">
        <f>VLOOKUP($A6,'Niteesh''s data'!$A$2:$I$313,6,FALSE)</f>
        <v>415.35000600000001</v>
      </c>
      <c r="S6">
        <f>VLOOKUP($A6,'Niteesh''s data'!$A$2:$I$313,7,FALSE)</f>
        <v>415.35000600000001</v>
      </c>
      <c r="T6">
        <f>VLOOKUP($A6,'Niteesh''s data'!$A$2:$I$313,8,FALSE)</f>
        <v>3643980000</v>
      </c>
      <c r="U6" s="61">
        <f>VLOOKUP($A6,'Niteesh''s data'!$A$2:$I$313,9,FALSE)</f>
        <v>1.43E-2</v>
      </c>
      <c r="V6">
        <f>VLOOKUP(A6,'Existing home Sales'!$A$2:$C$324,3,FALSE)</f>
        <v>3.5</v>
      </c>
      <c r="W6" s="8">
        <v>2</v>
      </c>
      <c r="X6">
        <f>IFERROR(VLOOKUP(A6,'Home Depot Gross Profit'!$A$1:$B$105,2,FALSE)/3,IF(W6=2,X5,X5))</f>
        <v>153.76666666666668</v>
      </c>
      <c r="Y6">
        <f>IFERROR(VLOOKUP(A6,'LOWE''S GROSS PROFIT'!$A$1:$B$105,2,FALSE)/3,IF(X6=2,Y5/3,Y5))</f>
        <v>71.066666666666663</v>
      </c>
      <c r="Z6" s="8">
        <v>8.64</v>
      </c>
      <c r="AA6">
        <v>4605</v>
      </c>
      <c r="AB6">
        <f>VLOOKUP(A6,'[1]Fed_Int (1)'!$A$2:$B$316,2,FALSE)</f>
        <v>3.82</v>
      </c>
      <c r="AC6" s="8">
        <v>6.930555</v>
      </c>
      <c r="AD6" s="8">
        <v>7.8888889999999998</v>
      </c>
      <c r="AE6" s="8">
        <v>6.7361110000000002</v>
      </c>
      <c r="AF6" s="8">
        <v>7.8472220000000004</v>
      </c>
      <c r="AG6" s="8">
        <v>4.9600549999999997</v>
      </c>
      <c r="AH6" s="8">
        <v>144565200</v>
      </c>
      <c r="AI6" s="8">
        <v>1.199219</v>
      </c>
      <c r="AJ6" s="8">
        <v>1.40625</v>
      </c>
      <c r="AK6" s="8">
        <v>1.1796880000000001</v>
      </c>
      <c r="AL6" s="8">
        <v>1.371094</v>
      </c>
      <c r="AM6" s="8">
        <v>0.65342199999999995</v>
      </c>
      <c r="AN6" s="8">
        <v>102934400</v>
      </c>
    </row>
    <row r="7" spans="1:42" x14ac:dyDescent="0.35">
      <c r="A7" s="1">
        <v>33756</v>
      </c>
      <c r="B7" s="13">
        <f t="shared" si="0"/>
        <v>6</v>
      </c>
      <c r="C7" s="13">
        <f t="shared" si="1"/>
        <v>1992</v>
      </c>
      <c r="D7" s="2">
        <v>10790</v>
      </c>
      <c r="E7">
        <f>VLOOKUP(A7,PSR!$A$12:$B$721,2,FALSE)</f>
        <v>9.5</v>
      </c>
      <c r="F7">
        <f>VLOOKUP(A7,CCI_USA!$F$2:$H$317,3,FALSE)</f>
        <v>99.091769999999997</v>
      </c>
      <c r="G7">
        <f>INDEX('BLS Data Series'!$A$11:$M$39,MATCH('UI Datathon Development'!C7,'BLS Data Series'!$A$13:$A$39,0)+2,MATCH('UI Datathon Development'!B7,'BLS Data Series'!$B$11:$M$11,0)+1)</f>
        <v>7.8</v>
      </c>
      <c r="H7">
        <f>VLOOKUP(A7,'Houses for sale'!$B$10:$I$671,8,FALSE)</f>
        <v>273</v>
      </c>
      <c r="I7">
        <f>VLOOKUP(A7,'House starts'!$A$12:$B$325,2,FALSE)</f>
        <v>1145</v>
      </c>
      <c r="J7" s="3">
        <f>VLOOKUP(A7,'New house sales'!$A$13:$C$324,3,FALSE)</f>
        <v>124500</v>
      </c>
      <c r="K7" s="3">
        <f>VLOOKUP($A7,'Sreenath''s data'!$A$2:$F$313,3,FALSE)</f>
        <v>76.602999999999994</v>
      </c>
      <c r="L7" s="3">
        <f>VLOOKUP($A7,'Sreenath''s data'!$A$2:$F$313,4,FALSE)</f>
        <v>6741.7</v>
      </c>
      <c r="M7" s="3">
        <f>VLOOKUP($A7,'Sreenath''s data'!$A$2:$F$313,5,FALSE)</f>
        <v>96586</v>
      </c>
      <c r="N7" s="3">
        <f>VLOOKUP($A7,'Sreenath''s data'!$A$2:$F$313,6,FALSE)</f>
        <v>60.697851427423402</v>
      </c>
      <c r="O7" s="3">
        <f>VLOOKUP($A7,'Niteesh''s data'!$A$2:$I$313,3,FALSE)</f>
        <v>415.35000600000001</v>
      </c>
      <c r="P7" s="3">
        <f>VLOOKUP($A7,'Niteesh''s data'!$A$2:$I$313,4,FALSE)</f>
        <v>417.29998799999998</v>
      </c>
      <c r="Q7" s="3">
        <f>VLOOKUP($A7,'Niteesh''s data'!$A$2:$I$313,5,FALSE)</f>
        <v>399.92001299999998</v>
      </c>
      <c r="R7" s="3">
        <f>VLOOKUP($A7,'Niteesh''s data'!$A$2:$I$313,6,FALSE)</f>
        <v>408.14001500000001</v>
      </c>
      <c r="S7">
        <f>VLOOKUP($A7,'Niteesh''s data'!$A$2:$I$313,7,FALSE)</f>
        <v>408.14001500000001</v>
      </c>
      <c r="T7">
        <f>VLOOKUP($A7,'Niteesh''s data'!$A$2:$I$313,8,FALSE)</f>
        <v>4259830000</v>
      </c>
      <c r="U7" s="61">
        <f>VLOOKUP($A7,'Niteesh''s data'!$A$2:$I$313,9,FALSE)</f>
        <v>1.3899999999999999E-2</v>
      </c>
      <c r="V7">
        <f>VLOOKUP(A7,'Existing home Sales'!$A$2:$C$324,3,FALSE)</f>
        <v>3.42</v>
      </c>
      <c r="W7" s="8">
        <v>3</v>
      </c>
      <c r="X7">
        <f>IFERROR(VLOOKUP(A7,'Home Depot Gross Profit'!$A$1:$B$105,2,FALSE)/3,IF(W7=2,X6,X6))</f>
        <v>153.76666666666668</v>
      </c>
      <c r="Y7">
        <f>IFERROR(VLOOKUP(A7,'LOWE''S GROSS PROFIT'!$A$1:$B$105,2,FALSE)/3,IF(X7=2,Y6/3,Y6))</f>
        <v>71.066666666666663</v>
      </c>
      <c r="Z7" s="8">
        <v>8.51</v>
      </c>
      <c r="AA7">
        <v>4584</v>
      </c>
      <c r="AB7">
        <f>VLOOKUP(A7,'[1]Fed_Int (1)'!$A$2:$B$316,2,FALSE)</f>
        <v>3.76</v>
      </c>
      <c r="AC7" s="8">
        <v>7.8472220000000004</v>
      </c>
      <c r="AD7" s="8">
        <v>7.930555</v>
      </c>
      <c r="AE7" s="8">
        <v>7.0277779999999996</v>
      </c>
      <c r="AF7" s="8">
        <v>7.4722220000000004</v>
      </c>
      <c r="AG7" s="8">
        <v>4.7375040000000004</v>
      </c>
      <c r="AH7" s="8">
        <v>157690800</v>
      </c>
      <c r="AI7" s="8">
        <v>1.363281</v>
      </c>
      <c r="AJ7" s="8">
        <v>1.4609380000000001</v>
      </c>
      <c r="AK7" s="8">
        <v>1.140625</v>
      </c>
      <c r="AL7" s="8">
        <v>1.2265630000000001</v>
      </c>
      <c r="AM7" s="8">
        <v>0.58454200000000001</v>
      </c>
      <c r="AN7" s="8">
        <v>118880000</v>
      </c>
    </row>
    <row r="8" spans="1:42" x14ac:dyDescent="0.35">
      <c r="A8" s="1">
        <v>33786</v>
      </c>
      <c r="B8" s="13">
        <f t="shared" si="0"/>
        <v>7</v>
      </c>
      <c r="C8" s="13">
        <f t="shared" si="1"/>
        <v>1992</v>
      </c>
      <c r="D8" s="2">
        <v>10785</v>
      </c>
      <c r="E8">
        <f>VLOOKUP(A8,PSR!$A$12:$B$721,2,FALSE)</f>
        <v>9.1</v>
      </c>
      <c r="F8">
        <f>VLOOKUP(A8,CCI_USA!$F$2:$H$317,3,FALSE)</f>
        <v>98.918329999999997</v>
      </c>
      <c r="G8">
        <f>INDEX('BLS Data Series'!$A$11:$M$39,MATCH('UI Datathon Development'!C8,'BLS Data Series'!$A$13:$A$39,0)+2,MATCH('UI Datathon Development'!B8,'BLS Data Series'!$B$11:$M$11,0)+1)</f>
        <v>7.7</v>
      </c>
      <c r="H8">
        <f>VLOOKUP(A8,'Houses for sale'!$B$10:$I$671,8,FALSE)</f>
        <v>271</v>
      </c>
      <c r="I8">
        <f>VLOOKUP(A8,'House starts'!$A$12:$B$325,2,FALSE)</f>
        <v>1139</v>
      </c>
      <c r="J8">
        <f>VLOOKUP(A8,'New house sales'!$A$13:$C$324,3,FALSE)</f>
        <v>118000</v>
      </c>
      <c r="K8">
        <f>VLOOKUP($A8,'Sreenath''s data'!$A$2:$F$313,3,FALSE)</f>
        <v>76.712999999999994</v>
      </c>
      <c r="L8">
        <f>VLOOKUP($A8,'Sreenath''s data'!$A$2:$F$313,4,FALSE)</f>
        <v>6736.8</v>
      </c>
      <c r="M8">
        <f>VLOOKUP($A8,'Sreenath''s data'!$A$2:$F$313,5,FALSE)</f>
        <v>96426</v>
      </c>
      <c r="N8">
        <f>VLOOKUP($A8,'Sreenath''s data'!$A$2:$F$313,6,FALSE)</f>
        <v>61.045579411412398</v>
      </c>
      <c r="O8">
        <f>VLOOKUP($A8,'Niteesh''s data'!$A$2:$I$313,3,FALSE)</f>
        <v>408.20001200000002</v>
      </c>
      <c r="P8">
        <f>VLOOKUP($A8,'Niteesh''s data'!$A$2:$I$313,4,FALSE)</f>
        <v>424.79998799999998</v>
      </c>
      <c r="Q8">
        <f>VLOOKUP($A8,'Niteesh''s data'!$A$2:$I$313,5,FALSE)</f>
        <v>407.20001200000002</v>
      </c>
      <c r="R8">
        <f>VLOOKUP($A8,'Niteesh''s data'!$A$2:$I$313,6,FALSE)</f>
        <v>424.209991</v>
      </c>
      <c r="S8">
        <f>VLOOKUP($A8,'Niteesh''s data'!$A$2:$I$313,7,FALSE)</f>
        <v>424.209991</v>
      </c>
      <c r="T8">
        <f>VLOOKUP($A8,'Niteesh''s data'!$A$2:$I$313,8,FALSE)</f>
        <v>4265220000</v>
      </c>
      <c r="U8" s="61">
        <f>VLOOKUP($A8,'Niteesh''s data'!$A$2:$I$313,9,FALSE)</f>
        <v>1.4E-2</v>
      </c>
      <c r="V8">
        <f>VLOOKUP(A8,'Existing home Sales'!$A$2:$C$324,3,FALSE)</f>
        <v>3.34</v>
      </c>
      <c r="W8" s="8">
        <v>1</v>
      </c>
      <c r="X8">
        <f>IFERROR(VLOOKUP(A8,'Home Depot Gross Profit'!$A$1:$B$105,2,FALSE)/3,IF(W8=2,X7,X7))</f>
        <v>173.53333333333333</v>
      </c>
      <c r="Y8">
        <f>IFERROR(VLOOKUP(A8,'LOWE''S GROSS PROFIT'!$A$1:$B$105,2,FALSE)/3,IF(X8=2,Y7/3,Y7))</f>
        <v>82.233333333333334</v>
      </c>
      <c r="Z8" s="8">
        <v>8.09</v>
      </c>
      <c r="AA8">
        <v>4570</v>
      </c>
      <c r="AB8">
        <f>VLOOKUP(A8,'[1]Fed_Int (1)'!$A$2:$B$316,2,FALSE)</f>
        <v>3.25</v>
      </c>
      <c r="AC8" s="8">
        <v>7.4583329999999997</v>
      </c>
      <c r="AD8" s="8">
        <v>8.4375</v>
      </c>
      <c r="AE8" s="8">
        <v>7.444445</v>
      </c>
      <c r="AF8" s="8">
        <v>8.375</v>
      </c>
      <c r="AG8" s="8">
        <v>5.3098799999999997</v>
      </c>
      <c r="AH8" s="8">
        <v>105941700</v>
      </c>
      <c r="AI8" s="8">
        <v>1.2109380000000001</v>
      </c>
      <c r="AJ8" s="8">
        <v>1.4765630000000001</v>
      </c>
      <c r="AK8" s="8">
        <v>1.1328130000000001</v>
      </c>
      <c r="AL8" s="8">
        <v>1.4765630000000001</v>
      </c>
      <c r="AM8" s="8">
        <v>0.703685</v>
      </c>
      <c r="AN8" s="8">
        <v>112443200</v>
      </c>
    </row>
    <row r="9" spans="1:42" x14ac:dyDescent="0.35">
      <c r="A9" s="1">
        <v>33817</v>
      </c>
      <c r="B9" s="13">
        <f t="shared" si="0"/>
        <v>8</v>
      </c>
      <c r="C9" s="13">
        <f t="shared" si="1"/>
        <v>1992</v>
      </c>
      <c r="D9" s="2">
        <v>10915</v>
      </c>
      <c r="E9">
        <f>VLOOKUP(A9,PSR!$A$12:$B$721,2,FALSE)</f>
        <v>9.1999999999999993</v>
      </c>
      <c r="F9">
        <f>VLOOKUP(A9,CCI_USA!$F$2:$H$317,3,FALSE)</f>
        <v>98.767009999999999</v>
      </c>
      <c r="G9">
        <f>INDEX('BLS Data Series'!$A$11:$M$39,MATCH('UI Datathon Development'!C9,'BLS Data Series'!$A$13:$A$39,0)+2,MATCH('UI Datathon Development'!B9,'BLS Data Series'!$B$11:$M$11,0)+1)</f>
        <v>7.6</v>
      </c>
      <c r="H9">
        <f>VLOOKUP(A9,'Houses for sale'!$B$10:$I$671,8,FALSE)</f>
        <v>269</v>
      </c>
      <c r="I9">
        <f>VLOOKUP(A9,'House starts'!$A$12:$B$325,2,FALSE)</f>
        <v>1226</v>
      </c>
      <c r="J9">
        <f>VLOOKUP(A9,'New house sales'!$A$13:$C$324,3,FALSE)</f>
        <v>123500</v>
      </c>
      <c r="K9">
        <f>VLOOKUP($A9,'Sreenath''s data'!$A$2:$F$313,3,FALSE)</f>
        <v>76.733999999999995</v>
      </c>
      <c r="L9">
        <f>VLOOKUP($A9,'Sreenath''s data'!$A$2:$F$313,4,FALSE)</f>
        <v>6759.6</v>
      </c>
      <c r="M9">
        <f>VLOOKUP($A9,'Sreenath''s data'!$A$2:$F$313,5,FALSE)</f>
        <v>96383</v>
      </c>
      <c r="N9">
        <f>VLOOKUP($A9,'Sreenath''s data'!$A$2:$F$313,6,FALSE)</f>
        <v>61.238761624739702</v>
      </c>
      <c r="O9">
        <f>VLOOKUP($A9,'Niteesh''s data'!$A$2:$I$313,3,FALSE)</f>
        <v>424.19000199999999</v>
      </c>
      <c r="P9">
        <f>VLOOKUP($A9,'Niteesh''s data'!$A$2:$I$313,4,FALSE)</f>
        <v>425.14001500000001</v>
      </c>
      <c r="Q9">
        <f>VLOOKUP($A9,'Niteesh''s data'!$A$2:$I$313,5,FALSE)</f>
        <v>408.29998799999998</v>
      </c>
      <c r="R9">
        <f>VLOOKUP($A9,'Niteesh''s data'!$A$2:$I$313,6,FALSE)</f>
        <v>414.02999899999998</v>
      </c>
      <c r="S9">
        <f>VLOOKUP($A9,'Niteesh''s data'!$A$2:$I$313,7,FALSE)</f>
        <v>414.02999899999998</v>
      </c>
      <c r="T9">
        <f>VLOOKUP($A9,'Niteesh''s data'!$A$2:$I$313,8,FALSE)</f>
        <v>3653820000</v>
      </c>
      <c r="U9" s="61">
        <f>VLOOKUP($A9,'Niteesh''s data'!$A$2:$I$313,9,FALSE)</f>
        <v>1.4E-2</v>
      </c>
      <c r="V9">
        <f>VLOOKUP(A9,'Existing home Sales'!$A$2:$C$324,3,FALSE)</f>
        <v>3.35</v>
      </c>
      <c r="W9" s="8">
        <v>2</v>
      </c>
      <c r="X9">
        <f>IFERROR(VLOOKUP(A9,'Home Depot Gross Profit'!$A$1:$B$105,2,FALSE)/3,IF(W9=2,X8,X8))</f>
        <v>173.53333333333333</v>
      </c>
      <c r="Y9">
        <f>IFERROR(VLOOKUP(A9,'LOWE''S GROSS PROFIT'!$A$1:$B$105,2,FALSE)/3,IF(X9=2,Y8/3,Y8))</f>
        <v>82.233333333333334</v>
      </c>
      <c r="Z9" s="8">
        <v>7.9849999999999897</v>
      </c>
      <c r="AA9">
        <v>4581</v>
      </c>
      <c r="AB9">
        <f>VLOOKUP(A9,'[1]Fed_Int (1)'!$A$2:$B$316,2,FALSE)</f>
        <v>3.3</v>
      </c>
      <c r="AC9" s="8">
        <v>8.375</v>
      </c>
      <c r="AD9" s="8">
        <v>8.9166670000000003</v>
      </c>
      <c r="AE9" s="8">
        <v>8.3125</v>
      </c>
      <c r="AF9" s="8">
        <v>8.8958329999999997</v>
      </c>
      <c r="AG9" s="8">
        <v>5.6400969999999999</v>
      </c>
      <c r="AH9" s="8">
        <v>127167000</v>
      </c>
      <c r="AI9" s="8">
        <v>1.46875</v>
      </c>
      <c r="AJ9" s="8">
        <v>1.5390630000000001</v>
      </c>
      <c r="AK9" s="8">
        <v>1</v>
      </c>
      <c r="AL9" s="8">
        <v>1.1171880000000001</v>
      </c>
      <c r="AM9" s="8">
        <v>0.56505799999999995</v>
      </c>
      <c r="AN9" s="8">
        <v>201860800</v>
      </c>
    </row>
    <row r="10" spans="1:42" x14ac:dyDescent="0.35">
      <c r="A10" s="1">
        <v>33848</v>
      </c>
      <c r="B10" s="13">
        <f t="shared" si="0"/>
        <v>9</v>
      </c>
      <c r="C10" s="13">
        <f t="shared" si="1"/>
        <v>1992</v>
      </c>
      <c r="D10" s="2">
        <v>10980</v>
      </c>
      <c r="E10">
        <f>VLOOKUP(A10,PSR!$A$12:$B$721,2,FALSE)</f>
        <v>8.1999999999999993</v>
      </c>
      <c r="F10">
        <f>VLOOKUP(A10,CCI_USA!$F$2:$H$317,3,FALSE)</f>
        <v>98.756609999999995</v>
      </c>
      <c r="G10">
        <f>INDEX('BLS Data Series'!$A$11:$M$39,MATCH('UI Datathon Development'!C10,'BLS Data Series'!$A$13:$A$39,0)+2,MATCH('UI Datathon Development'!B10,'BLS Data Series'!$B$11:$M$11,0)+1)</f>
        <v>7.6</v>
      </c>
      <c r="H10">
        <f>VLOOKUP(A10,'Houses for sale'!$B$10:$I$671,8,FALSE)</f>
        <v>265</v>
      </c>
      <c r="I10">
        <f>VLOOKUP(A10,'House starts'!$A$12:$B$325,2,FALSE)</f>
        <v>1186</v>
      </c>
      <c r="J10">
        <f>VLOOKUP(A10,'New house sales'!$A$13:$C$324,3,FALSE)</f>
        <v>119500</v>
      </c>
      <c r="K10">
        <f>VLOOKUP($A10,'Sreenath''s data'!$A$2:$F$313,3,FALSE)</f>
        <v>76.632000000000005</v>
      </c>
      <c r="L10">
        <f>VLOOKUP($A10,'Sreenath''s data'!$A$2:$F$313,4,FALSE)</f>
        <v>6725.8</v>
      </c>
      <c r="M10">
        <f>VLOOKUP($A10,'Sreenath''s data'!$A$2:$F$313,5,FALSE)</f>
        <v>96469</v>
      </c>
      <c r="N10">
        <f>VLOOKUP($A10,'Sreenath''s data'!$A$2:$F$313,6,FALSE)</f>
        <v>61.045579411412398</v>
      </c>
      <c r="O10">
        <f>VLOOKUP($A10,'Niteesh''s data'!$A$2:$I$313,3,FALSE)</f>
        <v>414.02999899999998</v>
      </c>
      <c r="P10">
        <f>VLOOKUP($A10,'Niteesh''s data'!$A$2:$I$313,4,FALSE)</f>
        <v>425.26998900000001</v>
      </c>
      <c r="Q10">
        <f>VLOOKUP($A10,'Niteesh''s data'!$A$2:$I$313,5,FALSE)</f>
        <v>412.709991</v>
      </c>
      <c r="R10">
        <f>VLOOKUP($A10,'Niteesh''s data'!$A$2:$I$313,6,FALSE)</f>
        <v>417.79998799999998</v>
      </c>
      <c r="S10">
        <f>VLOOKUP($A10,'Niteesh''s data'!$A$2:$I$313,7,FALSE)</f>
        <v>417.79998799999998</v>
      </c>
      <c r="T10">
        <f>VLOOKUP($A10,'Niteesh''s data'!$A$2:$I$313,8,FALSE)</f>
        <v>4023850000</v>
      </c>
      <c r="U10" s="61">
        <f>VLOOKUP($A10,'Niteesh''s data'!$A$2:$I$313,9,FALSE)</f>
        <v>1.4E-2</v>
      </c>
      <c r="V10">
        <f>VLOOKUP(A10,'Existing home Sales'!$A$2:$C$324,3,FALSE)</f>
        <v>3.32</v>
      </c>
      <c r="W10" s="8">
        <v>3</v>
      </c>
      <c r="X10">
        <f>IFERROR(VLOOKUP(A10,'Home Depot Gross Profit'!$A$1:$B$105,2,FALSE)/3,IF(W10=2,X9,X9))</f>
        <v>173.53333333333333</v>
      </c>
      <c r="Y10">
        <f>IFERROR(VLOOKUP(A10,'LOWE''S GROSS PROFIT'!$A$1:$B$105,2,FALSE)/3,IF(X10=2,Y9/3,Y9))</f>
        <v>82.233333333333334</v>
      </c>
      <c r="Z10" s="8">
        <v>7.915</v>
      </c>
      <c r="AA10">
        <v>4584</v>
      </c>
      <c r="AB10">
        <f>VLOOKUP(A10,'[1]Fed_Int (1)'!$A$2:$B$316,2,FALSE)</f>
        <v>3.22</v>
      </c>
      <c r="AC10" s="8">
        <v>8.8958329999999997</v>
      </c>
      <c r="AD10" s="8">
        <v>9.5</v>
      </c>
      <c r="AE10" s="8">
        <v>8.75</v>
      </c>
      <c r="AF10" s="8">
        <v>9.2291670000000003</v>
      </c>
      <c r="AG10" s="8">
        <v>5.8670039999999997</v>
      </c>
      <c r="AH10" s="8">
        <v>107329500</v>
      </c>
      <c r="AI10" s="8">
        <v>1.125</v>
      </c>
      <c r="AJ10" s="8">
        <v>1.171875</v>
      </c>
      <c r="AK10" s="8">
        <v>1.0078130000000001</v>
      </c>
      <c r="AL10" s="8">
        <v>1.15625</v>
      </c>
      <c r="AM10" s="8">
        <v>0.58481399999999994</v>
      </c>
      <c r="AN10" s="8">
        <v>128193600</v>
      </c>
    </row>
    <row r="11" spans="1:42" x14ac:dyDescent="0.35">
      <c r="A11" s="1">
        <v>33878</v>
      </c>
      <c r="B11" s="13">
        <f t="shared" si="0"/>
        <v>10</v>
      </c>
      <c r="C11" s="13">
        <f t="shared" si="1"/>
        <v>1992</v>
      </c>
      <c r="D11" s="2">
        <v>10971</v>
      </c>
      <c r="E11">
        <f>VLOOKUP(A11,PSR!$A$12:$B$721,2,FALSE)</f>
        <v>7.4</v>
      </c>
      <c r="F11">
        <f>VLOOKUP(A11,CCI_USA!$F$2:$H$317,3,FALSE)</f>
        <v>99.016009999999994</v>
      </c>
      <c r="G11">
        <f>INDEX('BLS Data Series'!$A$11:$M$39,MATCH('UI Datathon Development'!C11,'BLS Data Series'!$A$13:$A$39,0)+2,MATCH('UI Datathon Development'!B11,'BLS Data Series'!$B$11:$M$11,0)+1)</f>
        <v>7.3</v>
      </c>
      <c r="H11">
        <f>VLOOKUP(A11,'Houses for sale'!$B$10:$I$671,8,FALSE)</f>
        <v>264</v>
      </c>
      <c r="I11">
        <f>VLOOKUP(A11,'House starts'!$A$12:$B$325,2,FALSE)</f>
        <v>1244</v>
      </c>
      <c r="J11">
        <f>VLOOKUP(A11,'New house sales'!$A$13:$C$324,3,FALSE)</f>
        <v>125000</v>
      </c>
      <c r="K11">
        <f>VLOOKUP($A11,'Sreenath''s data'!$A$2:$F$313,3,FALSE)</f>
        <v>76.602000000000004</v>
      </c>
      <c r="L11">
        <f>VLOOKUP($A11,'Sreenath''s data'!$A$2:$F$313,4,FALSE)</f>
        <v>6682.5</v>
      </c>
      <c r="M11">
        <f>VLOOKUP($A11,'Sreenath''s data'!$A$2:$F$313,5,FALSE)</f>
        <v>96674</v>
      </c>
      <c r="N11">
        <f>VLOOKUP($A11,'Sreenath''s data'!$A$2:$F$313,6,FALSE)</f>
        <v>61.277398067405102</v>
      </c>
      <c r="O11">
        <f>VLOOKUP($A11,'Niteesh''s data'!$A$2:$I$313,3,FALSE)</f>
        <v>417.79998799999998</v>
      </c>
      <c r="P11">
        <f>VLOOKUP($A11,'Niteesh''s data'!$A$2:$I$313,4,FALSE)</f>
        <v>421.16000400000001</v>
      </c>
      <c r="Q11">
        <f>VLOOKUP($A11,'Niteesh''s data'!$A$2:$I$313,5,FALSE)</f>
        <v>396.79998799999998</v>
      </c>
      <c r="R11">
        <f>VLOOKUP($A11,'Niteesh''s data'!$A$2:$I$313,6,FALSE)</f>
        <v>418.67999300000002</v>
      </c>
      <c r="S11">
        <f>VLOOKUP($A11,'Niteesh''s data'!$A$2:$I$313,7,FALSE)</f>
        <v>418.67999300000002</v>
      </c>
      <c r="T11">
        <f>VLOOKUP($A11,'Niteesh''s data'!$A$2:$I$313,8,FALSE)</f>
        <v>4507010000</v>
      </c>
      <c r="U11" s="61">
        <f>VLOOKUP($A11,'Niteesh''s data'!$A$2:$I$313,9,FALSE)</f>
        <v>1.3899999999999999E-2</v>
      </c>
      <c r="V11">
        <f>VLOOKUP(A11,'Existing home Sales'!$A$2:$C$324,3,FALSE)</f>
        <v>3.39</v>
      </c>
      <c r="W11" s="8">
        <v>1</v>
      </c>
      <c r="X11">
        <f>IFERROR(VLOOKUP(A11,'Home Depot Gross Profit'!$A$1:$B$105,2,FALSE)/3,IF(W11=2,X10,X10))</f>
        <v>170.76666666666665</v>
      </c>
      <c r="Y11">
        <f>IFERROR(VLOOKUP(A11,'LOWE''S GROSS PROFIT'!$A$1:$B$105,2,FALSE)/3,IF(X11=2,Y10/3,Y10))</f>
        <v>77.13333333333334</v>
      </c>
      <c r="Z11" s="8">
        <v>8.06</v>
      </c>
      <c r="AA11">
        <v>4600</v>
      </c>
      <c r="AB11">
        <f>VLOOKUP(A11,'[1]Fed_Int (1)'!$A$2:$B$316,2,FALSE)</f>
        <v>3.1</v>
      </c>
      <c r="AC11" s="8">
        <v>9.2291670000000003</v>
      </c>
      <c r="AD11" s="8">
        <v>9.7083329999999997</v>
      </c>
      <c r="AE11" s="8">
        <v>8.1666670000000003</v>
      </c>
      <c r="AF11" s="8">
        <v>9.6458329999999997</v>
      </c>
      <c r="AG11" s="8">
        <v>6.1318849999999996</v>
      </c>
      <c r="AH11" s="8">
        <v>143959500</v>
      </c>
      <c r="AI11" s="8">
        <v>1.171875</v>
      </c>
      <c r="AJ11" s="8">
        <v>1.234375</v>
      </c>
      <c r="AK11" s="8">
        <v>1.09375</v>
      </c>
      <c r="AL11" s="8">
        <v>1.1875</v>
      </c>
      <c r="AM11" s="8">
        <v>0.60062000000000004</v>
      </c>
      <c r="AN11" s="8">
        <v>77094400</v>
      </c>
    </row>
    <row r="12" spans="1:42" x14ac:dyDescent="0.35">
      <c r="A12" s="1">
        <v>33909</v>
      </c>
      <c r="B12" s="13">
        <f t="shared" si="0"/>
        <v>11</v>
      </c>
      <c r="C12" s="13">
        <f t="shared" si="1"/>
        <v>1992</v>
      </c>
      <c r="D12" s="2">
        <v>10873</v>
      </c>
      <c r="E12">
        <f>VLOOKUP(A12,PSR!$A$12:$B$721,2,FALSE)</f>
        <v>7.3</v>
      </c>
      <c r="F12">
        <f>VLOOKUP(A12,CCI_USA!$F$2:$H$317,3,FALSE)</f>
        <v>99.636070000000004</v>
      </c>
      <c r="G12">
        <f>INDEX('BLS Data Series'!$A$11:$M$39,MATCH('UI Datathon Development'!C12,'BLS Data Series'!$A$13:$A$39,0)+2,MATCH('UI Datathon Development'!B12,'BLS Data Series'!$B$11:$M$11,0)+1)</f>
        <v>7.4</v>
      </c>
      <c r="H12">
        <f>VLOOKUP(A12,'Houses for sale'!$B$10:$I$671,8,FALSE)</f>
        <v>262</v>
      </c>
      <c r="I12">
        <f>VLOOKUP(A12,'House starts'!$A$12:$B$325,2,FALSE)</f>
        <v>1214</v>
      </c>
      <c r="J12">
        <f>VLOOKUP(A12,'New house sales'!$A$13:$C$324,3,FALSE)</f>
        <v>128900</v>
      </c>
      <c r="K12">
        <f>VLOOKUP($A12,'Sreenath''s data'!$A$2:$F$313,3,FALSE)</f>
        <v>76.584000000000003</v>
      </c>
      <c r="L12">
        <f>VLOOKUP($A12,'Sreenath''s data'!$A$2:$F$313,4,FALSE)</f>
        <v>6685.9</v>
      </c>
      <c r="M12">
        <f>VLOOKUP($A12,'Sreenath''s data'!$A$2:$F$313,5,FALSE)</f>
        <v>96766</v>
      </c>
      <c r="N12">
        <f>VLOOKUP($A12,'Sreenath''s data'!$A$2:$F$313,6,FALSE)</f>
        <v>61.277398067405102</v>
      </c>
      <c r="O12">
        <f>VLOOKUP($A12,'Niteesh''s data'!$A$2:$I$313,3,FALSE)</f>
        <v>418.66000400000001</v>
      </c>
      <c r="P12">
        <f>VLOOKUP($A12,'Niteesh''s data'!$A$2:$I$313,4,FALSE)</f>
        <v>431.92999300000002</v>
      </c>
      <c r="Q12">
        <f>VLOOKUP($A12,'Niteesh''s data'!$A$2:$I$313,5,FALSE)</f>
        <v>415.57998700000002</v>
      </c>
      <c r="R12">
        <f>VLOOKUP($A12,'Niteesh''s data'!$A$2:$I$313,6,FALSE)</f>
        <v>431.35000600000001</v>
      </c>
      <c r="S12">
        <f>VLOOKUP($A12,'Niteesh''s data'!$A$2:$I$313,7,FALSE)</f>
        <v>431.35000600000001</v>
      </c>
      <c r="T12">
        <f>VLOOKUP($A12,'Niteesh''s data'!$A$2:$I$313,8,FALSE)</f>
        <v>4148770000</v>
      </c>
      <c r="U12" s="61">
        <f>VLOOKUP($A12,'Niteesh''s data'!$A$2:$I$313,9,FALSE)</f>
        <v>1.3899999999999999E-2</v>
      </c>
      <c r="V12">
        <f>VLOOKUP(A12,'Existing home Sales'!$A$2:$C$324,3,FALSE)</f>
        <v>3.59</v>
      </c>
      <c r="W12" s="8">
        <v>2</v>
      </c>
      <c r="X12">
        <f>IFERROR(VLOOKUP(A12,'Home Depot Gross Profit'!$A$1:$B$105,2,FALSE)/3,IF(W12=2,X11,X11))</f>
        <v>170.76666666666665</v>
      </c>
      <c r="Y12">
        <f>IFERROR(VLOOKUP(A12,'LOWE''S GROSS PROFIT'!$A$1:$B$105,2,FALSE)/3,IF(X12=2,Y11/3,Y11))</f>
        <v>77.13333333333334</v>
      </c>
      <c r="Z12" s="8">
        <v>8.3049999999999997</v>
      </c>
      <c r="AA12">
        <v>4606</v>
      </c>
      <c r="AB12">
        <f>VLOOKUP(A12,'[1]Fed_Int (1)'!$A$2:$B$316,2,FALSE)</f>
        <v>3.09</v>
      </c>
      <c r="AC12" s="8">
        <v>9.6458329999999997</v>
      </c>
      <c r="AD12" s="8">
        <v>10.166667</v>
      </c>
      <c r="AE12" s="8">
        <v>9.4791670000000003</v>
      </c>
      <c r="AF12" s="8">
        <v>10.166667</v>
      </c>
      <c r="AG12" s="8">
        <v>6.4629760000000003</v>
      </c>
      <c r="AH12" s="8">
        <v>110418600</v>
      </c>
      <c r="AI12" s="8">
        <v>1.1796880000000001</v>
      </c>
      <c r="AJ12" s="8">
        <v>1.4140630000000001</v>
      </c>
      <c r="AK12" s="8">
        <v>1.15625</v>
      </c>
      <c r="AL12" s="8">
        <v>1.4140630000000001</v>
      </c>
      <c r="AM12" s="8">
        <v>0.76260600000000001</v>
      </c>
      <c r="AN12" s="8">
        <v>87521600</v>
      </c>
    </row>
    <row r="13" spans="1:42" x14ac:dyDescent="0.35">
      <c r="A13" s="1">
        <v>33939</v>
      </c>
      <c r="B13" s="13">
        <f t="shared" si="0"/>
        <v>12</v>
      </c>
      <c r="C13" s="13">
        <f t="shared" si="1"/>
        <v>1992</v>
      </c>
      <c r="D13" s="2">
        <v>11082</v>
      </c>
      <c r="E13">
        <f>VLOOKUP(A13,PSR!$A$12:$B$721,2,FALSE)</f>
        <v>9.9</v>
      </c>
      <c r="F13">
        <f>VLOOKUP(A13,CCI_USA!$F$2:$H$317,3,FALSE)</f>
        <v>100.14060000000001</v>
      </c>
      <c r="G13">
        <f>INDEX('BLS Data Series'!$A$11:$M$39,MATCH('UI Datathon Development'!C13,'BLS Data Series'!$A$13:$A$39,0)+2,MATCH('UI Datathon Development'!B13,'BLS Data Series'!$B$11:$M$11,0)+1)</f>
        <v>7.4</v>
      </c>
      <c r="H13">
        <f>VLOOKUP(A13,'Houses for sale'!$B$10:$I$671,8,FALSE)</f>
        <v>265</v>
      </c>
      <c r="I13">
        <f>VLOOKUP(A13,'House starts'!$A$12:$B$325,2,FALSE)</f>
        <v>1227</v>
      </c>
      <c r="J13">
        <f>VLOOKUP(A13,'New house sales'!$A$13:$C$324,3,FALSE)</f>
        <v>126000</v>
      </c>
      <c r="K13">
        <f>VLOOKUP($A13,'Sreenath''s data'!$A$2:$F$313,3,FALSE)</f>
        <v>76.468999999999994</v>
      </c>
      <c r="L13">
        <f>VLOOKUP($A13,'Sreenath''s data'!$A$2:$F$313,4,FALSE)</f>
        <v>6922.8</v>
      </c>
      <c r="M13">
        <f>VLOOKUP($A13,'Sreenath''s data'!$A$2:$F$313,5,FALSE)</f>
        <v>96665</v>
      </c>
      <c r="N13">
        <f>VLOOKUP($A13,'Sreenath''s data'!$A$2:$F$313,6,FALSE)</f>
        <v>61.316034510070601</v>
      </c>
      <c r="O13">
        <f>VLOOKUP($A13,'Niteesh''s data'!$A$2:$I$313,3,FALSE)</f>
        <v>431.35000600000001</v>
      </c>
      <c r="P13">
        <f>VLOOKUP($A13,'Niteesh''s data'!$A$2:$I$313,4,FALSE)</f>
        <v>442.64999399999999</v>
      </c>
      <c r="Q13">
        <f>VLOOKUP($A13,'Niteesh''s data'!$A$2:$I$313,5,FALSE)</f>
        <v>428.60998499999999</v>
      </c>
      <c r="R13">
        <f>VLOOKUP($A13,'Niteesh''s data'!$A$2:$I$313,6,FALSE)</f>
        <v>435.709991</v>
      </c>
      <c r="S13">
        <f>VLOOKUP($A13,'Niteesh''s data'!$A$2:$I$313,7,FALSE)</f>
        <v>435.709991</v>
      </c>
      <c r="T13">
        <f>VLOOKUP($A13,'Niteesh''s data'!$A$2:$I$313,8,FALSE)</f>
        <v>4876150000</v>
      </c>
      <c r="U13" s="61">
        <f>VLOOKUP($A13,'Niteesh''s data'!$A$2:$I$313,9,FALSE)</f>
        <v>1.3899999999999999E-2</v>
      </c>
      <c r="V13">
        <f>VLOOKUP(A13,'Existing home Sales'!$A$2:$C$324,3,FALSE)</f>
        <v>3.66</v>
      </c>
      <c r="W13" s="8">
        <v>3</v>
      </c>
      <c r="X13">
        <f>IFERROR(VLOOKUP(A13,'Home Depot Gross Profit'!$A$1:$B$105,2,FALSE)/3,IF(W13=2,X12,X12))</f>
        <v>170.76666666666665</v>
      </c>
      <c r="Y13">
        <f>IFERROR(VLOOKUP(A13,'LOWE''S GROSS PROFIT'!$A$1:$B$105,2,FALSE)/3,IF(X13=2,Y12/3,Y12))</f>
        <v>77.13333333333334</v>
      </c>
      <c r="Z13" s="8">
        <v>8.19</v>
      </c>
      <c r="AA13">
        <v>4630</v>
      </c>
      <c r="AB13">
        <f>VLOOKUP(A13,'[1]Fed_Int (1)'!$A$2:$B$316,2,FALSE)</f>
        <v>2.92</v>
      </c>
      <c r="AC13" s="8">
        <v>10.166667</v>
      </c>
      <c r="AD13" s="8">
        <v>11.4375</v>
      </c>
      <c r="AE13" s="8">
        <v>10.104167</v>
      </c>
      <c r="AF13" s="8">
        <v>11.25</v>
      </c>
      <c r="AG13" s="8">
        <v>7.1676799999999998</v>
      </c>
      <c r="AH13" s="8">
        <v>121772100</v>
      </c>
      <c r="AI13" s="8">
        <v>1.421875</v>
      </c>
      <c r="AJ13" s="8">
        <v>1.5859380000000001</v>
      </c>
      <c r="AK13" s="8">
        <v>1.3359380000000001</v>
      </c>
      <c r="AL13" s="8">
        <v>1.5078130000000001</v>
      </c>
      <c r="AM13" s="8">
        <v>0.81316500000000003</v>
      </c>
      <c r="AN13" s="8">
        <v>113443200</v>
      </c>
    </row>
    <row r="14" spans="1:42" x14ac:dyDescent="0.35">
      <c r="A14" s="1">
        <v>33970</v>
      </c>
      <c r="B14" s="13">
        <f t="shared" si="0"/>
        <v>1</v>
      </c>
      <c r="C14" s="13">
        <f t="shared" si="1"/>
        <v>1993</v>
      </c>
      <c r="D14" s="2">
        <v>11333</v>
      </c>
      <c r="E14">
        <f>VLOOKUP(A14,PSR!$A$12:$B$721,2,FALSE)</f>
        <v>8.3000000000000007</v>
      </c>
      <c r="F14">
        <f>VLOOKUP(A14,CCI_USA!$F$2:$H$317,3,FALSE)</f>
        <v>100.2727</v>
      </c>
      <c r="G14">
        <f>INDEX('BLS Data Series'!$A$11:$M$39,MATCH('UI Datathon Development'!C14,'BLS Data Series'!$A$13:$A$39,0)+2,MATCH('UI Datathon Development'!B14,'BLS Data Series'!$B$11:$M$11,0)+1)</f>
        <v>7.3</v>
      </c>
      <c r="H14">
        <f>VLOOKUP(A14,'Houses for sale'!$B$10:$I$671,8,FALSE)</f>
        <v>266</v>
      </c>
      <c r="I14">
        <f>VLOOKUP(A14,'House starts'!$A$12:$B$325,2,FALSE)</f>
        <v>1210</v>
      </c>
      <c r="J14">
        <f>VLOOKUP(A14,'New house sales'!$A$13:$C$324,3,FALSE)</f>
        <v>118000</v>
      </c>
      <c r="K14">
        <f>VLOOKUP($A14,'Sreenath''s data'!$A$2:$F$313,3,FALSE)</f>
        <v>76.400000000000006</v>
      </c>
      <c r="L14">
        <f>VLOOKUP($A14,'Sreenath''s data'!$A$2:$F$313,4,FALSE)</f>
        <v>6793.6</v>
      </c>
      <c r="M14">
        <f>VLOOKUP($A14,'Sreenath''s data'!$A$2:$F$313,5,FALSE)</f>
        <v>97001</v>
      </c>
      <c r="N14">
        <f>VLOOKUP($A14,'Sreenath''s data'!$A$2:$F$313,6,FALSE)</f>
        <v>61.779671822056002</v>
      </c>
      <c r="O14">
        <f>VLOOKUP($A14,'Niteesh''s data'!$A$2:$I$313,3,FALSE)</f>
        <v>435.70001200000002</v>
      </c>
      <c r="P14">
        <f>VLOOKUP($A14,'Niteesh''s data'!$A$2:$I$313,4,FALSE)</f>
        <v>442.66000400000001</v>
      </c>
      <c r="Q14">
        <f>VLOOKUP($A14,'Niteesh''s data'!$A$2:$I$313,5,FALSE)</f>
        <v>426.88000499999998</v>
      </c>
      <c r="R14">
        <f>VLOOKUP($A14,'Niteesh''s data'!$A$2:$I$313,6,FALSE)</f>
        <v>438.77999899999998</v>
      </c>
      <c r="S14">
        <f>VLOOKUP($A14,'Niteesh''s data'!$A$2:$I$313,7,FALSE)</f>
        <v>438.77999899999998</v>
      </c>
      <c r="T14">
        <f>VLOOKUP($A14,'Niteesh''s data'!$A$2:$I$313,8,FALSE)</f>
        <v>5280850000</v>
      </c>
      <c r="U14" s="61">
        <f>VLOOKUP($A14,'Niteesh''s data'!$A$2:$I$313,9,FALSE)</f>
        <v>1.3899999999999999E-2</v>
      </c>
      <c r="V14">
        <f>VLOOKUP(A14,'Existing home Sales'!$A$2:$C$324,3,FALSE)</f>
        <v>3.83</v>
      </c>
      <c r="W14" s="8">
        <v>1</v>
      </c>
      <c r="X14">
        <f>IFERROR(VLOOKUP(A14,'Home Depot Gross Profit'!$A$1:$B$105,2,FALSE)/3,IF(W14=2,X13,X13))</f>
        <v>181.4</v>
      </c>
      <c r="Y14">
        <f>IFERROR(VLOOKUP(A14,'LOWE''S GROSS PROFIT'!$A$1:$B$105,2,FALSE)/3,IF(X14=2,Y13/3,Y13))</f>
        <v>69.766666666666666</v>
      </c>
      <c r="Z14" s="8">
        <v>8.02</v>
      </c>
      <c r="AA14">
        <v>4664</v>
      </c>
      <c r="AB14">
        <f>VLOOKUP(A14,'[1]Fed_Int (1)'!$A$2:$B$316,2,FALSE)</f>
        <v>3.02</v>
      </c>
      <c r="AC14" s="8">
        <v>11.291667</v>
      </c>
      <c r="AD14" s="8">
        <v>11.3125</v>
      </c>
      <c r="AE14" s="8">
        <v>10.416667</v>
      </c>
      <c r="AF14" s="8">
        <v>10.854167</v>
      </c>
      <c r="AG14" s="8">
        <v>6.9154819999999999</v>
      </c>
      <c r="AH14" s="8">
        <v>126363600</v>
      </c>
      <c r="AI14" s="8">
        <v>1.515625</v>
      </c>
      <c r="AJ14" s="8">
        <v>1.796875</v>
      </c>
      <c r="AK14" s="8">
        <v>1.5078130000000001</v>
      </c>
      <c r="AL14" s="8">
        <v>1.7265630000000001</v>
      </c>
      <c r="AM14" s="8">
        <v>0.93113699999999999</v>
      </c>
      <c r="AN14" s="8">
        <v>95452800</v>
      </c>
    </row>
    <row r="15" spans="1:42" x14ac:dyDescent="0.35">
      <c r="A15" s="1">
        <v>34001</v>
      </c>
      <c r="B15" s="13">
        <f t="shared" si="0"/>
        <v>2</v>
      </c>
      <c r="C15" s="13">
        <f t="shared" si="1"/>
        <v>1993</v>
      </c>
      <c r="D15" s="2">
        <v>11410</v>
      </c>
      <c r="E15">
        <f>VLOOKUP(A15,PSR!$A$12:$B$721,2,FALSE)</f>
        <v>8.4</v>
      </c>
      <c r="F15">
        <f>VLOOKUP(A15,CCI_USA!$F$2:$H$317,3,FALSE)</f>
        <v>100.1575</v>
      </c>
      <c r="G15">
        <f>INDEX('BLS Data Series'!$A$11:$M$39,MATCH('UI Datathon Development'!C15,'BLS Data Series'!$A$13:$A$39,0)+2,MATCH('UI Datathon Development'!B15,'BLS Data Series'!$B$11:$M$11,0)+1)</f>
        <v>7.1</v>
      </c>
      <c r="H15">
        <f>VLOOKUP(A15,'Houses for sale'!$B$10:$I$671,8,FALSE)</f>
        <v>267</v>
      </c>
      <c r="I15">
        <f>VLOOKUP(A15,'House starts'!$A$12:$B$325,2,FALSE)</f>
        <v>1210</v>
      </c>
      <c r="J15">
        <f>VLOOKUP(A15,'New house sales'!$A$13:$C$324,3,FALSE)</f>
        <v>129400</v>
      </c>
      <c r="K15">
        <f>VLOOKUP($A15,'Sreenath''s data'!$A$2:$F$313,3,FALSE)</f>
        <v>76.331999999999994</v>
      </c>
      <c r="L15">
        <f>VLOOKUP($A15,'Sreenath''s data'!$A$2:$F$313,4,FALSE)</f>
        <v>6817.1</v>
      </c>
      <c r="M15">
        <f>VLOOKUP($A15,'Sreenath''s data'!$A$2:$F$313,5,FALSE)</f>
        <v>97063</v>
      </c>
      <c r="N15">
        <f>VLOOKUP($A15,'Sreenath''s data'!$A$2:$F$313,6,FALSE)</f>
        <v>62.050126920714099</v>
      </c>
      <c r="O15">
        <f>VLOOKUP($A15,'Niteesh''s data'!$A$2:$I$313,3,FALSE)</f>
        <v>438.77999899999998</v>
      </c>
      <c r="P15">
        <f>VLOOKUP($A15,'Niteesh''s data'!$A$2:$I$313,4,FALSE)</f>
        <v>450.040009</v>
      </c>
      <c r="Q15">
        <f>VLOOKUP($A15,'Niteesh''s data'!$A$2:$I$313,5,FALSE)</f>
        <v>428.25</v>
      </c>
      <c r="R15">
        <f>VLOOKUP($A15,'Niteesh''s data'!$A$2:$I$313,6,FALSE)</f>
        <v>443.38000499999998</v>
      </c>
      <c r="S15">
        <f>VLOOKUP($A15,'Niteesh''s data'!$A$2:$I$313,7,FALSE)</f>
        <v>443.38000499999998</v>
      </c>
      <c r="T15">
        <f>VLOOKUP($A15,'Niteesh''s data'!$A$2:$I$313,8,FALSE)</f>
        <v>5442450000</v>
      </c>
      <c r="U15" s="61">
        <f>VLOOKUP($A15,'Niteesh''s data'!$A$2:$I$313,9,FALSE)</f>
        <v>1.3899999999999999E-2</v>
      </c>
      <c r="V15">
        <f>VLOOKUP(A15,'Existing home Sales'!$A$2:$C$324,3,FALSE)</f>
        <v>3.71</v>
      </c>
      <c r="W15" s="8">
        <v>2</v>
      </c>
      <c r="X15">
        <f>IFERROR(VLOOKUP(A15,'Home Depot Gross Profit'!$A$1:$B$105,2,FALSE)/3,IF(W15=2,X14,X14))</f>
        <v>181.4</v>
      </c>
      <c r="Y15">
        <f>IFERROR(VLOOKUP(A15,'LOWE''S GROSS PROFIT'!$A$1:$B$105,2,FALSE)/3,IF(X15=2,Y14/3,Y14))</f>
        <v>69.766666666666666</v>
      </c>
      <c r="Z15" s="8">
        <v>7.7</v>
      </c>
      <c r="AA15">
        <v>4714</v>
      </c>
      <c r="AB15">
        <f>VLOOKUP(A15,'[1]Fed_Int (1)'!$A$2:$B$316,2,FALSE)</f>
        <v>3.03</v>
      </c>
      <c r="AC15" s="8">
        <v>11</v>
      </c>
      <c r="AD15" s="8">
        <v>11.229167</v>
      </c>
      <c r="AE15" s="8">
        <v>9.25</v>
      </c>
      <c r="AF15" s="8">
        <v>10.604167</v>
      </c>
      <c r="AG15" s="8">
        <v>6.7562009999999999</v>
      </c>
      <c r="AH15" s="8">
        <v>178744200</v>
      </c>
      <c r="AI15" s="8">
        <v>1.71875</v>
      </c>
      <c r="AJ15" s="8">
        <v>1.875</v>
      </c>
      <c r="AK15" s="8">
        <v>1.6640630000000001</v>
      </c>
      <c r="AL15" s="8">
        <v>1.78125</v>
      </c>
      <c r="AM15" s="8">
        <v>1.0130209999999999</v>
      </c>
      <c r="AN15" s="8">
        <v>120324800</v>
      </c>
    </row>
    <row r="16" spans="1:42" x14ac:dyDescent="0.35">
      <c r="A16" s="1">
        <v>34029</v>
      </c>
      <c r="B16" s="13">
        <f t="shared" si="0"/>
        <v>3</v>
      </c>
      <c r="C16" s="13">
        <f t="shared" si="1"/>
        <v>1993</v>
      </c>
      <c r="D16" s="2">
        <v>11184</v>
      </c>
      <c r="E16">
        <f>VLOOKUP(A16,PSR!$A$12:$B$721,2,FALSE)</f>
        <v>8.3000000000000007</v>
      </c>
      <c r="F16">
        <f>VLOOKUP(A16,CCI_USA!$F$2:$H$317,3,FALSE)</f>
        <v>99.971580000000003</v>
      </c>
      <c r="G16">
        <f>INDEX('BLS Data Series'!$A$11:$M$39,MATCH('UI Datathon Development'!C16,'BLS Data Series'!$A$13:$A$39,0)+2,MATCH('UI Datathon Development'!B16,'BLS Data Series'!$B$11:$M$11,0)+1)</f>
        <v>7</v>
      </c>
      <c r="H16">
        <f>VLOOKUP(A16,'Houses for sale'!$B$10:$I$671,8,FALSE)</f>
        <v>270</v>
      </c>
      <c r="I16">
        <f>VLOOKUP(A16,'House starts'!$A$12:$B$325,2,FALSE)</f>
        <v>1083</v>
      </c>
      <c r="J16">
        <f>VLOOKUP(A16,'New house sales'!$A$13:$C$324,3,FALSE)</f>
        <v>125000</v>
      </c>
      <c r="K16">
        <f>VLOOKUP($A16,'Sreenath''s data'!$A$2:$F$313,3,FALSE)</f>
        <v>76.387</v>
      </c>
      <c r="L16">
        <f>VLOOKUP($A16,'Sreenath''s data'!$A$2:$F$313,4,FALSE)</f>
        <v>6794.6</v>
      </c>
      <c r="M16">
        <f>VLOOKUP($A16,'Sreenath''s data'!$A$2:$F$313,5,FALSE)</f>
        <v>97090</v>
      </c>
      <c r="N16">
        <f>VLOOKUP($A16,'Sreenath''s data'!$A$2:$F$313,6,FALSE)</f>
        <v>62.204672691375997</v>
      </c>
      <c r="O16">
        <f>VLOOKUP($A16,'Niteesh''s data'!$A$2:$I$313,3,FALSE)</f>
        <v>443.38000499999998</v>
      </c>
      <c r="P16">
        <f>VLOOKUP($A16,'Niteesh''s data'!$A$2:$I$313,4,FALSE)</f>
        <v>456.76001000000002</v>
      </c>
      <c r="Q16">
        <f>VLOOKUP($A16,'Niteesh''s data'!$A$2:$I$313,5,FALSE)</f>
        <v>441.07000699999998</v>
      </c>
      <c r="R16">
        <f>VLOOKUP($A16,'Niteesh''s data'!$A$2:$I$313,6,FALSE)</f>
        <v>451.67001299999998</v>
      </c>
      <c r="S16">
        <f>VLOOKUP($A16,'Niteesh''s data'!$A$2:$I$313,7,FALSE)</f>
        <v>451.67001299999998</v>
      </c>
      <c r="T16">
        <f>VLOOKUP($A16,'Niteesh''s data'!$A$2:$I$313,8,FALSE)</f>
        <v>5766950000</v>
      </c>
      <c r="U16" s="61">
        <f>VLOOKUP($A16,'Niteesh''s data'!$A$2:$I$313,9,FALSE)</f>
        <v>1.38E-2</v>
      </c>
      <c r="V16">
        <f>VLOOKUP(A16,'Existing home Sales'!$A$2:$C$324,3,FALSE)</f>
        <v>3.54</v>
      </c>
      <c r="W16" s="8">
        <v>3</v>
      </c>
      <c r="X16">
        <f>IFERROR(VLOOKUP(A16,'Home Depot Gross Profit'!$A$1:$B$105,2,FALSE)/3,IF(W16=2,X15,X15))</f>
        <v>181.4</v>
      </c>
      <c r="Y16">
        <f>IFERROR(VLOOKUP(A16,'LOWE''S GROSS PROFIT'!$A$1:$B$105,2,FALSE)/3,IF(X16=2,Y15/3,Y15))</f>
        <v>69.766666666666666</v>
      </c>
      <c r="Z16" s="8">
        <v>7.4849999999999897</v>
      </c>
      <c r="AA16">
        <v>4676</v>
      </c>
      <c r="AB16">
        <f>VLOOKUP(A16,'[1]Fed_Int (1)'!$A$2:$B$316,2,FALSE)</f>
        <v>3.07</v>
      </c>
      <c r="AC16" s="8">
        <v>10.645833</v>
      </c>
      <c r="AD16" s="8">
        <v>10.833333</v>
      </c>
      <c r="AE16" s="8">
        <v>10.083333</v>
      </c>
      <c r="AF16" s="8">
        <v>10.541667</v>
      </c>
      <c r="AG16" s="8">
        <v>6.7163810000000002</v>
      </c>
      <c r="AH16" s="8">
        <v>137554800</v>
      </c>
      <c r="AI16" s="8">
        <v>1.7890630000000001</v>
      </c>
      <c r="AJ16" s="8">
        <v>2.2109380000000001</v>
      </c>
      <c r="AK16" s="8">
        <v>1.78125</v>
      </c>
      <c r="AL16" s="8">
        <v>2.1171880000000001</v>
      </c>
      <c r="AM16" s="8">
        <v>1.2040729999999999</v>
      </c>
      <c r="AN16" s="8">
        <v>155539200</v>
      </c>
    </row>
    <row r="17" spans="1:40" x14ac:dyDescent="0.35">
      <c r="A17" s="1">
        <v>34060</v>
      </c>
      <c r="B17" s="13">
        <f t="shared" si="0"/>
        <v>4</v>
      </c>
      <c r="C17" s="13">
        <f t="shared" si="1"/>
        <v>1993</v>
      </c>
      <c r="D17" s="2">
        <v>11417</v>
      </c>
      <c r="E17">
        <f>VLOOKUP(A17,PSR!$A$12:$B$721,2,FALSE)</f>
        <v>8.1999999999999993</v>
      </c>
      <c r="F17">
        <f>VLOOKUP(A17,CCI_USA!$F$2:$H$317,3,FALSE)</f>
        <v>99.741489999999999</v>
      </c>
      <c r="G17">
        <f>INDEX('BLS Data Series'!$A$11:$M$39,MATCH('UI Datathon Development'!C17,'BLS Data Series'!$A$13:$A$39,0)+2,MATCH('UI Datathon Development'!B17,'BLS Data Series'!$B$11:$M$11,0)+1)</f>
        <v>7.1</v>
      </c>
      <c r="H17">
        <f>VLOOKUP(A17,'Houses for sale'!$B$10:$I$671,8,FALSE)</f>
        <v>272</v>
      </c>
      <c r="I17">
        <f>VLOOKUP(A17,'House starts'!$A$12:$B$325,2,FALSE)</f>
        <v>1258</v>
      </c>
      <c r="J17">
        <f>VLOOKUP(A17,'New house sales'!$A$13:$C$324,3,FALSE)</f>
        <v>127000</v>
      </c>
      <c r="K17">
        <f>VLOOKUP($A17,'Sreenath''s data'!$A$2:$F$313,3,FALSE)</f>
        <v>76.665000000000006</v>
      </c>
      <c r="L17">
        <f>VLOOKUP($A17,'Sreenath''s data'!$A$2:$F$313,4,FALSE)</f>
        <v>6825.9</v>
      </c>
      <c r="M17">
        <f>VLOOKUP($A17,'Sreenath''s data'!$A$2:$F$313,5,FALSE)</f>
        <v>97142</v>
      </c>
      <c r="N17">
        <f>VLOOKUP($A17,'Sreenath''s data'!$A$2:$F$313,6,FALSE)</f>
        <v>62.281945576706804</v>
      </c>
      <c r="O17">
        <f>VLOOKUP($A17,'Niteesh''s data'!$A$2:$I$313,3,FALSE)</f>
        <v>451.67001299999998</v>
      </c>
      <c r="P17">
        <f>VLOOKUP($A17,'Niteesh''s data'!$A$2:$I$313,4,FALSE)</f>
        <v>452.63000499999998</v>
      </c>
      <c r="Q17">
        <f>VLOOKUP($A17,'Niteesh''s data'!$A$2:$I$313,5,FALSE)</f>
        <v>432.29998799999998</v>
      </c>
      <c r="R17">
        <f>VLOOKUP($A17,'Niteesh''s data'!$A$2:$I$313,6,FALSE)</f>
        <v>440.19000199999999</v>
      </c>
      <c r="S17">
        <f>VLOOKUP($A17,'Niteesh''s data'!$A$2:$I$313,7,FALSE)</f>
        <v>440.19000199999999</v>
      </c>
      <c r="T17">
        <f>VLOOKUP($A17,'Niteesh''s data'!$A$2:$I$313,8,FALSE)</f>
        <v>5853170000</v>
      </c>
      <c r="U17" s="61">
        <f>VLOOKUP($A17,'Niteesh''s data'!$A$2:$I$313,9,FALSE)</f>
        <v>1.3599999999999999E-2</v>
      </c>
      <c r="V17">
        <f>VLOOKUP(A17,'Existing home Sales'!$A$2:$C$324,3,FALSE)</f>
        <v>3.44</v>
      </c>
      <c r="W17" s="8">
        <v>1</v>
      </c>
      <c r="X17">
        <f>IFERROR(VLOOKUP(A17,'Home Depot Gross Profit'!$A$1:$B$105,2,FALSE)/3,IF(W17=2,X16,X16))</f>
        <v>207.4</v>
      </c>
      <c r="Y17">
        <f>IFERROR(VLOOKUP(A17,'LOWE''S GROSS PROFIT'!$A$1:$B$105,2,FALSE)/3,IF(X17=2,Y16/3,Y16))</f>
        <v>78.066666666666663</v>
      </c>
      <c r="Z17" s="8">
        <v>7.45</v>
      </c>
      <c r="AA17">
        <v>4690</v>
      </c>
      <c r="AB17">
        <f>VLOOKUP(A17,'[1]Fed_Int (1)'!$A$2:$B$316,2,FALSE)</f>
        <v>2.96</v>
      </c>
      <c r="AC17" s="8">
        <v>10.604167</v>
      </c>
      <c r="AD17" s="8">
        <v>10.604167</v>
      </c>
      <c r="AE17" s="8">
        <v>8.805555</v>
      </c>
      <c r="AF17" s="8">
        <v>9.3888890000000007</v>
      </c>
      <c r="AG17" s="8">
        <v>5.9945089999999999</v>
      </c>
      <c r="AH17" s="8">
        <v>262283700</v>
      </c>
      <c r="AI17" s="8">
        <v>2.125</v>
      </c>
      <c r="AJ17" s="8">
        <v>2.125</v>
      </c>
      <c r="AK17" s="8">
        <v>1.75</v>
      </c>
      <c r="AL17" s="8">
        <v>1.90625</v>
      </c>
      <c r="AM17" s="8">
        <v>1.084109</v>
      </c>
      <c r="AN17" s="8">
        <v>96032000</v>
      </c>
    </row>
    <row r="18" spans="1:40" x14ac:dyDescent="0.35">
      <c r="A18" s="1">
        <v>34090</v>
      </c>
      <c r="B18" s="13">
        <f t="shared" si="0"/>
        <v>5</v>
      </c>
      <c r="C18" s="13">
        <f t="shared" si="1"/>
        <v>1993</v>
      </c>
      <c r="D18" s="2">
        <v>11720</v>
      </c>
      <c r="E18">
        <f>VLOOKUP(A18,PSR!$A$12:$B$721,2,FALSE)</f>
        <v>7.7</v>
      </c>
      <c r="F18">
        <f>VLOOKUP(A18,CCI_USA!$F$2:$H$317,3,FALSE)</f>
        <v>99.447590000000005</v>
      </c>
      <c r="G18">
        <f>INDEX('BLS Data Series'!$A$11:$M$39,MATCH('UI Datathon Development'!C18,'BLS Data Series'!$A$13:$A$39,0)+2,MATCH('UI Datathon Development'!B18,'BLS Data Series'!$B$11:$M$11,0)+1)</f>
        <v>7.1</v>
      </c>
      <c r="H18">
        <f>VLOOKUP(A18,'Houses for sale'!$B$10:$I$671,8,FALSE)</f>
        <v>275</v>
      </c>
      <c r="I18">
        <f>VLOOKUP(A18,'House starts'!$A$12:$B$325,2,FALSE)</f>
        <v>1260</v>
      </c>
      <c r="J18">
        <f>VLOOKUP(A18,'New house sales'!$A$13:$C$324,3,FALSE)</f>
        <v>129900</v>
      </c>
      <c r="K18">
        <f>VLOOKUP($A18,'Sreenath''s data'!$A$2:$F$313,3,FALSE)</f>
        <v>77.033999999999907</v>
      </c>
      <c r="L18">
        <f>VLOOKUP($A18,'Sreenath''s data'!$A$2:$F$313,4,FALSE)</f>
        <v>6814.5</v>
      </c>
      <c r="M18">
        <f>VLOOKUP($A18,'Sreenath''s data'!$A$2:$F$313,5,FALSE)</f>
        <v>97195</v>
      </c>
      <c r="N18">
        <f>VLOOKUP($A18,'Sreenath''s data'!$A$2:$F$313,6,FALSE)</f>
        <v>62.281945576706804</v>
      </c>
      <c r="O18">
        <f>VLOOKUP($A18,'Niteesh''s data'!$A$2:$I$313,3,FALSE)</f>
        <v>440.19000199999999</v>
      </c>
      <c r="P18">
        <f>VLOOKUP($A18,'Niteesh''s data'!$A$2:$I$313,4,FALSE)</f>
        <v>454.54998799999998</v>
      </c>
      <c r="Q18">
        <f>VLOOKUP($A18,'Niteesh''s data'!$A$2:$I$313,5,FALSE)</f>
        <v>436.85998499999999</v>
      </c>
      <c r="R18">
        <f>VLOOKUP($A18,'Niteesh''s data'!$A$2:$I$313,6,FALSE)</f>
        <v>450.19000199999999</v>
      </c>
      <c r="S18">
        <f>VLOOKUP($A18,'Niteesh''s data'!$A$2:$I$313,7,FALSE)</f>
        <v>450.19000199999999</v>
      </c>
      <c r="T18">
        <f>VLOOKUP($A18,'Niteesh''s data'!$A$2:$I$313,8,FALSE)</f>
        <v>5108640000</v>
      </c>
      <c r="U18" s="61">
        <f>VLOOKUP($A18,'Niteesh''s data'!$A$2:$I$313,9,FALSE)</f>
        <v>1.35E-2</v>
      </c>
      <c r="V18">
        <f>VLOOKUP(A18,'Existing home Sales'!$A$2:$C$324,3,FALSE)</f>
        <v>3.44</v>
      </c>
      <c r="W18" s="8">
        <v>2</v>
      </c>
      <c r="X18">
        <f>IFERROR(VLOOKUP(A18,'Home Depot Gross Profit'!$A$1:$B$105,2,FALSE)/3,IF(W18=2,X17,X17))</f>
        <v>207.4</v>
      </c>
      <c r="Y18">
        <f>IFERROR(VLOOKUP(A18,'LOWE''S GROSS PROFIT'!$A$1:$B$105,2,FALSE)/3,IF(X18=2,Y17/3,Y17))</f>
        <v>78.066666666666663</v>
      </c>
      <c r="Z18" s="8">
        <v>7.46</v>
      </c>
      <c r="AA18">
        <v>4753</v>
      </c>
      <c r="AB18">
        <f>VLOOKUP(A18,'[1]Fed_Int (1)'!$A$2:$B$316,2,FALSE)</f>
        <v>3</v>
      </c>
      <c r="AC18" s="8">
        <v>9.3611109999999993</v>
      </c>
      <c r="AD18" s="8">
        <v>10.444445</v>
      </c>
      <c r="AE18" s="8">
        <v>9.2777779999999996</v>
      </c>
      <c r="AF18" s="8">
        <v>10.277778</v>
      </c>
      <c r="AG18" s="8">
        <v>6.5620430000000001</v>
      </c>
      <c r="AH18" s="8">
        <v>115723800</v>
      </c>
      <c r="AI18" s="8">
        <v>1.90625</v>
      </c>
      <c r="AJ18" s="8">
        <v>2.4375</v>
      </c>
      <c r="AK18" s="8">
        <v>1.875</v>
      </c>
      <c r="AL18" s="8">
        <v>2.359375</v>
      </c>
      <c r="AM18" s="8">
        <v>1.3986419999999999</v>
      </c>
      <c r="AN18" s="8">
        <v>95195200</v>
      </c>
    </row>
    <row r="19" spans="1:40" x14ac:dyDescent="0.35">
      <c r="A19" s="1">
        <v>34121</v>
      </c>
      <c r="B19" s="13">
        <f t="shared" si="0"/>
        <v>6</v>
      </c>
      <c r="C19" s="13">
        <f t="shared" si="1"/>
        <v>1993</v>
      </c>
      <c r="D19" s="2">
        <v>11669</v>
      </c>
      <c r="E19">
        <f>VLOOKUP(A19,PSR!$A$12:$B$721,2,FALSE)</f>
        <v>7.2</v>
      </c>
      <c r="F19">
        <f>VLOOKUP(A19,CCI_USA!$F$2:$H$317,3,FALSE)</f>
        <v>99.21902</v>
      </c>
      <c r="G19">
        <f>INDEX('BLS Data Series'!$A$11:$M$39,MATCH('UI Datathon Development'!C19,'BLS Data Series'!$A$13:$A$39,0)+2,MATCH('UI Datathon Development'!B19,'BLS Data Series'!$B$11:$M$11,0)+1)</f>
        <v>7</v>
      </c>
      <c r="H19">
        <f>VLOOKUP(A19,'Houses for sale'!$B$10:$I$671,8,FALSE)</f>
        <v>275</v>
      </c>
      <c r="I19">
        <f>VLOOKUP(A19,'House starts'!$A$12:$B$325,2,FALSE)</f>
        <v>1280</v>
      </c>
      <c r="J19">
        <f>VLOOKUP(A19,'New house sales'!$A$13:$C$324,3,FALSE)</f>
        <v>124500</v>
      </c>
      <c r="K19">
        <f>VLOOKUP($A19,'Sreenath''s data'!$A$2:$F$313,3,FALSE)</f>
        <v>77.518999999999906</v>
      </c>
      <c r="L19">
        <f>VLOOKUP($A19,'Sreenath''s data'!$A$2:$F$313,4,FALSE)</f>
        <v>6800.8</v>
      </c>
      <c r="M19">
        <f>VLOOKUP($A19,'Sreenath''s data'!$A$2:$F$313,5,FALSE)</f>
        <v>97409</v>
      </c>
      <c r="N19">
        <f>VLOOKUP($A19,'Sreenath''s data'!$A$2:$F$313,6,FALSE)</f>
        <v>62.591037118030499</v>
      </c>
      <c r="O19">
        <f>VLOOKUP($A19,'Niteesh''s data'!$A$2:$I$313,3,FALSE)</f>
        <v>450.23001099999999</v>
      </c>
      <c r="P19">
        <f>VLOOKUP($A19,'Niteesh''s data'!$A$2:$I$313,4,FALSE)</f>
        <v>455.63000499999998</v>
      </c>
      <c r="Q19">
        <f>VLOOKUP($A19,'Niteesh''s data'!$A$2:$I$313,5,FALSE)</f>
        <v>442.5</v>
      </c>
      <c r="R19">
        <f>VLOOKUP($A19,'Niteesh''s data'!$A$2:$I$313,6,FALSE)</f>
        <v>450.52999899999998</v>
      </c>
      <c r="S19">
        <f>VLOOKUP($A19,'Niteesh''s data'!$A$2:$I$313,7,FALSE)</f>
        <v>450.52999899999998</v>
      </c>
      <c r="T19">
        <f>VLOOKUP($A19,'Niteesh''s data'!$A$2:$I$313,8,FALSE)</f>
        <v>5544400000</v>
      </c>
      <c r="U19" s="61">
        <f>VLOOKUP($A19,'Niteesh''s data'!$A$2:$I$313,9,FALSE)</f>
        <v>1.34E-2</v>
      </c>
      <c r="V19">
        <f>VLOOKUP(A19,'Existing home Sales'!$A$2:$C$324,3,FALSE)</f>
        <v>3.6</v>
      </c>
      <c r="W19" s="8">
        <v>3</v>
      </c>
      <c r="X19">
        <f>IFERROR(VLOOKUP(A19,'Home Depot Gross Profit'!$A$1:$B$105,2,FALSE)/3,IF(W19=2,X18,X18))</f>
        <v>207.4</v>
      </c>
      <c r="Y19">
        <f>IFERROR(VLOOKUP(A19,'LOWE''S GROSS PROFIT'!$A$1:$B$105,2,FALSE)/3,IF(X19=2,Y18/3,Y18))</f>
        <v>78.066666666666663</v>
      </c>
      <c r="Z19" s="8">
        <v>7.4249999999999998</v>
      </c>
      <c r="AA19">
        <v>4760</v>
      </c>
      <c r="AB19">
        <f>VLOOKUP(A19,'[1]Fed_Int (1)'!$A$2:$B$316,2,FALSE)</f>
        <v>3.04</v>
      </c>
      <c r="AC19" s="8">
        <v>10.277778</v>
      </c>
      <c r="AD19" s="8">
        <v>10.416667</v>
      </c>
      <c r="AE19" s="8">
        <v>9.1388890000000007</v>
      </c>
      <c r="AF19" s="8">
        <v>9.7222220000000004</v>
      </c>
      <c r="AG19" s="8">
        <v>6.2073320000000001</v>
      </c>
      <c r="AH19" s="8">
        <v>113073000</v>
      </c>
      <c r="AI19" s="8">
        <v>2.359375</v>
      </c>
      <c r="AJ19" s="8">
        <v>2.4609380000000001</v>
      </c>
      <c r="AK19" s="8">
        <v>2.21875</v>
      </c>
      <c r="AL19" s="8">
        <v>2.4453130000000001</v>
      </c>
      <c r="AM19" s="8">
        <v>1.4495849999999999</v>
      </c>
      <c r="AN19" s="8">
        <v>72800000</v>
      </c>
    </row>
    <row r="20" spans="1:40" x14ac:dyDescent="0.35">
      <c r="A20" s="1">
        <v>34151</v>
      </c>
      <c r="B20" s="13">
        <f t="shared" si="0"/>
        <v>7</v>
      </c>
      <c r="C20" s="13">
        <f t="shared" si="1"/>
        <v>1993</v>
      </c>
      <c r="D20" s="2">
        <v>11781</v>
      </c>
      <c r="E20">
        <f>VLOOKUP(A20,PSR!$A$12:$B$721,2,FALSE)</f>
        <v>7</v>
      </c>
      <c r="F20">
        <f>VLOOKUP(A20,CCI_USA!$F$2:$H$317,3,FALSE)</f>
        <v>99.00667</v>
      </c>
      <c r="G20">
        <f>INDEX('BLS Data Series'!$A$11:$M$39,MATCH('UI Datathon Development'!C20,'BLS Data Series'!$A$13:$A$39,0)+2,MATCH('UI Datathon Development'!B20,'BLS Data Series'!$B$11:$M$11,0)+1)</f>
        <v>6.9</v>
      </c>
      <c r="H20">
        <f>VLOOKUP(A20,'Houses for sale'!$B$10:$I$671,8,FALSE)</f>
        <v>278</v>
      </c>
      <c r="I20">
        <f>VLOOKUP(A20,'House starts'!$A$12:$B$325,2,FALSE)</f>
        <v>1254</v>
      </c>
      <c r="J20">
        <f>VLOOKUP(A20,'New house sales'!$A$13:$C$324,3,FALSE)</f>
        <v>123900</v>
      </c>
      <c r="K20">
        <f>VLOOKUP($A20,'Sreenath''s data'!$A$2:$F$313,3,FALSE)</f>
        <v>77.888000000000005</v>
      </c>
      <c r="L20">
        <f>VLOOKUP($A20,'Sreenath''s data'!$A$2:$F$313,4,FALSE)</f>
        <v>6817.1</v>
      </c>
      <c r="M20">
        <f>VLOOKUP($A20,'Sreenath''s data'!$A$2:$F$313,5,FALSE)</f>
        <v>97703</v>
      </c>
      <c r="N20">
        <f>VLOOKUP($A20,'Sreenath''s data'!$A$2:$F$313,6,FALSE)</f>
        <v>62.822855774023203</v>
      </c>
      <c r="O20">
        <f>VLOOKUP($A20,'Niteesh''s data'!$A$2:$I$313,3,FALSE)</f>
        <v>450.540009</v>
      </c>
      <c r="P20">
        <f>VLOOKUP($A20,'Niteesh''s data'!$A$2:$I$313,4,FALSE)</f>
        <v>451.14999399999999</v>
      </c>
      <c r="Q20">
        <f>VLOOKUP($A20,'Niteesh''s data'!$A$2:$I$313,5,FALSE)</f>
        <v>441.39999399999999</v>
      </c>
      <c r="R20">
        <f>VLOOKUP($A20,'Niteesh''s data'!$A$2:$I$313,6,FALSE)</f>
        <v>448.13000499999998</v>
      </c>
      <c r="S20">
        <f>VLOOKUP($A20,'Niteesh''s data'!$A$2:$I$313,7,FALSE)</f>
        <v>448.13000499999998</v>
      </c>
      <c r="T20">
        <f>VLOOKUP($A20,'Niteesh''s data'!$A$2:$I$313,8,FALSE)</f>
        <v>5308530000</v>
      </c>
      <c r="U20" s="61">
        <f>VLOOKUP($A20,'Niteesh''s data'!$A$2:$I$313,9,FALSE)</f>
        <v>1.3299999999999999E-2</v>
      </c>
      <c r="V20">
        <f>VLOOKUP(A20,'Existing home Sales'!$A$2:$C$324,3,FALSE)</f>
        <v>3.72</v>
      </c>
      <c r="W20" s="8">
        <v>1</v>
      </c>
      <c r="X20">
        <f>IFERROR(VLOOKUP(A20,'Home Depot Gross Profit'!$A$1:$B$105,2,FALSE)/3,IF(W20=2,X19,X19))</f>
        <v>227.63333333333333</v>
      </c>
      <c r="Y20">
        <f>IFERROR(VLOOKUP(A20,'LOWE''S GROSS PROFIT'!$A$1:$B$105,2,FALSE)/3,IF(X20=2,Y19/3,Y19))</f>
        <v>97.5</v>
      </c>
      <c r="Z20" s="8">
        <v>7.2</v>
      </c>
      <c r="AA20">
        <v>4783</v>
      </c>
      <c r="AB20">
        <f>VLOOKUP(A20,'[1]Fed_Int (1)'!$A$2:$B$316,2,FALSE)</f>
        <v>3.06</v>
      </c>
      <c r="AC20" s="8">
        <v>9.7222220000000004</v>
      </c>
      <c r="AD20" s="8">
        <v>10.027778</v>
      </c>
      <c r="AE20" s="8">
        <v>9.3333329999999997</v>
      </c>
      <c r="AF20" s="8">
        <v>9.805555</v>
      </c>
      <c r="AG20" s="8">
        <v>6.2802990000000003</v>
      </c>
      <c r="AH20" s="8">
        <v>64537200</v>
      </c>
      <c r="AI20" s="8">
        <v>2.4375</v>
      </c>
      <c r="AJ20" s="8">
        <v>2.5</v>
      </c>
      <c r="AK20" s="8">
        <v>2.3203130000000001</v>
      </c>
      <c r="AL20" s="8">
        <v>2.3515630000000001</v>
      </c>
      <c r="AM20" s="8">
        <v>1.39401</v>
      </c>
      <c r="AN20" s="8">
        <v>56380800</v>
      </c>
    </row>
    <row r="21" spans="1:40" x14ac:dyDescent="0.35">
      <c r="A21" s="1">
        <v>34182</v>
      </c>
      <c r="B21" s="13">
        <f t="shared" si="0"/>
        <v>8</v>
      </c>
      <c r="C21" s="13">
        <f t="shared" si="1"/>
        <v>1993</v>
      </c>
      <c r="D21" s="2">
        <v>11875</v>
      </c>
      <c r="E21">
        <f>VLOOKUP(A21,PSR!$A$12:$B$721,2,FALSE)</f>
        <v>7.1</v>
      </c>
      <c r="F21">
        <f>VLOOKUP(A21,CCI_USA!$F$2:$H$317,3,FALSE)</f>
        <v>98.952219999999997</v>
      </c>
      <c r="G21">
        <f>INDEX('BLS Data Series'!$A$11:$M$39,MATCH('UI Datathon Development'!C21,'BLS Data Series'!$A$13:$A$39,0)+2,MATCH('UI Datathon Development'!B21,'BLS Data Series'!$B$11:$M$11,0)+1)</f>
        <v>6.8</v>
      </c>
      <c r="H21">
        <f>VLOOKUP(A21,'Houses for sale'!$B$10:$I$671,8,FALSE)</f>
        <v>286</v>
      </c>
      <c r="I21">
        <f>VLOOKUP(A21,'House starts'!$A$12:$B$325,2,FALSE)</f>
        <v>1300</v>
      </c>
      <c r="J21">
        <f>VLOOKUP(A21,'New house sales'!$A$13:$C$324,3,FALSE)</f>
        <v>126600</v>
      </c>
      <c r="K21">
        <f>VLOOKUP($A21,'Sreenath''s data'!$A$2:$F$313,3,FALSE)</f>
        <v>78.134</v>
      </c>
      <c r="L21">
        <f>VLOOKUP($A21,'Sreenath''s data'!$A$2:$F$313,4,FALSE)</f>
        <v>6826.9</v>
      </c>
      <c r="M21">
        <f>VLOOKUP($A21,'Sreenath''s data'!$A$2:$F$313,5,FALSE)</f>
        <v>98203</v>
      </c>
      <c r="N21">
        <f>VLOOKUP($A21,'Sreenath''s data'!$A$2:$F$313,6,FALSE)</f>
        <v>63.016037987350401</v>
      </c>
      <c r="O21">
        <f>VLOOKUP($A21,'Niteesh''s data'!$A$2:$I$313,3,FALSE)</f>
        <v>448.13000499999998</v>
      </c>
      <c r="P21">
        <f>VLOOKUP($A21,'Niteesh''s data'!$A$2:$I$313,4,FALSE)</f>
        <v>463.55999800000001</v>
      </c>
      <c r="Q21">
        <f>VLOOKUP($A21,'Niteesh''s data'!$A$2:$I$313,5,FALSE)</f>
        <v>446.94000199999999</v>
      </c>
      <c r="R21">
        <f>VLOOKUP($A21,'Niteesh''s data'!$A$2:$I$313,6,FALSE)</f>
        <v>463.55999800000001</v>
      </c>
      <c r="S21">
        <f>VLOOKUP($A21,'Niteesh''s data'!$A$2:$I$313,7,FALSE)</f>
        <v>463.55999800000001</v>
      </c>
      <c r="T21">
        <f>VLOOKUP($A21,'Niteesh''s data'!$A$2:$I$313,8,FALSE)</f>
        <v>5506200000</v>
      </c>
      <c r="U21" s="61">
        <f>VLOOKUP($A21,'Niteesh''s data'!$A$2:$I$313,9,FALSE)</f>
        <v>1.3100000000000001E-2</v>
      </c>
      <c r="V21">
        <f>VLOOKUP(A21,'Existing home Sales'!$A$2:$C$324,3,FALSE)</f>
        <v>3.83</v>
      </c>
      <c r="W21" s="8">
        <v>2</v>
      </c>
      <c r="X21">
        <f>IFERROR(VLOOKUP(A21,'Home Depot Gross Profit'!$A$1:$B$105,2,FALSE)/3,IF(W21=2,X20,X20))</f>
        <v>227.63333333333333</v>
      </c>
      <c r="Y21">
        <f>IFERROR(VLOOKUP(A21,'LOWE''S GROSS PROFIT'!$A$1:$B$105,2,FALSE)/3,IF(X21=2,Y20/3,Y20))</f>
        <v>97.5</v>
      </c>
      <c r="Z21" s="8">
        <v>7.1349999999999998</v>
      </c>
      <c r="AA21">
        <v>4806</v>
      </c>
      <c r="AB21">
        <f>VLOOKUP(A21,'[1]Fed_Int (1)'!$A$2:$B$316,2,FALSE)</f>
        <v>3.03</v>
      </c>
      <c r="AC21" s="8">
        <v>9.944445</v>
      </c>
      <c r="AD21" s="8">
        <v>10.5</v>
      </c>
      <c r="AE21" s="8">
        <v>8.8611109999999993</v>
      </c>
      <c r="AF21" s="8">
        <v>9.5</v>
      </c>
      <c r="AG21" s="8">
        <v>6.0845950000000002</v>
      </c>
      <c r="AH21" s="8">
        <v>189273600</v>
      </c>
      <c r="AI21" s="8">
        <v>2.34375</v>
      </c>
      <c r="AJ21" s="8">
        <v>2.5546880000000001</v>
      </c>
      <c r="AK21" s="8">
        <v>2.296875</v>
      </c>
      <c r="AL21" s="8">
        <v>2.5</v>
      </c>
      <c r="AM21" s="8">
        <v>1.5327999999999999</v>
      </c>
      <c r="AN21" s="8">
        <v>104361600</v>
      </c>
    </row>
    <row r="22" spans="1:40" x14ac:dyDescent="0.35">
      <c r="A22" s="1">
        <v>34213</v>
      </c>
      <c r="B22" s="13">
        <f t="shared" si="0"/>
        <v>9</v>
      </c>
      <c r="C22" s="13">
        <f t="shared" si="1"/>
        <v>1993</v>
      </c>
      <c r="D22" s="2">
        <v>11786</v>
      </c>
      <c r="E22">
        <f>VLOOKUP(A22,PSR!$A$12:$B$721,2,FALSE)</f>
        <v>6.3</v>
      </c>
      <c r="F22">
        <f>VLOOKUP(A22,CCI_USA!$F$2:$H$317,3,FALSE)</f>
        <v>99.073329999999999</v>
      </c>
      <c r="G22">
        <f>INDEX('BLS Data Series'!$A$11:$M$39,MATCH('UI Datathon Development'!C22,'BLS Data Series'!$A$13:$A$39,0)+2,MATCH('UI Datathon Development'!B22,'BLS Data Series'!$B$11:$M$11,0)+1)</f>
        <v>6.7</v>
      </c>
      <c r="H22">
        <f>VLOOKUP(A22,'Houses for sale'!$B$10:$I$671,8,FALSE)</f>
        <v>287</v>
      </c>
      <c r="I22">
        <f>VLOOKUP(A22,'House starts'!$A$12:$B$325,2,FALSE)</f>
        <v>1343</v>
      </c>
      <c r="J22">
        <f>VLOOKUP(A22,'New house sales'!$A$13:$C$324,3,FALSE)</f>
        <v>129400</v>
      </c>
      <c r="K22">
        <f>VLOOKUP($A22,'Sreenath''s data'!$A$2:$F$313,3,FALSE)</f>
        <v>78.203000000000003</v>
      </c>
      <c r="L22">
        <f>VLOOKUP($A22,'Sreenath''s data'!$A$2:$F$313,4,FALSE)</f>
        <v>6809.3</v>
      </c>
      <c r="M22">
        <f>VLOOKUP($A22,'Sreenath''s data'!$A$2:$F$313,5,FALSE)</f>
        <v>98359</v>
      </c>
      <c r="N22">
        <f>VLOOKUP($A22,'Sreenath''s data'!$A$2:$F$313,6,FALSE)</f>
        <v>62.938765102019502</v>
      </c>
      <c r="O22">
        <f>VLOOKUP($A22,'Niteesh''s data'!$A$2:$I$313,3,FALSE)</f>
        <v>463.54998799999998</v>
      </c>
      <c r="P22">
        <f>VLOOKUP($A22,'Niteesh''s data'!$A$2:$I$313,4,FALSE)</f>
        <v>463.79998799999998</v>
      </c>
      <c r="Q22">
        <f>VLOOKUP($A22,'Niteesh''s data'!$A$2:$I$313,5,FALSE)</f>
        <v>449.64001500000001</v>
      </c>
      <c r="R22">
        <f>VLOOKUP($A22,'Niteesh''s data'!$A$2:$I$313,6,FALSE)</f>
        <v>458.92999300000002</v>
      </c>
      <c r="S22">
        <f>VLOOKUP($A22,'Niteesh''s data'!$A$2:$I$313,7,FALSE)</f>
        <v>458.92999300000002</v>
      </c>
      <c r="T22">
        <f>VLOOKUP($A22,'Niteesh''s data'!$A$2:$I$313,8,FALSE)</f>
        <v>5552720000</v>
      </c>
      <c r="U22" s="61">
        <f>VLOOKUP($A22,'Niteesh''s data'!$A$2:$I$313,9,FALSE)</f>
        <v>1.2999999999999999E-2</v>
      </c>
      <c r="V22">
        <f>VLOOKUP(A22,'Existing home Sales'!$A$2:$C$324,3,FALSE)</f>
        <v>3.85</v>
      </c>
      <c r="W22" s="8">
        <v>3</v>
      </c>
      <c r="X22">
        <f>IFERROR(VLOOKUP(A22,'Home Depot Gross Profit'!$A$1:$B$105,2,FALSE)/3,IF(W22=2,X21,X21))</f>
        <v>227.63333333333333</v>
      </c>
      <c r="Y22">
        <f>IFERROR(VLOOKUP(A22,'LOWE''S GROSS PROFIT'!$A$1:$B$105,2,FALSE)/3,IF(X22=2,Y21/3,Y21))</f>
        <v>97.5</v>
      </c>
      <c r="Z22" s="8">
        <v>6.9399999999999897</v>
      </c>
      <c r="AA22">
        <v>4823</v>
      </c>
      <c r="AB22">
        <f>VLOOKUP(A22,'[1]Fed_Int (1)'!$A$2:$B$316,2,FALSE)</f>
        <v>3.09</v>
      </c>
      <c r="AC22" s="8">
        <v>9.3888890000000007</v>
      </c>
      <c r="AD22" s="8">
        <v>9.4166670000000003</v>
      </c>
      <c r="AE22" s="8">
        <v>7.7777779999999996</v>
      </c>
      <c r="AF22" s="8">
        <v>8.555555</v>
      </c>
      <c r="AG22" s="8">
        <v>5.4976149999999997</v>
      </c>
      <c r="AH22" s="8">
        <v>224709600</v>
      </c>
      <c r="AI22" s="8">
        <v>2.484375</v>
      </c>
      <c r="AJ22" s="8">
        <v>2.875</v>
      </c>
      <c r="AK22" s="8">
        <v>2.3671880000000001</v>
      </c>
      <c r="AL22" s="8">
        <v>2.8203130000000001</v>
      </c>
      <c r="AM22" s="8">
        <v>1.7291909999999999</v>
      </c>
      <c r="AN22" s="8">
        <v>104756800</v>
      </c>
    </row>
    <row r="23" spans="1:40" x14ac:dyDescent="0.35">
      <c r="A23" s="1">
        <v>34243</v>
      </c>
      <c r="B23" s="13">
        <f t="shared" si="0"/>
        <v>10</v>
      </c>
      <c r="C23" s="13">
        <f t="shared" si="1"/>
        <v>1993</v>
      </c>
      <c r="D23" s="2">
        <v>11908</v>
      </c>
      <c r="E23">
        <f>VLOOKUP(A23,PSR!$A$12:$B$721,2,FALSE)</f>
        <v>5.6</v>
      </c>
      <c r="F23">
        <f>VLOOKUP(A23,CCI_USA!$F$2:$H$317,3,FALSE)</f>
        <v>99.353149999999999</v>
      </c>
      <c r="G23">
        <f>INDEX('BLS Data Series'!$A$11:$M$39,MATCH('UI Datathon Development'!C23,'BLS Data Series'!$A$13:$A$39,0)+2,MATCH('UI Datathon Development'!B23,'BLS Data Series'!$B$11:$M$11,0)+1)</f>
        <v>6.8</v>
      </c>
      <c r="H23">
        <f>VLOOKUP(A23,'Houses for sale'!$B$10:$I$671,8,FALSE)</f>
        <v>290</v>
      </c>
      <c r="I23">
        <f>VLOOKUP(A23,'House starts'!$A$12:$B$325,2,FALSE)</f>
        <v>1392</v>
      </c>
      <c r="J23">
        <f>VLOOKUP(A23,'New house sales'!$A$13:$C$324,3,FALSE)</f>
        <v>125000</v>
      </c>
      <c r="K23">
        <f>VLOOKUP($A23,'Sreenath''s data'!$A$2:$F$313,3,FALSE)</f>
        <v>78.177999999999997</v>
      </c>
      <c r="L23">
        <f>VLOOKUP($A23,'Sreenath''s data'!$A$2:$F$313,4,FALSE)</f>
        <v>6772.6</v>
      </c>
      <c r="M23">
        <f>VLOOKUP($A23,'Sreenath''s data'!$A$2:$F$313,5,FALSE)</f>
        <v>98472</v>
      </c>
      <c r="N23">
        <f>VLOOKUP($A23,'Sreenath''s data'!$A$2:$F$313,6,FALSE)</f>
        <v>63.016037987350401</v>
      </c>
      <c r="O23">
        <f>VLOOKUP($A23,'Niteesh''s data'!$A$2:$I$313,3,FALSE)</f>
        <v>458.92999300000002</v>
      </c>
      <c r="P23">
        <f>VLOOKUP($A23,'Niteesh''s data'!$A$2:$I$313,4,FALSE)</f>
        <v>471.10000600000001</v>
      </c>
      <c r="Q23">
        <f>VLOOKUP($A23,'Niteesh''s data'!$A$2:$I$313,5,FALSE)</f>
        <v>456.39999399999999</v>
      </c>
      <c r="R23">
        <f>VLOOKUP($A23,'Niteesh''s data'!$A$2:$I$313,6,FALSE)</f>
        <v>467.82998700000002</v>
      </c>
      <c r="S23">
        <f>VLOOKUP($A23,'Niteesh''s data'!$A$2:$I$313,7,FALSE)</f>
        <v>467.82998700000002</v>
      </c>
      <c r="T23">
        <f>VLOOKUP($A23,'Niteesh''s data'!$A$2:$I$313,8,FALSE)</f>
        <v>5940460000</v>
      </c>
      <c r="U23" s="61">
        <f>VLOOKUP($A23,'Niteesh''s data'!$A$2:$I$313,9,FALSE)</f>
        <v>1.29E-2</v>
      </c>
      <c r="V23">
        <f>VLOOKUP(A23,'Existing home Sales'!$A$2:$C$324,3,FALSE)</f>
        <v>3.92</v>
      </c>
      <c r="W23" s="8">
        <v>1</v>
      </c>
      <c r="X23">
        <f>IFERROR(VLOOKUP(A23,'Home Depot Gross Profit'!$A$1:$B$105,2,FALSE)/3,IF(W23=2,X22,X22))</f>
        <v>215.96666666666667</v>
      </c>
      <c r="Y23">
        <f>IFERROR(VLOOKUP(A23,'LOWE''S GROSS PROFIT'!$A$1:$B$105,2,FALSE)/3,IF(X23=2,Y22/3,Y22))</f>
        <v>91.866666666666674</v>
      </c>
      <c r="Z23" s="8">
        <v>6.86</v>
      </c>
      <c r="AA23">
        <v>4868</v>
      </c>
      <c r="AB23">
        <f>VLOOKUP(A23,'[1]Fed_Int (1)'!$A$2:$B$316,2,FALSE)</f>
        <v>2.99</v>
      </c>
      <c r="AC23" s="8">
        <v>8.6666670000000003</v>
      </c>
      <c r="AD23" s="8">
        <v>8.9166670000000003</v>
      </c>
      <c r="AE23" s="8">
        <v>8.2777779999999996</v>
      </c>
      <c r="AF23" s="8">
        <v>8.805555</v>
      </c>
      <c r="AG23" s="8">
        <v>5.6582610000000004</v>
      </c>
      <c r="AH23" s="8">
        <v>95007300</v>
      </c>
      <c r="AI23" s="8">
        <v>2.765625</v>
      </c>
      <c r="AJ23" s="8">
        <v>3.0859380000000001</v>
      </c>
      <c r="AK23" s="8">
        <v>2.7421880000000001</v>
      </c>
      <c r="AL23" s="8">
        <v>2.9140630000000001</v>
      </c>
      <c r="AM23" s="8">
        <v>1.7866690000000001</v>
      </c>
      <c r="AN23" s="8">
        <v>82017600</v>
      </c>
    </row>
    <row r="24" spans="1:40" x14ac:dyDescent="0.35">
      <c r="A24" s="1">
        <v>34274</v>
      </c>
      <c r="B24" s="13">
        <f t="shared" si="0"/>
        <v>11</v>
      </c>
      <c r="C24" s="13">
        <f t="shared" si="1"/>
        <v>1993</v>
      </c>
      <c r="D24" s="2">
        <v>12297</v>
      </c>
      <c r="E24">
        <f>VLOOKUP(A24,PSR!$A$12:$B$721,2,FALSE)</f>
        <v>5.6</v>
      </c>
      <c r="F24">
        <f>VLOOKUP(A24,CCI_USA!$F$2:$H$317,3,FALSE)</f>
        <v>99.689539999999994</v>
      </c>
      <c r="G24">
        <f>INDEX('BLS Data Series'!$A$11:$M$39,MATCH('UI Datathon Development'!C24,'BLS Data Series'!$A$13:$A$39,0)+2,MATCH('UI Datathon Development'!B24,'BLS Data Series'!$B$11:$M$11,0)+1)</f>
        <v>6.6</v>
      </c>
      <c r="H24">
        <f>VLOOKUP(A24,'Houses for sale'!$B$10:$I$671,8,FALSE)</f>
        <v>293</v>
      </c>
      <c r="I24">
        <f>VLOOKUP(A24,'House starts'!$A$12:$B$325,2,FALSE)</f>
        <v>1376</v>
      </c>
      <c r="J24">
        <f>VLOOKUP(A24,'New house sales'!$A$13:$C$324,3,FALSE)</f>
        <v>130000</v>
      </c>
      <c r="K24">
        <f>VLOOKUP($A24,'Sreenath''s data'!$A$2:$F$313,3,FALSE)</f>
        <v>78.177999999999997</v>
      </c>
      <c r="L24">
        <f>VLOOKUP($A24,'Sreenath''s data'!$A$2:$F$313,4,FALSE)</f>
        <v>6791.6</v>
      </c>
      <c r="M24">
        <f>VLOOKUP($A24,'Sreenath''s data'!$A$2:$F$313,5,FALSE)</f>
        <v>98579</v>
      </c>
      <c r="N24">
        <f>VLOOKUP($A24,'Sreenath''s data'!$A$2:$F$313,6,FALSE)</f>
        <v>63.016037987350401</v>
      </c>
      <c r="O24">
        <f>VLOOKUP($A24,'Niteesh''s data'!$A$2:$I$313,3,FALSE)</f>
        <v>467.82998700000002</v>
      </c>
      <c r="P24">
        <f>VLOOKUP($A24,'Niteesh''s data'!$A$2:$I$313,4,FALSE)</f>
        <v>469.10998499999999</v>
      </c>
      <c r="Q24">
        <f>VLOOKUP($A24,'Niteesh''s data'!$A$2:$I$313,5,FALSE)</f>
        <v>454.35998499999999</v>
      </c>
      <c r="R24">
        <f>VLOOKUP($A24,'Niteesh''s data'!$A$2:$I$313,6,FALSE)</f>
        <v>461.790009</v>
      </c>
      <c r="S24">
        <f>VLOOKUP($A24,'Niteesh''s data'!$A$2:$I$313,7,FALSE)</f>
        <v>461.790009</v>
      </c>
      <c r="T24">
        <f>VLOOKUP($A24,'Niteesh''s data'!$A$2:$I$313,8,FALSE)</f>
        <v>5876610000</v>
      </c>
      <c r="U24" s="61">
        <f>VLOOKUP($A24,'Niteesh''s data'!$A$2:$I$313,9,FALSE)</f>
        <v>1.2800000000000001E-2</v>
      </c>
      <c r="V24">
        <f>VLOOKUP(A24,'Existing home Sales'!$A$2:$C$324,3,FALSE)</f>
        <v>3.93</v>
      </c>
      <c r="W24" s="8">
        <v>2</v>
      </c>
      <c r="X24">
        <f>IFERROR(VLOOKUP(A24,'Home Depot Gross Profit'!$A$1:$B$105,2,FALSE)/3,IF(W24=2,X23,X23))</f>
        <v>215.96666666666667</v>
      </c>
      <c r="Y24">
        <f>IFERROR(VLOOKUP(A24,'LOWE''S GROSS PROFIT'!$A$1:$B$105,2,FALSE)/3,IF(X24=2,Y23/3,Y23))</f>
        <v>91.866666666666674</v>
      </c>
      <c r="Z24" s="8">
        <v>7.1150000000000002</v>
      </c>
      <c r="AA24">
        <v>4887</v>
      </c>
      <c r="AB24">
        <f>VLOOKUP(A24,'[1]Fed_Int (1)'!$A$2:$B$316,2,FALSE)</f>
        <v>3.02</v>
      </c>
      <c r="AC24" s="8">
        <v>8.805555</v>
      </c>
      <c r="AD24" s="8">
        <v>9.8333329999999997</v>
      </c>
      <c r="AE24" s="8">
        <v>8.7222220000000004</v>
      </c>
      <c r="AF24" s="8">
        <v>9.2222220000000004</v>
      </c>
      <c r="AG24" s="8">
        <v>5.9260010000000003</v>
      </c>
      <c r="AH24" s="8">
        <v>117717300</v>
      </c>
      <c r="AI24" s="8">
        <v>2.921875</v>
      </c>
      <c r="AJ24" s="8">
        <v>3.359375</v>
      </c>
      <c r="AK24" s="8">
        <v>2.8984380000000001</v>
      </c>
      <c r="AL24" s="8">
        <v>3.203125</v>
      </c>
      <c r="AM24" s="8">
        <v>2.0187330000000001</v>
      </c>
      <c r="AN24" s="8">
        <v>76681600</v>
      </c>
    </row>
    <row r="25" spans="1:40" x14ac:dyDescent="0.35">
      <c r="A25" s="1">
        <v>34304</v>
      </c>
      <c r="B25" s="13">
        <f t="shared" si="0"/>
        <v>12</v>
      </c>
      <c r="C25" s="13">
        <f t="shared" si="1"/>
        <v>1993</v>
      </c>
      <c r="D25" s="2">
        <v>12583</v>
      </c>
      <c r="E25">
        <f>VLOOKUP(A25,PSR!$A$12:$B$721,2,FALSE)</f>
        <v>8.4</v>
      </c>
      <c r="F25">
        <f>VLOOKUP(A25,CCI_USA!$F$2:$H$317,3,FALSE)</f>
        <v>100.1777</v>
      </c>
      <c r="G25">
        <f>INDEX('BLS Data Series'!$A$11:$M$39,MATCH('UI Datathon Development'!C25,'BLS Data Series'!$A$13:$A$39,0)+2,MATCH('UI Datathon Development'!B25,'BLS Data Series'!$B$11:$M$11,0)+1)</f>
        <v>6.5</v>
      </c>
      <c r="H25">
        <f>VLOOKUP(A25,'Houses for sale'!$B$10:$I$671,8,FALSE)</f>
        <v>293</v>
      </c>
      <c r="I25">
        <f>VLOOKUP(A25,'House starts'!$A$12:$B$325,2,FALSE)</f>
        <v>1533</v>
      </c>
      <c r="J25">
        <f>VLOOKUP(A25,'New house sales'!$A$13:$C$324,3,FALSE)</f>
        <v>125000</v>
      </c>
      <c r="K25">
        <f>VLOOKUP($A25,'Sreenath''s data'!$A$2:$F$313,3,FALSE)</f>
        <v>78.122</v>
      </c>
      <c r="L25">
        <f>VLOOKUP($A25,'Sreenath''s data'!$A$2:$F$313,4,FALSE)</f>
        <v>7023.2</v>
      </c>
      <c r="M25">
        <f>VLOOKUP($A25,'Sreenath''s data'!$A$2:$F$313,5,FALSE)</f>
        <v>98395</v>
      </c>
      <c r="N25">
        <f>VLOOKUP($A25,'Sreenath''s data'!$A$2:$F$313,6,FALSE)</f>
        <v>63.170583758012199</v>
      </c>
      <c r="O25">
        <f>VLOOKUP($A25,'Niteesh''s data'!$A$2:$I$313,3,FALSE)</f>
        <v>461.92999300000002</v>
      </c>
      <c r="P25">
        <f>VLOOKUP($A25,'Niteesh''s data'!$A$2:$I$313,4,FALSE)</f>
        <v>471.290009</v>
      </c>
      <c r="Q25">
        <f>VLOOKUP($A25,'Niteesh''s data'!$A$2:$I$313,5,FALSE)</f>
        <v>461.45001200000002</v>
      </c>
      <c r="R25">
        <f>VLOOKUP($A25,'Niteesh''s data'!$A$2:$I$313,6,FALSE)</f>
        <v>466.45001200000002</v>
      </c>
      <c r="S25">
        <f>VLOOKUP($A25,'Niteesh''s data'!$A$2:$I$313,7,FALSE)</f>
        <v>466.45001200000002</v>
      </c>
      <c r="T25">
        <f>VLOOKUP($A25,'Niteesh''s data'!$A$2:$I$313,8,FALSE)</f>
        <v>5791210000</v>
      </c>
      <c r="U25" s="61">
        <f>VLOOKUP($A25,'Niteesh''s data'!$A$2:$I$313,9,FALSE)</f>
        <v>1.2699999999999999E-2</v>
      </c>
      <c r="V25">
        <f>VLOOKUP(A25,'Existing home Sales'!$A$2:$C$324,3,FALSE)</f>
        <v>4.08</v>
      </c>
      <c r="W25" s="8">
        <v>3</v>
      </c>
      <c r="X25">
        <f>IFERROR(VLOOKUP(A25,'Home Depot Gross Profit'!$A$1:$B$105,2,FALSE)/3,IF(W25=2,X24,X24))</f>
        <v>215.96666666666667</v>
      </c>
      <c r="Y25">
        <f>IFERROR(VLOOKUP(A25,'LOWE''S GROSS PROFIT'!$A$1:$B$105,2,FALSE)/3,IF(X25=2,Y24/3,Y24))</f>
        <v>91.866666666666674</v>
      </c>
      <c r="Z25" s="8">
        <v>7.17</v>
      </c>
      <c r="AA25">
        <v>4925</v>
      </c>
      <c r="AB25">
        <f>VLOOKUP(A25,'[1]Fed_Int (1)'!$A$2:$B$316,2,FALSE)</f>
        <v>2.96</v>
      </c>
      <c r="AC25" s="8">
        <v>9.3888890000000007</v>
      </c>
      <c r="AD25" s="8">
        <v>9.6111109999999993</v>
      </c>
      <c r="AE25" s="8">
        <v>8.6666670000000003</v>
      </c>
      <c r="AF25" s="8">
        <v>8.7777779999999996</v>
      </c>
      <c r="AG25" s="8">
        <v>5.6587959999999997</v>
      </c>
      <c r="AH25" s="8">
        <v>89783700</v>
      </c>
      <c r="AI25" s="8">
        <v>3.265625</v>
      </c>
      <c r="AJ25" s="8">
        <v>3.7421880000000001</v>
      </c>
      <c r="AK25" s="8">
        <v>3.2265630000000001</v>
      </c>
      <c r="AL25" s="8">
        <v>3.71875</v>
      </c>
      <c r="AM25" s="8">
        <v>2.3437000000000001</v>
      </c>
      <c r="AN25" s="8">
        <v>94300800</v>
      </c>
    </row>
    <row r="26" spans="1:40" x14ac:dyDescent="0.35">
      <c r="A26" s="1">
        <v>34335</v>
      </c>
      <c r="B26" s="13">
        <f t="shared" si="0"/>
        <v>1</v>
      </c>
      <c r="C26" s="13">
        <f t="shared" si="1"/>
        <v>1994</v>
      </c>
      <c r="D26" s="2">
        <v>12316</v>
      </c>
      <c r="E26">
        <f>VLOOKUP(A26,PSR!$A$12:$B$721,2,FALSE)</f>
        <v>6.4</v>
      </c>
      <c r="F26">
        <f>VLOOKUP(A26,CCI_USA!$F$2:$H$317,3,FALSE)</f>
        <v>100.598</v>
      </c>
      <c r="G26">
        <f>INDEX('BLS Data Series'!$A$11:$M$39,MATCH('UI Datathon Development'!C26,'BLS Data Series'!$A$13:$A$39,0)+2,MATCH('UI Datathon Development'!B26,'BLS Data Series'!$B$11:$M$11,0)+1)</f>
        <v>6.6</v>
      </c>
      <c r="H26">
        <f>VLOOKUP(A26,'Houses for sale'!$B$10:$I$671,8,FALSE)</f>
        <v>294</v>
      </c>
      <c r="I26">
        <f>VLOOKUP(A26,'House starts'!$A$12:$B$325,2,FALSE)</f>
        <v>1272</v>
      </c>
      <c r="J26">
        <f>VLOOKUP(A26,'New house sales'!$A$13:$C$324,3,FALSE)</f>
        <v>126000</v>
      </c>
      <c r="K26">
        <f>VLOOKUP($A26,'Sreenath''s data'!$A$2:$F$313,3,FALSE)</f>
        <v>78.206000000000003</v>
      </c>
      <c r="L26">
        <f>VLOOKUP($A26,'Sreenath''s data'!$A$2:$F$313,4,FALSE)</f>
        <v>6892.9</v>
      </c>
      <c r="M26">
        <f>VLOOKUP($A26,'Sreenath''s data'!$A$2:$F$313,5,FALSE)</f>
        <v>97962</v>
      </c>
      <c r="N26">
        <f>VLOOKUP($A26,'Sreenath''s data'!$A$2:$F$313,6,FALSE)</f>
        <v>63.556948184666702</v>
      </c>
      <c r="O26">
        <f>VLOOKUP($A26,'Niteesh''s data'!$A$2:$I$313,3,FALSE)</f>
        <v>466.51001000000002</v>
      </c>
      <c r="P26">
        <f>VLOOKUP($A26,'Niteesh''s data'!$A$2:$I$313,4,FALSE)</f>
        <v>482.85000600000001</v>
      </c>
      <c r="Q26">
        <f>VLOOKUP($A26,'Niteesh''s data'!$A$2:$I$313,5,FALSE)</f>
        <v>464.35998499999999</v>
      </c>
      <c r="R26">
        <f>VLOOKUP($A26,'Niteesh''s data'!$A$2:$I$313,6,FALSE)</f>
        <v>481.60998499999999</v>
      </c>
      <c r="S26">
        <f>VLOOKUP($A26,'Niteesh''s data'!$A$2:$I$313,7,FALSE)</f>
        <v>481.60998499999999</v>
      </c>
      <c r="T26">
        <f>VLOOKUP($A26,'Niteesh''s data'!$A$2:$I$313,8,FALSE)</f>
        <v>6627390000</v>
      </c>
      <c r="U26" s="61">
        <f>VLOOKUP($A26,'Niteesh''s data'!$A$2:$I$313,9,FALSE)</f>
        <v>1.2699999999999999E-2</v>
      </c>
      <c r="V26">
        <f>VLOOKUP(A26,'Existing home Sales'!$A$2:$C$324,3,FALSE)</f>
        <v>4.28</v>
      </c>
      <c r="W26" s="8">
        <v>1</v>
      </c>
      <c r="X26">
        <f>IFERROR(VLOOKUP(A26,'Home Depot Gross Profit'!$A$1:$B$105,2,FALSE)/3,IF(W26=2,X25,X25))</f>
        <v>229.5</v>
      </c>
      <c r="Y26">
        <f>IFERROR(VLOOKUP(A26,'LOWE''S GROSS PROFIT'!$A$1:$B$105,2,FALSE)/3,IF(X26=2,Y25/3,Y25))</f>
        <v>93</v>
      </c>
      <c r="Z26" s="8">
        <v>7.02</v>
      </c>
      <c r="AA26">
        <v>4940</v>
      </c>
      <c r="AB26">
        <f>VLOOKUP(A26,'[1]Fed_Int (1)'!$A$2:$B$316,2,FALSE)</f>
        <v>3.05</v>
      </c>
      <c r="AC26" s="8">
        <v>8.7777779999999996</v>
      </c>
      <c r="AD26" s="8">
        <v>9</v>
      </c>
      <c r="AE26" s="8">
        <v>8.1111109999999993</v>
      </c>
      <c r="AF26" s="8">
        <v>8.6666670000000003</v>
      </c>
      <c r="AG26" s="8">
        <v>5.5871690000000003</v>
      </c>
      <c r="AH26" s="8">
        <v>147195900</v>
      </c>
      <c r="AI26" s="8">
        <v>3.6875</v>
      </c>
      <c r="AJ26" s="8">
        <v>3.875</v>
      </c>
      <c r="AK26" s="8">
        <v>3.3203130000000001</v>
      </c>
      <c r="AL26" s="8">
        <v>3.8125</v>
      </c>
      <c r="AM26" s="8">
        <v>2.402784</v>
      </c>
      <c r="AN26" s="8">
        <v>126193600</v>
      </c>
    </row>
    <row r="27" spans="1:40" x14ac:dyDescent="0.35">
      <c r="A27" s="1">
        <v>34366</v>
      </c>
      <c r="B27" s="13">
        <f t="shared" si="0"/>
        <v>2</v>
      </c>
      <c r="C27" s="13">
        <f t="shared" si="1"/>
        <v>1994</v>
      </c>
      <c r="D27" s="2">
        <v>12233</v>
      </c>
      <c r="E27">
        <f>VLOOKUP(A27,PSR!$A$12:$B$721,2,FALSE)</f>
        <v>5.9</v>
      </c>
      <c r="F27">
        <f>VLOOKUP(A27,CCI_USA!$F$2:$H$317,3,FALSE)</f>
        <v>100.7482</v>
      </c>
      <c r="G27">
        <f>INDEX('BLS Data Series'!$A$11:$M$39,MATCH('UI Datathon Development'!C27,'BLS Data Series'!$A$13:$A$39,0)+2,MATCH('UI Datathon Development'!B27,'BLS Data Series'!$B$11:$M$11,0)+1)</f>
        <v>6.6</v>
      </c>
      <c r="H27">
        <f>VLOOKUP(A27,'Houses for sale'!$B$10:$I$671,8,FALSE)</f>
        <v>295</v>
      </c>
      <c r="I27">
        <f>VLOOKUP(A27,'House starts'!$A$12:$B$325,2,FALSE)</f>
        <v>1337</v>
      </c>
      <c r="J27">
        <f>VLOOKUP(A27,'New house sales'!$A$13:$C$324,3,FALSE)</f>
        <v>129900</v>
      </c>
      <c r="K27">
        <f>VLOOKUP($A27,'Sreenath''s data'!$A$2:$F$313,3,FALSE)</f>
        <v>78.212999999999994</v>
      </c>
      <c r="L27">
        <f>VLOOKUP($A27,'Sreenath''s data'!$A$2:$F$313,4,FALSE)</f>
        <v>6908.4</v>
      </c>
      <c r="M27">
        <f>VLOOKUP($A27,'Sreenath''s data'!$A$2:$F$313,5,FALSE)</f>
        <v>98033</v>
      </c>
      <c r="N27">
        <f>VLOOKUP($A27,'Sreenath''s data'!$A$2:$F$313,6,FALSE)</f>
        <v>63.981949053986703</v>
      </c>
      <c r="O27">
        <f>VLOOKUP($A27,'Niteesh''s data'!$A$2:$I$313,3,FALSE)</f>
        <v>481.60000600000001</v>
      </c>
      <c r="P27">
        <f>VLOOKUP($A27,'Niteesh''s data'!$A$2:$I$313,4,FALSE)</f>
        <v>482.23001099999999</v>
      </c>
      <c r="Q27">
        <f>VLOOKUP($A27,'Niteesh''s data'!$A$2:$I$313,5,FALSE)</f>
        <v>464.26001000000002</v>
      </c>
      <c r="R27">
        <f>VLOOKUP($A27,'Niteesh''s data'!$A$2:$I$313,6,FALSE)</f>
        <v>467.14001500000001</v>
      </c>
      <c r="S27">
        <f>VLOOKUP($A27,'Niteesh''s data'!$A$2:$I$313,7,FALSE)</f>
        <v>467.14001500000001</v>
      </c>
      <c r="T27">
        <f>VLOOKUP($A27,'Niteesh''s data'!$A$2:$I$313,8,FALSE)</f>
        <v>5853100000</v>
      </c>
      <c r="U27" s="61">
        <f>VLOOKUP($A27,'Niteesh''s data'!$A$2:$I$313,9,FALSE)</f>
        <v>1.2500000000000001E-2</v>
      </c>
      <c r="V27">
        <f>VLOOKUP(A27,'Existing home Sales'!$A$2:$C$324,3,FALSE)</f>
        <v>4.17</v>
      </c>
      <c r="W27" s="8">
        <v>2</v>
      </c>
      <c r="X27">
        <f>IFERROR(VLOOKUP(A27,'Home Depot Gross Profit'!$A$1:$B$105,2,FALSE)/3,IF(W27=2,X26,X26))</f>
        <v>229.5</v>
      </c>
      <c r="Y27">
        <f>IFERROR(VLOOKUP(A27,'LOWE''S GROSS PROFIT'!$A$1:$B$105,2,FALSE)/3,IF(X27=2,Y26/3,Y26))</f>
        <v>93</v>
      </c>
      <c r="Z27" s="8">
        <v>7.16</v>
      </c>
      <c r="AA27">
        <v>4923</v>
      </c>
      <c r="AB27">
        <f>VLOOKUP(A27,'[1]Fed_Int (1)'!$A$2:$B$316,2,FALSE)</f>
        <v>3.25</v>
      </c>
      <c r="AC27" s="8">
        <v>8.6666670000000003</v>
      </c>
      <c r="AD27" s="8">
        <v>9.444445</v>
      </c>
      <c r="AE27" s="8">
        <v>8.25</v>
      </c>
      <c r="AF27" s="8">
        <v>9.25</v>
      </c>
      <c r="AG27" s="8">
        <v>5.9632269999999998</v>
      </c>
      <c r="AH27" s="8">
        <v>119164500</v>
      </c>
      <c r="AI27" s="8">
        <v>3.8125</v>
      </c>
      <c r="AJ27" s="8">
        <v>4.1640629999999996</v>
      </c>
      <c r="AK27" s="8">
        <v>3.46875</v>
      </c>
      <c r="AL27" s="8">
        <v>4.1328129999999996</v>
      </c>
      <c r="AM27" s="8">
        <v>2.6665749999999999</v>
      </c>
      <c r="AN27" s="8">
        <v>114649600</v>
      </c>
    </row>
    <row r="28" spans="1:40" x14ac:dyDescent="0.35">
      <c r="A28" s="1">
        <v>34394</v>
      </c>
      <c r="B28" s="13">
        <f t="shared" si="0"/>
        <v>3</v>
      </c>
      <c r="C28" s="13">
        <f t="shared" si="1"/>
        <v>1994</v>
      </c>
      <c r="D28" s="2">
        <v>12767</v>
      </c>
      <c r="E28">
        <f>VLOOKUP(A28,PSR!$A$12:$B$721,2,FALSE)</f>
        <v>6.2</v>
      </c>
      <c r="F28">
        <f>VLOOKUP(A28,CCI_USA!$F$2:$H$317,3,FALSE)</f>
        <v>100.73739999999999</v>
      </c>
      <c r="G28">
        <f>INDEX('BLS Data Series'!$A$11:$M$39,MATCH('UI Datathon Development'!C28,'BLS Data Series'!$A$13:$A$39,0)+2,MATCH('UI Datathon Development'!B28,'BLS Data Series'!$B$11:$M$11,0)+1)</f>
        <v>6.5</v>
      </c>
      <c r="H28">
        <f>VLOOKUP(A28,'Houses for sale'!$B$10:$I$671,8,FALSE)</f>
        <v>298</v>
      </c>
      <c r="I28">
        <f>VLOOKUP(A28,'House starts'!$A$12:$B$325,2,FALSE)</f>
        <v>1564</v>
      </c>
      <c r="J28">
        <f>VLOOKUP(A28,'New house sales'!$A$13:$C$324,3,FALSE)</f>
        <v>132300</v>
      </c>
      <c r="K28">
        <f>VLOOKUP($A28,'Sreenath''s data'!$A$2:$F$313,3,FALSE)</f>
        <v>78.358000000000004</v>
      </c>
      <c r="L28">
        <f>VLOOKUP($A28,'Sreenath''s data'!$A$2:$F$313,4,FALSE)</f>
        <v>6930.4</v>
      </c>
      <c r="M28">
        <f>VLOOKUP($A28,'Sreenath''s data'!$A$2:$F$313,5,FALSE)</f>
        <v>97950</v>
      </c>
      <c r="N28">
        <f>VLOOKUP($A28,'Sreenath''s data'!$A$2:$F$313,6,FALSE)</f>
        <v>64.2524041526449</v>
      </c>
      <c r="O28">
        <f>VLOOKUP($A28,'Niteesh''s data'!$A$2:$I$313,3,FALSE)</f>
        <v>467.19000199999999</v>
      </c>
      <c r="P28">
        <f>VLOOKUP($A28,'Niteesh''s data'!$A$2:$I$313,4,FALSE)</f>
        <v>471.08999599999999</v>
      </c>
      <c r="Q28">
        <f>VLOOKUP($A28,'Niteesh''s data'!$A$2:$I$313,5,FALSE)</f>
        <v>436.16000400000001</v>
      </c>
      <c r="R28">
        <f>VLOOKUP($A28,'Niteesh''s data'!$A$2:$I$313,6,FALSE)</f>
        <v>445.76998900000001</v>
      </c>
      <c r="S28">
        <f>VLOOKUP($A28,'Niteesh''s data'!$A$2:$I$313,7,FALSE)</f>
        <v>445.76998900000001</v>
      </c>
      <c r="T28">
        <f>VLOOKUP($A28,'Niteesh''s data'!$A$2:$I$313,8,FALSE)</f>
        <v>7225010000</v>
      </c>
      <c r="U28" s="61">
        <f>VLOOKUP($A28,'Niteesh''s data'!$A$2:$I$313,9,FALSE)</f>
        <v>1.2500000000000001E-2</v>
      </c>
      <c r="V28">
        <f>VLOOKUP(A28,'Existing home Sales'!$A$2:$C$324,3,FALSE)</f>
        <v>3.96</v>
      </c>
      <c r="W28" s="8">
        <v>3</v>
      </c>
      <c r="X28">
        <f>IFERROR(VLOOKUP(A28,'Home Depot Gross Profit'!$A$1:$B$105,2,FALSE)/3,IF(W28=2,X27,X27))</f>
        <v>229.5</v>
      </c>
      <c r="Y28">
        <f>IFERROR(VLOOKUP(A28,'LOWE''S GROSS PROFIT'!$A$1:$B$105,2,FALSE)/3,IF(X28=2,Y27/3,Y27))</f>
        <v>93</v>
      </c>
      <c r="Z28" s="8">
        <v>7.6950000000000003</v>
      </c>
      <c r="AA28">
        <v>4990</v>
      </c>
      <c r="AB28">
        <f>VLOOKUP(A28,'[1]Fed_Int (1)'!$A$2:$B$316,2,FALSE)</f>
        <v>3.34</v>
      </c>
      <c r="AC28" s="8">
        <v>9.25</v>
      </c>
      <c r="AD28" s="8">
        <v>9.9166670000000003</v>
      </c>
      <c r="AE28" s="8">
        <v>8.6666670000000003</v>
      </c>
      <c r="AF28" s="8">
        <v>9.055555</v>
      </c>
      <c r="AG28" s="8">
        <v>5.837872</v>
      </c>
      <c r="AH28" s="8">
        <v>137021400</v>
      </c>
      <c r="AI28" s="8">
        <v>4.125</v>
      </c>
      <c r="AJ28" s="8">
        <v>4.3203129999999996</v>
      </c>
      <c r="AK28" s="8">
        <v>3.921875</v>
      </c>
      <c r="AL28" s="8">
        <v>4.03125</v>
      </c>
      <c r="AM28" s="8">
        <v>2.6010450000000001</v>
      </c>
      <c r="AN28" s="8">
        <v>131300800</v>
      </c>
    </row>
    <row r="29" spans="1:40" x14ac:dyDescent="0.35">
      <c r="A29" s="1">
        <v>34425</v>
      </c>
      <c r="B29" s="13">
        <f t="shared" si="0"/>
        <v>4</v>
      </c>
      <c r="C29" s="13">
        <f t="shared" si="1"/>
        <v>1994</v>
      </c>
      <c r="D29" s="2">
        <v>13076</v>
      </c>
      <c r="E29">
        <f>VLOOKUP(A29,PSR!$A$12:$B$721,2,FALSE)</f>
        <v>5.8</v>
      </c>
      <c r="F29">
        <f>VLOOKUP(A29,CCI_USA!$F$2:$H$317,3,FALSE)</f>
        <v>100.70780000000001</v>
      </c>
      <c r="G29">
        <f>INDEX('BLS Data Series'!$A$11:$M$39,MATCH('UI Datathon Development'!C29,'BLS Data Series'!$A$13:$A$39,0)+2,MATCH('UI Datathon Development'!B29,'BLS Data Series'!$B$11:$M$11,0)+1)</f>
        <v>6.4</v>
      </c>
      <c r="H29">
        <f>VLOOKUP(A29,'Houses for sale'!$B$10:$I$671,8,FALSE)</f>
        <v>297</v>
      </c>
      <c r="I29">
        <f>VLOOKUP(A29,'House starts'!$A$12:$B$325,2,FALSE)</f>
        <v>1465</v>
      </c>
      <c r="J29">
        <f>VLOOKUP(A29,'New house sales'!$A$13:$C$324,3,FALSE)</f>
        <v>129000</v>
      </c>
      <c r="K29">
        <f>VLOOKUP($A29,'Sreenath''s data'!$A$2:$F$313,3,FALSE)</f>
        <v>78.712999999999994</v>
      </c>
      <c r="L29">
        <f>VLOOKUP($A29,'Sreenath''s data'!$A$2:$F$313,4,FALSE)</f>
        <v>6932.6</v>
      </c>
      <c r="M29">
        <f>VLOOKUP($A29,'Sreenath''s data'!$A$2:$F$313,5,FALSE)</f>
        <v>98142</v>
      </c>
      <c r="N29">
        <f>VLOOKUP($A29,'Sreenath''s data'!$A$2:$F$313,6,FALSE)</f>
        <v>64.175131267314001</v>
      </c>
      <c r="O29">
        <f>VLOOKUP($A29,'Niteesh''s data'!$A$2:$I$313,3,FALSE)</f>
        <v>445.66000400000001</v>
      </c>
      <c r="P29">
        <f>VLOOKUP($A29,'Niteesh''s data'!$A$2:$I$313,4,FALSE)</f>
        <v>452.790009</v>
      </c>
      <c r="Q29">
        <f>VLOOKUP($A29,'Niteesh''s data'!$A$2:$I$313,5,FALSE)</f>
        <v>435.85998499999999</v>
      </c>
      <c r="R29">
        <f>VLOOKUP($A29,'Niteesh''s data'!$A$2:$I$313,6,FALSE)</f>
        <v>450.91000400000001</v>
      </c>
      <c r="S29">
        <f>VLOOKUP($A29,'Niteesh''s data'!$A$2:$I$313,7,FALSE)</f>
        <v>450.91000400000001</v>
      </c>
      <c r="T29">
        <f>VLOOKUP($A29,'Niteesh''s data'!$A$2:$I$313,8,FALSE)</f>
        <v>5735010000</v>
      </c>
      <c r="U29" s="61">
        <f>VLOOKUP($A29,'Niteesh''s data'!$A$2:$I$313,9,FALSE)</f>
        <v>1.2500000000000001E-2</v>
      </c>
      <c r="V29">
        <f>VLOOKUP(A29,'Existing home Sales'!$A$2:$C$324,3,FALSE)</f>
        <v>4.05</v>
      </c>
      <c r="W29" s="8">
        <v>1</v>
      </c>
      <c r="X29">
        <f>IFERROR(VLOOKUP(A29,'Home Depot Gross Profit'!$A$1:$B$105,2,FALSE)/3,IF(W29=2,X28,X28))</f>
        <v>279.03333333333336</v>
      </c>
      <c r="Y29">
        <f>IFERROR(VLOOKUP(A29,'LOWE''S GROSS PROFIT'!$A$1:$B$105,2,FALSE)/3,IF(X29=2,Y28/3,Y28))</f>
        <v>112.23333333333333</v>
      </c>
      <c r="Z29" s="8">
        <v>8.32</v>
      </c>
      <c r="AA29">
        <v>5047</v>
      </c>
      <c r="AB29">
        <f>VLOOKUP(A29,'[1]Fed_Int (1)'!$A$2:$B$316,2,FALSE)</f>
        <v>3.56</v>
      </c>
      <c r="AC29" s="8">
        <v>8.8333329999999997</v>
      </c>
      <c r="AD29" s="8">
        <v>9.6111109999999993</v>
      </c>
      <c r="AE29" s="8">
        <v>8.7777779999999996</v>
      </c>
      <c r="AF29" s="8">
        <v>9.3333329999999997</v>
      </c>
      <c r="AG29" s="8">
        <v>6.0369279999999996</v>
      </c>
      <c r="AH29" s="8">
        <v>77761800</v>
      </c>
      <c r="AI29" s="8">
        <v>3.953125</v>
      </c>
      <c r="AJ29" s="8">
        <v>4.5625</v>
      </c>
      <c r="AK29" s="8">
        <v>3.734375</v>
      </c>
      <c r="AL29" s="8">
        <v>4.421875</v>
      </c>
      <c r="AM29" s="8">
        <v>2.8530829999999998</v>
      </c>
      <c r="AN29" s="8">
        <v>77548800</v>
      </c>
    </row>
    <row r="30" spans="1:40" x14ac:dyDescent="0.35">
      <c r="A30" s="1">
        <v>34455</v>
      </c>
      <c r="B30" s="13">
        <f t="shared" si="0"/>
        <v>5</v>
      </c>
      <c r="C30" s="13">
        <f t="shared" si="1"/>
        <v>1994</v>
      </c>
      <c r="D30" s="2">
        <v>13033</v>
      </c>
      <c r="E30">
        <f>VLOOKUP(A30,PSR!$A$12:$B$721,2,FALSE)</f>
        <v>7.1</v>
      </c>
      <c r="F30">
        <f>VLOOKUP(A30,CCI_USA!$F$2:$H$317,3,FALSE)</f>
        <v>100.6454</v>
      </c>
      <c r="G30">
        <f>INDEX('BLS Data Series'!$A$11:$M$39,MATCH('UI Datathon Development'!C30,'BLS Data Series'!$A$13:$A$39,0)+2,MATCH('UI Datathon Development'!B30,'BLS Data Series'!$B$11:$M$11,0)+1)</f>
        <v>6.1</v>
      </c>
      <c r="H30">
        <f>VLOOKUP(A30,'Houses for sale'!$B$10:$I$671,8,FALSE)</f>
        <v>302</v>
      </c>
      <c r="I30">
        <f>VLOOKUP(A30,'House starts'!$A$12:$B$325,2,FALSE)</f>
        <v>1526</v>
      </c>
      <c r="J30">
        <f>VLOOKUP(A30,'New house sales'!$A$13:$C$324,3,FALSE)</f>
        <v>129900</v>
      </c>
      <c r="K30">
        <f>VLOOKUP($A30,'Sreenath''s data'!$A$2:$F$313,3,FALSE)</f>
        <v>79.221000000000004</v>
      </c>
      <c r="L30">
        <f>VLOOKUP($A30,'Sreenath''s data'!$A$2:$F$313,4,FALSE)</f>
        <v>7016.1</v>
      </c>
      <c r="M30">
        <f>VLOOKUP($A30,'Sreenath''s data'!$A$2:$F$313,5,FALSE)</f>
        <v>98214</v>
      </c>
      <c r="N30">
        <f>VLOOKUP($A30,'Sreenath''s data'!$A$2:$F$313,6,FALSE)</f>
        <v>64.136494824648494</v>
      </c>
      <c r="O30">
        <f>VLOOKUP($A30,'Niteesh''s data'!$A$2:$I$313,3,FALSE)</f>
        <v>450.91000400000001</v>
      </c>
      <c r="P30">
        <f>VLOOKUP($A30,'Niteesh''s data'!$A$2:$I$313,4,FALSE)</f>
        <v>457.76998900000001</v>
      </c>
      <c r="Q30">
        <f>VLOOKUP($A30,'Niteesh''s data'!$A$2:$I$313,5,FALSE)</f>
        <v>440.77999899999998</v>
      </c>
      <c r="R30">
        <f>VLOOKUP($A30,'Niteesh''s data'!$A$2:$I$313,6,FALSE)</f>
        <v>456.5</v>
      </c>
      <c r="S30">
        <f>VLOOKUP($A30,'Niteesh''s data'!$A$2:$I$313,7,FALSE)</f>
        <v>456.5</v>
      </c>
      <c r="T30">
        <f>VLOOKUP($A30,'Niteesh''s data'!$A$2:$I$313,8,FALSE)</f>
        <v>5675970000</v>
      </c>
      <c r="U30" s="61">
        <f>VLOOKUP($A30,'Niteesh''s data'!$A$2:$I$313,9,FALSE)</f>
        <v>1.24E-2</v>
      </c>
      <c r="V30">
        <f>VLOOKUP(A30,'Existing home Sales'!$A$2:$C$324,3,FALSE)</f>
        <v>4.1399999999999997</v>
      </c>
      <c r="W30" s="8">
        <v>2</v>
      </c>
      <c r="X30">
        <f>IFERROR(VLOOKUP(A30,'Home Depot Gross Profit'!$A$1:$B$105,2,FALSE)/3,IF(W30=2,X29,X29))</f>
        <v>279.03333333333336</v>
      </c>
      <c r="Y30">
        <f>IFERROR(VLOOKUP(A30,'LOWE''S GROSS PROFIT'!$A$1:$B$105,2,FALSE)/3,IF(X30=2,Y29/3,Y29))</f>
        <v>112.23333333333333</v>
      </c>
      <c r="Z30" s="8">
        <v>8.5449999999999999</v>
      </c>
      <c r="AA30">
        <v>5084</v>
      </c>
      <c r="AB30">
        <f>VLOOKUP(A30,'[1]Fed_Int (1)'!$A$2:$B$316,2,FALSE)</f>
        <v>4.01</v>
      </c>
      <c r="AC30" s="8">
        <v>9.3888890000000007</v>
      </c>
      <c r="AD30" s="8">
        <v>10.305555</v>
      </c>
      <c r="AE30" s="8">
        <v>8.805555</v>
      </c>
      <c r="AF30" s="8">
        <v>10.027778</v>
      </c>
      <c r="AG30" s="8">
        <v>6.4861019999999998</v>
      </c>
      <c r="AH30" s="8">
        <v>116262600</v>
      </c>
      <c r="AI30" s="8">
        <v>4.390625</v>
      </c>
      <c r="AJ30" s="8">
        <v>4.71875</v>
      </c>
      <c r="AK30" s="8">
        <v>3.8125</v>
      </c>
      <c r="AL30" s="8">
        <v>3.921875</v>
      </c>
      <c r="AM30" s="8">
        <v>2.553823</v>
      </c>
      <c r="AN30" s="8">
        <v>107900800</v>
      </c>
    </row>
    <row r="31" spans="1:40" x14ac:dyDescent="0.35">
      <c r="A31" s="1">
        <v>34486</v>
      </c>
      <c r="B31" s="13">
        <f t="shared" si="0"/>
        <v>6</v>
      </c>
      <c r="C31" s="13">
        <f t="shared" si="1"/>
        <v>1994</v>
      </c>
      <c r="D31" s="2">
        <v>12987</v>
      </c>
      <c r="E31">
        <f>VLOOKUP(A31,PSR!$A$12:$B$721,2,FALSE)</f>
        <v>6.3</v>
      </c>
      <c r="F31">
        <f>VLOOKUP(A31,CCI_USA!$F$2:$H$317,3,FALSE)</f>
        <v>100.5393</v>
      </c>
      <c r="G31">
        <f>INDEX('BLS Data Series'!$A$11:$M$39,MATCH('UI Datathon Development'!C31,'BLS Data Series'!$A$13:$A$39,0)+2,MATCH('UI Datathon Development'!B31,'BLS Data Series'!$B$11:$M$11,0)+1)</f>
        <v>6.1</v>
      </c>
      <c r="H31">
        <f>VLOOKUP(A31,'Houses for sale'!$B$10:$I$671,8,FALSE)</f>
        <v>315</v>
      </c>
      <c r="I31">
        <f>VLOOKUP(A31,'House starts'!$A$12:$B$325,2,FALSE)</f>
        <v>1409</v>
      </c>
      <c r="J31">
        <f>VLOOKUP(A31,'New house sales'!$A$13:$C$324,3,FALSE)</f>
        <v>133500</v>
      </c>
      <c r="K31">
        <f>VLOOKUP($A31,'Sreenath''s data'!$A$2:$F$313,3,FALSE)</f>
        <v>79.713999999999999</v>
      </c>
      <c r="L31">
        <f>VLOOKUP($A31,'Sreenath''s data'!$A$2:$F$313,4,FALSE)</f>
        <v>7002.8</v>
      </c>
      <c r="M31">
        <f>VLOOKUP($A31,'Sreenath''s data'!$A$2:$F$313,5,FALSE)</f>
        <v>98446</v>
      </c>
      <c r="N31">
        <f>VLOOKUP($A31,'Sreenath''s data'!$A$2:$F$313,6,FALSE)</f>
        <v>64.368313480641206</v>
      </c>
      <c r="O31">
        <f>VLOOKUP($A31,'Niteesh''s data'!$A$2:$I$313,3,FALSE)</f>
        <v>456.5</v>
      </c>
      <c r="P31">
        <f>VLOOKUP($A31,'Niteesh''s data'!$A$2:$I$313,4,FALSE)</f>
        <v>463.23001099999999</v>
      </c>
      <c r="Q31">
        <f>VLOOKUP($A31,'Niteesh''s data'!$A$2:$I$313,5,FALSE)</f>
        <v>439.82998700000002</v>
      </c>
      <c r="R31">
        <f>VLOOKUP($A31,'Niteesh''s data'!$A$2:$I$313,6,FALSE)</f>
        <v>444.26998900000001</v>
      </c>
      <c r="S31">
        <f>VLOOKUP($A31,'Niteesh''s data'!$A$2:$I$313,7,FALSE)</f>
        <v>444.26998900000001</v>
      </c>
      <c r="T31">
        <f>VLOOKUP($A31,'Niteesh''s data'!$A$2:$I$313,8,FALSE)</f>
        <v>5852670000</v>
      </c>
      <c r="U31" s="61">
        <f>VLOOKUP($A31,'Niteesh''s data'!$A$2:$I$313,9,FALSE)</f>
        <v>1.24E-2</v>
      </c>
      <c r="V31">
        <f>VLOOKUP(A31,'Existing home Sales'!$A$2:$C$324,3,FALSE)</f>
        <v>4.09</v>
      </c>
      <c r="W31" s="8">
        <v>3</v>
      </c>
      <c r="X31">
        <f>IFERROR(VLOOKUP(A31,'Home Depot Gross Profit'!$A$1:$B$105,2,FALSE)/3,IF(W31=2,X30,X30))</f>
        <v>279.03333333333336</v>
      </c>
      <c r="Y31">
        <f>IFERROR(VLOOKUP(A31,'LOWE''S GROSS PROFIT'!$A$1:$B$105,2,FALSE)/3,IF(X31=2,Y30/3,Y30))</f>
        <v>112.23333333333333</v>
      </c>
      <c r="Z31" s="8">
        <v>8.3949999999999996</v>
      </c>
      <c r="AA31">
        <v>5097</v>
      </c>
      <c r="AB31">
        <f>VLOOKUP(A31,'[1]Fed_Int (1)'!$A$2:$B$316,2,FALSE)</f>
        <v>4.25</v>
      </c>
      <c r="AC31" s="8">
        <v>10</v>
      </c>
      <c r="AD31" s="8">
        <v>10.305555</v>
      </c>
      <c r="AE31" s="8">
        <v>9.0833329999999997</v>
      </c>
      <c r="AF31" s="8">
        <v>9.3611109999999993</v>
      </c>
      <c r="AG31" s="8">
        <v>6.0548950000000001</v>
      </c>
      <c r="AH31" s="8">
        <v>98007300</v>
      </c>
      <c r="AI31" s="8">
        <v>3.9375</v>
      </c>
      <c r="AJ31" s="8">
        <v>4.453125</v>
      </c>
      <c r="AK31" s="8">
        <v>3.90625</v>
      </c>
      <c r="AL31" s="8">
        <v>4.28125</v>
      </c>
      <c r="AM31" s="8">
        <v>2.7878400000000001</v>
      </c>
      <c r="AN31" s="8">
        <v>123896000</v>
      </c>
    </row>
    <row r="32" spans="1:40" x14ac:dyDescent="0.35">
      <c r="A32" s="1">
        <v>34516</v>
      </c>
      <c r="B32" s="13">
        <f t="shared" si="0"/>
        <v>7</v>
      </c>
      <c r="C32" s="13">
        <f t="shared" si="1"/>
        <v>1994</v>
      </c>
      <c r="D32" s="2">
        <v>13130</v>
      </c>
      <c r="E32">
        <f>VLOOKUP(A32,PSR!$A$12:$B$721,2,FALSE)</f>
        <v>6.4</v>
      </c>
      <c r="F32">
        <f>VLOOKUP(A32,CCI_USA!$F$2:$H$317,3,FALSE)</f>
        <v>100.4669</v>
      </c>
      <c r="G32">
        <f>INDEX('BLS Data Series'!$A$11:$M$39,MATCH('UI Datathon Development'!C32,'BLS Data Series'!$A$13:$A$39,0)+2,MATCH('UI Datathon Development'!B32,'BLS Data Series'!$B$11:$M$11,0)+1)</f>
        <v>6.1</v>
      </c>
      <c r="H32">
        <f>VLOOKUP(A32,'Houses for sale'!$B$10:$I$671,8,FALSE)</f>
        <v>319</v>
      </c>
      <c r="I32">
        <f>VLOOKUP(A32,'House starts'!$A$12:$B$325,2,FALSE)</f>
        <v>1439</v>
      </c>
      <c r="J32">
        <f>VLOOKUP(A32,'New house sales'!$A$13:$C$324,3,FALSE)</f>
        <v>124400</v>
      </c>
      <c r="K32">
        <f>VLOOKUP($A32,'Sreenath''s data'!$A$2:$F$313,3,FALSE)</f>
        <v>80.075000000000003</v>
      </c>
      <c r="L32">
        <f>VLOOKUP($A32,'Sreenath''s data'!$A$2:$F$313,4,FALSE)</f>
        <v>7008.8</v>
      </c>
      <c r="M32">
        <f>VLOOKUP($A32,'Sreenath''s data'!$A$2:$F$313,5,FALSE)</f>
        <v>98508</v>
      </c>
      <c r="N32">
        <f>VLOOKUP($A32,'Sreenath''s data'!$A$2:$F$313,6,FALSE)</f>
        <v>64.638768579299395</v>
      </c>
      <c r="O32">
        <f>VLOOKUP($A32,'Niteesh''s data'!$A$2:$I$313,3,FALSE)</f>
        <v>444.26998900000001</v>
      </c>
      <c r="P32">
        <f>VLOOKUP($A32,'Niteesh''s data'!$A$2:$I$313,4,FALSE)</f>
        <v>459.32998700000002</v>
      </c>
      <c r="Q32">
        <f>VLOOKUP($A32,'Niteesh''s data'!$A$2:$I$313,5,FALSE)</f>
        <v>443.57998700000002</v>
      </c>
      <c r="R32">
        <f>VLOOKUP($A32,'Niteesh''s data'!$A$2:$I$313,6,FALSE)</f>
        <v>458.26001000000002</v>
      </c>
      <c r="S32">
        <f>VLOOKUP($A32,'Niteesh''s data'!$A$2:$I$313,7,FALSE)</f>
        <v>458.26001000000002</v>
      </c>
      <c r="T32">
        <f>VLOOKUP($A32,'Niteesh''s data'!$A$2:$I$313,8,FALSE)</f>
        <v>4980100000</v>
      </c>
      <c r="U32" s="61">
        <f>VLOOKUP($A32,'Niteesh''s data'!$A$2:$I$313,9,FALSE)</f>
        <v>1.23E-2</v>
      </c>
      <c r="V32">
        <f>VLOOKUP(A32,'Existing home Sales'!$A$2:$C$324,3,FALSE)</f>
        <v>3.97</v>
      </c>
      <c r="W32" s="8">
        <v>1</v>
      </c>
      <c r="X32">
        <f>IFERROR(VLOOKUP(A32,'Home Depot Gross Profit'!$A$1:$B$105,2,FALSE)/3,IF(W32=2,X31,X31))</f>
        <v>308.66666666666669</v>
      </c>
      <c r="Y32">
        <f>IFERROR(VLOOKUP(A32,'LOWE''S GROSS PROFIT'!$A$1:$B$105,2,FALSE)/3,IF(X32=2,Y31/3,Y31))</f>
        <v>134.86666666666667</v>
      </c>
      <c r="Z32" s="8">
        <v>8.57</v>
      </c>
      <c r="AA32">
        <v>5125</v>
      </c>
      <c r="AB32">
        <f>VLOOKUP(A32,'[1]Fed_Int (1)'!$A$2:$B$316,2,FALSE)</f>
        <v>4.26</v>
      </c>
      <c r="AC32" s="8">
        <v>9.4166670000000003</v>
      </c>
      <c r="AD32" s="8">
        <v>9.8333329999999997</v>
      </c>
      <c r="AE32" s="8">
        <v>8.8888890000000007</v>
      </c>
      <c r="AF32" s="8">
        <v>9.0833329999999997</v>
      </c>
      <c r="AG32" s="8">
        <v>5.898587</v>
      </c>
      <c r="AH32" s="8">
        <v>80593500</v>
      </c>
      <c r="AI32" s="8">
        <v>4.296875</v>
      </c>
      <c r="AJ32" s="8">
        <v>4.578125</v>
      </c>
      <c r="AK32" s="8">
        <v>4.234375</v>
      </c>
      <c r="AL32" s="8">
        <v>4.5</v>
      </c>
      <c r="AM32" s="8">
        <v>2.9302830000000002</v>
      </c>
      <c r="AN32" s="8">
        <v>70832000</v>
      </c>
    </row>
    <row r="33" spans="1:40" x14ac:dyDescent="0.35">
      <c r="A33" s="1">
        <v>34547</v>
      </c>
      <c r="B33" s="13">
        <f t="shared" si="0"/>
        <v>8</v>
      </c>
      <c r="C33" s="13">
        <f t="shared" si="1"/>
        <v>1994</v>
      </c>
      <c r="D33" s="2">
        <v>13224</v>
      </c>
      <c r="E33">
        <f>VLOOKUP(A33,PSR!$A$12:$B$721,2,FALSE)</f>
        <v>5.9</v>
      </c>
      <c r="F33">
        <f>VLOOKUP(A33,CCI_USA!$F$2:$H$317,3,FALSE)</f>
        <v>100.5128</v>
      </c>
      <c r="G33">
        <f>INDEX('BLS Data Series'!$A$11:$M$39,MATCH('UI Datathon Development'!C33,'BLS Data Series'!$A$13:$A$39,0)+2,MATCH('UI Datathon Development'!B33,'BLS Data Series'!$B$11:$M$11,0)+1)</f>
        <v>6</v>
      </c>
      <c r="H33">
        <f>VLOOKUP(A33,'Houses for sale'!$B$10:$I$671,8,FALSE)</f>
        <v>323</v>
      </c>
      <c r="I33">
        <f>VLOOKUP(A33,'House starts'!$A$12:$B$325,2,FALSE)</f>
        <v>1450</v>
      </c>
      <c r="J33">
        <f>VLOOKUP(A33,'New house sales'!$A$13:$C$324,3,FALSE)</f>
        <v>133300</v>
      </c>
      <c r="K33">
        <f>VLOOKUP($A33,'Sreenath''s data'!$A$2:$F$313,3,FALSE)</f>
        <v>80.328000000000003</v>
      </c>
      <c r="L33">
        <f>VLOOKUP($A33,'Sreenath''s data'!$A$2:$F$313,4,FALSE)</f>
        <v>7019.1</v>
      </c>
      <c r="M33">
        <f>VLOOKUP($A33,'Sreenath''s data'!$A$2:$F$313,5,FALSE)</f>
        <v>98956</v>
      </c>
      <c r="N33">
        <f>VLOOKUP($A33,'Sreenath''s data'!$A$2:$F$313,6,FALSE)</f>
        <v>64.986496563288398</v>
      </c>
      <c r="O33">
        <f>VLOOKUP($A33,'Niteesh''s data'!$A$2:$I$313,3,FALSE)</f>
        <v>458.27999899999998</v>
      </c>
      <c r="P33">
        <f>VLOOKUP($A33,'Niteesh''s data'!$A$2:$I$313,4,FALSE)</f>
        <v>477.58999599999999</v>
      </c>
      <c r="Q33">
        <f>VLOOKUP($A33,'Niteesh''s data'!$A$2:$I$313,5,FALSE)</f>
        <v>456.07998700000002</v>
      </c>
      <c r="R33">
        <f>VLOOKUP($A33,'Niteesh''s data'!$A$2:$I$313,6,FALSE)</f>
        <v>475.48998999999998</v>
      </c>
      <c r="S33">
        <f>VLOOKUP($A33,'Niteesh''s data'!$A$2:$I$313,7,FALSE)</f>
        <v>475.48998999999998</v>
      </c>
      <c r="T33">
        <f>VLOOKUP($A33,'Niteesh''s data'!$A$2:$I$313,8,FALSE)</f>
        <v>6398750000</v>
      </c>
      <c r="U33" s="61">
        <f>VLOOKUP($A33,'Niteesh''s data'!$A$2:$I$313,9,FALSE)</f>
        <v>1.2200000000000001E-2</v>
      </c>
      <c r="V33">
        <f>VLOOKUP(A33,'Existing home Sales'!$A$2:$C$324,3,FALSE)</f>
        <v>3.82</v>
      </c>
      <c r="W33" s="8">
        <v>2</v>
      </c>
      <c r="X33">
        <f>IFERROR(VLOOKUP(A33,'Home Depot Gross Profit'!$A$1:$B$105,2,FALSE)/3,IF(W33=2,X32,X32))</f>
        <v>308.66666666666669</v>
      </c>
      <c r="Y33">
        <f>IFERROR(VLOOKUP(A33,'LOWE''S GROSS PROFIT'!$A$1:$B$105,2,FALSE)/3,IF(X33=2,Y32/3,Y32))</f>
        <v>134.86666666666667</v>
      </c>
      <c r="Z33" s="8">
        <v>8.5500000000000007</v>
      </c>
      <c r="AA33">
        <v>5139</v>
      </c>
      <c r="AB33">
        <f>VLOOKUP(A33,'[1]Fed_Int (1)'!$A$2:$B$316,2,FALSE)</f>
        <v>4.47</v>
      </c>
      <c r="AC33" s="8">
        <v>9.055555</v>
      </c>
      <c r="AD33" s="8">
        <v>10.277778</v>
      </c>
      <c r="AE33" s="8">
        <v>8.8333329999999997</v>
      </c>
      <c r="AF33" s="8">
        <v>10.055555</v>
      </c>
      <c r="AG33" s="8">
        <v>6.5299360000000002</v>
      </c>
      <c r="AH33" s="8">
        <v>130650600</v>
      </c>
      <c r="AI33" s="8">
        <v>4.5</v>
      </c>
      <c r="AJ33" s="8">
        <v>4.609375</v>
      </c>
      <c r="AK33" s="8">
        <v>3.75</v>
      </c>
      <c r="AL33" s="8">
        <v>4.515625</v>
      </c>
      <c r="AM33" s="8">
        <v>2.9705599999999999</v>
      </c>
      <c r="AN33" s="8">
        <v>120052000</v>
      </c>
    </row>
    <row r="34" spans="1:40" x14ac:dyDescent="0.35">
      <c r="A34" s="1">
        <v>34578</v>
      </c>
      <c r="B34" s="13">
        <f t="shared" si="0"/>
        <v>9</v>
      </c>
      <c r="C34" s="13">
        <f t="shared" si="1"/>
        <v>1994</v>
      </c>
      <c r="D34" s="2">
        <v>13375</v>
      </c>
      <c r="E34">
        <f>VLOOKUP(A34,PSR!$A$12:$B$721,2,FALSE)</f>
        <v>6.2</v>
      </c>
      <c r="F34">
        <f>VLOOKUP(A34,CCI_USA!$F$2:$H$317,3,FALSE)</f>
        <v>100.5834</v>
      </c>
      <c r="G34">
        <f>INDEX('BLS Data Series'!$A$11:$M$39,MATCH('UI Datathon Development'!C34,'BLS Data Series'!$A$13:$A$39,0)+2,MATCH('UI Datathon Development'!B34,'BLS Data Series'!$B$11:$M$11,0)+1)</f>
        <v>5.9</v>
      </c>
      <c r="H34">
        <f>VLOOKUP(A34,'Houses for sale'!$B$10:$I$671,8,FALSE)</f>
        <v>331</v>
      </c>
      <c r="I34">
        <f>VLOOKUP(A34,'House starts'!$A$12:$B$325,2,FALSE)</f>
        <v>1474</v>
      </c>
      <c r="J34">
        <f>VLOOKUP(A34,'New house sales'!$A$13:$C$324,3,FALSE)</f>
        <v>129700</v>
      </c>
      <c r="K34">
        <f>VLOOKUP($A34,'Sreenath''s data'!$A$2:$F$313,3,FALSE)</f>
        <v>80.348999999999904</v>
      </c>
      <c r="L34">
        <f>VLOOKUP($A34,'Sreenath''s data'!$A$2:$F$313,4,FALSE)</f>
        <v>7048.2</v>
      </c>
      <c r="M34">
        <f>VLOOKUP($A34,'Sreenath''s data'!$A$2:$F$313,5,FALSE)</f>
        <v>99316</v>
      </c>
      <c r="N34">
        <f>VLOOKUP($A34,'Sreenath''s data'!$A$2:$F$313,6,FALSE)</f>
        <v>64.986496563288398</v>
      </c>
      <c r="O34">
        <f>VLOOKUP($A34,'Niteesh''s data'!$A$2:$I$313,3,FALSE)</f>
        <v>475.48998999999998</v>
      </c>
      <c r="P34">
        <f>VLOOKUP($A34,'Niteesh''s data'!$A$2:$I$313,4,FALSE)</f>
        <v>475.48998999999998</v>
      </c>
      <c r="Q34">
        <f>VLOOKUP($A34,'Niteesh''s data'!$A$2:$I$313,5,FALSE)</f>
        <v>458.47000100000002</v>
      </c>
      <c r="R34">
        <f>VLOOKUP($A34,'Niteesh''s data'!$A$2:$I$313,6,FALSE)</f>
        <v>462.709991</v>
      </c>
      <c r="S34">
        <f>VLOOKUP($A34,'Niteesh''s data'!$A$2:$I$313,7,FALSE)</f>
        <v>462.709991</v>
      </c>
      <c r="T34">
        <f>VLOOKUP($A34,'Niteesh''s data'!$A$2:$I$313,8,FALSE)</f>
        <v>6152870000</v>
      </c>
      <c r="U34" s="61">
        <f>VLOOKUP($A34,'Niteesh''s data'!$A$2:$I$313,9,FALSE)</f>
        <v>1.2200000000000001E-2</v>
      </c>
      <c r="V34">
        <f>VLOOKUP(A34,'Existing home Sales'!$A$2:$C$324,3,FALSE)</f>
        <v>3.85</v>
      </c>
      <c r="W34" s="8">
        <v>3</v>
      </c>
      <c r="X34">
        <f>IFERROR(VLOOKUP(A34,'Home Depot Gross Profit'!$A$1:$B$105,2,FALSE)/3,IF(W34=2,X33,X33))</f>
        <v>308.66666666666669</v>
      </c>
      <c r="Y34">
        <f>IFERROR(VLOOKUP(A34,'LOWE''S GROSS PROFIT'!$A$1:$B$105,2,FALSE)/3,IF(X34=2,Y33/3,Y33))</f>
        <v>134.86666666666667</v>
      </c>
      <c r="Z34" s="8">
        <v>8.66</v>
      </c>
      <c r="AA34">
        <v>5175</v>
      </c>
      <c r="AB34">
        <f>VLOOKUP(A34,'[1]Fed_Int (1)'!$A$2:$B$316,2,FALSE)</f>
        <v>4.7300000000000004</v>
      </c>
      <c r="AC34" s="8">
        <v>9.8888890000000007</v>
      </c>
      <c r="AD34" s="8">
        <v>10</v>
      </c>
      <c r="AE34" s="8">
        <v>9.25</v>
      </c>
      <c r="AF34" s="8">
        <v>9.3333329999999997</v>
      </c>
      <c r="AG34" s="8">
        <v>6.0609349999999997</v>
      </c>
      <c r="AH34" s="8">
        <v>89095200</v>
      </c>
      <c r="AI34" s="8">
        <v>4.46875</v>
      </c>
      <c r="AJ34" s="8">
        <v>4.96875</v>
      </c>
      <c r="AK34" s="8">
        <v>4.296875</v>
      </c>
      <c r="AL34" s="8">
        <v>4.828125</v>
      </c>
      <c r="AM34" s="8">
        <v>3.1761349999999999</v>
      </c>
      <c r="AN34" s="8">
        <v>98442400</v>
      </c>
    </row>
    <row r="35" spans="1:40" x14ac:dyDescent="0.35">
      <c r="A35" s="1">
        <v>34608</v>
      </c>
      <c r="B35" s="13">
        <f t="shared" si="0"/>
        <v>10</v>
      </c>
      <c r="C35" s="13">
        <f t="shared" si="1"/>
        <v>1994</v>
      </c>
      <c r="D35" s="2">
        <v>13550</v>
      </c>
      <c r="E35">
        <f>VLOOKUP(A35,PSR!$A$12:$B$721,2,FALSE)</f>
        <v>6.5</v>
      </c>
      <c r="F35">
        <f>VLOOKUP(A35,CCI_USA!$F$2:$H$317,3,FALSE)</f>
        <v>100.6773</v>
      </c>
      <c r="G35">
        <f>INDEX('BLS Data Series'!$A$11:$M$39,MATCH('UI Datathon Development'!C35,'BLS Data Series'!$A$13:$A$39,0)+2,MATCH('UI Datathon Development'!B35,'BLS Data Series'!$B$11:$M$11,0)+1)</f>
        <v>5.8</v>
      </c>
      <c r="H35">
        <f>VLOOKUP(A35,'Houses for sale'!$B$10:$I$671,8,FALSE)</f>
        <v>330</v>
      </c>
      <c r="I35">
        <f>VLOOKUP(A35,'House starts'!$A$12:$B$325,2,FALSE)</f>
        <v>1450</v>
      </c>
      <c r="J35">
        <f>VLOOKUP(A35,'New house sales'!$A$13:$C$324,3,FALSE)</f>
        <v>132000</v>
      </c>
      <c r="K35">
        <f>VLOOKUP($A35,'Sreenath''s data'!$A$2:$F$313,3,FALSE)</f>
        <v>80.311999999999998</v>
      </c>
      <c r="L35">
        <f>VLOOKUP($A35,'Sreenath''s data'!$A$2:$F$313,4,FALSE)</f>
        <v>7113.4</v>
      </c>
      <c r="M35">
        <f>VLOOKUP($A35,'Sreenath''s data'!$A$2:$F$313,5,FALSE)</f>
        <v>99432</v>
      </c>
      <c r="N35">
        <f>VLOOKUP($A35,'Sreenath''s data'!$A$2:$F$313,6,FALSE)</f>
        <v>65.141042333950196</v>
      </c>
      <c r="O35">
        <f>VLOOKUP($A35,'Niteesh''s data'!$A$2:$I$313,3,FALSE)</f>
        <v>462.69000199999999</v>
      </c>
      <c r="P35">
        <f>VLOOKUP($A35,'Niteesh''s data'!$A$2:$I$313,4,FALSE)</f>
        <v>474.73998999999998</v>
      </c>
      <c r="Q35">
        <f>VLOOKUP($A35,'Niteesh''s data'!$A$2:$I$313,5,FALSE)</f>
        <v>449.26998900000001</v>
      </c>
      <c r="R35">
        <f>VLOOKUP($A35,'Niteesh''s data'!$A$2:$I$313,6,FALSE)</f>
        <v>472.35000600000001</v>
      </c>
      <c r="S35">
        <f>VLOOKUP($A35,'Niteesh''s data'!$A$2:$I$313,7,FALSE)</f>
        <v>472.35000600000001</v>
      </c>
      <c r="T35">
        <f>VLOOKUP($A35,'Niteesh''s data'!$A$2:$I$313,8,FALSE)</f>
        <v>6344700000</v>
      </c>
      <c r="U35" s="61">
        <f>VLOOKUP($A35,'Niteesh''s data'!$A$2:$I$313,9,FALSE)</f>
        <v>1.21E-2</v>
      </c>
      <c r="V35">
        <f>VLOOKUP(A35,'Existing home Sales'!$A$2:$C$324,3,FALSE)</f>
        <v>3.76</v>
      </c>
      <c r="W35" s="8">
        <v>1</v>
      </c>
      <c r="X35">
        <f>IFERROR(VLOOKUP(A35,'Home Depot Gross Profit'!$A$1:$B$105,2,FALSE)/3,IF(W35=2,X34,X34))</f>
        <v>304</v>
      </c>
      <c r="Y35">
        <f>IFERROR(VLOOKUP(A35,'LOWE''S GROSS PROFIT'!$A$1:$B$105,2,FALSE)/3,IF(X35=2,Y34/3,Y34))</f>
        <v>127.3</v>
      </c>
      <c r="Z35" s="8">
        <v>8.91</v>
      </c>
      <c r="AA35">
        <v>5177</v>
      </c>
      <c r="AB35">
        <f>VLOOKUP(A35,'[1]Fed_Int (1)'!$A$2:$B$316,2,FALSE)</f>
        <v>4.76</v>
      </c>
      <c r="AC35" s="8">
        <v>9.3888890000000007</v>
      </c>
      <c r="AD35" s="8">
        <v>10.222222</v>
      </c>
      <c r="AE35" s="8">
        <v>9.0833329999999997</v>
      </c>
      <c r="AF35" s="8">
        <v>10.111110999999999</v>
      </c>
      <c r="AG35" s="8">
        <v>6.5929390000000003</v>
      </c>
      <c r="AH35" s="8">
        <v>88497900</v>
      </c>
      <c r="AI35" s="8">
        <v>4.859375</v>
      </c>
      <c r="AJ35" s="8">
        <v>5.109375</v>
      </c>
      <c r="AK35" s="8">
        <v>4.53125</v>
      </c>
      <c r="AL35" s="8">
        <v>4.96875</v>
      </c>
      <c r="AM35" s="8">
        <v>3.268643</v>
      </c>
      <c r="AN35" s="8">
        <v>76809600</v>
      </c>
    </row>
    <row r="36" spans="1:40" x14ac:dyDescent="0.35">
      <c r="A36" s="1">
        <v>34639</v>
      </c>
      <c r="B36" s="13">
        <f t="shared" si="0"/>
        <v>11</v>
      </c>
      <c r="C36" s="13">
        <f t="shared" si="1"/>
        <v>1994</v>
      </c>
      <c r="D36" s="2">
        <v>13384</v>
      </c>
      <c r="E36">
        <f>VLOOKUP(A36,PSR!$A$12:$B$721,2,FALSE)</f>
        <v>6.4</v>
      </c>
      <c r="F36">
        <f>VLOOKUP(A36,CCI_USA!$F$2:$H$317,3,FALSE)</f>
        <v>100.7914</v>
      </c>
      <c r="G36">
        <f>INDEX('BLS Data Series'!$A$11:$M$39,MATCH('UI Datathon Development'!C36,'BLS Data Series'!$A$13:$A$39,0)+2,MATCH('UI Datathon Development'!B36,'BLS Data Series'!$B$11:$M$11,0)+1)</f>
        <v>5.6</v>
      </c>
      <c r="H36">
        <f>VLOOKUP(A36,'Houses for sale'!$B$10:$I$671,8,FALSE)</f>
        <v>333</v>
      </c>
      <c r="I36">
        <f>VLOOKUP(A36,'House starts'!$A$12:$B$325,2,FALSE)</f>
        <v>1511</v>
      </c>
      <c r="J36">
        <f>VLOOKUP(A36,'New house sales'!$A$13:$C$324,3,FALSE)</f>
        <v>129900</v>
      </c>
      <c r="K36">
        <f>VLOOKUP($A36,'Sreenath''s data'!$A$2:$F$313,3,FALSE)</f>
        <v>80.176999999999893</v>
      </c>
      <c r="L36">
        <f>VLOOKUP($A36,'Sreenath''s data'!$A$2:$F$313,4,FALSE)</f>
        <v>7111.1</v>
      </c>
      <c r="M36">
        <f>VLOOKUP($A36,'Sreenath''s data'!$A$2:$F$313,5,FALSE)</f>
        <v>99708</v>
      </c>
      <c r="N36">
        <f>VLOOKUP($A36,'Sreenath''s data'!$A$2:$F$313,6,FALSE)</f>
        <v>65.141042333950196</v>
      </c>
      <c r="O36">
        <f>VLOOKUP($A36,'Niteesh''s data'!$A$2:$I$313,3,FALSE)</f>
        <v>472.26001000000002</v>
      </c>
      <c r="P36">
        <f>VLOOKUP($A36,'Niteesh''s data'!$A$2:$I$313,4,FALSE)</f>
        <v>472.26001000000002</v>
      </c>
      <c r="Q36">
        <f>VLOOKUP($A36,'Niteesh''s data'!$A$2:$I$313,5,FALSE)</f>
        <v>444.17999300000002</v>
      </c>
      <c r="R36">
        <f>VLOOKUP($A36,'Niteesh''s data'!$A$2:$I$313,6,FALSE)</f>
        <v>453.69000199999999</v>
      </c>
      <c r="S36">
        <f>VLOOKUP($A36,'Niteesh''s data'!$A$2:$I$313,7,FALSE)</f>
        <v>453.69000199999999</v>
      </c>
      <c r="T36">
        <f>VLOOKUP($A36,'Niteesh''s data'!$A$2:$I$313,8,FALSE)</f>
        <v>6251240000</v>
      </c>
      <c r="U36" s="61">
        <f>VLOOKUP($A36,'Niteesh''s data'!$A$2:$I$313,9,FALSE)</f>
        <v>1.21E-2</v>
      </c>
      <c r="V36">
        <f>VLOOKUP(A36,'Existing home Sales'!$A$2:$C$324,3,FALSE)</f>
        <v>3.78</v>
      </c>
      <c r="W36" s="8">
        <v>2</v>
      </c>
      <c r="X36">
        <f>IFERROR(VLOOKUP(A36,'Home Depot Gross Profit'!$A$1:$B$105,2,FALSE)/3,IF(W36=2,X35,X35))</f>
        <v>304</v>
      </c>
      <c r="Y36">
        <f>IFERROR(VLOOKUP(A36,'LOWE''S GROSS PROFIT'!$A$1:$B$105,2,FALSE)/3,IF(X36=2,Y35/3,Y35))</f>
        <v>127.3</v>
      </c>
      <c r="Z36" s="8">
        <v>9.19</v>
      </c>
      <c r="AA36">
        <v>5210</v>
      </c>
      <c r="AB36">
        <f>VLOOKUP(A36,'[1]Fed_Int (1)'!$A$2:$B$316,2,FALSE)</f>
        <v>5.29</v>
      </c>
      <c r="AC36" s="8">
        <v>10.083333</v>
      </c>
      <c r="AD36" s="8">
        <v>10.722222</v>
      </c>
      <c r="AE36" s="8">
        <v>9.8888890000000007</v>
      </c>
      <c r="AF36" s="8">
        <v>10.277778</v>
      </c>
      <c r="AG36" s="8">
        <v>6.7016150000000003</v>
      </c>
      <c r="AH36" s="8">
        <v>123902700</v>
      </c>
      <c r="AI36" s="8">
        <v>5</v>
      </c>
      <c r="AJ36" s="8">
        <v>5.171875</v>
      </c>
      <c r="AK36" s="8">
        <v>4.53125</v>
      </c>
      <c r="AL36" s="8">
        <v>4.671875</v>
      </c>
      <c r="AM36" s="8">
        <v>3.102843</v>
      </c>
      <c r="AN36" s="8">
        <v>72340000</v>
      </c>
    </row>
    <row r="37" spans="1:40" x14ac:dyDescent="0.35">
      <c r="A37" s="1">
        <v>34669</v>
      </c>
      <c r="B37" s="13">
        <f t="shared" si="0"/>
        <v>12</v>
      </c>
      <c r="C37" s="13">
        <f t="shared" si="1"/>
        <v>1994</v>
      </c>
      <c r="D37" s="2">
        <v>13981</v>
      </c>
      <c r="E37">
        <f>VLOOKUP(A37,PSR!$A$12:$B$721,2,FALSE)</f>
        <v>6.5</v>
      </c>
      <c r="F37">
        <f>VLOOKUP(A37,CCI_USA!$F$2:$H$317,3,FALSE)</f>
        <v>100.9676</v>
      </c>
      <c r="G37">
        <f>INDEX('BLS Data Series'!$A$11:$M$39,MATCH('UI Datathon Development'!C37,'BLS Data Series'!$A$13:$A$39,0)+2,MATCH('UI Datathon Development'!B37,'BLS Data Series'!$B$11:$M$11,0)+1)</f>
        <v>5.5</v>
      </c>
      <c r="H37">
        <f>VLOOKUP(A37,'Houses for sale'!$B$10:$I$671,8,FALSE)</f>
        <v>336</v>
      </c>
      <c r="I37">
        <f>VLOOKUP(A37,'House starts'!$A$12:$B$325,2,FALSE)</f>
        <v>1455</v>
      </c>
      <c r="J37">
        <f>VLOOKUP(A37,'New house sales'!$A$13:$C$324,3,FALSE)</f>
        <v>135000</v>
      </c>
      <c r="K37">
        <f>VLOOKUP($A37,'Sreenath''s data'!$A$2:$F$313,3,FALSE)</f>
        <v>80.087000000000003</v>
      </c>
      <c r="L37">
        <f>VLOOKUP($A37,'Sreenath''s data'!$A$2:$F$313,4,FALSE)</f>
        <v>7144.2</v>
      </c>
      <c r="M37">
        <f>VLOOKUP($A37,'Sreenath''s data'!$A$2:$F$313,5,FALSE)</f>
        <v>99640</v>
      </c>
      <c r="N37">
        <f>VLOOKUP($A37,'Sreenath''s data'!$A$2:$F$313,6,FALSE)</f>
        <v>65.025133005953904</v>
      </c>
      <c r="O37">
        <f>VLOOKUP($A37,'Niteesh''s data'!$A$2:$I$313,3,FALSE)</f>
        <v>453.54998799999998</v>
      </c>
      <c r="P37">
        <f>VLOOKUP($A37,'Niteesh''s data'!$A$2:$I$313,4,FALSE)</f>
        <v>462.73001099999999</v>
      </c>
      <c r="Q37">
        <f>VLOOKUP($A37,'Niteesh''s data'!$A$2:$I$313,5,FALSE)</f>
        <v>442.88000499999998</v>
      </c>
      <c r="R37">
        <f>VLOOKUP($A37,'Niteesh''s data'!$A$2:$I$313,6,FALSE)</f>
        <v>459.26998900000001</v>
      </c>
      <c r="S37">
        <f>VLOOKUP($A37,'Niteesh''s data'!$A$2:$I$313,7,FALSE)</f>
        <v>459.26998900000001</v>
      </c>
      <c r="T37">
        <f>VLOOKUP($A37,'Niteesh''s data'!$A$2:$I$313,8,FALSE)</f>
        <v>6351530000</v>
      </c>
      <c r="U37" s="61">
        <f>VLOOKUP($A37,'Niteesh''s data'!$A$2:$I$313,9,FALSE)</f>
        <v>1.21E-2</v>
      </c>
      <c r="V37">
        <f>VLOOKUP(A37,'Existing home Sales'!$A$2:$C$324,3,FALSE)</f>
        <v>3.71</v>
      </c>
      <c r="W37" s="8">
        <v>3</v>
      </c>
      <c r="X37">
        <f>IFERROR(VLOOKUP(A37,'Home Depot Gross Profit'!$A$1:$B$105,2,FALSE)/3,IF(W37=2,X36,X36))</f>
        <v>304</v>
      </c>
      <c r="Y37">
        <f>IFERROR(VLOOKUP(A37,'LOWE''S GROSS PROFIT'!$A$1:$B$105,2,FALSE)/3,IF(X37=2,Y36/3,Y36))</f>
        <v>127.3</v>
      </c>
      <c r="Z37" s="8">
        <v>9.18</v>
      </c>
      <c r="AA37">
        <v>5226</v>
      </c>
      <c r="AB37">
        <f>VLOOKUP(A37,'[1]Fed_Int (1)'!$A$2:$B$316,2,FALSE)</f>
        <v>5.45</v>
      </c>
      <c r="AC37" s="8">
        <v>10.222222</v>
      </c>
      <c r="AD37" s="8">
        <v>10.5</v>
      </c>
      <c r="AE37" s="8">
        <v>9.805555</v>
      </c>
      <c r="AF37" s="8">
        <v>10.222222</v>
      </c>
      <c r="AG37" s="8">
        <v>6.6653900000000004</v>
      </c>
      <c r="AH37" s="8">
        <v>90020700</v>
      </c>
      <c r="AI37" s="8">
        <v>4.625</v>
      </c>
      <c r="AJ37" s="8">
        <v>4.78125</v>
      </c>
      <c r="AK37" s="8">
        <v>4.140625</v>
      </c>
      <c r="AL37" s="8">
        <v>4.34375</v>
      </c>
      <c r="AM37" s="8">
        <v>2.8849179999999999</v>
      </c>
      <c r="AN37" s="8">
        <v>117824000</v>
      </c>
    </row>
    <row r="38" spans="1:40" x14ac:dyDescent="0.35">
      <c r="A38" s="1">
        <v>34700</v>
      </c>
      <c r="B38" s="13">
        <f t="shared" si="0"/>
        <v>1</v>
      </c>
      <c r="C38" s="13">
        <f t="shared" si="1"/>
        <v>1995</v>
      </c>
      <c r="D38" s="2">
        <v>13738</v>
      </c>
      <c r="E38">
        <f>VLOOKUP(A38,PSR!$A$12:$B$721,2,FALSE)</f>
        <v>6.9</v>
      </c>
      <c r="F38">
        <f>VLOOKUP(A38,CCI_USA!$F$2:$H$317,3,FALSE)</f>
        <v>101.04949999999999</v>
      </c>
      <c r="G38">
        <f>INDEX('BLS Data Series'!$A$11:$M$39,MATCH('UI Datathon Development'!C38,'BLS Data Series'!$A$13:$A$39,0)+2,MATCH('UI Datathon Development'!B38,'BLS Data Series'!$B$11:$M$11,0)+1)</f>
        <v>5.6</v>
      </c>
      <c r="H38">
        <f>VLOOKUP(A38,'Houses for sale'!$B$10:$I$671,8,FALSE)</f>
        <v>341</v>
      </c>
      <c r="I38">
        <f>VLOOKUP(A38,'House starts'!$A$12:$B$325,2,FALSE)</f>
        <v>1407</v>
      </c>
      <c r="J38">
        <f>VLOOKUP(A38,'New house sales'!$A$13:$C$324,3,FALSE)</f>
        <v>127900</v>
      </c>
      <c r="K38">
        <f>VLOOKUP($A38,'Sreenath''s data'!$A$2:$F$313,3,FALSE)</f>
        <v>80.037999999999997</v>
      </c>
      <c r="L38">
        <f>VLOOKUP($A38,'Sreenath''s data'!$A$2:$F$313,4,FALSE)</f>
        <v>7174.2</v>
      </c>
      <c r="M38">
        <f>VLOOKUP($A38,'Sreenath''s data'!$A$2:$F$313,5,FALSE)</f>
        <v>99889</v>
      </c>
      <c r="N38">
        <f>VLOOKUP($A38,'Sreenath''s data'!$A$2:$F$313,6,FALSE)</f>
        <v>65.450133875273806</v>
      </c>
      <c r="O38">
        <f>VLOOKUP($A38,'Niteesh''s data'!$A$2:$I$313,3,FALSE)</f>
        <v>459.209991</v>
      </c>
      <c r="P38">
        <f>VLOOKUP($A38,'Niteesh''s data'!$A$2:$I$313,4,FALSE)</f>
        <v>471.35998499999999</v>
      </c>
      <c r="Q38">
        <f>VLOOKUP($A38,'Niteesh''s data'!$A$2:$I$313,5,FALSE)</f>
        <v>457.20001200000002</v>
      </c>
      <c r="R38">
        <f>VLOOKUP($A38,'Niteesh''s data'!$A$2:$I$313,6,FALSE)</f>
        <v>470.42001299999998</v>
      </c>
      <c r="S38">
        <f>VLOOKUP($A38,'Niteesh''s data'!$A$2:$I$313,7,FALSE)</f>
        <v>470.42001299999998</v>
      </c>
      <c r="T38">
        <f>VLOOKUP($A38,'Niteesh''s data'!$A$2:$I$313,8,FALSE)</f>
        <v>6852060000</v>
      </c>
      <c r="U38" s="61">
        <f>VLOOKUP($A38,'Niteesh''s data'!$A$2:$I$313,9,FALSE)</f>
        <v>1.21E-2</v>
      </c>
      <c r="V38">
        <f>VLOOKUP(A38,'Existing home Sales'!$A$2:$C$324,3,FALSE)</f>
        <v>3.81</v>
      </c>
      <c r="W38" s="8">
        <v>1</v>
      </c>
      <c r="X38">
        <f>IFERROR(VLOOKUP(A38,'Home Depot Gross Profit'!$A$1:$B$105,2,FALSE)/3,IF(W38=2,X37,X37))</f>
        <v>311.93333333333334</v>
      </c>
      <c r="Y38">
        <f>IFERROR(VLOOKUP(A38,'LOWE''S GROSS PROFIT'!$A$1:$B$105,2,FALSE)/3,IF(X38=2,Y37/3,Y37))</f>
        <v>130.63333333333333</v>
      </c>
      <c r="Z38" s="8">
        <v>9.16</v>
      </c>
      <c r="AA38">
        <v>5234</v>
      </c>
      <c r="AB38">
        <f>VLOOKUP(A38,'[1]Fed_Int (1)'!$A$2:$B$316,2,FALSE)</f>
        <v>5.53</v>
      </c>
      <c r="AC38" s="8">
        <v>10.194445</v>
      </c>
      <c r="AD38" s="8">
        <v>10.777778</v>
      </c>
      <c r="AE38" s="8">
        <v>9.9166670000000003</v>
      </c>
      <c r="AF38" s="8">
        <v>10.388889000000001</v>
      </c>
      <c r="AG38" s="8">
        <v>6.800567</v>
      </c>
      <c r="AH38" s="8">
        <v>75995100</v>
      </c>
      <c r="AI38" s="8">
        <v>4.34375</v>
      </c>
      <c r="AJ38" s="8">
        <v>4.78125</v>
      </c>
      <c r="AK38" s="8">
        <v>4.15625</v>
      </c>
      <c r="AL38" s="8">
        <v>4.59375</v>
      </c>
      <c r="AM38" s="8">
        <v>3.0509559999999998</v>
      </c>
      <c r="AN38" s="8">
        <v>61490400</v>
      </c>
    </row>
    <row r="39" spans="1:40" x14ac:dyDescent="0.35">
      <c r="A39" s="1">
        <v>34731</v>
      </c>
      <c r="B39" s="13">
        <f t="shared" si="0"/>
        <v>2</v>
      </c>
      <c r="C39" s="13">
        <f t="shared" si="1"/>
        <v>1995</v>
      </c>
      <c r="D39" s="2">
        <v>13613</v>
      </c>
      <c r="E39">
        <f>VLOOKUP(A39,PSR!$A$12:$B$721,2,FALSE)</f>
        <v>7.3</v>
      </c>
      <c r="F39">
        <f>VLOOKUP(A39,CCI_USA!$F$2:$H$317,3,FALSE)</f>
        <v>100.9169</v>
      </c>
      <c r="G39">
        <f>INDEX('BLS Data Series'!$A$11:$M$39,MATCH('UI Datathon Development'!C39,'BLS Data Series'!$A$13:$A$39,0)+2,MATCH('UI Datathon Development'!B39,'BLS Data Series'!$B$11:$M$11,0)+1)</f>
        <v>5.4</v>
      </c>
      <c r="H39">
        <f>VLOOKUP(A39,'Houses for sale'!$B$10:$I$671,8,FALSE)</f>
        <v>346</v>
      </c>
      <c r="I39">
        <f>VLOOKUP(A39,'House starts'!$A$12:$B$325,2,FALSE)</f>
        <v>1316</v>
      </c>
      <c r="J39">
        <f>VLOOKUP(A39,'New house sales'!$A$13:$C$324,3,FALSE)</f>
        <v>135000</v>
      </c>
      <c r="K39">
        <f>VLOOKUP($A39,'Sreenath''s data'!$A$2:$F$313,3,FALSE)</f>
        <v>80.007999999999996</v>
      </c>
      <c r="L39">
        <f>VLOOKUP($A39,'Sreenath''s data'!$A$2:$F$313,4,FALSE)</f>
        <v>7190.3</v>
      </c>
      <c r="M39">
        <f>VLOOKUP($A39,'Sreenath''s data'!$A$2:$F$313,5,FALSE)</f>
        <v>99652</v>
      </c>
      <c r="N39">
        <f>VLOOKUP($A39,'Sreenath''s data'!$A$2:$F$313,6,FALSE)</f>
        <v>65.836498301928401</v>
      </c>
      <c r="O39">
        <f>VLOOKUP($A39,'Niteesh''s data'!$A$2:$I$313,3,FALSE)</f>
        <v>470.42001299999998</v>
      </c>
      <c r="P39">
        <f>VLOOKUP($A39,'Niteesh''s data'!$A$2:$I$313,4,FALSE)</f>
        <v>489.19000199999999</v>
      </c>
      <c r="Q39">
        <f>VLOOKUP($A39,'Niteesh''s data'!$A$2:$I$313,5,FALSE)</f>
        <v>469.290009</v>
      </c>
      <c r="R39">
        <f>VLOOKUP($A39,'Niteesh''s data'!$A$2:$I$313,6,FALSE)</f>
        <v>487.39001500000001</v>
      </c>
      <c r="S39">
        <f>VLOOKUP($A39,'Niteesh''s data'!$A$2:$I$313,7,FALSE)</f>
        <v>487.39001500000001</v>
      </c>
      <c r="T39">
        <f>VLOOKUP($A39,'Niteesh''s data'!$A$2:$I$313,8,FALSE)</f>
        <v>6330100000</v>
      </c>
      <c r="U39" s="61">
        <f>VLOOKUP($A39,'Niteesh''s data'!$A$2:$I$313,9,FALSE)</f>
        <v>1.21E-2</v>
      </c>
      <c r="V39">
        <f>VLOOKUP(A39,'Existing home Sales'!$A$2:$C$324,3,FALSE)</f>
        <v>3.68</v>
      </c>
      <c r="W39" s="8">
        <v>2</v>
      </c>
      <c r="X39">
        <f>IFERROR(VLOOKUP(A39,'Home Depot Gross Profit'!$A$1:$B$105,2,FALSE)/3,IF(W39=2,X38,X38))</f>
        <v>311.93333333333334</v>
      </c>
      <c r="Y39">
        <f>IFERROR(VLOOKUP(A39,'LOWE''S GROSS PROFIT'!$A$1:$B$105,2,FALSE)/3,IF(X39=2,Y38/3,Y38))</f>
        <v>130.63333333333333</v>
      </c>
      <c r="Z39" s="8">
        <v>8.82</v>
      </c>
      <c r="AA39">
        <v>5192</v>
      </c>
      <c r="AB39">
        <f>VLOOKUP(A39,'[1]Fed_Int (1)'!$A$2:$B$316,2,FALSE)</f>
        <v>5.92</v>
      </c>
      <c r="AC39" s="8">
        <v>10.388889000000001</v>
      </c>
      <c r="AD39" s="8">
        <v>11.111110999999999</v>
      </c>
      <c r="AE39" s="8">
        <v>9.7777779999999996</v>
      </c>
      <c r="AF39" s="8">
        <v>9.9722220000000004</v>
      </c>
      <c r="AG39" s="8">
        <v>6.5278140000000002</v>
      </c>
      <c r="AH39" s="8">
        <v>136976100</v>
      </c>
      <c r="AI39" s="8">
        <v>4.625</v>
      </c>
      <c r="AJ39" s="8">
        <v>4.859375</v>
      </c>
      <c r="AK39" s="8">
        <v>4.1875</v>
      </c>
      <c r="AL39" s="8">
        <v>4.203125</v>
      </c>
      <c r="AM39" s="8">
        <v>2.8216410000000001</v>
      </c>
      <c r="AN39" s="8">
        <v>94361600</v>
      </c>
    </row>
    <row r="40" spans="1:40" x14ac:dyDescent="0.35">
      <c r="A40" s="1">
        <v>34759</v>
      </c>
      <c r="B40" s="13">
        <f t="shared" si="0"/>
        <v>3</v>
      </c>
      <c r="C40" s="13">
        <f t="shared" si="1"/>
        <v>1995</v>
      </c>
      <c r="D40" s="2">
        <v>13587</v>
      </c>
      <c r="E40">
        <f>VLOOKUP(A40,PSR!$A$12:$B$721,2,FALSE)</f>
        <v>7</v>
      </c>
      <c r="F40">
        <f>VLOOKUP(A40,CCI_USA!$F$2:$H$317,3,FALSE)</f>
        <v>100.6961</v>
      </c>
      <c r="G40">
        <f>INDEX('BLS Data Series'!$A$11:$M$39,MATCH('UI Datathon Development'!C40,'BLS Data Series'!$A$13:$A$39,0)+2,MATCH('UI Datathon Development'!B40,'BLS Data Series'!$B$11:$M$11,0)+1)</f>
        <v>5.4</v>
      </c>
      <c r="H40">
        <f>VLOOKUP(A40,'Houses for sale'!$B$10:$I$671,8,FALSE)</f>
        <v>346</v>
      </c>
      <c r="I40">
        <f>VLOOKUP(A40,'House starts'!$A$12:$B$325,2,FALSE)</f>
        <v>1249</v>
      </c>
      <c r="J40">
        <f>VLOOKUP(A40,'New house sales'!$A$13:$C$324,3,FALSE)</f>
        <v>130000</v>
      </c>
      <c r="K40">
        <f>VLOOKUP($A40,'Sreenath''s data'!$A$2:$F$313,3,FALSE)</f>
        <v>80.096999999999994</v>
      </c>
      <c r="L40">
        <f>VLOOKUP($A40,'Sreenath''s data'!$A$2:$F$313,4,FALSE)</f>
        <v>7208.3</v>
      </c>
      <c r="M40">
        <f>VLOOKUP($A40,'Sreenath''s data'!$A$2:$F$313,5,FALSE)</f>
        <v>99776</v>
      </c>
      <c r="N40">
        <f>VLOOKUP($A40,'Sreenath''s data'!$A$2:$F$313,6,FALSE)</f>
        <v>66.145589843251898</v>
      </c>
      <c r="O40">
        <f>VLOOKUP($A40,'Niteesh''s data'!$A$2:$I$313,3,FALSE)</f>
        <v>487.39001500000001</v>
      </c>
      <c r="P40">
        <f>VLOOKUP($A40,'Niteesh''s data'!$A$2:$I$313,4,FALSE)</f>
        <v>508.14999399999999</v>
      </c>
      <c r="Q40">
        <f>VLOOKUP($A40,'Niteesh''s data'!$A$2:$I$313,5,FALSE)</f>
        <v>479.70001200000002</v>
      </c>
      <c r="R40">
        <f>VLOOKUP($A40,'Niteesh''s data'!$A$2:$I$313,6,FALSE)</f>
        <v>500.709991</v>
      </c>
      <c r="S40">
        <f>VLOOKUP($A40,'Niteesh''s data'!$A$2:$I$313,7,FALSE)</f>
        <v>500.709991</v>
      </c>
      <c r="T40">
        <f>VLOOKUP($A40,'Niteesh''s data'!$A$2:$I$313,8,FALSE)</f>
        <v>7792400000</v>
      </c>
      <c r="U40" s="61">
        <f>VLOOKUP($A40,'Niteesh''s data'!$A$2:$I$313,9,FALSE)</f>
        <v>1.21E-2</v>
      </c>
      <c r="V40">
        <f>VLOOKUP(A40,'Existing home Sales'!$A$2:$C$324,3,FALSE)</f>
        <v>3.67</v>
      </c>
      <c r="W40" s="8">
        <v>3</v>
      </c>
      <c r="X40">
        <f>IFERROR(VLOOKUP(A40,'Home Depot Gross Profit'!$A$1:$B$105,2,FALSE)/3,IF(W40=2,X39,X39))</f>
        <v>311.93333333333334</v>
      </c>
      <c r="Y40">
        <f>IFERROR(VLOOKUP(A40,'LOWE''S GROSS PROFIT'!$A$1:$B$105,2,FALSE)/3,IF(X40=2,Y39/3,Y39))</f>
        <v>130.63333333333333</v>
      </c>
      <c r="Z40" s="8">
        <v>8.4</v>
      </c>
      <c r="AA40">
        <v>5242</v>
      </c>
      <c r="AB40">
        <f>VLOOKUP(A40,'[1]Fed_Int (1)'!$A$2:$B$316,2,FALSE)</f>
        <v>5.98</v>
      </c>
      <c r="AC40" s="8">
        <v>10</v>
      </c>
      <c r="AD40" s="8">
        <v>10.333333</v>
      </c>
      <c r="AE40" s="8">
        <v>9.4166670000000003</v>
      </c>
      <c r="AF40" s="8">
        <v>9.8333329999999997</v>
      </c>
      <c r="AG40" s="8">
        <v>6.4618739999999999</v>
      </c>
      <c r="AH40" s="8">
        <v>156233100</v>
      </c>
      <c r="AI40" s="8">
        <v>4.234375</v>
      </c>
      <c r="AJ40" s="8">
        <v>4.328125</v>
      </c>
      <c r="AK40" s="8">
        <v>3.90625</v>
      </c>
      <c r="AL40" s="8">
        <v>4.3125</v>
      </c>
      <c r="AM40" s="8">
        <v>2.8950670000000001</v>
      </c>
      <c r="AN40" s="8">
        <v>128173600</v>
      </c>
    </row>
    <row r="41" spans="1:40" x14ac:dyDescent="0.35">
      <c r="A41" s="1">
        <v>34790</v>
      </c>
      <c r="B41" s="13">
        <f t="shared" si="0"/>
        <v>4</v>
      </c>
      <c r="C41" s="13">
        <f t="shared" si="1"/>
        <v>1995</v>
      </c>
      <c r="D41" s="2">
        <v>13415</v>
      </c>
      <c r="E41">
        <f>VLOOKUP(A41,PSR!$A$12:$B$721,2,FALSE)</f>
        <v>6.3</v>
      </c>
      <c r="F41">
        <f>VLOOKUP(A41,CCI_USA!$F$2:$H$317,3,FALSE)</f>
        <v>100.60039999999999</v>
      </c>
      <c r="G41">
        <f>INDEX('BLS Data Series'!$A$11:$M$39,MATCH('UI Datathon Development'!C41,'BLS Data Series'!$A$13:$A$39,0)+2,MATCH('UI Datathon Development'!B41,'BLS Data Series'!$B$11:$M$11,0)+1)</f>
        <v>5.8</v>
      </c>
      <c r="H41">
        <f>VLOOKUP(A41,'Houses for sale'!$B$10:$I$671,8,FALSE)</f>
        <v>348</v>
      </c>
      <c r="I41">
        <f>VLOOKUP(A41,'House starts'!$A$12:$B$325,2,FALSE)</f>
        <v>1267</v>
      </c>
      <c r="J41">
        <f>VLOOKUP(A41,'New house sales'!$A$13:$C$324,3,FALSE)</f>
        <v>134000</v>
      </c>
      <c r="K41">
        <f>VLOOKUP($A41,'Sreenath''s data'!$A$2:$F$313,3,FALSE)</f>
        <v>80.39</v>
      </c>
      <c r="L41">
        <f>VLOOKUP($A41,'Sreenath''s data'!$A$2:$F$313,4,FALSE)</f>
        <v>7153.1</v>
      </c>
      <c r="M41">
        <f>VLOOKUP($A41,'Sreenath''s data'!$A$2:$F$313,5,FALSE)</f>
        <v>99743</v>
      </c>
      <c r="N41">
        <f>VLOOKUP($A41,'Sreenath''s data'!$A$2:$F$313,6,FALSE)</f>
        <v>66.184226285917404</v>
      </c>
      <c r="O41">
        <f>VLOOKUP($A41,'Niteesh''s data'!$A$2:$I$313,3,FALSE)</f>
        <v>500.70001200000002</v>
      </c>
      <c r="P41">
        <f>VLOOKUP($A41,'Niteesh''s data'!$A$2:$I$313,4,FALSE)</f>
        <v>515.28997800000002</v>
      </c>
      <c r="Q41">
        <f>VLOOKUP($A41,'Niteesh''s data'!$A$2:$I$313,5,FALSE)</f>
        <v>500.20001200000002</v>
      </c>
      <c r="R41">
        <f>VLOOKUP($A41,'Niteesh''s data'!$A$2:$I$313,6,FALSE)</f>
        <v>514.71002199999998</v>
      </c>
      <c r="S41">
        <f>VLOOKUP($A41,'Niteesh''s data'!$A$2:$I$313,7,FALSE)</f>
        <v>514.71002199999998</v>
      </c>
      <c r="T41">
        <f>VLOOKUP($A41,'Niteesh''s data'!$A$2:$I$313,8,FALSE)</f>
        <v>6307030000</v>
      </c>
      <c r="U41" s="61">
        <f>VLOOKUP($A41,'Niteesh''s data'!$A$2:$I$313,9,FALSE)</f>
        <v>1.2E-2</v>
      </c>
      <c r="V41">
        <f>VLOOKUP(A41,'Existing home Sales'!$A$2:$C$324,3,FALSE)</f>
        <v>3.65</v>
      </c>
      <c r="W41" s="8">
        <v>1</v>
      </c>
      <c r="X41">
        <f>IFERROR(VLOOKUP(A41,'Home Depot Gross Profit'!$A$1:$B$105,2,FALSE)/3,IF(W41=2,X40,X40))</f>
        <v>345.66666666666669</v>
      </c>
      <c r="Y41">
        <f>IFERROR(VLOOKUP(A41,'LOWE''S GROSS PROFIT'!$A$1:$B$105,2,FALSE)/3,IF(X41=2,Y40/3,Y40))</f>
        <v>141.1</v>
      </c>
      <c r="Z41" s="8">
        <v>8.3149999999999995</v>
      </c>
      <c r="AA41">
        <v>5252</v>
      </c>
      <c r="AB41">
        <f>VLOOKUP(A41,'[1]Fed_Int (1)'!$A$2:$B$316,2,FALSE)</f>
        <v>6.05</v>
      </c>
      <c r="AC41" s="8">
        <v>9.805555</v>
      </c>
      <c r="AD41" s="8">
        <v>9.8333329999999997</v>
      </c>
      <c r="AE41" s="8">
        <v>8.944445</v>
      </c>
      <c r="AF41" s="8">
        <v>9.2777779999999996</v>
      </c>
      <c r="AG41" s="8">
        <v>6.0968010000000001</v>
      </c>
      <c r="AH41" s="8">
        <v>149049000</v>
      </c>
      <c r="AI41" s="8">
        <v>4.34375</v>
      </c>
      <c r="AJ41" s="8">
        <v>4.46875</v>
      </c>
      <c r="AK41" s="8">
        <v>3.4375</v>
      </c>
      <c r="AL41" s="8">
        <v>3.609375</v>
      </c>
      <c r="AM41" s="8">
        <v>2.4230450000000001</v>
      </c>
      <c r="AN41" s="8">
        <v>159868800</v>
      </c>
    </row>
    <row r="42" spans="1:40" x14ac:dyDescent="0.35">
      <c r="A42" s="1">
        <v>34820</v>
      </c>
      <c r="B42" s="13">
        <f t="shared" si="0"/>
        <v>5</v>
      </c>
      <c r="C42" s="13">
        <f t="shared" si="1"/>
        <v>1995</v>
      </c>
      <c r="D42" s="2">
        <v>13370</v>
      </c>
      <c r="E42">
        <f>VLOOKUP(A42,PSR!$A$12:$B$721,2,FALSE)</f>
        <v>6.5</v>
      </c>
      <c r="F42">
        <f>VLOOKUP(A42,CCI_USA!$F$2:$H$317,3,FALSE)</f>
        <v>100.5878</v>
      </c>
      <c r="G42">
        <f>INDEX('BLS Data Series'!$A$11:$M$39,MATCH('UI Datathon Development'!C42,'BLS Data Series'!$A$13:$A$39,0)+2,MATCH('UI Datathon Development'!B42,'BLS Data Series'!$B$11:$M$11,0)+1)</f>
        <v>5.6</v>
      </c>
      <c r="H42">
        <f>VLOOKUP(A42,'Houses for sale'!$B$10:$I$671,8,FALSE)</f>
        <v>349</v>
      </c>
      <c r="I42">
        <f>VLOOKUP(A42,'House starts'!$A$12:$B$325,2,FALSE)</f>
        <v>1314</v>
      </c>
      <c r="J42">
        <f>VLOOKUP(A42,'New house sales'!$A$13:$C$324,3,FALSE)</f>
        <v>133900</v>
      </c>
      <c r="K42">
        <f>VLOOKUP($A42,'Sreenath''s data'!$A$2:$F$313,3,FALSE)</f>
        <v>80.712000000000003</v>
      </c>
      <c r="L42">
        <f>VLOOKUP($A42,'Sreenath''s data'!$A$2:$F$313,4,FALSE)</f>
        <v>7223.3</v>
      </c>
      <c r="M42">
        <f>VLOOKUP($A42,'Sreenath''s data'!$A$2:$F$313,5,FALSE)</f>
        <v>100013</v>
      </c>
      <c r="N42">
        <f>VLOOKUP($A42,'Sreenath''s data'!$A$2:$F$313,6,FALSE)</f>
        <v>66.261499171248303</v>
      </c>
      <c r="O42">
        <f>VLOOKUP($A42,'Niteesh''s data'!$A$2:$I$313,3,FALSE)</f>
        <v>514.76000999999997</v>
      </c>
      <c r="P42">
        <f>VLOOKUP($A42,'Niteesh''s data'!$A$2:$I$313,4,FALSE)</f>
        <v>533.40997300000004</v>
      </c>
      <c r="Q42">
        <f>VLOOKUP($A42,'Niteesh''s data'!$A$2:$I$313,5,FALSE)</f>
        <v>513.03002900000001</v>
      </c>
      <c r="R42">
        <f>VLOOKUP($A42,'Niteesh''s data'!$A$2:$I$313,6,FALSE)</f>
        <v>533.40002400000003</v>
      </c>
      <c r="S42">
        <f>VLOOKUP($A42,'Niteesh''s data'!$A$2:$I$313,7,FALSE)</f>
        <v>533.40002400000003</v>
      </c>
      <c r="T42">
        <f>VLOOKUP($A42,'Niteesh''s data'!$A$2:$I$313,8,FALSE)</f>
        <v>7555690000</v>
      </c>
      <c r="U42" s="61">
        <f>VLOOKUP($A42,'Niteesh''s data'!$A$2:$I$313,9,FALSE)</f>
        <v>1.2E-2</v>
      </c>
      <c r="V42">
        <f>VLOOKUP(A42,'Existing home Sales'!$A$2:$C$324,3,FALSE)</f>
        <v>3.46</v>
      </c>
      <c r="W42" s="8">
        <v>2</v>
      </c>
      <c r="X42">
        <f>IFERROR(VLOOKUP(A42,'Home Depot Gross Profit'!$A$1:$B$105,2,FALSE)/3,IF(W42=2,X41,X41))</f>
        <v>345.66666666666669</v>
      </c>
      <c r="Y42">
        <f>IFERROR(VLOOKUP(A42,'LOWE''S GROSS PROFIT'!$A$1:$B$105,2,FALSE)/3,IF(X42=2,Y41/3,Y41))</f>
        <v>141.1</v>
      </c>
      <c r="Z42" s="8">
        <v>7.8599999999999897</v>
      </c>
      <c r="AA42">
        <v>5220</v>
      </c>
      <c r="AB42">
        <f>VLOOKUP(A42,'[1]Fed_Int (1)'!$A$2:$B$316,2,FALSE)</f>
        <v>6.01</v>
      </c>
      <c r="AC42" s="8">
        <v>9.2777779999999996</v>
      </c>
      <c r="AD42" s="8">
        <v>10</v>
      </c>
      <c r="AE42" s="8">
        <v>8.8611109999999993</v>
      </c>
      <c r="AF42" s="8">
        <v>9.25</v>
      </c>
      <c r="AG42" s="8">
        <v>6.0785470000000004</v>
      </c>
      <c r="AH42" s="8">
        <v>239833500</v>
      </c>
      <c r="AI42" s="8">
        <v>3.578125</v>
      </c>
      <c r="AJ42" s="8">
        <v>3.796875</v>
      </c>
      <c r="AK42" s="8">
        <v>3.265625</v>
      </c>
      <c r="AL42" s="8">
        <v>3.390625</v>
      </c>
      <c r="AM42" s="8">
        <v>2.2999350000000001</v>
      </c>
      <c r="AN42" s="8">
        <v>164272800</v>
      </c>
    </row>
    <row r="43" spans="1:40" x14ac:dyDescent="0.35">
      <c r="A43" s="1">
        <v>34851</v>
      </c>
      <c r="B43" s="13">
        <f t="shared" si="0"/>
        <v>6</v>
      </c>
      <c r="C43" s="13">
        <f t="shared" si="1"/>
        <v>1995</v>
      </c>
      <c r="D43" s="2">
        <v>13548</v>
      </c>
      <c r="E43">
        <f>VLOOKUP(A43,PSR!$A$12:$B$721,2,FALSE)</f>
        <v>6.1</v>
      </c>
      <c r="F43">
        <f>VLOOKUP(A43,CCI_USA!$F$2:$H$317,3,FALSE)</f>
        <v>100.7146</v>
      </c>
      <c r="G43">
        <f>INDEX('BLS Data Series'!$A$11:$M$39,MATCH('UI Datathon Development'!C43,'BLS Data Series'!$A$13:$A$39,0)+2,MATCH('UI Datathon Development'!B43,'BLS Data Series'!$B$11:$M$11,0)+1)</f>
        <v>5.6</v>
      </c>
      <c r="H43">
        <f>VLOOKUP(A43,'Houses for sale'!$B$10:$I$671,8,FALSE)</f>
        <v>348</v>
      </c>
      <c r="I43">
        <f>VLOOKUP(A43,'House starts'!$A$12:$B$325,2,FALSE)</f>
        <v>1281</v>
      </c>
      <c r="J43">
        <f>VLOOKUP(A43,'New house sales'!$A$13:$C$324,3,FALSE)</f>
        <v>133700</v>
      </c>
      <c r="K43">
        <f>VLOOKUP($A43,'Sreenath''s data'!$A$2:$F$313,3,FALSE)</f>
        <v>81.088999999999999</v>
      </c>
      <c r="L43">
        <f>VLOOKUP($A43,'Sreenath''s data'!$A$2:$F$313,4,FALSE)</f>
        <v>7245.4</v>
      </c>
      <c r="M43">
        <f>VLOOKUP($A43,'Sreenath''s data'!$A$2:$F$313,5,FALSE)</f>
        <v>100041</v>
      </c>
      <c r="N43">
        <f>VLOOKUP($A43,'Sreenath''s data'!$A$2:$F$313,6,FALSE)</f>
        <v>66.531954269906507</v>
      </c>
      <c r="O43">
        <f>VLOOKUP($A43,'Niteesh''s data'!$A$2:$I$313,3,FALSE)</f>
        <v>533.40002400000003</v>
      </c>
      <c r="P43">
        <f>VLOOKUP($A43,'Niteesh''s data'!$A$2:$I$313,4,FALSE)</f>
        <v>551.07000700000003</v>
      </c>
      <c r="Q43">
        <f>VLOOKUP($A43,'Niteesh''s data'!$A$2:$I$313,5,FALSE)</f>
        <v>526</v>
      </c>
      <c r="R43">
        <f>VLOOKUP($A43,'Niteesh''s data'!$A$2:$I$313,6,FALSE)</f>
        <v>544.75</v>
      </c>
      <c r="S43">
        <f>VLOOKUP($A43,'Niteesh''s data'!$A$2:$I$313,7,FALSE)</f>
        <v>544.75</v>
      </c>
      <c r="T43">
        <f>VLOOKUP($A43,'Niteesh''s data'!$A$2:$I$313,8,FALSE)</f>
        <v>7555650000</v>
      </c>
      <c r="U43" s="61">
        <f>VLOOKUP($A43,'Niteesh''s data'!$A$2:$I$313,9,FALSE)</f>
        <v>1.2E-2</v>
      </c>
      <c r="V43">
        <f>VLOOKUP(A43,'Existing home Sales'!$A$2:$C$324,3,FALSE)</f>
        <v>3.69</v>
      </c>
      <c r="W43" s="8">
        <v>3</v>
      </c>
      <c r="X43">
        <f>IFERROR(VLOOKUP(A43,'Home Depot Gross Profit'!$A$1:$B$105,2,FALSE)/3,IF(W43=2,X42,X42))</f>
        <v>345.66666666666669</v>
      </c>
      <c r="Y43">
        <f>IFERROR(VLOOKUP(A43,'LOWE''S GROSS PROFIT'!$A$1:$B$105,2,FALSE)/3,IF(X43=2,Y42/3,Y42))</f>
        <v>141.1</v>
      </c>
      <c r="Z43" s="8">
        <v>7.53</v>
      </c>
      <c r="AA43">
        <v>5250</v>
      </c>
      <c r="AB43">
        <f>VLOOKUP(A43,'[1]Fed_Int (1)'!$A$2:$B$316,2,FALSE)</f>
        <v>6</v>
      </c>
      <c r="AC43" s="8">
        <v>9.305555</v>
      </c>
      <c r="AD43" s="8">
        <v>9.6666670000000003</v>
      </c>
      <c r="AE43" s="8">
        <v>8.5833329999999997</v>
      </c>
      <c r="AF43" s="8">
        <v>9.055555</v>
      </c>
      <c r="AG43" s="8">
        <v>5.9507680000000001</v>
      </c>
      <c r="AH43" s="8">
        <v>256794000</v>
      </c>
      <c r="AI43" s="8">
        <v>3.375</v>
      </c>
      <c r="AJ43" s="8">
        <v>3.75</v>
      </c>
      <c r="AK43" s="8">
        <v>3.25</v>
      </c>
      <c r="AL43" s="8">
        <v>3.734375</v>
      </c>
      <c r="AM43" s="8">
        <v>2.5331079999999999</v>
      </c>
      <c r="AN43" s="8">
        <v>158416000</v>
      </c>
    </row>
    <row r="44" spans="1:40" x14ac:dyDescent="0.35">
      <c r="A44" s="1">
        <v>34881</v>
      </c>
      <c r="B44" s="13">
        <f t="shared" si="0"/>
        <v>7</v>
      </c>
      <c r="C44" s="13">
        <f t="shared" si="1"/>
        <v>1995</v>
      </c>
      <c r="D44" s="2">
        <v>13645</v>
      </c>
      <c r="E44">
        <f>VLOOKUP(A44,PSR!$A$12:$B$721,2,FALSE)</f>
        <v>6.4</v>
      </c>
      <c r="F44">
        <f>VLOOKUP(A44,CCI_USA!$F$2:$H$317,3,FALSE)</f>
        <v>100.8317</v>
      </c>
      <c r="G44">
        <f>INDEX('BLS Data Series'!$A$11:$M$39,MATCH('UI Datathon Development'!C44,'BLS Data Series'!$A$13:$A$39,0)+2,MATCH('UI Datathon Development'!B44,'BLS Data Series'!$B$11:$M$11,0)+1)</f>
        <v>5.7</v>
      </c>
      <c r="H44">
        <f>VLOOKUP(A44,'Houses for sale'!$B$10:$I$671,8,FALSE)</f>
        <v>344</v>
      </c>
      <c r="I44">
        <f>VLOOKUP(A44,'House starts'!$A$12:$B$325,2,FALSE)</f>
        <v>1461</v>
      </c>
      <c r="J44">
        <f>VLOOKUP(A44,'New house sales'!$A$13:$C$324,3,FALSE)</f>
        <v>131000</v>
      </c>
      <c r="K44">
        <f>VLOOKUP($A44,'Sreenath''s data'!$A$2:$F$313,3,FALSE)</f>
        <v>81.430999999999997</v>
      </c>
      <c r="L44">
        <f>VLOOKUP($A44,'Sreenath''s data'!$A$2:$F$313,4,FALSE)</f>
        <v>7259.9</v>
      </c>
      <c r="M44">
        <f>VLOOKUP($A44,'Sreenath''s data'!$A$2:$F$313,5,FALSE)</f>
        <v>99910</v>
      </c>
      <c r="N44">
        <f>VLOOKUP($A44,'Sreenath''s data'!$A$2:$F$313,6,FALSE)</f>
        <v>66.918318696561002</v>
      </c>
      <c r="O44">
        <f>VLOOKUP($A44,'Niteesh''s data'!$A$2:$I$313,3,FALSE)</f>
        <v>544.75</v>
      </c>
      <c r="P44">
        <f>VLOOKUP($A44,'Niteesh''s data'!$A$2:$I$313,4,FALSE)</f>
        <v>565.40002400000003</v>
      </c>
      <c r="Q44">
        <f>VLOOKUP($A44,'Niteesh''s data'!$A$2:$I$313,5,FALSE)</f>
        <v>542.51000999999997</v>
      </c>
      <c r="R44">
        <f>VLOOKUP($A44,'Niteesh''s data'!$A$2:$I$313,6,FALSE)</f>
        <v>562.05999799999995</v>
      </c>
      <c r="S44">
        <f>VLOOKUP($A44,'Niteesh''s data'!$A$2:$I$313,7,FALSE)</f>
        <v>562.05999799999995</v>
      </c>
      <c r="T44">
        <f>VLOOKUP($A44,'Niteesh''s data'!$A$2:$I$313,8,FALSE)</f>
        <v>7307960000</v>
      </c>
      <c r="U44" s="61">
        <f>VLOOKUP($A44,'Niteesh''s data'!$A$2:$I$313,9,FALSE)</f>
        <v>1.2E-2</v>
      </c>
      <c r="V44">
        <f>VLOOKUP(A44,'Existing home Sales'!$A$2:$C$324,3,FALSE)</f>
        <v>3.84</v>
      </c>
      <c r="W44" s="8">
        <v>1</v>
      </c>
      <c r="X44">
        <f>IFERROR(VLOOKUP(A44,'Home Depot Gross Profit'!$A$1:$B$105,2,FALSE)/3,IF(W44=2,X43,X43))</f>
        <v>388.66666666666669</v>
      </c>
      <c r="Y44">
        <f>IFERROR(VLOOKUP(A44,'LOWE''S GROSS PROFIT'!$A$1:$B$105,2,FALSE)/3,IF(X44=2,Y43/3,Y43))</f>
        <v>164.79999999999998</v>
      </c>
      <c r="Z44" s="8">
        <v>7.6150000000000002</v>
      </c>
      <c r="AA44">
        <v>5262</v>
      </c>
      <c r="AB44">
        <f>VLOOKUP(A44,'[1]Fed_Int (1)'!$A$2:$B$316,2,FALSE)</f>
        <v>5.85</v>
      </c>
      <c r="AC44" s="8">
        <v>9</v>
      </c>
      <c r="AD44" s="8">
        <v>10.055555</v>
      </c>
      <c r="AE44" s="8">
        <v>9</v>
      </c>
      <c r="AF44" s="8">
        <v>9.7777779999999996</v>
      </c>
      <c r="AG44" s="8">
        <v>6.4608980000000003</v>
      </c>
      <c r="AH44" s="8">
        <v>150219300</v>
      </c>
      <c r="AI44" s="8">
        <v>3.734375</v>
      </c>
      <c r="AJ44" s="8">
        <v>4.65625</v>
      </c>
      <c r="AK44" s="8">
        <v>3.71875</v>
      </c>
      <c r="AL44" s="8">
        <v>4.609375</v>
      </c>
      <c r="AM44" s="8">
        <v>3.1266379999999998</v>
      </c>
      <c r="AN44" s="8">
        <v>155400000</v>
      </c>
    </row>
    <row r="45" spans="1:40" x14ac:dyDescent="0.35">
      <c r="A45" s="1">
        <v>34912</v>
      </c>
      <c r="B45" s="13">
        <f t="shared" si="0"/>
        <v>8</v>
      </c>
      <c r="C45" s="13">
        <f t="shared" si="1"/>
        <v>1995</v>
      </c>
      <c r="D45" s="2">
        <v>13683</v>
      </c>
      <c r="E45">
        <f>VLOOKUP(A45,PSR!$A$12:$B$721,2,FALSE)</f>
        <v>6.1</v>
      </c>
      <c r="F45">
        <f>VLOOKUP(A45,CCI_USA!$F$2:$H$317,3,FALSE)</f>
        <v>100.7978</v>
      </c>
      <c r="G45">
        <f>INDEX('BLS Data Series'!$A$11:$M$39,MATCH('UI Datathon Development'!C45,'BLS Data Series'!$A$13:$A$39,0)+2,MATCH('UI Datathon Development'!B45,'BLS Data Series'!$B$11:$M$11,0)+1)</f>
        <v>5.7</v>
      </c>
      <c r="H45">
        <f>VLOOKUP(A45,'Houses for sale'!$B$10:$I$671,8,FALSE)</f>
        <v>350</v>
      </c>
      <c r="I45">
        <f>VLOOKUP(A45,'House starts'!$A$12:$B$325,2,FALSE)</f>
        <v>1416</v>
      </c>
      <c r="J45">
        <f>VLOOKUP(A45,'New house sales'!$A$13:$C$324,3,FALSE)</f>
        <v>134900</v>
      </c>
      <c r="K45">
        <f>VLOOKUP($A45,'Sreenath''s data'!$A$2:$F$313,3,FALSE)</f>
        <v>81.673000000000002</v>
      </c>
      <c r="L45">
        <f>VLOOKUP($A45,'Sreenath''s data'!$A$2:$F$313,4,FALSE)</f>
        <v>7265.8</v>
      </c>
      <c r="M45">
        <f>VLOOKUP($A45,'Sreenath''s data'!$A$2:$F$313,5,FALSE)</f>
        <v>99910</v>
      </c>
      <c r="N45">
        <f>VLOOKUP($A45,'Sreenath''s data'!$A$2:$F$313,6,FALSE)</f>
        <v>67.0728644672228</v>
      </c>
      <c r="O45">
        <f>VLOOKUP($A45,'Niteesh''s data'!$A$2:$I$313,3,FALSE)</f>
        <v>562.05999799999995</v>
      </c>
      <c r="P45">
        <f>VLOOKUP($A45,'Niteesh''s data'!$A$2:$I$313,4,FALSE)</f>
        <v>565.61999500000002</v>
      </c>
      <c r="Q45">
        <f>VLOOKUP($A45,'Niteesh''s data'!$A$2:$I$313,5,FALSE)</f>
        <v>553.03997800000002</v>
      </c>
      <c r="R45">
        <f>VLOOKUP($A45,'Niteesh''s data'!$A$2:$I$313,6,FALSE)</f>
        <v>561.88000499999998</v>
      </c>
      <c r="S45">
        <f>VLOOKUP($A45,'Niteesh''s data'!$A$2:$I$313,7,FALSE)</f>
        <v>561.88000499999998</v>
      </c>
      <c r="T45">
        <f>VLOOKUP($A45,'Niteesh''s data'!$A$2:$I$313,8,FALSE)</f>
        <v>7146620000</v>
      </c>
      <c r="U45" s="61">
        <f>VLOOKUP($A45,'Niteesh''s data'!$A$2:$I$313,9,FALSE)</f>
        <v>1.2E-2</v>
      </c>
      <c r="V45">
        <f>VLOOKUP(A45,'Existing home Sales'!$A$2:$C$324,3,FALSE)</f>
        <v>3.96</v>
      </c>
      <c r="W45" s="8">
        <v>2</v>
      </c>
      <c r="X45">
        <f>IFERROR(VLOOKUP(A45,'Home Depot Gross Profit'!$A$1:$B$105,2,FALSE)/3,IF(W45=2,X44,X44))</f>
        <v>388.66666666666669</v>
      </c>
      <c r="Y45">
        <f>IFERROR(VLOOKUP(A45,'LOWE''S GROSS PROFIT'!$A$1:$B$105,2,FALSE)/3,IF(X45=2,Y44/3,Y44))</f>
        <v>164.79999999999998</v>
      </c>
      <c r="Z45" s="8">
        <v>7.85</v>
      </c>
      <c r="AA45">
        <v>5286</v>
      </c>
      <c r="AB45">
        <f>VLOOKUP(A45,'[1]Fed_Int (1)'!$A$2:$B$316,2,FALSE)</f>
        <v>5.74</v>
      </c>
      <c r="AC45" s="8">
        <v>9.7777779999999996</v>
      </c>
      <c r="AD45" s="8">
        <v>9.9722220000000004</v>
      </c>
      <c r="AE45" s="8">
        <v>8.8333329999999997</v>
      </c>
      <c r="AF45" s="8">
        <v>8.8888890000000007</v>
      </c>
      <c r="AG45" s="8">
        <v>5.8735439999999999</v>
      </c>
      <c r="AH45" s="8">
        <v>121607400</v>
      </c>
      <c r="AI45" s="8">
        <v>4.59375</v>
      </c>
      <c r="AJ45" s="8">
        <v>4.734375</v>
      </c>
      <c r="AK45" s="8">
        <v>4.109375</v>
      </c>
      <c r="AL45" s="8">
        <v>4.15625</v>
      </c>
      <c r="AM45" s="8">
        <v>2.8499240000000001</v>
      </c>
      <c r="AN45" s="8">
        <v>119516000</v>
      </c>
    </row>
    <row r="46" spans="1:40" x14ac:dyDescent="0.35">
      <c r="A46" s="1">
        <v>34943</v>
      </c>
      <c r="B46" s="13">
        <f t="shared" si="0"/>
        <v>9</v>
      </c>
      <c r="C46" s="13">
        <f t="shared" si="1"/>
        <v>1995</v>
      </c>
      <c r="D46" s="2">
        <v>13837</v>
      </c>
      <c r="E46">
        <f>VLOOKUP(A46,PSR!$A$12:$B$721,2,FALSE)</f>
        <v>6.1</v>
      </c>
      <c r="F46">
        <f>VLOOKUP(A46,CCI_USA!$F$2:$H$317,3,FALSE)</f>
        <v>100.5613</v>
      </c>
      <c r="G46">
        <f>INDEX('BLS Data Series'!$A$11:$M$39,MATCH('UI Datathon Development'!C46,'BLS Data Series'!$A$13:$A$39,0)+2,MATCH('UI Datathon Development'!B46,'BLS Data Series'!$B$11:$M$11,0)+1)</f>
        <v>5.6</v>
      </c>
      <c r="H46">
        <f>VLOOKUP(A46,'Houses for sale'!$B$10:$I$671,8,FALSE)</f>
        <v>353</v>
      </c>
      <c r="I46">
        <f>VLOOKUP(A46,'House starts'!$A$12:$B$325,2,FALSE)</f>
        <v>1369</v>
      </c>
      <c r="J46">
        <f>VLOOKUP(A46,'New house sales'!$A$13:$C$324,3,FALSE)</f>
        <v>130000</v>
      </c>
      <c r="K46">
        <f>VLOOKUP($A46,'Sreenath''s data'!$A$2:$F$313,3,FALSE)</f>
        <v>81.759</v>
      </c>
      <c r="L46">
        <f>VLOOKUP($A46,'Sreenath''s data'!$A$2:$F$313,4,FALSE)</f>
        <v>7289.4</v>
      </c>
      <c r="M46">
        <f>VLOOKUP($A46,'Sreenath''s data'!$A$2:$F$313,5,FALSE)</f>
        <v>99802</v>
      </c>
      <c r="N46">
        <f>VLOOKUP($A46,'Sreenath''s data'!$A$2:$F$313,6,FALSE)</f>
        <v>67.0728644672228</v>
      </c>
      <c r="O46">
        <f>VLOOKUP($A46,'Niteesh''s data'!$A$2:$I$313,3,FALSE)</f>
        <v>561.88000499999998</v>
      </c>
      <c r="P46">
        <f>VLOOKUP($A46,'Niteesh''s data'!$A$2:$I$313,4,FALSE)</f>
        <v>587.60998500000005</v>
      </c>
      <c r="Q46">
        <f>VLOOKUP($A46,'Niteesh''s data'!$A$2:$I$313,5,FALSE)</f>
        <v>561.01000999999997</v>
      </c>
      <c r="R46">
        <f>VLOOKUP($A46,'Niteesh''s data'!$A$2:$I$313,6,FALSE)</f>
        <v>584.40997300000004</v>
      </c>
      <c r="S46">
        <f>VLOOKUP($A46,'Niteesh''s data'!$A$2:$I$313,7,FALSE)</f>
        <v>584.40997300000004</v>
      </c>
      <c r="T46">
        <f>VLOOKUP($A46,'Niteesh''s data'!$A$2:$I$313,8,FALSE)</f>
        <v>7052830000</v>
      </c>
      <c r="U46" s="61">
        <f>VLOOKUP($A46,'Niteesh''s data'!$A$2:$I$313,9,FALSE)</f>
        <v>1.2E-2</v>
      </c>
      <c r="V46">
        <f>VLOOKUP(A46,'Existing home Sales'!$A$2:$C$324,3,FALSE)</f>
        <v>4.1100000000000003</v>
      </c>
      <c r="W46" s="8">
        <v>3</v>
      </c>
      <c r="X46">
        <f>IFERROR(VLOOKUP(A46,'Home Depot Gross Profit'!$A$1:$B$105,2,FALSE)/3,IF(W46=2,X45,X45))</f>
        <v>388.66666666666669</v>
      </c>
      <c r="Y46">
        <f>IFERROR(VLOOKUP(A46,'LOWE''S GROSS PROFIT'!$A$1:$B$105,2,FALSE)/3,IF(X46=2,Y45/3,Y45))</f>
        <v>164.79999999999998</v>
      </c>
      <c r="Z46" s="8">
        <v>7.62</v>
      </c>
      <c r="AA46">
        <v>5324</v>
      </c>
      <c r="AB46">
        <f>VLOOKUP(A46,'[1]Fed_Int (1)'!$A$2:$B$316,2,FALSE)</f>
        <v>5.8</v>
      </c>
      <c r="AC46" s="8">
        <v>8.9166670000000003</v>
      </c>
      <c r="AD46" s="8">
        <v>9.5277779999999996</v>
      </c>
      <c r="AE46" s="8">
        <v>8.555555</v>
      </c>
      <c r="AF46" s="8">
        <v>8.8611109999999993</v>
      </c>
      <c r="AG46" s="8">
        <v>5.8551890000000002</v>
      </c>
      <c r="AH46" s="8">
        <v>226977900</v>
      </c>
      <c r="AI46" s="8">
        <v>4.171875</v>
      </c>
      <c r="AJ46" s="8">
        <v>4.296875</v>
      </c>
      <c r="AK46" s="8">
        <v>3.703125</v>
      </c>
      <c r="AL46" s="8">
        <v>3.75</v>
      </c>
      <c r="AM46" s="8">
        <v>2.5713599999999999</v>
      </c>
      <c r="AN46" s="8">
        <v>140596000</v>
      </c>
    </row>
    <row r="47" spans="1:40" x14ac:dyDescent="0.35">
      <c r="A47" s="1">
        <v>34973</v>
      </c>
      <c r="B47" s="13">
        <f t="shared" si="0"/>
        <v>10</v>
      </c>
      <c r="C47" s="13">
        <f t="shared" si="1"/>
        <v>1995</v>
      </c>
      <c r="D47" s="2">
        <v>13932</v>
      </c>
      <c r="E47">
        <f>VLOOKUP(A47,PSR!$A$12:$B$721,2,FALSE)</f>
        <v>6.5</v>
      </c>
      <c r="F47">
        <f>VLOOKUP(A47,CCI_USA!$F$2:$H$317,3,FALSE)</f>
        <v>100.4049</v>
      </c>
      <c r="G47">
        <f>INDEX('BLS Data Series'!$A$11:$M$39,MATCH('UI Datathon Development'!C47,'BLS Data Series'!$A$13:$A$39,0)+2,MATCH('UI Datathon Development'!B47,'BLS Data Series'!$B$11:$M$11,0)+1)</f>
        <v>5.5</v>
      </c>
      <c r="H47">
        <f>VLOOKUP(A47,'Houses for sale'!$B$10:$I$671,8,FALSE)</f>
        <v>359</v>
      </c>
      <c r="I47">
        <f>VLOOKUP(A47,'House starts'!$A$12:$B$325,2,FALSE)</f>
        <v>1369</v>
      </c>
      <c r="J47">
        <f>VLOOKUP(A47,'New house sales'!$A$13:$C$324,3,FALSE)</f>
        <v>135200</v>
      </c>
      <c r="K47">
        <f>VLOOKUP($A47,'Sreenath''s data'!$A$2:$F$313,3,FALSE)</f>
        <v>81.748999999999995</v>
      </c>
      <c r="L47">
        <f>VLOOKUP($A47,'Sreenath''s data'!$A$2:$F$313,4,FALSE)</f>
        <v>7297.7</v>
      </c>
      <c r="M47">
        <f>VLOOKUP($A47,'Sreenath''s data'!$A$2:$F$313,5,FALSE)</f>
        <v>100363</v>
      </c>
      <c r="N47">
        <f>VLOOKUP($A47,'Sreenath''s data'!$A$2:$F$313,6,FALSE)</f>
        <v>67.266046680550005</v>
      </c>
      <c r="O47">
        <f>VLOOKUP($A47,'Niteesh''s data'!$A$2:$I$313,3,FALSE)</f>
        <v>584.40997300000004</v>
      </c>
      <c r="P47">
        <f>VLOOKUP($A47,'Niteesh''s data'!$A$2:$I$313,4,FALSE)</f>
        <v>590.65997300000004</v>
      </c>
      <c r="Q47">
        <f>VLOOKUP($A47,'Niteesh''s data'!$A$2:$I$313,5,FALSE)</f>
        <v>571.54998799999998</v>
      </c>
      <c r="R47">
        <f>VLOOKUP($A47,'Niteesh''s data'!$A$2:$I$313,6,FALSE)</f>
        <v>581.5</v>
      </c>
      <c r="S47">
        <f>VLOOKUP($A47,'Niteesh''s data'!$A$2:$I$313,7,FALSE)</f>
        <v>581.5</v>
      </c>
      <c r="T47">
        <f>VLOOKUP($A47,'Niteesh''s data'!$A$2:$I$313,8,FALSE)</f>
        <v>8043320000</v>
      </c>
      <c r="U47" s="61">
        <f>VLOOKUP($A47,'Niteesh''s data'!$A$2:$I$313,9,FALSE)</f>
        <v>1.2E-2</v>
      </c>
      <c r="V47">
        <f>VLOOKUP(A47,'Existing home Sales'!$A$2:$C$324,3,FALSE)</f>
        <v>4.17</v>
      </c>
      <c r="W47" s="8">
        <v>1</v>
      </c>
      <c r="X47">
        <f>IFERROR(VLOOKUP(A47,'Home Depot Gross Profit'!$A$1:$B$105,2,FALSE)/3,IF(W47=2,X46,X46))</f>
        <v>374.66666666666669</v>
      </c>
      <c r="Y47">
        <f>IFERROR(VLOOKUP(A47,'LOWE''S GROSS PROFIT'!$A$1:$B$105,2,FALSE)/3,IF(X47=2,Y46/3,Y46))</f>
        <v>143.26666666666668</v>
      </c>
      <c r="Z47" s="8">
        <v>7.4749999999999996</v>
      </c>
      <c r="AA47">
        <v>5353</v>
      </c>
      <c r="AB47">
        <f>VLOOKUP(A47,'[1]Fed_Int (1)'!$A$2:$B$316,2,FALSE)</f>
        <v>5.76</v>
      </c>
      <c r="AC47" s="8">
        <v>8.8611109999999993</v>
      </c>
      <c r="AD47" s="8">
        <v>8.9166670000000003</v>
      </c>
      <c r="AE47" s="8">
        <v>8.1388890000000007</v>
      </c>
      <c r="AF47" s="8">
        <v>8.2777779999999996</v>
      </c>
      <c r="AG47" s="8">
        <v>5.4994360000000002</v>
      </c>
      <c r="AH47" s="8">
        <v>184975500</v>
      </c>
      <c r="AI47" s="8">
        <v>3.734375</v>
      </c>
      <c r="AJ47" s="8">
        <v>3.75</v>
      </c>
      <c r="AK47" s="8">
        <v>3.28125</v>
      </c>
      <c r="AL47" s="8">
        <v>3.375</v>
      </c>
      <c r="AM47" s="8">
        <v>2.3142230000000001</v>
      </c>
      <c r="AN47" s="8">
        <v>167383200</v>
      </c>
    </row>
    <row r="48" spans="1:40" x14ac:dyDescent="0.35">
      <c r="A48" s="1">
        <v>35004</v>
      </c>
      <c r="B48" s="13">
        <f t="shared" si="0"/>
        <v>11</v>
      </c>
      <c r="C48" s="13">
        <f t="shared" si="1"/>
        <v>1995</v>
      </c>
      <c r="D48" s="2">
        <v>14092</v>
      </c>
      <c r="E48">
        <f>VLOOKUP(A48,PSR!$A$12:$B$721,2,FALSE)</f>
        <v>6</v>
      </c>
      <c r="F48">
        <f>VLOOKUP(A48,CCI_USA!$F$2:$H$317,3,FALSE)</f>
        <v>100.3272</v>
      </c>
      <c r="G48">
        <f>INDEX('BLS Data Series'!$A$11:$M$39,MATCH('UI Datathon Development'!C48,'BLS Data Series'!$A$13:$A$39,0)+2,MATCH('UI Datathon Development'!B48,'BLS Data Series'!$B$11:$M$11,0)+1)</f>
        <v>5.6</v>
      </c>
      <c r="H48">
        <f>VLOOKUP(A48,'Houses for sale'!$B$10:$I$671,8,FALSE)</f>
        <v>366</v>
      </c>
      <c r="I48">
        <f>VLOOKUP(A48,'House starts'!$A$12:$B$325,2,FALSE)</f>
        <v>1452</v>
      </c>
      <c r="J48">
        <f>VLOOKUP(A48,'New house sales'!$A$13:$C$324,3,FALSE)</f>
        <v>137000</v>
      </c>
      <c r="K48">
        <f>VLOOKUP($A48,'Sreenath''s data'!$A$2:$F$313,3,FALSE)</f>
        <v>81.653999999999996</v>
      </c>
      <c r="L48">
        <f>VLOOKUP($A48,'Sreenath''s data'!$A$2:$F$313,4,FALSE)</f>
        <v>7317.5</v>
      </c>
      <c r="M48">
        <f>VLOOKUP($A48,'Sreenath''s data'!$A$2:$F$313,5,FALSE)</f>
        <v>100308</v>
      </c>
      <c r="N48">
        <f>VLOOKUP($A48,'Sreenath''s data'!$A$2:$F$313,6,FALSE)</f>
        <v>67.266046680550005</v>
      </c>
      <c r="O48">
        <f>VLOOKUP($A48,'Niteesh''s data'!$A$2:$I$313,3,FALSE)</f>
        <v>581.5</v>
      </c>
      <c r="P48">
        <f>VLOOKUP($A48,'Niteesh''s data'!$A$2:$I$313,4,FALSE)</f>
        <v>608.69000200000005</v>
      </c>
      <c r="Q48">
        <f>VLOOKUP($A48,'Niteesh''s data'!$A$2:$I$313,5,FALSE)</f>
        <v>581.03997800000002</v>
      </c>
      <c r="R48">
        <f>VLOOKUP($A48,'Niteesh''s data'!$A$2:$I$313,6,FALSE)</f>
        <v>605.36999500000002</v>
      </c>
      <c r="S48">
        <f>VLOOKUP($A48,'Niteesh''s data'!$A$2:$I$313,7,FALSE)</f>
        <v>605.36999500000002</v>
      </c>
      <c r="T48">
        <f>VLOOKUP($A48,'Niteesh''s data'!$A$2:$I$313,8,FALSE)</f>
        <v>7602150000</v>
      </c>
      <c r="U48" s="61">
        <f>VLOOKUP($A48,'Niteesh''s data'!$A$2:$I$313,9,FALSE)</f>
        <v>1.2E-2</v>
      </c>
      <c r="V48">
        <f>VLOOKUP(A48,'Existing home Sales'!$A$2:$C$324,3,FALSE)</f>
        <v>4.13</v>
      </c>
      <c r="W48" s="8">
        <v>2</v>
      </c>
      <c r="X48">
        <f>IFERROR(VLOOKUP(A48,'Home Depot Gross Profit'!$A$1:$B$105,2,FALSE)/3,IF(W48=2,X47,X47))</f>
        <v>374.66666666666669</v>
      </c>
      <c r="Y48">
        <f>IFERROR(VLOOKUP(A48,'LOWE''S GROSS PROFIT'!$A$1:$B$105,2,FALSE)/3,IF(X48=2,Y47/3,Y47))</f>
        <v>143.26666666666668</v>
      </c>
      <c r="Z48" s="8">
        <v>7.3599999999999897</v>
      </c>
      <c r="AA48">
        <v>5358</v>
      </c>
      <c r="AB48">
        <f>VLOOKUP(A48,'[1]Fed_Int (1)'!$A$2:$B$316,2,FALSE)</f>
        <v>5.8</v>
      </c>
      <c r="AC48" s="8">
        <v>8.2777779999999996</v>
      </c>
      <c r="AD48" s="8">
        <v>9.9722220000000004</v>
      </c>
      <c r="AE48" s="8">
        <v>8.2777779999999996</v>
      </c>
      <c r="AF48" s="8">
        <v>9.8611109999999993</v>
      </c>
      <c r="AG48" s="8">
        <v>6.5513409999999999</v>
      </c>
      <c r="AH48" s="8">
        <v>182068500</v>
      </c>
      <c r="AI48" s="8">
        <v>3.5</v>
      </c>
      <c r="AJ48" s="8">
        <v>4.125</v>
      </c>
      <c r="AK48" s="8">
        <v>3.484375</v>
      </c>
      <c r="AL48" s="8">
        <v>3.9375</v>
      </c>
      <c r="AM48" s="8">
        <v>2.7371989999999999</v>
      </c>
      <c r="AN48" s="8">
        <v>97781600</v>
      </c>
    </row>
    <row r="49" spans="1:40" x14ac:dyDescent="0.35">
      <c r="A49" s="1">
        <v>35034</v>
      </c>
      <c r="B49" s="13">
        <f t="shared" si="0"/>
        <v>12</v>
      </c>
      <c r="C49" s="13">
        <f t="shared" si="1"/>
        <v>1995</v>
      </c>
      <c r="D49" s="2">
        <v>14683</v>
      </c>
      <c r="E49">
        <f>VLOOKUP(A49,PSR!$A$12:$B$721,2,FALSE)</f>
        <v>5.5</v>
      </c>
      <c r="F49">
        <f>VLOOKUP(A49,CCI_USA!$F$2:$H$317,3,FALSE)</f>
        <v>100.35120000000001</v>
      </c>
      <c r="G49">
        <f>INDEX('BLS Data Series'!$A$11:$M$39,MATCH('UI Datathon Development'!C49,'BLS Data Series'!$A$13:$A$39,0)+2,MATCH('UI Datathon Development'!B49,'BLS Data Series'!$B$11:$M$11,0)+1)</f>
        <v>5.6</v>
      </c>
      <c r="H49">
        <f>VLOOKUP(A49,'Houses for sale'!$B$10:$I$671,8,FALSE)</f>
        <v>370</v>
      </c>
      <c r="I49">
        <f>VLOOKUP(A49,'House starts'!$A$12:$B$325,2,FALSE)</f>
        <v>1431</v>
      </c>
      <c r="J49">
        <f>VLOOKUP(A49,'New house sales'!$A$13:$C$324,3,FALSE)</f>
        <v>138600</v>
      </c>
      <c r="K49">
        <f>VLOOKUP($A49,'Sreenath''s data'!$A$2:$F$313,3,FALSE)</f>
        <v>81.536999999999907</v>
      </c>
      <c r="L49">
        <f>VLOOKUP($A49,'Sreenath''s data'!$A$2:$F$313,4,FALSE)</f>
        <v>7326.1</v>
      </c>
      <c r="M49">
        <f>VLOOKUP($A49,'Sreenath''s data'!$A$2:$F$313,5,FALSE)</f>
        <v>100417</v>
      </c>
      <c r="N49">
        <f>VLOOKUP($A49,'Sreenath''s data'!$A$2:$F$313,6,FALSE)</f>
        <v>67.304683123215497</v>
      </c>
      <c r="O49">
        <f>VLOOKUP($A49,'Niteesh''s data'!$A$2:$I$313,3,FALSE)</f>
        <v>605.36999500000002</v>
      </c>
      <c r="P49">
        <f>VLOOKUP($A49,'Niteesh''s data'!$A$2:$I$313,4,FALSE)</f>
        <v>622.88000499999998</v>
      </c>
      <c r="Q49">
        <f>VLOOKUP($A49,'Niteesh''s data'!$A$2:$I$313,5,FALSE)</f>
        <v>605.04998799999998</v>
      </c>
      <c r="R49">
        <f>VLOOKUP($A49,'Niteesh''s data'!$A$2:$I$313,6,FALSE)</f>
        <v>615.92999299999997</v>
      </c>
      <c r="S49">
        <f>VLOOKUP($A49,'Niteesh''s data'!$A$2:$I$313,7,FALSE)</f>
        <v>615.92999299999997</v>
      </c>
      <c r="T49">
        <f>VLOOKUP($A49,'Niteesh''s data'!$A$2:$I$313,8,FALSE)</f>
        <v>7697540000</v>
      </c>
      <c r="U49" s="61">
        <f>VLOOKUP($A49,'Niteesh''s data'!$A$2:$I$313,9,FALSE)</f>
        <v>1.1900000000000001E-2</v>
      </c>
      <c r="V49">
        <f>VLOOKUP(A49,'Existing home Sales'!$A$2:$C$324,3,FALSE)</f>
        <v>4.12</v>
      </c>
      <c r="W49" s="8">
        <v>3</v>
      </c>
      <c r="X49">
        <f>IFERROR(VLOOKUP(A49,'Home Depot Gross Profit'!$A$1:$B$105,2,FALSE)/3,IF(W49=2,X48,X48))</f>
        <v>374.66666666666669</v>
      </c>
      <c r="Y49">
        <f>IFERROR(VLOOKUP(A49,'LOWE''S GROSS PROFIT'!$A$1:$B$105,2,FALSE)/3,IF(X49=2,Y48/3,Y48))</f>
        <v>143.26666666666668</v>
      </c>
      <c r="Z49" s="8">
        <v>7.18</v>
      </c>
      <c r="AA49">
        <v>5344</v>
      </c>
      <c r="AB49">
        <f>VLOOKUP(A49,'[1]Fed_Int (1)'!$A$2:$B$316,2,FALSE)</f>
        <v>5.6</v>
      </c>
      <c r="AC49" s="8">
        <v>9.8888890000000007</v>
      </c>
      <c r="AD49" s="8">
        <v>10.666667</v>
      </c>
      <c r="AE49" s="8">
        <v>9.5277779999999996</v>
      </c>
      <c r="AF49" s="8">
        <v>10.611110999999999</v>
      </c>
      <c r="AG49" s="8">
        <v>7.0496109999999996</v>
      </c>
      <c r="AH49" s="8">
        <v>135652200</v>
      </c>
      <c r="AI49" s="8">
        <v>3.921875</v>
      </c>
      <c r="AJ49" s="8">
        <v>4.3125</v>
      </c>
      <c r="AK49" s="8">
        <v>3.765625</v>
      </c>
      <c r="AL49" s="8">
        <v>4.1875</v>
      </c>
      <c r="AM49" s="8">
        <v>2.91099</v>
      </c>
      <c r="AN49" s="8">
        <v>86392000</v>
      </c>
    </row>
    <row r="50" spans="1:40" x14ac:dyDescent="0.35">
      <c r="A50" s="1">
        <v>35065</v>
      </c>
      <c r="B50" s="13">
        <f t="shared" si="0"/>
        <v>1</v>
      </c>
      <c r="C50" s="13">
        <f t="shared" si="1"/>
        <v>1996</v>
      </c>
      <c r="D50" s="2">
        <v>14023</v>
      </c>
      <c r="E50">
        <f>VLOOKUP(A50,PSR!$A$12:$B$721,2,FALSE)</f>
        <v>6.1</v>
      </c>
      <c r="F50">
        <f>VLOOKUP(A50,CCI_USA!$F$2:$H$317,3,FALSE)</f>
        <v>100.36750000000001</v>
      </c>
      <c r="G50">
        <f>INDEX('BLS Data Series'!$A$11:$M$39,MATCH('UI Datathon Development'!C50,'BLS Data Series'!$A$13:$A$39,0)+2,MATCH('UI Datathon Development'!B50,'BLS Data Series'!$B$11:$M$11,0)+1)</f>
        <v>5.6</v>
      </c>
      <c r="H50">
        <f>VLOOKUP(A50,'Houses for sale'!$B$10:$I$671,8,FALSE)</f>
        <v>369</v>
      </c>
      <c r="I50">
        <f>VLOOKUP(A50,'House starts'!$A$12:$B$325,2,FALSE)</f>
        <v>1467</v>
      </c>
      <c r="J50">
        <f>VLOOKUP(A50,'New house sales'!$A$13:$C$324,3,FALSE)</f>
        <v>131900</v>
      </c>
      <c r="K50">
        <f>VLOOKUP($A50,'Sreenath''s data'!$A$2:$F$313,3,FALSE)</f>
        <v>81.450999999999993</v>
      </c>
      <c r="L50">
        <f>VLOOKUP($A50,'Sreenath''s data'!$A$2:$F$313,4,FALSE)</f>
        <v>6616.3</v>
      </c>
      <c r="M50">
        <f>VLOOKUP($A50,'Sreenath''s data'!$A$2:$F$313,5,FALSE)</f>
        <v>100415</v>
      </c>
      <c r="N50">
        <f>VLOOKUP($A50,'Sreenath''s data'!$A$2:$F$313,6,FALSE)</f>
        <v>67.806956877866398</v>
      </c>
      <c r="O50">
        <f>VLOOKUP($A50,'Niteesh''s data'!$A$2:$I$313,3,FALSE)</f>
        <v>615.92999299999997</v>
      </c>
      <c r="P50">
        <f>VLOOKUP($A50,'Niteesh''s data'!$A$2:$I$313,4,FALSE)</f>
        <v>636.17999299999997</v>
      </c>
      <c r="Q50">
        <f>VLOOKUP($A50,'Niteesh''s data'!$A$2:$I$313,5,FALSE)</f>
        <v>597.28997800000002</v>
      </c>
      <c r="R50">
        <f>VLOOKUP($A50,'Niteesh''s data'!$A$2:$I$313,6,FALSE)</f>
        <v>636.02002000000005</v>
      </c>
      <c r="S50">
        <f>VLOOKUP($A50,'Niteesh''s data'!$A$2:$I$313,7,FALSE)</f>
        <v>636.02002000000005</v>
      </c>
      <c r="T50">
        <f>VLOOKUP($A50,'Niteesh''s data'!$A$2:$I$313,8,FALSE)</f>
        <v>9188050000</v>
      </c>
      <c r="U50" s="61">
        <f>VLOOKUP($A50,'Niteesh''s data'!$A$2:$I$313,9,FALSE)</f>
        <v>1.18E-2</v>
      </c>
      <c r="V50">
        <f>VLOOKUP(A50,'Existing home Sales'!$A$2:$C$324,3,FALSE)</f>
        <v>4.0999999999999996</v>
      </c>
      <c r="W50" s="8">
        <v>1</v>
      </c>
      <c r="X50">
        <f>IFERROR(VLOOKUP(A50,'Home Depot Gross Profit'!$A$1:$B$105,2,FALSE)/3,IF(W50=2,X49,X49))</f>
        <v>380</v>
      </c>
      <c r="Y50">
        <f>IFERROR(VLOOKUP(A50,'LOWE''S GROSS PROFIT'!$A$1:$B$105,2,FALSE)/3,IF(X50=2,Y49/3,Y49))</f>
        <v>139.83333333333334</v>
      </c>
      <c r="Z50" s="8">
        <v>7.02</v>
      </c>
      <c r="AA50">
        <v>5355</v>
      </c>
      <c r="AB50">
        <f>VLOOKUP(A50,'[1]Fed_Int (1)'!$A$2:$B$316,2,FALSE)</f>
        <v>5.56</v>
      </c>
      <c r="AC50" s="8">
        <v>10.555555</v>
      </c>
      <c r="AD50" s="8">
        <v>10.555555</v>
      </c>
      <c r="AE50" s="8">
        <v>9.2222220000000004</v>
      </c>
      <c r="AF50" s="8">
        <v>10.222222</v>
      </c>
      <c r="AG50" s="8">
        <v>6.8603230000000002</v>
      </c>
      <c r="AH50" s="8">
        <v>161350200</v>
      </c>
      <c r="AI50" s="8">
        <v>4.203125</v>
      </c>
      <c r="AJ50" s="8">
        <v>4.359375</v>
      </c>
      <c r="AK50" s="8">
        <v>3.578125</v>
      </c>
      <c r="AL50" s="8">
        <v>3.890625</v>
      </c>
      <c r="AM50" s="8">
        <v>2.7046139999999999</v>
      </c>
      <c r="AN50" s="8">
        <v>118764000</v>
      </c>
    </row>
    <row r="51" spans="1:40" x14ac:dyDescent="0.35">
      <c r="A51" s="1">
        <v>35096</v>
      </c>
      <c r="B51" s="13">
        <f t="shared" si="0"/>
        <v>2</v>
      </c>
      <c r="C51" s="13">
        <f t="shared" si="1"/>
        <v>1996</v>
      </c>
      <c r="D51" s="2">
        <v>14036</v>
      </c>
      <c r="E51">
        <f>VLOOKUP(A51,PSR!$A$12:$B$721,2,FALSE)</f>
        <v>6.1</v>
      </c>
      <c r="F51">
        <f>VLOOKUP(A51,CCI_USA!$F$2:$H$317,3,FALSE)</f>
        <v>100.4385</v>
      </c>
      <c r="G51">
        <f>INDEX('BLS Data Series'!$A$11:$M$39,MATCH('UI Datathon Development'!C51,'BLS Data Series'!$A$13:$A$39,0)+2,MATCH('UI Datathon Development'!B51,'BLS Data Series'!$B$11:$M$11,0)+1)</f>
        <v>5.5</v>
      </c>
      <c r="H51">
        <f>VLOOKUP(A51,'Houses for sale'!$B$10:$I$671,8,FALSE)</f>
        <v>355</v>
      </c>
      <c r="I51">
        <f>VLOOKUP(A51,'House starts'!$A$12:$B$325,2,FALSE)</f>
        <v>1491</v>
      </c>
      <c r="J51">
        <f>VLOOKUP(A51,'New house sales'!$A$13:$C$324,3,FALSE)</f>
        <v>139400</v>
      </c>
      <c r="K51">
        <f>VLOOKUP($A51,'Sreenath''s data'!$A$2:$F$313,3,FALSE)</f>
        <v>81.423999999999893</v>
      </c>
      <c r="L51">
        <f>VLOOKUP($A51,'Sreenath''s data'!$A$2:$F$313,4,FALSE)</f>
        <v>6649.9</v>
      </c>
      <c r="M51">
        <f>VLOOKUP($A51,'Sreenath''s data'!$A$2:$F$313,5,FALSE)</f>
        <v>100417</v>
      </c>
      <c r="N51">
        <f>VLOOKUP($A51,'Sreenath''s data'!$A$2:$F$313,6,FALSE)</f>
        <v>68.116048419189994</v>
      </c>
      <c r="O51">
        <f>VLOOKUP($A51,'Niteesh''s data'!$A$2:$I$313,3,FALSE)</f>
        <v>636.02002000000005</v>
      </c>
      <c r="P51">
        <f>VLOOKUP($A51,'Niteesh''s data'!$A$2:$I$313,4,FALSE)</f>
        <v>664.22997999999995</v>
      </c>
      <c r="Q51">
        <f>VLOOKUP($A51,'Niteesh''s data'!$A$2:$I$313,5,FALSE)</f>
        <v>633.71002199999998</v>
      </c>
      <c r="R51">
        <f>VLOOKUP($A51,'Niteesh''s data'!$A$2:$I$313,6,FALSE)</f>
        <v>640.42999299999997</v>
      </c>
      <c r="S51">
        <f>VLOOKUP($A51,'Niteesh''s data'!$A$2:$I$313,7,FALSE)</f>
        <v>640.42999299999997</v>
      </c>
      <c r="T51">
        <f>VLOOKUP($A51,'Niteesh''s data'!$A$2:$I$313,8,FALSE)</f>
        <v>8749960000</v>
      </c>
      <c r="U51" s="61">
        <f>VLOOKUP($A51,'Niteesh''s data'!$A$2:$I$313,9,FALSE)</f>
        <v>1.17E-2</v>
      </c>
      <c r="V51">
        <f>VLOOKUP(A51,'Existing home Sales'!$A$2:$C$324,3,FALSE)</f>
        <v>4.0599999999999996</v>
      </c>
      <c r="W51" s="8">
        <v>2</v>
      </c>
      <c r="X51">
        <f>IFERROR(VLOOKUP(A51,'Home Depot Gross Profit'!$A$1:$B$105,2,FALSE)/3,IF(W51=2,X50,X50))</f>
        <v>380</v>
      </c>
      <c r="Y51">
        <f>IFERROR(VLOOKUP(A51,'LOWE''S GROSS PROFIT'!$A$1:$B$105,2,FALSE)/3,IF(X51=2,Y50/3,Y50))</f>
        <v>139.83333333333334</v>
      </c>
      <c r="Z51" s="8">
        <v>7.02</v>
      </c>
      <c r="AA51">
        <v>5415</v>
      </c>
      <c r="AB51">
        <f>VLOOKUP(A51,'[1]Fed_Int (1)'!$A$2:$B$316,2,FALSE)</f>
        <v>5.22</v>
      </c>
      <c r="AC51" s="8">
        <v>10.222222</v>
      </c>
      <c r="AD51" s="8">
        <v>10.666667</v>
      </c>
      <c r="AE51" s="8">
        <v>9.5</v>
      </c>
      <c r="AF51" s="8">
        <v>9.6111109999999993</v>
      </c>
      <c r="AG51" s="8">
        <v>6.450202</v>
      </c>
      <c r="AH51" s="8">
        <v>132092100</v>
      </c>
      <c r="AI51" s="8">
        <v>3.828125</v>
      </c>
      <c r="AJ51" s="8">
        <v>4.3125</v>
      </c>
      <c r="AK51" s="8">
        <v>3.734375</v>
      </c>
      <c r="AL51" s="8">
        <v>3.875</v>
      </c>
      <c r="AM51" s="8">
        <v>2.7294019999999999</v>
      </c>
      <c r="AN51" s="8">
        <v>94000800</v>
      </c>
    </row>
    <row r="52" spans="1:40" x14ac:dyDescent="0.35">
      <c r="A52" s="1">
        <v>35125</v>
      </c>
      <c r="B52" s="13">
        <f t="shared" si="0"/>
        <v>3</v>
      </c>
      <c r="C52" s="13">
        <f t="shared" si="1"/>
        <v>1996</v>
      </c>
      <c r="D52" s="2">
        <v>14153</v>
      </c>
      <c r="E52">
        <f>VLOOKUP(A52,PSR!$A$12:$B$721,2,FALSE)</f>
        <v>6</v>
      </c>
      <c r="F52">
        <f>VLOOKUP(A52,CCI_USA!$F$2:$H$317,3,FALSE)</f>
        <v>100.583</v>
      </c>
      <c r="G52">
        <f>INDEX('BLS Data Series'!$A$11:$M$39,MATCH('UI Datathon Development'!C52,'BLS Data Series'!$A$13:$A$39,0)+2,MATCH('UI Datathon Development'!B52,'BLS Data Series'!$B$11:$M$11,0)+1)</f>
        <v>5.5</v>
      </c>
      <c r="H52">
        <f>VLOOKUP(A52,'Houses for sale'!$B$10:$I$671,8,FALSE)</f>
        <v>368</v>
      </c>
      <c r="I52">
        <f>VLOOKUP(A52,'House starts'!$A$12:$B$325,2,FALSE)</f>
        <v>1424</v>
      </c>
      <c r="J52">
        <f>VLOOKUP(A52,'New house sales'!$A$13:$C$324,3,FALSE)</f>
        <v>137000</v>
      </c>
      <c r="K52">
        <f>VLOOKUP($A52,'Sreenath''s data'!$A$2:$F$313,3,FALSE)</f>
        <v>81.69</v>
      </c>
      <c r="L52">
        <f>VLOOKUP($A52,'Sreenath''s data'!$A$2:$F$313,4,FALSE)</f>
        <v>6659.6</v>
      </c>
      <c r="M52">
        <f>VLOOKUP($A52,'Sreenath''s data'!$A$2:$F$313,5,FALSE)</f>
        <v>100585</v>
      </c>
      <c r="N52">
        <f>VLOOKUP($A52,'Sreenath''s data'!$A$2:$F$313,6,FALSE)</f>
        <v>68.386503517848098</v>
      </c>
      <c r="O52">
        <f>VLOOKUP($A52,'Niteesh''s data'!$A$2:$I$313,3,FALSE)</f>
        <v>640.42999299999997</v>
      </c>
      <c r="P52">
        <f>VLOOKUP($A52,'Niteesh''s data'!$A$2:$I$313,4,FALSE)</f>
        <v>656.96997099999999</v>
      </c>
      <c r="Q52">
        <f>VLOOKUP($A52,'Niteesh''s data'!$A$2:$I$313,5,FALSE)</f>
        <v>627.63000499999998</v>
      </c>
      <c r="R52">
        <f>VLOOKUP($A52,'Niteesh''s data'!$A$2:$I$313,6,FALSE)</f>
        <v>645.5</v>
      </c>
      <c r="S52">
        <f>VLOOKUP($A52,'Niteesh''s data'!$A$2:$I$313,7,FALSE)</f>
        <v>645.5</v>
      </c>
      <c r="T52">
        <f>VLOOKUP($A52,'Niteesh''s data'!$A$2:$I$313,8,FALSE)</f>
        <v>8984200000</v>
      </c>
      <c r="U52" s="61">
        <f>VLOOKUP($A52,'Niteesh''s data'!$A$2:$I$313,9,FALSE)</f>
        <v>1.17E-2</v>
      </c>
      <c r="V52">
        <f>VLOOKUP(A52,'Existing home Sales'!$A$2:$C$324,3,FALSE)</f>
        <v>4.01</v>
      </c>
      <c r="W52" s="8">
        <v>3</v>
      </c>
      <c r="X52">
        <f>IFERROR(VLOOKUP(A52,'Home Depot Gross Profit'!$A$1:$B$105,2,FALSE)/3,IF(W52=2,X51,X51))</f>
        <v>380</v>
      </c>
      <c r="Y52">
        <f>IFERROR(VLOOKUP(A52,'LOWE''S GROSS PROFIT'!$A$1:$B$105,2,FALSE)/3,IF(X52=2,Y51/3,Y51))</f>
        <v>139.83333333333334</v>
      </c>
      <c r="Z52" s="8">
        <v>7.69</v>
      </c>
      <c r="AA52">
        <v>5446</v>
      </c>
      <c r="AB52">
        <f>VLOOKUP(A52,'[1]Fed_Int (1)'!$A$2:$B$316,2,FALSE)</f>
        <v>5.31</v>
      </c>
      <c r="AC52" s="8">
        <v>9.7777779999999996</v>
      </c>
      <c r="AD52" s="8">
        <v>11.194445</v>
      </c>
      <c r="AE52" s="8">
        <v>9.6111109999999993</v>
      </c>
      <c r="AF52" s="8">
        <v>10.611110999999999</v>
      </c>
      <c r="AG52" s="8">
        <v>7.1213170000000003</v>
      </c>
      <c r="AH52" s="8">
        <v>175554300</v>
      </c>
      <c r="AI52" s="8">
        <v>3.953125</v>
      </c>
      <c r="AJ52" s="8">
        <v>4.53125</v>
      </c>
      <c r="AK52" s="8">
        <v>3.9375</v>
      </c>
      <c r="AL52" s="8">
        <v>4.46875</v>
      </c>
      <c r="AM52" s="8">
        <v>3.1476160000000002</v>
      </c>
      <c r="AN52" s="8">
        <v>105384800</v>
      </c>
    </row>
    <row r="53" spans="1:40" x14ac:dyDescent="0.35">
      <c r="A53" s="1">
        <v>35156</v>
      </c>
      <c r="B53" s="13">
        <f t="shared" si="0"/>
        <v>4</v>
      </c>
      <c r="C53" s="13">
        <f t="shared" si="1"/>
        <v>1996</v>
      </c>
      <c r="D53" s="2">
        <v>14340</v>
      </c>
      <c r="E53">
        <f>VLOOKUP(A53,PSR!$A$12:$B$721,2,FALSE)</f>
        <v>5</v>
      </c>
      <c r="F53">
        <f>VLOOKUP(A53,CCI_USA!$F$2:$H$317,3,FALSE)</f>
        <v>100.6116</v>
      </c>
      <c r="G53">
        <f>INDEX('BLS Data Series'!$A$11:$M$39,MATCH('UI Datathon Development'!C53,'BLS Data Series'!$A$13:$A$39,0)+2,MATCH('UI Datathon Development'!B53,'BLS Data Series'!$B$11:$M$11,0)+1)</f>
        <v>5.6</v>
      </c>
      <c r="H53">
        <f>VLOOKUP(A53,'Houses for sale'!$B$10:$I$671,8,FALSE)</f>
        <v>368</v>
      </c>
      <c r="I53">
        <f>VLOOKUP(A53,'House starts'!$A$12:$B$325,2,FALSE)</f>
        <v>1516</v>
      </c>
      <c r="J53">
        <f>VLOOKUP(A53,'New house sales'!$A$13:$C$324,3,FALSE)</f>
        <v>140000</v>
      </c>
      <c r="K53">
        <f>VLOOKUP($A53,'Sreenath''s data'!$A$2:$F$313,3,FALSE)</f>
        <v>82.149000000000001</v>
      </c>
      <c r="L53">
        <f>VLOOKUP($A53,'Sreenath''s data'!$A$2:$F$313,4,FALSE)</f>
        <v>6679.4</v>
      </c>
      <c r="M53">
        <f>VLOOKUP($A53,'Sreenath''s data'!$A$2:$F$313,5,FALSE)</f>
        <v>100826</v>
      </c>
      <c r="N53">
        <f>VLOOKUP($A53,'Sreenath''s data'!$A$2:$F$313,6,FALSE)</f>
        <v>68.386503517848098</v>
      </c>
      <c r="O53">
        <f>VLOOKUP($A53,'Niteesh''s data'!$A$2:$I$313,3,FALSE)</f>
        <v>645.5</v>
      </c>
      <c r="P53">
        <f>VLOOKUP($A53,'Niteesh''s data'!$A$2:$I$313,4,FALSE)</f>
        <v>656.67999299999997</v>
      </c>
      <c r="Q53">
        <f>VLOOKUP($A53,'Niteesh''s data'!$A$2:$I$313,5,FALSE)</f>
        <v>624.14001499999995</v>
      </c>
      <c r="R53">
        <f>VLOOKUP($A53,'Niteesh''s data'!$A$2:$I$313,6,FALSE)</f>
        <v>654.169983</v>
      </c>
      <c r="S53">
        <f>VLOOKUP($A53,'Niteesh''s data'!$A$2:$I$313,7,FALSE)</f>
        <v>654.169983</v>
      </c>
      <c r="T53">
        <f>VLOOKUP($A53,'Niteesh''s data'!$A$2:$I$313,8,FALSE)</f>
        <v>8875580000</v>
      </c>
      <c r="U53" s="61">
        <f>VLOOKUP($A53,'Niteesh''s data'!$A$2:$I$313,9,FALSE)</f>
        <v>1.17E-2</v>
      </c>
      <c r="V53">
        <f>VLOOKUP(A53,'Existing home Sales'!$A$2:$C$324,3,FALSE)</f>
        <v>4.2</v>
      </c>
      <c r="W53" s="8">
        <v>1</v>
      </c>
      <c r="X53">
        <f>IFERROR(VLOOKUP(A53,'Home Depot Gross Profit'!$A$1:$B$105,2,FALSE)/3,IF(W53=2,X52,X52))</f>
        <v>424.33333333333331</v>
      </c>
      <c r="Y53">
        <f>IFERROR(VLOOKUP(A53,'LOWE''S GROSS PROFIT'!$A$1:$B$105,2,FALSE)/3,IF(X53=2,Y52/3,Y52))</f>
        <v>159.13333333333333</v>
      </c>
      <c r="Z53" s="8">
        <v>7.9349999999999996</v>
      </c>
      <c r="AA53">
        <v>5474</v>
      </c>
      <c r="AB53">
        <f>VLOOKUP(A53,'[1]Fed_Int (1)'!$A$2:$B$316,2,FALSE)</f>
        <v>5.22</v>
      </c>
      <c r="AC53" s="8">
        <v>10.666667</v>
      </c>
      <c r="AD53" s="8">
        <v>10.694445</v>
      </c>
      <c r="AE53" s="8">
        <v>9.444445</v>
      </c>
      <c r="AF53" s="8">
        <v>10.527778</v>
      </c>
      <c r="AG53" s="8">
        <v>7.0982019999999997</v>
      </c>
      <c r="AH53" s="8">
        <v>151975800</v>
      </c>
      <c r="AI53" s="8">
        <v>4.46875</v>
      </c>
      <c r="AJ53" s="8">
        <v>4.53125</v>
      </c>
      <c r="AK53" s="8">
        <v>3.671875</v>
      </c>
      <c r="AL53" s="8">
        <v>4.046875</v>
      </c>
      <c r="AM53" s="8">
        <v>2.8504640000000001</v>
      </c>
      <c r="AN53" s="8">
        <v>180614400</v>
      </c>
    </row>
    <row r="54" spans="1:40" x14ac:dyDescent="0.35">
      <c r="A54" s="1">
        <v>35186</v>
      </c>
      <c r="B54" s="13">
        <f t="shared" si="0"/>
        <v>5</v>
      </c>
      <c r="C54" s="13">
        <f t="shared" si="1"/>
        <v>1996</v>
      </c>
      <c r="D54" s="2">
        <v>14450</v>
      </c>
      <c r="E54">
        <f>VLOOKUP(A54,PSR!$A$12:$B$721,2,FALSE)</f>
        <v>6.1</v>
      </c>
      <c r="F54">
        <f>VLOOKUP(A54,CCI_USA!$F$2:$H$317,3,FALSE)</f>
        <v>100.59099999999999</v>
      </c>
      <c r="G54">
        <f>INDEX('BLS Data Series'!$A$11:$M$39,MATCH('UI Datathon Development'!C54,'BLS Data Series'!$A$13:$A$39,0)+2,MATCH('UI Datathon Development'!B54,'BLS Data Series'!$B$11:$M$11,0)+1)</f>
        <v>5.6</v>
      </c>
      <c r="H54">
        <f>VLOOKUP(A54,'Houses for sale'!$B$10:$I$671,8,FALSE)</f>
        <v>361</v>
      </c>
      <c r="I54">
        <f>VLOOKUP(A54,'House starts'!$A$12:$B$325,2,FALSE)</f>
        <v>1504</v>
      </c>
      <c r="J54">
        <f>VLOOKUP(A54,'New house sales'!$A$13:$C$324,3,FALSE)</f>
        <v>136500</v>
      </c>
      <c r="K54">
        <f>VLOOKUP($A54,'Sreenath''s data'!$A$2:$F$313,3,FALSE)</f>
        <v>82.626000000000005</v>
      </c>
      <c r="L54">
        <f>VLOOKUP($A54,'Sreenath''s data'!$A$2:$F$313,4,FALSE)</f>
        <v>6712.9</v>
      </c>
      <c r="M54">
        <f>VLOOKUP($A54,'Sreenath''s data'!$A$2:$F$313,5,FALSE)</f>
        <v>101157</v>
      </c>
      <c r="N54">
        <f>VLOOKUP($A54,'Sreenath''s data'!$A$2:$F$313,6,FALSE)</f>
        <v>68.386503517848098</v>
      </c>
      <c r="O54">
        <f>VLOOKUP($A54,'Niteesh''s data'!$A$2:$I$313,3,FALSE)</f>
        <v>654.169983</v>
      </c>
      <c r="P54">
        <f>VLOOKUP($A54,'Niteesh''s data'!$A$2:$I$313,4,FALSE)</f>
        <v>681.09997599999997</v>
      </c>
      <c r="Q54">
        <f>VLOOKUP($A54,'Niteesh''s data'!$A$2:$I$313,5,FALSE)</f>
        <v>630.07000700000003</v>
      </c>
      <c r="R54">
        <f>VLOOKUP($A54,'Niteesh''s data'!$A$2:$I$313,6,FALSE)</f>
        <v>669.11999500000002</v>
      </c>
      <c r="S54">
        <f>VLOOKUP($A54,'Niteesh''s data'!$A$2:$I$313,7,FALSE)</f>
        <v>669.11999500000002</v>
      </c>
      <c r="T54">
        <f>VLOOKUP($A54,'Niteesh''s data'!$A$2:$I$313,8,FALSE)</f>
        <v>8921140000</v>
      </c>
      <c r="U54" s="61">
        <f>VLOOKUP($A54,'Niteesh''s data'!$A$2:$I$313,9,FALSE)</f>
        <v>1.17E-2</v>
      </c>
      <c r="V54">
        <f>VLOOKUP(A54,'Existing home Sales'!$A$2:$C$324,3,FALSE)</f>
        <v>4.34</v>
      </c>
      <c r="W54" s="8">
        <v>2</v>
      </c>
      <c r="X54">
        <f>IFERROR(VLOOKUP(A54,'Home Depot Gross Profit'!$A$1:$B$105,2,FALSE)/3,IF(W54=2,X53,X53))</f>
        <v>424.33333333333331</v>
      </c>
      <c r="Y54">
        <f>IFERROR(VLOOKUP(A54,'LOWE''S GROSS PROFIT'!$A$1:$B$105,2,FALSE)/3,IF(X54=2,Y53/3,Y53))</f>
        <v>159.13333333333333</v>
      </c>
      <c r="Z54" s="8">
        <v>8.0299999999999994</v>
      </c>
      <c r="AA54">
        <v>5498</v>
      </c>
      <c r="AB54">
        <f>VLOOKUP(A54,'[1]Fed_Int (1)'!$A$2:$B$316,2,FALSE)</f>
        <v>5.24</v>
      </c>
      <c r="AC54" s="8">
        <v>10.472222</v>
      </c>
      <c r="AD54" s="8">
        <v>11.916667</v>
      </c>
      <c r="AE54" s="8">
        <v>10.111110999999999</v>
      </c>
      <c r="AF54" s="8">
        <v>11.361110999999999</v>
      </c>
      <c r="AG54" s="8">
        <v>7.6600630000000001</v>
      </c>
      <c r="AH54" s="8">
        <v>164260500</v>
      </c>
      <c r="AI54" s="8">
        <v>4.046875</v>
      </c>
      <c r="AJ54" s="8">
        <v>4.5</v>
      </c>
      <c r="AK54" s="8">
        <v>3.953125</v>
      </c>
      <c r="AL54" s="8">
        <v>4.28125</v>
      </c>
      <c r="AM54" s="8">
        <v>3.0521280000000002</v>
      </c>
      <c r="AN54" s="8">
        <v>129773600</v>
      </c>
    </row>
    <row r="55" spans="1:40" x14ac:dyDescent="0.35">
      <c r="A55" s="1">
        <v>35217</v>
      </c>
      <c r="B55" s="13">
        <f t="shared" si="0"/>
        <v>6</v>
      </c>
      <c r="C55" s="13">
        <f t="shared" si="1"/>
        <v>1996</v>
      </c>
      <c r="D55" s="2">
        <v>14902</v>
      </c>
      <c r="E55">
        <f>VLOOKUP(A55,PSR!$A$12:$B$721,2,FALSE)</f>
        <v>6.5</v>
      </c>
      <c r="F55">
        <f>VLOOKUP(A55,CCI_USA!$F$2:$H$317,3,FALSE)</f>
        <v>100.69880000000001</v>
      </c>
      <c r="G55">
        <f>INDEX('BLS Data Series'!$A$11:$M$39,MATCH('UI Datathon Development'!C55,'BLS Data Series'!$A$13:$A$39,0)+2,MATCH('UI Datathon Development'!B55,'BLS Data Series'!$B$11:$M$11,0)+1)</f>
        <v>5.3</v>
      </c>
      <c r="H55">
        <f>VLOOKUP(A55,'Houses for sale'!$B$10:$I$671,8,FALSE)</f>
        <v>355</v>
      </c>
      <c r="I55">
        <f>VLOOKUP(A55,'House starts'!$A$12:$B$325,2,FALSE)</f>
        <v>1467</v>
      </c>
      <c r="J55">
        <f>VLOOKUP(A55,'New house sales'!$A$13:$C$324,3,FALSE)</f>
        <v>140000</v>
      </c>
      <c r="K55">
        <f>VLOOKUP($A55,'Sreenath''s data'!$A$2:$F$313,3,FALSE)</f>
        <v>83.075000000000003</v>
      </c>
      <c r="L55">
        <f>VLOOKUP($A55,'Sreenath''s data'!$A$2:$F$313,4,FALSE)</f>
        <v>6741.7</v>
      </c>
      <c r="M55">
        <f>VLOOKUP($A55,'Sreenath''s data'!$A$2:$F$313,5,FALSE)</f>
        <v>101264</v>
      </c>
      <c r="N55">
        <f>VLOOKUP($A55,'Sreenath''s data'!$A$2:$F$313,6,FALSE)</f>
        <v>68.618322173840795</v>
      </c>
      <c r="O55">
        <f>VLOOKUP($A55,'Niteesh''s data'!$A$2:$I$313,3,FALSE)</f>
        <v>669.11999500000002</v>
      </c>
      <c r="P55">
        <f>VLOOKUP($A55,'Niteesh''s data'!$A$2:$I$313,4,FALSE)</f>
        <v>680.32000700000003</v>
      </c>
      <c r="Q55">
        <f>VLOOKUP($A55,'Niteesh''s data'!$A$2:$I$313,5,FALSE)</f>
        <v>658.75</v>
      </c>
      <c r="R55">
        <f>VLOOKUP($A55,'Niteesh''s data'!$A$2:$I$313,6,FALSE)</f>
        <v>670.63000499999998</v>
      </c>
      <c r="S55">
        <f>VLOOKUP($A55,'Niteesh''s data'!$A$2:$I$313,7,FALSE)</f>
        <v>670.63000499999998</v>
      </c>
      <c r="T55">
        <f>VLOOKUP($A55,'Niteesh''s data'!$A$2:$I$313,8,FALSE)</f>
        <v>7930840000</v>
      </c>
      <c r="U55" s="61">
        <f>VLOOKUP($A55,'Niteesh''s data'!$A$2:$I$313,9,FALSE)</f>
        <v>1.17E-2</v>
      </c>
      <c r="V55">
        <f>VLOOKUP(A55,'Existing home Sales'!$A$2:$C$324,3,FALSE)</f>
        <v>4.3099999999999996</v>
      </c>
      <c r="W55" s="8">
        <v>3</v>
      </c>
      <c r="X55">
        <f>IFERROR(VLOOKUP(A55,'Home Depot Gross Profit'!$A$1:$B$105,2,FALSE)/3,IF(W55=2,X54,X54))</f>
        <v>424.33333333333331</v>
      </c>
      <c r="Y55">
        <f>IFERROR(VLOOKUP(A55,'LOWE''S GROSS PROFIT'!$A$1:$B$105,2,FALSE)/3,IF(X55=2,Y54/3,Y54))</f>
        <v>159.13333333333333</v>
      </c>
      <c r="Z55" s="8">
        <v>8.3000000000000007</v>
      </c>
      <c r="AA55">
        <v>5534</v>
      </c>
      <c r="AB55">
        <f>VLOOKUP(A55,'[1]Fed_Int (1)'!$A$2:$B$316,2,FALSE)</f>
        <v>5.27</v>
      </c>
      <c r="AC55" s="8">
        <v>11.305555</v>
      </c>
      <c r="AD55" s="8">
        <v>12.694445</v>
      </c>
      <c r="AE55" s="8">
        <v>11.222222</v>
      </c>
      <c r="AF55" s="8">
        <v>12</v>
      </c>
      <c r="AG55" s="8">
        <v>8.0908309999999997</v>
      </c>
      <c r="AH55" s="8">
        <v>122949300</v>
      </c>
      <c r="AI55" s="8">
        <v>4.25</v>
      </c>
      <c r="AJ55" s="8">
        <v>4.875</v>
      </c>
      <c r="AK55" s="8">
        <v>4.21875</v>
      </c>
      <c r="AL55" s="8">
        <v>4.515625</v>
      </c>
      <c r="AM55" s="8">
        <v>3.2192150000000002</v>
      </c>
      <c r="AN55" s="8">
        <v>136488000</v>
      </c>
    </row>
    <row r="56" spans="1:40" x14ac:dyDescent="0.35">
      <c r="A56" s="1">
        <v>35247</v>
      </c>
      <c r="B56" s="13">
        <f t="shared" si="0"/>
        <v>7</v>
      </c>
      <c r="C56" s="13">
        <f t="shared" si="1"/>
        <v>1996</v>
      </c>
      <c r="D56" s="2">
        <v>14826</v>
      </c>
      <c r="E56">
        <f>VLOOKUP(A56,PSR!$A$12:$B$721,2,FALSE)</f>
        <v>6.1</v>
      </c>
      <c r="F56">
        <f>VLOOKUP(A56,CCI_USA!$F$2:$H$317,3,FALSE)</f>
        <v>100.8571</v>
      </c>
      <c r="G56">
        <f>INDEX('BLS Data Series'!$A$11:$M$39,MATCH('UI Datathon Development'!C56,'BLS Data Series'!$A$13:$A$39,0)+2,MATCH('UI Datathon Development'!B56,'BLS Data Series'!$B$11:$M$11,0)+1)</f>
        <v>5.5</v>
      </c>
      <c r="H56">
        <f>VLOOKUP(A56,'Houses for sale'!$B$10:$I$671,8,FALSE)</f>
        <v>350</v>
      </c>
      <c r="I56">
        <f>VLOOKUP(A56,'House starts'!$A$12:$B$325,2,FALSE)</f>
        <v>1472</v>
      </c>
      <c r="J56">
        <f>VLOOKUP(A56,'New house sales'!$A$13:$C$324,3,FALSE)</f>
        <v>144200</v>
      </c>
      <c r="K56">
        <f>VLOOKUP($A56,'Sreenath''s data'!$A$2:$F$313,3,FALSE)</f>
        <v>83.447000000000003</v>
      </c>
      <c r="L56">
        <f>VLOOKUP($A56,'Sreenath''s data'!$A$2:$F$313,4,FALSE)</f>
        <v>6736.8</v>
      </c>
      <c r="M56">
        <f>VLOOKUP($A56,'Sreenath''s data'!$A$2:$F$313,5,FALSE)</f>
        <v>101153</v>
      </c>
      <c r="N56">
        <f>VLOOKUP($A56,'Sreenath''s data'!$A$2:$F$313,6,FALSE)</f>
        <v>69.120595928491696</v>
      </c>
      <c r="O56">
        <f>VLOOKUP($A56,'Niteesh''s data'!$A$2:$I$313,3,FALSE)</f>
        <v>670.63000499999998</v>
      </c>
      <c r="P56">
        <f>VLOOKUP($A56,'Niteesh''s data'!$A$2:$I$313,4,FALSE)</f>
        <v>675.88000499999998</v>
      </c>
      <c r="Q56">
        <f>VLOOKUP($A56,'Niteesh''s data'!$A$2:$I$313,5,FALSE)</f>
        <v>605.88000499999998</v>
      </c>
      <c r="R56">
        <f>VLOOKUP($A56,'Niteesh''s data'!$A$2:$I$313,6,FALSE)</f>
        <v>639.95001200000002</v>
      </c>
      <c r="S56">
        <f>VLOOKUP($A56,'Niteesh''s data'!$A$2:$I$313,7,FALSE)</f>
        <v>639.95001200000002</v>
      </c>
      <c r="T56">
        <f>VLOOKUP($A56,'Niteesh''s data'!$A$2:$I$313,8,FALSE)</f>
        <v>8849860000</v>
      </c>
      <c r="U56" s="61">
        <f>VLOOKUP($A56,'Niteesh''s data'!$A$2:$I$313,9,FALSE)</f>
        <v>1.17E-2</v>
      </c>
      <c r="V56">
        <f>VLOOKUP(A56,'Existing home Sales'!$A$2:$C$324,3,FALSE)</f>
        <v>4.17</v>
      </c>
      <c r="W56" s="8">
        <v>1</v>
      </c>
      <c r="X56">
        <f>IFERROR(VLOOKUP(A56,'Home Depot Gross Profit'!$A$1:$B$105,2,FALSE)/3,IF(W56=2,X55,X55))</f>
        <v>497.66666666666669</v>
      </c>
      <c r="Y56">
        <f>IFERROR(VLOOKUP(A56,'LOWE''S GROSS PROFIT'!$A$1:$B$105,2,FALSE)/3,IF(X56=2,Y55/3,Y55))</f>
        <v>209.83333333333334</v>
      </c>
      <c r="Z56" s="8">
        <v>8.2100000000000009</v>
      </c>
      <c r="AA56">
        <v>5557</v>
      </c>
      <c r="AB56">
        <f>VLOOKUP(A56,'[1]Fed_Int (1)'!$A$2:$B$316,2,FALSE)</f>
        <v>5.4</v>
      </c>
      <c r="AC56" s="8">
        <v>12.027778</v>
      </c>
      <c r="AD56" s="8">
        <v>12.333333</v>
      </c>
      <c r="AE56" s="8">
        <v>10.666667</v>
      </c>
      <c r="AF56" s="8">
        <v>11.194445</v>
      </c>
      <c r="AG56" s="8">
        <v>7.5848319999999996</v>
      </c>
      <c r="AH56" s="8">
        <v>143290500</v>
      </c>
      <c r="AI56" s="8">
        <v>4.515625</v>
      </c>
      <c r="AJ56" s="8">
        <v>4.671875</v>
      </c>
      <c r="AK56" s="8">
        <v>3.578125</v>
      </c>
      <c r="AL56" s="8">
        <v>4.078125</v>
      </c>
      <c r="AM56" s="8">
        <v>2.9073190000000002</v>
      </c>
      <c r="AN56" s="8">
        <v>128085600</v>
      </c>
    </row>
    <row r="57" spans="1:40" x14ac:dyDescent="0.35">
      <c r="A57" s="1">
        <v>35278</v>
      </c>
      <c r="B57" s="13">
        <f t="shared" si="0"/>
        <v>8</v>
      </c>
      <c r="C57" s="13">
        <f t="shared" si="1"/>
        <v>1996</v>
      </c>
      <c r="D57" s="2">
        <v>14981</v>
      </c>
      <c r="E57">
        <f>VLOOKUP(A57,PSR!$A$12:$B$721,2,FALSE)</f>
        <v>5.9</v>
      </c>
      <c r="F57">
        <f>VLOOKUP(A57,CCI_USA!$F$2:$H$317,3,FALSE)</f>
        <v>100.9764</v>
      </c>
      <c r="G57">
        <f>INDEX('BLS Data Series'!$A$11:$M$39,MATCH('UI Datathon Development'!C57,'BLS Data Series'!$A$13:$A$39,0)+2,MATCH('UI Datathon Development'!B57,'BLS Data Series'!$B$11:$M$11,0)+1)</f>
        <v>5.0999999999999996</v>
      </c>
      <c r="H57">
        <f>VLOOKUP(A57,'Houses for sale'!$B$10:$I$671,8,FALSE)</f>
        <v>342</v>
      </c>
      <c r="I57">
        <f>VLOOKUP(A57,'House starts'!$A$12:$B$325,2,FALSE)</f>
        <v>1557</v>
      </c>
      <c r="J57">
        <f>VLOOKUP(A57,'New house sales'!$A$13:$C$324,3,FALSE)</f>
        <v>137000</v>
      </c>
      <c r="K57">
        <f>VLOOKUP($A57,'Sreenath''s data'!$A$2:$F$313,3,FALSE)</f>
        <v>83.674999999999997</v>
      </c>
      <c r="L57">
        <f>VLOOKUP($A57,'Sreenath''s data'!$A$2:$F$313,4,FALSE)</f>
        <v>6759.6</v>
      </c>
      <c r="M57">
        <f>VLOOKUP($A57,'Sreenath''s data'!$A$2:$F$313,5,FALSE)</f>
        <v>101076</v>
      </c>
      <c r="N57">
        <f>VLOOKUP($A57,'Sreenath''s data'!$A$2:$F$313,6,FALSE)</f>
        <v>69.275141699153494</v>
      </c>
      <c r="O57">
        <f>VLOOKUP($A57,'Niteesh''s data'!$A$2:$I$313,3,FALSE)</f>
        <v>639.95001200000002</v>
      </c>
      <c r="P57">
        <f>VLOOKUP($A57,'Niteesh''s data'!$A$2:$I$313,4,FALSE)</f>
        <v>670.67999299999997</v>
      </c>
      <c r="Q57">
        <f>VLOOKUP($A57,'Niteesh''s data'!$A$2:$I$313,5,FALSE)</f>
        <v>639.48999000000003</v>
      </c>
      <c r="R57">
        <f>VLOOKUP($A57,'Niteesh''s data'!$A$2:$I$313,6,FALSE)</f>
        <v>651.98999000000003</v>
      </c>
      <c r="S57">
        <f>VLOOKUP($A57,'Niteesh''s data'!$A$2:$I$313,7,FALSE)</f>
        <v>651.98999000000003</v>
      </c>
      <c r="T57">
        <f>VLOOKUP($A57,'Niteesh''s data'!$A$2:$I$313,8,FALSE)</f>
        <v>7380320000</v>
      </c>
      <c r="U57" s="61">
        <f>VLOOKUP($A57,'Niteesh''s data'!$A$2:$I$313,9,FALSE)</f>
        <v>1.18E-2</v>
      </c>
      <c r="V57">
        <f>VLOOKUP(A57,'Existing home Sales'!$A$2:$C$324,3,FALSE)</f>
        <v>4.24</v>
      </c>
      <c r="W57" s="8">
        <v>2</v>
      </c>
      <c r="X57">
        <f>IFERROR(VLOOKUP(A57,'Home Depot Gross Profit'!$A$1:$B$105,2,FALSE)/3,IF(W57=2,X56,X56))</f>
        <v>497.66666666666669</v>
      </c>
      <c r="Y57">
        <f>IFERROR(VLOOKUP(A57,'LOWE''S GROSS PROFIT'!$A$1:$B$105,2,FALSE)/3,IF(X57=2,Y56/3,Y56))</f>
        <v>209.83333333333334</v>
      </c>
      <c r="Z57" s="8">
        <v>7.93</v>
      </c>
      <c r="AA57">
        <v>5586</v>
      </c>
      <c r="AB57">
        <f>VLOOKUP(A57,'[1]Fed_Int (1)'!$A$2:$B$316,2,FALSE)</f>
        <v>5.22</v>
      </c>
      <c r="AC57" s="8">
        <v>11.222222</v>
      </c>
      <c r="AD57" s="8">
        <v>12.416667</v>
      </c>
      <c r="AE57" s="8">
        <v>11.166667</v>
      </c>
      <c r="AF57" s="8">
        <v>11.805555</v>
      </c>
      <c r="AG57" s="8">
        <v>7.9988950000000001</v>
      </c>
      <c r="AH57" s="8">
        <v>105199800</v>
      </c>
      <c r="AI57" s="8">
        <v>4.046875</v>
      </c>
      <c r="AJ57" s="8">
        <v>4.765625</v>
      </c>
      <c r="AK57" s="8">
        <v>4.046875</v>
      </c>
      <c r="AL57" s="8">
        <v>4.515625</v>
      </c>
      <c r="AM57" s="8">
        <v>3.2585649999999999</v>
      </c>
      <c r="AN57" s="8">
        <v>131269600</v>
      </c>
    </row>
    <row r="58" spans="1:40" x14ac:dyDescent="0.35">
      <c r="A58" s="1">
        <v>35309</v>
      </c>
      <c r="B58" s="13">
        <f t="shared" si="0"/>
        <v>9</v>
      </c>
      <c r="C58" s="13">
        <f t="shared" si="1"/>
        <v>1996</v>
      </c>
      <c r="D58" s="2">
        <v>14989</v>
      </c>
      <c r="E58">
        <f>VLOOKUP(A58,PSR!$A$12:$B$721,2,FALSE)</f>
        <v>6</v>
      </c>
      <c r="F58">
        <f>VLOOKUP(A58,CCI_USA!$F$2:$H$317,3,FALSE)</f>
        <v>101.0665</v>
      </c>
      <c r="G58">
        <f>INDEX('BLS Data Series'!$A$11:$M$39,MATCH('UI Datathon Development'!C58,'BLS Data Series'!$A$13:$A$39,0)+2,MATCH('UI Datathon Development'!B58,'BLS Data Series'!$B$11:$M$11,0)+1)</f>
        <v>5.2</v>
      </c>
      <c r="H58">
        <f>VLOOKUP(A58,'Houses for sale'!$B$10:$I$671,8,FALSE)</f>
        <v>330</v>
      </c>
      <c r="I58">
        <f>VLOOKUP(A58,'House starts'!$A$12:$B$325,2,FALSE)</f>
        <v>1475</v>
      </c>
      <c r="J58">
        <f>VLOOKUP(A58,'New house sales'!$A$13:$C$324,3,FALSE)</f>
        <v>139000</v>
      </c>
      <c r="K58">
        <f>VLOOKUP($A58,'Sreenath''s data'!$A$2:$F$313,3,FALSE)</f>
        <v>83.731999999999999</v>
      </c>
      <c r="L58">
        <f>VLOOKUP($A58,'Sreenath''s data'!$A$2:$F$313,4,FALSE)</f>
        <v>6725.8</v>
      </c>
      <c r="M58">
        <f>VLOOKUP($A58,'Sreenath''s data'!$A$2:$F$313,5,FALSE)</f>
        <v>101131</v>
      </c>
      <c r="N58">
        <f>VLOOKUP($A58,'Sreenath''s data'!$A$2:$F$313,6,FALSE)</f>
        <v>69.159232371157103</v>
      </c>
      <c r="O58">
        <f>VLOOKUP($A58,'Niteesh''s data'!$A$2:$I$313,3,FALSE)</f>
        <v>651.98999000000003</v>
      </c>
      <c r="P58">
        <f>VLOOKUP($A58,'Niteesh''s data'!$A$2:$I$313,4,FALSE)</f>
        <v>690.88000499999998</v>
      </c>
      <c r="Q58">
        <f>VLOOKUP($A58,'Niteesh''s data'!$A$2:$I$313,5,FALSE)</f>
        <v>643.96997099999999</v>
      </c>
      <c r="R58">
        <f>VLOOKUP($A58,'Niteesh''s data'!$A$2:$I$313,6,FALSE)</f>
        <v>687.330017</v>
      </c>
      <c r="S58">
        <f>VLOOKUP($A58,'Niteesh''s data'!$A$2:$I$313,7,FALSE)</f>
        <v>687.330017</v>
      </c>
      <c r="T58">
        <f>VLOOKUP($A58,'Niteesh''s data'!$A$2:$I$313,8,FALSE)</f>
        <v>8064070000</v>
      </c>
      <c r="U58" s="61">
        <f>VLOOKUP($A58,'Niteesh''s data'!$A$2:$I$313,9,FALSE)</f>
        <v>1.18E-2</v>
      </c>
      <c r="V58">
        <f>VLOOKUP(A58,'Existing home Sales'!$A$2:$C$324,3,FALSE)</f>
        <v>4.1900000000000004</v>
      </c>
      <c r="W58" s="8">
        <v>3</v>
      </c>
      <c r="X58">
        <f>IFERROR(VLOOKUP(A58,'Home Depot Gross Profit'!$A$1:$B$105,2,FALSE)/3,IF(W58=2,X57,X57))</f>
        <v>497.66666666666669</v>
      </c>
      <c r="Y58">
        <f>IFERROR(VLOOKUP(A58,'LOWE''S GROSS PROFIT'!$A$1:$B$105,2,FALSE)/3,IF(X58=2,Y57/3,Y57))</f>
        <v>209.83333333333334</v>
      </c>
      <c r="Z58" s="8">
        <v>8.21999999999999</v>
      </c>
      <c r="AA58">
        <v>5610</v>
      </c>
      <c r="AB58">
        <f>VLOOKUP(A58,'[1]Fed_Int (1)'!$A$2:$B$316,2,FALSE)</f>
        <v>5.3</v>
      </c>
      <c r="AC58" s="8">
        <v>11.555555</v>
      </c>
      <c r="AD58" s="8">
        <v>13.166667</v>
      </c>
      <c r="AE58" s="8">
        <v>11.527778</v>
      </c>
      <c r="AF58" s="8">
        <v>12.638889000000001</v>
      </c>
      <c r="AG58" s="8">
        <v>8.5635250000000003</v>
      </c>
      <c r="AH58" s="8">
        <v>100999800</v>
      </c>
      <c r="AI58" s="8">
        <v>4.3125</v>
      </c>
      <c r="AJ58" s="8">
        <v>5.328125</v>
      </c>
      <c r="AK58" s="8">
        <v>4.3125</v>
      </c>
      <c r="AL58" s="8">
        <v>5.109375</v>
      </c>
      <c r="AM58" s="8">
        <v>3.6870250000000002</v>
      </c>
      <c r="AN58" s="8">
        <v>148790400</v>
      </c>
    </row>
    <row r="59" spans="1:40" x14ac:dyDescent="0.35">
      <c r="A59" s="1">
        <v>35339</v>
      </c>
      <c r="B59" s="13">
        <f t="shared" si="0"/>
        <v>10</v>
      </c>
      <c r="C59" s="13">
        <f t="shared" si="1"/>
        <v>1996</v>
      </c>
      <c r="D59" s="2">
        <v>15040</v>
      </c>
      <c r="E59">
        <f>VLOOKUP(A59,PSR!$A$12:$B$721,2,FALSE)</f>
        <v>5.8</v>
      </c>
      <c r="F59">
        <f>VLOOKUP(A59,CCI_USA!$F$2:$H$317,3,FALSE)</f>
        <v>101.1878</v>
      </c>
      <c r="G59">
        <f>INDEX('BLS Data Series'!$A$11:$M$39,MATCH('UI Datathon Development'!C59,'BLS Data Series'!$A$13:$A$39,0)+2,MATCH('UI Datathon Development'!B59,'BLS Data Series'!$B$11:$M$11,0)+1)</f>
        <v>5.2</v>
      </c>
      <c r="H59">
        <f>VLOOKUP(A59,'Houses for sale'!$B$10:$I$671,8,FALSE)</f>
        <v>328</v>
      </c>
      <c r="I59">
        <f>VLOOKUP(A59,'House starts'!$A$12:$B$325,2,FALSE)</f>
        <v>1392</v>
      </c>
      <c r="J59">
        <f>VLOOKUP(A59,'New house sales'!$A$13:$C$324,3,FALSE)</f>
        <v>143800</v>
      </c>
      <c r="K59">
        <f>VLOOKUP($A59,'Sreenath''s data'!$A$2:$F$313,3,FALSE)</f>
        <v>83.657999999999902</v>
      </c>
      <c r="L59">
        <f>VLOOKUP($A59,'Sreenath''s data'!$A$2:$F$313,4,FALSE)</f>
        <v>6682.5</v>
      </c>
      <c r="M59">
        <f>VLOOKUP($A59,'Sreenath''s data'!$A$2:$F$313,5,FALSE)</f>
        <v>101230</v>
      </c>
      <c r="N59">
        <f>VLOOKUP($A59,'Sreenath''s data'!$A$2:$F$313,6,FALSE)</f>
        <v>69.313778141818901</v>
      </c>
      <c r="O59">
        <f>VLOOKUP($A59,'Niteesh''s data'!$A$2:$I$313,3,FALSE)</f>
        <v>687.30999799999995</v>
      </c>
      <c r="P59">
        <f>VLOOKUP($A59,'Niteesh''s data'!$A$2:$I$313,4,FALSE)</f>
        <v>714.09997599999997</v>
      </c>
      <c r="Q59">
        <f>VLOOKUP($A59,'Niteesh''s data'!$A$2:$I$313,5,FALSE)</f>
        <v>684.44000200000005</v>
      </c>
      <c r="R59">
        <f>VLOOKUP($A59,'Niteesh''s data'!$A$2:$I$313,6,FALSE)</f>
        <v>705.27002000000005</v>
      </c>
      <c r="S59">
        <f>VLOOKUP($A59,'Niteesh''s data'!$A$2:$I$313,7,FALSE)</f>
        <v>705.27002000000005</v>
      </c>
      <c r="T59">
        <f>VLOOKUP($A59,'Niteesh''s data'!$A$2:$I$313,8,FALSE)</f>
        <v>9703670000</v>
      </c>
      <c r="U59" s="61">
        <f>VLOOKUP($A59,'Niteesh''s data'!$A$2:$I$313,9,FALSE)</f>
        <v>1.17E-2</v>
      </c>
      <c r="V59">
        <f>VLOOKUP(A59,'Existing home Sales'!$A$2:$C$324,3,FALSE)</f>
        <v>4.12</v>
      </c>
      <c r="W59" s="8">
        <v>1</v>
      </c>
      <c r="X59">
        <f>IFERROR(VLOOKUP(A59,'Home Depot Gross Profit'!$A$1:$B$105,2,FALSE)/3,IF(W59=2,X58,X58))</f>
        <v>465.66666666666669</v>
      </c>
      <c r="Y59">
        <f>IFERROR(VLOOKUP(A59,'LOWE''S GROSS PROFIT'!$A$1:$B$105,2,FALSE)/3,IF(X59=2,Y58/3,Y58))</f>
        <v>188.70000000000002</v>
      </c>
      <c r="Z59" s="8">
        <v>7.87</v>
      </c>
      <c r="AA59">
        <v>5643</v>
      </c>
      <c r="AB59">
        <f>VLOOKUP(A59,'[1]Fed_Int (1)'!$A$2:$B$316,2,FALSE)</f>
        <v>5.24</v>
      </c>
      <c r="AC59" s="8">
        <v>12.75</v>
      </c>
      <c r="AD59" s="8">
        <v>13.222222</v>
      </c>
      <c r="AE59" s="8">
        <v>11.722222</v>
      </c>
      <c r="AF59" s="8">
        <v>12.194445</v>
      </c>
      <c r="AG59" s="8">
        <v>8.3031489999999994</v>
      </c>
      <c r="AH59" s="8">
        <v>115790400</v>
      </c>
      <c r="AI59" s="8">
        <v>5.140625</v>
      </c>
      <c r="AJ59" s="8">
        <v>5.4140629999999996</v>
      </c>
      <c r="AK59" s="8">
        <v>4.84375</v>
      </c>
      <c r="AL59" s="8">
        <v>5.015625</v>
      </c>
      <c r="AM59" s="8">
        <v>3.619373</v>
      </c>
      <c r="AN59" s="8">
        <v>78199200</v>
      </c>
    </row>
    <row r="60" spans="1:40" x14ac:dyDescent="0.35">
      <c r="A60" s="1">
        <v>35370</v>
      </c>
      <c r="B60" s="13">
        <f t="shared" si="0"/>
        <v>11</v>
      </c>
      <c r="C60" s="13">
        <f t="shared" si="1"/>
        <v>1996</v>
      </c>
      <c r="D60" s="2">
        <v>15264</v>
      </c>
      <c r="E60">
        <f>VLOOKUP(A60,PSR!$A$12:$B$721,2,FALSE)</f>
        <v>5.8</v>
      </c>
      <c r="F60">
        <f>VLOOKUP(A60,CCI_USA!$F$2:$H$317,3,FALSE)</f>
        <v>101.29089999999999</v>
      </c>
      <c r="G60">
        <f>INDEX('BLS Data Series'!$A$11:$M$39,MATCH('UI Datathon Development'!C60,'BLS Data Series'!$A$13:$A$39,0)+2,MATCH('UI Datathon Development'!B60,'BLS Data Series'!$B$11:$M$11,0)+1)</f>
        <v>5.4</v>
      </c>
      <c r="H60">
        <f>VLOOKUP(A60,'Houses for sale'!$B$10:$I$671,8,FALSE)</f>
        <v>330</v>
      </c>
      <c r="I60">
        <f>VLOOKUP(A60,'House starts'!$A$12:$B$325,2,FALSE)</f>
        <v>1489</v>
      </c>
      <c r="J60">
        <f>VLOOKUP(A60,'New house sales'!$A$13:$C$324,3,FALSE)</f>
        <v>143500</v>
      </c>
      <c r="K60">
        <f>VLOOKUP($A60,'Sreenath''s data'!$A$2:$F$313,3,FALSE)</f>
        <v>83.584999999999994</v>
      </c>
      <c r="L60">
        <f>VLOOKUP($A60,'Sreenath''s data'!$A$2:$F$313,4,FALSE)</f>
        <v>6685.9</v>
      </c>
      <c r="M60">
        <f>VLOOKUP($A60,'Sreenath''s data'!$A$2:$F$313,5,FALSE)</f>
        <v>101201</v>
      </c>
      <c r="N60">
        <f>VLOOKUP($A60,'Sreenath''s data'!$A$2:$F$313,6,FALSE)</f>
        <v>69.313778141818901</v>
      </c>
      <c r="O60">
        <f>VLOOKUP($A60,'Niteesh''s data'!$A$2:$I$313,3,FALSE)</f>
        <v>705.27002000000005</v>
      </c>
      <c r="P60">
        <f>VLOOKUP($A60,'Niteesh''s data'!$A$2:$I$313,4,FALSE)</f>
        <v>762.11999500000002</v>
      </c>
      <c r="Q60">
        <f>VLOOKUP($A60,'Niteesh''s data'!$A$2:$I$313,5,FALSE)</f>
        <v>701.29998799999998</v>
      </c>
      <c r="R60">
        <f>VLOOKUP($A60,'Niteesh''s data'!$A$2:$I$313,6,FALSE)</f>
        <v>757.02002000000005</v>
      </c>
      <c r="S60">
        <f>VLOOKUP($A60,'Niteesh''s data'!$A$2:$I$313,7,FALSE)</f>
        <v>757.02002000000005</v>
      </c>
      <c r="T60">
        <f>VLOOKUP($A60,'Niteesh''s data'!$A$2:$I$313,8,FALSE)</f>
        <v>8763850000</v>
      </c>
      <c r="U60" s="61">
        <f>VLOOKUP($A60,'Niteesh''s data'!$A$2:$I$313,9,FALSE)</f>
        <v>1.18E-2</v>
      </c>
      <c r="V60">
        <f>VLOOKUP(A60,'Existing home Sales'!$A$2:$C$324,3,FALSE)</f>
        <v>4.13</v>
      </c>
      <c r="W60" s="8">
        <v>2</v>
      </c>
      <c r="X60">
        <f>IFERROR(VLOOKUP(A60,'Home Depot Gross Profit'!$A$1:$B$105,2,FALSE)/3,IF(W60=2,X59,X59))</f>
        <v>465.66666666666669</v>
      </c>
      <c r="Y60">
        <f>IFERROR(VLOOKUP(A60,'LOWE''S GROSS PROFIT'!$A$1:$B$105,2,FALSE)/3,IF(X60=2,Y59/3,Y59))</f>
        <v>188.70000000000002</v>
      </c>
      <c r="Z60" s="8">
        <v>7.59</v>
      </c>
      <c r="AA60">
        <v>5668</v>
      </c>
      <c r="AB60">
        <f>VLOOKUP(A60,'[1]Fed_Int (1)'!$A$2:$B$316,2,FALSE)</f>
        <v>5.31</v>
      </c>
      <c r="AC60" s="8">
        <v>12.166667</v>
      </c>
      <c r="AD60" s="8">
        <v>12.722222</v>
      </c>
      <c r="AE60" s="8">
        <v>11.277778</v>
      </c>
      <c r="AF60" s="8">
        <v>11.583333</v>
      </c>
      <c r="AG60" s="8">
        <v>7.8870430000000002</v>
      </c>
      <c r="AH60" s="8">
        <v>177473100</v>
      </c>
      <c r="AI60" s="8">
        <v>5.03125</v>
      </c>
      <c r="AJ60" s="8">
        <v>5.4375</v>
      </c>
      <c r="AK60" s="8">
        <v>4.703125</v>
      </c>
      <c r="AL60" s="8">
        <v>5.078125</v>
      </c>
      <c r="AM60" s="8">
        <v>3.6995</v>
      </c>
      <c r="AN60" s="8">
        <v>134302400</v>
      </c>
    </row>
    <row r="61" spans="1:40" x14ac:dyDescent="0.35">
      <c r="A61" s="1">
        <v>35400</v>
      </c>
      <c r="B61" s="13">
        <f t="shared" si="0"/>
        <v>12</v>
      </c>
      <c r="C61" s="13">
        <f t="shared" si="1"/>
        <v>1996</v>
      </c>
      <c r="D61" s="2">
        <v>14980</v>
      </c>
      <c r="E61">
        <f>VLOOKUP(A61,PSR!$A$12:$B$721,2,FALSE)</f>
        <v>5.7</v>
      </c>
      <c r="F61">
        <f>VLOOKUP(A61,CCI_USA!$F$2:$H$317,3,FALSE)</f>
        <v>101.3061</v>
      </c>
      <c r="G61">
        <f>INDEX('BLS Data Series'!$A$11:$M$39,MATCH('UI Datathon Development'!C61,'BLS Data Series'!$A$13:$A$39,0)+2,MATCH('UI Datathon Development'!B61,'BLS Data Series'!$B$11:$M$11,0)+1)</f>
        <v>5.4</v>
      </c>
      <c r="H61">
        <f>VLOOKUP(A61,'Houses for sale'!$B$10:$I$671,8,FALSE)</f>
        <v>322</v>
      </c>
      <c r="I61">
        <f>VLOOKUP(A61,'House starts'!$A$12:$B$325,2,FALSE)</f>
        <v>1370</v>
      </c>
      <c r="J61">
        <f>VLOOKUP(A61,'New house sales'!$A$13:$C$324,3,FALSE)</f>
        <v>144900</v>
      </c>
      <c r="K61">
        <f>VLOOKUP($A61,'Sreenath''s data'!$A$2:$F$313,3,FALSE)</f>
        <v>83.517999999999901</v>
      </c>
      <c r="L61">
        <f>VLOOKUP($A61,'Sreenath''s data'!$A$2:$F$313,4,FALSE)</f>
        <v>6922.8</v>
      </c>
      <c r="M61">
        <f>VLOOKUP($A61,'Sreenath''s data'!$A$2:$F$313,5,FALSE)</f>
        <v>101361</v>
      </c>
      <c r="N61">
        <f>VLOOKUP($A61,'Sreenath''s data'!$A$2:$F$313,6,FALSE)</f>
        <v>69.275141699153494</v>
      </c>
      <c r="O61">
        <f>VLOOKUP($A61,'Niteesh''s data'!$A$2:$I$313,3,FALSE)</f>
        <v>757.02002000000005</v>
      </c>
      <c r="P61">
        <f>VLOOKUP($A61,'Niteesh''s data'!$A$2:$I$313,4,FALSE)</f>
        <v>761.75</v>
      </c>
      <c r="Q61">
        <f>VLOOKUP($A61,'Niteesh''s data'!$A$2:$I$313,5,FALSE)</f>
        <v>716.69000200000005</v>
      </c>
      <c r="R61">
        <f>VLOOKUP($A61,'Niteesh''s data'!$A$2:$I$313,6,FALSE)</f>
        <v>740.73999000000003</v>
      </c>
      <c r="S61">
        <f>VLOOKUP($A61,'Niteesh''s data'!$A$2:$I$313,7,FALSE)</f>
        <v>740.73999000000003</v>
      </c>
      <c r="T61">
        <f>VLOOKUP($A61,'Niteesh''s data'!$A$2:$I$313,8,FALSE)</f>
        <v>9089170000</v>
      </c>
      <c r="U61" s="61">
        <f>VLOOKUP($A61,'Niteesh''s data'!$A$2:$I$313,9,FALSE)</f>
        <v>1.1900000000000001E-2</v>
      </c>
      <c r="V61">
        <f>VLOOKUP(A61,'Existing home Sales'!$A$2:$C$324,3,FALSE)</f>
        <v>4.21</v>
      </c>
      <c r="W61" s="8">
        <v>3</v>
      </c>
      <c r="X61">
        <f>IFERROR(VLOOKUP(A61,'Home Depot Gross Profit'!$A$1:$B$105,2,FALSE)/3,IF(W61=2,X60,X60))</f>
        <v>465.66666666666669</v>
      </c>
      <c r="Y61">
        <f>IFERROR(VLOOKUP(A61,'LOWE''S GROSS PROFIT'!$A$1:$B$105,2,FALSE)/3,IF(X61=2,Y60/3,Y60))</f>
        <v>188.70000000000002</v>
      </c>
      <c r="Z61" s="8">
        <v>7.6050000000000004</v>
      </c>
      <c r="AA61">
        <v>5675</v>
      </c>
      <c r="AB61">
        <f>VLOOKUP(A61,'[1]Fed_Int (1)'!$A$2:$B$316,2,FALSE)</f>
        <v>5.29</v>
      </c>
      <c r="AC61" s="8">
        <v>11.722222</v>
      </c>
      <c r="AD61" s="8">
        <v>11.916667</v>
      </c>
      <c r="AE61" s="8">
        <v>10.722222</v>
      </c>
      <c r="AF61" s="8">
        <v>11.138889000000001</v>
      </c>
      <c r="AG61" s="8">
        <v>7.5844279999999999</v>
      </c>
      <c r="AH61" s="8">
        <v>151104600</v>
      </c>
      <c r="AI61" s="8">
        <v>5.078125</v>
      </c>
      <c r="AJ61" s="8">
        <v>5.15625</v>
      </c>
      <c r="AK61" s="8">
        <v>4.4375</v>
      </c>
      <c r="AL61" s="8">
        <v>4.453125</v>
      </c>
      <c r="AM61" s="8">
        <v>3.2441759999999999</v>
      </c>
      <c r="AN61" s="8">
        <v>66808800</v>
      </c>
    </row>
    <row r="62" spans="1:40" x14ac:dyDescent="0.35">
      <c r="A62" s="1">
        <v>35431</v>
      </c>
      <c r="B62" s="13">
        <f t="shared" si="0"/>
        <v>1</v>
      </c>
      <c r="C62" s="13">
        <f t="shared" si="1"/>
        <v>1997</v>
      </c>
      <c r="D62" s="2">
        <v>15197</v>
      </c>
      <c r="E62">
        <f>VLOOKUP(A62,PSR!$A$12:$B$721,2,FALSE)</f>
        <v>5.6</v>
      </c>
      <c r="F62">
        <f>VLOOKUP(A62,CCI_USA!$F$2:$H$317,3,FALSE)</f>
        <v>101.35639999999999</v>
      </c>
      <c r="G62">
        <f>INDEX('BLS Data Series'!$A$11:$M$39,MATCH('UI Datathon Development'!C62,'BLS Data Series'!$A$13:$A$39,0)+2,MATCH('UI Datathon Development'!B62,'BLS Data Series'!$B$11:$M$11,0)+1)</f>
        <v>5.3</v>
      </c>
      <c r="H62">
        <f>VLOOKUP(A62,'Houses for sale'!$B$10:$I$671,8,FALSE)</f>
        <v>308</v>
      </c>
      <c r="I62">
        <f>VLOOKUP(A62,'House starts'!$A$12:$B$325,2,FALSE)</f>
        <v>1355</v>
      </c>
      <c r="J62">
        <f>VLOOKUP(A62,'New house sales'!$A$13:$C$324,3,FALSE)</f>
        <v>145000</v>
      </c>
      <c r="K62">
        <f>VLOOKUP($A62,'Sreenath''s data'!$A$2:$F$313,3,FALSE)</f>
        <v>83.557000000000002</v>
      </c>
      <c r="L62">
        <f>VLOOKUP($A62,'Sreenath''s data'!$A$2:$F$313,4,FALSE)</f>
        <v>6793.6</v>
      </c>
      <c r="M62">
        <f>VLOOKUP($A62,'Sreenath''s data'!$A$2:$F$313,5,FALSE)</f>
        <v>101374</v>
      </c>
      <c r="N62">
        <f>VLOOKUP($A62,'Sreenath''s data'!$A$2:$F$313,6,FALSE)</f>
        <v>69.777415453804295</v>
      </c>
      <c r="O62">
        <f>VLOOKUP($A62,'Niteesh''s data'!$A$2:$I$313,3,FALSE)</f>
        <v>740.73999000000003</v>
      </c>
      <c r="P62">
        <f>VLOOKUP($A62,'Niteesh''s data'!$A$2:$I$313,4,FALSE)</f>
        <v>794.669983</v>
      </c>
      <c r="Q62">
        <f>VLOOKUP($A62,'Niteesh''s data'!$A$2:$I$313,5,FALSE)</f>
        <v>729.54998799999998</v>
      </c>
      <c r="R62">
        <f>VLOOKUP($A62,'Niteesh''s data'!$A$2:$I$313,6,FALSE)</f>
        <v>786.15997300000004</v>
      </c>
      <c r="S62">
        <f>VLOOKUP($A62,'Niteesh''s data'!$A$2:$I$313,7,FALSE)</f>
        <v>786.15997300000004</v>
      </c>
      <c r="T62">
        <f>VLOOKUP($A62,'Niteesh''s data'!$A$2:$I$313,8,FALSE)</f>
        <v>11635830000</v>
      </c>
      <c r="U62" s="61">
        <f>VLOOKUP($A62,'Niteesh''s data'!$A$2:$I$313,9,FALSE)</f>
        <v>1.2E-2</v>
      </c>
      <c r="V62">
        <f>VLOOKUP(A62,'Existing home Sales'!$A$2:$C$324,3,FALSE)</f>
        <v>4.17</v>
      </c>
      <c r="W62" s="8">
        <v>1</v>
      </c>
      <c r="X62">
        <f>IFERROR(VLOOKUP(A62,'Home Depot Gross Profit'!$A$1:$B$105,2,FALSE)/3,IF(W62=2,X61,X61))</f>
        <v>500.66666666666669</v>
      </c>
      <c r="Y62">
        <f>IFERROR(VLOOKUP(A62,'LOWE''S GROSS PROFIT'!$A$1:$B$105,2,FALSE)/3,IF(X62=2,Y61/3,Y61))</f>
        <v>184.13333333333333</v>
      </c>
      <c r="Z62" s="8">
        <v>7.85</v>
      </c>
      <c r="AA62">
        <v>5675</v>
      </c>
      <c r="AB62">
        <f>VLOOKUP(A62,'[1]Fed_Int (1)'!$A$2:$B$316,2,FALSE)</f>
        <v>5.25</v>
      </c>
      <c r="AC62" s="8">
        <v>11.166667</v>
      </c>
      <c r="AD62" s="8">
        <v>11.861110999999999</v>
      </c>
      <c r="AE62" s="8">
        <v>10.611110999999999</v>
      </c>
      <c r="AF62" s="8">
        <v>11</v>
      </c>
      <c r="AG62" s="8">
        <v>7.5282030000000004</v>
      </c>
      <c r="AH62" s="8">
        <v>219352500</v>
      </c>
      <c r="AI62" s="8">
        <v>4.484375</v>
      </c>
      <c r="AJ62" s="8">
        <v>4.5625</v>
      </c>
      <c r="AK62" s="8">
        <v>3.953125</v>
      </c>
      <c r="AL62" s="8">
        <v>4.140625</v>
      </c>
      <c r="AM62" s="8">
        <v>3.0165150000000001</v>
      </c>
      <c r="AN62" s="8">
        <v>168494400</v>
      </c>
    </row>
    <row r="63" spans="1:40" x14ac:dyDescent="0.35">
      <c r="A63" s="1">
        <v>35462</v>
      </c>
      <c r="B63" s="13">
        <f t="shared" si="0"/>
        <v>2</v>
      </c>
      <c r="C63" s="13">
        <f t="shared" si="1"/>
        <v>1997</v>
      </c>
      <c r="D63" s="2">
        <v>15561</v>
      </c>
      <c r="E63">
        <f>VLOOKUP(A63,PSR!$A$12:$B$721,2,FALSE)</f>
        <v>5.7</v>
      </c>
      <c r="F63">
        <f>VLOOKUP(A63,CCI_USA!$F$2:$H$317,3,FALSE)</f>
        <v>101.4734</v>
      </c>
      <c r="G63">
        <f>INDEX('BLS Data Series'!$A$11:$M$39,MATCH('UI Datathon Development'!C63,'BLS Data Series'!$A$13:$A$39,0)+2,MATCH('UI Datathon Development'!B63,'BLS Data Series'!$B$11:$M$11,0)+1)</f>
        <v>5.2</v>
      </c>
      <c r="H63">
        <f>VLOOKUP(A63,'Houses for sale'!$B$10:$I$671,8,FALSE)</f>
        <v>301</v>
      </c>
      <c r="I63">
        <f>VLOOKUP(A63,'House starts'!$A$12:$B$325,2,FALSE)</f>
        <v>1486</v>
      </c>
      <c r="J63">
        <f>VLOOKUP(A63,'New house sales'!$A$13:$C$324,3,FALSE)</f>
        <v>143000</v>
      </c>
      <c r="K63">
        <f>VLOOKUP($A63,'Sreenath''s data'!$A$2:$F$313,3,FALSE)</f>
        <v>83.620999999999995</v>
      </c>
      <c r="L63">
        <f>VLOOKUP($A63,'Sreenath''s data'!$A$2:$F$313,4,FALSE)</f>
        <v>6817.1</v>
      </c>
      <c r="M63">
        <f>VLOOKUP($A63,'Sreenath''s data'!$A$2:$F$313,5,FALSE)</f>
        <v>101825</v>
      </c>
      <c r="N63">
        <f>VLOOKUP($A63,'Sreenath''s data'!$A$2:$F$313,6,FALSE)</f>
        <v>70.163779880458804</v>
      </c>
      <c r="O63">
        <f>VLOOKUP($A63,'Niteesh''s data'!$A$2:$I$313,3,FALSE)</f>
        <v>786.15997300000004</v>
      </c>
      <c r="P63">
        <f>VLOOKUP($A63,'Niteesh''s data'!$A$2:$I$313,4,FALSE)</f>
        <v>817.67999299999997</v>
      </c>
      <c r="Q63">
        <f>VLOOKUP($A63,'Niteesh''s data'!$A$2:$I$313,5,FALSE)</f>
        <v>773.42999299999997</v>
      </c>
      <c r="R63">
        <f>VLOOKUP($A63,'Niteesh''s data'!$A$2:$I$313,6,FALSE)</f>
        <v>790.82000700000003</v>
      </c>
      <c r="S63">
        <f>VLOOKUP($A63,'Niteesh''s data'!$A$2:$I$313,7,FALSE)</f>
        <v>790.82000700000003</v>
      </c>
      <c r="T63">
        <f>VLOOKUP($A63,'Niteesh''s data'!$A$2:$I$313,8,FALSE)</f>
        <v>9715930000</v>
      </c>
      <c r="U63" s="61">
        <f>VLOOKUP($A63,'Niteesh''s data'!$A$2:$I$313,9,FALSE)</f>
        <v>1.2E-2</v>
      </c>
      <c r="V63">
        <f>VLOOKUP(A63,'Existing home Sales'!$A$2:$C$324,3,FALSE)</f>
        <v>4.26</v>
      </c>
      <c r="W63" s="8">
        <v>2</v>
      </c>
      <c r="X63">
        <f>IFERROR(VLOOKUP(A63,'Home Depot Gross Profit'!$A$1:$B$105,2,FALSE)/3,IF(W63=2,X62,X62))</f>
        <v>500.66666666666669</v>
      </c>
      <c r="Y63">
        <f>IFERROR(VLOOKUP(A63,'LOWE''S GROSS PROFIT'!$A$1:$B$105,2,FALSE)/3,IF(X63=2,Y62/3,Y62))</f>
        <v>184.13333333333333</v>
      </c>
      <c r="Z63" s="8">
        <v>7.65</v>
      </c>
      <c r="AA63">
        <v>5722</v>
      </c>
      <c r="AB63">
        <f>VLOOKUP(A63,'[1]Fed_Int (1)'!$A$2:$B$316,2,FALSE)</f>
        <v>5.19</v>
      </c>
      <c r="AC63" s="8">
        <v>11.055555</v>
      </c>
      <c r="AD63" s="8">
        <v>12.638889000000001</v>
      </c>
      <c r="AE63" s="8">
        <v>11</v>
      </c>
      <c r="AF63" s="8">
        <v>12.138889000000001</v>
      </c>
      <c r="AG63" s="8">
        <v>8.3076360000000005</v>
      </c>
      <c r="AH63" s="8">
        <v>240154500</v>
      </c>
      <c r="AI63" s="8">
        <v>4.15625</v>
      </c>
      <c r="AJ63" s="8">
        <v>4.734375</v>
      </c>
      <c r="AK63" s="8">
        <v>4.046875</v>
      </c>
      <c r="AL63" s="8">
        <v>4.5625</v>
      </c>
      <c r="AM63" s="8">
        <v>3.3645649999999998</v>
      </c>
      <c r="AN63" s="8">
        <v>136487200</v>
      </c>
    </row>
    <row r="64" spans="1:40" x14ac:dyDescent="0.35">
      <c r="A64" s="1">
        <v>35490</v>
      </c>
      <c r="B64" s="13">
        <f t="shared" si="0"/>
        <v>3</v>
      </c>
      <c r="C64" s="13">
        <f t="shared" si="1"/>
        <v>1997</v>
      </c>
      <c r="D64" s="2">
        <v>15862</v>
      </c>
      <c r="E64">
        <f>VLOOKUP(A64,PSR!$A$12:$B$721,2,FALSE)</f>
        <v>5.8</v>
      </c>
      <c r="F64">
        <f>VLOOKUP(A64,CCI_USA!$F$2:$H$317,3,FALSE)</f>
        <v>101.6052</v>
      </c>
      <c r="G64">
        <f>INDEX('BLS Data Series'!$A$11:$M$39,MATCH('UI Datathon Development'!C64,'BLS Data Series'!$A$13:$A$39,0)+2,MATCH('UI Datathon Development'!B64,'BLS Data Series'!$B$11:$M$11,0)+1)</f>
        <v>5.2</v>
      </c>
      <c r="H64">
        <f>VLOOKUP(A64,'Houses for sale'!$B$10:$I$671,8,FALSE)</f>
        <v>288</v>
      </c>
      <c r="I64">
        <f>VLOOKUP(A64,'House starts'!$A$12:$B$325,2,FALSE)</f>
        <v>1457</v>
      </c>
      <c r="J64">
        <f>VLOOKUP(A64,'New house sales'!$A$13:$C$324,3,FALSE)</f>
        <v>148000</v>
      </c>
      <c r="K64">
        <f>VLOOKUP($A64,'Sreenath''s data'!$A$2:$F$313,3,FALSE)</f>
        <v>83.936999999999998</v>
      </c>
      <c r="L64">
        <f>VLOOKUP($A64,'Sreenath''s data'!$A$2:$F$313,4,FALSE)</f>
        <v>6794.6</v>
      </c>
      <c r="M64">
        <f>VLOOKUP($A64,'Sreenath''s data'!$A$2:$F$313,5,FALSE)</f>
        <v>101905</v>
      </c>
      <c r="N64">
        <f>VLOOKUP($A64,'Sreenath''s data'!$A$2:$F$313,6,FALSE)</f>
        <v>70.434234979116994</v>
      </c>
      <c r="O64">
        <f>VLOOKUP($A64,'Niteesh''s data'!$A$2:$I$313,3,FALSE)</f>
        <v>790.82000700000003</v>
      </c>
      <c r="P64">
        <f>VLOOKUP($A64,'Niteesh''s data'!$A$2:$I$313,4,FALSE)</f>
        <v>814.90002400000003</v>
      </c>
      <c r="Q64">
        <f>VLOOKUP($A64,'Niteesh''s data'!$A$2:$I$313,5,FALSE)</f>
        <v>756.13000499999998</v>
      </c>
      <c r="R64">
        <f>VLOOKUP($A64,'Niteesh''s data'!$A$2:$I$313,6,FALSE)</f>
        <v>757.11999500000002</v>
      </c>
      <c r="S64">
        <f>VLOOKUP($A64,'Niteesh''s data'!$A$2:$I$313,7,FALSE)</f>
        <v>757.11999500000002</v>
      </c>
      <c r="T64">
        <f>VLOOKUP($A64,'Niteesh''s data'!$A$2:$I$313,8,FALSE)</f>
        <v>10120760000</v>
      </c>
      <c r="U64" s="61">
        <f>VLOOKUP($A64,'Niteesh''s data'!$A$2:$I$313,9,FALSE)</f>
        <v>1.2E-2</v>
      </c>
      <c r="V64">
        <f>VLOOKUP(A64,'Existing home Sales'!$A$2:$C$324,3,FALSE)</f>
        <v>4.28</v>
      </c>
      <c r="W64" s="8">
        <v>3</v>
      </c>
      <c r="X64">
        <f>IFERROR(VLOOKUP(A64,'Home Depot Gross Profit'!$A$1:$B$105,2,FALSE)/3,IF(W64=2,X63,X63))</f>
        <v>500.66666666666669</v>
      </c>
      <c r="Y64">
        <f>IFERROR(VLOOKUP(A64,'LOWE''S GROSS PROFIT'!$A$1:$B$105,2,FALSE)/3,IF(X64=2,Y63/3,Y63))</f>
        <v>184.13333333333333</v>
      </c>
      <c r="Z64" s="8">
        <v>7.89</v>
      </c>
      <c r="AA64">
        <v>5751</v>
      </c>
      <c r="AB64">
        <f>VLOOKUP(A64,'[1]Fed_Int (1)'!$A$2:$B$316,2,FALSE)</f>
        <v>5.39</v>
      </c>
      <c r="AC64" s="8">
        <v>12.027778</v>
      </c>
      <c r="AD64" s="8">
        <v>13.027778</v>
      </c>
      <c r="AE64" s="8">
        <v>11.833333</v>
      </c>
      <c r="AF64" s="8">
        <v>11.888889000000001</v>
      </c>
      <c r="AG64" s="8">
        <v>8.1365400000000001</v>
      </c>
      <c r="AH64" s="8">
        <v>133444200</v>
      </c>
      <c r="AI64" s="8">
        <v>4.53125</v>
      </c>
      <c r="AJ64" s="8">
        <v>5.03125</v>
      </c>
      <c r="AK64" s="8">
        <v>4.53125</v>
      </c>
      <c r="AL64" s="8">
        <v>4.671875</v>
      </c>
      <c r="AM64" s="8">
        <v>3.4452240000000001</v>
      </c>
      <c r="AN64" s="8">
        <v>88342400</v>
      </c>
    </row>
    <row r="65" spans="1:40" x14ac:dyDescent="0.35">
      <c r="A65" s="1">
        <v>35521</v>
      </c>
      <c r="B65" s="13">
        <f t="shared" si="0"/>
        <v>4</v>
      </c>
      <c r="C65" s="13">
        <f t="shared" si="1"/>
        <v>1997</v>
      </c>
      <c r="D65" s="2">
        <v>15709</v>
      </c>
      <c r="E65">
        <f>VLOOKUP(A65,PSR!$A$12:$B$721,2,FALSE)</f>
        <v>5.9</v>
      </c>
      <c r="F65">
        <f>VLOOKUP(A65,CCI_USA!$F$2:$H$317,3,FALSE)</f>
        <v>101.7688</v>
      </c>
      <c r="G65">
        <f>INDEX('BLS Data Series'!$A$11:$M$39,MATCH('UI Datathon Development'!C65,'BLS Data Series'!$A$13:$A$39,0)+2,MATCH('UI Datathon Development'!B65,'BLS Data Series'!$B$11:$M$11,0)+1)</f>
        <v>5.0999999999999996</v>
      </c>
      <c r="H65">
        <f>VLOOKUP(A65,'Houses for sale'!$B$10:$I$671,8,FALSE)</f>
        <v>290</v>
      </c>
      <c r="I65">
        <f>VLOOKUP(A65,'House starts'!$A$12:$B$325,2,FALSE)</f>
        <v>1492</v>
      </c>
      <c r="J65">
        <f>VLOOKUP(A65,'New house sales'!$A$13:$C$324,3,FALSE)</f>
        <v>150000</v>
      </c>
      <c r="K65">
        <f>VLOOKUP($A65,'Sreenath''s data'!$A$2:$F$313,3,FALSE)</f>
        <v>84.352000000000004</v>
      </c>
      <c r="L65">
        <f>VLOOKUP($A65,'Sreenath''s data'!$A$2:$F$313,4,FALSE)</f>
        <v>6825.9</v>
      </c>
      <c r="M65">
        <f>VLOOKUP($A65,'Sreenath''s data'!$A$2:$F$313,5,FALSE)</f>
        <v>101886</v>
      </c>
      <c r="N65">
        <f>VLOOKUP($A65,'Sreenath''s data'!$A$2:$F$313,6,FALSE)</f>
        <v>70.472871421782401</v>
      </c>
      <c r="O65">
        <f>VLOOKUP($A65,'Niteesh''s data'!$A$2:$I$313,3,FALSE)</f>
        <v>757.11999500000002</v>
      </c>
      <c r="P65">
        <f>VLOOKUP($A65,'Niteesh''s data'!$A$2:$I$313,4,FALSE)</f>
        <v>804.13000499999998</v>
      </c>
      <c r="Q65">
        <f>VLOOKUP($A65,'Niteesh''s data'!$A$2:$I$313,5,FALSE)</f>
        <v>733.53997800000002</v>
      </c>
      <c r="R65">
        <f>VLOOKUP($A65,'Niteesh''s data'!$A$2:$I$313,6,FALSE)</f>
        <v>801.34002699999996</v>
      </c>
      <c r="S65">
        <f>VLOOKUP($A65,'Niteesh''s data'!$A$2:$I$313,7,FALSE)</f>
        <v>801.34002699999996</v>
      </c>
      <c r="T65">
        <f>VLOOKUP($A65,'Niteesh''s data'!$A$2:$I$313,8,FALSE)</f>
        <v>10454880000</v>
      </c>
      <c r="U65" s="61">
        <f>VLOOKUP($A65,'Niteesh''s data'!$A$2:$I$313,9,FALSE)</f>
        <v>1.21E-2</v>
      </c>
      <c r="V65">
        <f>VLOOKUP(A65,'Existing home Sales'!$A$2:$C$324,3,FALSE)</f>
        <v>4.1900000000000004</v>
      </c>
      <c r="W65" s="8">
        <v>1</v>
      </c>
      <c r="X65">
        <f>IFERROR(VLOOKUP(A65,'Home Depot Gross Profit'!$A$1:$B$105,2,FALSE)/3,IF(W65=2,X64,X64))</f>
        <v>539.66666666666663</v>
      </c>
      <c r="Y65">
        <f>IFERROR(VLOOKUP(A65,'LOWE''S GROSS PROFIT'!$A$1:$B$105,2,FALSE)/3,IF(X65=2,Y64/3,Y64))</f>
        <v>207.9</v>
      </c>
      <c r="Z65" s="8">
        <v>8.1549999999999994</v>
      </c>
      <c r="AA65">
        <v>5764</v>
      </c>
      <c r="AB65">
        <f>VLOOKUP(A65,'[1]Fed_Int (1)'!$A$2:$B$316,2,FALSE)</f>
        <v>5.51</v>
      </c>
      <c r="AC65" s="8">
        <v>11.722222</v>
      </c>
      <c r="AD65" s="8">
        <v>12.972222</v>
      </c>
      <c r="AE65" s="8">
        <v>11.638889000000001</v>
      </c>
      <c r="AF65" s="8">
        <v>12.888889000000001</v>
      </c>
      <c r="AG65" s="8">
        <v>8.8630829999999996</v>
      </c>
      <c r="AH65" s="8">
        <v>119518200</v>
      </c>
      <c r="AI65" s="8">
        <v>4.65625</v>
      </c>
      <c r="AJ65" s="8">
        <v>4.984375</v>
      </c>
      <c r="AK65" s="8">
        <v>4.515625</v>
      </c>
      <c r="AL65" s="8">
        <v>4.75</v>
      </c>
      <c r="AM65" s="8">
        <v>3.502834</v>
      </c>
      <c r="AN65" s="8">
        <v>85034400</v>
      </c>
    </row>
    <row r="66" spans="1:40" x14ac:dyDescent="0.35">
      <c r="A66" s="1">
        <v>35551</v>
      </c>
      <c r="B66" s="13">
        <f t="shared" si="0"/>
        <v>5</v>
      </c>
      <c r="C66" s="13">
        <f t="shared" si="1"/>
        <v>1997</v>
      </c>
      <c r="D66" s="2">
        <v>15805</v>
      </c>
      <c r="E66">
        <f>VLOOKUP(A66,PSR!$A$12:$B$721,2,FALSE)</f>
        <v>6.2</v>
      </c>
      <c r="F66">
        <f>VLOOKUP(A66,CCI_USA!$F$2:$H$317,3,FALSE)</f>
        <v>101.95350000000001</v>
      </c>
      <c r="G66">
        <f>INDEX('BLS Data Series'!$A$11:$M$39,MATCH('UI Datathon Development'!C66,'BLS Data Series'!$A$13:$A$39,0)+2,MATCH('UI Datathon Development'!B66,'BLS Data Series'!$B$11:$M$11,0)+1)</f>
        <v>4.9000000000000004</v>
      </c>
      <c r="H66">
        <f>VLOOKUP(A66,'Houses for sale'!$B$10:$I$671,8,FALSE)</f>
        <v>287</v>
      </c>
      <c r="I66">
        <f>VLOOKUP(A66,'House starts'!$A$12:$B$325,2,FALSE)</f>
        <v>1442</v>
      </c>
      <c r="J66">
        <f>VLOOKUP(A66,'New house sales'!$A$13:$C$324,3,FALSE)</f>
        <v>141000</v>
      </c>
      <c r="K66">
        <f>VLOOKUP($A66,'Sreenath''s data'!$A$2:$F$313,3,FALSE)</f>
        <v>84.899000000000001</v>
      </c>
      <c r="L66">
        <f>VLOOKUP($A66,'Sreenath''s data'!$A$2:$F$313,4,FALSE)</f>
        <v>6814.5</v>
      </c>
      <c r="M66">
        <f>VLOOKUP($A66,'Sreenath''s data'!$A$2:$F$313,5,FALSE)</f>
        <v>102090</v>
      </c>
      <c r="N66">
        <f>VLOOKUP($A66,'Sreenath''s data'!$A$2:$F$313,6,FALSE)</f>
        <v>70.472871421782401</v>
      </c>
      <c r="O66">
        <f>VLOOKUP($A66,'Niteesh''s data'!$A$2:$I$313,3,FALSE)</f>
        <v>801.34002699999996</v>
      </c>
      <c r="P66">
        <f>VLOOKUP($A66,'Niteesh''s data'!$A$2:$I$313,4,FALSE)</f>
        <v>851.86999500000002</v>
      </c>
      <c r="Q66">
        <f>VLOOKUP($A66,'Niteesh''s data'!$A$2:$I$313,5,FALSE)</f>
        <v>793.21002199999998</v>
      </c>
      <c r="R66">
        <f>VLOOKUP($A66,'Niteesh''s data'!$A$2:$I$313,6,FALSE)</f>
        <v>848.28002900000001</v>
      </c>
      <c r="S66">
        <f>VLOOKUP($A66,'Niteesh''s data'!$A$2:$I$313,7,FALSE)</f>
        <v>848.28002900000001</v>
      </c>
      <c r="T66">
        <f>VLOOKUP($A66,'Niteesh''s data'!$A$2:$I$313,8,FALSE)</f>
        <v>10106650000</v>
      </c>
      <c r="U66" s="61">
        <f>VLOOKUP($A66,'Niteesh''s data'!$A$2:$I$313,9,FALSE)</f>
        <v>1.21E-2</v>
      </c>
      <c r="V66">
        <f>VLOOKUP(A66,'Existing home Sales'!$A$2:$C$324,3,FALSE)</f>
        <v>4.1900000000000004</v>
      </c>
      <c r="W66" s="8">
        <v>2</v>
      </c>
      <c r="X66">
        <f>IFERROR(VLOOKUP(A66,'Home Depot Gross Profit'!$A$1:$B$105,2,FALSE)/3,IF(W66=2,X65,X65))</f>
        <v>539.66666666666663</v>
      </c>
      <c r="Y66">
        <f>IFERROR(VLOOKUP(A66,'LOWE''S GROSS PROFIT'!$A$1:$B$105,2,FALSE)/3,IF(X66=2,Y65/3,Y65))</f>
        <v>207.9</v>
      </c>
      <c r="Z66" s="8">
        <v>7.94</v>
      </c>
      <c r="AA66">
        <v>5793</v>
      </c>
      <c r="AB66">
        <f>VLOOKUP(A66,'[1]Fed_Int (1)'!$A$2:$B$316,2,FALSE)</f>
        <v>5.5</v>
      </c>
      <c r="AC66" s="8">
        <v>12.888889000000001</v>
      </c>
      <c r="AD66" s="8">
        <v>14.138889000000001</v>
      </c>
      <c r="AE66" s="8">
        <v>12.666667</v>
      </c>
      <c r="AF66" s="8">
        <v>14.027778</v>
      </c>
      <c r="AG66" s="8">
        <v>9.6462439999999994</v>
      </c>
      <c r="AH66" s="8">
        <v>173334300</v>
      </c>
      <c r="AI66" s="8">
        <v>4.75</v>
      </c>
      <c r="AJ66" s="8">
        <v>4.9375</v>
      </c>
      <c r="AK66" s="8">
        <v>4.609375</v>
      </c>
      <c r="AL66" s="8">
        <v>4.921875</v>
      </c>
      <c r="AM66" s="8">
        <v>3.673727</v>
      </c>
      <c r="AN66" s="8">
        <v>83235200</v>
      </c>
    </row>
    <row r="67" spans="1:40" x14ac:dyDescent="0.35">
      <c r="A67" s="1">
        <v>35582</v>
      </c>
      <c r="B67" s="13">
        <f t="shared" ref="B67:B130" si="2">MONTH(A67)</f>
        <v>6</v>
      </c>
      <c r="C67" s="13">
        <f t="shared" ref="C67:C130" si="3">YEAR(A67)</f>
        <v>1997</v>
      </c>
      <c r="D67" s="2">
        <v>15918</v>
      </c>
      <c r="E67">
        <f>VLOOKUP(A67,PSR!$A$12:$B$721,2,FALSE)</f>
        <v>6</v>
      </c>
      <c r="F67">
        <f>VLOOKUP(A67,CCI_USA!$F$2:$H$317,3,FALSE)</f>
        <v>102.1219</v>
      </c>
      <c r="G67">
        <f>INDEX('BLS Data Series'!$A$11:$M$39,MATCH('UI Datathon Development'!C67,'BLS Data Series'!$A$13:$A$39,0)+2,MATCH('UI Datathon Development'!B67,'BLS Data Series'!$B$11:$M$11,0)+1)</f>
        <v>5</v>
      </c>
      <c r="H67">
        <f>VLOOKUP(A67,'Houses for sale'!$B$10:$I$671,8,FALSE)</f>
        <v>288</v>
      </c>
      <c r="I67">
        <f>VLOOKUP(A67,'House starts'!$A$12:$B$325,2,FALSE)</f>
        <v>1494</v>
      </c>
      <c r="J67">
        <f>VLOOKUP(A67,'New house sales'!$A$13:$C$324,3,FALSE)</f>
        <v>145000</v>
      </c>
      <c r="K67">
        <f>VLOOKUP($A67,'Sreenath''s data'!$A$2:$F$313,3,FALSE)</f>
        <v>85.432000000000002</v>
      </c>
      <c r="L67">
        <f>VLOOKUP($A67,'Sreenath''s data'!$A$2:$F$313,4,FALSE)</f>
        <v>6800.8</v>
      </c>
      <c r="M67">
        <f>VLOOKUP($A67,'Sreenath''s data'!$A$2:$F$313,5,FALSE)</f>
        <v>102162</v>
      </c>
      <c r="N67">
        <f>VLOOKUP($A67,'Sreenath''s data'!$A$2:$F$313,6,FALSE)</f>
        <v>70.743326520440604</v>
      </c>
      <c r="O67">
        <f>VLOOKUP($A67,'Niteesh''s data'!$A$2:$I$313,3,FALSE)</f>
        <v>848.28002900000001</v>
      </c>
      <c r="P67">
        <f>VLOOKUP($A67,'Niteesh''s data'!$A$2:$I$313,4,FALSE)</f>
        <v>902.09002699999996</v>
      </c>
      <c r="Q67">
        <f>VLOOKUP($A67,'Niteesh''s data'!$A$2:$I$313,5,FALSE)</f>
        <v>838.82000700000003</v>
      </c>
      <c r="R67">
        <f>VLOOKUP($A67,'Niteesh''s data'!$A$2:$I$313,6,FALSE)</f>
        <v>885.14001499999995</v>
      </c>
      <c r="S67">
        <f>VLOOKUP($A67,'Niteesh''s data'!$A$2:$I$313,7,FALSE)</f>
        <v>885.14001499999995</v>
      </c>
      <c r="T67">
        <f>VLOOKUP($A67,'Niteesh''s data'!$A$2:$I$313,8,FALSE)</f>
        <v>10857950000</v>
      </c>
      <c r="U67" s="61">
        <f>VLOOKUP($A67,'Niteesh''s data'!$A$2:$I$313,9,FALSE)</f>
        <v>1.21E-2</v>
      </c>
      <c r="V67">
        <f>VLOOKUP(A67,'Existing home Sales'!$A$2:$C$324,3,FALSE)</f>
        <v>4.32</v>
      </c>
      <c r="W67" s="8">
        <v>3</v>
      </c>
      <c r="X67">
        <f>IFERROR(VLOOKUP(A67,'Home Depot Gross Profit'!$A$1:$B$105,2,FALSE)/3,IF(W67=2,X66,X66))</f>
        <v>539.66666666666663</v>
      </c>
      <c r="Y67">
        <f>IFERROR(VLOOKUP(A67,'LOWE''S GROSS PROFIT'!$A$1:$B$105,2,FALSE)/3,IF(X67=2,Y66/3,Y66))</f>
        <v>207.9</v>
      </c>
      <c r="Z67" s="8">
        <v>7.665</v>
      </c>
      <c r="AA67">
        <v>5793</v>
      </c>
      <c r="AB67">
        <f>VLOOKUP(A67,'[1]Fed_Int (1)'!$A$2:$B$316,2,FALSE)</f>
        <v>5.56</v>
      </c>
      <c r="AC67" s="8">
        <v>14</v>
      </c>
      <c r="AD67" s="8">
        <v>15.555555</v>
      </c>
      <c r="AE67" s="8">
        <v>13.805555</v>
      </c>
      <c r="AF67" s="8">
        <v>15.333333</v>
      </c>
      <c r="AG67" s="8">
        <v>10.544008</v>
      </c>
      <c r="AH67" s="8">
        <v>134911200</v>
      </c>
      <c r="AI67" s="8">
        <v>4.953125</v>
      </c>
      <c r="AJ67" s="8">
        <v>4.984375</v>
      </c>
      <c r="AK67" s="8">
        <v>4.515625</v>
      </c>
      <c r="AL67" s="8">
        <v>4.640625</v>
      </c>
      <c r="AM67" s="8">
        <v>3.4637989999999999</v>
      </c>
      <c r="AN67" s="8">
        <v>123098400</v>
      </c>
    </row>
    <row r="68" spans="1:40" x14ac:dyDescent="0.35">
      <c r="A68" s="1">
        <v>35612</v>
      </c>
      <c r="B68" s="13">
        <f t="shared" si="2"/>
        <v>7</v>
      </c>
      <c r="C68" s="13">
        <f t="shared" si="3"/>
        <v>1997</v>
      </c>
      <c r="D68" s="2">
        <v>15973</v>
      </c>
      <c r="E68">
        <f>VLOOKUP(A68,PSR!$A$12:$B$721,2,FALSE)</f>
        <v>5.5</v>
      </c>
      <c r="F68">
        <f>VLOOKUP(A68,CCI_USA!$F$2:$H$317,3,FALSE)</f>
        <v>102.23520000000001</v>
      </c>
      <c r="G68">
        <f>INDEX('BLS Data Series'!$A$11:$M$39,MATCH('UI Datathon Development'!C68,'BLS Data Series'!$A$13:$A$39,0)+2,MATCH('UI Datathon Development'!B68,'BLS Data Series'!$B$11:$M$11,0)+1)</f>
        <v>4.9000000000000004</v>
      </c>
      <c r="H68">
        <f>VLOOKUP(A68,'Houses for sale'!$B$10:$I$671,8,FALSE)</f>
        <v>289</v>
      </c>
      <c r="I68">
        <f>VLOOKUP(A68,'House starts'!$A$12:$B$325,2,FALSE)</f>
        <v>1437</v>
      </c>
      <c r="J68">
        <f>VLOOKUP(A68,'New house sales'!$A$13:$C$324,3,FALSE)</f>
        <v>145900</v>
      </c>
      <c r="K68">
        <f>VLOOKUP($A68,'Sreenath''s data'!$A$2:$F$313,3,FALSE)</f>
        <v>85.875</v>
      </c>
      <c r="L68">
        <f>VLOOKUP($A68,'Sreenath''s data'!$A$2:$F$313,4,FALSE)</f>
        <v>6817.1</v>
      </c>
      <c r="M68">
        <f>VLOOKUP($A68,'Sreenath''s data'!$A$2:$F$313,5,FALSE)</f>
        <v>102249</v>
      </c>
      <c r="N68">
        <f>VLOOKUP($A68,'Sreenath''s data'!$A$2:$F$313,6,FALSE)</f>
        <v>71.129690947095099</v>
      </c>
      <c r="O68">
        <f>VLOOKUP($A68,'Niteesh''s data'!$A$2:$I$313,3,FALSE)</f>
        <v>885.14001499999995</v>
      </c>
      <c r="P68">
        <f>VLOOKUP($A68,'Niteesh''s data'!$A$2:$I$313,4,FALSE)</f>
        <v>957.72997999999995</v>
      </c>
      <c r="Q68">
        <f>VLOOKUP($A68,'Niteesh''s data'!$A$2:$I$313,5,FALSE)</f>
        <v>884.53997800000002</v>
      </c>
      <c r="R68">
        <f>VLOOKUP($A68,'Niteesh''s data'!$A$2:$I$313,6,FALSE)</f>
        <v>954.30999799999995</v>
      </c>
      <c r="S68">
        <f>VLOOKUP($A68,'Niteesh''s data'!$A$2:$I$313,7,FALSE)</f>
        <v>954.30999799999995</v>
      </c>
      <c r="T68">
        <f>VLOOKUP($A68,'Niteesh''s data'!$A$2:$I$313,8,FALSE)</f>
        <v>11958120000</v>
      </c>
      <c r="U68" s="61">
        <f>VLOOKUP($A68,'Niteesh''s data'!$A$2:$I$313,9,FALSE)</f>
        <v>1.21E-2</v>
      </c>
      <c r="V68">
        <f>VLOOKUP(A68,'Existing home Sales'!$A$2:$C$324,3,FALSE)</f>
        <v>4.25</v>
      </c>
      <c r="W68" s="8">
        <v>1</v>
      </c>
      <c r="X68">
        <f>IFERROR(VLOOKUP(A68,'Home Depot Gross Profit'!$A$1:$B$105,2,FALSE)/3,IF(W68=2,X67,X67))</f>
        <v>622.66666666666663</v>
      </c>
      <c r="Y68">
        <f>IFERROR(VLOOKUP(A68,'LOWE''S GROSS PROFIT'!$A$1:$B$105,2,FALSE)/3,IF(X68=2,Y67/3,Y67))</f>
        <v>243.73333333333335</v>
      </c>
      <c r="Z68" s="8">
        <v>7.47</v>
      </c>
      <c r="AA68">
        <v>5817</v>
      </c>
      <c r="AB68">
        <f>VLOOKUP(A68,'[1]Fed_Int (1)'!$A$2:$B$316,2,FALSE)</f>
        <v>5.52</v>
      </c>
      <c r="AC68" s="8">
        <v>15.333333</v>
      </c>
      <c r="AD68" s="8">
        <v>16.645834000000001</v>
      </c>
      <c r="AE68" s="8">
        <v>14.604167</v>
      </c>
      <c r="AF68" s="8">
        <v>16.604165999999999</v>
      </c>
      <c r="AG68" s="8">
        <v>11.477269</v>
      </c>
      <c r="AH68" s="8">
        <v>119939400</v>
      </c>
      <c r="AI68" s="8">
        <v>4.65625</v>
      </c>
      <c r="AJ68" s="8">
        <v>4.8984379999999996</v>
      </c>
      <c r="AK68" s="8">
        <v>4.2109379999999996</v>
      </c>
      <c r="AL68" s="8">
        <v>4.703125</v>
      </c>
      <c r="AM68" s="8">
        <v>3.5104500000000001</v>
      </c>
      <c r="AN68" s="8">
        <v>234283200</v>
      </c>
    </row>
    <row r="69" spans="1:40" x14ac:dyDescent="0.35">
      <c r="A69" s="1">
        <v>35643</v>
      </c>
      <c r="B69" s="13">
        <f t="shared" si="2"/>
        <v>8</v>
      </c>
      <c r="C69" s="13">
        <f t="shared" si="3"/>
        <v>1997</v>
      </c>
      <c r="D69" s="2">
        <v>16027</v>
      </c>
      <c r="E69">
        <f>VLOOKUP(A69,PSR!$A$12:$B$721,2,FALSE)</f>
        <v>5.4</v>
      </c>
      <c r="F69">
        <f>VLOOKUP(A69,CCI_USA!$F$2:$H$317,3,FALSE)</f>
        <v>102.23779999999999</v>
      </c>
      <c r="G69">
        <f>INDEX('BLS Data Series'!$A$11:$M$39,MATCH('UI Datathon Development'!C69,'BLS Data Series'!$A$13:$A$39,0)+2,MATCH('UI Datathon Development'!B69,'BLS Data Series'!$B$11:$M$11,0)+1)</f>
        <v>4.8</v>
      </c>
      <c r="H69">
        <f>VLOOKUP(A69,'Houses for sale'!$B$10:$I$671,8,FALSE)</f>
        <v>287</v>
      </c>
      <c r="I69">
        <f>VLOOKUP(A69,'House starts'!$A$12:$B$325,2,FALSE)</f>
        <v>1390</v>
      </c>
      <c r="J69">
        <f>VLOOKUP(A69,'New house sales'!$A$13:$C$324,3,FALSE)</f>
        <v>144000</v>
      </c>
      <c r="K69">
        <f>VLOOKUP($A69,'Sreenath''s data'!$A$2:$F$313,3,FALSE)</f>
        <v>86.182999999999893</v>
      </c>
      <c r="L69">
        <f>VLOOKUP($A69,'Sreenath''s data'!$A$2:$F$313,4,FALSE)</f>
        <v>6826.9</v>
      </c>
      <c r="M69">
        <f>VLOOKUP($A69,'Sreenath''s data'!$A$2:$F$313,5,FALSE)</f>
        <v>102371</v>
      </c>
      <c r="N69">
        <f>VLOOKUP($A69,'Sreenath''s data'!$A$2:$F$313,6,FALSE)</f>
        <v>71.361509603087796</v>
      </c>
      <c r="O69">
        <f>VLOOKUP($A69,'Niteesh''s data'!$A$2:$I$313,3,FALSE)</f>
        <v>954.28997800000002</v>
      </c>
      <c r="P69">
        <f>VLOOKUP($A69,'Niteesh''s data'!$A$2:$I$313,4,FALSE)</f>
        <v>964.169983</v>
      </c>
      <c r="Q69">
        <f>VLOOKUP($A69,'Niteesh''s data'!$A$2:$I$313,5,FALSE)</f>
        <v>893.34002699999996</v>
      </c>
      <c r="R69">
        <f>VLOOKUP($A69,'Niteesh''s data'!$A$2:$I$313,6,FALSE)</f>
        <v>899.46997099999999</v>
      </c>
      <c r="S69">
        <f>VLOOKUP($A69,'Niteesh''s data'!$A$2:$I$313,7,FALSE)</f>
        <v>899.46997099999999</v>
      </c>
      <c r="T69">
        <f>VLOOKUP($A69,'Niteesh''s data'!$A$2:$I$313,8,FALSE)</f>
        <v>10606100000</v>
      </c>
      <c r="U69" s="61">
        <f>VLOOKUP($A69,'Niteesh''s data'!$A$2:$I$313,9,FALSE)</f>
        <v>1.21E-2</v>
      </c>
      <c r="V69">
        <f>VLOOKUP(A69,'Existing home Sales'!$A$2:$C$324,3,FALSE)</f>
        <v>4.3</v>
      </c>
      <c r="W69" s="8">
        <v>2</v>
      </c>
      <c r="X69">
        <f>IFERROR(VLOOKUP(A69,'Home Depot Gross Profit'!$A$1:$B$105,2,FALSE)/3,IF(W69=2,X68,X68))</f>
        <v>622.66666666666663</v>
      </c>
      <c r="Y69">
        <f>IFERROR(VLOOKUP(A69,'LOWE''S GROSS PROFIT'!$A$1:$B$105,2,FALSE)/3,IF(X69=2,Y68/3,Y68))</f>
        <v>243.73333333333335</v>
      </c>
      <c r="Z69" s="8">
        <v>7.46</v>
      </c>
      <c r="AA69">
        <v>5846</v>
      </c>
      <c r="AB69">
        <f>VLOOKUP(A69,'[1]Fed_Int (1)'!$A$2:$B$316,2,FALSE)</f>
        <v>5.54</v>
      </c>
      <c r="AC69" s="8">
        <v>16.625</v>
      </c>
      <c r="AD69" s="8">
        <v>16.875</v>
      </c>
      <c r="AE69" s="8">
        <v>15.6875</v>
      </c>
      <c r="AF69" s="8">
        <v>15.729167</v>
      </c>
      <c r="AG69" s="8">
        <v>10.872449</v>
      </c>
      <c r="AH69" s="8">
        <v>106325700</v>
      </c>
      <c r="AI69" s="8">
        <v>4.6875</v>
      </c>
      <c r="AJ69" s="8">
        <v>4.7421879999999996</v>
      </c>
      <c r="AK69" s="8">
        <v>4.2421879999999996</v>
      </c>
      <c r="AL69" s="8">
        <v>4.3203129999999996</v>
      </c>
      <c r="AM69" s="8">
        <v>3.266915</v>
      </c>
      <c r="AN69" s="8">
        <v>165619200</v>
      </c>
    </row>
    <row r="70" spans="1:40" x14ac:dyDescent="0.35">
      <c r="A70" s="1">
        <v>35674</v>
      </c>
      <c r="B70" s="13">
        <f t="shared" si="2"/>
        <v>9</v>
      </c>
      <c r="C70" s="13">
        <f t="shared" si="3"/>
        <v>1997</v>
      </c>
      <c r="D70" s="2">
        <v>16283</v>
      </c>
      <c r="E70">
        <f>VLOOKUP(A70,PSR!$A$12:$B$721,2,FALSE)</f>
        <v>5.6</v>
      </c>
      <c r="F70">
        <f>VLOOKUP(A70,CCI_USA!$F$2:$H$317,3,FALSE)</f>
        <v>102.2486</v>
      </c>
      <c r="G70">
        <f>INDEX('BLS Data Series'!$A$11:$M$39,MATCH('UI Datathon Development'!C70,'BLS Data Series'!$A$13:$A$39,0)+2,MATCH('UI Datathon Development'!B70,'BLS Data Series'!$B$11:$M$11,0)+1)</f>
        <v>4.9000000000000004</v>
      </c>
      <c r="H70">
        <f>VLOOKUP(A70,'Houses for sale'!$B$10:$I$671,8,FALSE)</f>
        <v>284</v>
      </c>
      <c r="I70">
        <f>VLOOKUP(A70,'House starts'!$A$12:$B$325,2,FALSE)</f>
        <v>1546</v>
      </c>
      <c r="J70">
        <f>VLOOKUP(A70,'New house sales'!$A$13:$C$324,3,FALSE)</f>
        <v>146300</v>
      </c>
      <c r="K70">
        <f>VLOOKUP($A70,'Sreenath''s data'!$A$2:$F$313,3,FALSE)</f>
        <v>86.342999999999904</v>
      </c>
      <c r="L70">
        <f>VLOOKUP($A70,'Sreenath''s data'!$A$2:$F$313,4,FALSE)</f>
        <v>6809.3</v>
      </c>
      <c r="M70">
        <f>VLOOKUP($A70,'Sreenath''s data'!$A$2:$F$313,5,FALSE)</f>
        <v>102680</v>
      </c>
      <c r="N70">
        <f>VLOOKUP($A70,'Sreenath''s data'!$A$2:$F$313,6,FALSE)</f>
        <v>71.245600275091505</v>
      </c>
      <c r="O70">
        <f>VLOOKUP($A70,'Niteesh''s data'!$A$2:$I$313,3,FALSE)</f>
        <v>899.46997099999999</v>
      </c>
      <c r="P70">
        <f>VLOOKUP($A70,'Niteesh''s data'!$A$2:$I$313,4,FALSE)</f>
        <v>960.59002699999996</v>
      </c>
      <c r="Q70">
        <f>VLOOKUP($A70,'Niteesh''s data'!$A$2:$I$313,5,FALSE)</f>
        <v>899.46997099999999</v>
      </c>
      <c r="R70">
        <f>VLOOKUP($A70,'Niteesh''s data'!$A$2:$I$313,6,FALSE)</f>
        <v>947.28002900000001</v>
      </c>
      <c r="S70">
        <f>VLOOKUP($A70,'Niteesh''s data'!$A$2:$I$313,7,FALSE)</f>
        <v>947.28002900000001</v>
      </c>
      <c r="T70">
        <f>VLOOKUP($A70,'Niteesh''s data'!$A$2:$I$313,8,FALSE)</f>
        <v>11383000000</v>
      </c>
      <c r="U70" s="61">
        <f>VLOOKUP($A70,'Niteesh''s data'!$A$2:$I$313,9,FALSE)</f>
        <v>1.21E-2</v>
      </c>
      <c r="V70">
        <f>VLOOKUP(A70,'Existing home Sales'!$A$2:$C$324,3,FALSE)</f>
        <v>4.47</v>
      </c>
      <c r="W70" s="8">
        <v>3</v>
      </c>
      <c r="X70">
        <f>IFERROR(VLOOKUP(A70,'Home Depot Gross Profit'!$A$1:$B$105,2,FALSE)/3,IF(W70=2,X69,X69))</f>
        <v>622.66666666666663</v>
      </c>
      <c r="Y70">
        <f>IFERROR(VLOOKUP(A70,'LOWE''S GROSS PROFIT'!$A$1:$B$105,2,FALSE)/3,IF(X70=2,Y69/3,Y69))</f>
        <v>243.73333333333335</v>
      </c>
      <c r="Z70" s="8">
        <v>7.4550000000000001</v>
      </c>
      <c r="AA70">
        <v>5874</v>
      </c>
      <c r="AB70">
        <f>VLOOKUP(A70,'[1]Fed_Int (1)'!$A$2:$B$316,2,FALSE)</f>
        <v>5.54</v>
      </c>
      <c r="AC70" s="8">
        <v>15.8125</v>
      </c>
      <c r="AD70" s="8">
        <v>18.125</v>
      </c>
      <c r="AE70" s="8">
        <v>15.791667</v>
      </c>
      <c r="AF70" s="8">
        <v>17.375</v>
      </c>
      <c r="AG70" s="8">
        <v>12.010099</v>
      </c>
      <c r="AH70" s="8">
        <v>127059900</v>
      </c>
      <c r="AI70" s="8">
        <v>4.34375</v>
      </c>
      <c r="AJ70" s="8">
        <v>5.0390629999999996</v>
      </c>
      <c r="AK70" s="8">
        <v>4.3359379999999996</v>
      </c>
      <c r="AL70" s="8">
        <v>4.859375</v>
      </c>
      <c r="AM70" s="8">
        <v>3.6745410000000001</v>
      </c>
      <c r="AN70" s="8">
        <v>129276000</v>
      </c>
    </row>
    <row r="71" spans="1:40" x14ac:dyDescent="0.35">
      <c r="A71" s="1">
        <v>35704</v>
      </c>
      <c r="B71" s="13">
        <f t="shared" si="2"/>
        <v>10</v>
      </c>
      <c r="C71" s="13">
        <f t="shared" si="3"/>
        <v>1997</v>
      </c>
      <c r="D71" s="2">
        <v>16232</v>
      </c>
      <c r="E71">
        <f>VLOOKUP(A71,PSR!$A$12:$B$721,2,FALSE)</f>
        <v>5.6</v>
      </c>
      <c r="F71">
        <f>VLOOKUP(A71,CCI_USA!$F$2:$H$317,3,FALSE)</f>
        <v>102.2418</v>
      </c>
      <c r="G71">
        <f>INDEX('BLS Data Series'!$A$11:$M$39,MATCH('UI Datathon Development'!C71,'BLS Data Series'!$A$13:$A$39,0)+2,MATCH('UI Datathon Development'!B71,'BLS Data Series'!$B$11:$M$11,0)+1)</f>
        <v>4.7</v>
      </c>
      <c r="H71">
        <f>VLOOKUP(A71,'Houses for sale'!$B$10:$I$671,8,FALSE)</f>
        <v>284</v>
      </c>
      <c r="I71">
        <f>VLOOKUP(A71,'House starts'!$A$12:$B$325,2,FALSE)</f>
        <v>1520</v>
      </c>
      <c r="J71">
        <f>VLOOKUP(A71,'New house sales'!$A$13:$C$324,3,FALSE)</f>
        <v>141500</v>
      </c>
      <c r="K71">
        <f>VLOOKUP($A71,'Sreenath''s data'!$A$2:$F$313,3,FALSE)</f>
        <v>86.44</v>
      </c>
      <c r="L71">
        <f>VLOOKUP($A71,'Sreenath''s data'!$A$2:$F$313,4,FALSE)</f>
        <v>6772.6</v>
      </c>
      <c r="M71">
        <f>VLOOKUP($A71,'Sreenath''s data'!$A$2:$F$313,5,FALSE)</f>
        <v>102742</v>
      </c>
      <c r="N71">
        <f>VLOOKUP($A71,'Sreenath''s data'!$A$2:$F$313,6,FALSE)</f>
        <v>71.477418931084202</v>
      </c>
      <c r="O71">
        <f>VLOOKUP($A71,'Niteesh''s data'!$A$2:$I$313,3,FALSE)</f>
        <v>947.28002900000001</v>
      </c>
      <c r="P71">
        <f>VLOOKUP($A71,'Niteesh''s data'!$A$2:$I$313,4,FALSE)</f>
        <v>983.11999500000002</v>
      </c>
      <c r="Q71">
        <f>VLOOKUP($A71,'Niteesh''s data'!$A$2:$I$313,5,FALSE)</f>
        <v>855.27002000000005</v>
      </c>
      <c r="R71">
        <f>VLOOKUP($A71,'Niteesh''s data'!$A$2:$I$313,6,FALSE)</f>
        <v>914.61999500000002</v>
      </c>
      <c r="S71">
        <f>VLOOKUP($A71,'Niteesh''s data'!$A$2:$I$313,7,FALSE)</f>
        <v>914.61999500000002</v>
      </c>
      <c r="T71">
        <f>VLOOKUP($A71,'Niteesh''s data'!$A$2:$I$313,8,FALSE)</f>
        <v>14017260000</v>
      </c>
      <c r="U71" s="61">
        <f>VLOOKUP($A71,'Niteesh''s data'!$A$2:$I$313,9,FALSE)</f>
        <v>1.21E-2</v>
      </c>
      <c r="V71">
        <f>VLOOKUP(A71,'Existing home Sales'!$A$2:$C$324,3,FALSE)</f>
        <v>4.53</v>
      </c>
      <c r="W71" s="8">
        <v>1</v>
      </c>
      <c r="X71">
        <f>IFERROR(VLOOKUP(A71,'Home Depot Gross Profit'!$A$1:$B$105,2,FALSE)/3,IF(W71=2,X70,X70))</f>
        <v>599</v>
      </c>
      <c r="Y71">
        <f>IFERROR(VLOOKUP(A71,'LOWE''S GROSS PROFIT'!$A$1:$B$105,2,FALSE)/3,IF(X71=2,Y70/3,Y70))</f>
        <v>223.63333333333333</v>
      </c>
      <c r="Z71" s="8">
        <v>7.31</v>
      </c>
      <c r="AA71">
        <v>5883</v>
      </c>
      <c r="AB71">
        <f>VLOOKUP(A71,'[1]Fed_Int (1)'!$A$2:$B$316,2,FALSE)</f>
        <v>5.5</v>
      </c>
      <c r="AC71" s="8">
        <v>17.520834000000001</v>
      </c>
      <c r="AD71" s="8">
        <v>18.875</v>
      </c>
      <c r="AE71" s="8">
        <v>16.729165999999999</v>
      </c>
      <c r="AF71" s="8">
        <v>18.583334000000001</v>
      </c>
      <c r="AG71" s="8">
        <v>12.883864000000001</v>
      </c>
      <c r="AH71" s="8">
        <v>136966800</v>
      </c>
      <c r="AI71" s="8">
        <v>4.8515629999999996</v>
      </c>
      <c r="AJ71" s="8">
        <v>5.5390629999999996</v>
      </c>
      <c r="AK71" s="8">
        <v>4.6640629999999996</v>
      </c>
      <c r="AL71" s="8">
        <v>5.203125</v>
      </c>
      <c r="AM71" s="8">
        <v>3.9344739999999998</v>
      </c>
      <c r="AN71" s="8">
        <v>138674400</v>
      </c>
    </row>
    <row r="72" spans="1:40" x14ac:dyDescent="0.35">
      <c r="A72" s="1">
        <v>35735</v>
      </c>
      <c r="B72" s="13">
        <f t="shared" si="2"/>
        <v>11</v>
      </c>
      <c r="C72" s="13">
        <f t="shared" si="3"/>
        <v>1997</v>
      </c>
      <c r="D72" s="2">
        <v>16158</v>
      </c>
      <c r="E72">
        <f>VLOOKUP(A72,PSR!$A$12:$B$721,2,FALSE)</f>
        <v>5.8</v>
      </c>
      <c r="F72">
        <f>VLOOKUP(A72,CCI_USA!$F$2:$H$317,3,FALSE)</f>
        <v>102.2235</v>
      </c>
      <c r="G72">
        <f>INDEX('BLS Data Series'!$A$11:$M$39,MATCH('UI Datathon Development'!C72,'BLS Data Series'!$A$13:$A$39,0)+2,MATCH('UI Datathon Development'!B72,'BLS Data Series'!$B$11:$M$11,0)+1)</f>
        <v>4.5999999999999996</v>
      </c>
      <c r="H72">
        <f>VLOOKUP(A72,'Houses for sale'!$B$10:$I$671,8,FALSE)</f>
        <v>281</v>
      </c>
      <c r="I72">
        <f>VLOOKUP(A72,'House starts'!$A$12:$B$325,2,FALSE)</f>
        <v>1510</v>
      </c>
      <c r="J72">
        <f>VLOOKUP(A72,'New house sales'!$A$13:$C$324,3,FALSE)</f>
        <v>145000</v>
      </c>
      <c r="K72">
        <f>VLOOKUP($A72,'Sreenath''s data'!$A$2:$F$313,3,FALSE)</f>
        <v>86.664000000000001</v>
      </c>
      <c r="L72">
        <f>VLOOKUP($A72,'Sreenath''s data'!$A$2:$F$313,4,FALSE)</f>
        <v>6791.6</v>
      </c>
      <c r="M72">
        <f>VLOOKUP($A72,'Sreenath''s data'!$A$2:$F$313,5,FALSE)</f>
        <v>102739</v>
      </c>
      <c r="N72">
        <f>VLOOKUP($A72,'Sreenath''s data'!$A$2:$F$313,6,FALSE)</f>
        <v>71.477418931084202</v>
      </c>
      <c r="O72">
        <f>VLOOKUP($A72,'Niteesh''s data'!$A$2:$I$313,3,FALSE)</f>
        <v>914.61999500000002</v>
      </c>
      <c r="P72">
        <f>VLOOKUP($A72,'Niteesh''s data'!$A$2:$I$313,4,FALSE)</f>
        <v>964.54998799999998</v>
      </c>
      <c r="Q72">
        <f>VLOOKUP($A72,'Niteesh''s data'!$A$2:$I$313,5,FALSE)</f>
        <v>900.60998500000005</v>
      </c>
      <c r="R72">
        <f>VLOOKUP($A72,'Niteesh''s data'!$A$2:$I$313,6,FALSE)</f>
        <v>955.40002400000003</v>
      </c>
      <c r="S72">
        <f>VLOOKUP($A72,'Niteesh''s data'!$A$2:$I$313,7,FALSE)</f>
        <v>955.40002400000003</v>
      </c>
      <c r="T72">
        <f>VLOOKUP($A72,'Niteesh''s data'!$A$2:$I$313,8,FALSE)</f>
        <v>10173620000</v>
      </c>
      <c r="U72" s="61">
        <f>VLOOKUP($A72,'Niteesh''s data'!$A$2:$I$313,9,FALSE)</f>
        <v>1.2E-2</v>
      </c>
      <c r="V72">
        <f>VLOOKUP(A72,'Existing home Sales'!$A$2:$C$324,3,FALSE)</f>
        <v>4.6500000000000004</v>
      </c>
      <c r="W72" s="8">
        <v>2</v>
      </c>
      <c r="X72">
        <f>IFERROR(VLOOKUP(A72,'Home Depot Gross Profit'!$A$1:$B$105,2,FALSE)/3,IF(W72=2,X71,X71))</f>
        <v>599</v>
      </c>
      <c r="Y72">
        <f>IFERROR(VLOOKUP(A72,'LOWE''S GROSS PROFIT'!$A$1:$B$105,2,FALSE)/3,IF(X72=2,Y71/3,Y71))</f>
        <v>223.63333333333333</v>
      </c>
      <c r="Z72" s="8">
        <v>7.2050000000000001</v>
      </c>
      <c r="AA72">
        <v>5899</v>
      </c>
      <c r="AB72">
        <f>VLOOKUP(A72,'[1]Fed_Int (1)'!$A$2:$B$316,2,FALSE)</f>
        <v>5.52</v>
      </c>
      <c r="AC72" s="8">
        <v>19.166665999999999</v>
      </c>
      <c r="AD72" s="8">
        <v>19.354165999999999</v>
      </c>
      <c r="AE72" s="8">
        <v>17.875</v>
      </c>
      <c r="AF72" s="8">
        <v>18.6875</v>
      </c>
      <c r="AG72" s="8">
        <v>12.956087</v>
      </c>
      <c r="AH72" s="8">
        <v>93867000</v>
      </c>
      <c r="AI72" s="8">
        <v>5.28125</v>
      </c>
      <c r="AJ72" s="8">
        <v>6.125</v>
      </c>
      <c r="AK72" s="8">
        <v>5.1953129999999996</v>
      </c>
      <c r="AL72" s="8">
        <v>5.7421879999999996</v>
      </c>
      <c r="AM72" s="8">
        <v>4.3879619999999999</v>
      </c>
      <c r="AN72" s="8">
        <v>107518400</v>
      </c>
    </row>
    <row r="73" spans="1:40" x14ac:dyDescent="0.35">
      <c r="A73" s="1">
        <v>35765</v>
      </c>
      <c r="B73" s="13">
        <f t="shared" si="2"/>
        <v>12</v>
      </c>
      <c r="C73" s="13">
        <f t="shared" si="3"/>
        <v>1997</v>
      </c>
      <c r="D73" s="2">
        <v>16356</v>
      </c>
      <c r="E73">
        <f>VLOOKUP(A73,PSR!$A$12:$B$721,2,FALSE)</f>
        <v>5.8</v>
      </c>
      <c r="F73">
        <f>VLOOKUP(A73,CCI_USA!$F$2:$H$317,3,FALSE)</f>
        <v>102.1921</v>
      </c>
      <c r="G73">
        <f>INDEX('BLS Data Series'!$A$11:$M$39,MATCH('UI Datathon Development'!C73,'BLS Data Series'!$A$13:$A$39,0)+2,MATCH('UI Datathon Development'!B73,'BLS Data Series'!$B$11:$M$11,0)+1)</f>
        <v>4.7</v>
      </c>
      <c r="H73">
        <f>VLOOKUP(A73,'Houses for sale'!$B$10:$I$671,8,FALSE)</f>
        <v>281</v>
      </c>
      <c r="I73">
        <f>VLOOKUP(A73,'House starts'!$A$12:$B$325,2,FALSE)</f>
        <v>1566</v>
      </c>
      <c r="J73">
        <f>VLOOKUP(A73,'New house sales'!$A$13:$C$324,3,FALSE)</f>
        <v>145900</v>
      </c>
      <c r="K73">
        <f>VLOOKUP($A73,'Sreenath''s data'!$A$2:$F$313,3,FALSE)</f>
        <v>86.88</v>
      </c>
      <c r="L73">
        <f>VLOOKUP($A73,'Sreenath''s data'!$A$2:$F$313,4,FALSE)</f>
        <v>7023.2</v>
      </c>
      <c r="M73">
        <f>VLOOKUP($A73,'Sreenath''s data'!$A$2:$F$313,5,FALSE)</f>
        <v>102392</v>
      </c>
      <c r="N73">
        <f>VLOOKUP($A73,'Sreenath''s data'!$A$2:$F$313,6,FALSE)</f>
        <v>71.593328259080494</v>
      </c>
      <c r="O73">
        <f>VLOOKUP($A73,'Niteesh''s data'!$A$2:$I$313,3,FALSE)</f>
        <v>955.40002400000003</v>
      </c>
      <c r="P73">
        <f>VLOOKUP($A73,'Niteesh''s data'!$A$2:$I$313,4,FALSE)</f>
        <v>986.25</v>
      </c>
      <c r="Q73">
        <f>VLOOKUP($A73,'Niteesh''s data'!$A$2:$I$313,5,FALSE)</f>
        <v>924.919983</v>
      </c>
      <c r="R73">
        <f>VLOOKUP($A73,'Niteesh''s data'!$A$2:$I$313,6,FALSE)</f>
        <v>970.42999299999997</v>
      </c>
      <c r="S73">
        <f>VLOOKUP($A73,'Niteesh''s data'!$A$2:$I$313,7,FALSE)</f>
        <v>970.42999299999997</v>
      </c>
      <c r="T73">
        <f>VLOOKUP($A73,'Niteesh''s data'!$A$2:$I$313,8,FALSE)</f>
        <v>11958880000</v>
      </c>
      <c r="U73" s="61">
        <f>VLOOKUP($A73,'Niteesh''s data'!$A$2:$I$313,9,FALSE)</f>
        <v>1.2E-2</v>
      </c>
      <c r="V73">
        <f>VLOOKUP(A73,'Existing home Sales'!$A$2:$C$324,3,FALSE)</f>
        <v>4.57</v>
      </c>
      <c r="W73" s="8">
        <v>3</v>
      </c>
      <c r="X73">
        <f>IFERROR(VLOOKUP(A73,'Home Depot Gross Profit'!$A$1:$B$105,2,FALSE)/3,IF(W73=2,X72,X72))</f>
        <v>599</v>
      </c>
      <c r="Y73">
        <f>IFERROR(VLOOKUP(A73,'LOWE''S GROSS PROFIT'!$A$1:$B$105,2,FALSE)/3,IF(X73=2,Y72/3,Y72))</f>
        <v>223.63333333333333</v>
      </c>
      <c r="Z73" s="8">
        <v>7.11</v>
      </c>
      <c r="AA73">
        <v>5938</v>
      </c>
      <c r="AB73">
        <f>VLOOKUP(A73,'[1]Fed_Int (1)'!$A$2:$B$316,2,FALSE)</f>
        <v>5.5</v>
      </c>
      <c r="AC73" s="8">
        <v>18.9375</v>
      </c>
      <c r="AD73" s="8">
        <v>20.166665999999999</v>
      </c>
      <c r="AE73" s="8">
        <v>17.645834000000001</v>
      </c>
      <c r="AF73" s="8">
        <v>19.625</v>
      </c>
      <c r="AG73" s="8">
        <v>13.606052999999999</v>
      </c>
      <c r="AH73" s="8">
        <v>103974000</v>
      </c>
      <c r="AI73" s="8">
        <v>5.765625</v>
      </c>
      <c r="AJ73" s="8">
        <v>6.140625</v>
      </c>
      <c r="AK73" s="8">
        <v>5.59375</v>
      </c>
      <c r="AL73" s="8">
        <v>5.9609379999999996</v>
      </c>
      <c r="AM73" s="8">
        <v>4.5551240000000002</v>
      </c>
      <c r="AN73" s="8">
        <v>79477600</v>
      </c>
    </row>
    <row r="74" spans="1:40" x14ac:dyDescent="0.35">
      <c r="A74" s="1">
        <v>35796</v>
      </c>
      <c r="B74" s="13">
        <f t="shared" si="2"/>
        <v>1</v>
      </c>
      <c r="C74" s="13">
        <f t="shared" si="3"/>
        <v>1998</v>
      </c>
      <c r="D74" s="2">
        <v>16436</v>
      </c>
      <c r="E74">
        <f>VLOOKUP(A74,PSR!$A$12:$B$721,2,FALSE)</f>
        <v>6.7</v>
      </c>
      <c r="F74">
        <f>VLOOKUP(A74,CCI_USA!$F$2:$H$317,3,FALSE)</f>
        <v>102.3436</v>
      </c>
      <c r="G74">
        <f>INDEX('BLS Data Series'!$A$11:$M$39,MATCH('UI Datathon Development'!C74,'BLS Data Series'!$A$13:$A$39,0)+2,MATCH('UI Datathon Development'!B74,'BLS Data Series'!$B$11:$M$11,0)+1)</f>
        <v>4.5999999999999996</v>
      </c>
      <c r="H74">
        <f>VLOOKUP(A74,'Houses for sale'!$B$10:$I$671,8,FALSE)</f>
        <v>282</v>
      </c>
      <c r="I74">
        <f>VLOOKUP(A74,'House starts'!$A$12:$B$325,2,FALSE)</f>
        <v>1525</v>
      </c>
      <c r="J74">
        <f>VLOOKUP(A74,'New house sales'!$A$13:$C$324,3,FALSE)</f>
        <v>148000</v>
      </c>
      <c r="K74">
        <f>VLOOKUP($A74,'Sreenath''s data'!$A$2:$F$313,3,FALSE)</f>
        <v>87.195999999999998</v>
      </c>
      <c r="L74">
        <f>VLOOKUP($A74,'Sreenath''s data'!$A$2:$F$313,4,FALSE)</f>
        <v>6892.9</v>
      </c>
      <c r="M74">
        <f>VLOOKUP($A74,'Sreenath''s data'!$A$2:$F$313,5,FALSE)</f>
        <v>102875</v>
      </c>
      <c r="N74">
        <f>VLOOKUP($A74,'Sreenath''s data'!$A$2:$F$313,6,FALSE)</f>
        <v>72.056965571065902</v>
      </c>
      <c r="O74">
        <f>VLOOKUP($A74,'Niteesh''s data'!$A$2:$I$313,3,FALSE)</f>
        <v>970.42999299999997</v>
      </c>
      <c r="P74">
        <f>VLOOKUP($A74,'Niteesh''s data'!$A$2:$I$313,4,FALSE)</f>
        <v>992.65002400000003</v>
      </c>
      <c r="Q74">
        <f>VLOOKUP($A74,'Niteesh''s data'!$A$2:$I$313,5,FALSE)</f>
        <v>912.830017</v>
      </c>
      <c r="R74">
        <f>VLOOKUP($A74,'Niteesh''s data'!$A$2:$I$313,6,FALSE)</f>
        <v>980.28002900000001</v>
      </c>
      <c r="S74">
        <f>VLOOKUP($A74,'Niteesh''s data'!$A$2:$I$313,7,FALSE)</f>
        <v>980.28002900000001</v>
      </c>
      <c r="T74">
        <f>VLOOKUP($A74,'Niteesh''s data'!$A$2:$I$313,8,FALSE)</f>
        <v>12733830000</v>
      </c>
      <c r="U74" s="61">
        <f>VLOOKUP($A74,'Niteesh''s data'!$A$2:$I$313,9,FALSE)</f>
        <v>1.21E-2</v>
      </c>
      <c r="V74">
        <f>VLOOKUP(A74,'Existing home Sales'!$A$2:$C$324,3,FALSE)</f>
        <v>4.67</v>
      </c>
      <c r="W74" s="8">
        <v>1</v>
      </c>
      <c r="X74">
        <f>IFERROR(VLOOKUP(A74,'Home Depot Gross Profit'!$A$1:$B$105,2,FALSE)/3,IF(W74=2,X73,X73))</f>
        <v>593.66666666666663</v>
      </c>
      <c r="Y74">
        <f>IFERROR(VLOOKUP(A74,'LOWE''S GROSS PROFIT'!$A$1:$B$105,2,FALSE)/3,IF(X74=2,Y73/3,Y73))</f>
        <v>309.1466666666667</v>
      </c>
      <c r="Z74" s="8">
        <v>6.99</v>
      </c>
      <c r="AA74">
        <v>5983</v>
      </c>
      <c r="AB74">
        <f>VLOOKUP(A74,'[1]Fed_Int (1)'!$A$2:$B$316,2,FALSE)</f>
        <v>5.56</v>
      </c>
      <c r="AC74" s="8">
        <v>19.666665999999999</v>
      </c>
      <c r="AD74" s="8">
        <v>20.541665999999999</v>
      </c>
      <c r="AE74" s="8">
        <v>18.4375</v>
      </c>
      <c r="AF74" s="8">
        <v>20.166665999999999</v>
      </c>
      <c r="AG74" s="8">
        <v>14.017609999999999</v>
      </c>
      <c r="AH74" s="8">
        <v>87627000</v>
      </c>
      <c r="AI74" s="8">
        <v>5.953125</v>
      </c>
      <c r="AJ74" s="8">
        <v>6.4453129999999996</v>
      </c>
      <c r="AK74" s="8">
        <v>5.3984379999999996</v>
      </c>
      <c r="AL74" s="8">
        <v>6.3203129999999996</v>
      </c>
      <c r="AM74" s="8">
        <v>4.8297480000000004</v>
      </c>
      <c r="AN74" s="8">
        <v>112821600</v>
      </c>
    </row>
    <row r="75" spans="1:40" x14ac:dyDescent="0.35">
      <c r="A75" s="1">
        <v>35827</v>
      </c>
      <c r="B75" s="13">
        <f t="shared" si="2"/>
        <v>2</v>
      </c>
      <c r="C75" s="13">
        <f t="shared" si="3"/>
        <v>1998</v>
      </c>
      <c r="D75" s="2">
        <v>16462</v>
      </c>
      <c r="E75">
        <f>VLOOKUP(A75,PSR!$A$12:$B$721,2,FALSE)</f>
        <v>6.8</v>
      </c>
      <c r="F75">
        <f>VLOOKUP(A75,CCI_USA!$F$2:$H$317,3,FALSE)</f>
        <v>102.5056</v>
      </c>
      <c r="G75">
        <f>INDEX('BLS Data Series'!$A$11:$M$39,MATCH('UI Datathon Development'!C75,'BLS Data Series'!$A$13:$A$39,0)+2,MATCH('UI Datathon Development'!B75,'BLS Data Series'!$B$11:$M$11,0)+1)</f>
        <v>4.5999999999999996</v>
      </c>
      <c r="H75">
        <f>VLOOKUP(A75,'Houses for sale'!$B$10:$I$671,8,FALSE)</f>
        <v>281</v>
      </c>
      <c r="I75">
        <f>VLOOKUP(A75,'House starts'!$A$12:$B$325,2,FALSE)</f>
        <v>1584</v>
      </c>
      <c r="J75">
        <f>VLOOKUP(A75,'New house sales'!$A$13:$C$324,3,FALSE)</f>
        <v>156000</v>
      </c>
      <c r="K75">
        <f>VLOOKUP($A75,'Sreenath''s data'!$A$2:$F$313,3,FALSE)</f>
        <v>87.406999999999996</v>
      </c>
      <c r="L75">
        <f>VLOOKUP($A75,'Sreenath''s data'!$A$2:$F$313,4,FALSE)</f>
        <v>6908.4</v>
      </c>
      <c r="M75">
        <f>VLOOKUP($A75,'Sreenath''s data'!$A$2:$F$313,5,FALSE)</f>
        <v>103014</v>
      </c>
      <c r="N75">
        <f>VLOOKUP($A75,'Sreenath''s data'!$A$2:$F$313,6,FALSE)</f>
        <v>72.443329997720397</v>
      </c>
      <c r="O75">
        <f>VLOOKUP($A75,'Niteesh''s data'!$A$2:$I$313,3,FALSE)</f>
        <v>980.28002900000001</v>
      </c>
      <c r="P75">
        <f>VLOOKUP($A75,'Niteesh''s data'!$A$2:$I$313,4,FALSE)</f>
        <v>1051.660034</v>
      </c>
      <c r="Q75">
        <f>VLOOKUP($A75,'Niteesh''s data'!$A$2:$I$313,5,FALSE)</f>
        <v>980.28002900000001</v>
      </c>
      <c r="R75">
        <f>VLOOKUP($A75,'Niteesh''s data'!$A$2:$I$313,6,FALSE)</f>
        <v>1049.339966</v>
      </c>
      <c r="S75">
        <f>VLOOKUP($A75,'Niteesh''s data'!$A$2:$I$313,7,FALSE)</f>
        <v>1049.339966</v>
      </c>
      <c r="T75">
        <f>VLOOKUP($A75,'Niteesh''s data'!$A$2:$I$313,8,FALSE)</f>
        <v>11656550000</v>
      </c>
      <c r="U75" s="61">
        <f>VLOOKUP($A75,'Niteesh''s data'!$A$2:$I$313,9,FALSE)</f>
        <v>1.2E-2</v>
      </c>
      <c r="V75">
        <f>VLOOKUP(A75,'Existing home Sales'!$A$2:$C$324,3,FALSE)</f>
        <v>4.6100000000000003</v>
      </c>
      <c r="W75" s="8">
        <v>2</v>
      </c>
      <c r="X75">
        <f>IFERROR(VLOOKUP(A75,'Home Depot Gross Profit'!$A$1:$B$105,2,FALSE)/3,IF(W75=2,X74,X74))</f>
        <v>593.66666666666663</v>
      </c>
      <c r="Y75">
        <f>IFERROR(VLOOKUP(A75,'LOWE''S GROSS PROFIT'!$A$1:$B$105,2,FALSE)/3,IF(X75=2,Y74/3,Y74))</f>
        <v>309.1466666666667</v>
      </c>
      <c r="Z75" s="8">
        <v>7.0449999999999999</v>
      </c>
      <c r="AA75">
        <v>5997</v>
      </c>
      <c r="AB75">
        <f>VLOOKUP(A75,'[1]Fed_Int (1)'!$A$2:$B$316,2,FALSE)</f>
        <v>5.51</v>
      </c>
      <c r="AC75" s="8">
        <v>20.5</v>
      </c>
      <c r="AD75" s="8">
        <v>22.9375</v>
      </c>
      <c r="AE75" s="8">
        <v>20.416665999999999</v>
      </c>
      <c r="AF75" s="8">
        <v>21.291665999999999</v>
      </c>
      <c r="AG75" s="8">
        <v>14.799580000000001</v>
      </c>
      <c r="AH75" s="8">
        <v>107246700</v>
      </c>
      <c r="AI75" s="8">
        <v>6.3671879999999996</v>
      </c>
      <c r="AJ75" s="8">
        <v>7.5625</v>
      </c>
      <c r="AK75" s="8">
        <v>6.3671879999999996</v>
      </c>
      <c r="AL75" s="8">
        <v>7.3046879999999996</v>
      </c>
      <c r="AM75" s="8">
        <v>5.6371339999999996</v>
      </c>
      <c r="AN75" s="8">
        <v>97324000</v>
      </c>
    </row>
    <row r="76" spans="1:40" x14ac:dyDescent="0.35">
      <c r="A76" s="1">
        <v>35855</v>
      </c>
      <c r="B76" s="13">
        <f t="shared" si="2"/>
        <v>3</v>
      </c>
      <c r="C76" s="13">
        <f t="shared" si="3"/>
        <v>1998</v>
      </c>
      <c r="D76" s="2">
        <v>16511</v>
      </c>
      <c r="E76">
        <f>VLOOKUP(A76,PSR!$A$12:$B$721,2,FALSE)</f>
        <v>6.9</v>
      </c>
      <c r="F76">
        <f>VLOOKUP(A76,CCI_USA!$F$2:$H$317,3,FALSE)</f>
        <v>102.51309999999999</v>
      </c>
      <c r="G76">
        <f>INDEX('BLS Data Series'!$A$11:$M$39,MATCH('UI Datathon Development'!C76,'BLS Data Series'!$A$13:$A$39,0)+2,MATCH('UI Datathon Development'!B76,'BLS Data Series'!$B$11:$M$11,0)+1)</f>
        <v>4.7</v>
      </c>
      <c r="H76">
        <f>VLOOKUP(A76,'Houses for sale'!$B$10:$I$671,8,FALSE)</f>
        <v>284</v>
      </c>
      <c r="I76">
        <f>VLOOKUP(A76,'House starts'!$A$12:$B$325,2,FALSE)</f>
        <v>1567</v>
      </c>
      <c r="J76">
        <f>VLOOKUP(A76,'New house sales'!$A$13:$C$324,3,FALSE)</f>
        <v>152700</v>
      </c>
      <c r="K76">
        <f>VLOOKUP($A76,'Sreenath''s data'!$A$2:$F$313,3,FALSE)</f>
        <v>87.91</v>
      </c>
      <c r="L76">
        <f>VLOOKUP($A76,'Sreenath''s data'!$A$2:$F$313,4,FALSE)</f>
        <v>6930.4</v>
      </c>
      <c r="M76">
        <f>VLOOKUP($A76,'Sreenath''s data'!$A$2:$F$313,5,FALSE)</f>
        <v>103370</v>
      </c>
      <c r="N76">
        <f>VLOOKUP($A76,'Sreenath''s data'!$A$2:$F$313,6,FALSE)</f>
        <v>72.675148653713194</v>
      </c>
      <c r="O76">
        <f>VLOOKUP($A76,'Niteesh''s data'!$A$2:$I$313,3,FALSE)</f>
        <v>1049.339966</v>
      </c>
      <c r="P76">
        <f>VLOOKUP($A76,'Niteesh''s data'!$A$2:$I$313,4,FALSE)</f>
        <v>1113.0699460000001</v>
      </c>
      <c r="Q76">
        <f>VLOOKUP($A76,'Niteesh''s data'!$A$2:$I$313,5,FALSE)</f>
        <v>1030.869995</v>
      </c>
      <c r="R76">
        <f>VLOOKUP($A76,'Niteesh''s data'!$A$2:$I$313,6,FALSE)</f>
        <v>1101.75</v>
      </c>
      <c r="S76">
        <f>VLOOKUP($A76,'Niteesh''s data'!$A$2:$I$313,7,FALSE)</f>
        <v>1101.75</v>
      </c>
      <c r="T76">
        <f>VLOOKUP($A76,'Niteesh''s data'!$A$2:$I$313,8,FALSE)</f>
        <v>13719590000</v>
      </c>
      <c r="U76" s="61">
        <f>VLOOKUP($A76,'Niteesh''s data'!$A$2:$I$313,9,FALSE)</f>
        <v>1.1900000000000001E-2</v>
      </c>
      <c r="V76">
        <f>VLOOKUP(A76,'Existing home Sales'!$A$2:$C$324,3,FALSE)</f>
        <v>4.83</v>
      </c>
      <c r="W76" s="8">
        <v>3</v>
      </c>
      <c r="X76">
        <f>IFERROR(VLOOKUP(A76,'Home Depot Gross Profit'!$A$1:$B$105,2,FALSE)/3,IF(W76=2,X75,X75))</f>
        <v>593.66666666666663</v>
      </c>
      <c r="Y76">
        <f>IFERROR(VLOOKUP(A76,'LOWE''S GROSS PROFIT'!$A$1:$B$105,2,FALSE)/3,IF(X76=2,Y75/3,Y75))</f>
        <v>309.1466666666667</v>
      </c>
      <c r="Z76" s="8">
        <v>7.12</v>
      </c>
      <c r="AA76">
        <v>5969</v>
      </c>
      <c r="AB76">
        <f>VLOOKUP(A76,'[1]Fed_Int (1)'!$A$2:$B$316,2,FALSE)</f>
        <v>5.49</v>
      </c>
      <c r="AC76" s="8">
        <v>21.208334000000001</v>
      </c>
      <c r="AD76" s="8">
        <v>23.479165999999999</v>
      </c>
      <c r="AE76" s="8">
        <v>21.145834000000001</v>
      </c>
      <c r="AF76" s="8">
        <v>22.541665999999999</v>
      </c>
      <c r="AG76" s="8">
        <v>15.668443</v>
      </c>
      <c r="AH76" s="8">
        <v>136070400</v>
      </c>
      <c r="AI76" s="8">
        <v>7.359375</v>
      </c>
      <c r="AJ76" s="8">
        <v>9.171875</v>
      </c>
      <c r="AK76" s="8">
        <v>7.359375</v>
      </c>
      <c r="AL76" s="8">
        <v>8.7734380000000005</v>
      </c>
      <c r="AM76" s="8">
        <v>6.7705900000000003</v>
      </c>
      <c r="AN76" s="8">
        <v>147275200</v>
      </c>
    </row>
    <row r="77" spans="1:40" x14ac:dyDescent="0.35">
      <c r="A77" s="1">
        <v>35886</v>
      </c>
      <c r="B77" s="13">
        <f t="shared" si="2"/>
        <v>4</v>
      </c>
      <c r="C77" s="13">
        <f t="shared" si="3"/>
        <v>1998</v>
      </c>
      <c r="D77" s="2">
        <v>16716</v>
      </c>
      <c r="E77">
        <f>VLOOKUP(A77,PSR!$A$12:$B$721,2,FALSE)</f>
        <v>6.6</v>
      </c>
      <c r="F77">
        <f>VLOOKUP(A77,CCI_USA!$F$2:$H$317,3,FALSE)</f>
        <v>102.4918</v>
      </c>
      <c r="G77">
        <f>INDEX('BLS Data Series'!$A$11:$M$39,MATCH('UI Datathon Development'!C77,'BLS Data Series'!$A$13:$A$39,0)+2,MATCH('UI Datathon Development'!B77,'BLS Data Series'!$B$11:$M$11,0)+1)</f>
        <v>4.3</v>
      </c>
      <c r="H77">
        <f>VLOOKUP(A77,'Houses for sale'!$B$10:$I$671,8,FALSE)</f>
        <v>287</v>
      </c>
      <c r="I77">
        <f>VLOOKUP(A77,'House starts'!$A$12:$B$325,2,FALSE)</f>
        <v>1540</v>
      </c>
      <c r="J77">
        <f>VLOOKUP(A77,'New house sales'!$A$13:$C$324,3,FALSE)</f>
        <v>148000</v>
      </c>
      <c r="K77">
        <f>VLOOKUP($A77,'Sreenath''s data'!$A$2:$F$313,3,FALSE)</f>
        <v>88.59</v>
      </c>
      <c r="L77">
        <f>VLOOKUP($A77,'Sreenath''s data'!$A$2:$F$313,4,FALSE)</f>
        <v>6932.6</v>
      </c>
      <c r="M77">
        <f>VLOOKUP($A77,'Sreenath''s data'!$A$2:$F$313,5,FALSE)</f>
        <v>103530</v>
      </c>
      <c r="N77">
        <f>VLOOKUP($A77,'Sreenath''s data'!$A$2:$F$313,6,FALSE)</f>
        <v>72.7910579817095</v>
      </c>
      <c r="O77">
        <f>VLOOKUP($A77,'Niteesh''s data'!$A$2:$I$313,3,FALSE)</f>
        <v>1101.75</v>
      </c>
      <c r="P77">
        <f>VLOOKUP($A77,'Niteesh''s data'!$A$2:$I$313,4,FALSE)</f>
        <v>1132.9799800000001</v>
      </c>
      <c r="Q77">
        <f>VLOOKUP($A77,'Niteesh''s data'!$A$2:$I$313,5,FALSE)</f>
        <v>1076.6999510000001</v>
      </c>
      <c r="R77">
        <f>VLOOKUP($A77,'Niteesh''s data'!$A$2:$I$313,6,FALSE)</f>
        <v>1111.75</v>
      </c>
      <c r="S77">
        <f>VLOOKUP($A77,'Niteesh''s data'!$A$2:$I$313,7,FALSE)</f>
        <v>1111.75</v>
      </c>
      <c r="T77">
        <f>VLOOKUP($A77,'Niteesh''s data'!$A$2:$I$313,8,FALSE)</f>
        <v>13656060000</v>
      </c>
      <c r="U77" s="61">
        <f>VLOOKUP($A77,'Niteesh''s data'!$A$2:$I$313,9,FALSE)</f>
        <v>1.1900000000000001E-2</v>
      </c>
      <c r="V77">
        <f>VLOOKUP(A77,'Existing home Sales'!$A$2:$C$324,3,FALSE)</f>
        <v>4.9400000000000004</v>
      </c>
      <c r="W77" s="8">
        <v>1</v>
      </c>
      <c r="X77">
        <f>IFERROR(VLOOKUP(A77,'Home Depot Gross Profit'!$A$1:$B$105,2,FALSE)/3,IF(W77=2,X76,X76))</f>
        <v>685</v>
      </c>
      <c r="Y77">
        <f>IFERROR(VLOOKUP(A77,'LOWE''S GROSS PROFIT'!$A$1:$B$105,2,FALSE)/3,IF(X77=2,Y76/3,Y76))</f>
        <v>276.90000000000003</v>
      </c>
      <c r="Z77" s="8">
        <v>7.15</v>
      </c>
      <c r="AA77">
        <v>6049</v>
      </c>
      <c r="AB77">
        <f>VLOOKUP(A77,'[1]Fed_Int (1)'!$A$2:$B$316,2,FALSE)</f>
        <v>5.45</v>
      </c>
      <c r="AC77" s="8">
        <v>22.479165999999999</v>
      </c>
      <c r="AD77" s="8">
        <v>24.229165999999999</v>
      </c>
      <c r="AE77" s="8">
        <v>21.854165999999999</v>
      </c>
      <c r="AF77" s="8">
        <v>23.229165999999999</v>
      </c>
      <c r="AG77" s="8">
        <v>16.183949999999999</v>
      </c>
      <c r="AH77" s="8">
        <v>121498500</v>
      </c>
      <c r="AI77" s="8">
        <v>8.8046880000000005</v>
      </c>
      <c r="AJ77" s="8">
        <v>8.8984380000000005</v>
      </c>
      <c r="AK77" s="8">
        <v>8.078125</v>
      </c>
      <c r="AL77" s="8">
        <v>8.7421880000000005</v>
      </c>
      <c r="AM77" s="8">
        <v>6.7464719999999998</v>
      </c>
      <c r="AN77" s="8">
        <v>140564800</v>
      </c>
    </row>
    <row r="78" spans="1:40" x14ac:dyDescent="0.35">
      <c r="A78" s="1">
        <v>35916</v>
      </c>
      <c r="B78" s="13">
        <f t="shared" si="2"/>
        <v>5</v>
      </c>
      <c r="C78" s="13">
        <f t="shared" si="3"/>
        <v>1998</v>
      </c>
      <c r="D78" s="2">
        <v>16741</v>
      </c>
      <c r="E78">
        <f>VLOOKUP(A78,PSR!$A$12:$B$721,2,FALSE)</f>
        <v>6.3</v>
      </c>
      <c r="F78">
        <f>VLOOKUP(A78,CCI_USA!$F$2:$H$317,3,FALSE)</f>
        <v>102.3935</v>
      </c>
      <c r="G78">
        <f>INDEX('BLS Data Series'!$A$11:$M$39,MATCH('UI Datathon Development'!C78,'BLS Data Series'!$A$13:$A$39,0)+2,MATCH('UI Datathon Development'!B78,'BLS Data Series'!$B$11:$M$11,0)+1)</f>
        <v>4.4000000000000004</v>
      </c>
      <c r="H78">
        <f>VLOOKUP(A78,'Houses for sale'!$B$10:$I$671,8,FALSE)</f>
        <v>287</v>
      </c>
      <c r="I78">
        <f>VLOOKUP(A78,'House starts'!$A$12:$B$325,2,FALSE)</f>
        <v>1536</v>
      </c>
      <c r="J78">
        <f>VLOOKUP(A78,'New house sales'!$A$13:$C$324,3,FALSE)</f>
        <v>153200</v>
      </c>
      <c r="K78">
        <f>VLOOKUP($A78,'Sreenath''s data'!$A$2:$F$313,3,FALSE)</f>
        <v>89.406000000000006</v>
      </c>
      <c r="L78">
        <f>VLOOKUP($A78,'Sreenath''s data'!$A$2:$F$313,4,FALSE)</f>
        <v>7016.1</v>
      </c>
      <c r="M78">
        <f>VLOOKUP($A78,'Sreenath''s data'!$A$2:$F$313,5,FALSE)</f>
        <v>103417</v>
      </c>
      <c r="N78">
        <f>VLOOKUP($A78,'Sreenath''s data'!$A$2:$F$313,6,FALSE)</f>
        <v>72.868330867040399</v>
      </c>
      <c r="O78">
        <f>VLOOKUP($A78,'Niteesh''s data'!$A$2:$I$313,3,FALSE)</f>
        <v>1111.75</v>
      </c>
      <c r="P78">
        <f>VLOOKUP($A78,'Niteesh''s data'!$A$2:$I$313,4,FALSE)</f>
        <v>1130.5200199999999</v>
      </c>
      <c r="Q78">
        <f>VLOOKUP($A78,'Niteesh''s data'!$A$2:$I$313,5,FALSE)</f>
        <v>1074.3900149999999</v>
      </c>
      <c r="R78">
        <f>VLOOKUP($A78,'Niteesh''s data'!$A$2:$I$313,6,FALSE)</f>
        <v>1090.8199460000001</v>
      </c>
      <c r="S78">
        <f>VLOOKUP($A78,'Niteesh''s data'!$A$2:$I$313,7,FALSE)</f>
        <v>1090.8199460000001</v>
      </c>
      <c r="T78">
        <f>VLOOKUP($A78,'Niteesh''s data'!$A$2:$I$313,8,FALSE)</f>
        <v>11477140000</v>
      </c>
      <c r="U78" s="61">
        <f>VLOOKUP($A78,'Niteesh''s data'!$A$2:$I$313,9,FALSE)</f>
        <v>1.18E-2</v>
      </c>
      <c r="V78">
        <f>VLOOKUP(A78,'Existing home Sales'!$A$2:$C$324,3,FALSE)</f>
        <v>4.91</v>
      </c>
      <c r="W78" s="8">
        <v>2</v>
      </c>
      <c r="X78">
        <f>IFERROR(VLOOKUP(A78,'Home Depot Gross Profit'!$A$1:$B$105,2,FALSE)/3,IF(W78=2,X77,X77))</f>
        <v>685</v>
      </c>
      <c r="Y78">
        <f>IFERROR(VLOOKUP(A78,'LOWE''S GROSS PROFIT'!$A$1:$B$105,2,FALSE)/3,IF(X78=2,Y77/3,Y77))</f>
        <v>276.90000000000003</v>
      </c>
      <c r="Z78" s="8">
        <v>7.14</v>
      </c>
      <c r="AA78">
        <v>6087</v>
      </c>
      <c r="AB78">
        <f>VLOOKUP(A78,'[1]Fed_Int (1)'!$A$2:$B$316,2,FALSE)</f>
        <v>5.49</v>
      </c>
      <c r="AC78" s="8">
        <v>23.541665999999999</v>
      </c>
      <c r="AD78" s="8">
        <v>26.3125</v>
      </c>
      <c r="AE78" s="8">
        <v>22.5625</v>
      </c>
      <c r="AF78" s="8">
        <v>26.1875</v>
      </c>
      <c r="AG78" s="8">
        <v>18.245054</v>
      </c>
      <c r="AH78" s="8">
        <v>120076200</v>
      </c>
      <c r="AI78" s="8">
        <v>8.75</v>
      </c>
      <c r="AJ78" s="8">
        <v>10.015625</v>
      </c>
      <c r="AK78" s="8">
        <v>8.421875</v>
      </c>
      <c r="AL78" s="8">
        <v>9.8984380000000005</v>
      </c>
      <c r="AM78" s="8">
        <v>7.6888379999999996</v>
      </c>
      <c r="AN78" s="8">
        <v>137610400</v>
      </c>
    </row>
    <row r="79" spans="1:40" x14ac:dyDescent="0.35">
      <c r="A79" s="1">
        <v>35947</v>
      </c>
      <c r="B79" s="13">
        <f t="shared" si="2"/>
        <v>6</v>
      </c>
      <c r="C79" s="13">
        <f t="shared" si="3"/>
        <v>1998</v>
      </c>
      <c r="D79" s="2">
        <v>16662</v>
      </c>
      <c r="E79">
        <f>VLOOKUP(A79,PSR!$A$12:$B$721,2,FALSE)</f>
        <v>6.2</v>
      </c>
      <c r="F79">
        <f>VLOOKUP(A79,CCI_USA!$F$2:$H$317,3,FALSE)</f>
        <v>102.2754</v>
      </c>
      <c r="G79">
        <f>INDEX('BLS Data Series'!$A$11:$M$39,MATCH('UI Datathon Development'!C79,'BLS Data Series'!$A$13:$A$39,0)+2,MATCH('UI Datathon Development'!B79,'BLS Data Series'!$B$11:$M$11,0)+1)</f>
        <v>4.5</v>
      </c>
      <c r="H79">
        <f>VLOOKUP(A79,'Houses for sale'!$B$10:$I$671,8,FALSE)</f>
        <v>286</v>
      </c>
      <c r="I79">
        <f>VLOOKUP(A79,'House starts'!$A$12:$B$325,2,FALSE)</f>
        <v>1641</v>
      </c>
      <c r="J79">
        <f>VLOOKUP(A79,'New house sales'!$A$13:$C$324,3,FALSE)</f>
        <v>148000</v>
      </c>
      <c r="K79">
        <f>VLOOKUP($A79,'Sreenath''s data'!$A$2:$F$313,3,FALSE)</f>
        <v>90.225999999999999</v>
      </c>
      <c r="L79">
        <f>VLOOKUP($A79,'Sreenath''s data'!$A$2:$F$313,4,FALSE)</f>
        <v>7002.8</v>
      </c>
      <c r="M79">
        <f>VLOOKUP($A79,'Sreenath''s data'!$A$2:$F$313,5,FALSE)</f>
        <v>103617</v>
      </c>
      <c r="N79">
        <f>VLOOKUP($A79,'Sreenath''s data'!$A$2:$F$313,6,FALSE)</f>
        <v>73.138785965698602</v>
      </c>
      <c r="O79">
        <f>VLOOKUP($A79,'Niteesh''s data'!$A$2:$I$313,3,FALSE)</f>
        <v>1090.8199460000001</v>
      </c>
      <c r="P79">
        <f>VLOOKUP($A79,'Niteesh''s data'!$A$2:$I$313,4,FALSE)</f>
        <v>1145.150024</v>
      </c>
      <c r="Q79">
        <f>VLOOKUP($A79,'Niteesh''s data'!$A$2:$I$313,5,FALSE)</f>
        <v>1074.670044</v>
      </c>
      <c r="R79">
        <f>VLOOKUP($A79,'Niteesh''s data'!$A$2:$I$313,6,FALSE)</f>
        <v>1133.839966</v>
      </c>
      <c r="S79">
        <f>VLOOKUP($A79,'Niteesh''s data'!$A$2:$I$313,7,FALSE)</f>
        <v>1133.839966</v>
      </c>
      <c r="T79">
        <f>VLOOKUP($A79,'Niteesh''s data'!$A$2:$I$313,8,FALSE)</f>
        <v>13551970000</v>
      </c>
      <c r="U79" s="61">
        <f>VLOOKUP($A79,'Niteesh''s data'!$A$2:$I$313,9,FALSE)</f>
        <v>1.18E-2</v>
      </c>
      <c r="V79">
        <f>VLOOKUP(A79,'Existing home Sales'!$A$2:$C$324,3,FALSE)</f>
        <v>4.96</v>
      </c>
      <c r="W79" s="8">
        <v>3</v>
      </c>
      <c r="X79">
        <f>IFERROR(VLOOKUP(A79,'Home Depot Gross Profit'!$A$1:$B$105,2,FALSE)/3,IF(W79=2,X78,X78))</f>
        <v>685</v>
      </c>
      <c r="Y79">
        <f>IFERROR(VLOOKUP(A79,'LOWE''S GROSS PROFIT'!$A$1:$B$105,2,FALSE)/3,IF(X79=2,Y78/3,Y78))</f>
        <v>276.90000000000003</v>
      </c>
      <c r="Z79" s="8">
        <v>7</v>
      </c>
      <c r="AA79">
        <v>6130</v>
      </c>
      <c r="AB79">
        <f>VLOOKUP(A79,'[1]Fed_Int (1)'!$A$2:$B$316,2,FALSE)</f>
        <v>5.56</v>
      </c>
      <c r="AC79" s="8">
        <v>26.5</v>
      </c>
      <c r="AD79" s="8">
        <v>28.854165999999999</v>
      </c>
      <c r="AE79" s="8">
        <v>25.354165999999999</v>
      </c>
      <c r="AF79" s="8">
        <v>27.6875</v>
      </c>
      <c r="AG79" s="8">
        <v>19.290119000000001</v>
      </c>
      <c r="AH79" s="8">
        <v>145564200</v>
      </c>
      <c r="AI79" s="8">
        <v>10.03125</v>
      </c>
      <c r="AJ79" s="8">
        <v>10.75</v>
      </c>
      <c r="AK79" s="8">
        <v>9.6796880000000005</v>
      </c>
      <c r="AL79" s="8">
        <v>10.140625</v>
      </c>
      <c r="AM79" s="8">
        <v>7.8769650000000002</v>
      </c>
      <c r="AN79" s="8">
        <v>128830800</v>
      </c>
    </row>
    <row r="80" spans="1:40" x14ac:dyDescent="0.35">
      <c r="A80" s="1">
        <v>35977</v>
      </c>
      <c r="B80" s="13">
        <f t="shared" si="2"/>
        <v>7</v>
      </c>
      <c r="C80" s="13">
        <f t="shared" si="3"/>
        <v>1998</v>
      </c>
      <c r="D80" s="2">
        <v>16819</v>
      </c>
      <c r="E80">
        <f>VLOOKUP(A80,PSR!$A$12:$B$721,2,FALSE)</f>
        <v>6.3</v>
      </c>
      <c r="F80">
        <f>VLOOKUP(A80,CCI_USA!$F$2:$H$317,3,FALSE)</f>
        <v>102.1403</v>
      </c>
      <c r="G80">
        <f>INDEX('BLS Data Series'!$A$11:$M$39,MATCH('UI Datathon Development'!C80,'BLS Data Series'!$A$13:$A$39,0)+2,MATCH('UI Datathon Development'!B80,'BLS Data Series'!$B$11:$M$11,0)+1)</f>
        <v>4.5</v>
      </c>
      <c r="H80">
        <f>VLOOKUP(A80,'Houses for sale'!$B$10:$I$671,8,FALSE)</f>
        <v>285</v>
      </c>
      <c r="I80">
        <f>VLOOKUP(A80,'House starts'!$A$12:$B$325,2,FALSE)</f>
        <v>1698</v>
      </c>
      <c r="J80">
        <f>VLOOKUP(A80,'New house sales'!$A$13:$C$324,3,FALSE)</f>
        <v>149900</v>
      </c>
      <c r="K80">
        <f>VLOOKUP($A80,'Sreenath''s data'!$A$2:$F$313,3,FALSE)</f>
        <v>90.891000000000005</v>
      </c>
      <c r="L80">
        <f>VLOOKUP($A80,'Sreenath''s data'!$A$2:$F$313,4,FALSE)</f>
        <v>7008.8</v>
      </c>
      <c r="M80">
        <f>VLOOKUP($A80,'Sreenath''s data'!$A$2:$F$313,5,FALSE)</f>
        <v>103396</v>
      </c>
      <c r="N80">
        <f>VLOOKUP($A80,'Sreenath''s data'!$A$2:$F$313,6,FALSE)</f>
        <v>73.447877507022199</v>
      </c>
      <c r="O80">
        <f>VLOOKUP($A80,'Niteesh''s data'!$A$2:$I$313,3,FALSE)</f>
        <v>1133.839966</v>
      </c>
      <c r="P80">
        <f>VLOOKUP($A80,'Niteesh''s data'!$A$2:$I$313,4,FALSE)</f>
        <v>1190.579956</v>
      </c>
      <c r="Q80">
        <f>VLOOKUP($A80,'Niteesh''s data'!$A$2:$I$313,5,FALSE)</f>
        <v>1114.3000489999999</v>
      </c>
      <c r="R80">
        <f>VLOOKUP($A80,'Niteesh''s data'!$A$2:$I$313,6,FALSE)</f>
        <v>1120.670044</v>
      </c>
      <c r="S80">
        <f>VLOOKUP($A80,'Niteesh''s data'!$A$2:$I$313,7,FALSE)</f>
        <v>1120.670044</v>
      </c>
      <c r="T80">
        <f>VLOOKUP($A80,'Niteesh''s data'!$A$2:$I$313,8,FALSE)</f>
        <v>14194800000</v>
      </c>
      <c r="U80" s="61">
        <f>VLOOKUP($A80,'Niteesh''s data'!$A$2:$I$313,9,FALSE)</f>
        <v>1.18E-2</v>
      </c>
      <c r="V80">
        <f>VLOOKUP(A80,'Existing home Sales'!$A$2:$C$324,3,FALSE)</f>
        <v>4.9000000000000004</v>
      </c>
      <c r="W80" s="8">
        <v>1</v>
      </c>
      <c r="X80">
        <f>IFERROR(VLOOKUP(A80,'Home Depot Gross Profit'!$A$1:$B$105,2,FALSE)/3,IF(W80=2,X79,X79))</f>
        <v>785.33333333333337</v>
      </c>
      <c r="Y80">
        <f>IFERROR(VLOOKUP(A80,'LOWE''S GROSS PROFIT'!$A$1:$B$105,2,FALSE)/3,IF(X80=2,Y79/3,Y79))</f>
        <v>328.56666666666666</v>
      </c>
      <c r="Z80" s="8">
        <v>6.96</v>
      </c>
      <c r="AA80">
        <v>6172</v>
      </c>
      <c r="AB80">
        <f>VLOOKUP(A80,'[1]Fed_Int (1)'!$A$2:$B$316,2,FALSE)</f>
        <v>5.54</v>
      </c>
      <c r="AC80" s="8">
        <v>27.75</v>
      </c>
      <c r="AD80" s="8">
        <v>32.666668000000001</v>
      </c>
      <c r="AE80" s="8">
        <v>27.75</v>
      </c>
      <c r="AF80" s="8">
        <v>27.916665999999999</v>
      </c>
      <c r="AG80" s="8">
        <v>19.493361</v>
      </c>
      <c r="AH80" s="8">
        <v>160953300</v>
      </c>
      <c r="AI80" s="8">
        <v>10.359375</v>
      </c>
      <c r="AJ80" s="8">
        <v>11.546875</v>
      </c>
      <c r="AK80" s="8">
        <v>8.859375</v>
      </c>
      <c r="AL80" s="8">
        <v>9.625</v>
      </c>
      <c r="AM80" s="8">
        <v>7.4764460000000001</v>
      </c>
      <c r="AN80" s="8">
        <v>148839600</v>
      </c>
    </row>
    <row r="81" spans="1:40" x14ac:dyDescent="0.35">
      <c r="A81" s="1">
        <v>36008</v>
      </c>
      <c r="B81" s="13">
        <f t="shared" si="2"/>
        <v>8</v>
      </c>
      <c r="C81" s="13">
        <f t="shared" si="3"/>
        <v>1998</v>
      </c>
      <c r="D81" s="2">
        <v>16828</v>
      </c>
      <c r="E81">
        <f>VLOOKUP(A81,PSR!$A$12:$B$721,2,FALSE)</f>
        <v>6.2</v>
      </c>
      <c r="F81">
        <f>VLOOKUP(A81,CCI_USA!$F$2:$H$317,3,FALSE)</f>
        <v>101.9494</v>
      </c>
      <c r="G81">
        <f>INDEX('BLS Data Series'!$A$11:$M$39,MATCH('UI Datathon Development'!C81,'BLS Data Series'!$A$13:$A$39,0)+2,MATCH('UI Datathon Development'!B81,'BLS Data Series'!$B$11:$M$11,0)+1)</f>
        <v>4.5</v>
      </c>
      <c r="H81">
        <f>VLOOKUP(A81,'Houses for sale'!$B$10:$I$671,8,FALSE)</f>
        <v>286</v>
      </c>
      <c r="I81">
        <f>VLOOKUP(A81,'House starts'!$A$12:$B$325,2,FALSE)</f>
        <v>1614</v>
      </c>
      <c r="J81">
        <f>VLOOKUP(A81,'New house sales'!$A$13:$C$324,3,FALSE)</f>
        <v>154900</v>
      </c>
      <c r="K81">
        <f>VLOOKUP($A81,'Sreenath''s data'!$A$2:$F$313,3,FALSE)</f>
        <v>91.437999999999903</v>
      </c>
      <c r="L81">
        <f>VLOOKUP($A81,'Sreenath''s data'!$A$2:$F$313,4,FALSE)</f>
        <v>7019.1</v>
      </c>
      <c r="M81">
        <f>VLOOKUP($A81,'Sreenath''s data'!$A$2:$F$313,5,FALSE)</f>
        <v>103346</v>
      </c>
      <c r="N81">
        <f>VLOOKUP($A81,'Sreenath''s data'!$A$2:$F$313,6,FALSE)</f>
        <v>73.718332605680303</v>
      </c>
      <c r="O81">
        <f>VLOOKUP($A81,'Niteesh''s data'!$A$2:$I$313,3,FALSE)</f>
        <v>1120.670044</v>
      </c>
      <c r="P81">
        <f>VLOOKUP($A81,'Niteesh''s data'!$A$2:$I$313,4,FALSE)</f>
        <v>1121.790039</v>
      </c>
      <c r="Q81">
        <f>VLOOKUP($A81,'Niteesh''s data'!$A$2:$I$313,5,FALSE)</f>
        <v>957.28002900000001</v>
      </c>
      <c r="R81">
        <f>VLOOKUP($A81,'Niteesh''s data'!$A$2:$I$313,6,FALSE)</f>
        <v>957.28002900000001</v>
      </c>
      <c r="S81">
        <f>VLOOKUP($A81,'Niteesh''s data'!$A$2:$I$313,7,FALSE)</f>
        <v>957.28002900000001</v>
      </c>
      <c r="T81">
        <f>VLOOKUP($A81,'Niteesh''s data'!$A$2:$I$313,8,FALSE)</f>
        <v>15071550000</v>
      </c>
      <c r="U81" s="61">
        <f>VLOOKUP($A81,'Niteesh''s data'!$A$2:$I$313,9,FALSE)</f>
        <v>1.17E-2</v>
      </c>
      <c r="V81">
        <f>VLOOKUP(A81,'Existing home Sales'!$A$2:$C$324,3,FALSE)</f>
        <v>5.0199999999999996</v>
      </c>
      <c r="W81" s="8">
        <v>2</v>
      </c>
      <c r="X81">
        <f>IFERROR(VLOOKUP(A81,'Home Depot Gross Profit'!$A$1:$B$105,2,FALSE)/3,IF(W81=2,X80,X80))</f>
        <v>785.33333333333337</v>
      </c>
      <c r="Y81">
        <f>IFERROR(VLOOKUP(A81,'LOWE''S GROSS PROFIT'!$A$1:$B$105,2,FALSE)/3,IF(X81=2,Y80/3,Y80))</f>
        <v>328.56666666666666</v>
      </c>
      <c r="Z81" s="8">
        <v>6.92</v>
      </c>
      <c r="AA81">
        <v>6215</v>
      </c>
      <c r="AB81">
        <f>VLOOKUP(A81,'[1]Fed_Int (1)'!$A$2:$B$316,2,FALSE)</f>
        <v>5.55</v>
      </c>
      <c r="AC81" s="8">
        <v>27.708334000000001</v>
      </c>
      <c r="AD81" s="8">
        <v>30.625</v>
      </c>
      <c r="AE81" s="8">
        <v>23.875</v>
      </c>
      <c r="AF81" s="8">
        <v>25.416665999999999</v>
      </c>
      <c r="AG81" s="8">
        <v>17.747682999999999</v>
      </c>
      <c r="AH81" s="8">
        <v>150086700</v>
      </c>
      <c r="AI81" s="8">
        <v>9.46875</v>
      </c>
      <c r="AJ81" s="8">
        <v>10.609375</v>
      </c>
      <c r="AK81" s="8">
        <v>8.3125</v>
      </c>
      <c r="AL81" s="8">
        <v>8.765625</v>
      </c>
      <c r="AM81" s="8">
        <v>6.8282100000000003</v>
      </c>
      <c r="AN81" s="8">
        <v>113035200</v>
      </c>
    </row>
    <row r="82" spans="1:40" x14ac:dyDescent="0.35">
      <c r="A82" s="1">
        <v>36039</v>
      </c>
      <c r="B82" s="13">
        <f t="shared" si="2"/>
        <v>9</v>
      </c>
      <c r="C82" s="13">
        <f t="shared" si="3"/>
        <v>1998</v>
      </c>
      <c r="D82" s="2">
        <v>16972</v>
      </c>
      <c r="E82">
        <f>VLOOKUP(A82,PSR!$A$12:$B$721,2,FALSE)</f>
        <v>5.8</v>
      </c>
      <c r="F82">
        <f>VLOOKUP(A82,CCI_USA!$F$2:$H$317,3,FALSE)</f>
        <v>101.7107</v>
      </c>
      <c r="G82">
        <f>INDEX('BLS Data Series'!$A$11:$M$39,MATCH('UI Datathon Development'!C82,'BLS Data Series'!$A$13:$A$39,0)+2,MATCH('UI Datathon Development'!B82,'BLS Data Series'!$B$11:$M$11,0)+1)</f>
        <v>4.5999999999999996</v>
      </c>
      <c r="H82">
        <f>VLOOKUP(A82,'Houses for sale'!$B$10:$I$671,8,FALSE)</f>
        <v>289</v>
      </c>
      <c r="I82">
        <f>VLOOKUP(A82,'House starts'!$A$12:$B$325,2,FALSE)</f>
        <v>1582</v>
      </c>
      <c r="J82">
        <f>VLOOKUP(A82,'New house sales'!$A$13:$C$324,3,FALSE)</f>
        <v>155000</v>
      </c>
      <c r="K82">
        <f>VLOOKUP($A82,'Sreenath''s data'!$A$2:$F$313,3,FALSE)</f>
        <v>91.782999999999902</v>
      </c>
      <c r="L82">
        <f>VLOOKUP($A82,'Sreenath''s data'!$A$2:$F$313,4,FALSE)</f>
        <v>7048.2</v>
      </c>
      <c r="M82">
        <f>VLOOKUP($A82,'Sreenath''s data'!$A$2:$F$313,5,FALSE)</f>
        <v>103735</v>
      </c>
      <c r="N82">
        <f>VLOOKUP($A82,'Sreenath''s data'!$A$2:$F$313,6,FALSE)</f>
        <v>73.795605491011202</v>
      </c>
      <c r="O82">
        <f>VLOOKUP($A82,'Niteesh''s data'!$A$2:$I$313,3,FALSE)</f>
        <v>957.28002900000001</v>
      </c>
      <c r="P82">
        <f>VLOOKUP($A82,'Niteesh''s data'!$A$2:$I$313,4,FALSE)</f>
        <v>1066.1099850000001</v>
      </c>
      <c r="Q82">
        <f>VLOOKUP($A82,'Niteesh''s data'!$A$2:$I$313,5,FALSE)</f>
        <v>939.97997999999995</v>
      </c>
      <c r="R82">
        <f>VLOOKUP($A82,'Niteesh''s data'!$A$2:$I$313,6,FALSE)</f>
        <v>1017.01001</v>
      </c>
      <c r="S82">
        <f>VLOOKUP($A82,'Niteesh''s data'!$A$2:$I$313,7,FALSE)</f>
        <v>1017.01001</v>
      </c>
      <c r="T82">
        <f>VLOOKUP($A82,'Niteesh''s data'!$A$2:$I$313,8,FALSE)</f>
        <v>16714080000</v>
      </c>
      <c r="U82" s="61">
        <f>VLOOKUP($A82,'Niteesh''s data'!$A$2:$I$313,9,FALSE)</f>
        <v>1.1599999999999999E-2</v>
      </c>
      <c r="V82">
        <f>VLOOKUP(A82,'Existing home Sales'!$A$2:$C$324,3,FALSE)</f>
        <v>4.97</v>
      </c>
      <c r="W82" s="8">
        <v>3</v>
      </c>
      <c r="X82">
        <f>IFERROR(VLOOKUP(A82,'Home Depot Gross Profit'!$A$1:$B$105,2,FALSE)/3,IF(W82=2,X81,X81))</f>
        <v>785.33333333333337</v>
      </c>
      <c r="Y82">
        <f>IFERROR(VLOOKUP(A82,'LOWE''S GROSS PROFIT'!$A$1:$B$105,2,FALSE)/3,IF(X82=2,Y81/3,Y81))</f>
        <v>328.56666666666666</v>
      </c>
      <c r="Z82" s="8">
        <v>6.7149999999999999</v>
      </c>
      <c r="AA82">
        <v>6225</v>
      </c>
      <c r="AB82">
        <f>VLOOKUP(A82,'[1]Fed_Int (1)'!$A$2:$B$316,2,FALSE)</f>
        <v>5.51</v>
      </c>
      <c r="AC82" s="8">
        <v>25.666665999999999</v>
      </c>
      <c r="AD82" s="8">
        <v>29.75</v>
      </c>
      <c r="AE82" s="8">
        <v>23.5</v>
      </c>
      <c r="AF82" s="8">
        <v>26.333334000000001</v>
      </c>
      <c r="AG82" s="8">
        <v>18.38777</v>
      </c>
      <c r="AH82" s="8">
        <v>154875500</v>
      </c>
      <c r="AI82" s="8">
        <v>8.625</v>
      </c>
      <c r="AJ82" s="8">
        <v>9.796875</v>
      </c>
      <c r="AK82" s="8">
        <v>7.796875</v>
      </c>
      <c r="AL82" s="8">
        <v>7.953125</v>
      </c>
      <c r="AM82" s="8">
        <v>6.1952910000000001</v>
      </c>
      <c r="AN82" s="8">
        <v>150635200</v>
      </c>
    </row>
    <row r="83" spans="1:40" x14ac:dyDescent="0.35">
      <c r="A83" s="1">
        <v>36069</v>
      </c>
      <c r="B83" s="13">
        <f t="shared" si="2"/>
        <v>10</v>
      </c>
      <c r="C83" s="13">
        <f t="shared" si="3"/>
        <v>1998</v>
      </c>
      <c r="D83" s="2">
        <v>17209</v>
      </c>
      <c r="E83">
        <f>VLOOKUP(A83,PSR!$A$12:$B$721,2,FALSE)</f>
        <v>5.6</v>
      </c>
      <c r="F83">
        <f>VLOOKUP(A83,CCI_USA!$F$2:$H$317,3,FALSE)</f>
        <v>101.5757</v>
      </c>
      <c r="G83">
        <f>INDEX('BLS Data Series'!$A$11:$M$39,MATCH('UI Datathon Development'!C83,'BLS Data Series'!$A$13:$A$39,0)+2,MATCH('UI Datathon Development'!B83,'BLS Data Series'!$B$11:$M$11,0)+1)</f>
        <v>4.5</v>
      </c>
      <c r="H83">
        <f>VLOOKUP(A83,'Houses for sale'!$B$10:$I$671,8,FALSE)</f>
        <v>293</v>
      </c>
      <c r="I83">
        <f>VLOOKUP(A83,'House starts'!$A$12:$B$325,2,FALSE)</f>
        <v>1715</v>
      </c>
      <c r="J83">
        <f>VLOOKUP(A83,'New house sales'!$A$13:$C$324,3,FALSE)</f>
        <v>154500</v>
      </c>
      <c r="K83">
        <f>VLOOKUP($A83,'Sreenath''s data'!$A$2:$F$313,3,FALSE)</f>
        <v>92.03</v>
      </c>
      <c r="L83">
        <f>VLOOKUP($A83,'Sreenath''s data'!$A$2:$F$313,4,FALSE)</f>
        <v>7113.4</v>
      </c>
      <c r="M83">
        <f>VLOOKUP($A83,'Sreenath''s data'!$A$2:$F$313,5,FALSE)</f>
        <v>103910</v>
      </c>
      <c r="N83">
        <f>VLOOKUP($A83,'Sreenath''s data'!$A$2:$F$313,6,FALSE)</f>
        <v>73.988787704338506</v>
      </c>
      <c r="O83">
        <f>VLOOKUP($A83,'Niteesh''s data'!$A$2:$I$313,3,FALSE)</f>
        <v>1017.01001</v>
      </c>
      <c r="P83">
        <f>VLOOKUP($A83,'Niteesh''s data'!$A$2:$I$313,4,FALSE)</f>
        <v>1103.780029</v>
      </c>
      <c r="Q83">
        <f>VLOOKUP($A83,'Niteesh''s data'!$A$2:$I$313,5,FALSE)</f>
        <v>923.32000700000003</v>
      </c>
      <c r="R83">
        <f>VLOOKUP($A83,'Niteesh''s data'!$A$2:$I$313,6,FALSE)</f>
        <v>1098.670044</v>
      </c>
      <c r="S83">
        <f>VLOOKUP($A83,'Niteesh''s data'!$A$2:$I$313,7,FALSE)</f>
        <v>1098.670044</v>
      </c>
      <c r="T83">
        <f>VLOOKUP($A83,'Niteesh''s data'!$A$2:$I$313,8,FALSE)</f>
        <v>18001650000</v>
      </c>
      <c r="U83" s="61">
        <f>VLOOKUP($A83,'Niteesh''s data'!$A$2:$I$313,9,FALSE)</f>
        <v>1.15E-2</v>
      </c>
      <c r="V83">
        <f>VLOOKUP(A83,'Existing home Sales'!$A$2:$C$324,3,FALSE)</f>
        <v>4.97</v>
      </c>
      <c r="W83" s="8">
        <v>1</v>
      </c>
      <c r="X83">
        <f>IFERROR(VLOOKUP(A83,'Home Depot Gross Profit'!$A$1:$B$105,2,FALSE)/3,IF(W83=2,X82,X82))</f>
        <v>758</v>
      </c>
      <c r="Y83">
        <f>IFERROR(VLOOKUP(A83,'LOWE''S GROSS PROFIT'!$A$1:$B$105,2,FALSE)/3,IF(X83=2,Y82/3,Y82))</f>
        <v>294.09999999999997</v>
      </c>
      <c r="Z83" s="8">
        <v>6.73</v>
      </c>
      <c r="AA83">
        <v>6262</v>
      </c>
      <c r="AB83">
        <f>VLOOKUP(A83,'[1]Fed_Int (1)'!$A$2:$B$316,2,FALSE)</f>
        <v>5.07</v>
      </c>
      <c r="AC83" s="8">
        <v>25.333334000000001</v>
      </c>
      <c r="AD83" s="8">
        <v>29.958334000000001</v>
      </c>
      <c r="AE83" s="8">
        <v>21.083334000000001</v>
      </c>
      <c r="AF83" s="8">
        <v>29.041665999999999</v>
      </c>
      <c r="AG83" s="8">
        <v>20.302876999999999</v>
      </c>
      <c r="AH83" s="8">
        <v>186681200</v>
      </c>
      <c r="AI83" s="8">
        <v>7.625</v>
      </c>
      <c r="AJ83" s="8">
        <v>8.890625</v>
      </c>
      <c r="AK83" s="8">
        <v>5.96875</v>
      </c>
      <c r="AL83" s="8">
        <v>8.4375</v>
      </c>
      <c r="AM83" s="8">
        <v>6.5726079999999998</v>
      </c>
      <c r="AN83" s="8">
        <v>161771600</v>
      </c>
    </row>
    <row r="84" spans="1:40" x14ac:dyDescent="0.35">
      <c r="A84" s="1">
        <v>36100</v>
      </c>
      <c r="B84" s="13">
        <f t="shared" si="2"/>
        <v>11</v>
      </c>
      <c r="C84" s="13">
        <f t="shared" si="3"/>
        <v>1998</v>
      </c>
      <c r="D84" s="2">
        <v>17341</v>
      </c>
      <c r="E84">
        <f>VLOOKUP(A84,PSR!$A$12:$B$721,2,FALSE)</f>
        <v>5.7</v>
      </c>
      <c r="F84">
        <f>VLOOKUP(A84,CCI_USA!$F$2:$H$317,3,FALSE)</f>
        <v>101.66840000000001</v>
      </c>
      <c r="G84">
        <f>INDEX('BLS Data Series'!$A$11:$M$39,MATCH('UI Datathon Development'!C84,'BLS Data Series'!$A$13:$A$39,0)+2,MATCH('UI Datathon Development'!B84,'BLS Data Series'!$B$11:$M$11,0)+1)</f>
        <v>4.4000000000000004</v>
      </c>
      <c r="H84">
        <f>VLOOKUP(A84,'Houses for sale'!$B$10:$I$671,8,FALSE)</f>
        <v>292</v>
      </c>
      <c r="I84">
        <f>VLOOKUP(A84,'House starts'!$A$12:$B$325,2,FALSE)</f>
        <v>1660</v>
      </c>
      <c r="J84">
        <f>VLOOKUP(A84,'New house sales'!$A$13:$C$324,3,FALSE)</f>
        <v>151000</v>
      </c>
      <c r="K84">
        <f>VLOOKUP($A84,'Sreenath''s data'!$A$2:$F$313,3,FALSE)</f>
        <v>92.227000000000004</v>
      </c>
      <c r="L84">
        <f>VLOOKUP($A84,'Sreenath''s data'!$A$2:$F$313,4,FALSE)</f>
        <v>7111.1</v>
      </c>
      <c r="M84">
        <f>VLOOKUP($A84,'Sreenath''s data'!$A$2:$F$313,5,FALSE)</f>
        <v>104022</v>
      </c>
      <c r="N84">
        <f>VLOOKUP($A84,'Sreenath''s data'!$A$2:$F$313,6,FALSE)</f>
        <v>73.988787704338506</v>
      </c>
      <c r="O84">
        <f>VLOOKUP($A84,'Niteesh''s data'!$A$2:$I$313,3,FALSE)</f>
        <v>1098.670044</v>
      </c>
      <c r="P84">
        <f>VLOOKUP($A84,'Niteesh''s data'!$A$2:$I$313,4,FALSE)</f>
        <v>1192.969971</v>
      </c>
      <c r="Q84">
        <f>VLOOKUP($A84,'Niteesh''s data'!$A$2:$I$313,5,FALSE)</f>
        <v>1098.670044</v>
      </c>
      <c r="R84">
        <f>VLOOKUP($A84,'Niteesh''s data'!$A$2:$I$313,6,FALSE)</f>
        <v>1163.630005</v>
      </c>
      <c r="S84">
        <f>VLOOKUP($A84,'Niteesh''s data'!$A$2:$I$313,7,FALSE)</f>
        <v>1163.630005</v>
      </c>
      <c r="T84">
        <f>VLOOKUP($A84,'Niteesh''s data'!$A$2:$I$313,8,FALSE)</f>
        <v>13451280000</v>
      </c>
      <c r="U84" s="61">
        <f>VLOOKUP($A84,'Niteesh''s data'!$A$2:$I$313,9,FALSE)</f>
        <v>1.15E-2</v>
      </c>
      <c r="V84">
        <f>VLOOKUP(A84,'Existing home Sales'!$A$2:$C$324,3,FALSE)</f>
        <v>5.05</v>
      </c>
      <c r="W84" s="8">
        <v>2</v>
      </c>
      <c r="X84">
        <f>IFERROR(VLOOKUP(A84,'Home Depot Gross Profit'!$A$1:$B$105,2,FALSE)/3,IF(W84=2,X83,X83))</f>
        <v>758</v>
      </c>
      <c r="Y84">
        <f>IFERROR(VLOOKUP(A84,'LOWE''S GROSS PROFIT'!$A$1:$B$105,2,FALSE)/3,IF(X84=2,Y83/3,Y83))</f>
        <v>294.09999999999997</v>
      </c>
      <c r="Z84" s="8">
        <v>6.875</v>
      </c>
      <c r="AA84">
        <v>6301</v>
      </c>
      <c r="AB84">
        <f>VLOOKUP(A84,'[1]Fed_Int (1)'!$A$2:$B$316,2,FALSE)</f>
        <v>4.83</v>
      </c>
      <c r="AC84" s="8">
        <v>29.25</v>
      </c>
      <c r="AD84" s="8">
        <v>34.666668000000001</v>
      </c>
      <c r="AE84" s="8">
        <v>28.75</v>
      </c>
      <c r="AF84" s="8">
        <v>33.166668000000001</v>
      </c>
      <c r="AG84" s="8">
        <v>23.186647000000001</v>
      </c>
      <c r="AH84" s="8">
        <v>105595800</v>
      </c>
      <c r="AI84" s="8">
        <v>8.453125</v>
      </c>
      <c r="AJ84" s="8">
        <v>11</v>
      </c>
      <c r="AK84" s="8">
        <v>8.28125</v>
      </c>
      <c r="AL84" s="8">
        <v>10.5625</v>
      </c>
      <c r="AM84" s="8">
        <v>8.2612579999999998</v>
      </c>
      <c r="AN84" s="8">
        <v>112327600</v>
      </c>
    </row>
    <row r="85" spans="1:40" x14ac:dyDescent="0.35">
      <c r="A85" s="1">
        <v>36130</v>
      </c>
      <c r="B85" s="13">
        <f t="shared" si="2"/>
        <v>12</v>
      </c>
      <c r="C85" s="13">
        <f t="shared" si="3"/>
        <v>1998</v>
      </c>
      <c r="D85" s="2">
        <v>17702</v>
      </c>
      <c r="E85">
        <f>VLOOKUP(A85,PSR!$A$12:$B$721,2,FALSE)</f>
        <v>5.2</v>
      </c>
      <c r="F85">
        <f>VLOOKUP(A85,CCI_USA!$F$2:$H$317,3,FALSE)</f>
        <v>101.81019999999999</v>
      </c>
      <c r="G85">
        <f>INDEX('BLS Data Series'!$A$11:$M$39,MATCH('UI Datathon Development'!C85,'BLS Data Series'!$A$13:$A$39,0)+2,MATCH('UI Datathon Development'!B85,'BLS Data Series'!$B$11:$M$11,0)+1)</f>
        <v>4.4000000000000004</v>
      </c>
      <c r="H85">
        <f>VLOOKUP(A85,'Houses for sale'!$B$10:$I$671,8,FALSE)</f>
        <v>294</v>
      </c>
      <c r="I85">
        <f>VLOOKUP(A85,'House starts'!$A$12:$B$325,2,FALSE)</f>
        <v>1792</v>
      </c>
      <c r="J85">
        <f>VLOOKUP(A85,'New house sales'!$A$13:$C$324,3,FALSE)</f>
        <v>152500</v>
      </c>
      <c r="K85">
        <f>VLOOKUP($A85,'Sreenath''s data'!$A$2:$F$313,3,FALSE)</f>
        <v>92.473999999999904</v>
      </c>
      <c r="L85">
        <f>VLOOKUP($A85,'Sreenath''s data'!$A$2:$F$313,4,FALSE)</f>
        <v>7144.2</v>
      </c>
      <c r="M85">
        <f>VLOOKUP($A85,'Sreenath''s data'!$A$2:$F$313,5,FALSE)</f>
        <v>104175</v>
      </c>
      <c r="N85">
        <f>VLOOKUP($A85,'Sreenath''s data'!$A$2:$F$313,6,FALSE)</f>
        <v>73.988787704338506</v>
      </c>
      <c r="O85">
        <f>VLOOKUP($A85,'Niteesh''s data'!$A$2:$I$313,3,FALSE)</f>
        <v>1163.630005</v>
      </c>
      <c r="P85">
        <f>VLOOKUP($A85,'Niteesh''s data'!$A$2:$I$313,4,FALSE)</f>
        <v>1244.9300539999999</v>
      </c>
      <c r="Q85">
        <f>VLOOKUP($A85,'Niteesh''s data'!$A$2:$I$313,5,FALSE)</f>
        <v>1136.8900149999999</v>
      </c>
      <c r="R85">
        <f>VLOOKUP($A85,'Niteesh''s data'!$A$2:$I$313,6,FALSE)</f>
        <v>1229.2299800000001</v>
      </c>
      <c r="S85">
        <f>VLOOKUP($A85,'Niteesh''s data'!$A$2:$I$313,7,FALSE)</f>
        <v>1229.2299800000001</v>
      </c>
      <c r="T85">
        <f>VLOOKUP($A85,'Niteesh''s data'!$A$2:$I$313,8,FALSE)</f>
        <v>15181450000</v>
      </c>
      <c r="U85" s="61">
        <f>VLOOKUP($A85,'Niteesh''s data'!$A$2:$I$313,9,FALSE)</f>
        <v>1.15E-2</v>
      </c>
      <c r="V85">
        <f>VLOOKUP(A85,'Existing home Sales'!$A$2:$C$324,3,FALSE)</f>
        <v>5.12</v>
      </c>
      <c r="W85" s="8">
        <v>3</v>
      </c>
      <c r="X85">
        <f>IFERROR(VLOOKUP(A85,'Home Depot Gross Profit'!$A$1:$B$105,2,FALSE)/3,IF(W85=2,X84,X84))</f>
        <v>758</v>
      </c>
      <c r="Y85">
        <f>IFERROR(VLOOKUP(A85,'LOWE''S GROSS PROFIT'!$A$1:$B$105,2,FALSE)/3,IF(X85=2,Y84/3,Y84))</f>
        <v>294.09999999999997</v>
      </c>
      <c r="Z85" s="8">
        <v>6.71</v>
      </c>
      <c r="AA85">
        <v>6378</v>
      </c>
      <c r="AB85">
        <f>VLOOKUP(A85,'[1]Fed_Int (1)'!$A$2:$B$316,2,FALSE)</f>
        <v>4.68</v>
      </c>
      <c r="AC85" s="8">
        <v>33.083331999999999</v>
      </c>
      <c r="AD85" s="8">
        <v>41.333331999999999</v>
      </c>
      <c r="AE85" s="8">
        <v>32.166668000000001</v>
      </c>
      <c r="AF85" s="8">
        <v>40.791668000000001</v>
      </c>
      <c r="AG85" s="8">
        <v>28.517239</v>
      </c>
      <c r="AH85" s="8">
        <v>106602500</v>
      </c>
      <c r="AI85" s="8">
        <v>10.515625</v>
      </c>
      <c r="AJ85" s="8">
        <v>13.046875</v>
      </c>
      <c r="AK85" s="8">
        <v>10.265625</v>
      </c>
      <c r="AL85" s="8">
        <v>12.796875</v>
      </c>
      <c r="AM85" s="8">
        <v>10.008829</v>
      </c>
      <c r="AN85" s="8">
        <v>116388400</v>
      </c>
    </row>
    <row r="86" spans="1:40" x14ac:dyDescent="0.35">
      <c r="A86" s="1">
        <v>36161</v>
      </c>
      <c r="B86" s="13">
        <f t="shared" si="2"/>
        <v>1</v>
      </c>
      <c r="C86" s="13">
        <f t="shared" si="3"/>
        <v>1999</v>
      </c>
      <c r="D86" s="2">
        <v>17732</v>
      </c>
      <c r="E86">
        <f>VLOOKUP(A86,PSR!$A$12:$B$721,2,FALSE)</f>
        <v>5.7</v>
      </c>
      <c r="F86">
        <f>VLOOKUP(A86,CCI_USA!$F$2:$H$317,3,FALSE)</f>
        <v>102.0479</v>
      </c>
      <c r="G86">
        <f>INDEX('BLS Data Series'!$A$11:$M$39,MATCH('UI Datathon Development'!C86,'BLS Data Series'!$A$13:$A$39,0)+2,MATCH('UI Datathon Development'!B86,'BLS Data Series'!$B$11:$M$11,0)+1)</f>
        <v>4.3</v>
      </c>
      <c r="H86">
        <f>VLOOKUP(A86,'Houses for sale'!$B$10:$I$671,8,FALSE)</f>
        <v>284</v>
      </c>
      <c r="I86">
        <f>VLOOKUP(A86,'House starts'!$A$12:$B$325,2,FALSE)</f>
        <v>1748</v>
      </c>
      <c r="J86">
        <f>VLOOKUP(A86,'New house sales'!$A$13:$C$324,3,FALSE)</f>
        <v>153100</v>
      </c>
      <c r="K86">
        <f>VLOOKUP($A86,'Sreenath''s data'!$A$2:$F$313,3,FALSE)</f>
        <v>92.744</v>
      </c>
      <c r="L86">
        <f>VLOOKUP($A86,'Sreenath''s data'!$A$2:$F$313,4,FALSE)</f>
        <v>7174.2</v>
      </c>
      <c r="M86">
        <f>VLOOKUP($A86,'Sreenath''s data'!$A$2:$F$313,5,FALSE)</f>
        <v>104285</v>
      </c>
      <c r="N86">
        <f>VLOOKUP($A86,'Sreenath''s data'!$A$2:$F$313,6,FALSE)</f>
        <v>74.297879245662102</v>
      </c>
      <c r="O86">
        <f>VLOOKUP($A86,'Niteesh''s data'!$A$2:$I$313,3,FALSE)</f>
        <v>1229.2299800000001</v>
      </c>
      <c r="P86">
        <f>VLOOKUP($A86,'Niteesh''s data'!$A$2:$I$313,4,FALSE)</f>
        <v>1280.369995</v>
      </c>
      <c r="Q86">
        <f>VLOOKUP($A86,'Niteesh''s data'!$A$2:$I$313,5,FALSE)</f>
        <v>1205.459961</v>
      </c>
      <c r="R86">
        <f>VLOOKUP($A86,'Niteesh''s data'!$A$2:$I$313,6,FALSE)</f>
        <v>1279.6400149999999</v>
      </c>
      <c r="S86">
        <f>VLOOKUP($A86,'Niteesh''s data'!$A$2:$I$313,7,FALSE)</f>
        <v>1279.6400149999999</v>
      </c>
      <c r="T86">
        <f>VLOOKUP($A86,'Niteesh''s data'!$A$2:$I$313,8,FALSE)</f>
        <v>16213500000</v>
      </c>
      <c r="U86" s="61">
        <f>VLOOKUP($A86,'Niteesh''s data'!$A$2:$I$313,9,FALSE)</f>
        <v>1.15E-2</v>
      </c>
      <c r="V86">
        <f>VLOOKUP(A86,'Existing home Sales'!$A$2:$C$324,3,FALSE)</f>
        <v>5.28</v>
      </c>
      <c r="W86" s="8">
        <v>1</v>
      </c>
      <c r="X86">
        <f>IFERROR(VLOOKUP(A86,'Home Depot Gross Profit'!$A$1:$B$105,2,FALSE)/3,IF(W86=2,X85,X85))</f>
        <v>764</v>
      </c>
      <c r="Y86">
        <f>IFERROR(VLOOKUP(A86,'LOWE''S GROSS PROFIT'!$A$1:$B$105,2,FALSE)/3,IF(X86=2,Y85/3,Y85))</f>
        <v>291.51333333333332</v>
      </c>
      <c r="Z86" s="8">
        <v>6.7850000000000001</v>
      </c>
      <c r="AA86">
        <v>6357</v>
      </c>
      <c r="AB86">
        <f>VLOOKUP(A86,'[1]Fed_Int (1)'!$A$2:$B$316,2,FALSE)</f>
        <v>4.63</v>
      </c>
      <c r="AC86" s="8">
        <v>40.25</v>
      </c>
      <c r="AD86" s="8">
        <v>40.833331999999999</v>
      </c>
      <c r="AE86" s="8">
        <v>34.583331999999999</v>
      </c>
      <c r="AF86" s="8">
        <v>40.333331999999999</v>
      </c>
      <c r="AG86" s="8">
        <v>28.222356999999999</v>
      </c>
      <c r="AH86" s="8">
        <v>139142100</v>
      </c>
      <c r="AI86" s="8">
        <v>12.875</v>
      </c>
      <c r="AJ86" s="8">
        <v>14.6875</v>
      </c>
      <c r="AK86" s="8">
        <v>12.625</v>
      </c>
      <c r="AL86" s="8">
        <v>14.578125</v>
      </c>
      <c r="AM86" s="8">
        <v>11.401996</v>
      </c>
      <c r="AN86" s="8">
        <v>129721200</v>
      </c>
    </row>
    <row r="87" spans="1:40" x14ac:dyDescent="0.35">
      <c r="A87" s="1">
        <v>36192</v>
      </c>
      <c r="B87" s="13">
        <f t="shared" si="2"/>
        <v>2</v>
      </c>
      <c r="C87" s="13">
        <f t="shared" si="3"/>
        <v>1999</v>
      </c>
      <c r="D87" s="2">
        <v>17943</v>
      </c>
      <c r="E87">
        <f>VLOOKUP(A87,PSR!$A$12:$B$721,2,FALSE)</f>
        <v>5.6</v>
      </c>
      <c r="F87">
        <f>VLOOKUP(A87,CCI_USA!$F$2:$H$317,3,FALSE)</f>
        <v>102.25449999999999</v>
      </c>
      <c r="G87">
        <f>INDEX('BLS Data Series'!$A$11:$M$39,MATCH('UI Datathon Development'!C87,'BLS Data Series'!$A$13:$A$39,0)+2,MATCH('UI Datathon Development'!B87,'BLS Data Series'!$B$11:$M$11,0)+1)</f>
        <v>4.4000000000000004</v>
      </c>
      <c r="H87">
        <f>VLOOKUP(A87,'Houses for sale'!$B$10:$I$671,8,FALSE)</f>
        <v>285</v>
      </c>
      <c r="I87">
        <f>VLOOKUP(A87,'House starts'!$A$12:$B$325,2,FALSE)</f>
        <v>1670</v>
      </c>
      <c r="J87">
        <f>VLOOKUP(A87,'New house sales'!$A$13:$C$324,3,FALSE)</f>
        <v>160000</v>
      </c>
      <c r="K87">
        <f>VLOOKUP($A87,'Sreenath''s data'!$A$2:$F$313,3,FALSE)</f>
        <v>93.010999999999996</v>
      </c>
      <c r="L87">
        <f>VLOOKUP($A87,'Sreenath''s data'!$A$2:$F$313,4,FALSE)</f>
        <v>7190.3</v>
      </c>
      <c r="M87">
        <f>VLOOKUP($A87,'Sreenath''s data'!$A$2:$F$313,5,FALSE)</f>
        <v>104436</v>
      </c>
      <c r="N87">
        <f>VLOOKUP($A87,'Sreenath''s data'!$A$2:$F$313,6,FALSE)</f>
        <v>74.606970786985698</v>
      </c>
      <c r="O87">
        <f>VLOOKUP($A87,'Niteesh''s data'!$A$2:$I$313,3,FALSE)</f>
        <v>1279.6400149999999</v>
      </c>
      <c r="P87">
        <f>VLOOKUP($A87,'Niteesh''s data'!$A$2:$I$313,4,FALSE)</f>
        <v>1283.839966</v>
      </c>
      <c r="Q87">
        <f>VLOOKUP($A87,'Niteesh''s data'!$A$2:$I$313,5,FALSE)</f>
        <v>1211.8900149999999</v>
      </c>
      <c r="R87">
        <f>VLOOKUP($A87,'Niteesh''s data'!$A$2:$I$313,6,FALSE)</f>
        <v>1238.329956</v>
      </c>
      <c r="S87">
        <f>VLOOKUP($A87,'Niteesh''s data'!$A$2:$I$313,7,FALSE)</f>
        <v>1238.329956</v>
      </c>
      <c r="T87">
        <f>VLOOKUP($A87,'Niteesh''s data'!$A$2:$I$313,8,FALSE)</f>
        <v>14555860000</v>
      </c>
      <c r="U87" s="61">
        <f>VLOOKUP($A87,'Niteesh''s data'!$A$2:$I$313,9,FALSE)</f>
        <v>1.15E-2</v>
      </c>
      <c r="V87">
        <f>VLOOKUP(A87,'Existing home Sales'!$A$2:$C$324,3,FALSE)</f>
        <v>5.23</v>
      </c>
      <c r="W87" s="8">
        <v>2</v>
      </c>
      <c r="X87">
        <f>IFERROR(VLOOKUP(A87,'Home Depot Gross Profit'!$A$1:$B$105,2,FALSE)/3,IF(W87=2,X86,X86))</f>
        <v>764</v>
      </c>
      <c r="Y87">
        <f>IFERROR(VLOOKUP(A87,'LOWE''S GROSS PROFIT'!$A$1:$B$105,2,FALSE)/3,IF(X87=2,Y86/3,Y86))</f>
        <v>291.51333333333332</v>
      </c>
      <c r="Z87" s="8">
        <v>6.7949999999999999</v>
      </c>
      <c r="AA87">
        <v>6429</v>
      </c>
      <c r="AB87">
        <f>VLOOKUP(A87,'[1]Fed_Int (1)'!$A$2:$B$316,2,FALSE)</f>
        <v>4.76</v>
      </c>
      <c r="AC87" s="8">
        <v>40.25</v>
      </c>
      <c r="AD87" s="8">
        <v>41.125</v>
      </c>
      <c r="AE87" s="8">
        <v>35.875</v>
      </c>
      <c r="AF87" s="8">
        <v>39.791668000000001</v>
      </c>
      <c r="AG87" s="8">
        <v>27.843333999999999</v>
      </c>
      <c r="AH87" s="8">
        <v>101235500</v>
      </c>
      <c r="AI87" s="8">
        <v>14.640625</v>
      </c>
      <c r="AJ87" s="8">
        <v>15.015625</v>
      </c>
      <c r="AK87" s="8">
        <v>12.875</v>
      </c>
      <c r="AL87" s="8">
        <v>14.828125</v>
      </c>
      <c r="AM87" s="8">
        <v>11.623752</v>
      </c>
      <c r="AN87" s="8">
        <v>135329600</v>
      </c>
    </row>
    <row r="88" spans="1:40" x14ac:dyDescent="0.35">
      <c r="A88" s="1">
        <v>36220</v>
      </c>
      <c r="B88" s="13">
        <f t="shared" si="2"/>
        <v>3</v>
      </c>
      <c r="C88" s="13">
        <f t="shared" si="3"/>
        <v>1999</v>
      </c>
      <c r="D88" s="2">
        <v>17760</v>
      </c>
      <c r="E88">
        <f>VLOOKUP(A88,PSR!$A$12:$B$721,2,FALSE)</f>
        <v>5.3</v>
      </c>
      <c r="F88">
        <f>VLOOKUP(A88,CCI_USA!$F$2:$H$317,3,FALSE)</f>
        <v>102.2895</v>
      </c>
      <c r="G88">
        <f>INDEX('BLS Data Series'!$A$11:$M$39,MATCH('UI Datathon Development'!C88,'BLS Data Series'!$A$13:$A$39,0)+2,MATCH('UI Datathon Development'!B88,'BLS Data Series'!$B$11:$M$11,0)+1)</f>
        <v>4.2</v>
      </c>
      <c r="H88">
        <f>VLOOKUP(A88,'Houses for sale'!$B$10:$I$671,8,FALSE)</f>
        <v>289</v>
      </c>
      <c r="I88">
        <f>VLOOKUP(A88,'House starts'!$A$12:$B$325,2,FALSE)</f>
        <v>1710</v>
      </c>
      <c r="J88">
        <f>VLOOKUP(A88,'New house sales'!$A$13:$C$324,3,FALSE)</f>
        <v>157300</v>
      </c>
      <c r="K88">
        <f>VLOOKUP($A88,'Sreenath''s data'!$A$2:$F$313,3,FALSE)</f>
        <v>93.641999999999996</v>
      </c>
      <c r="L88">
        <f>VLOOKUP($A88,'Sreenath''s data'!$A$2:$F$313,4,FALSE)</f>
        <v>7208.3</v>
      </c>
      <c r="M88">
        <f>VLOOKUP($A88,'Sreenath''s data'!$A$2:$F$313,5,FALSE)</f>
        <v>104661</v>
      </c>
      <c r="N88">
        <f>VLOOKUP($A88,'Sreenath''s data'!$A$2:$F$313,6,FALSE)</f>
        <v>74.916062328309295</v>
      </c>
      <c r="O88">
        <f>VLOOKUP($A88,'Niteesh''s data'!$A$2:$I$313,3,FALSE)</f>
        <v>1238.329956</v>
      </c>
      <c r="P88">
        <f>VLOOKUP($A88,'Niteesh''s data'!$A$2:$I$313,4,FALSE)</f>
        <v>1323.8199460000001</v>
      </c>
      <c r="Q88">
        <f>VLOOKUP($A88,'Niteesh''s data'!$A$2:$I$313,5,FALSE)</f>
        <v>1216.030029</v>
      </c>
      <c r="R88">
        <f>VLOOKUP($A88,'Niteesh''s data'!$A$2:$I$313,6,FALSE)</f>
        <v>1286.369995</v>
      </c>
      <c r="S88">
        <f>VLOOKUP($A88,'Niteesh''s data'!$A$2:$I$313,7,FALSE)</f>
        <v>1286.369995</v>
      </c>
      <c r="T88">
        <f>VLOOKUP($A88,'Niteesh''s data'!$A$2:$I$313,8,FALSE)</f>
        <v>18002500000</v>
      </c>
      <c r="U88" s="61">
        <f>VLOOKUP($A88,'Niteesh''s data'!$A$2:$I$313,9,FALSE)</f>
        <v>1.15E-2</v>
      </c>
      <c r="V88">
        <f>VLOOKUP(A88,'Existing home Sales'!$A$2:$C$324,3,FALSE)</f>
        <v>5.0999999999999996</v>
      </c>
      <c r="W88" s="8">
        <v>3</v>
      </c>
      <c r="X88">
        <f>IFERROR(VLOOKUP(A88,'Home Depot Gross Profit'!$A$1:$B$105,2,FALSE)/3,IF(W88=2,X87,X87))</f>
        <v>764</v>
      </c>
      <c r="Y88">
        <f>IFERROR(VLOOKUP(A88,'LOWE''S GROSS PROFIT'!$A$1:$B$105,2,FALSE)/3,IF(X88=2,Y87/3,Y87))</f>
        <v>291.51333333333332</v>
      </c>
      <c r="Z88" s="8">
        <v>7.0350000000000001</v>
      </c>
      <c r="AA88">
        <v>6402</v>
      </c>
      <c r="AB88">
        <f>VLOOKUP(A88,'[1]Fed_Int (1)'!$A$2:$B$316,2,FALSE)</f>
        <v>4.8099999999999996</v>
      </c>
      <c r="AC88" s="8">
        <v>39.083331999999999</v>
      </c>
      <c r="AD88" s="8">
        <v>44.208331999999999</v>
      </c>
      <c r="AE88" s="8">
        <v>38.833331999999999</v>
      </c>
      <c r="AF88" s="8">
        <v>41.5</v>
      </c>
      <c r="AG88" s="8">
        <v>29.038694</v>
      </c>
      <c r="AH88" s="8">
        <v>111417300</v>
      </c>
      <c r="AI88" s="8">
        <v>14.75</v>
      </c>
      <c r="AJ88" s="8">
        <v>16.609375</v>
      </c>
      <c r="AK88" s="8">
        <v>14.671875</v>
      </c>
      <c r="AL88" s="8">
        <v>15.125</v>
      </c>
      <c r="AM88" s="8">
        <v>11.856476000000001</v>
      </c>
      <c r="AN88" s="8">
        <v>135782800</v>
      </c>
    </row>
    <row r="89" spans="1:40" x14ac:dyDescent="0.35">
      <c r="A89" s="1">
        <v>36251</v>
      </c>
      <c r="B89" s="13">
        <f t="shared" si="2"/>
        <v>4</v>
      </c>
      <c r="C89" s="13">
        <f t="shared" si="3"/>
        <v>1999</v>
      </c>
      <c r="D89" s="2">
        <v>17791</v>
      </c>
      <c r="E89">
        <f>VLOOKUP(A89,PSR!$A$12:$B$721,2,FALSE)</f>
        <v>4.5</v>
      </c>
      <c r="F89">
        <f>VLOOKUP(A89,CCI_USA!$F$2:$H$317,3,FALSE)</f>
        <v>102.2847</v>
      </c>
      <c r="G89">
        <f>INDEX('BLS Data Series'!$A$11:$M$39,MATCH('UI Datathon Development'!C89,'BLS Data Series'!$A$13:$A$39,0)+2,MATCH('UI Datathon Development'!B89,'BLS Data Series'!$B$11:$M$11,0)+1)</f>
        <v>4.3</v>
      </c>
      <c r="H89">
        <f>VLOOKUP(A89,'Houses for sale'!$B$10:$I$671,8,FALSE)</f>
        <v>290</v>
      </c>
      <c r="I89">
        <f>VLOOKUP(A89,'House starts'!$A$12:$B$325,2,FALSE)</f>
        <v>1553</v>
      </c>
      <c r="J89">
        <f>VLOOKUP(A89,'New house sales'!$A$13:$C$324,3,FALSE)</f>
        <v>159900</v>
      </c>
      <c r="K89">
        <f>VLOOKUP($A89,'Sreenath''s data'!$A$2:$F$313,3,FALSE)</f>
        <v>94.467999999999904</v>
      </c>
      <c r="L89">
        <f>VLOOKUP($A89,'Sreenath''s data'!$A$2:$F$313,4,FALSE)</f>
        <v>7153.1</v>
      </c>
      <c r="M89">
        <f>VLOOKUP($A89,'Sreenath''s data'!$A$2:$F$313,5,FALSE)</f>
        <v>104522</v>
      </c>
      <c r="N89">
        <f>VLOOKUP($A89,'Sreenath''s data'!$A$2:$F$313,6,FALSE)</f>
        <v>75.070608098971107</v>
      </c>
      <c r="O89">
        <f>VLOOKUP($A89,'Niteesh''s data'!$A$2:$I$313,3,FALSE)</f>
        <v>1286.369995</v>
      </c>
      <c r="P89">
        <f>VLOOKUP($A89,'Niteesh''s data'!$A$2:$I$313,4,FALSE)</f>
        <v>1371.5600589999999</v>
      </c>
      <c r="Q89">
        <f>VLOOKUP($A89,'Niteesh''s data'!$A$2:$I$313,5,FALSE)</f>
        <v>1282.5600589999999</v>
      </c>
      <c r="R89">
        <f>VLOOKUP($A89,'Niteesh''s data'!$A$2:$I$313,6,FALSE)</f>
        <v>1335.1800539999999</v>
      </c>
      <c r="S89">
        <f>VLOOKUP($A89,'Niteesh''s data'!$A$2:$I$313,7,FALSE)</f>
        <v>1335.1800539999999</v>
      </c>
      <c r="T89">
        <f>VLOOKUP($A89,'Niteesh''s data'!$A$2:$I$313,8,FALSE)</f>
        <v>18523200000</v>
      </c>
      <c r="U89" s="61">
        <f>VLOOKUP($A89,'Niteesh''s data'!$A$2:$I$313,9,FALSE)</f>
        <v>1.15E-2</v>
      </c>
      <c r="V89">
        <f>VLOOKUP(A89,'Existing home Sales'!$A$2:$C$324,3,FALSE)</f>
        <v>5.15</v>
      </c>
      <c r="W89" s="8">
        <v>1</v>
      </c>
      <c r="X89">
        <f>IFERROR(VLOOKUP(A89,'Home Depot Gross Profit'!$A$1:$B$105,2,FALSE)/3,IF(W89=2,X88,X88))</f>
        <v>891</v>
      </c>
      <c r="Y89">
        <f>IFERROR(VLOOKUP(A89,'LOWE''S GROSS PROFIT'!$A$1:$B$105,2,FALSE)/3,IF(X89=2,Y88/3,Y88))</f>
        <v>335.66666666666663</v>
      </c>
      <c r="Z89" s="8">
        <v>6.92</v>
      </c>
      <c r="AA89">
        <v>6480</v>
      </c>
      <c r="AB89">
        <f>VLOOKUP(A89,'[1]Fed_Int (1)'!$A$2:$B$316,2,FALSE)</f>
        <v>4.74</v>
      </c>
      <c r="AC89" s="8">
        <v>41.666668000000001</v>
      </c>
      <c r="AD89" s="8">
        <v>45.291668000000001</v>
      </c>
      <c r="AE89" s="8">
        <v>37.708331999999999</v>
      </c>
      <c r="AF89" s="8">
        <v>39.833331999999999</v>
      </c>
      <c r="AG89" s="8">
        <v>27.893529999999998</v>
      </c>
      <c r="AH89" s="8">
        <v>117391700</v>
      </c>
      <c r="AI89" s="8">
        <v>15.375</v>
      </c>
      <c r="AJ89" s="8">
        <v>16.375</v>
      </c>
      <c r="AK89" s="8">
        <v>12.828125</v>
      </c>
      <c r="AL89" s="8">
        <v>13.1875</v>
      </c>
      <c r="AM89" s="8">
        <v>10.337669999999999</v>
      </c>
      <c r="AN89" s="8">
        <v>141898400</v>
      </c>
    </row>
    <row r="90" spans="1:40" x14ac:dyDescent="0.35">
      <c r="A90" s="1">
        <v>36281</v>
      </c>
      <c r="B90" s="13">
        <f t="shared" si="2"/>
        <v>5</v>
      </c>
      <c r="C90" s="13">
        <f t="shared" si="3"/>
        <v>1999</v>
      </c>
      <c r="D90" s="2">
        <v>17914</v>
      </c>
      <c r="E90">
        <f>VLOOKUP(A90,PSR!$A$12:$B$721,2,FALSE)</f>
        <v>4.3</v>
      </c>
      <c r="F90">
        <f>VLOOKUP(A90,CCI_USA!$F$2:$H$317,3,FALSE)</f>
        <v>102.328</v>
      </c>
      <c r="G90">
        <f>INDEX('BLS Data Series'!$A$11:$M$39,MATCH('UI Datathon Development'!C90,'BLS Data Series'!$A$13:$A$39,0)+2,MATCH('UI Datathon Development'!B90,'BLS Data Series'!$B$11:$M$11,0)+1)</f>
        <v>4.2</v>
      </c>
      <c r="H90">
        <f>VLOOKUP(A90,'Houses for sale'!$B$10:$I$671,8,FALSE)</f>
        <v>295</v>
      </c>
      <c r="I90">
        <f>VLOOKUP(A90,'House starts'!$A$12:$B$325,2,FALSE)</f>
        <v>1611</v>
      </c>
      <c r="J90">
        <f>VLOOKUP(A90,'New house sales'!$A$13:$C$324,3,FALSE)</f>
        <v>154400</v>
      </c>
      <c r="K90">
        <f>VLOOKUP($A90,'Sreenath''s data'!$A$2:$F$313,3,FALSE)</f>
        <v>95.393999999999906</v>
      </c>
      <c r="L90">
        <f>VLOOKUP($A90,'Sreenath''s data'!$A$2:$F$313,4,FALSE)</f>
        <v>7223.3</v>
      </c>
      <c r="M90">
        <f>VLOOKUP($A90,'Sreenath''s data'!$A$2:$F$313,5,FALSE)</f>
        <v>104855</v>
      </c>
      <c r="N90">
        <f>VLOOKUP($A90,'Sreenath''s data'!$A$2:$F$313,6,FALSE)</f>
        <v>75.031971656305601</v>
      </c>
      <c r="O90">
        <f>VLOOKUP($A90,'Niteesh''s data'!$A$2:$I$313,3,FALSE)</f>
        <v>1335.1800539999999</v>
      </c>
      <c r="P90">
        <f>VLOOKUP($A90,'Niteesh''s data'!$A$2:$I$313,4,FALSE)</f>
        <v>1375.9799800000001</v>
      </c>
      <c r="Q90">
        <f>VLOOKUP($A90,'Niteesh''s data'!$A$2:$I$313,5,FALSE)</f>
        <v>1277.3100589999999</v>
      </c>
      <c r="R90">
        <f>VLOOKUP($A90,'Niteesh''s data'!$A$2:$I$313,6,FALSE)</f>
        <v>1301.839966</v>
      </c>
      <c r="S90">
        <f>VLOOKUP($A90,'Niteesh''s data'!$A$2:$I$313,7,FALSE)</f>
        <v>1301.839966</v>
      </c>
      <c r="T90">
        <f>VLOOKUP($A90,'Niteesh''s data'!$A$2:$I$313,8,FALSE)</f>
        <v>15880260000</v>
      </c>
      <c r="U90" s="61">
        <f>VLOOKUP($A90,'Niteesh''s data'!$A$2:$I$313,9,FALSE)</f>
        <v>1.15E-2</v>
      </c>
      <c r="V90">
        <f>VLOOKUP(A90,'Existing home Sales'!$A$2:$C$324,3,FALSE)</f>
        <v>5.08</v>
      </c>
      <c r="W90" s="8">
        <v>2</v>
      </c>
      <c r="X90">
        <f>IFERROR(VLOOKUP(A90,'Home Depot Gross Profit'!$A$1:$B$105,2,FALSE)/3,IF(W90=2,X89,X89))</f>
        <v>891</v>
      </c>
      <c r="Y90">
        <f>IFERROR(VLOOKUP(A90,'LOWE''S GROSS PROFIT'!$A$1:$B$105,2,FALSE)/3,IF(X90=2,Y89/3,Y89))</f>
        <v>335.66666666666663</v>
      </c>
      <c r="Z90" s="8">
        <v>7.165</v>
      </c>
      <c r="AA90">
        <v>6516</v>
      </c>
      <c r="AB90">
        <f>VLOOKUP(A90,'[1]Fed_Int (1)'!$A$2:$B$316,2,FALSE)</f>
        <v>4.74</v>
      </c>
      <c r="AC90" s="8">
        <v>39.875</v>
      </c>
      <c r="AD90" s="8">
        <v>41.166668000000001</v>
      </c>
      <c r="AE90" s="8">
        <v>36.833331999999999</v>
      </c>
      <c r="AF90" s="8">
        <v>37.708331999999999</v>
      </c>
      <c r="AG90" s="8">
        <v>26.405479</v>
      </c>
      <c r="AH90" s="8">
        <v>124822600</v>
      </c>
      <c r="AI90" s="8">
        <v>13.1875</v>
      </c>
      <c r="AJ90" s="8">
        <v>14.21875</v>
      </c>
      <c r="AK90" s="8">
        <v>12.65625</v>
      </c>
      <c r="AL90" s="8">
        <v>12.921875</v>
      </c>
      <c r="AM90" s="8">
        <v>10.148479</v>
      </c>
      <c r="AN90" s="8">
        <v>103995600</v>
      </c>
    </row>
    <row r="91" spans="1:40" x14ac:dyDescent="0.35">
      <c r="A91" s="1">
        <v>36312</v>
      </c>
      <c r="B91" s="13">
        <f t="shared" si="2"/>
        <v>6</v>
      </c>
      <c r="C91" s="13">
        <f t="shared" si="3"/>
        <v>1999</v>
      </c>
      <c r="D91" s="2">
        <v>17969</v>
      </c>
      <c r="E91">
        <f>VLOOKUP(A91,PSR!$A$12:$B$721,2,FALSE)</f>
        <v>4.2</v>
      </c>
      <c r="F91">
        <f>VLOOKUP(A91,CCI_USA!$F$2:$H$317,3,FALSE)</f>
        <v>102.339</v>
      </c>
      <c r="G91">
        <f>INDEX('BLS Data Series'!$A$11:$M$39,MATCH('UI Datathon Development'!C91,'BLS Data Series'!$A$13:$A$39,0)+2,MATCH('UI Datathon Development'!B91,'BLS Data Series'!$B$11:$M$11,0)+1)</f>
        <v>4.3</v>
      </c>
      <c r="H91">
        <f>VLOOKUP(A91,'Houses for sale'!$B$10:$I$671,8,FALSE)</f>
        <v>295</v>
      </c>
      <c r="I91">
        <f>VLOOKUP(A91,'House starts'!$A$12:$B$325,2,FALSE)</f>
        <v>1559</v>
      </c>
      <c r="J91">
        <f>VLOOKUP(A91,'New house sales'!$A$13:$C$324,3,FALSE)</f>
        <v>159300</v>
      </c>
      <c r="K91">
        <f>VLOOKUP($A91,'Sreenath''s data'!$A$2:$F$313,3,FALSE)</f>
        <v>96.396000000000001</v>
      </c>
      <c r="L91">
        <f>VLOOKUP($A91,'Sreenath''s data'!$A$2:$F$313,4,FALSE)</f>
        <v>7245.4</v>
      </c>
      <c r="M91">
        <f>VLOOKUP($A91,'Sreenath''s data'!$A$2:$F$313,5,FALSE)</f>
        <v>105070</v>
      </c>
      <c r="N91">
        <f>VLOOKUP($A91,'Sreenath''s data'!$A$2:$F$313,6,FALSE)</f>
        <v>75.302426754963804</v>
      </c>
      <c r="O91">
        <f>VLOOKUP($A91,'Niteesh''s data'!$A$2:$I$313,3,FALSE)</f>
        <v>1301.839966</v>
      </c>
      <c r="P91">
        <f>VLOOKUP($A91,'Niteesh''s data'!$A$2:$I$313,4,FALSE)</f>
        <v>1372.9300539999999</v>
      </c>
      <c r="Q91">
        <f>VLOOKUP($A91,'Niteesh''s data'!$A$2:$I$313,5,FALSE)</f>
        <v>1277.469971</v>
      </c>
      <c r="R91">
        <f>VLOOKUP($A91,'Niteesh''s data'!$A$2:$I$313,6,FALSE)</f>
        <v>1372.709961</v>
      </c>
      <c r="S91">
        <f>VLOOKUP($A91,'Niteesh''s data'!$A$2:$I$313,7,FALSE)</f>
        <v>1372.709961</v>
      </c>
      <c r="T91">
        <f>VLOOKUP($A91,'Niteesh''s data'!$A$2:$I$313,8,FALSE)</f>
        <v>16079170000</v>
      </c>
      <c r="U91" s="61">
        <f>VLOOKUP($A91,'Niteesh''s data'!$A$2:$I$313,9,FALSE)</f>
        <v>1.15E-2</v>
      </c>
      <c r="V91">
        <f>VLOOKUP(A91,'Existing home Sales'!$A$2:$C$324,3,FALSE)</f>
        <v>5.19</v>
      </c>
      <c r="W91" s="8">
        <v>3</v>
      </c>
      <c r="X91">
        <f>IFERROR(VLOOKUP(A91,'Home Depot Gross Profit'!$A$1:$B$105,2,FALSE)/3,IF(W91=2,X90,X90))</f>
        <v>891</v>
      </c>
      <c r="Y91">
        <f>IFERROR(VLOOKUP(A91,'LOWE''S GROSS PROFIT'!$A$1:$B$105,2,FALSE)/3,IF(X91=2,Y90/3,Y90))</f>
        <v>335.66666666666663</v>
      </c>
      <c r="Z91" s="8">
        <v>7.57</v>
      </c>
      <c r="AA91">
        <v>6547</v>
      </c>
      <c r="AB91">
        <f>VLOOKUP(A91,'[1]Fed_Int (1)'!$A$2:$B$316,2,FALSE)</f>
        <v>4.76</v>
      </c>
      <c r="AC91" s="8">
        <v>38</v>
      </c>
      <c r="AD91" s="8">
        <v>43.125</v>
      </c>
      <c r="AE91" s="8">
        <v>36.75</v>
      </c>
      <c r="AF91" s="8">
        <v>42.958331999999999</v>
      </c>
      <c r="AG91" s="8">
        <v>30.081824999999998</v>
      </c>
      <c r="AH91" s="8">
        <v>104368200</v>
      </c>
      <c r="AI91" s="8">
        <v>12.875</v>
      </c>
      <c r="AJ91" s="8">
        <v>14.25</v>
      </c>
      <c r="AK91" s="8">
        <v>12.421875</v>
      </c>
      <c r="AL91" s="8">
        <v>14.171875</v>
      </c>
      <c r="AM91" s="8">
        <v>11.130191999999999</v>
      </c>
      <c r="AN91" s="8">
        <v>93246800</v>
      </c>
    </row>
    <row r="92" spans="1:40" x14ac:dyDescent="0.35">
      <c r="A92" s="1">
        <v>36342</v>
      </c>
      <c r="B92" s="13">
        <f t="shared" si="2"/>
        <v>7</v>
      </c>
      <c r="C92" s="13">
        <f t="shared" si="3"/>
        <v>1999</v>
      </c>
      <c r="D92" s="2">
        <v>18183</v>
      </c>
      <c r="E92">
        <f>VLOOKUP(A92,PSR!$A$12:$B$721,2,FALSE)</f>
        <v>4.0999999999999996</v>
      </c>
      <c r="F92">
        <f>VLOOKUP(A92,CCI_USA!$F$2:$H$317,3,FALSE)</f>
        <v>102.2839</v>
      </c>
      <c r="G92">
        <f>INDEX('BLS Data Series'!$A$11:$M$39,MATCH('UI Datathon Development'!C92,'BLS Data Series'!$A$13:$A$39,0)+2,MATCH('UI Datathon Development'!B92,'BLS Data Series'!$B$11:$M$11,0)+1)</f>
        <v>4.3</v>
      </c>
      <c r="H92">
        <f>VLOOKUP(A92,'Houses for sale'!$B$10:$I$671,8,FALSE)</f>
        <v>297</v>
      </c>
      <c r="I92">
        <f>VLOOKUP(A92,'House starts'!$A$12:$B$325,2,FALSE)</f>
        <v>1669</v>
      </c>
      <c r="J92">
        <f>VLOOKUP(A92,'New house sales'!$A$13:$C$324,3,FALSE)</f>
        <v>158200</v>
      </c>
      <c r="K92">
        <f>VLOOKUP($A92,'Sreenath''s data'!$A$2:$F$313,3,FALSE)</f>
        <v>97.223999999999904</v>
      </c>
      <c r="L92">
        <f>VLOOKUP($A92,'Sreenath''s data'!$A$2:$F$313,4,FALSE)</f>
        <v>7259.9</v>
      </c>
      <c r="M92">
        <f>VLOOKUP($A92,'Sreenath''s data'!$A$2:$F$313,5,FALSE)</f>
        <v>105016</v>
      </c>
      <c r="N92">
        <f>VLOOKUP($A92,'Sreenath''s data'!$A$2:$F$313,6,FALSE)</f>
        <v>75.6115182962874</v>
      </c>
      <c r="O92">
        <f>VLOOKUP($A92,'Niteesh''s data'!$A$2:$I$313,3,FALSE)</f>
        <v>1372.709961</v>
      </c>
      <c r="P92">
        <f>VLOOKUP($A92,'Niteesh''s data'!$A$2:$I$313,4,FALSE)</f>
        <v>1420.329956</v>
      </c>
      <c r="Q92">
        <f>VLOOKUP($A92,'Niteesh''s data'!$A$2:$I$313,5,FALSE)</f>
        <v>1328.48999</v>
      </c>
      <c r="R92">
        <f>VLOOKUP($A92,'Niteesh''s data'!$A$2:$I$313,6,FALSE)</f>
        <v>1328.719971</v>
      </c>
      <c r="S92">
        <f>VLOOKUP($A92,'Niteesh''s data'!$A$2:$I$313,7,FALSE)</f>
        <v>1328.719971</v>
      </c>
      <c r="T92">
        <f>VLOOKUP($A92,'Niteesh''s data'!$A$2:$I$313,8,FALSE)</f>
        <v>15332930000</v>
      </c>
      <c r="U92" s="61">
        <f>VLOOKUP($A92,'Niteesh''s data'!$A$2:$I$313,9,FALSE)</f>
        <v>1.15E-2</v>
      </c>
      <c r="V92">
        <f>VLOOKUP(A92,'Existing home Sales'!$A$2:$C$324,3,FALSE)</f>
        <v>5.43</v>
      </c>
      <c r="W92" s="8">
        <v>1</v>
      </c>
      <c r="X92">
        <f>IFERROR(VLOOKUP(A92,'Home Depot Gross Profit'!$A$1:$B$105,2,FALSE)/3,IF(W92=2,X91,X91))</f>
        <v>1047.6666666666667</v>
      </c>
      <c r="Y92">
        <f>IFERROR(VLOOKUP(A92,'LOWE''S GROSS PROFIT'!$A$1:$B$105,2,FALSE)/3,IF(X92=2,Y91/3,Y91))</f>
        <v>396</v>
      </c>
      <c r="Z92" s="8">
        <v>7.65</v>
      </c>
      <c r="AA92">
        <v>6571</v>
      </c>
      <c r="AB92">
        <f>VLOOKUP(A92,'[1]Fed_Int (1)'!$A$2:$B$316,2,FALSE)</f>
        <v>4.99</v>
      </c>
      <c r="AC92" s="8">
        <v>42.541668000000001</v>
      </c>
      <c r="AD92" s="8">
        <v>46.625</v>
      </c>
      <c r="AE92" s="8">
        <v>41.625</v>
      </c>
      <c r="AF92" s="8">
        <v>42.541668000000001</v>
      </c>
      <c r="AG92" s="8">
        <v>29.819842999999999</v>
      </c>
      <c r="AH92" s="8">
        <v>87116400</v>
      </c>
      <c r="AI92" s="8">
        <v>14.15625</v>
      </c>
      <c r="AJ92" s="8">
        <v>15</v>
      </c>
      <c r="AK92" s="8">
        <v>13.125</v>
      </c>
      <c r="AL92" s="8">
        <v>13.1875</v>
      </c>
      <c r="AM92" s="8">
        <v>10.357086000000001</v>
      </c>
      <c r="AN92" s="8">
        <v>78780000</v>
      </c>
    </row>
    <row r="93" spans="1:40" x14ac:dyDescent="0.35">
      <c r="A93" s="1">
        <v>36373</v>
      </c>
      <c r="B93" s="13">
        <f t="shared" si="2"/>
        <v>8</v>
      </c>
      <c r="C93" s="13">
        <f t="shared" si="3"/>
        <v>1999</v>
      </c>
      <c r="D93" s="2">
        <v>18341</v>
      </c>
      <c r="E93">
        <f>VLOOKUP(A93,PSR!$A$12:$B$721,2,FALSE)</f>
        <v>4</v>
      </c>
      <c r="F93">
        <f>VLOOKUP(A93,CCI_USA!$F$2:$H$317,3,FALSE)</f>
        <v>102.22280000000001</v>
      </c>
      <c r="G93">
        <f>INDEX('BLS Data Series'!$A$11:$M$39,MATCH('UI Datathon Development'!C93,'BLS Data Series'!$A$13:$A$39,0)+2,MATCH('UI Datathon Development'!B93,'BLS Data Series'!$B$11:$M$11,0)+1)</f>
        <v>4.2</v>
      </c>
      <c r="H93">
        <f>VLOOKUP(A93,'Houses for sale'!$B$10:$I$671,8,FALSE)</f>
        <v>298</v>
      </c>
      <c r="I93">
        <f>VLOOKUP(A93,'House starts'!$A$12:$B$325,2,FALSE)</f>
        <v>1648</v>
      </c>
      <c r="J93">
        <f>VLOOKUP(A93,'New house sales'!$A$13:$C$324,3,FALSE)</f>
        <v>154800</v>
      </c>
      <c r="K93">
        <f>VLOOKUP($A93,'Sreenath''s data'!$A$2:$F$313,3,FALSE)</f>
        <v>97.93</v>
      </c>
      <c r="L93">
        <f>VLOOKUP($A93,'Sreenath''s data'!$A$2:$F$313,4,FALSE)</f>
        <v>7265.8</v>
      </c>
      <c r="M93">
        <f>VLOOKUP($A93,'Sreenath''s data'!$A$2:$F$313,5,FALSE)</f>
        <v>105166</v>
      </c>
      <c r="N93">
        <f>VLOOKUP($A93,'Sreenath''s data'!$A$2:$F$313,6,FALSE)</f>
        <v>75.766064066949198</v>
      </c>
      <c r="O93">
        <f>VLOOKUP($A93,'Niteesh''s data'!$A$2:$I$313,3,FALSE)</f>
        <v>1328.719971</v>
      </c>
      <c r="P93">
        <f>VLOOKUP($A93,'Niteesh''s data'!$A$2:$I$313,4,FALSE)</f>
        <v>1382.839966</v>
      </c>
      <c r="Q93">
        <f>VLOOKUP($A93,'Niteesh''s data'!$A$2:$I$313,5,FALSE)</f>
        <v>1267.7299800000001</v>
      </c>
      <c r="R93">
        <f>VLOOKUP($A93,'Niteesh''s data'!$A$2:$I$313,6,FALSE)</f>
        <v>1320.410034</v>
      </c>
      <c r="S93">
        <f>VLOOKUP($A93,'Niteesh''s data'!$A$2:$I$313,7,FALSE)</f>
        <v>1320.410034</v>
      </c>
      <c r="T93">
        <f>VLOOKUP($A93,'Niteesh''s data'!$A$2:$I$313,8,FALSE)</f>
        <v>15818550000</v>
      </c>
      <c r="U93" s="61">
        <f>VLOOKUP($A93,'Niteesh''s data'!$A$2:$I$313,9,FALSE)</f>
        <v>1.1599999999999999E-2</v>
      </c>
      <c r="V93">
        <f>VLOOKUP(A93,'Existing home Sales'!$A$2:$C$324,3,FALSE)</f>
        <v>5.25</v>
      </c>
      <c r="W93" s="8">
        <v>2</v>
      </c>
      <c r="X93">
        <f>IFERROR(VLOOKUP(A93,'Home Depot Gross Profit'!$A$1:$B$105,2,FALSE)/3,IF(W93=2,X92,X92))</f>
        <v>1047.6666666666667</v>
      </c>
      <c r="Y93">
        <f>IFERROR(VLOOKUP(A93,'LOWE''S GROSS PROFIT'!$A$1:$B$105,2,FALSE)/3,IF(X93=2,Y92/3,Y92))</f>
        <v>396</v>
      </c>
      <c r="Z93" s="8">
        <v>7.91</v>
      </c>
      <c r="AA93">
        <v>6586</v>
      </c>
      <c r="AB93">
        <f>VLOOKUP(A93,'[1]Fed_Int (1)'!$A$2:$B$316,2,FALSE)</f>
        <v>5.07</v>
      </c>
      <c r="AC93" s="8">
        <v>42.083331999999999</v>
      </c>
      <c r="AD93" s="8">
        <v>44.25</v>
      </c>
      <c r="AE93" s="8">
        <v>35.75</v>
      </c>
      <c r="AF93" s="8">
        <v>41</v>
      </c>
      <c r="AG93" s="8">
        <v>28.739183000000001</v>
      </c>
      <c r="AH93" s="8">
        <v>119803400</v>
      </c>
      <c r="AI93" s="8">
        <v>12.96875</v>
      </c>
      <c r="AJ93" s="8">
        <v>13.296875</v>
      </c>
      <c r="AK93" s="8">
        <v>10.875</v>
      </c>
      <c r="AL93" s="8">
        <v>11.3125</v>
      </c>
      <c r="AM93" s="8">
        <v>8.9029360000000004</v>
      </c>
      <c r="AN93" s="8">
        <v>151491600</v>
      </c>
    </row>
    <row r="94" spans="1:40" x14ac:dyDescent="0.35">
      <c r="A94" s="1">
        <v>36404</v>
      </c>
      <c r="B94" s="13">
        <f t="shared" si="2"/>
        <v>9</v>
      </c>
      <c r="C94" s="13">
        <f t="shared" si="3"/>
        <v>1999</v>
      </c>
      <c r="D94" s="2">
        <v>18175</v>
      </c>
      <c r="E94">
        <f>VLOOKUP(A94,PSR!$A$12:$B$721,2,FALSE)</f>
        <v>3.5</v>
      </c>
      <c r="F94">
        <f>VLOOKUP(A94,CCI_USA!$F$2:$H$317,3,FALSE)</f>
        <v>102.21259999999999</v>
      </c>
      <c r="G94">
        <f>INDEX('BLS Data Series'!$A$11:$M$39,MATCH('UI Datathon Development'!C94,'BLS Data Series'!$A$13:$A$39,0)+2,MATCH('UI Datathon Development'!B94,'BLS Data Series'!$B$11:$M$11,0)+1)</f>
        <v>4.2</v>
      </c>
      <c r="H94">
        <f>VLOOKUP(A94,'Houses for sale'!$B$10:$I$671,8,FALSE)</f>
        <v>301</v>
      </c>
      <c r="I94">
        <f>VLOOKUP(A94,'House starts'!$A$12:$B$325,2,FALSE)</f>
        <v>1635</v>
      </c>
      <c r="J94">
        <f>VLOOKUP(A94,'New house sales'!$A$13:$C$324,3,FALSE)</f>
        <v>163200</v>
      </c>
      <c r="K94">
        <f>VLOOKUP($A94,'Sreenath''s data'!$A$2:$F$313,3,FALSE)</f>
        <v>98.433999999999997</v>
      </c>
      <c r="L94">
        <f>VLOOKUP($A94,'Sreenath''s data'!$A$2:$F$313,4,FALSE)</f>
        <v>7289.4</v>
      </c>
      <c r="M94">
        <f>VLOOKUP($A94,'Sreenath''s data'!$A$2:$F$313,5,FALSE)</f>
        <v>105239</v>
      </c>
      <c r="N94">
        <f>VLOOKUP($A94,'Sreenath''s data'!$A$2:$F$313,6,FALSE)</f>
        <v>75.766064066949198</v>
      </c>
      <c r="O94">
        <f>VLOOKUP($A94,'Niteesh''s data'!$A$2:$I$313,3,FALSE)</f>
        <v>1320.410034</v>
      </c>
      <c r="P94">
        <f>VLOOKUP($A94,'Niteesh''s data'!$A$2:$I$313,4,FALSE)</f>
        <v>1361.3900149999999</v>
      </c>
      <c r="Q94">
        <f>VLOOKUP($A94,'Niteesh''s data'!$A$2:$I$313,5,FALSE)</f>
        <v>1256.26001</v>
      </c>
      <c r="R94">
        <f>VLOOKUP($A94,'Niteesh''s data'!$A$2:$I$313,6,FALSE)</f>
        <v>1282.709961</v>
      </c>
      <c r="S94">
        <f>VLOOKUP($A94,'Niteesh''s data'!$A$2:$I$313,7,FALSE)</f>
        <v>1282.709961</v>
      </c>
      <c r="T94">
        <f>VLOOKUP($A94,'Niteesh''s data'!$A$2:$I$313,8,FALSE)</f>
        <v>16438700000</v>
      </c>
      <c r="U94" s="61">
        <f>VLOOKUP($A94,'Niteesh''s data'!$A$2:$I$313,9,FALSE)</f>
        <v>1.1599999999999999E-2</v>
      </c>
      <c r="V94">
        <f>VLOOKUP(A94,'Existing home Sales'!$A$2:$C$324,3,FALSE)</f>
        <v>5.23</v>
      </c>
      <c r="W94" s="8">
        <v>3</v>
      </c>
      <c r="X94">
        <f>IFERROR(VLOOKUP(A94,'Home Depot Gross Profit'!$A$1:$B$105,2,FALSE)/3,IF(W94=2,X93,X93))</f>
        <v>1047.6666666666667</v>
      </c>
      <c r="Y94">
        <f>IFERROR(VLOOKUP(A94,'LOWE''S GROSS PROFIT'!$A$1:$B$105,2,FALSE)/3,IF(X94=2,Y93/3,Y93))</f>
        <v>396</v>
      </c>
      <c r="Z94" s="8">
        <v>7.8250000000000002</v>
      </c>
      <c r="AA94">
        <v>6613</v>
      </c>
      <c r="AB94">
        <f>VLOOKUP(A94,'[1]Fed_Int (1)'!$A$2:$B$316,2,FALSE)</f>
        <v>5.22</v>
      </c>
      <c r="AC94" s="8">
        <v>40.833331999999999</v>
      </c>
      <c r="AD94" s="8">
        <v>46</v>
      </c>
      <c r="AE94" s="8">
        <v>39.375</v>
      </c>
      <c r="AF94" s="8">
        <v>45.75</v>
      </c>
      <c r="AG94" s="8">
        <v>32.099894999999997</v>
      </c>
      <c r="AH94" s="8">
        <v>101501700</v>
      </c>
      <c r="AI94" s="8">
        <v>11.25</v>
      </c>
      <c r="AJ94" s="8">
        <v>12.234375</v>
      </c>
      <c r="AK94" s="8">
        <v>10.75</v>
      </c>
      <c r="AL94" s="8">
        <v>12.1875</v>
      </c>
      <c r="AM94" s="8">
        <v>9.5915630000000007</v>
      </c>
      <c r="AN94" s="8">
        <v>151983200</v>
      </c>
    </row>
    <row r="95" spans="1:40" x14ac:dyDescent="0.35">
      <c r="A95" s="1">
        <v>36434</v>
      </c>
      <c r="B95" s="13">
        <f t="shared" si="2"/>
        <v>10</v>
      </c>
      <c r="C95" s="13">
        <f t="shared" si="3"/>
        <v>1999</v>
      </c>
      <c r="D95" s="2">
        <v>18606</v>
      </c>
      <c r="E95">
        <f>VLOOKUP(A95,PSR!$A$12:$B$721,2,FALSE)</f>
        <v>3.9</v>
      </c>
      <c r="F95">
        <f>VLOOKUP(A95,CCI_USA!$F$2:$H$317,3,FALSE)</f>
        <v>102.1922</v>
      </c>
      <c r="G95">
        <f>INDEX('BLS Data Series'!$A$11:$M$39,MATCH('UI Datathon Development'!C95,'BLS Data Series'!$A$13:$A$39,0)+2,MATCH('UI Datathon Development'!B95,'BLS Data Series'!$B$11:$M$11,0)+1)</f>
        <v>4.0999999999999996</v>
      </c>
      <c r="H95">
        <f>VLOOKUP(A95,'Houses for sale'!$B$10:$I$671,8,FALSE)</f>
        <v>303</v>
      </c>
      <c r="I95">
        <f>VLOOKUP(A95,'House starts'!$A$12:$B$325,2,FALSE)</f>
        <v>1608</v>
      </c>
      <c r="J95">
        <f>VLOOKUP(A95,'New house sales'!$A$13:$C$324,3,FALSE)</f>
        <v>161100</v>
      </c>
      <c r="K95">
        <f>VLOOKUP($A95,'Sreenath''s data'!$A$2:$F$313,3,FALSE)</f>
        <v>98.87</v>
      </c>
      <c r="L95">
        <f>VLOOKUP($A95,'Sreenath''s data'!$A$2:$F$313,4,FALSE)</f>
        <v>7297.7</v>
      </c>
      <c r="M95">
        <f>VLOOKUP($A95,'Sreenath''s data'!$A$2:$F$313,5,FALSE)</f>
        <v>105335</v>
      </c>
      <c r="N95">
        <f>VLOOKUP($A95,'Sreenath''s data'!$A$2:$F$313,6,FALSE)</f>
        <v>75.843336952280097</v>
      </c>
      <c r="O95">
        <f>VLOOKUP($A95,'Niteesh''s data'!$A$2:$I$313,3,FALSE)</f>
        <v>1282.709961</v>
      </c>
      <c r="P95">
        <f>VLOOKUP($A95,'Niteesh''s data'!$A$2:$I$313,4,FALSE)</f>
        <v>1373.170044</v>
      </c>
      <c r="Q95">
        <f>VLOOKUP($A95,'Niteesh''s data'!$A$2:$I$313,5,FALSE)</f>
        <v>1233.6999510000001</v>
      </c>
      <c r="R95">
        <f>VLOOKUP($A95,'Niteesh''s data'!$A$2:$I$313,6,FALSE)</f>
        <v>1362.9300539999999</v>
      </c>
      <c r="S95">
        <f>VLOOKUP($A95,'Niteesh''s data'!$A$2:$I$313,7,FALSE)</f>
        <v>1362.9300539999999</v>
      </c>
      <c r="T95">
        <f>VLOOKUP($A95,'Niteesh''s data'!$A$2:$I$313,8,FALSE)</f>
        <v>18832000000</v>
      </c>
      <c r="U95" s="61">
        <f>VLOOKUP($A95,'Niteesh''s data'!$A$2:$I$313,9,FALSE)</f>
        <v>1.1599999999999999E-2</v>
      </c>
      <c r="V95">
        <f>VLOOKUP(A95,'Existing home Sales'!$A$2:$C$324,3,FALSE)</f>
        <v>5.12</v>
      </c>
      <c r="W95" s="8">
        <v>1</v>
      </c>
      <c r="X95">
        <f>IFERROR(VLOOKUP(A95,'Home Depot Gross Profit'!$A$1:$B$105,2,FALSE)/3,IF(W95=2,X94,X94))</f>
        <v>1003.6666666666666</v>
      </c>
      <c r="Y95">
        <f>IFERROR(VLOOKUP(A95,'LOWE''S GROSS PROFIT'!$A$1:$B$105,2,FALSE)/3,IF(X95=2,Y94/3,Y94))</f>
        <v>363.33333333333331</v>
      </c>
      <c r="Z95" s="8">
        <v>7.85</v>
      </c>
      <c r="AA95">
        <v>6640</v>
      </c>
      <c r="AB95">
        <f>VLOOKUP(A95,'[1]Fed_Int (1)'!$A$2:$B$316,2,FALSE)</f>
        <v>5.2</v>
      </c>
      <c r="AC95" s="8">
        <v>45.583331999999999</v>
      </c>
      <c r="AD95" s="8">
        <v>52.333331999999999</v>
      </c>
      <c r="AE95" s="8">
        <v>44.708331999999999</v>
      </c>
      <c r="AF95" s="8">
        <v>50.5</v>
      </c>
      <c r="AG95" s="8">
        <v>35.432685999999997</v>
      </c>
      <c r="AH95" s="8">
        <v>126242100</v>
      </c>
      <c r="AI95" s="8">
        <v>12.125</v>
      </c>
      <c r="AJ95" s="8">
        <v>13.984375</v>
      </c>
      <c r="AK95" s="8">
        <v>11.8125</v>
      </c>
      <c r="AL95" s="8">
        <v>13.84375</v>
      </c>
      <c r="AM95" s="8">
        <v>10.895030999999999</v>
      </c>
      <c r="AN95" s="8">
        <v>156050800</v>
      </c>
    </row>
    <row r="96" spans="1:40" x14ac:dyDescent="0.35">
      <c r="A96" s="1">
        <v>36465</v>
      </c>
      <c r="B96" s="13">
        <f t="shared" si="2"/>
        <v>11</v>
      </c>
      <c r="C96" s="13">
        <f t="shared" si="3"/>
        <v>1999</v>
      </c>
      <c r="D96" s="2">
        <v>18944</v>
      </c>
      <c r="E96">
        <f>VLOOKUP(A96,PSR!$A$12:$B$721,2,FALSE)</f>
        <v>4.0999999999999996</v>
      </c>
      <c r="F96">
        <f>VLOOKUP(A96,CCI_USA!$F$2:$H$317,3,FALSE)</f>
        <v>102.3092</v>
      </c>
      <c r="G96">
        <f>INDEX('BLS Data Series'!$A$11:$M$39,MATCH('UI Datathon Development'!C96,'BLS Data Series'!$A$13:$A$39,0)+2,MATCH('UI Datathon Development'!B96,'BLS Data Series'!$B$11:$M$11,0)+1)</f>
        <v>4.0999999999999996</v>
      </c>
      <c r="H96">
        <f>VLOOKUP(A96,'Houses for sale'!$B$10:$I$671,8,FALSE)</f>
        <v>305</v>
      </c>
      <c r="I96">
        <f>VLOOKUP(A96,'House starts'!$A$12:$B$325,2,FALSE)</f>
        <v>1648</v>
      </c>
      <c r="J96">
        <f>VLOOKUP(A96,'New house sales'!$A$13:$C$324,3,FALSE)</f>
        <v>172000</v>
      </c>
      <c r="K96">
        <f>VLOOKUP($A96,'Sreenath''s data'!$A$2:$F$313,3,FALSE)</f>
        <v>99.188999999999993</v>
      </c>
      <c r="L96">
        <f>VLOOKUP($A96,'Sreenath''s data'!$A$2:$F$313,4,FALSE)</f>
        <v>7317.5</v>
      </c>
      <c r="M96">
        <f>VLOOKUP($A96,'Sreenath''s data'!$A$2:$F$313,5,FALSE)</f>
        <v>105309</v>
      </c>
      <c r="N96">
        <f>VLOOKUP($A96,'Sreenath''s data'!$A$2:$F$313,6,FALSE)</f>
        <v>75.843336952280097</v>
      </c>
      <c r="O96">
        <f>VLOOKUP($A96,'Niteesh''s data'!$A$2:$I$313,3,FALSE)</f>
        <v>1362.9300539999999</v>
      </c>
      <c r="P96">
        <f>VLOOKUP($A96,'Niteesh''s data'!$A$2:$I$313,4,FALSE)</f>
        <v>1425.3100589999999</v>
      </c>
      <c r="Q96">
        <f>VLOOKUP($A96,'Niteesh''s data'!$A$2:$I$313,5,FALSE)</f>
        <v>1346.410034</v>
      </c>
      <c r="R96">
        <f>VLOOKUP($A96,'Niteesh''s data'!$A$2:$I$313,6,FALSE)</f>
        <v>1388.910034</v>
      </c>
      <c r="S96">
        <f>VLOOKUP($A96,'Niteesh''s data'!$A$2:$I$313,7,FALSE)</f>
        <v>1388.910034</v>
      </c>
      <c r="T96">
        <f>VLOOKUP($A96,'Niteesh''s data'!$A$2:$I$313,8,FALSE)</f>
        <v>18384820000</v>
      </c>
      <c r="U96" s="61">
        <f>VLOOKUP($A96,'Niteesh''s data'!$A$2:$I$313,9,FALSE)</f>
        <v>1.1599999999999999E-2</v>
      </c>
      <c r="V96">
        <f>VLOOKUP(A96,'Existing home Sales'!$A$2:$C$324,3,FALSE)</f>
        <v>5.1100000000000003</v>
      </c>
      <c r="W96" s="8">
        <v>2</v>
      </c>
      <c r="X96">
        <f>IFERROR(VLOOKUP(A96,'Home Depot Gross Profit'!$A$1:$B$105,2,FALSE)/3,IF(W96=2,X95,X95))</f>
        <v>1003.6666666666666</v>
      </c>
      <c r="Y96">
        <f>IFERROR(VLOOKUP(A96,'LOWE''S GROSS PROFIT'!$A$1:$B$105,2,FALSE)/3,IF(X96=2,Y95/3,Y95))</f>
        <v>363.33333333333331</v>
      </c>
      <c r="Z96" s="8">
        <v>7.72</v>
      </c>
      <c r="AA96">
        <v>6687</v>
      </c>
      <c r="AB96">
        <f>VLOOKUP(A96,'[1]Fed_Int (1)'!$A$2:$B$316,2,FALSE)</f>
        <v>5.42</v>
      </c>
      <c r="AC96" s="8">
        <v>50.416668000000001</v>
      </c>
      <c r="AD96" s="8">
        <v>55.666668000000001</v>
      </c>
      <c r="AE96" s="8">
        <v>49.916668000000001</v>
      </c>
      <c r="AF96" s="8">
        <v>52.791668000000001</v>
      </c>
      <c r="AG96" s="8">
        <v>37.040599999999998</v>
      </c>
      <c r="AH96" s="8">
        <v>116575000</v>
      </c>
      <c r="AI96" s="8">
        <v>13.78125</v>
      </c>
      <c r="AJ96" s="8">
        <v>14.609375</v>
      </c>
      <c r="AK96" s="8">
        <v>12.453125</v>
      </c>
      <c r="AL96" s="8">
        <v>12.453125</v>
      </c>
      <c r="AM96" s="8">
        <v>9.8233610000000002</v>
      </c>
      <c r="AN96" s="8">
        <v>148989600</v>
      </c>
    </row>
    <row r="97" spans="1:40" x14ac:dyDescent="0.35">
      <c r="A97" s="1">
        <v>36495</v>
      </c>
      <c r="B97" s="13">
        <f t="shared" si="2"/>
        <v>12</v>
      </c>
      <c r="C97" s="13">
        <f t="shared" si="3"/>
        <v>1999</v>
      </c>
      <c r="D97" s="2">
        <v>19125</v>
      </c>
      <c r="E97">
        <f>VLOOKUP(A97,PSR!$A$12:$B$721,2,FALSE)</f>
        <v>3.7</v>
      </c>
      <c r="F97">
        <f>VLOOKUP(A97,CCI_USA!$F$2:$H$317,3,FALSE)</f>
        <v>102.47150000000001</v>
      </c>
      <c r="G97">
        <f>INDEX('BLS Data Series'!$A$11:$M$39,MATCH('UI Datathon Development'!C97,'BLS Data Series'!$A$13:$A$39,0)+2,MATCH('UI Datathon Development'!B97,'BLS Data Series'!$B$11:$M$11,0)+1)</f>
        <v>4</v>
      </c>
      <c r="H97">
        <f>VLOOKUP(A97,'Houses for sale'!$B$10:$I$671,8,FALSE)</f>
        <v>308</v>
      </c>
      <c r="I97">
        <f>VLOOKUP(A97,'House starts'!$A$12:$B$325,2,FALSE)</f>
        <v>1708</v>
      </c>
      <c r="J97">
        <f>VLOOKUP(A97,'New house sales'!$A$13:$C$324,3,FALSE)</f>
        <v>164800</v>
      </c>
      <c r="K97">
        <f>VLOOKUP($A97,'Sreenath''s data'!$A$2:$F$313,3,FALSE)</f>
        <v>99.582999999999998</v>
      </c>
      <c r="L97">
        <f>VLOOKUP($A97,'Sreenath''s data'!$A$2:$F$313,4,FALSE)</f>
        <v>7326.1</v>
      </c>
      <c r="M97">
        <f>VLOOKUP($A97,'Sreenath''s data'!$A$2:$F$313,5,FALSE)</f>
        <v>105214</v>
      </c>
      <c r="N97">
        <f>VLOOKUP($A97,'Sreenath''s data'!$A$2:$F$313,6,FALSE)</f>
        <v>75.843336952280097</v>
      </c>
      <c r="O97">
        <f>VLOOKUP($A97,'Niteesh''s data'!$A$2:$I$313,3,FALSE)</f>
        <v>1388.910034</v>
      </c>
      <c r="P97">
        <f>VLOOKUP($A97,'Niteesh''s data'!$A$2:$I$313,4,FALSE)</f>
        <v>1473.099976</v>
      </c>
      <c r="Q97">
        <f>VLOOKUP($A97,'Niteesh''s data'!$A$2:$I$313,5,FALSE)</f>
        <v>1387.380005</v>
      </c>
      <c r="R97">
        <f>VLOOKUP($A97,'Niteesh''s data'!$A$2:$I$313,6,FALSE)</f>
        <v>1469.25</v>
      </c>
      <c r="S97">
        <f>VLOOKUP($A97,'Niteesh''s data'!$A$2:$I$313,7,FALSE)</f>
        <v>1469.25</v>
      </c>
      <c r="T97">
        <f>VLOOKUP($A97,'Niteesh''s data'!$A$2:$I$313,8,FALSE)</f>
        <v>19640690000</v>
      </c>
      <c r="U97" s="61">
        <f>VLOOKUP($A97,'Niteesh''s data'!$A$2:$I$313,9,FALSE)</f>
        <v>1.15E-2</v>
      </c>
      <c r="V97">
        <f>VLOOKUP(A97,'Existing home Sales'!$A$2:$C$324,3,FALSE)</f>
        <v>5.09</v>
      </c>
      <c r="W97" s="8">
        <v>3</v>
      </c>
      <c r="X97">
        <f>IFERROR(VLOOKUP(A97,'Home Depot Gross Profit'!$A$1:$B$105,2,FALSE)/3,IF(W97=2,X96,X96))</f>
        <v>1003.6666666666666</v>
      </c>
      <c r="Y97">
        <f>IFERROR(VLOOKUP(A97,'LOWE''S GROSS PROFIT'!$A$1:$B$105,2,FALSE)/3,IF(X97=2,Y96/3,Y96))</f>
        <v>363.33333333333331</v>
      </c>
      <c r="Z97" s="8">
        <v>7.86</v>
      </c>
      <c r="AA97">
        <v>6709</v>
      </c>
      <c r="AB97">
        <f>VLOOKUP(A97,'[1]Fed_Int (1)'!$A$2:$B$316,2,FALSE)</f>
        <v>5.3</v>
      </c>
      <c r="AC97" s="8">
        <v>53.125</v>
      </c>
      <c r="AD97" s="8">
        <v>69.75</v>
      </c>
      <c r="AE97" s="8">
        <v>52.916668000000001</v>
      </c>
      <c r="AF97" s="8">
        <v>68.75</v>
      </c>
      <c r="AG97" s="8">
        <v>48.291893000000002</v>
      </c>
      <c r="AH97" s="8">
        <v>139004800</v>
      </c>
      <c r="AI97" s="8">
        <v>12.46875</v>
      </c>
      <c r="AJ97" s="8">
        <v>15</v>
      </c>
      <c r="AK97" s="8">
        <v>11.984375</v>
      </c>
      <c r="AL97" s="8">
        <v>14.9375</v>
      </c>
      <c r="AM97" s="8">
        <v>11.783098000000001</v>
      </c>
      <c r="AN97" s="8">
        <v>148791600</v>
      </c>
    </row>
    <row r="98" spans="1:40" x14ac:dyDescent="0.35">
      <c r="A98" s="1">
        <v>36526</v>
      </c>
      <c r="B98" s="13">
        <f t="shared" si="2"/>
        <v>1</v>
      </c>
      <c r="C98" s="13">
        <f t="shared" si="3"/>
        <v>2000</v>
      </c>
      <c r="D98" s="2">
        <v>19613</v>
      </c>
      <c r="E98">
        <f>VLOOKUP(A98,PSR!$A$12:$B$721,2,FALSE)</f>
        <v>4.7</v>
      </c>
      <c r="F98">
        <f>VLOOKUP(A98,CCI_USA!$F$2:$H$317,3,FALSE)</f>
        <v>102.6992</v>
      </c>
      <c r="G98">
        <f>INDEX('BLS Data Series'!$A$11:$M$39,MATCH('UI Datathon Development'!C98,'BLS Data Series'!$A$13:$A$39,0)+2,MATCH('UI Datathon Development'!B98,'BLS Data Series'!$B$11:$M$11,0)+1)</f>
        <v>4</v>
      </c>
      <c r="H98">
        <f>VLOOKUP(A98,'Houses for sale'!$B$10:$I$671,8,FALSE)</f>
        <v>311</v>
      </c>
      <c r="I98">
        <f>VLOOKUP(A98,'House starts'!$A$12:$B$325,2,FALSE)</f>
        <v>1636</v>
      </c>
      <c r="J98">
        <f>VLOOKUP(A98,'New house sales'!$A$13:$C$324,3,FALSE)</f>
        <v>163500</v>
      </c>
      <c r="K98">
        <f>VLOOKUP($A98,'Sreenath''s data'!$A$2:$F$313,3,FALSE)</f>
        <v>100</v>
      </c>
      <c r="L98">
        <f>VLOOKUP($A98,'Sreenath''s data'!$A$2:$F$313,4,FALSE)</f>
        <v>6616.3</v>
      </c>
      <c r="M98">
        <f>VLOOKUP($A98,'Sreenath''s data'!$A$2:$F$313,5,FALSE)</f>
        <v>105106</v>
      </c>
      <c r="N98">
        <f>VLOOKUP($A98,'Sreenath''s data'!$A$2:$F$313,6,FALSE)</f>
        <v>76.500156477592796</v>
      </c>
      <c r="O98">
        <f>VLOOKUP($A98,'Niteesh''s data'!$A$2:$I$313,3,FALSE)</f>
        <v>1469.25</v>
      </c>
      <c r="P98">
        <f>VLOOKUP($A98,'Niteesh''s data'!$A$2:$I$313,4,FALSE)</f>
        <v>1478</v>
      </c>
      <c r="Q98">
        <f>VLOOKUP($A98,'Niteesh''s data'!$A$2:$I$313,5,FALSE)</f>
        <v>1350.1400149999999</v>
      </c>
      <c r="R98">
        <f>VLOOKUP($A98,'Niteesh''s data'!$A$2:$I$313,6,FALSE)</f>
        <v>1394.459961</v>
      </c>
      <c r="S98">
        <f>VLOOKUP($A98,'Niteesh''s data'!$A$2:$I$313,7,FALSE)</f>
        <v>1394.459961</v>
      </c>
      <c r="T98">
        <f>VLOOKUP($A98,'Niteesh''s data'!$A$2:$I$313,8,FALSE)</f>
        <v>21494400000</v>
      </c>
      <c r="U98" s="61">
        <f>VLOOKUP($A98,'Niteesh''s data'!$A$2:$I$313,9,FALSE)</f>
        <v>1.1599999999999999E-2</v>
      </c>
      <c r="V98">
        <f>VLOOKUP(A98,'Existing home Sales'!$A$2:$C$324,3,FALSE)</f>
        <v>5.08</v>
      </c>
      <c r="W98" s="8">
        <v>1</v>
      </c>
      <c r="X98">
        <f>IFERROR(VLOOKUP(A98,'Home Depot Gross Profit'!$A$1:$B$105,2,FALSE)/3,IF(W98=2,X97,X97))</f>
        <v>1015.6666666666666</v>
      </c>
      <c r="Y98">
        <f>IFERROR(VLOOKUP(A98,'LOWE''S GROSS PROFIT'!$A$1:$B$105,2,FALSE)/3,IF(X98=2,Y97/3,Y97))</f>
        <v>365.66666666666669</v>
      </c>
      <c r="Z98" s="8">
        <v>8.2149999999999999</v>
      </c>
      <c r="AA98">
        <v>6752</v>
      </c>
      <c r="AB98">
        <f>VLOOKUP(A98,'[1]Fed_Int (1)'!$A$2:$B$316,2,FALSE)</f>
        <v>5.45</v>
      </c>
      <c r="AC98" s="8">
        <v>68.625</v>
      </c>
      <c r="AD98" s="8">
        <v>69.1875</v>
      </c>
      <c r="AE98" s="8">
        <v>54.875</v>
      </c>
      <c r="AF98" s="8">
        <v>56.625</v>
      </c>
      <c r="AG98" s="8">
        <v>39.774940000000001</v>
      </c>
      <c r="AH98" s="8">
        <v>134837200</v>
      </c>
      <c r="AI98" s="8">
        <v>14.703125</v>
      </c>
      <c r="AJ98" s="8">
        <v>14.859375</v>
      </c>
      <c r="AK98" s="8">
        <v>10.765625</v>
      </c>
      <c r="AL98" s="8">
        <v>11.15625</v>
      </c>
      <c r="AM98" s="8">
        <v>8.8003529999999994</v>
      </c>
      <c r="AN98" s="8">
        <v>152993600</v>
      </c>
    </row>
    <row r="99" spans="1:40" x14ac:dyDescent="0.35">
      <c r="A99" s="1">
        <v>36557</v>
      </c>
      <c r="B99" s="13">
        <f t="shared" si="2"/>
        <v>2</v>
      </c>
      <c r="C99" s="13">
        <f t="shared" si="3"/>
        <v>2000</v>
      </c>
      <c r="D99" s="2">
        <v>19193</v>
      </c>
      <c r="E99">
        <f>VLOOKUP(A99,PSR!$A$12:$B$721,2,FALSE)</f>
        <v>4.2</v>
      </c>
      <c r="F99">
        <f>VLOOKUP(A99,CCI_USA!$F$2:$H$317,3,FALSE)</f>
        <v>102.7514</v>
      </c>
      <c r="G99">
        <f>INDEX('BLS Data Series'!$A$11:$M$39,MATCH('UI Datathon Development'!C99,'BLS Data Series'!$A$13:$A$39,0)+2,MATCH('UI Datathon Development'!B99,'BLS Data Series'!$B$11:$M$11,0)+1)</f>
        <v>4.0999999999999996</v>
      </c>
      <c r="H99">
        <f>VLOOKUP(A99,'Houses for sale'!$B$10:$I$671,8,FALSE)</f>
        <v>299</v>
      </c>
      <c r="I99">
        <f>VLOOKUP(A99,'House starts'!$A$12:$B$325,2,FALSE)</f>
        <v>1737</v>
      </c>
      <c r="J99">
        <f>VLOOKUP(A99,'New house sales'!$A$13:$C$324,3,FALSE)</f>
        <v>162400</v>
      </c>
      <c r="K99">
        <f>VLOOKUP($A99,'Sreenath''s data'!$A$2:$F$313,3,FALSE)</f>
        <v>100.57</v>
      </c>
      <c r="L99">
        <f>VLOOKUP($A99,'Sreenath''s data'!$A$2:$F$313,4,FALSE)</f>
        <v>6649.9</v>
      </c>
      <c r="M99">
        <f>VLOOKUP($A99,'Sreenath''s data'!$A$2:$F$313,5,FALSE)</f>
        <v>105507</v>
      </c>
      <c r="N99">
        <f>VLOOKUP($A99,'Sreenath''s data'!$A$2:$F$313,6,FALSE)</f>
        <v>76.847884461581899</v>
      </c>
      <c r="O99">
        <f>VLOOKUP($A99,'Niteesh''s data'!$A$2:$I$313,3,FALSE)</f>
        <v>1394.459961</v>
      </c>
      <c r="P99">
        <f>VLOOKUP($A99,'Niteesh''s data'!$A$2:$I$313,4,FALSE)</f>
        <v>1444.5500489999999</v>
      </c>
      <c r="Q99">
        <f>VLOOKUP($A99,'Niteesh''s data'!$A$2:$I$313,5,FALSE)</f>
        <v>1325.0699460000001</v>
      </c>
      <c r="R99">
        <f>VLOOKUP($A99,'Niteesh''s data'!$A$2:$I$313,6,FALSE)</f>
        <v>1366.420044</v>
      </c>
      <c r="S99">
        <f>VLOOKUP($A99,'Niteesh''s data'!$A$2:$I$313,7,FALSE)</f>
        <v>1366.420044</v>
      </c>
      <c r="T99">
        <f>VLOOKUP($A99,'Niteesh''s data'!$A$2:$I$313,8,FALSE)</f>
        <v>20912000000</v>
      </c>
      <c r="U99" s="61">
        <f>VLOOKUP($A99,'Niteesh''s data'!$A$2:$I$313,9,FALSE)</f>
        <v>1.14E-2</v>
      </c>
      <c r="V99">
        <f>VLOOKUP(A99,'Existing home Sales'!$A$2:$C$324,3,FALSE)</f>
        <v>5.23</v>
      </c>
      <c r="W99" s="8">
        <v>2</v>
      </c>
      <c r="X99">
        <f>IFERROR(VLOOKUP(A99,'Home Depot Gross Profit'!$A$1:$B$105,2,FALSE)/3,IF(W99=2,X98,X98))</f>
        <v>1015.6666666666666</v>
      </c>
      <c r="Y99">
        <f>IFERROR(VLOOKUP(A99,'LOWE''S GROSS PROFIT'!$A$1:$B$105,2,FALSE)/3,IF(X99=2,Y98/3,Y98))</f>
        <v>365.66666666666669</v>
      </c>
      <c r="Z99" s="8">
        <v>8.3350000000000009</v>
      </c>
      <c r="AA99">
        <v>6730</v>
      </c>
      <c r="AB99">
        <f>VLOOKUP(A99,'[1]Fed_Int (1)'!$A$2:$B$316,2,FALSE)</f>
        <v>5.73</v>
      </c>
      <c r="AC99" s="8">
        <v>56.9375</v>
      </c>
      <c r="AD99" s="8">
        <v>62</v>
      </c>
      <c r="AE99" s="8">
        <v>52.625</v>
      </c>
      <c r="AF99" s="8">
        <v>57.5</v>
      </c>
      <c r="AG99" s="8">
        <v>40.389575999999998</v>
      </c>
      <c r="AH99" s="8">
        <v>125200600</v>
      </c>
      <c r="AI99" s="8">
        <v>11.21875</v>
      </c>
      <c r="AJ99" s="8">
        <v>12.203125</v>
      </c>
      <c r="AK99" s="8">
        <v>10.1875</v>
      </c>
      <c r="AL99" s="8">
        <v>11.953125</v>
      </c>
      <c r="AM99" s="8">
        <v>9.4536280000000001</v>
      </c>
      <c r="AN99" s="8">
        <v>156791600</v>
      </c>
    </row>
    <row r="100" spans="1:40" x14ac:dyDescent="0.35">
      <c r="A100" s="1">
        <v>36586</v>
      </c>
      <c r="B100" s="13">
        <f t="shared" si="2"/>
        <v>3</v>
      </c>
      <c r="C100" s="13">
        <f t="shared" si="3"/>
        <v>2000</v>
      </c>
      <c r="D100" s="2">
        <v>20175</v>
      </c>
      <c r="E100">
        <f>VLOOKUP(A100,PSR!$A$12:$B$721,2,FALSE)</f>
        <v>3.9</v>
      </c>
      <c r="F100">
        <f>VLOOKUP(A100,CCI_USA!$F$2:$H$317,3,FALSE)</f>
        <v>102.6716</v>
      </c>
      <c r="G100">
        <f>INDEX('BLS Data Series'!$A$11:$M$39,MATCH('UI Datathon Development'!C100,'BLS Data Series'!$A$13:$A$39,0)+2,MATCH('UI Datathon Development'!B100,'BLS Data Series'!$B$11:$M$11,0)+1)</f>
        <v>4</v>
      </c>
      <c r="H100">
        <f>VLOOKUP(A100,'Houses for sale'!$B$10:$I$671,8,FALSE)</f>
        <v>313</v>
      </c>
      <c r="I100">
        <f>VLOOKUP(A100,'House starts'!$A$12:$B$325,2,FALSE)</f>
        <v>1604</v>
      </c>
      <c r="J100">
        <f>VLOOKUP(A100,'New house sales'!$A$13:$C$324,3,FALSE)</f>
        <v>165100</v>
      </c>
      <c r="K100">
        <f>VLOOKUP($A100,'Sreenath''s data'!$A$2:$F$313,3,FALSE)</f>
        <v>101.465</v>
      </c>
      <c r="L100">
        <f>VLOOKUP($A100,'Sreenath''s data'!$A$2:$F$313,4,FALSE)</f>
        <v>6659.6</v>
      </c>
      <c r="M100">
        <f>VLOOKUP($A100,'Sreenath''s data'!$A$2:$F$313,5,FALSE)</f>
        <v>105267</v>
      </c>
      <c r="N100">
        <f>VLOOKUP($A100,'Sreenath''s data'!$A$2:$F$313,6,FALSE)</f>
        <v>77.311521773567193</v>
      </c>
      <c r="O100">
        <f>VLOOKUP($A100,'Niteesh''s data'!$A$2:$I$313,3,FALSE)</f>
        <v>1366.420044</v>
      </c>
      <c r="P100">
        <f>VLOOKUP($A100,'Niteesh''s data'!$A$2:$I$313,4,FALSE)</f>
        <v>1552.869995</v>
      </c>
      <c r="Q100">
        <f>VLOOKUP($A100,'Niteesh''s data'!$A$2:$I$313,5,FALSE)</f>
        <v>1346.619995</v>
      </c>
      <c r="R100">
        <f>VLOOKUP($A100,'Niteesh''s data'!$A$2:$I$313,6,FALSE)</f>
        <v>1498.579956</v>
      </c>
      <c r="S100">
        <f>VLOOKUP($A100,'Niteesh''s data'!$A$2:$I$313,7,FALSE)</f>
        <v>1498.579956</v>
      </c>
      <c r="T100">
        <f>VLOOKUP($A100,'Niteesh''s data'!$A$2:$I$313,8,FALSE)</f>
        <v>26156200000</v>
      </c>
      <c r="U100" s="61">
        <f>VLOOKUP($A100,'Niteesh''s data'!$A$2:$I$313,9,FALSE)</f>
        <v>1.1299999999999999E-2</v>
      </c>
      <c r="V100">
        <f>VLOOKUP(A100,'Existing home Sales'!$A$2:$C$324,3,FALSE)</f>
        <v>5.12</v>
      </c>
      <c r="W100" s="8">
        <v>3</v>
      </c>
      <c r="X100">
        <f>IFERROR(VLOOKUP(A100,'Home Depot Gross Profit'!$A$1:$B$105,2,FALSE)/3,IF(W100=2,X99,X99))</f>
        <v>1015.6666666666666</v>
      </c>
      <c r="Y100">
        <f>IFERROR(VLOOKUP(A100,'LOWE''S GROSS PROFIT'!$A$1:$B$105,2,FALSE)/3,IF(X100=2,Y99/3,Y99))</f>
        <v>365.66666666666669</v>
      </c>
      <c r="Z100" s="8">
        <v>8.23</v>
      </c>
      <c r="AA100">
        <v>6811</v>
      </c>
      <c r="AB100">
        <f>VLOOKUP(A100,'[1]Fed_Int (1)'!$A$2:$B$316,2,FALSE)</f>
        <v>5.85</v>
      </c>
      <c r="AC100" s="8">
        <v>57.8125</v>
      </c>
      <c r="AD100" s="8">
        <v>69.5625</v>
      </c>
      <c r="AE100" s="8">
        <v>51</v>
      </c>
      <c r="AF100" s="8">
        <v>64.5</v>
      </c>
      <c r="AG100" s="8">
        <v>45.306564000000002</v>
      </c>
      <c r="AH100" s="8">
        <v>147000700</v>
      </c>
      <c r="AI100" s="8">
        <v>12.125</v>
      </c>
      <c r="AJ100" s="8">
        <v>14.96875</v>
      </c>
      <c r="AK100" s="8">
        <v>10.265625</v>
      </c>
      <c r="AL100" s="8">
        <v>14.59375</v>
      </c>
      <c r="AM100" s="8">
        <v>11.542075000000001</v>
      </c>
      <c r="AN100" s="8">
        <v>187304800</v>
      </c>
    </row>
    <row r="101" spans="1:40" x14ac:dyDescent="0.35">
      <c r="A101" s="1">
        <v>36617</v>
      </c>
      <c r="B101" s="13">
        <f t="shared" si="2"/>
        <v>4</v>
      </c>
      <c r="C101" s="13">
        <f t="shared" si="3"/>
        <v>2000</v>
      </c>
      <c r="D101" s="2">
        <v>18986</v>
      </c>
      <c r="E101">
        <f>VLOOKUP(A101,PSR!$A$12:$B$721,2,FALSE)</f>
        <v>4.4000000000000004</v>
      </c>
      <c r="F101">
        <f>VLOOKUP(A101,CCI_USA!$F$2:$H$317,3,FALSE)</f>
        <v>102.6533</v>
      </c>
      <c r="G101">
        <f>INDEX('BLS Data Series'!$A$11:$M$39,MATCH('UI Datathon Development'!C101,'BLS Data Series'!$A$13:$A$39,0)+2,MATCH('UI Datathon Development'!B101,'BLS Data Series'!$B$11:$M$11,0)+1)</f>
        <v>3.8</v>
      </c>
      <c r="H101">
        <f>VLOOKUP(A101,'Houses for sale'!$B$10:$I$671,8,FALSE)</f>
        <v>305</v>
      </c>
      <c r="I101">
        <f>VLOOKUP(A101,'House starts'!$A$12:$B$325,2,FALSE)</f>
        <v>1626</v>
      </c>
      <c r="J101">
        <f>VLOOKUP(A101,'New house sales'!$A$13:$C$324,3,FALSE)</f>
        <v>162600</v>
      </c>
      <c r="K101">
        <f>VLOOKUP($A101,'Sreenath''s data'!$A$2:$F$313,3,FALSE)</f>
        <v>102.54</v>
      </c>
      <c r="L101">
        <f>VLOOKUP($A101,'Sreenath''s data'!$A$2:$F$313,4,FALSE)</f>
        <v>6679.4</v>
      </c>
      <c r="M101">
        <f>VLOOKUP($A101,'Sreenath''s data'!$A$2:$F$313,5,FALSE)</f>
        <v>105224</v>
      </c>
      <c r="N101">
        <f>VLOOKUP($A101,'Sreenath''s data'!$A$2:$F$313,6,FALSE)</f>
        <v>77.3501582162327</v>
      </c>
      <c r="O101">
        <f>VLOOKUP($A101,'Niteesh''s data'!$A$2:$I$313,3,FALSE)</f>
        <v>1498.579956</v>
      </c>
      <c r="P101">
        <f>VLOOKUP($A101,'Niteesh''s data'!$A$2:$I$313,4,FALSE)</f>
        <v>1527.1899410000001</v>
      </c>
      <c r="Q101">
        <f>VLOOKUP($A101,'Niteesh''s data'!$A$2:$I$313,5,FALSE)</f>
        <v>1339.400024</v>
      </c>
      <c r="R101">
        <f>VLOOKUP($A101,'Niteesh''s data'!$A$2:$I$313,6,FALSE)</f>
        <v>1452.4300539999999</v>
      </c>
      <c r="S101">
        <f>VLOOKUP($A101,'Niteesh''s data'!$A$2:$I$313,7,FALSE)</f>
        <v>1452.4300539999999</v>
      </c>
      <c r="T101">
        <f>VLOOKUP($A101,'Niteesh''s data'!$A$2:$I$313,8,FALSE)</f>
        <v>20106460000</v>
      </c>
      <c r="U101" s="61">
        <f>VLOOKUP($A101,'Niteesh''s data'!$A$2:$I$313,9,FALSE)</f>
        <v>1.12E-2</v>
      </c>
      <c r="V101">
        <f>VLOOKUP(A101,'Existing home Sales'!$A$2:$C$324,3,FALSE)</f>
        <v>5.19</v>
      </c>
      <c r="W101" s="8">
        <v>1</v>
      </c>
      <c r="X101">
        <f>IFERROR(VLOOKUP(A101,'Home Depot Gross Profit'!$A$1:$B$105,2,FALSE)/3,IF(W101=2,X100,X100))</f>
        <v>1091.3333333333333</v>
      </c>
      <c r="Y101">
        <f>IFERROR(VLOOKUP(A101,'LOWE''S GROSS PROFIT'!$A$1:$B$105,2,FALSE)/3,IF(X101=2,Y100/3,Y100))</f>
        <v>416</v>
      </c>
      <c r="Z101" s="8">
        <v>8.1449999999999996</v>
      </c>
      <c r="AA101">
        <v>6794</v>
      </c>
      <c r="AB101">
        <f>VLOOKUP(A101,'[1]Fed_Int (1)'!$A$2:$B$316,2,FALSE)</f>
        <v>6.02</v>
      </c>
      <c r="AC101" s="8">
        <v>65.5</v>
      </c>
      <c r="AD101" s="8">
        <v>70</v>
      </c>
      <c r="AE101" s="8">
        <v>55.3125</v>
      </c>
      <c r="AF101" s="8">
        <v>56.5</v>
      </c>
      <c r="AG101" s="8">
        <v>39.716647999999999</v>
      </c>
      <c r="AH101" s="8">
        <v>108585200</v>
      </c>
      <c r="AI101" s="8">
        <v>14.609375</v>
      </c>
      <c r="AJ101" s="8">
        <v>16.8125</v>
      </c>
      <c r="AK101" s="8">
        <v>12.375</v>
      </c>
      <c r="AL101" s="8">
        <v>12.375</v>
      </c>
      <c r="AM101" s="8">
        <v>9.7872880000000002</v>
      </c>
      <c r="AN101" s="8">
        <v>173220800</v>
      </c>
    </row>
    <row r="102" spans="1:40" x14ac:dyDescent="0.35">
      <c r="A102" s="1">
        <v>36647</v>
      </c>
      <c r="B102" s="13">
        <f t="shared" si="2"/>
        <v>5</v>
      </c>
      <c r="C102" s="13">
        <f t="shared" si="3"/>
        <v>2000</v>
      </c>
      <c r="D102" s="2">
        <v>18941</v>
      </c>
      <c r="E102">
        <f>VLOOKUP(A102,PSR!$A$12:$B$721,2,FALSE)</f>
        <v>4.3</v>
      </c>
      <c r="F102">
        <f>VLOOKUP(A102,CCI_USA!$F$2:$H$317,3,FALSE)</f>
        <v>102.6283</v>
      </c>
      <c r="G102">
        <f>INDEX('BLS Data Series'!$A$11:$M$39,MATCH('UI Datathon Development'!C102,'BLS Data Series'!$A$13:$A$39,0)+2,MATCH('UI Datathon Development'!B102,'BLS Data Series'!$B$11:$M$11,0)+1)</f>
        <v>4</v>
      </c>
      <c r="H102">
        <f>VLOOKUP(A102,'Houses for sale'!$B$10:$I$671,8,FALSE)</f>
        <v>305</v>
      </c>
      <c r="I102">
        <f>VLOOKUP(A102,'House starts'!$A$12:$B$325,2,FALSE)</f>
        <v>1575</v>
      </c>
      <c r="J102">
        <f>VLOOKUP(A102,'New house sales'!$A$13:$C$324,3,FALSE)</f>
        <v>164700</v>
      </c>
      <c r="K102">
        <f>VLOOKUP($A102,'Sreenath''s data'!$A$2:$F$313,3,FALSE)</f>
        <v>103.702</v>
      </c>
      <c r="L102">
        <f>VLOOKUP($A102,'Sreenath''s data'!$A$2:$F$313,4,FALSE)</f>
        <v>6712.9</v>
      </c>
      <c r="M102">
        <f>VLOOKUP($A102,'Sreenath''s data'!$A$2:$F$313,5,FALSE)</f>
        <v>105353</v>
      </c>
      <c r="N102">
        <f>VLOOKUP($A102,'Sreenath''s data'!$A$2:$F$313,6,FALSE)</f>
        <v>77.388794658898206</v>
      </c>
      <c r="O102">
        <f>VLOOKUP($A102,'Niteesh''s data'!$A$2:$I$313,3,FALSE)</f>
        <v>1452.4300539999999</v>
      </c>
      <c r="P102">
        <f>VLOOKUP($A102,'Niteesh''s data'!$A$2:$I$313,4,FALSE)</f>
        <v>1481.51001</v>
      </c>
      <c r="Q102">
        <f>VLOOKUP($A102,'Niteesh''s data'!$A$2:$I$313,5,FALSE)</f>
        <v>1361.089966</v>
      </c>
      <c r="R102">
        <f>VLOOKUP($A102,'Niteesh''s data'!$A$2:$I$313,6,FALSE)</f>
        <v>1420.599976</v>
      </c>
      <c r="S102">
        <f>VLOOKUP($A102,'Niteesh''s data'!$A$2:$I$313,7,FALSE)</f>
        <v>1420.599976</v>
      </c>
      <c r="T102">
        <f>VLOOKUP($A102,'Niteesh''s data'!$A$2:$I$313,8,FALSE)</f>
        <v>19898300000</v>
      </c>
      <c r="U102" s="61">
        <f>VLOOKUP($A102,'Niteesh''s data'!$A$2:$I$313,9,FALSE)</f>
        <v>1.0999999999999999E-2</v>
      </c>
      <c r="V102">
        <f>VLOOKUP(A102,'Existing home Sales'!$A$2:$C$324,3,FALSE)</f>
        <v>5.2</v>
      </c>
      <c r="W102" s="8">
        <v>2</v>
      </c>
      <c r="X102">
        <f>IFERROR(VLOOKUP(A102,'Home Depot Gross Profit'!$A$1:$B$105,2,FALSE)/3,IF(W102=2,X101,X101))</f>
        <v>1091.3333333333333</v>
      </c>
      <c r="Y102">
        <f>IFERROR(VLOOKUP(A102,'LOWE''S GROSS PROFIT'!$A$1:$B$105,2,FALSE)/3,IF(X102=2,Y101/3,Y101))</f>
        <v>416</v>
      </c>
      <c r="Z102" s="8">
        <v>8.57</v>
      </c>
      <c r="AA102">
        <v>6770</v>
      </c>
      <c r="AB102">
        <f>VLOOKUP(A102,'[1]Fed_Int (1)'!$A$2:$B$316,2,FALSE)</f>
        <v>6.27</v>
      </c>
      <c r="AC102" s="8">
        <v>56.5</v>
      </c>
      <c r="AD102" s="8">
        <v>57.9375</v>
      </c>
      <c r="AE102" s="8">
        <v>44.125</v>
      </c>
      <c r="AF102" s="8">
        <v>49</v>
      </c>
      <c r="AG102" s="8">
        <v>34.444510999999999</v>
      </c>
      <c r="AH102" s="8">
        <v>145181700</v>
      </c>
      <c r="AI102" s="8">
        <v>12.5</v>
      </c>
      <c r="AJ102" s="8">
        <v>13.171875</v>
      </c>
      <c r="AK102" s="8">
        <v>10.984375</v>
      </c>
      <c r="AL102" s="8">
        <v>11.640625</v>
      </c>
      <c r="AM102" s="8">
        <v>9.2276950000000006</v>
      </c>
      <c r="AN102" s="8">
        <v>155762800</v>
      </c>
    </row>
    <row r="103" spans="1:40" x14ac:dyDescent="0.35">
      <c r="A103" s="1">
        <v>36678</v>
      </c>
      <c r="B103" s="13">
        <f t="shared" si="2"/>
        <v>6</v>
      </c>
      <c r="C103" s="13">
        <f t="shared" si="3"/>
        <v>2000</v>
      </c>
      <c r="D103" s="2">
        <v>18878</v>
      </c>
      <c r="E103">
        <f>VLOOKUP(A103,PSR!$A$12:$B$721,2,FALSE)</f>
        <v>4.2</v>
      </c>
      <c r="F103">
        <f>VLOOKUP(A103,CCI_USA!$F$2:$H$317,3,FALSE)</f>
        <v>102.5307</v>
      </c>
      <c r="G103">
        <f>INDEX('BLS Data Series'!$A$11:$M$39,MATCH('UI Datathon Development'!C103,'BLS Data Series'!$A$13:$A$39,0)+2,MATCH('UI Datathon Development'!B103,'BLS Data Series'!$B$11:$M$11,0)+1)</f>
        <v>4</v>
      </c>
      <c r="H103">
        <f>VLOOKUP(A103,'Houses for sale'!$B$10:$I$671,8,FALSE)</f>
        <v>306</v>
      </c>
      <c r="I103">
        <f>VLOOKUP(A103,'House starts'!$A$12:$B$325,2,FALSE)</f>
        <v>1559</v>
      </c>
      <c r="J103">
        <f>VLOOKUP(A103,'New house sales'!$A$13:$C$324,3,FALSE)</f>
        <v>160100</v>
      </c>
      <c r="K103">
        <f>VLOOKUP($A103,'Sreenath''s data'!$A$2:$F$313,3,FALSE)</f>
        <v>104.855</v>
      </c>
      <c r="L103">
        <f>VLOOKUP($A103,'Sreenath''s data'!$A$2:$F$313,4,FALSE)</f>
        <v>6741.7</v>
      </c>
      <c r="M103">
        <f>VLOOKUP($A103,'Sreenath''s data'!$A$2:$F$313,5,FALSE)</f>
        <v>105312</v>
      </c>
      <c r="N103">
        <f>VLOOKUP($A103,'Sreenath''s data'!$A$2:$F$313,6,FALSE)</f>
        <v>77.736522642887195</v>
      </c>
      <c r="O103">
        <f>VLOOKUP($A103,'Niteesh''s data'!$A$2:$I$313,3,FALSE)</f>
        <v>1420.599976</v>
      </c>
      <c r="P103">
        <f>VLOOKUP($A103,'Niteesh''s data'!$A$2:$I$313,4,FALSE)</f>
        <v>1488.9300539999999</v>
      </c>
      <c r="Q103">
        <f>VLOOKUP($A103,'Niteesh''s data'!$A$2:$I$313,5,FALSE)</f>
        <v>1420.599976</v>
      </c>
      <c r="R103">
        <f>VLOOKUP($A103,'Niteesh''s data'!$A$2:$I$313,6,FALSE)</f>
        <v>1454.599976</v>
      </c>
      <c r="S103">
        <f>VLOOKUP($A103,'Niteesh''s data'!$A$2:$I$313,7,FALSE)</f>
        <v>1454.599976</v>
      </c>
      <c r="T103">
        <f>VLOOKUP($A103,'Niteesh''s data'!$A$2:$I$313,8,FALSE)</f>
        <v>21738300000</v>
      </c>
      <c r="U103" s="61">
        <f>VLOOKUP($A103,'Niteesh''s data'!$A$2:$I$313,9,FALSE)</f>
        <v>1.09E-2</v>
      </c>
      <c r="V103">
        <f>VLOOKUP(A103,'Existing home Sales'!$A$2:$C$324,3,FALSE)</f>
        <v>5.1100000000000003</v>
      </c>
      <c r="W103" s="8">
        <v>3</v>
      </c>
      <c r="X103">
        <f>IFERROR(VLOOKUP(A103,'Home Depot Gross Profit'!$A$1:$B$105,2,FALSE)/3,IF(W103=2,X102,X102))</f>
        <v>1091.3333333333333</v>
      </c>
      <c r="Y103">
        <f>IFERROR(VLOOKUP(A103,'LOWE''S GROSS PROFIT'!$A$1:$B$105,2,FALSE)/3,IF(X103=2,Y102/3,Y102))</f>
        <v>416</v>
      </c>
      <c r="Z103" s="8">
        <v>8.2200000000000006</v>
      </c>
      <c r="AA103">
        <v>6778</v>
      </c>
      <c r="AB103">
        <f>VLOOKUP(A103,'[1]Fed_Int (1)'!$A$2:$B$316,2,FALSE)</f>
        <v>6.53</v>
      </c>
      <c r="AC103" s="8">
        <v>49</v>
      </c>
      <c r="AD103" s="8">
        <v>54</v>
      </c>
      <c r="AE103" s="8">
        <v>45</v>
      </c>
      <c r="AF103" s="8">
        <v>49.9375</v>
      </c>
      <c r="AG103" s="8">
        <v>35.103535000000001</v>
      </c>
      <c r="AH103" s="8">
        <v>131944300</v>
      </c>
      <c r="AI103" s="8">
        <v>11.671875</v>
      </c>
      <c r="AJ103" s="8">
        <v>12.84375</v>
      </c>
      <c r="AK103" s="8">
        <v>10.09375</v>
      </c>
      <c r="AL103" s="8">
        <v>10.265625</v>
      </c>
      <c r="AM103" s="8">
        <v>8.1377159999999993</v>
      </c>
      <c r="AN103" s="8">
        <v>201042000</v>
      </c>
    </row>
    <row r="104" spans="1:40" x14ac:dyDescent="0.35">
      <c r="A104" s="1">
        <v>36708</v>
      </c>
      <c r="B104" s="13">
        <f t="shared" si="2"/>
        <v>7</v>
      </c>
      <c r="C104" s="13">
        <f t="shared" si="3"/>
        <v>2000</v>
      </c>
      <c r="D104" s="2">
        <v>18982</v>
      </c>
      <c r="E104">
        <f>VLOOKUP(A104,PSR!$A$12:$B$721,2,FALSE)</f>
        <v>4.5999999999999996</v>
      </c>
      <c r="F104">
        <f>VLOOKUP(A104,CCI_USA!$F$2:$H$317,3,FALSE)</f>
        <v>102.49760000000001</v>
      </c>
      <c r="G104">
        <f>INDEX('BLS Data Series'!$A$11:$M$39,MATCH('UI Datathon Development'!C104,'BLS Data Series'!$A$13:$A$39,0)+2,MATCH('UI Datathon Development'!B104,'BLS Data Series'!$B$11:$M$11,0)+1)</f>
        <v>4</v>
      </c>
      <c r="H104">
        <f>VLOOKUP(A104,'Houses for sale'!$B$10:$I$671,8,FALSE)</f>
        <v>303</v>
      </c>
      <c r="I104">
        <f>VLOOKUP(A104,'House starts'!$A$12:$B$325,2,FALSE)</f>
        <v>1463</v>
      </c>
      <c r="J104">
        <f>VLOOKUP(A104,'New house sales'!$A$13:$C$324,3,FALSE)</f>
        <v>169000</v>
      </c>
      <c r="K104">
        <f>VLOOKUP($A104,'Sreenath''s data'!$A$2:$F$313,3,FALSE)</f>
        <v>105.721</v>
      </c>
      <c r="L104">
        <f>VLOOKUP($A104,'Sreenath''s data'!$A$2:$F$313,4,FALSE)</f>
        <v>6736.8</v>
      </c>
      <c r="M104">
        <f>VLOOKUP($A104,'Sreenath''s data'!$A$2:$F$313,5,FALSE)</f>
        <v>105693</v>
      </c>
      <c r="N104">
        <f>VLOOKUP($A104,'Sreenath''s data'!$A$2:$F$313,6,FALSE)</f>
        <v>78.084250626876297</v>
      </c>
      <c r="O104">
        <f>VLOOKUP($A104,'Niteesh''s data'!$A$2:$I$313,3,FALSE)</f>
        <v>1454.599976</v>
      </c>
      <c r="P104">
        <f>VLOOKUP($A104,'Niteesh''s data'!$A$2:$I$313,4,FALSE)</f>
        <v>1517.3199460000001</v>
      </c>
      <c r="Q104">
        <f>VLOOKUP($A104,'Niteesh''s data'!$A$2:$I$313,5,FALSE)</f>
        <v>1413.8900149999999</v>
      </c>
      <c r="R104">
        <f>VLOOKUP($A104,'Niteesh''s data'!$A$2:$I$313,6,FALSE)</f>
        <v>1430.829956</v>
      </c>
      <c r="S104">
        <f>VLOOKUP($A104,'Niteesh''s data'!$A$2:$I$313,7,FALSE)</f>
        <v>1430.829956</v>
      </c>
      <c r="T104">
        <f>VLOOKUP($A104,'Niteesh''s data'!$A$2:$I$313,8,FALSE)</f>
        <v>19089100000</v>
      </c>
      <c r="U104" s="61">
        <f>VLOOKUP($A104,'Niteesh''s data'!$A$2:$I$313,9,FALSE)</f>
        <v>1.0699999999999999E-2</v>
      </c>
      <c r="V104">
        <f>VLOOKUP(A104,'Existing home Sales'!$A$2:$C$324,3,FALSE)</f>
        <v>5.13</v>
      </c>
      <c r="W104" s="8">
        <v>1</v>
      </c>
      <c r="X104">
        <f>IFERROR(VLOOKUP(A104,'Home Depot Gross Profit'!$A$1:$B$105,2,FALSE)/3,IF(W104=2,X103,X103))</f>
        <v>1246.3333333333333</v>
      </c>
      <c r="Y104">
        <f>IFERROR(VLOOKUP(A104,'LOWE''S GROSS PROFIT'!$A$1:$B$105,2,FALSE)/3,IF(X104=2,Y103/3,Y103))</f>
        <v>484</v>
      </c>
      <c r="Z104" s="8">
        <v>8.1449999999999996</v>
      </c>
      <c r="AA104">
        <v>6794</v>
      </c>
      <c r="AB104">
        <f>VLOOKUP(A104,'[1]Fed_Int (1)'!$A$2:$B$316,2,FALSE)</f>
        <v>6.54</v>
      </c>
      <c r="AC104" s="8">
        <v>49.6875</v>
      </c>
      <c r="AD104" s="8">
        <v>58.75</v>
      </c>
      <c r="AE104" s="8">
        <v>48.625</v>
      </c>
      <c r="AF104" s="8">
        <v>51.75</v>
      </c>
      <c r="AG104" s="8">
        <v>36.409286000000002</v>
      </c>
      <c r="AH104" s="8">
        <v>92784800</v>
      </c>
      <c r="AI104" s="8">
        <v>10.25</v>
      </c>
      <c r="AJ104" s="8">
        <v>12.109375</v>
      </c>
      <c r="AK104" s="8">
        <v>10.125</v>
      </c>
      <c r="AL104" s="8">
        <v>10.53125</v>
      </c>
      <c r="AM104" s="8">
        <v>8.3482769999999995</v>
      </c>
      <c r="AN104" s="8">
        <v>141181600</v>
      </c>
    </row>
    <row r="105" spans="1:40" x14ac:dyDescent="0.35">
      <c r="A105" s="1">
        <v>36739</v>
      </c>
      <c r="B105" s="13">
        <f t="shared" si="2"/>
        <v>8</v>
      </c>
      <c r="C105" s="13">
        <f t="shared" si="3"/>
        <v>2000</v>
      </c>
      <c r="D105" s="2">
        <v>18951</v>
      </c>
      <c r="E105">
        <f>VLOOKUP(A105,PSR!$A$12:$B$721,2,FALSE)</f>
        <v>4.5999999999999996</v>
      </c>
      <c r="F105">
        <f>VLOOKUP(A105,CCI_USA!$F$2:$H$317,3,FALSE)</f>
        <v>102.4632</v>
      </c>
      <c r="G105">
        <f>INDEX('BLS Data Series'!$A$11:$M$39,MATCH('UI Datathon Development'!C105,'BLS Data Series'!$A$13:$A$39,0)+2,MATCH('UI Datathon Development'!B105,'BLS Data Series'!$B$11:$M$11,0)+1)</f>
        <v>4.0999999999999996</v>
      </c>
      <c r="H105">
        <f>VLOOKUP(A105,'Houses for sale'!$B$10:$I$671,8,FALSE)</f>
        <v>302</v>
      </c>
      <c r="I105">
        <f>VLOOKUP(A105,'House starts'!$A$12:$B$325,2,FALSE)</f>
        <v>1541</v>
      </c>
      <c r="J105">
        <f>VLOOKUP(A105,'New house sales'!$A$13:$C$324,3,FALSE)</f>
        <v>166600</v>
      </c>
      <c r="K105">
        <f>VLOOKUP($A105,'Sreenath''s data'!$A$2:$F$313,3,FALSE)</f>
        <v>106.521</v>
      </c>
      <c r="L105">
        <f>VLOOKUP($A105,'Sreenath''s data'!$A$2:$F$313,4,FALSE)</f>
        <v>6759.6</v>
      </c>
      <c r="M105">
        <f>VLOOKUP($A105,'Sreenath''s data'!$A$2:$F$313,5,FALSE)</f>
        <v>105647</v>
      </c>
      <c r="N105">
        <f>VLOOKUP($A105,'Sreenath''s data'!$A$2:$F$313,6,FALSE)</f>
        <v>78.316069282868995</v>
      </c>
      <c r="O105">
        <f>VLOOKUP($A105,'Niteesh''s data'!$A$2:$I$313,3,FALSE)</f>
        <v>1430.829956</v>
      </c>
      <c r="P105">
        <f>VLOOKUP($A105,'Niteesh''s data'!$A$2:$I$313,4,FALSE)</f>
        <v>1525.209961</v>
      </c>
      <c r="Q105">
        <f>VLOOKUP($A105,'Niteesh''s data'!$A$2:$I$313,5,FALSE)</f>
        <v>1425.4300539999999</v>
      </c>
      <c r="R105">
        <f>VLOOKUP($A105,'Niteesh''s data'!$A$2:$I$313,6,FALSE)</f>
        <v>1517.6800539999999</v>
      </c>
      <c r="S105">
        <f>VLOOKUP($A105,'Niteesh''s data'!$A$2:$I$313,7,FALSE)</f>
        <v>1517.6800539999999</v>
      </c>
      <c r="T105">
        <f>VLOOKUP($A105,'Niteesh''s data'!$A$2:$I$313,8,FALSE)</f>
        <v>20363700000</v>
      </c>
      <c r="U105" s="61">
        <f>VLOOKUP($A105,'Niteesh''s data'!$A$2:$I$313,9,FALSE)</f>
        <v>1.06E-2</v>
      </c>
      <c r="V105">
        <f>VLOOKUP(A105,'Existing home Sales'!$A$2:$C$324,3,FALSE)</f>
        <v>5.1100000000000003</v>
      </c>
      <c r="W105" s="8">
        <v>2</v>
      </c>
      <c r="X105">
        <f>IFERROR(VLOOKUP(A105,'Home Depot Gross Profit'!$A$1:$B$105,2,FALSE)/3,IF(W105=2,X104,X104))</f>
        <v>1246.3333333333333</v>
      </c>
      <c r="Y105">
        <f>IFERROR(VLOOKUP(A105,'LOWE''S GROSS PROFIT'!$A$1:$B$105,2,FALSE)/3,IF(X105=2,Y104/3,Y104))</f>
        <v>484</v>
      </c>
      <c r="Z105" s="8">
        <v>8.0150000000000006</v>
      </c>
      <c r="AA105">
        <v>6796</v>
      </c>
      <c r="AB105">
        <f>VLOOKUP(A105,'[1]Fed_Int (1)'!$A$2:$B$316,2,FALSE)</f>
        <v>6.5</v>
      </c>
      <c r="AC105" s="8">
        <v>51.9375</v>
      </c>
      <c r="AD105" s="8">
        <v>60</v>
      </c>
      <c r="AE105" s="8">
        <v>48</v>
      </c>
      <c r="AF105" s="8">
        <v>48.0625</v>
      </c>
      <c r="AG105" s="8">
        <v>33.814914999999999</v>
      </c>
      <c r="AH105" s="8">
        <v>145390600</v>
      </c>
      <c r="AI105" s="8">
        <v>10.6875</v>
      </c>
      <c r="AJ105" s="8">
        <v>12.390625</v>
      </c>
      <c r="AK105" s="8">
        <v>10.40625</v>
      </c>
      <c r="AL105" s="8">
        <v>11.207025</v>
      </c>
      <c r="AM105" s="8">
        <v>8.9100269999999995</v>
      </c>
      <c r="AN105" s="8">
        <v>184807600</v>
      </c>
    </row>
    <row r="106" spans="1:40" x14ac:dyDescent="0.35">
      <c r="A106" s="1">
        <v>36770</v>
      </c>
      <c r="B106" s="13">
        <f t="shared" si="2"/>
        <v>9</v>
      </c>
      <c r="C106" s="13">
        <f t="shared" si="3"/>
        <v>2000</v>
      </c>
      <c r="D106" s="2">
        <v>18926</v>
      </c>
      <c r="E106">
        <f>VLOOKUP(A106,PSR!$A$12:$B$721,2,FALSE)</f>
        <v>3.8</v>
      </c>
      <c r="F106">
        <f>VLOOKUP(A106,CCI_USA!$F$2:$H$317,3,FALSE)</f>
        <v>102.414</v>
      </c>
      <c r="G106">
        <f>INDEX('BLS Data Series'!$A$11:$M$39,MATCH('UI Datathon Development'!C106,'BLS Data Series'!$A$13:$A$39,0)+2,MATCH('UI Datathon Development'!B106,'BLS Data Series'!$B$11:$M$11,0)+1)</f>
        <v>3.9</v>
      </c>
      <c r="H106">
        <f>VLOOKUP(A106,'Houses for sale'!$B$10:$I$671,8,FALSE)</f>
        <v>300</v>
      </c>
      <c r="I106">
        <f>VLOOKUP(A106,'House starts'!$A$12:$B$325,2,FALSE)</f>
        <v>1507</v>
      </c>
      <c r="J106">
        <f>VLOOKUP(A106,'New house sales'!$A$13:$C$324,3,FALSE)</f>
        <v>171500</v>
      </c>
      <c r="K106">
        <f>VLOOKUP($A106,'Sreenath''s data'!$A$2:$F$313,3,FALSE)</f>
        <v>107.13500000000001</v>
      </c>
      <c r="L106">
        <f>VLOOKUP($A106,'Sreenath''s data'!$A$2:$F$313,4,FALSE)</f>
        <v>6725.8</v>
      </c>
      <c r="M106">
        <f>VLOOKUP($A106,'Sreenath''s data'!$A$2:$F$313,5,FALSE)</f>
        <v>106061</v>
      </c>
      <c r="N106">
        <f>VLOOKUP($A106,'Sreenath''s data'!$A$2:$F$313,6,FALSE)</f>
        <v>78.277432840203502</v>
      </c>
      <c r="O106">
        <f>VLOOKUP($A106,'Niteesh''s data'!$A$2:$I$313,3,FALSE)</f>
        <v>1517.6800539999999</v>
      </c>
      <c r="P106">
        <f>VLOOKUP($A106,'Niteesh''s data'!$A$2:$I$313,4,FALSE)</f>
        <v>1530.089966</v>
      </c>
      <c r="Q106">
        <f>VLOOKUP($A106,'Niteesh''s data'!$A$2:$I$313,5,FALSE)</f>
        <v>1419.4399410000001</v>
      </c>
      <c r="R106">
        <f>VLOOKUP($A106,'Niteesh''s data'!$A$2:$I$313,6,FALSE)</f>
        <v>1436.51001</v>
      </c>
      <c r="S106">
        <f>VLOOKUP($A106,'Niteesh''s data'!$A$2:$I$313,7,FALSE)</f>
        <v>1436.51001</v>
      </c>
      <c r="T106">
        <f>VLOOKUP($A106,'Niteesh''s data'!$A$2:$I$313,8,FALSE)</f>
        <v>20838300000</v>
      </c>
      <c r="U106" s="61">
        <f>VLOOKUP($A106,'Niteesh''s data'!$A$2:$I$313,9,FALSE)</f>
        <v>1.06E-2</v>
      </c>
      <c r="V106">
        <f>VLOOKUP(A106,'Existing home Sales'!$A$2:$C$324,3,FALSE)</f>
        <v>5.17</v>
      </c>
      <c r="W106" s="8">
        <v>3</v>
      </c>
      <c r="X106">
        <f>IFERROR(VLOOKUP(A106,'Home Depot Gross Profit'!$A$1:$B$105,2,FALSE)/3,IF(W106=2,X105,X105))</f>
        <v>1246.3333333333333</v>
      </c>
      <c r="Y106">
        <f>IFERROR(VLOOKUP(A106,'LOWE''S GROSS PROFIT'!$A$1:$B$105,2,FALSE)/3,IF(X106=2,Y105/3,Y105))</f>
        <v>484</v>
      </c>
      <c r="Z106" s="8">
        <v>7.9</v>
      </c>
      <c r="AA106">
        <v>6807</v>
      </c>
      <c r="AB106">
        <f>VLOOKUP(A106,'[1]Fed_Int (1)'!$A$2:$B$316,2,FALSE)</f>
        <v>6.52</v>
      </c>
      <c r="AC106" s="8">
        <v>49</v>
      </c>
      <c r="AD106" s="8">
        <v>56.1875</v>
      </c>
      <c r="AE106" s="8">
        <v>48.0625</v>
      </c>
      <c r="AF106" s="8">
        <v>52.9375</v>
      </c>
      <c r="AG106" s="8">
        <v>37.274590000000003</v>
      </c>
      <c r="AH106" s="8">
        <v>105695500</v>
      </c>
      <c r="AI106" s="8">
        <v>11.234375</v>
      </c>
      <c r="AJ106" s="8">
        <v>13.625</v>
      </c>
      <c r="AK106" s="8">
        <v>11.1875</v>
      </c>
      <c r="AL106" s="8">
        <v>11.21875</v>
      </c>
      <c r="AM106" s="8">
        <v>8.9193529999999992</v>
      </c>
      <c r="AN106" s="8">
        <v>179773200</v>
      </c>
    </row>
    <row r="107" spans="1:40" x14ac:dyDescent="0.35">
      <c r="A107" s="1">
        <v>36800</v>
      </c>
      <c r="B107" s="13">
        <f t="shared" si="2"/>
        <v>10</v>
      </c>
      <c r="C107" s="13">
        <f t="shared" si="3"/>
        <v>2000</v>
      </c>
      <c r="D107" s="2">
        <v>18965</v>
      </c>
      <c r="E107">
        <f>VLOOKUP(A107,PSR!$A$12:$B$721,2,FALSE)</f>
        <v>4</v>
      </c>
      <c r="F107">
        <f>VLOOKUP(A107,CCI_USA!$F$2:$H$317,3,FALSE)</f>
        <v>102.3064</v>
      </c>
      <c r="G107">
        <f>INDEX('BLS Data Series'!$A$11:$M$39,MATCH('UI Datathon Development'!C107,'BLS Data Series'!$A$13:$A$39,0)+2,MATCH('UI Datathon Development'!B107,'BLS Data Series'!$B$11:$M$11,0)+1)</f>
        <v>3.9</v>
      </c>
      <c r="H107">
        <f>VLOOKUP(A107,'Houses for sale'!$B$10:$I$671,8,FALSE)</f>
        <v>301</v>
      </c>
      <c r="I107">
        <f>VLOOKUP(A107,'House starts'!$A$12:$B$325,2,FALSE)</f>
        <v>1549</v>
      </c>
      <c r="J107">
        <f>VLOOKUP(A107,'New house sales'!$A$13:$C$324,3,FALSE)</f>
        <v>176300</v>
      </c>
      <c r="K107">
        <f>VLOOKUP($A107,'Sreenath''s data'!$A$2:$F$313,3,FALSE)</f>
        <v>107.72799999999999</v>
      </c>
      <c r="L107">
        <f>VLOOKUP($A107,'Sreenath''s data'!$A$2:$F$313,4,FALSE)</f>
        <v>6682.5</v>
      </c>
      <c r="M107">
        <f>VLOOKUP($A107,'Sreenath''s data'!$A$2:$F$313,5,FALSE)</f>
        <v>106360</v>
      </c>
      <c r="N107">
        <f>VLOOKUP($A107,'Sreenath''s data'!$A$2:$F$313,6,FALSE)</f>
        <v>78.547887938861706</v>
      </c>
      <c r="O107">
        <f>VLOOKUP($A107,'Niteesh''s data'!$A$2:$I$313,3,FALSE)</f>
        <v>1436.5200199999999</v>
      </c>
      <c r="P107">
        <f>VLOOKUP($A107,'Niteesh''s data'!$A$2:$I$313,4,FALSE)</f>
        <v>1454.8199460000001</v>
      </c>
      <c r="Q107">
        <f>VLOOKUP($A107,'Niteesh''s data'!$A$2:$I$313,5,FALSE)</f>
        <v>1305.790039</v>
      </c>
      <c r="R107">
        <f>VLOOKUP($A107,'Niteesh''s data'!$A$2:$I$313,6,FALSE)</f>
        <v>1429.400024</v>
      </c>
      <c r="S107">
        <f>VLOOKUP($A107,'Niteesh''s data'!$A$2:$I$313,7,FALSE)</f>
        <v>1429.400024</v>
      </c>
      <c r="T107">
        <f>VLOOKUP($A107,'Niteesh''s data'!$A$2:$I$313,8,FALSE)</f>
        <v>25951400000</v>
      </c>
      <c r="U107" s="61">
        <f>VLOOKUP($A107,'Niteesh''s data'!$A$2:$I$313,9,FALSE)</f>
        <v>2.1999999999999999E-2</v>
      </c>
      <c r="V107">
        <f>VLOOKUP(A107,'Existing home Sales'!$A$2:$C$324,3,FALSE)</f>
        <v>5.29</v>
      </c>
      <c r="W107" s="8">
        <v>1</v>
      </c>
      <c r="X107">
        <f>IFERROR(VLOOKUP(A107,'Home Depot Gross Profit'!$A$1:$B$105,2,FALSE)/3,IF(W107=2,X106,X106))</f>
        <v>1150</v>
      </c>
      <c r="Y107">
        <f>IFERROR(VLOOKUP(A107,'LOWE''S GROSS PROFIT'!$A$1:$B$105,2,FALSE)/3,IF(X107=2,Y106/3,Y106))</f>
        <v>433.33333333333331</v>
      </c>
      <c r="Z107" s="8">
        <v>7.83</v>
      </c>
      <c r="AA107">
        <v>6814</v>
      </c>
      <c r="AB107">
        <f>VLOOKUP(A107,'[1]Fed_Int (1)'!$A$2:$B$316,2,FALSE)</f>
        <v>6.51</v>
      </c>
      <c r="AC107" s="8">
        <v>53.9375</v>
      </c>
      <c r="AD107" s="8">
        <v>56.8125</v>
      </c>
      <c r="AE107" s="8">
        <v>34.6875</v>
      </c>
      <c r="AF107" s="8">
        <v>43</v>
      </c>
      <c r="AG107" s="8">
        <v>30.277350999999999</v>
      </c>
      <c r="AH107" s="8">
        <v>269631700</v>
      </c>
      <c r="AI107" s="8">
        <v>11.0625</v>
      </c>
      <c r="AJ107" s="8">
        <v>11.484375</v>
      </c>
      <c r="AK107" s="8">
        <v>8.5625</v>
      </c>
      <c r="AL107" s="8">
        <v>11.421875</v>
      </c>
      <c r="AM107" s="8">
        <v>9.0808420000000005</v>
      </c>
      <c r="AN107" s="8">
        <v>234405600</v>
      </c>
    </row>
    <row r="108" spans="1:40" x14ac:dyDescent="0.35">
      <c r="A108" s="1">
        <v>36831</v>
      </c>
      <c r="B108" s="13">
        <f t="shared" si="2"/>
        <v>11</v>
      </c>
      <c r="C108" s="13">
        <f t="shared" si="3"/>
        <v>2000</v>
      </c>
      <c r="D108" s="2">
        <v>18689</v>
      </c>
      <c r="E108">
        <f>VLOOKUP(A108,PSR!$A$12:$B$721,2,FALSE)</f>
        <v>3.8</v>
      </c>
      <c r="F108">
        <f>VLOOKUP(A108,CCI_USA!$F$2:$H$317,3,FALSE)</f>
        <v>102.05719999999999</v>
      </c>
      <c r="G108">
        <f>INDEX('BLS Data Series'!$A$11:$M$39,MATCH('UI Datathon Development'!C108,'BLS Data Series'!$A$13:$A$39,0)+2,MATCH('UI Datathon Development'!B108,'BLS Data Series'!$B$11:$M$11,0)+1)</f>
        <v>3.9</v>
      </c>
      <c r="H108">
        <f>VLOOKUP(A108,'Houses for sale'!$B$10:$I$671,8,FALSE)</f>
        <v>305</v>
      </c>
      <c r="I108">
        <f>VLOOKUP(A108,'House starts'!$A$12:$B$325,2,FALSE)</f>
        <v>1551</v>
      </c>
      <c r="J108">
        <f>VLOOKUP(A108,'New house sales'!$A$13:$C$324,3,FALSE)</f>
        <v>174700</v>
      </c>
      <c r="K108">
        <f>VLOOKUP($A108,'Sreenath''s data'!$A$2:$F$313,3,FALSE)</f>
        <v>108.291</v>
      </c>
      <c r="L108">
        <f>VLOOKUP($A108,'Sreenath''s data'!$A$2:$F$313,4,FALSE)</f>
        <v>6685.9</v>
      </c>
      <c r="M108">
        <f>VLOOKUP($A108,'Sreenath''s data'!$A$2:$F$313,5,FALSE)</f>
        <v>106364</v>
      </c>
      <c r="N108">
        <f>VLOOKUP($A108,'Sreenath''s data'!$A$2:$F$313,6,FALSE)</f>
        <v>78.5092514961962</v>
      </c>
      <c r="O108">
        <f>VLOOKUP($A108,'Niteesh''s data'!$A$2:$I$313,3,FALSE)</f>
        <v>1429.400024</v>
      </c>
      <c r="P108">
        <f>VLOOKUP($A108,'Niteesh''s data'!$A$2:$I$313,4,FALSE)</f>
        <v>1438.459961</v>
      </c>
      <c r="Q108">
        <f>VLOOKUP($A108,'Niteesh''s data'!$A$2:$I$313,5,FALSE)</f>
        <v>1294.900024</v>
      </c>
      <c r="R108">
        <f>VLOOKUP($A108,'Niteesh''s data'!$A$2:$I$313,6,FALSE)</f>
        <v>1314.9499510000001</v>
      </c>
      <c r="S108">
        <f>VLOOKUP($A108,'Niteesh''s data'!$A$2:$I$313,7,FALSE)</f>
        <v>1314.9499510000001</v>
      </c>
      <c r="T108">
        <f>VLOOKUP($A108,'Niteesh''s data'!$A$2:$I$313,8,FALSE)</f>
        <v>20532300000</v>
      </c>
      <c r="U108" s="61">
        <f>VLOOKUP($A108,'Niteesh''s data'!$A$2:$I$313,9,FALSE)</f>
        <v>2.1999999999999999E-2</v>
      </c>
      <c r="V108">
        <f>VLOOKUP(A108,'Existing home Sales'!$A$2:$C$324,3,FALSE)</f>
        <v>5.25</v>
      </c>
      <c r="W108" s="8">
        <v>2</v>
      </c>
      <c r="X108">
        <f>IFERROR(VLOOKUP(A108,'Home Depot Gross Profit'!$A$1:$B$105,2,FALSE)/3,IF(W108=2,X107,X107))</f>
        <v>1150</v>
      </c>
      <c r="Y108">
        <f>IFERROR(VLOOKUP(A108,'LOWE''S GROSS PROFIT'!$A$1:$B$105,2,FALSE)/3,IF(X108=2,Y107/3,Y107))</f>
        <v>433.33333333333331</v>
      </c>
      <c r="Z108" s="8">
        <v>7.73</v>
      </c>
      <c r="AA108">
        <v>6817</v>
      </c>
      <c r="AB108">
        <f>VLOOKUP(A108,'[1]Fed_Int (1)'!$A$2:$B$316,2,FALSE)</f>
        <v>6.51</v>
      </c>
      <c r="AC108" s="8">
        <v>43</v>
      </c>
      <c r="AD108" s="8">
        <v>44.3125</v>
      </c>
      <c r="AE108" s="8">
        <v>35.4375</v>
      </c>
      <c r="AF108" s="8">
        <v>39.1875</v>
      </c>
      <c r="AG108" s="8">
        <v>27.592876</v>
      </c>
      <c r="AH108" s="8">
        <v>159686700</v>
      </c>
      <c r="AI108" s="8">
        <v>11.625</v>
      </c>
      <c r="AJ108" s="8">
        <v>11.6875</v>
      </c>
      <c r="AK108" s="8">
        <v>9.578125</v>
      </c>
      <c r="AL108" s="8">
        <v>10.015625</v>
      </c>
      <c r="AM108" s="8">
        <v>7.9893729999999996</v>
      </c>
      <c r="AN108" s="8">
        <v>181412800</v>
      </c>
    </row>
    <row r="109" spans="1:40" x14ac:dyDescent="0.35">
      <c r="A109" s="1">
        <v>36861</v>
      </c>
      <c r="B109" s="13">
        <f t="shared" si="2"/>
        <v>12</v>
      </c>
      <c r="C109" s="13">
        <f t="shared" si="3"/>
        <v>2000</v>
      </c>
      <c r="D109" s="2">
        <v>19356</v>
      </c>
      <c r="E109">
        <f>VLOOKUP(A109,PSR!$A$12:$B$721,2,FALSE)</f>
        <v>3.5</v>
      </c>
      <c r="F109">
        <f>VLOOKUP(A109,CCI_USA!$F$2:$H$317,3,FALSE)</f>
        <v>101.53400000000001</v>
      </c>
      <c r="G109">
        <f>INDEX('BLS Data Series'!$A$11:$M$39,MATCH('UI Datathon Development'!C109,'BLS Data Series'!$A$13:$A$39,0)+2,MATCH('UI Datathon Development'!B109,'BLS Data Series'!$B$11:$M$11,0)+1)</f>
        <v>3.9</v>
      </c>
      <c r="H109">
        <f>VLOOKUP(A109,'Houses for sale'!$B$10:$I$671,8,FALSE)</f>
        <v>298</v>
      </c>
      <c r="I109">
        <f>VLOOKUP(A109,'House starts'!$A$12:$B$325,2,FALSE)</f>
        <v>1532</v>
      </c>
      <c r="J109">
        <f>VLOOKUP(A109,'New house sales'!$A$13:$C$324,3,FALSE)</f>
        <v>162000</v>
      </c>
      <c r="K109">
        <f>VLOOKUP($A109,'Sreenath''s data'!$A$2:$F$313,3,FALSE)</f>
        <v>108.791</v>
      </c>
      <c r="L109">
        <f>VLOOKUP($A109,'Sreenath''s data'!$A$2:$F$313,4,FALSE)</f>
        <v>6922.8</v>
      </c>
      <c r="M109">
        <f>VLOOKUP($A109,'Sreenath''s data'!$A$2:$F$313,5,FALSE)</f>
        <v>106754</v>
      </c>
      <c r="N109">
        <f>VLOOKUP($A109,'Sreenath''s data'!$A$2:$F$313,6,FALSE)</f>
        <v>78.470615053530807</v>
      </c>
      <c r="O109">
        <f>VLOOKUP($A109,'Niteesh''s data'!$A$2:$I$313,3,FALSE)</f>
        <v>1314.9499510000001</v>
      </c>
      <c r="P109">
        <f>VLOOKUP($A109,'Niteesh''s data'!$A$2:$I$313,4,FALSE)</f>
        <v>1389.0500489999999</v>
      </c>
      <c r="Q109">
        <f>VLOOKUP($A109,'Niteesh''s data'!$A$2:$I$313,5,FALSE)</f>
        <v>1254.0699460000001</v>
      </c>
      <c r="R109">
        <f>VLOOKUP($A109,'Niteesh''s data'!$A$2:$I$313,6,FALSE)</f>
        <v>1320.280029</v>
      </c>
      <c r="S109">
        <f>VLOOKUP($A109,'Niteesh''s data'!$A$2:$I$313,7,FALSE)</f>
        <v>1320.280029</v>
      </c>
      <c r="T109">
        <f>VLOOKUP($A109,'Niteesh''s data'!$A$2:$I$313,8,FALSE)</f>
        <v>23610800000</v>
      </c>
      <c r="U109" s="61">
        <f>VLOOKUP($A109,'Niteesh''s data'!$A$2:$I$313,9,FALSE)</f>
        <v>2.1999999999999999E-2</v>
      </c>
      <c r="V109">
        <f>VLOOKUP(A109,'Existing home Sales'!$A$2:$C$324,3,FALSE)</f>
        <v>5.35</v>
      </c>
      <c r="W109" s="8">
        <v>3</v>
      </c>
      <c r="X109">
        <f>IFERROR(VLOOKUP(A109,'Home Depot Gross Profit'!$A$1:$B$105,2,FALSE)/3,IF(W109=2,X108,X108))</f>
        <v>1150</v>
      </c>
      <c r="Y109">
        <f>IFERROR(VLOOKUP(A109,'LOWE''S GROSS PROFIT'!$A$1:$B$105,2,FALSE)/3,IF(X109=2,Y108/3,Y108))</f>
        <v>433.33333333333331</v>
      </c>
      <c r="Z109" s="8">
        <v>7.42</v>
      </c>
      <c r="AA109">
        <v>6792</v>
      </c>
      <c r="AB109">
        <f>VLOOKUP(A109,'[1]Fed_Int (1)'!$A$2:$B$316,2,FALSE)</f>
        <v>6.4</v>
      </c>
      <c r="AC109" s="8">
        <v>39.25</v>
      </c>
      <c r="AD109" s="8">
        <v>47.4375</v>
      </c>
      <c r="AE109" s="8">
        <v>38.75</v>
      </c>
      <c r="AF109" s="8">
        <v>45.6875</v>
      </c>
      <c r="AG109" s="8">
        <v>32.202911</v>
      </c>
      <c r="AH109" s="8">
        <v>175587400</v>
      </c>
      <c r="AI109" s="8">
        <v>9.875</v>
      </c>
      <c r="AJ109" s="8">
        <v>11.453125</v>
      </c>
      <c r="AK109" s="8">
        <v>9.4375</v>
      </c>
      <c r="AL109" s="8">
        <v>11.125</v>
      </c>
      <c r="AM109" s="8">
        <v>8.8743110000000005</v>
      </c>
      <c r="AN109" s="8">
        <v>192700400</v>
      </c>
    </row>
    <row r="110" spans="1:40" x14ac:dyDescent="0.35">
      <c r="A110" s="1">
        <v>36892</v>
      </c>
      <c r="B110" s="13">
        <f t="shared" si="2"/>
        <v>1</v>
      </c>
      <c r="C110" s="13">
        <f t="shared" si="3"/>
        <v>2001</v>
      </c>
      <c r="D110" s="2">
        <v>19248</v>
      </c>
      <c r="E110">
        <f>VLOOKUP(A110,PSR!$A$12:$B$721,2,FALSE)</f>
        <v>4</v>
      </c>
      <c r="F110">
        <f>VLOOKUP(A110,CCI_USA!$F$2:$H$317,3,FALSE)</f>
        <v>101.01560000000001</v>
      </c>
      <c r="G110">
        <f>INDEX('BLS Data Series'!$A$11:$M$39,MATCH('UI Datathon Development'!C110,'BLS Data Series'!$A$13:$A$39,0)+2,MATCH('UI Datathon Development'!B110,'BLS Data Series'!$B$11:$M$11,0)+1)</f>
        <v>4.2</v>
      </c>
      <c r="H110">
        <f>VLOOKUP(A110,'Houses for sale'!$B$10:$I$671,8,FALSE)</f>
        <v>296</v>
      </c>
      <c r="I110">
        <f>VLOOKUP(A110,'House starts'!$A$12:$B$325,2,FALSE)</f>
        <v>1600</v>
      </c>
      <c r="J110">
        <f>VLOOKUP(A110,'New house sales'!$A$13:$C$324,3,FALSE)</f>
        <v>171300</v>
      </c>
      <c r="K110">
        <f>VLOOKUP($A110,'Sreenath''s data'!$A$2:$F$313,3,FALSE)</f>
        <v>109.215</v>
      </c>
      <c r="L110">
        <f>VLOOKUP($A110,'Sreenath''s data'!$A$2:$F$313,4,FALSE)</f>
        <v>6793.6</v>
      </c>
      <c r="M110">
        <f>VLOOKUP($A110,'Sreenath''s data'!$A$2:$F$313,5,FALSE)</f>
        <v>106685</v>
      </c>
      <c r="N110">
        <f>VLOOKUP($A110,'Sreenath''s data'!$A$2:$F$313,6,FALSE)</f>
        <v>79.0115252508471</v>
      </c>
      <c r="O110">
        <f>VLOOKUP($A110,'Niteesh''s data'!$A$2:$I$313,3,FALSE)</f>
        <v>1320.280029</v>
      </c>
      <c r="P110">
        <f>VLOOKUP($A110,'Niteesh''s data'!$A$2:$I$313,4,FALSE)</f>
        <v>1383.369995</v>
      </c>
      <c r="Q110">
        <f>VLOOKUP($A110,'Niteesh''s data'!$A$2:$I$313,5,FALSE)</f>
        <v>1274.619995</v>
      </c>
      <c r="R110">
        <f>VLOOKUP($A110,'Niteesh''s data'!$A$2:$I$313,6,FALSE)</f>
        <v>1366.01001</v>
      </c>
      <c r="S110">
        <f>VLOOKUP($A110,'Niteesh''s data'!$A$2:$I$313,7,FALSE)</f>
        <v>1366.01001</v>
      </c>
      <c r="T110">
        <f>VLOOKUP($A110,'Niteesh''s data'!$A$2:$I$313,8,FALSE)</f>
        <v>27829800000</v>
      </c>
      <c r="U110" s="61">
        <f>VLOOKUP($A110,'Niteesh''s data'!$A$2:$I$313,9,FALSE)</f>
        <v>1.01E-2</v>
      </c>
      <c r="V110">
        <f>VLOOKUP(A110,'Existing home Sales'!$A$2:$C$324,3,FALSE)</f>
        <v>5.0999999999999996</v>
      </c>
      <c r="W110" s="8">
        <v>1</v>
      </c>
      <c r="X110">
        <f>IFERROR(VLOOKUP(A110,'Home Depot Gross Profit'!$A$1:$B$105,2,FALSE)/3,IF(W110=2,X109,X109))</f>
        <v>1072.6666666666667</v>
      </c>
      <c r="Y110">
        <f>IFERROR(VLOOKUP(A110,'LOWE''S GROSS PROFIT'!$A$1:$B$105,2,FALSE)/3,IF(X110=2,Y109/3,Y109))</f>
        <v>430.66666666666669</v>
      </c>
      <c r="Z110" s="8">
        <v>7.0449999999999999</v>
      </c>
      <c r="AA110">
        <v>6824</v>
      </c>
      <c r="AB110">
        <f>VLOOKUP(A110,'[1]Fed_Int (1)'!$A$2:$B$316,2,FALSE)</f>
        <v>5.98</v>
      </c>
      <c r="AC110" s="8">
        <v>45.6875</v>
      </c>
      <c r="AD110" s="8">
        <v>52.5</v>
      </c>
      <c r="AE110" s="8">
        <v>40.9375</v>
      </c>
      <c r="AF110" s="8">
        <v>48.200001</v>
      </c>
      <c r="AG110" s="8">
        <v>33.973866000000001</v>
      </c>
      <c r="AH110" s="8">
        <v>224446800</v>
      </c>
      <c r="AI110" s="8">
        <v>11.28125</v>
      </c>
      <c r="AJ110" s="8">
        <v>13.875</v>
      </c>
      <c r="AK110" s="8">
        <v>10.9375</v>
      </c>
      <c r="AL110" s="8">
        <v>13.362500000000001</v>
      </c>
      <c r="AM110" s="8">
        <v>10.659144</v>
      </c>
      <c r="AN110" s="8">
        <v>237037200</v>
      </c>
    </row>
    <row r="111" spans="1:40" x14ac:dyDescent="0.35">
      <c r="A111" s="1">
        <v>36923</v>
      </c>
      <c r="B111" s="13">
        <f t="shared" si="2"/>
        <v>2</v>
      </c>
      <c r="C111" s="13">
        <f t="shared" si="3"/>
        <v>2001</v>
      </c>
      <c r="D111" s="2">
        <v>19698</v>
      </c>
      <c r="E111">
        <f>VLOOKUP(A111,PSR!$A$12:$B$721,2,FALSE)</f>
        <v>4.0999999999999996</v>
      </c>
      <c r="F111">
        <f>VLOOKUP(A111,CCI_USA!$F$2:$H$317,3,FALSE)</f>
        <v>100.6367</v>
      </c>
      <c r="G111">
        <f>INDEX('BLS Data Series'!$A$11:$M$39,MATCH('UI Datathon Development'!C111,'BLS Data Series'!$A$13:$A$39,0)+2,MATCH('UI Datathon Development'!B111,'BLS Data Series'!$B$11:$M$11,0)+1)</f>
        <v>4.2</v>
      </c>
      <c r="H111">
        <f>VLOOKUP(A111,'Houses for sale'!$B$10:$I$671,8,FALSE)</f>
        <v>296</v>
      </c>
      <c r="I111">
        <f>VLOOKUP(A111,'House starts'!$A$12:$B$325,2,FALSE)</f>
        <v>1625</v>
      </c>
      <c r="J111">
        <f>VLOOKUP(A111,'New house sales'!$A$13:$C$324,3,FALSE)</f>
        <v>169100</v>
      </c>
      <c r="K111">
        <f>VLOOKUP($A111,'Sreenath''s data'!$A$2:$F$313,3,FALSE)</f>
        <v>109.64299999999901</v>
      </c>
      <c r="L111">
        <f>VLOOKUP($A111,'Sreenath''s data'!$A$2:$F$313,4,FALSE)</f>
        <v>6817.1</v>
      </c>
      <c r="M111">
        <f>VLOOKUP($A111,'Sreenath''s data'!$A$2:$F$313,5,FALSE)</f>
        <v>106829</v>
      </c>
      <c r="N111">
        <f>VLOOKUP($A111,'Sreenath''s data'!$A$2:$F$313,6,FALSE)</f>
        <v>79.475162562832494</v>
      </c>
      <c r="O111">
        <f>VLOOKUP($A111,'Niteesh''s data'!$A$2:$I$313,3,FALSE)</f>
        <v>1366.01001</v>
      </c>
      <c r="P111">
        <f>VLOOKUP($A111,'Niteesh''s data'!$A$2:$I$313,4,FALSE)</f>
        <v>1376.380005</v>
      </c>
      <c r="Q111">
        <f>VLOOKUP($A111,'Niteesh''s data'!$A$2:$I$313,5,FALSE)</f>
        <v>1215.4399410000001</v>
      </c>
      <c r="R111">
        <f>VLOOKUP($A111,'Niteesh''s data'!$A$2:$I$313,6,FALSE)</f>
        <v>1239.9399410000001</v>
      </c>
      <c r="S111">
        <f>VLOOKUP($A111,'Niteesh''s data'!$A$2:$I$313,7,FALSE)</f>
        <v>1239.9399410000001</v>
      </c>
      <c r="T111">
        <f>VLOOKUP($A111,'Niteesh''s data'!$A$2:$I$313,8,FALSE)</f>
        <v>21644400000</v>
      </c>
      <c r="U111" s="61">
        <f>VLOOKUP($A111,'Niteesh''s data'!$A$2:$I$313,9,FALSE)</f>
        <v>1.01E-2</v>
      </c>
      <c r="V111">
        <f>VLOOKUP(A111,'Existing home Sales'!$A$2:$C$324,3,FALSE)</f>
        <v>5.0999999999999996</v>
      </c>
      <c r="W111" s="8">
        <v>2</v>
      </c>
      <c r="X111">
        <f>IFERROR(VLOOKUP(A111,'Home Depot Gross Profit'!$A$1:$B$105,2,FALSE)/3,IF(W111=2,X110,X110))</f>
        <v>1072.6666666666667</v>
      </c>
      <c r="Y111">
        <f>IFERROR(VLOOKUP(A111,'LOWE''S GROSS PROFIT'!$A$1:$B$105,2,FALSE)/3,IF(X111=2,Y110/3,Y110))</f>
        <v>430.66666666666669</v>
      </c>
      <c r="Z111" s="8">
        <v>7.05</v>
      </c>
      <c r="AA111">
        <v>6841</v>
      </c>
      <c r="AB111">
        <f>VLOOKUP(A111,'[1]Fed_Int (1)'!$A$2:$B$316,2,FALSE)</f>
        <v>5.49</v>
      </c>
      <c r="AC111" s="8">
        <v>47.52</v>
      </c>
      <c r="AD111" s="8">
        <v>48.900002000000001</v>
      </c>
      <c r="AE111" s="8">
        <v>39.619999</v>
      </c>
      <c r="AF111" s="8">
        <v>42.5</v>
      </c>
      <c r="AG111" s="8">
        <v>29.956209000000001</v>
      </c>
      <c r="AH111" s="8">
        <v>141499800</v>
      </c>
      <c r="AI111" s="8">
        <v>13.362500000000001</v>
      </c>
      <c r="AJ111" s="8">
        <v>14.887499999999999</v>
      </c>
      <c r="AK111" s="8">
        <v>12.3925</v>
      </c>
      <c r="AL111" s="8">
        <v>13.97</v>
      </c>
      <c r="AM111" s="8">
        <v>11.175349000000001</v>
      </c>
      <c r="AN111" s="8">
        <v>320312400</v>
      </c>
    </row>
    <row r="112" spans="1:40" x14ac:dyDescent="0.35">
      <c r="A112" s="1">
        <v>36951</v>
      </c>
      <c r="B112" s="13">
        <f t="shared" si="2"/>
        <v>3</v>
      </c>
      <c r="C112" s="13">
        <f t="shared" si="3"/>
        <v>2001</v>
      </c>
      <c r="D112" s="2">
        <v>19562</v>
      </c>
      <c r="E112">
        <f>VLOOKUP(A112,PSR!$A$12:$B$721,2,FALSE)</f>
        <v>4.5</v>
      </c>
      <c r="F112">
        <f>VLOOKUP(A112,CCI_USA!$F$2:$H$317,3,FALSE)</f>
        <v>100.4731</v>
      </c>
      <c r="G112">
        <f>INDEX('BLS Data Series'!$A$11:$M$39,MATCH('UI Datathon Development'!C112,'BLS Data Series'!$A$13:$A$39,0)+2,MATCH('UI Datathon Development'!B112,'BLS Data Series'!$B$11:$M$11,0)+1)</f>
        <v>4.3</v>
      </c>
      <c r="H112">
        <f>VLOOKUP(A112,'Houses for sale'!$B$10:$I$671,8,FALSE)</f>
        <v>292</v>
      </c>
      <c r="I112">
        <f>VLOOKUP(A112,'House starts'!$A$12:$B$325,2,FALSE)</f>
        <v>1590</v>
      </c>
      <c r="J112">
        <f>VLOOKUP(A112,'New house sales'!$A$13:$C$324,3,FALSE)</f>
        <v>166300</v>
      </c>
      <c r="K112">
        <f>VLOOKUP($A112,'Sreenath''s data'!$A$2:$F$313,3,FALSE)</f>
        <v>110.393999999999</v>
      </c>
      <c r="L112">
        <f>VLOOKUP($A112,'Sreenath''s data'!$A$2:$F$313,4,FALSE)</f>
        <v>6794.6</v>
      </c>
      <c r="M112">
        <f>VLOOKUP($A112,'Sreenath''s data'!$A$2:$F$313,5,FALSE)</f>
        <v>106866</v>
      </c>
      <c r="N112">
        <f>VLOOKUP($A112,'Sreenath''s data'!$A$2:$F$313,6,FALSE)</f>
        <v>80.054709202814294</v>
      </c>
      <c r="O112">
        <f>VLOOKUP($A112,'Niteesh''s data'!$A$2:$I$313,3,FALSE)</f>
        <v>1239.9399410000001</v>
      </c>
      <c r="P112">
        <f>VLOOKUP($A112,'Niteesh''s data'!$A$2:$I$313,4,FALSE)</f>
        <v>1267.420044</v>
      </c>
      <c r="Q112">
        <f>VLOOKUP($A112,'Niteesh''s data'!$A$2:$I$313,5,FALSE)</f>
        <v>1081.1899410000001</v>
      </c>
      <c r="R112">
        <f>VLOOKUP($A112,'Niteesh''s data'!$A$2:$I$313,6,FALSE)</f>
        <v>1160.329956</v>
      </c>
      <c r="S112">
        <f>VLOOKUP($A112,'Niteesh''s data'!$A$2:$I$313,7,FALSE)</f>
        <v>1160.329956</v>
      </c>
      <c r="T112">
        <f>VLOOKUP($A112,'Niteesh''s data'!$A$2:$I$313,8,FALSE)</f>
        <v>27806610000</v>
      </c>
      <c r="U112" s="61">
        <f>VLOOKUP($A112,'Niteesh''s data'!$A$2:$I$313,9,FALSE)</f>
        <v>1.01E-2</v>
      </c>
      <c r="V112">
        <f>VLOOKUP(A112,'Existing home Sales'!$A$2:$C$324,3,FALSE)</f>
        <v>5.23</v>
      </c>
      <c r="W112" s="8">
        <v>3</v>
      </c>
      <c r="X112">
        <f>IFERROR(VLOOKUP(A112,'Home Depot Gross Profit'!$A$1:$B$105,2,FALSE)/3,IF(W112=2,X111,X111))</f>
        <v>1072.6666666666667</v>
      </c>
      <c r="Y112">
        <f>IFERROR(VLOOKUP(A112,'LOWE''S GROSS PROFIT'!$A$1:$B$105,2,FALSE)/3,IF(X112=2,Y111/3,Y111))</f>
        <v>430.66666666666669</v>
      </c>
      <c r="Z112" s="8">
        <v>6.96</v>
      </c>
      <c r="AA112">
        <v>6862</v>
      </c>
      <c r="AB112">
        <f>VLOOKUP(A112,'[1]Fed_Int (1)'!$A$2:$B$316,2,FALSE)</f>
        <v>5.31</v>
      </c>
      <c r="AC112" s="8">
        <v>42.400002000000001</v>
      </c>
      <c r="AD112" s="8">
        <v>45.5</v>
      </c>
      <c r="AE112" s="8">
        <v>38.110000999999997</v>
      </c>
      <c r="AF112" s="8">
        <v>43.099997999999999</v>
      </c>
      <c r="AG112" s="8">
        <v>30.379116</v>
      </c>
      <c r="AH112" s="8">
        <v>179137300</v>
      </c>
      <c r="AI112" s="8">
        <v>14.057499999999999</v>
      </c>
      <c r="AJ112" s="8">
        <v>16.149999999999999</v>
      </c>
      <c r="AK112" s="8">
        <v>13.3</v>
      </c>
      <c r="AL112" s="8">
        <v>14.612500000000001</v>
      </c>
      <c r="AM112" s="8">
        <v>11.689318</v>
      </c>
      <c r="AN112" s="8">
        <v>338448400</v>
      </c>
    </row>
    <row r="113" spans="1:40" x14ac:dyDescent="0.35">
      <c r="A113" s="1">
        <v>36982</v>
      </c>
      <c r="B113" s="13">
        <f t="shared" si="2"/>
        <v>4</v>
      </c>
      <c r="C113" s="13">
        <f t="shared" si="3"/>
        <v>2001</v>
      </c>
      <c r="D113" s="2">
        <v>20373</v>
      </c>
      <c r="E113">
        <f>VLOOKUP(A113,PSR!$A$12:$B$721,2,FALSE)</f>
        <v>4.3</v>
      </c>
      <c r="F113">
        <f>VLOOKUP(A113,CCI_USA!$F$2:$H$317,3,FALSE)</f>
        <v>100.4404</v>
      </c>
      <c r="G113">
        <f>INDEX('BLS Data Series'!$A$11:$M$39,MATCH('UI Datathon Development'!C113,'BLS Data Series'!$A$13:$A$39,0)+2,MATCH('UI Datathon Development'!B113,'BLS Data Series'!$B$11:$M$11,0)+1)</f>
        <v>4.4000000000000004</v>
      </c>
      <c r="H113">
        <f>VLOOKUP(A113,'Houses for sale'!$B$10:$I$671,8,FALSE)</f>
        <v>294</v>
      </c>
      <c r="I113">
        <f>VLOOKUP(A113,'House starts'!$A$12:$B$325,2,FALSE)</f>
        <v>1649</v>
      </c>
      <c r="J113">
        <f>VLOOKUP(A113,'New house sales'!$A$13:$C$324,3,FALSE)</f>
        <v>175200</v>
      </c>
      <c r="K113">
        <f>VLOOKUP($A113,'Sreenath''s data'!$A$2:$F$313,3,FALSE)</f>
        <v>111.247</v>
      </c>
      <c r="L113">
        <f>VLOOKUP($A113,'Sreenath''s data'!$A$2:$F$313,4,FALSE)</f>
        <v>6825.9</v>
      </c>
      <c r="M113">
        <f>VLOOKUP($A113,'Sreenath''s data'!$A$2:$F$313,5,FALSE)</f>
        <v>106753</v>
      </c>
      <c r="N113">
        <f>VLOOKUP($A113,'Sreenath''s data'!$A$2:$F$313,6,FALSE)</f>
        <v>80.131982088145193</v>
      </c>
      <c r="O113">
        <f>VLOOKUP($A113,'Niteesh''s data'!$A$2:$I$313,3,FALSE)</f>
        <v>1160.329956</v>
      </c>
      <c r="P113">
        <f>VLOOKUP($A113,'Niteesh''s data'!$A$2:$I$313,4,FALSE)</f>
        <v>1269.3000489999999</v>
      </c>
      <c r="Q113">
        <f>VLOOKUP($A113,'Niteesh''s data'!$A$2:$I$313,5,FALSE)</f>
        <v>1091.98999</v>
      </c>
      <c r="R113">
        <f>VLOOKUP($A113,'Niteesh''s data'!$A$2:$I$313,6,FALSE)</f>
        <v>1249.459961</v>
      </c>
      <c r="S113">
        <f>VLOOKUP($A113,'Niteesh''s data'!$A$2:$I$313,7,FALSE)</f>
        <v>1249.459961</v>
      </c>
      <c r="T113">
        <f>VLOOKUP($A113,'Niteesh''s data'!$A$2:$I$313,8,FALSE)</f>
        <v>25409990000</v>
      </c>
      <c r="U113" s="61">
        <f>VLOOKUP($A113,'Niteesh''s data'!$A$2:$I$313,9,FALSE)</f>
        <v>9.9000000000000008E-3</v>
      </c>
      <c r="V113">
        <f>VLOOKUP(A113,'Existing home Sales'!$A$2:$C$324,3,FALSE)</f>
        <v>5.45</v>
      </c>
      <c r="W113" s="8">
        <v>1</v>
      </c>
      <c r="X113">
        <f>IFERROR(VLOOKUP(A113,'Home Depot Gross Profit'!$A$1:$B$105,2,FALSE)/3,IF(W113=2,X112,X112))</f>
        <v>1218.3333333333333</v>
      </c>
      <c r="Y113">
        <f>IFERROR(VLOOKUP(A113,'LOWE''S GROSS PROFIT'!$A$1:$B$105,2,FALSE)/3,IF(X113=2,Y112/3,Y112))</f>
        <v>498</v>
      </c>
      <c r="Z113" s="8">
        <v>7.08</v>
      </c>
      <c r="AA113">
        <v>6844</v>
      </c>
      <c r="AB113">
        <f>VLOOKUP(A113,'[1]Fed_Int (1)'!$A$2:$B$316,2,FALSE)</f>
        <v>4.8</v>
      </c>
      <c r="AC113" s="8">
        <v>43.099997999999999</v>
      </c>
      <c r="AD113" s="8">
        <v>48.5</v>
      </c>
      <c r="AE113" s="8">
        <v>40.049999</v>
      </c>
      <c r="AF113" s="8">
        <v>47.099997999999999</v>
      </c>
      <c r="AG113" s="8">
        <v>33.230614000000003</v>
      </c>
      <c r="AH113" s="8">
        <v>139696600</v>
      </c>
      <c r="AI113" s="8">
        <v>14.4625</v>
      </c>
      <c r="AJ113" s="8">
        <v>15.925000000000001</v>
      </c>
      <c r="AK113" s="8">
        <v>13.074999999999999</v>
      </c>
      <c r="AL113" s="8">
        <v>15.75</v>
      </c>
      <c r="AM113" s="8">
        <v>12.599262</v>
      </c>
      <c r="AN113" s="8">
        <v>274370400</v>
      </c>
    </row>
    <row r="114" spans="1:40" x14ac:dyDescent="0.35">
      <c r="A114" s="1">
        <v>37012</v>
      </c>
      <c r="B114" s="13">
        <f t="shared" si="2"/>
        <v>5</v>
      </c>
      <c r="C114" s="13">
        <f t="shared" si="3"/>
        <v>2001</v>
      </c>
      <c r="D114" s="2">
        <v>20147</v>
      </c>
      <c r="E114">
        <f>VLOOKUP(A114,PSR!$A$12:$B$721,2,FALSE)</f>
        <v>3.7</v>
      </c>
      <c r="F114">
        <f>VLOOKUP(A114,CCI_USA!$F$2:$H$317,3,FALSE)</f>
        <v>100.5622</v>
      </c>
      <c r="G114">
        <f>INDEX('BLS Data Series'!$A$11:$M$39,MATCH('UI Datathon Development'!C114,'BLS Data Series'!$A$13:$A$39,0)+2,MATCH('UI Datathon Development'!B114,'BLS Data Series'!$B$11:$M$11,0)+1)</f>
        <v>4.3</v>
      </c>
      <c r="H114">
        <f>VLOOKUP(A114,'Houses for sale'!$B$10:$I$671,8,FALSE)</f>
        <v>295</v>
      </c>
      <c r="I114">
        <f>VLOOKUP(A114,'House starts'!$A$12:$B$325,2,FALSE)</f>
        <v>1605</v>
      </c>
      <c r="J114">
        <f>VLOOKUP(A114,'New house sales'!$A$13:$C$324,3,FALSE)</f>
        <v>175300</v>
      </c>
      <c r="K114">
        <f>VLOOKUP($A114,'Sreenath''s data'!$A$2:$F$313,3,FALSE)</f>
        <v>112.202</v>
      </c>
      <c r="L114">
        <f>VLOOKUP($A114,'Sreenath''s data'!$A$2:$F$313,4,FALSE)</f>
        <v>6814.5</v>
      </c>
      <c r="M114">
        <f>VLOOKUP($A114,'Sreenath''s data'!$A$2:$F$313,5,FALSE)</f>
        <v>106807</v>
      </c>
      <c r="N114">
        <f>VLOOKUP($A114,'Sreenath''s data'!$A$2:$F$313,6,FALSE)</f>
        <v>80.286527858807005</v>
      </c>
      <c r="O114">
        <f>VLOOKUP($A114,'Niteesh''s data'!$A$2:$I$313,3,FALSE)</f>
        <v>1249.459961</v>
      </c>
      <c r="P114">
        <f>VLOOKUP($A114,'Niteesh''s data'!$A$2:$I$313,4,FALSE)</f>
        <v>1315.9300539999999</v>
      </c>
      <c r="Q114">
        <f>VLOOKUP($A114,'Niteesh''s data'!$A$2:$I$313,5,FALSE)</f>
        <v>1232</v>
      </c>
      <c r="R114">
        <f>VLOOKUP($A114,'Niteesh''s data'!$A$2:$I$313,6,FALSE)</f>
        <v>1255.8199460000001</v>
      </c>
      <c r="S114">
        <f>VLOOKUP($A114,'Niteesh''s data'!$A$2:$I$313,7,FALSE)</f>
        <v>1255.8199460000001</v>
      </c>
      <c r="T114">
        <f>VLOOKUP($A114,'Niteesh''s data'!$A$2:$I$313,8,FALSE)</f>
        <v>24525900000</v>
      </c>
      <c r="U114" s="61">
        <f>VLOOKUP($A114,'Niteesh''s data'!$A$2:$I$313,9,FALSE)</f>
        <v>9.9000000000000008E-3</v>
      </c>
      <c r="V114">
        <f>VLOOKUP(A114,'Existing home Sales'!$A$2:$C$324,3,FALSE)</f>
        <v>5.32</v>
      </c>
      <c r="W114" s="8">
        <v>2</v>
      </c>
      <c r="X114">
        <f>IFERROR(VLOOKUP(A114,'Home Depot Gross Profit'!$A$1:$B$105,2,FALSE)/3,IF(W114=2,X113,X113))</f>
        <v>1218.3333333333333</v>
      </c>
      <c r="Y114">
        <f>IFERROR(VLOOKUP(A114,'LOWE''S GROSS PROFIT'!$A$1:$B$105,2,FALSE)/3,IF(X114=2,Y113/3,Y113))</f>
        <v>498</v>
      </c>
      <c r="Z114" s="8">
        <v>7.14</v>
      </c>
      <c r="AA114">
        <v>6849</v>
      </c>
      <c r="AB114">
        <f>VLOOKUP(A114,'[1]Fed_Int (1)'!$A$2:$B$316,2,FALSE)</f>
        <v>4.21</v>
      </c>
      <c r="AC114" s="8">
        <v>47.009998000000003</v>
      </c>
      <c r="AD114" s="8">
        <v>53.73</v>
      </c>
      <c r="AE114" s="8">
        <v>46.75</v>
      </c>
      <c r="AF114" s="8">
        <v>49.290000999999997</v>
      </c>
      <c r="AG114" s="8">
        <v>34.775725999999999</v>
      </c>
      <c r="AH114" s="8">
        <v>143446900</v>
      </c>
      <c r="AI114" s="8">
        <v>15.75</v>
      </c>
      <c r="AJ114" s="8">
        <v>18.424999</v>
      </c>
      <c r="AK114" s="8">
        <v>15.15</v>
      </c>
      <c r="AL114" s="8">
        <v>17.3825</v>
      </c>
      <c r="AM114" s="8">
        <v>13.942174</v>
      </c>
      <c r="AN114" s="8">
        <v>271238000</v>
      </c>
    </row>
    <row r="115" spans="1:40" x14ac:dyDescent="0.35">
      <c r="A115" s="1">
        <v>37043</v>
      </c>
      <c r="B115" s="13">
        <f t="shared" si="2"/>
        <v>6</v>
      </c>
      <c r="C115" s="13">
        <f t="shared" si="3"/>
        <v>2001</v>
      </c>
      <c r="D115" s="2">
        <v>19900</v>
      </c>
      <c r="E115">
        <f>VLOOKUP(A115,PSR!$A$12:$B$721,2,FALSE)</f>
        <v>3.7</v>
      </c>
      <c r="F115">
        <f>VLOOKUP(A115,CCI_USA!$F$2:$H$317,3,FALSE)</f>
        <v>100.6405</v>
      </c>
      <c r="G115">
        <f>INDEX('BLS Data Series'!$A$11:$M$39,MATCH('UI Datathon Development'!C115,'BLS Data Series'!$A$13:$A$39,0)+2,MATCH('UI Datathon Development'!B115,'BLS Data Series'!$B$11:$M$11,0)+1)</f>
        <v>4.5</v>
      </c>
      <c r="H115">
        <f>VLOOKUP(A115,'Houses for sale'!$B$10:$I$671,8,FALSE)</f>
        <v>301</v>
      </c>
      <c r="I115">
        <f>VLOOKUP(A115,'House starts'!$A$12:$B$325,2,FALSE)</f>
        <v>1636</v>
      </c>
      <c r="J115">
        <f>VLOOKUP(A115,'New house sales'!$A$13:$C$324,3,FALSE)</f>
        <v>179400</v>
      </c>
      <c r="K115">
        <f>VLOOKUP($A115,'Sreenath''s data'!$A$2:$F$313,3,FALSE)</f>
        <v>113.273</v>
      </c>
      <c r="L115">
        <f>VLOOKUP($A115,'Sreenath''s data'!$A$2:$F$313,4,FALSE)</f>
        <v>6800.8</v>
      </c>
      <c r="M115">
        <f>VLOOKUP($A115,'Sreenath''s data'!$A$2:$F$313,5,FALSE)</f>
        <v>106736</v>
      </c>
      <c r="N115">
        <f>VLOOKUP($A115,'Sreenath''s data'!$A$2:$F$313,6,FALSE)</f>
        <v>80.7501651707924</v>
      </c>
      <c r="O115">
        <f>VLOOKUP($A115,'Niteesh''s data'!$A$2:$I$313,3,FALSE)</f>
        <v>1255.8199460000001</v>
      </c>
      <c r="P115">
        <f>VLOOKUP($A115,'Niteesh''s data'!$A$2:$I$313,4,FALSE)</f>
        <v>1286.619995</v>
      </c>
      <c r="Q115">
        <f>VLOOKUP($A115,'Niteesh''s data'!$A$2:$I$313,5,FALSE)</f>
        <v>1203.030029</v>
      </c>
      <c r="R115">
        <f>VLOOKUP($A115,'Niteesh''s data'!$A$2:$I$313,6,FALSE)</f>
        <v>1224.380005</v>
      </c>
      <c r="S115">
        <f>VLOOKUP($A115,'Niteesh''s data'!$A$2:$I$313,7,FALSE)</f>
        <v>1224.380005</v>
      </c>
      <c r="T115">
        <f>VLOOKUP($A115,'Niteesh''s data'!$A$2:$I$313,8,FALSE)</f>
        <v>24748030000</v>
      </c>
      <c r="U115" s="61">
        <f>VLOOKUP($A115,'Niteesh''s data'!$A$2:$I$313,9,FALSE)</f>
        <v>9.9000000000000008E-3</v>
      </c>
      <c r="V115">
        <f>VLOOKUP(A115,'Existing home Sales'!$A$2:$C$324,3,FALSE)</f>
        <v>5.27</v>
      </c>
      <c r="W115" s="8">
        <v>3</v>
      </c>
      <c r="X115">
        <f>IFERROR(VLOOKUP(A115,'Home Depot Gross Profit'!$A$1:$B$105,2,FALSE)/3,IF(W115=2,X114,X114))</f>
        <v>1218.3333333333333</v>
      </c>
      <c r="Y115">
        <f>IFERROR(VLOOKUP(A115,'LOWE''S GROSS PROFIT'!$A$1:$B$105,2,FALSE)/3,IF(X115=2,Y114/3,Y114))</f>
        <v>498</v>
      </c>
      <c r="Z115" s="8">
        <v>7.14</v>
      </c>
      <c r="AA115">
        <v>6840</v>
      </c>
      <c r="AB115">
        <f>VLOOKUP(A115,'[1]Fed_Int (1)'!$A$2:$B$316,2,FALSE)</f>
        <v>3.97</v>
      </c>
      <c r="AC115" s="8">
        <v>49</v>
      </c>
      <c r="AD115" s="8">
        <v>51.450001</v>
      </c>
      <c r="AE115" s="8">
        <v>46.549999</v>
      </c>
      <c r="AF115" s="8">
        <v>47.240001999999997</v>
      </c>
      <c r="AG115" s="8">
        <v>33.329388000000002</v>
      </c>
      <c r="AH115" s="8">
        <v>118961200</v>
      </c>
      <c r="AI115" s="8">
        <v>17.307500999999998</v>
      </c>
      <c r="AJ115" s="8">
        <v>19.93</v>
      </c>
      <c r="AK115" s="8">
        <v>17.030000999999999</v>
      </c>
      <c r="AL115" s="8">
        <v>18.137501</v>
      </c>
      <c r="AM115" s="8">
        <v>14.547750000000001</v>
      </c>
      <c r="AN115" s="8">
        <v>216811600</v>
      </c>
    </row>
    <row r="116" spans="1:40" x14ac:dyDescent="0.35">
      <c r="A116" s="1">
        <v>37073</v>
      </c>
      <c r="B116" s="13">
        <f t="shared" si="2"/>
        <v>7</v>
      </c>
      <c r="C116" s="13">
        <f t="shared" si="3"/>
        <v>2001</v>
      </c>
      <c r="D116" s="2">
        <v>19838</v>
      </c>
      <c r="E116">
        <f>VLOOKUP(A116,PSR!$A$12:$B$721,2,FALSE)</f>
        <v>5</v>
      </c>
      <c r="F116">
        <f>VLOOKUP(A116,CCI_USA!$F$2:$H$317,3,FALSE)</f>
        <v>100.5552</v>
      </c>
      <c r="G116">
        <f>INDEX('BLS Data Series'!$A$11:$M$39,MATCH('UI Datathon Development'!C116,'BLS Data Series'!$A$13:$A$39,0)+2,MATCH('UI Datathon Development'!B116,'BLS Data Series'!$B$11:$M$11,0)+1)</f>
        <v>4.5999999999999996</v>
      </c>
      <c r="H116">
        <f>VLOOKUP(A116,'Houses for sale'!$B$10:$I$671,8,FALSE)</f>
        <v>305</v>
      </c>
      <c r="I116">
        <f>VLOOKUP(A116,'House starts'!$A$12:$B$325,2,FALSE)</f>
        <v>1670</v>
      </c>
      <c r="J116">
        <f>VLOOKUP(A116,'New house sales'!$A$13:$C$324,3,FALSE)</f>
        <v>175000</v>
      </c>
      <c r="K116">
        <f>VLOOKUP($A116,'Sreenath''s data'!$A$2:$F$313,3,FALSE)</f>
        <v>114.23</v>
      </c>
      <c r="L116">
        <f>VLOOKUP($A116,'Sreenath''s data'!$A$2:$F$313,4,FALSE)</f>
        <v>6817.1</v>
      </c>
      <c r="M116">
        <f>VLOOKUP($A116,'Sreenath''s data'!$A$2:$F$313,5,FALSE)</f>
        <v>106685</v>
      </c>
      <c r="N116">
        <f>VLOOKUP($A116,'Sreenath''s data'!$A$2:$F$313,6,FALSE)</f>
        <v>81.020620269450504</v>
      </c>
      <c r="O116">
        <f>VLOOKUP($A116,'Niteesh''s data'!$A$2:$I$313,3,FALSE)</f>
        <v>1224.420044</v>
      </c>
      <c r="P116">
        <f>VLOOKUP($A116,'Niteesh''s data'!$A$2:$I$313,4,FALSE)</f>
        <v>1239.780029</v>
      </c>
      <c r="Q116">
        <f>VLOOKUP($A116,'Niteesh''s data'!$A$2:$I$313,5,FALSE)</f>
        <v>1165.540039</v>
      </c>
      <c r="R116">
        <f>VLOOKUP($A116,'Niteesh''s data'!$A$2:$I$313,6,FALSE)</f>
        <v>1211.2299800000001</v>
      </c>
      <c r="S116">
        <f>VLOOKUP($A116,'Niteesh''s data'!$A$2:$I$313,7,FALSE)</f>
        <v>1211.2299800000001</v>
      </c>
      <c r="T116">
        <f>VLOOKUP($A116,'Niteesh''s data'!$A$2:$I$313,8,FALSE)</f>
        <v>23793710000</v>
      </c>
      <c r="U116" s="61">
        <f>VLOOKUP($A116,'Niteesh''s data'!$A$2:$I$313,9,FALSE)</f>
        <v>9.7000000000000003E-3</v>
      </c>
      <c r="V116">
        <f>VLOOKUP(A116,'Existing home Sales'!$A$2:$C$324,3,FALSE)</f>
        <v>5.43</v>
      </c>
      <c r="W116" s="8">
        <v>1</v>
      </c>
      <c r="X116">
        <f>IFERROR(VLOOKUP(A116,'Home Depot Gross Profit'!$A$1:$B$105,2,FALSE)/3,IF(W116=2,X115,X115))</f>
        <v>1442</v>
      </c>
      <c r="Y116">
        <f>IFERROR(VLOOKUP(A116,'LOWE''S GROSS PROFIT'!$A$1:$B$105,2,FALSE)/3,IF(X116=2,Y115/3,Y115))</f>
        <v>572.66666666666663</v>
      </c>
      <c r="Z116" s="8">
        <v>7.1349999999999998</v>
      </c>
      <c r="AA116">
        <v>6845</v>
      </c>
      <c r="AB116">
        <f>VLOOKUP(A116,'[1]Fed_Int (1)'!$A$2:$B$316,2,FALSE)</f>
        <v>3.77</v>
      </c>
      <c r="AC116" s="8">
        <v>46.990001999999997</v>
      </c>
      <c r="AD116" s="8">
        <v>50.900002000000001</v>
      </c>
      <c r="AE116" s="8">
        <v>44.599997999999999</v>
      </c>
      <c r="AF116" s="8">
        <v>50.369999</v>
      </c>
      <c r="AG116" s="8">
        <v>35.565764999999999</v>
      </c>
      <c r="AH116" s="8">
        <v>106056100</v>
      </c>
      <c r="AI116" s="8">
        <v>18.575001</v>
      </c>
      <c r="AJ116" s="8">
        <v>19.809999000000001</v>
      </c>
      <c r="AK116" s="8">
        <v>16.75</v>
      </c>
      <c r="AL116" s="8">
        <v>19.09</v>
      </c>
      <c r="AM116" s="8">
        <v>15.311724</v>
      </c>
      <c r="AN116" s="8">
        <v>173546600</v>
      </c>
    </row>
    <row r="117" spans="1:40" x14ac:dyDescent="0.35">
      <c r="A117" s="1">
        <v>37104</v>
      </c>
      <c r="B117" s="13">
        <f t="shared" si="2"/>
        <v>8</v>
      </c>
      <c r="C117" s="13">
        <f t="shared" si="3"/>
        <v>2001</v>
      </c>
      <c r="D117" s="2">
        <v>19920</v>
      </c>
      <c r="E117">
        <f>VLOOKUP(A117,PSR!$A$12:$B$721,2,FALSE)</f>
        <v>6.1</v>
      </c>
      <c r="F117">
        <f>VLOOKUP(A117,CCI_USA!$F$2:$H$317,3,FALSE)</f>
        <v>100.2564</v>
      </c>
      <c r="G117">
        <f>INDEX('BLS Data Series'!$A$11:$M$39,MATCH('UI Datathon Development'!C117,'BLS Data Series'!$A$13:$A$39,0)+2,MATCH('UI Datathon Development'!B117,'BLS Data Series'!$B$11:$M$11,0)+1)</f>
        <v>4.9000000000000004</v>
      </c>
      <c r="H117">
        <f>VLOOKUP(A117,'Houses for sale'!$B$10:$I$671,8,FALSE)</f>
        <v>308</v>
      </c>
      <c r="I117">
        <f>VLOOKUP(A117,'House starts'!$A$12:$B$325,2,FALSE)</f>
        <v>1567</v>
      </c>
      <c r="J117">
        <f>VLOOKUP(A117,'New house sales'!$A$13:$C$324,3,FALSE)</f>
        <v>173700</v>
      </c>
      <c r="K117">
        <f>VLOOKUP($A117,'Sreenath''s data'!$A$2:$F$313,3,FALSE)</f>
        <v>114.991</v>
      </c>
      <c r="L117">
        <f>VLOOKUP($A117,'Sreenath''s data'!$A$2:$F$313,4,FALSE)</f>
        <v>6826.9</v>
      </c>
      <c r="M117">
        <f>VLOOKUP($A117,'Sreenath''s data'!$A$2:$F$313,5,FALSE)</f>
        <v>106766</v>
      </c>
      <c r="N117">
        <f>VLOOKUP($A117,'Sreenath''s data'!$A$2:$F$313,6,FALSE)</f>
        <v>81.445621138770505</v>
      </c>
      <c r="O117">
        <f>VLOOKUP($A117,'Niteesh''s data'!$A$2:$I$313,3,FALSE)</f>
        <v>1211.2299800000001</v>
      </c>
      <c r="P117">
        <f>VLOOKUP($A117,'Niteesh''s data'!$A$2:$I$313,4,FALSE)</f>
        <v>1226.2700199999999</v>
      </c>
      <c r="Q117">
        <f>VLOOKUP($A117,'Niteesh''s data'!$A$2:$I$313,5,FALSE)</f>
        <v>1124.869995</v>
      </c>
      <c r="R117">
        <f>VLOOKUP($A117,'Niteesh''s data'!$A$2:$I$313,6,FALSE)</f>
        <v>1133.579956</v>
      </c>
      <c r="S117">
        <f>VLOOKUP($A117,'Niteesh''s data'!$A$2:$I$313,7,FALSE)</f>
        <v>1133.579956</v>
      </c>
      <c r="T117">
        <f>VLOOKUP($A117,'Niteesh''s data'!$A$2:$I$313,8,FALSE)</f>
        <v>23359200000</v>
      </c>
      <c r="U117" s="61">
        <f>VLOOKUP($A117,'Niteesh''s data'!$A$2:$I$313,9,FALSE)</f>
        <v>9.5999999999999992E-3</v>
      </c>
      <c r="V117">
        <f>VLOOKUP(A117,'Existing home Sales'!$A$2:$C$324,3,FALSE)</f>
        <v>5.43</v>
      </c>
      <c r="W117" s="8">
        <v>2</v>
      </c>
      <c r="X117">
        <f>IFERROR(VLOOKUP(A117,'Home Depot Gross Profit'!$A$1:$B$105,2,FALSE)/3,IF(W117=2,X116,X116))</f>
        <v>1442</v>
      </c>
      <c r="Y117">
        <f>IFERROR(VLOOKUP(A117,'LOWE''S GROSS PROFIT'!$A$1:$B$105,2,FALSE)/3,IF(X117=2,Y116/3,Y116))</f>
        <v>572.66666666666663</v>
      </c>
      <c r="Z117" s="8">
        <v>6.92</v>
      </c>
      <c r="AA117">
        <v>6827</v>
      </c>
      <c r="AB117">
        <f>VLOOKUP(A117,'[1]Fed_Int (1)'!$A$2:$B$316,2,FALSE)</f>
        <v>3.65</v>
      </c>
      <c r="AC117" s="8">
        <v>50.369999</v>
      </c>
      <c r="AD117" s="8">
        <v>50.700001</v>
      </c>
      <c r="AE117" s="8">
        <v>45.27</v>
      </c>
      <c r="AF117" s="8">
        <v>45.950001</v>
      </c>
      <c r="AG117" s="8">
        <v>32.444828000000001</v>
      </c>
      <c r="AH117" s="8">
        <v>124733500</v>
      </c>
      <c r="AI117" s="8">
        <v>18.899999999999999</v>
      </c>
      <c r="AJ117" s="8">
        <v>19.649999999999999</v>
      </c>
      <c r="AK117" s="8">
        <v>17.415001</v>
      </c>
      <c r="AL117" s="8">
        <v>18.600000000000001</v>
      </c>
      <c r="AM117" s="8">
        <v>14.935082</v>
      </c>
      <c r="AN117" s="8">
        <v>178277600</v>
      </c>
    </row>
    <row r="118" spans="1:40" x14ac:dyDescent="0.35">
      <c r="A118" s="1">
        <v>37135</v>
      </c>
      <c r="B118" s="13">
        <f t="shared" si="2"/>
        <v>9</v>
      </c>
      <c r="C118" s="13">
        <f t="shared" si="3"/>
        <v>2001</v>
      </c>
      <c r="D118" s="2">
        <v>19664</v>
      </c>
      <c r="E118">
        <f>VLOOKUP(A118,PSR!$A$12:$B$721,2,FALSE)</f>
        <v>6.3</v>
      </c>
      <c r="F118">
        <f>VLOOKUP(A118,CCI_USA!$F$2:$H$317,3,FALSE)</f>
        <v>99.825800000000001</v>
      </c>
      <c r="G118">
        <f>INDEX('BLS Data Series'!$A$11:$M$39,MATCH('UI Datathon Development'!C118,'BLS Data Series'!$A$13:$A$39,0)+2,MATCH('UI Datathon Development'!B118,'BLS Data Series'!$B$11:$M$11,0)+1)</f>
        <v>5</v>
      </c>
      <c r="H118">
        <f>VLOOKUP(A118,'Houses for sale'!$B$10:$I$671,8,FALSE)</f>
        <v>310</v>
      </c>
      <c r="I118">
        <f>VLOOKUP(A118,'House starts'!$A$12:$B$325,2,FALSE)</f>
        <v>1562</v>
      </c>
      <c r="J118">
        <f>VLOOKUP(A118,'New house sales'!$A$13:$C$324,3,FALSE)</f>
        <v>166400</v>
      </c>
      <c r="K118">
        <f>VLOOKUP($A118,'Sreenath''s data'!$A$2:$F$313,3,FALSE)</f>
        <v>115.467</v>
      </c>
      <c r="L118">
        <f>VLOOKUP($A118,'Sreenath''s data'!$A$2:$F$313,4,FALSE)</f>
        <v>6809.3</v>
      </c>
      <c r="M118">
        <f>VLOOKUP($A118,'Sreenath''s data'!$A$2:$F$313,5,FALSE)</f>
        <v>107089</v>
      </c>
      <c r="N118">
        <f>VLOOKUP($A118,'Sreenath''s data'!$A$2:$F$313,6,FALSE)</f>
        <v>81.252438925443201</v>
      </c>
      <c r="O118">
        <f>VLOOKUP($A118,'Niteesh''s data'!$A$2:$I$313,3,FALSE)</f>
        <v>1133.579956</v>
      </c>
      <c r="P118">
        <f>VLOOKUP($A118,'Niteesh''s data'!$A$2:$I$313,4,FALSE)</f>
        <v>1155.400024</v>
      </c>
      <c r="Q118">
        <f>VLOOKUP($A118,'Niteesh''s data'!$A$2:$I$313,5,FALSE)</f>
        <v>944.75</v>
      </c>
      <c r="R118">
        <f>VLOOKUP($A118,'Niteesh''s data'!$A$2:$I$313,6,FALSE)</f>
        <v>1040.9399410000001</v>
      </c>
      <c r="S118">
        <f>VLOOKUP($A118,'Niteesh''s data'!$A$2:$I$313,7,FALSE)</f>
        <v>1040.9399410000001</v>
      </c>
      <c r="T118">
        <f>VLOOKUP($A118,'Niteesh''s data'!$A$2:$I$313,8,FALSE)</f>
        <v>25025290000</v>
      </c>
      <c r="U118" s="61">
        <f>VLOOKUP($A118,'Niteesh''s data'!$A$2:$I$313,9,FALSE)</f>
        <v>9.4999999999999998E-3</v>
      </c>
      <c r="V118">
        <f>VLOOKUP(A118,'Existing home Sales'!$A$2:$C$324,3,FALSE)</f>
        <v>5.48</v>
      </c>
      <c r="W118" s="8">
        <v>3</v>
      </c>
      <c r="X118">
        <f>IFERROR(VLOOKUP(A118,'Home Depot Gross Profit'!$A$1:$B$105,2,FALSE)/3,IF(W118=2,X117,X117))</f>
        <v>1442</v>
      </c>
      <c r="Y118">
        <f>IFERROR(VLOOKUP(A118,'LOWE''S GROSS PROFIT'!$A$1:$B$105,2,FALSE)/3,IF(X118=2,Y117/3,Y117))</f>
        <v>572.66666666666663</v>
      </c>
      <c r="Z118" s="8">
        <v>6.83</v>
      </c>
      <c r="AA118">
        <v>6813</v>
      </c>
      <c r="AB118">
        <f>VLOOKUP(A118,'[1]Fed_Int (1)'!$A$2:$B$316,2,FALSE)</f>
        <v>3.07</v>
      </c>
      <c r="AC118" s="8">
        <v>45.82</v>
      </c>
      <c r="AD118" s="8">
        <v>48</v>
      </c>
      <c r="AE118" s="8">
        <v>30.299999</v>
      </c>
      <c r="AF118" s="8">
        <v>38.369999</v>
      </c>
      <c r="AG118" s="8">
        <v>27.114806999999999</v>
      </c>
      <c r="AH118" s="8">
        <v>193174700</v>
      </c>
      <c r="AI118" s="8">
        <v>18.649999999999999</v>
      </c>
      <c r="AJ118" s="8">
        <v>19.114999999999998</v>
      </c>
      <c r="AK118" s="8">
        <v>12.494999999999999</v>
      </c>
      <c r="AL118" s="8">
        <v>15.824999999999999</v>
      </c>
      <c r="AM118" s="8">
        <v>12.706871</v>
      </c>
      <c r="AN118" s="8">
        <v>186840400</v>
      </c>
    </row>
    <row r="119" spans="1:40" x14ac:dyDescent="0.35">
      <c r="A119" s="1">
        <v>37165</v>
      </c>
      <c r="B119" s="13">
        <f t="shared" si="2"/>
        <v>10</v>
      </c>
      <c r="C119" s="13">
        <f t="shared" si="3"/>
        <v>2001</v>
      </c>
      <c r="D119" s="2">
        <v>20054</v>
      </c>
      <c r="E119">
        <f>VLOOKUP(A119,PSR!$A$12:$B$721,2,FALSE)</f>
        <v>2.7</v>
      </c>
      <c r="F119">
        <f>VLOOKUP(A119,CCI_USA!$F$2:$H$317,3,FALSE)</f>
        <v>99.670559999999995</v>
      </c>
      <c r="G119">
        <f>INDEX('BLS Data Series'!$A$11:$M$39,MATCH('UI Datathon Development'!C119,'BLS Data Series'!$A$13:$A$39,0)+2,MATCH('UI Datathon Development'!B119,'BLS Data Series'!$B$11:$M$11,0)+1)</f>
        <v>5.3</v>
      </c>
      <c r="H119">
        <f>VLOOKUP(A119,'Houses for sale'!$B$10:$I$671,8,FALSE)</f>
        <v>308</v>
      </c>
      <c r="I119">
        <f>VLOOKUP(A119,'House starts'!$A$12:$B$325,2,FALSE)</f>
        <v>1540</v>
      </c>
      <c r="J119">
        <f>VLOOKUP(A119,'New house sales'!$A$13:$C$324,3,FALSE)</f>
        <v>171300</v>
      </c>
      <c r="K119">
        <f>VLOOKUP($A119,'Sreenath''s data'!$A$2:$F$313,3,FALSE)</f>
        <v>115.682</v>
      </c>
      <c r="L119">
        <f>VLOOKUP($A119,'Sreenath''s data'!$A$2:$F$313,4,FALSE)</f>
        <v>6772.6</v>
      </c>
      <c r="M119">
        <f>VLOOKUP($A119,'Sreenath''s data'!$A$2:$F$313,5,FALSE)</f>
        <v>107432</v>
      </c>
      <c r="N119">
        <f>VLOOKUP($A119,'Sreenath''s data'!$A$2:$F$313,6,FALSE)</f>
        <v>81.445621138770505</v>
      </c>
      <c r="O119">
        <f>VLOOKUP($A119,'Niteesh''s data'!$A$2:$I$313,3,FALSE)</f>
        <v>1040.9399410000001</v>
      </c>
      <c r="P119">
        <f>VLOOKUP($A119,'Niteesh''s data'!$A$2:$I$313,4,FALSE)</f>
        <v>1110.6099850000001</v>
      </c>
      <c r="Q119">
        <f>VLOOKUP($A119,'Niteesh''s data'!$A$2:$I$313,5,FALSE)</f>
        <v>1026.76001</v>
      </c>
      <c r="R119">
        <f>VLOOKUP($A119,'Niteesh''s data'!$A$2:$I$313,6,FALSE)</f>
        <v>1059.780029</v>
      </c>
      <c r="S119">
        <f>VLOOKUP($A119,'Niteesh''s data'!$A$2:$I$313,7,FALSE)</f>
        <v>1059.780029</v>
      </c>
      <c r="T119">
        <f>VLOOKUP($A119,'Niteesh''s data'!$A$2:$I$313,8,FALSE)</f>
        <v>29951280000</v>
      </c>
      <c r="U119" s="61">
        <f>VLOOKUP($A119,'Niteesh''s data'!$A$2:$I$313,9,FALSE)</f>
        <v>9.4999999999999998E-3</v>
      </c>
      <c r="V119">
        <f>VLOOKUP(A119,'Existing home Sales'!$A$2:$C$324,3,FALSE)</f>
        <v>5.23</v>
      </c>
      <c r="W119" s="8">
        <v>1</v>
      </c>
      <c r="X119">
        <f>IFERROR(VLOOKUP(A119,'Home Depot Gross Profit'!$A$1:$B$105,2,FALSE)/3,IF(W119=2,X118,X118))</f>
        <v>1336.6666666666667</v>
      </c>
      <c r="Y119">
        <f>IFERROR(VLOOKUP(A119,'LOWE''S GROSS PROFIT'!$A$1:$B$105,2,FALSE)/3,IF(X119=2,Y118/3,Y118))</f>
        <v>530.33333333333337</v>
      </c>
      <c r="Z119" s="8">
        <v>6.625</v>
      </c>
      <c r="AA119">
        <v>6804</v>
      </c>
      <c r="AB119">
        <f>VLOOKUP(A119,'[1]Fed_Int (1)'!$A$2:$B$316,2,FALSE)</f>
        <v>2.4900000000000002</v>
      </c>
      <c r="AC119" s="8">
        <v>38.119999</v>
      </c>
      <c r="AD119" s="8">
        <v>43.119999</v>
      </c>
      <c r="AE119" s="8">
        <v>37.099997999999999</v>
      </c>
      <c r="AF119" s="8">
        <v>38.229999999999997</v>
      </c>
      <c r="AG119" s="8">
        <v>27.015861999999998</v>
      </c>
      <c r="AH119" s="8">
        <v>173826200</v>
      </c>
      <c r="AI119" s="8">
        <v>15.625</v>
      </c>
      <c r="AJ119" s="8">
        <v>17.850000000000001</v>
      </c>
      <c r="AK119" s="8">
        <v>15</v>
      </c>
      <c r="AL119" s="8">
        <v>17.049999</v>
      </c>
      <c r="AM119" s="8">
        <v>13.690496</v>
      </c>
      <c r="AN119" s="8">
        <v>209725000</v>
      </c>
    </row>
    <row r="120" spans="1:40" x14ac:dyDescent="0.35">
      <c r="A120" s="1">
        <v>37196</v>
      </c>
      <c r="B120" s="13">
        <f t="shared" si="2"/>
        <v>11</v>
      </c>
      <c r="C120" s="13">
        <f t="shared" si="3"/>
        <v>2001</v>
      </c>
      <c r="D120" s="2">
        <v>19982</v>
      </c>
      <c r="E120">
        <f>VLOOKUP(A120,PSR!$A$12:$B$721,2,FALSE)</f>
        <v>3.4</v>
      </c>
      <c r="F120">
        <f>VLOOKUP(A120,CCI_USA!$F$2:$H$317,3,FALSE)</f>
        <v>99.816980000000001</v>
      </c>
      <c r="G120">
        <f>INDEX('BLS Data Series'!$A$11:$M$39,MATCH('UI Datathon Development'!C120,'BLS Data Series'!$A$13:$A$39,0)+2,MATCH('UI Datathon Development'!B120,'BLS Data Series'!$B$11:$M$11,0)+1)</f>
        <v>5.5</v>
      </c>
      <c r="H120">
        <f>VLOOKUP(A120,'Houses for sale'!$B$10:$I$671,8,FALSE)</f>
        <v>308</v>
      </c>
      <c r="I120">
        <f>VLOOKUP(A120,'House starts'!$A$12:$B$325,2,FALSE)</f>
        <v>1602</v>
      </c>
      <c r="J120">
        <f>VLOOKUP(A120,'New house sales'!$A$13:$C$324,3,FALSE)</f>
        <v>168100</v>
      </c>
      <c r="K120">
        <f>VLOOKUP($A120,'Sreenath''s data'!$A$2:$F$313,3,FALSE)</f>
        <v>115.839</v>
      </c>
      <c r="L120">
        <f>VLOOKUP($A120,'Sreenath''s data'!$A$2:$F$313,4,FALSE)</f>
        <v>6791.6</v>
      </c>
      <c r="M120">
        <f>VLOOKUP($A120,'Sreenath''s data'!$A$2:$F$313,5,FALSE)</f>
        <v>107669</v>
      </c>
      <c r="N120">
        <f>VLOOKUP($A120,'Sreenath''s data'!$A$2:$F$313,6,FALSE)</f>
        <v>81.638803352097796</v>
      </c>
      <c r="O120">
        <f>VLOOKUP($A120,'Niteesh''s data'!$A$2:$I$313,3,FALSE)</f>
        <v>1059.780029</v>
      </c>
      <c r="P120">
        <f>VLOOKUP($A120,'Niteesh''s data'!$A$2:$I$313,4,FALSE)</f>
        <v>1163.380005</v>
      </c>
      <c r="Q120">
        <f>VLOOKUP($A120,'Niteesh''s data'!$A$2:$I$313,5,FALSE)</f>
        <v>1054.3100589999999</v>
      </c>
      <c r="R120">
        <f>VLOOKUP($A120,'Niteesh''s data'!$A$2:$I$313,6,FALSE)</f>
        <v>1139.4499510000001</v>
      </c>
      <c r="S120">
        <f>VLOOKUP($A120,'Niteesh''s data'!$A$2:$I$313,7,FALSE)</f>
        <v>1139.4499510000001</v>
      </c>
      <c r="T120">
        <f>VLOOKUP($A120,'Niteesh''s data'!$A$2:$I$313,8,FALSE)</f>
        <v>26330000000</v>
      </c>
      <c r="U120" s="61">
        <f>VLOOKUP($A120,'Niteesh''s data'!$A$2:$I$313,9,FALSE)</f>
        <v>9.4999999999999998E-3</v>
      </c>
      <c r="V120">
        <f>VLOOKUP(A120,'Existing home Sales'!$A$2:$C$324,3,FALSE)</f>
        <v>5.25</v>
      </c>
      <c r="W120" s="8">
        <v>2</v>
      </c>
      <c r="X120">
        <f>IFERROR(VLOOKUP(A120,'Home Depot Gross Profit'!$A$1:$B$105,2,FALSE)/3,IF(W120=2,X119,X119))</f>
        <v>1336.6666666666667</v>
      </c>
      <c r="Y120">
        <f>IFERROR(VLOOKUP(A120,'LOWE''S GROSS PROFIT'!$A$1:$B$105,2,FALSE)/3,IF(X120=2,Y119/3,Y119))</f>
        <v>530.33333333333337</v>
      </c>
      <c r="Z120" s="8">
        <v>6.56</v>
      </c>
      <c r="AA120">
        <v>6784</v>
      </c>
      <c r="AB120">
        <f>VLOOKUP(A120,'[1]Fed_Int (1)'!$A$2:$B$316,2,FALSE)</f>
        <v>2.09</v>
      </c>
      <c r="AC120" s="8">
        <v>38.229999999999997</v>
      </c>
      <c r="AD120" s="8">
        <v>47.23</v>
      </c>
      <c r="AE120" s="8">
        <v>37.470001000000003</v>
      </c>
      <c r="AF120" s="8">
        <v>46.650002000000001</v>
      </c>
      <c r="AG120" s="8">
        <v>32.965995999999997</v>
      </c>
      <c r="AH120" s="8">
        <v>172422800</v>
      </c>
      <c r="AI120" s="8">
        <v>17.174999</v>
      </c>
      <c r="AJ120" s="8">
        <v>22.774999999999999</v>
      </c>
      <c r="AK120" s="8">
        <v>16.850000000000001</v>
      </c>
      <c r="AL120" s="8">
        <v>22.655000999999999</v>
      </c>
      <c r="AM120" s="8">
        <v>18.212091000000001</v>
      </c>
      <c r="AN120" s="8">
        <v>233608200</v>
      </c>
    </row>
    <row r="121" spans="1:40" x14ac:dyDescent="0.35">
      <c r="A121" s="1">
        <v>37226</v>
      </c>
      <c r="B121" s="13">
        <f t="shared" si="2"/>
        <v>12</v>
      </c>
      <c r="C121" s="13">
        <f t="shared" si="3"/>
        <v>2001</v>
      </c>
      <c r="D121" s="2">
        <v>20120</v>
      </c>
      <c r="E121">
        <f>VLOOKUP(A121,PSR!$A$12:$B$721,2,FALSE)</f>
        <v>3.8</v>
      </c>
      <c r="F121">
        <f>VLOOKUP(A121,CCI_USA!$F$2:$H$317,3,FALSE)</f>
        <v>100.1713</v>
      </c>
      <c r="G121">
        <f>INDEX('BLS Data Series'!$A$11:$M$39,MATCH('UI Datathon Development'!C121,'BLS Data Series'!$A$13:$A$39,0)+2,MATCH('UI Datathon Development'!B121,'BLS Data Series'!$B$11:$M$11,0)+1)</f>
        <v>5.7</v>
      </c>
      <c r="H121">
        <f>VLOOKUP(A121,'Houses for sale'!$B$10:$I$671,8,FALSE)</f>
        <v>308</v>
      </c>
      <c r="I121">
        <f>VLOOKUP(A121,'House starts'!$A$12:$B$325,2,FALSE)</f>
        <v>1568</v>
      </c>
      <c r="J121">
        <f>VLOOKUP(A121,'New house sales'!$A$13:$C$324,3,FALSE)</f>
        <v>180200</v>
      </c>
      <c r="K121">
        <f>VLOOKUP($A121,'Sreenath''s data'!$A$2:$F$313,3,FALSE)</f>
        <v>116.05500000000001</v>
      </c>
      <c r="L121">
        <f>VLOOKUP($A121,'Sreenath''s data'!$A$2:$F$313,4,FALSE)</f>
        <v>7023.2</v>
      </c>
      <c r="M121">
        <f>VLOOKUP($A121,'Sreenath''s data'!$A$2:$F$313,5,FALSE)</f>
        <v>107798</v>
      </c>
      <c r="N121">
        <f>VLOOKUP($A121,'Sreenath''s data'!$A$2:$F$313,6,FALSE)</f>
        <v>81.793349122759594</v>
      </c>
      <c r="O121">
        <f>VLOOKUP($A121,'Niteesh''s data'!$A$2:$I$313,3,FALSE)</f>
        <v>1139.4499510000001</v>
      </c>
      <c r="P121">
        <f>VLOOKUP($A121,'Niteesh''s data'!$A$2:$I$313,4,FALSE)</f>
        <v>1173.619995</v>
      </c>
      <c r="Q121">
        <f>VLOOKUP($A121,'Niteesh''s data'!$A$2:$I$313,5,FALSE)</f>
        <v>1114.530029</v>
      </c>
      <c r="R121">
        <f>VLOOKUP($A121,'Niteesh''s data'!$A$2:$I$313,6,FALSE)</f>
        <v>1148.079956</v>
      </c>
      <c r="S121">
        <f>VLOOKUP($A121,'Niteesh''s data'!$A$2:$I$313,7,FALSE)</f>
        <v>1148.079956</v>
      </c>
      <c r="T121">
        <f>VLOOKUP($A121,'Niteesh''s data'!$A$2:$I$313,8,FALSE)</f>
        <v>25128570000</v>
      </c>
      <c r="U121" s="61">
        <f>VLOOKUP($A121,'Niteesh''s data'!$A$2:$I$313,9,FALSE)</f>
        <v>9.4000000000000004E-3</v>
      </c>
      <c r="V121">
        <f>VLOOKUP(A121,'Existing home Sales'!$A$2:$C$324,3,FALSE)</f>
        <v>5.24</v>
      </c>
      <c r="W121" s="8">
        <v>3</v>
      </c>
      <c r="X121">
        <f>IFERROR(VLOOKUP(A121,'Home Depot Gross Profit'!$A$1:$B$105,2,FALSE)/3,IF(W121=2,X120,X120))</f>
        <v>1336.6666666666667</v>
      </c>
      <c r="Y121">
        <f>IFERROR(VLOOKUP(A121,'LOWE''S GROSS PROFIT'!$A$1:$B$105,2,FALSE)/3,IF(X121=2,Y120/3,Y120))</f>
        <v>530.33333333333337</v>
      </c>
      <c r="Z121" s="8">
        <v>7.125</v>
      </c>
      <c r="AA121">
        <v>6785</v>
      </c>
      <c r="AB121">
        <f>VLOOKUP(A121,'[1]Fed_Int (1)'!$A$2:$B$316,2,FALSE)</f>
        <v>1.82</v>
      </c>
      <c r="AC121" s="8">
        <v>46.66</v>
      </c>
      <c r="AD121" s="8">
        <v>52.040000999999997</v>
      </c>
      <c r="AE121" s="8">
        <v>46.25</v>
      </c>
      <c r="AF121" s="8">
        <v>51.009998000000003</v>
      </c>
      <c r="AG121" s="8">
        <v>36.12838</v>
      </c>
      <c r="AH121" s="8">
        <v>134069300</v>
      </c>
      <c r="AI121" s="8">
        <v>22.530000999999999</v>
      </c>
      <c r="AJ121" s="8">
        <v>24.440000999999999</v>
      </c>
      <c r="AK121" s="8">
        <v>22.395</v>
      </c>
      <c r="AL121" s="8">
        <v>23.204999999999998</v>
      </c>
      <c r="AM121" s="8">
        <v>18.654226000000001</v>
      </c>
      <c r="AN121" s="8">
        <v>143485800</v>
      </c>
    </row>
    <row r="122" spans="1:40" x14ac:dyDescent="0.35">
      <c r="A122" s="1">
        <v>37257</v>
      </c>
      <c r="B122" s="13">
        <f t="shared" si="2"/>
        <v>1</v>
      </c>
      <c r="C122" s="13">
        <f t="shared" si="3"/>
        <v>2002</v>
      </c>
      <c r="D122" s="2">
        <v>20359</v>
      </c>
      <c r="E122">
        <f>VLOOKUP(A122,PSR!$A$12:$B$721,2,FALSE)</f>
        <v>5.6</v>
      </c>
      <c r="F122">
        <f>VLOOKUP(A122,CCI_USA!$F$2:$H$317,3,FALSE)</f>
        <v>100.514</v>
      </c>
      <c r="G122">
        <f>INDEX('BLS Data Series'!$A$11:$M$39,MATCH('UI Datathon Development'!C122,'BLS Data Series'!$A$13:$A$39,0)+2,MATCH('UI Datathon Development'!B122,'BLS Data Series'!$B$11:$M$11,0)+1)</f>
        <v>5.7</v>
      </c>
      <c r="H122">
        <f>VLOOKUP(A122,'Houses for sale'!$B$10:$I$671,8,FALSE)</f>
        <v>310</v>
      </c>
      <c r="I122">
        <f>VLOOKUP(A122,'House starts'!$A$12:$B$325,2,FALSE)</f>
        <v>1698</v>
      </c>
      <c r="J122">
        <f>VLOOKUP(A122,'New house sales'!$A$13:$C$324,3,FALSE)</f>
        <v>187100</v>
      </c>
      <c r="K122">
        <f>VLOOKUP($A122,'Sreenath''s data'!$A$2:$F$313,3,FALSE)</f>
        <v>116.437</v>
      </c>
      <c r="L122">
        <f>VLOOKUP($A122,'Sreenath''s data'!$A$2:$F$313,4,FALSE)</f>
        <v>6892.9</v>
      </c>
      <c r="M122">
        <f>VLOOKUP($A122,'Sreenath''s data'!$A$2:$F$313,5,FALSE)</f>
        <v>104481</v>
      </c>
      <c r="N122">
        <f>VLOOKUP($A122,'Sreenath''s data'!$A$2:$F$313,6,FALSE)</f>
        <v>82.295622877410395</v>
      </c>
      <c r="O122">
        <f>VLOOKUP($A122,'Niteesh''s data'!$A$2:$I$313,3,FALSE)</f>
        <v>1148.079956</v>
      </c>
      <c r="P122">
        <f>VLOOKUP($A122,'Niteesh''s data'!$A$2:$I$313,4,FALSE)</f>
        <v>1176.969971</v>
      </c>
      <c r="Q122">
        <f>VLOOKUP($A122,'Niteesh''s data'!$A$2:$I$313,5,FALSE)</f>
        <v>1081.660034</v>
      </c>
      <c r="R122">
        <f>VLOOKUP($A122,'Niteesh''s data'!$A$2:$I$313,6,FALSE)</f>
        <v>1130.1999510000001</v>
      </c>
      <c r="S122">
        <f>VLOOKUP($A122,'Niteesh''s data'!$A$2:$I$313,7,FALSE)</f>
        <v>1130.1999510000001</v>
      </c>
      <c r="T122">
        <f>VLOOKUP($A122,'Niteesh''s data'!$A$2:$I$313,8,FALSE)</f>
        <v>29746200000</v>
      </c>
      <c r="U122" s="61">
        <f>VLOOKUP($A122,'Niteesh''s data'!$A$2:$I$313,9,FALSE)</f>
        <v>9.4000000000000004E-3</v>
      </c>
      <c r="V122">
        <f>VLOOKUP(A122,'Existing home Sales'!$A$2:$C$324,3,FALSE)</f>
        <v>5.49</v>
      </c>
      <c r="W122" s="8">
        <v>1</v>
      </c>
      <c r="X122">
        <f>IFERROR(VLOOKUP(A122,'Home Depot Gross Profit'!$A$1:$B$105,2,FALSE)/3,IF(W122=2,X121,X121))</f>
        <v>1385.3333333333333</v>
      </c>
      <c r="Y122">
        <f>IFERROR(VLOOKUP(A122,'LOWE''S GROSS PROFIT'!$A$1:$B$105,2,FALSE)/3,IF(X122=2,Y121/3,Y121))</f>
        <v>495</v>
      </c>
      <c r="Z122" s="8">
        <v>7.01</v>
      </c>
      <c r="AA122">
        <v>6775</v>
      </c>
      <c r="AB122">
        <f>VLOOKUP(A122,'[1]Fed_Int (1)'!$A$2:$B$316,2,FALSE)</f>
        <v>1.73</v>
      </c>
      <c r="AC122" s="8">
        <v>51.009998000000003</v>
      </c>
      <c r="AD122" s="8">
        <v>51.650002000000001</v>
      </c>
      <c r="AE122" s="8">
        <v>46.900002000000001</v>
      </c>
      <c r="AF122" s="8">
        <v>50.09</v>
      </c>
      <c r="AG122" s="8">
        <v>35.476779999999998</v>
      </c>
      <c r="AH122" s="8">
        <v>129964900</v>
      </c>
      <c r="AI122" s="8">
        <v>23.01</v>
      </c>
      <c r="AJ122" s="8">
        <v>23.174999</v>
      </c>
      <c r="AK122" s="8">
        <v>20.075001</v>
      </c>
      <c r="AL122" s="8">
        <v>23.035</v>
      </c>
      <c r="AM122" s="8">
        <v>18.517569999999999</v>
      </c>
      <c r="AN122" s="8">
        <v>217839600</v>
      </c>
    </row>
    <row r="123" spans="1:40" x14ac:dyDescent="0.35">
      <c r="A123" s="1">
        <v>37288</v>
      </c>
      <c r="B123" s="13">
        <f t="shared" si="2"/>
        <v>2</v>
      </c>
      <c r="C123" s="13">
        <f t="shared" si="3"/>
        <v>2002</v>
      </c>
      <c r="D123" s="2">
        <v>20515</v>
      </c>
      <c r="E123">
        <f>VLOOKUP(A123,PSR!$A$12:$B$721,2,FALSE)</f>
        <v>5.3</v>
      </c>
      <c r="F123">
        <f>VLOOKUP(A123,CCI_USA!$F$2:$H$317,3,FALSE)</f>
        <v>100.7193</v>
      </c>
      <c r="G123">
        <f>INDEX('BLS Data Series'!$A$11:$M$39,MATCH('UI Datathon Development'!C123,'BLS Data Series'!$A$13:$A$39,0)+2,MATCH('UI Datathon Development'!B123,'BLS Data Series'!$B$11:$M$11,0)+1)</f>
        <v>5.7</v>
      </c>
      <c r="H123">
        <f>VLOOKUP(A123,'Houses for sale'!$B$10:$I$671,8,FALSE)</f>
        <v>313</v>
      </c>
      <c r="I123">
        <f>VLOOKUP(A123,'House starts'!$A$12:$B$325,2,FALSE)</f>
        <v>1829</v>
      </c>
      <c r="J123">
        <f>VLOOKUP(A123,'New house sales'!$A$13:$C$324,3,FALSE)</f>
        <v>191100</v>
      </c>
      <c r="K123">
        <f>VLOOKUP($A123,'Sreenath''s data'!$A$2:$F$313,3,FALSE)</f>
        <v>116.917</v>
      </c>
      <c r="L123">
        <f>VLOOKUP($A123,'Sreenath''s data'!$A$2:$F$313,4,FALSE)</f>
        <v>6908.4</v>
      </c>
      <c r="M123">
        <f>VLOOKUP($A123,'Sreenath''s data'!$A$2:$F$313,5,FALSE)</f>
        <v>104385</v>
      </c>
      <c r="N123">
        <f>VLOOKUP($A123,'Sreenath''s data'!$A$2:$F$313,6,FALSE)</f>
        <v>82.952442402723094</v>
      </c>
      <c r="O123">
        <f>VLOOKUP($A123,'Niteesh''s data'!$A$2:$I$313,3,FALSE)</f>
        <v>1130.1999510000001</v>
      </c>
      <c r="P123">
        <f>VLOOKUP($A123,'Niteesh''s data'!$A$2:$I$313,4,FALSE)</f>
        <v>1130.1999510000001</v>
      </c>
      <c r="Q123">
        <f>VLOOKUP($A123,'Niteesh''s data'!$A$2:$I$313,5,FALSE)</f>
        <v>1074.3599850000001</v>
      </c>
      <c r="R123">
        <f>VLOOKUP($A123,'Niteesh''s data'!$A$2:$I$313,6,FALSE)</f>
        <v>1106.7299800000001</v>
      </c>
      <c r="S123">
        <f>VLOOKUP($A123,'Niteesh''s data'!$A$2:$I$313,7,FALSE)</f>
        <v>1106.7299800000001</v>
      </c>
      <c r="T123">
        <f>VLOOKUP($A123,'Niteesh''s data'!$A$2:$I$313,8,FALSE)</f>
        <v>26047600000</v>
      </c>
      <c r="U123" s="61">
        <f>VLOOKUP($A123,'Niteesh''s data'!$A$2:$I$313,9,FALSE)</f>
        <v>9.4000000000000004E-3</v>
      </c>
      <c r="V123">
        <f>VLOOKUP(A123,'Existing home Sales'!$A$2:$C$324,3,FALSE)</f>
        <v>5.86</v>
      </c>
      <c r="W123" s="8">
        <v>2</v>
      </c>
      <c r="X123">
        <f>IFERROR(VLOOKUP(A123,'Home Depot Gross Profit'!$A$1:$B$105,2,FALSE)/3,IF(W123=2,X122,X122))</f>
        <v>1385.3333333333333</v>
      </c>
      <c r="Y123">
        <f>IFERROR(VLOOKUP(A123,'LOWE''S GROSS PROFIT'!$A$1:$B$105,2,FALSE)/3,IF(X123=2,Y122/3,Y122))</f>
        <v>495</v>
      </c>
      <c r="Z123" s="8">
        <v>6.87</v>
      </c>
      <c r="AA123">
        <v>6766</v>
      </c>
      <c r="AB123">
        <f>VLOOKUP(A123,'[1]Fed_Int (1)'!$A$2:$B$316,2,FALSE)</f>
        <v>1.74</v>
      </c>
      <c r="AC123" s="8">
        <v>50</v>
      </c>
      <c r="AD123" s="8">
        <v>52.599997999999999</v>
      </c>
      <c r="AE123" s="8">
        <v>48.349997999999999</v>
      </c>
      <c r="AF123" s="8">
        <v>50</v>
      </c>
      <c r="AG123" s="8">
        <v>35.413043999999999</v>
      </c>
      <c r="AH123" s="8">
        <v>129384000</v>
      </c>
      <c r="AI123" s="8">
        <v>23.075001</v>
      </c>
      <c r="AJ123" s="8">
        <v>23.889999</v>
      </c>
      <c r="AK123" s="8">
        <v>21.625</v>
      </c>
      <c r="AL123" s="8">
        <v>22.625</v>
      </c>
      <c r="AM123" s="8">
        <v>18.205310999999998</v>
      </c>
      <c r="AN123" s="8">
        <v>163932600</v>
      </c>
    </row>
    <row r="124" spans="1:40" x14ac:dyDescent="0.35">
      <c r="A124" s="1">
        <v>37316</v>
      </c>
      <c r="B124" s="13">
        <f t="shared" si="2"/>
        <v>3</v>
      </c>
      <c r="C124" s="13">
        <f t="shared" si="3"/>
        <v>2002</v>
      </c>
      <c r="D124" s="2">
        <v>20370</v>
      </c>
      <c r="E124">
        <f>VLOOKUP(A124,PSR!$A$12:$B$721,2,FALSE)</f>
        <v>5.3</v>
      </c>
      <c r="F124">
        <f>VLOOKUP(A124,CCI_USA!$F$2:$H$317,3,FALSE)</f>
        <v>100.9049</v>
      </c>
      <c r="G124">
        <f>INDEX('BLS Data Series'!$A$11:$M$39,MATCH('UI Datathon Development'!C124,'BLS Data Series'!$A$13:$A$39,0)+2,MATCH('UI Datathon Development'!B124,'BLS Data Series'!$B$11:$M$11,0)+1)</f>
        <v>5.7</v>
      </c>
      <c r="H124">
        <f>VLOOKUP(A124,'Houses for sale'!$B$10:$I$671,8,FALSE)</f>
        <v>316</v>
      </c>
      <c r="I124">
        <f>VLOOKUP(A124,'House starts'!$A$12:$B$325,2,FALSE)</f>
        <v>1642</v>
      </c>
      <c r="J124">
        <f>VLOOKUP(A124,'New house sales'!$A$13:$C$324,3,FALSE)</f>
        <v>183400</v>
      </c>
      <c r="K124">
        <f>VLOOKUP($A124,'Sreenath''s data'!$A$2:$F$313,3,FALSE)</f>
        <v>117.931</v>
      </c>
      <c r="L124">
        <f>VLOOKUP($A124,'Sreenath''s data'!$A$2:$F$313,4,FALSE)</f>
        <v>6930.4</v>
      </c>
      <c r="M124">
        <f>VLOOKUP($A124,'Sreenath''s data'!$A$2:$F$313,5,FALSE)</f>
        <v>104396</v>
      </c>
      <c r="N124">
        <f>VLOOKUP($A124,'Sreenath''s data'!$A$2:$F$313,6,FALSE)</f>
        <v>83.300170386712196</v>
      </c>
      <c r="O124">
        <f>VLOOKUP($A124,'Niteesh''s data'!$A$2:$I$313,3,FALSE)</f>
        <v>1106.7299800000001</v>
      </c>
      <c r="P124">
        <f>VLOOKUP($A124,'Niteesh''s data'!$A$2:$I$313,4,FALSE)</f>
        <v>1173.9399410000001</v>
      </c>
      <c r="Q124">
        <f>VLOOKUP($A124,'Niteesh''s data'!$A$2:$I$313,5,FALSE)</f>
        <v>1106.7299800000001</v>
      </c>
      <c r="R124">
        <f>VLOOKUP($A124,'Niteesh''s data'!$A$2:$I$313,6,FALSE)</f>
        <v>1147.3900149999999</v>
      </c>
      <c r="S124">
        <f>VLOOKUP($A124,'Niteesh''s data'!$A$2:$I$313,7,FALSE)</f>
        <v>1147.3900149999999</v>
      </c>
      <c r="T124">
        <f>VLOOKUP($A124,'Niteesh''s data'!$A$2:$I$313,8,FALSE)</f>
        <v>26563200000</v>
      </c>
      <c r="U124" s="61">
        <f>VLOOKUP($A124,'Niteesh''s data'!$A$2:$I$313,9,FALSE)</f>
        <v>9.4000000000000004E-3</v>
      </c>
      <c r="V124">
        <f>VLOOKUP(A124,'Existing home Sales'!$A$2:$C$324,3,FALSE)</f>
        <v>5.9</v>
      </c>
      <c r="W124" s="8">
        <v>3</v>
      </c>
      <c r="X124">
        <f>IFERROR(VLOOKUP(A124,'Home Depot Gross Profit'!$A$1:$B$105,2,FALSE)/3,IF(W124=2,X123,X123))</f>
        <v>1385.3333333333333</v>
      </c>
      <c r="Y124">
        <f>IFERROR(VLOOKUP(A124,'LOWE''S GROSS PROFIT'!$A$1:$B$105,2,FALSE)/3,IF(X124=2,Y123/3,Y123))</f>
        <v>495</v>
      </c>
      <c r="Z124" s="8">
        <v>7.08</v>
      </c>
      <c r="AA124">
        <v>6755</v>
      </c>
      <c r="AB124">
        <f>VLOOKUP(A124,'[1]Fed_Int (1)'!$A$2:$B$316,2,FALSE)</f>
        <v>1.73</v>
      </c>
      <c r="AC124" s="8">
        <v>50.279998999999997</v>
      </c>
      <c r="AD124" s="8">
        <v>50.5</v>
      </c>
      <c r="AE124" s="8">
        <v>47.099997999999999</v>
      </c>
      <c r="AF124" s="8">
        <v>48.610000999999997</v>
      </c>
      <c r="AG124" s="8">
        <v>34.428550999999999</v>
      </c>
      <c r="AH124" s="8">
        <v>154230200</v>
      </c>
      <c r="AI124" s="8">
        <v>22.504999000000002</v>
      </c>
      <c r="AJ124" s="8">
        <v>22.799999</v>
      </c>
      <c r="AK124" s="8">
        <v>20.674999</v>
      </c>
      <c r="AL124" s="8">
        <v>21.745000999999998</v>
      </c>
      <c r="AM124" s="8">
        <v>17.497216999999999</v>
      </c>
      <c r="AN124" s="8">
        <v>186361800</v>
      </c>
    </row>
    <row r="125" spans="1:40" x14ac:dyDescent="0.35">
      <c r="A125" s="1">
        <v>37347</v>
      </c>
      <c r="B125" s="13">
        <f t="shared" si="2"/>
        <v>4</v>
      </c>
      <c r="C125" s="13">
        <f t="shared" si="3"/>
        <v>2002</v>
      </c>
      <c r="D125" s="2">
        <v>21274</v>
      </c>
      <c r="E125">
        <f>VLOOKUP(A125,PSR!$A$12:$B$721,2,FALSE)</f>
        <v>5.0999999999999996</v>
      </c>
      <c r="F125">
        <f>VLOOKUP(A125,CCI_USA!$F$2:$H$317,3,FALSE)</f>
        <v>100.9572</v>
      </c>
      <c r="G125">
        <f>INDEX('BLS Data Series'!$A$11:$M$39,MATCH('UI Datathon Development'!C125,'BLS Data Series'!$A$13:$A$39,0)+2,MATCH('UI Datathon Development'!B125,'BLS Data Series'!$B$11:$M$11,0)+1)</f>
        <v>5.9</v>
      </c>
      <c r="H125">
        <f>VLOOKUP(A125,'Houses for sale'!$B$10:$I$671,8,FALSE)</f>
        <v>324</v>
      </c>
      <c r="I125">
        <f>VLOOKUP(A125,'House starts'!$A$12:$B$325,2,FALSE)</f>
        <v>1592</v>
      </c>
      <c r="J125">
        <f>VLOOKUP(A125,'New house sales'!$A$13:$C$324,3,FALSE)</f>
        <v>187100</v>
      </c>
      <c r="K125">
        <f>VLOOKUP($A125,'Sreenath''s data'!$A$2:$F$313,3,FALSE)</f>
        <v>119.211</v>
      </c>
      <c r="L125">
        <f>VLOOKUP($A125,'Sreenath''s data'!$A$2:$F$313,4,FALSE)</f>
        <v>6932.6</v>
      </c>
      <c r="M125">
        <f>VLOOKUP($A125,'Sreenath''s data'!$A$2:$F$313,5,FALSE)</f>
        <v>104718</v>
      </c>
      <c r="N125">
        <f>VLOOKUP($A125,'Sreenath''s data'!$A$2:$F$313,6,FALSE)</f>
        <v>83.493352600039401</v>
      </c>
      <c r="O125">
        <f>VLOOKUP($A125,'Niteesh''s data'!$A$2:$I$313,3,FALSE)</f>
        <v>1147.3900149999999</v>
      </c>
      <c r="P125">
        <f>VLOOKUP($A125,'Niteesh''s data'!$A$2:$I$313,4,FALSE)</f>
        <v>1147.839966</v>
      </c>
      <c r="Q125">
        <f>VLOOKUP($A125,'Niteesh''s data'!$A$2:$I$313,5,FALSE)</f>
        <v>1063.459961</v>
      </c>
      <c r="R125">
        <f>VLOOKUP($A125,'Niteesh''s data'!$A$2:$I$313,6,FALSE)</f>
        <v>1076.920044</v>
      </c>
      <c r="S125">
        <f>VLOOKUP($A125,'Niteesh''s data'!$A$2:$I$313,7,FALSE)</f>
        <v>1076.920044</v>
      </c>
      <c r="T125">
        <f>VLOOKUP($A125,'Niteesh''s data'!$A$2:$I$313,8,FALSE)</f>
        <v>28568900000</v>
      </c>
      <c r="U125" s="61">
        <f>VLOOKUP($A125,'Niteesh''s data'!$A$2:$I$313,9,FALSE)</f>
        <v>9.2999999999999992E-3</v>
      </c>
      <c r="V125">
        <f>VLOOKUP(A125,'Existing home Sales'!$A$2:$C$324,3,FALSE)</f>
        <v>5.63</v>
      </c>
      <c r="W125" s="8">
        <v>1</v>
      </c>
      <c r="X125">
        <f>IFERROR(VLOOKUP(A125,'Home Depot Gross Profit'!$A$1:$B$105,2,FALSE)/3,IF(W125=2,X124,X124))</f>
        <v>1453.3333333333333</v>
      </c>
      <c r="Y125">
        <f>IFERROR(VLOOKUP(A125,'LOWE''S GROSS PROFIT'!$A$1:$B$105,2,FALSE)/3,IF(X125=2,Y124/3,Y124))</f>
        <v>641</v>
      </c>
      <c r="Z125" s="8">
        <v>6.9649999999999999</v>
      </c>
      <c r="AA125">
        <v>6710</v>
      </c>
      <c r="AB125">
        <f>VLOOKUP(A125,'[1]Fed_Int (1)'!$A$2:$B$316,2,FALSE)</f>
        <v>1.75</v>
      </c>
      <c r="AC125" s="8">
        <v>48.150002000000001</v>
      </c>
      <c r="AD125" s="8">
        <v>50.459999000000003</v>
      </c>
      <c r="AE125" s="8">
        <v>46</v>
      </c>
      <c r="AF125" s="8">
        <v>46.369999</v>
      </c>
      <c r="AG125" s="8">
        <v>32.876083000000001</v>
      </c>
      <c r="AH125" s="8">
        <v>131218600</v>
      </c>
      <c r="AI125" s="8">
        <v>21.5</v>
      </c>
      <c r="AJ125" s="8">
        <v>22.85</v>
      </c>
      <c r="AK125" s="8">
        <v>20.950001</v>
      </c>
      <c r="AL125" s="8">
        <v>21.145</v>
      </c>
      <c r="AM125" s="8">
        <v>17.014420999999999</v>
      </c>
      <c r="AN125" s="8">
        <v>126751400</v>
      </c>
    </row>
    <row r="126" spans="1:40" x14ac:dyDescent="0.35">
      <c r="A126" s="1">
        <v>37377</v>
      </c>
      <c r="B126" s="13">
        <f t="shared" si="2"/>
        <v>5</v>
      </c>
      <c r="C126" s="13">
        <f t="shared" si="3"/>
        <v>2002</v>
      </c>
      <c r="D126" s="2">
        <v>20874</v>
      </c>
      <c r="E126">
        <f>VLOOKUP(A126,PSR!$A$12:$B$721,2,FALSE)</f>
        <v>5.6</v>
      </c>
      <c r="F126">
        <f>VLOOKUP(A126,CCI_USA!$F$2:$H$317,3,FALSE)</f>
        <v>100.93129999999999</v>
      </c>
      <c r="G126">
        <f>INDEX('BLS Data Series'!$A$11:$M$39,MATCH('UI Datathon Development'!C126,'BLS Data Series'!$A$13:$A$39,0)+2,MATCH('UI Datathon Development'!B126,'BLS Data Series'!$B$11:$M$11,0)+1)</f>
        <v>5.8</v>
      </c>
      <c r="H126">
        <f>VLOOKUP(A126,'Houses for sale'!$B$10:$I$671,8,FALSE)</f>
        <v>327</v>
      </c>
      <c r="I126">
        <f>VLOOKUP(A126,'House starts'!$A$12:$B$325,2,FALSE)</f>
        <v>1764</v>
      </c>
      <c r="J126">
        <f>VLOOKUP(A126,'New house sales'!$A$13:$C$324,3,FALSE)</f>
        <v>181000</v>
      </c>
      <c r="K126">
        <f>VLOOKUP($A126,'Sreenath''s data'!$A$2:$F$313,3,FALSE)</f>
        <v>120.79</v>
      </c>
      <c r="L126">
        <f>VLOOKUP($A126,'Sreenath''s data'!$A$2:$F$313,4,FALSE)</f>
        <v>7016.1</v>
      </c>
      <c r="M126">
        <f>VLOOKUP($A126,'Sreenath''s data'!$A$2:$F$313,5,FALSE)</f>
        <v>105092</v>
      </c>
      <c r="N126">
        <f>VLOOKUP($A126,'Sreenath''s data'!$A$2:$F$313,6,FALSE)</f>
        <v>83.493352600039401</v>
      </c>
      <c r="O126">
        <f>VLOOKUP($A126,'Niteesh''s data'!$A$2:$I$313,3,FALSE)</f>
        <v>1076.920044</v>
      </c>
      <c r="P126">
        <f>VLOOKUP($A126,'Niteesh''s data'!$A$2:$I$313,4,FALSE)</f>
        <v>1106.589966</v>
      </c>
      <c r="Q126">
        <f>VLOOKUP($A126,'Niteesh''s data'!$A$2:$I$313,5,FALSE)</f>
        <v>1048.959961</v>
      </c>
      <c r="R126">
        <f>VLOOKUP($A126,'Niteesh''s data'!$A$2:$I$313,6,FALSE)</f>
        <v>1067.1400149999999</v>
      </c>
      <c r="S126">
        <f>VLOOKUP($A126,'Niteesh''s data'!$A$2:$I$313,7,FALSE)</f>
        <v>1067.1400149999999</v>
      </c>
      <c r="T126">
        <f>VLOOKUP($A126,'Niteesh''s data'!$A$2:$I$313,8,FALSE)</f>
        <v>26905500000</v>
      </c>
      <c r="U126" s="61">
        <f>VLOOKUP($A126,'Niteesh''s data'!$A$2:$I$313,9,FALSE)</f>
        <v>9.2999999999999992E-3</v>
      </c>
      <c r="V126">
        <f>VLOOKUP(A126,'Existing home Sales'!$A$2:$C$324,3,FALSE)</f>
        <v>5.67</v>
      </c>
      <c r="W126" s="8">
        <v>2</v>
      </c>
      <c r="X126">
        <f>IFERROR(VLOOKUP(A126,'Home Depot Gross Profit'!$A$1:$B$105,2,FALSE)/3,IF(W126=2,X125,X125))</f>
        <v>1453.3333333333333</v>
      </c>
      <c r="Y126">
        <f>IFERROR(VLOOKUP(A126,'LOWE''S GROSS PROFIT'!$A$1:$B$105,2,FALSE)/3,IF(X126=2,Y125/3,Y125))</f>
        <v>641</v>
      </c>
      <c r="Z126" s="8">
        <v>6.79</v>
      </c>
      <c r="AA126">
        <v>6684</v>
      </c>
      <c r="AB126">
        <f>VLOOKUP(A126,'[1]Fed_Int (1)'!$A$2:$B$316,2,FALSE)</f>
        <v>1.75</v>
      </c>
      <c r="AC126" s="8">
        <v>46.439999</v>
      </c>
      <c r="AD126" s="8">
        <v>49.5</v>
      </c>
      <c r="AE126" s="8">
        <v>39.849997999999999</v>
      </c>
      <c r="AF126" s="8">
        <v>41.689999</v>
      </c>
      <c r="AG126" s="8">
        <v>29.557966</v>
      </c>
      <c r="AH126" s="8">
        <v>235069000</v>
      </c>
      <c r="AI126" s="8">
        <v>21.195</v>
      </c>
      <c r="AJ126" s="8">
        <v>24.995000999999998</v>
      </c>
      <c r="AK126" s="8">
        <v>20.635000000000002</v>
      </c>
      <c r="AL126" s="8">
        <v>23.58</v>
      </c>
      <c r="AM126" s="8">
        <v>18.990577999999999</v>
      </c>
      <c r="AN126" s="8">
        <v>215978200</v>
      </c>
    </row>
    <row r="127" spans="1:40" x14ac:dyDescent="0.35">
      <c r="A127" s="1">
        <v>37408</v>
      </c>
      <c r="B127" s="13">
        <f t="shared" si="2"/>
        <v>6</v>
      </c>
      <c r="C127" s="13">
        <f t="shared" si="3"/>
        <v>2002</v>
      </c>
      <c r="D127" s="2">
        <v>20725</v>
      </c>
      <c r="E127">
        <f>VLOOKUP(A127,PSR!$A$12:$B$721,2,FALSE)</f>
        <v>5.4</v>
      </c>
      <c r="F127">
        <f>VLOOKUP(A127,CCI_USA!$F$2:$H$317,3,FALSE)</f>
        <v>100.6828</v>
      </c>
      <c r="G127">
        <f>INDEX('BLS Data Series'!$A$11:$M$39,MATCH('UI Datathon Development'!C127,'BLS Data Series'!$A$13:$A$39,0)+2,MATCH('UI Datathon Development'!B127,'BLS Data Series'!$B$11:$M$11,0)+1)</f>
        <v>5.8</v>
      </c>
      <c r="H127">
        <f>VLOOKUP(A127,'Houses for sale'!$B$10:$I$671,8,FALSE)</f>
        <v>328</v>
      </c>
      <c r="I127">
        <f>VLOOKUP(A127,'House starts'!$A$12:$B$325,2,FALSE)</f>
        <v>1717</v>
      </c>
      <c r="J127">
        <f>VLOOKUP(A127,'New house sales'!$A$13:$C$324,3,FALSE)</f>
        <v>190600</v>
      </c>
      <c r="K127">
        <f>VLOOKUP($A127,'Sreenath''s data'!$A$2:$F$313,3,FALSE)</f>
        <v>122.334</v>
      </c>
      <c r="L127">
        <f>VLOOKUP($A127,'Sreenath''s data'!$A$2:$F$313,4,FALSE)</f>
        <v>7002.8</v>
      </c>
      <c r="M127">
        <f>VLOOKUP($A127,'Sreenath''s data'!$A$2:$F$313,5,FALSE)</f>
        <v>105023</v>
      </c>
      <c r="N127">
        <f>VLOOKUP($A127,'Sreenath''s data'!$A$2:$F$313,6,FALSE)</f>
        <v>83.763807698697605</v>
      </c>
      <c r="O127">
        <f>VLOOKUP($A127,'Niteesh''s data'!$A$2:$I$313,3,FALSE)</f>
        <v>1067.1400149999999</v>
      </c>
      <c r="P127">
        <f>VLOOKUP($A127,'Niteesh''s data'!$A$2:$I$313,4,FALSE)</f>
        <v>1070.73999</v>
      </c>
      <c r="Q127">
        <f>VLOOKUP($A127,'Niteesh''s data'!$A$2:$I$313,5,FALSE)</f>
        <v>952.919983</v>
      </c>
      <c r="R127">
        <f>VLOOKUP($A127,'Niteesh''s data'!$A$2:$I$313,6,FALSE)</f>
        <v>989.82000700000003</v>
      </c>
      <c r="S127">
        <f>VLOOKUP($A127,'Niteesh''s data'!$A$2:$I$313,7,FALSE)</f>
        <v>989.82000700000003</v>
      </c>
      <c r="T127">
        <f>VLOOKUP($A127,'Niteesh''s data'!$A$2:$I$313,8,FALSE)</f>
        <v>29981510000</v>
      </c>
      <c r="U127" s="61">
        <f>VLOOKUP($A127,'Niteesh''s data'!$A$2:$I$313,9,FALSE)</f>
        <v>9.1999999999999998E-3</v>
      </c>
      <c r="V127">
        <f>VLOOKUP(A127,'Existing home Sales'!$A$2:$C$324,3,FALSE)</f>
        <v>5.64</v>
      </c>
      <c r="W127" s="8">
        <v>3</v>
      </c>
      <c r="X127">
        <f>IFERROR(VLOOKUP(A127,'Home Depot Gross Profit'!$A$1:$B$105,2,FALSE)/3,IF(W127=2,X126,X126))</f>
        <v>1453.3333333333333</v>
      </c>
      <c r="Y127">
        <f>IFERROR(VLOOKUP(A127,'LOWE''S GROSS PROFIT'!$A$1:$B$105,2,FALSE)/3,IF(X127=2,Y126/3,Y126))</f>
        <v>641</v>
      </c>
      <c r="Z127" s="8">
        <v>6.67</v>
      </c>
      <c r="AA127">
        <v>6701</v>
      </c>
      <c r="AB127">
        <f>VLOOKUP(A127,'[1]Fed_Int (1)'!$A$2:$B$316,2,FALSE)</f>
        <v>1.75</v>
      </c>
      <c r="AC127" s="8">
        <v>41.150002000000001</v>
      </c>
      <c r="AD127" s="8">
        <v>42.049999</v>
      </c>
      <c r="AE127" s="8">
        <v>34.900002000000001</v>
      </c>
      <c r="AF127" s="8">
        <v>36.729999999999997</v>
      </c>
      <c r="AG127" s="8">
        <v>26.041360999999998</v>
      </c>
      <c r="AH127" s="8">
        <v>204571300</v>
      </c>
      <c r="AI127" s="8">
        <v>23.5</v>
      </c>
      <c r="AJ127" s="8">
        <v>24.27</v>
      </c>
      <c r="AK127" s="8">
        <v>21.674999</v>
      </c>
      <c r="AL127" s="8">
        <v>22.700001</v>
      </c>
      <c r="AM127" s="8">
        <v>18.281845000000001</v>
      </c>
      <c r="AN127" s="8">
        <v>190827800</v>
      </c>
    </row>
    <row r="128" spans="1:40" x14ac:dyDescent="0.35">
      <c r="A128" s="1">
        <v>37438</v>
      </c>
      <c r="B128" s="13">
        <f t="shared" si="2"/>
        <v>7</v>
      </c>
      <c r="C128" s="13">
        <f t="shared" si="3"/>
        <v>2002</v>
      </c>
      <c r="D128" s="2">
        <v>20674</v>
      </c>
      <c r="E128">
        <f>VLOOKUP(A128,PSR!$A$12:$B$721,2,FALSE)</f>
        <v>4.5999999999999996</v>
      </c>
      <c r="F128">
        <f>VLOOKUP(A128,CCI_USA!$F$2:$H$317,3,FALSE)</f>
        <v>100.3502</v>
      </c>
      <c r="G128">
        <f>INDEX('BLS Data Series'!$A$11:$M$39,MATCH('UI Datathon Development'!C128,'BLS Data Series'!$A$13:$A$39,0)+2,MATCH('UI Datathon Development'!B128,'BLS Data Series'!$B$11:$M$11,0)+1)</f>
        <v>5.8</v>
      </c>
      <c r="H128">
        <f>VLOOKUP(A128,'Houses for sale'!$B$10:$I$671,8,FALSE)</f>
        <v>333</v>
      </c>
      <c r="I128">
        <f>VLOOKUP(A128,'House starts'!$A$12:$B$325,2,FALSE)</f>
        <v>1655</v>
      </c>
      <c r="J128">
        <f>VLOOKUP(A128,'New house sales'!$A$13:$C$324,3,FALSE)</f>
        <v>175600</v>
      </c>
      <c r="K128">
        <f>VLOOKUP($A128,'Sreenath''s data'!$A$2:$F$313,3,FALSE)</f>
        <v>123.687</v>
      </c>
      <c r="L128">
        <f>VLOOKUP($A128,'Sreenath''s data'!$A$2:$F$313,4,FALSE)</f>
        <v>7008.8</v>
      </c>
      <c r="M128">
        <f>VLOOKUP($A128,'Sreenath''s data'!$A$2:$F$313,5,FALSE)</f>
        <v>105100</v>
      </c>
      <c r="N128">
        <f>VLOOKUP($A128,'Sreenath''s data'!$A$2:$F$313,6,FALSE)</f>
        <v>83.995626354690302</v>
      </c>
      <c r="O128">
        <f>VLOOKUP($A128,'Niteesh''s data'!$A$2:$I$313,3,FALSE)</f>
        <v>989.82000700000003</v>
      </c>
      <c r="P128">
        <f>VLOOKUP($A128,'Niteesh''s data'!$A$2:$I$313,4,FALSE)</f>
        <v>994.46002199999998</v>
      </c>
      <c r="Q128">
        <f>VLOOKUP($A128,'Niteesh''s data'!$A$2:$I$313,5,FALSE)</f>
        <v>775.67999299999997</v>
      </c>
      <c r="R128">
        <f>VLOOKUP($A128,'Niteesh''s data'!$A$2:$I$313,6,FALSE)</f>
        <v>911.61999500000002</v>
      </c>
      <c r="S128">
        <f>VLOOKUP($A128,'Niteesh''s data'!$A$2:$I$313,7,FALSE)</f>
        <v>911.61999500000002</v>
      </c>
      <c r="T128">
        <f>VLOOKUP($A128,'Niteesh''s data'!$A$2:$I$313,8,FALSE)</f>
        <v>42228720000</v>
      </c>
      <c r="U128" s="61">
        <f>VLOOKUP($A128,'Niteesh''s data'!$A$2:$I$313,9,FALSE)</f>
        <v>9.4000000000000004E-3</v>
      </c>
      <c r="V128">
        <f>VLOOKUP(A128,'Existing home Sales'!$A$2:$C$324,3,FALSE)</f>
        <v>5.51</v>
      </c>
      <c r="W128" s="8">
        <v>1</v>
      </c>
      <c r="X128">
        <f>IFERROR(VLOOKUP(A128,'Home Depot Gross Profit'!$A$1:$B$105,2,FALSE)/3,IF(W128=2,X127,X127))</f>
        <v>1648.6666666666667</v>
      </c>
      <c r="Y128">
        <f>IFERROR(VLOOKUP(A128,'LOWE''S GROSS PROFIT'!$A$1:$B$105,2,FALSE)/3,IF(X128=2,Y127/3,Y127))</f>
        <v>734</v>
      </c>
      <c r="Z128" s="8">
        <v>6.5149999999999997</v>
      </c>
      <c r="AA128">
        <v>6688</v>
      </c>
      <c r="AB128">
        <f>VLOOKUP(A128,'[1]Fed_Int (1)'!$A$2:$B$316,2,FALSE)</f>
        <v>1.73</v>
      </c>
      <c r="AC128" s="8">
        <v>36.75</v>
      </c>
      <c r="AD128" s="8">
        <v>38.5</v>
      </c>
      <c r="AE128" s="8">
        <v>27.25</v>
      </c>
      <c r="AF128" s="8">
        <v>30.879999000000002</v>
      </c>
      <c r="AG128" s="8">
        <v>21.921185999999999</v>
      </c>
      <c r="AH128" s="8">
        <v>357101400</v>
      </c>
      <c r="AI128" s="8">
        <v>22.700001</v>
      </c>
      <c r="AJ128" s="8">
        <v>23.215</v>
      </c>
      <c r="AK128" s="8">
        <v>16.350000000000001</v>
      </c>
      <c r="AL128" s="8">
        <v>18.924999</v>
      </c>
      <c r="AM128" s="8">
        <v>15.241578000000001</v>
      </c>
      <c r="AN128" s="8">
        <v>281934600</v>
      </c>
    </row>
    <row r="129" spans="1:40" x14ac:dyDescent="0.35">
      <c r="A129" s="1">
        <v>37469</v>
      </c>
      <c r="B129" s="13">
        <f t="shared" si="2"/>
        <v>8</v>
      </c>
      <c r="C129" s="13">
        <f t="shared" si="3"/>
        <v>2002</v>
      </c>
      <c r="D129" s="2">
        <v>20683</v>
      </c>
      <c r="E129">
        <f>VLOOKUP(A129,PSR!$A$12:$B$721,2,FALSE)</f>
        <v>4.4000000000000004</v>
      </c>
      <c r="F129">
        <f>VLOOKUP(A129,CCI_USA!$F$2:$H$317,3,FALSE)</f>
        <v>100.07599999999999</v>
      </c>
      <c r="G129">
        <f>INDEX('BLS Data Series'!$A$11:$M$39,MATCH('UI Datathon Development'!C129,'BLS Data Series'!$A$13:$A$39,0)+2,MATCH('UI Datathon Development'!B129,'BLS Data Series'!$B$11:$M$11,0)+1)</f>
        <v>5.7</v>
      </c>
      <c r="H129">
        <f>VLOOKUP(A129,'Houses for sale'!$B$10:$I$671,8,FALSE)</f>
        <v>334</v>
      </c>
      <c r="I129">
        <f>VLOOKUP(A129,'House starts'!$A$12:$B$325,2,FALSE)</f>
        <v>1633</v>
      </c>
      <c r="J129">
        <f>VLOOKUP(A129,'New house sales'!$A$13:$C$324,3,FALSE)</f>
        <v>178900</v>
      </c>
      <c r="K129">
        <f>VLOOKUP($A129,'Sreenath''s data'!$A$2:$F$313,3,FALSE)</f>
        <v>124.729</v>
      </c>
      <c r="L129">
        <f>VLOOKUP($A129,'Sreenath''s data'!$A$2:$F$313,4,FALSE)</f>
        <v>7019.1</v>
      </c>
      <c r="M129">
        <f>VLOOKUP($A129,'Sreenath''s data'!$A$2:$F$313,5,FALSE)</f>
        <v>105128</v>
      </c>
      <c r="N129">
        <f>VLOOKUP($A129,'Sreenath''s data'!$A$2:$F$313,6,FALSE)</f>
        <v>84.343354338679305</v>
      </c>
      <c r="O129">
        <f>VLOOKUP($A129,'Niteesh''s data'!$A$2:$I$313,3,FALSE)</f>
        <v>911.61999500000002</v>
      </c>
      <c r="P129">
        <f>VLOOKUP($A129,'Niteesh''s data'!$A$2:$I$313,4,FALSE)</f>
        <v>965</v>
      </c>
      <c r="Q129">
        <f>VLOOKUP($A129,'Niteesh''s data'!$A$2:$I$313,5,FALSE)</f>
        <v>833.44000200000005</v>
      </c>
      <c r="R129">
        <f>VLOOKUP($A129,'Niteesh''s data'!$A$2:$I$313,6,FALSE)</f>
        <v>916.07000700000003</v>
      </c>
      <c r="S129">
        <f>VLOOKUP($A129,'Niteesh''s data'!$A$2:$I$313,7,FALSE)</f>
        <v>916.07000700000003</v>
      </c>
      <c r="T129">
        <f>VLOOKUP($A129,'Niteesh''s data'!$A$2:$I$313,8,FALSE)</f>
        <v>29298400000</v>
      </c>
      <c r="U129" s="61">
        <f>VLOOKUP($A129,'Niteesh''s data'!$A$2:$I$313,9,FALSE)</f>
        <v>9.4000000000000004E-3</v>
      </c>
      <c r="V129">
        <f>VLOOKUP(A129,'Existing home Sales'!$A$2:$C$324,3,FALSE)</f>
        <v>5.41</v>
      </c>
      <c r="W129" s="8">
        <v>2</v>
      </c>
      <c r="X129">
        <f>IFERROR(VLOOKUP(A129,'Home Depot Gross Profit'!$A$1:$B$105,2,FALSE)/3,IF(W129=2,X128,X128))</f>
        <v>1648.6666666666667</v>
      </c>
      <c r="Y129">
        <f>IFERROR(VLOOKUP(A129,'LOWE''S GROSS PROFIT'!$A$1:$B$105,2,FALSE)/3,IF(X129=2,Y128/3,Y128))</f>
        <v>734</v>
      </c>
      <c r="Z129" s="8">
        <v>6.27</v>
      </c>
      <c r="AA129">
        <v>6701</v>
      </c>
      <c r="AB129">
        <f>VLOOKUP(A129,'[1]Fed_Int (1)'!$A$2:$B$316,2,FALSE)</f>
        <v>1.74</v>
      </c>
      <c r="AC129" s="8">
        <v>30.75</v>
      </c>
      <c r="AD129" s="8">
        <v>34.479999999999997</v>
      </c>
      <c r="AE129" s="8">
        <v>26.1</v>
      </c>
      <c r="AF129" s="8">
        <v>32.93</v>
      </c>
      <c r="AG129" s="8">
        <v>23.376439999999999</v>
      </c>
      <c r="AH129" s="8">
        <v>357006500</v>
      </c>
      <c r="AI129" s="8">
        <v>18.625</v>
      </c>
      <c r="AJ129" s="8">
        <v>22.1</v>
      </c>
      <c r="AK129" s="8">
        <v>16.25</v>
      </c>
      <c r="AL129" s="8">
        <v>20.690000999999999</v>
      </c>
      <c r="AM129" s="8">
        <v>16.680799</v>
      </c>
      <c r="AN129" s="8">
        <v>245302000</v>
      </c>
    </row>
    <row r="130" spans="1:40" x14ac:dyDescent="0.35">
      <c r="A130" s="1">
        <v>37500</v>
      </c>
      <c r="B130" s="13">
        <f t="shared" si="2"/>
        <v>9</v>
      </c>
      <c r="C130" s="13">
        <f t="shared" si="3"/>
        <v>2002</v>
      </c>
      <c r="D130" s="2">
        <v>20732</v>
      </c>
      <c r="E130">
        <f>VLOOKUP(A130,PSR!$A$12:$B$721,2,FALSE)</f>
        <v>4.9000000000000004</v>
      </c>
      <c r="F130">
        <f>VLOOKUP(A130,CCI_USA!$F$2:$H$317,3,FALSE)</f>
        <v>99.836129999999997</v>
      </c>
      <c r="G130">
        <f>INDEX('BLS Data Series'!$A$11:$M$39,MATCH('UI Datathon Development'!C130,'BLS Data Series'!$A$13:$A$39,0)+2,MATCH('UI Datathon Development'!B130,'BLS Data Series'!$B$11:$M$11,0)+1)</f>
        <v>5.7</v>
      </c>
      <c r="H130">
        <f>VLOOKUP(A130,'Houses for sale'!$B$10:$I$671,8,FALSE)</f>
        <v>333</v>
      </c>
      <c r="I130">
        <f>VLOOKUP(A130,'House starts'!$A$12:$B$325,2,FALSE)</f>
        <v>1804</v>
      </c>
      <c r="J130">
        <f>VLOOKUP(A130,'New house sales'!$A$13:$C$324,3,FALSE)</f>
        <v>177500</v>
      </c>
      <c r="K130">
        <f>VLOOKUP($A130,'Sreenath''s data'!$A$2:$F$313,3,FALSE)</f>
        <v>125.492</v>
      </c>
      <c r="L130">
        <f>VLOOKUP($A130,'Sreenath''s data'!$A$2:$F$313,4,FALSE)</f>
        <v>7048.2</v>
      </c>
      <c r="M130">
        <f>VLOOKUP($A130,'Sreenath''s data'!$A$2:$F$313,5,FALSE)</f>
        <v>105244</v>
      </c>
      <c r="N130">
        <f>VLOOKUP($A130,'Sreenath''s data'!$A$2:$F$313,6,FALSE)</f>
        <v>84.188808568017507</v>
      </c>
      <c r="O130">
        <f>VLOOKUP($A130,'Niteesh''s data'!$A$2:$I$313,3,FALSE)</f>
        <v>916.07000700000003</v>
      </c>
      <c r="P130">
        <f>VLOOKUP($A130,'Niteesh''s data'!$A$2:$I$313,4,FALSE)</f>
        <v>924.02002000000005</v>
      </c>
      <c r="Q130">
        <f>VLOOKUP($A130,'Niteesh''s data'!$A$2:$I$313,5,FALSE)</f>
        <v>800.20001200000002</v>
      </c>
      <c r="R130">
        <f>VLOOKUP($A130,'Niteesh''s data'!$A$2:$I$313,6,FALSE)</f>
        <v>815.28002900000001</v>
      </c>
      <c r="S130">
        <f>VLOOKUP($A130,'Niteesh''s data'!$A$2:$I$313,7,FALSE)</f>
        <v>815.28002900000001</v>
      </c>
      <c r="T130">
        <f>VLOOKUP($A130,'Niteesh''s data'!$A$2:$I$313,8,FALSE)</f>
        <v>27723710000</v>
      </c>
      <c r="U130" s="61">
        <f>VLOOKUP($A130,'Niteesh''s data'!$A$2:$I$313,9,FALSE)</f>
        <v>9.2999999999999992E-3</v>
      </c>
      <c r="V130">
        <f>VLOOKUP(A130,'Existing home Sales'!$A$2:$C$324,3,FALSE)</f>
        <v>5.36</v>
      </c>
      <c r="W130" s="8">
        <v>3</v>
      </c>
      <c r="X130">
        <f>IFERROR(VLOOKUP(A130,'Home Depot Gross Profit'!$A$1:$B$105,2,FALSE)/3,IF(W130=2,X129,X129))</f>
        <v>1648.6666666666667</v>
      </c>
      <c r="Y130">
        <f>IFERROR(VLOOKUP(A130,'LOWE''S GROSS PROFIT'!$A$1:$B$105,2,FALSE)/3,IF(X130=2,Y129/3,Y129))</f>
        <v>734</v>
      </c>
      <c r="Z130" s="8">
        <v>6.1</v>
      </c>
      <c r="AA130">
        <v>6702</v>
      </c>
      <c r="AB130">
        <f>VLOOKUP(A130,'[1]Fed_Int (1)'!$A$2:$B$316,2,FALSE)</f>
        <v>1.75</v>
      </c>
      <c r="AC130" s="8">
        <v>32.630001</v>
      </c>
      <c r="AD130" s="8">
        <v>34.900002000000001</v>
      </c>
      <c r="AE130" s="8">
        <v>24.75</v>
      </c>
      <c r="AF130" s="8">
        <v>26.1</v>
      </c>
      <c r="AG130" s="8">
        <v>18.527940999999998</v>
      </c>
      <c r="AH130" s="8">
        <v>219699300</v>
      </c>
      <c r="AI130" s="8">
        <v>20.565000999999999</v>
      </c>
      <c r="AJ130" s="8">
        <v>23</v>
      </c>
      <c r="AK130" s="8">
        <v>19.795000000000002</v>
      </c>
      <c r="AL130" s="8">
        <v>20.700001</v>
      </c>
      <c r="AM130" s="8">
        <v>16.688863999999999</v>
      </c>
      <c r="AN130" s="8">
        <v>207822200</v>
      </c>
    </row>
    <row r="131" spans="1:40" x14ac:dyDescent="0.35">
      <c r="A131" s="1">
        <v>37530</v>
      </c>
      <c r="B131" s="13">
        <f t="shared" ref="B131:B194" si="4">MONTH(A131)</f>
        <v>10</v>
      </c>
      <c r="C131" s="13">
        <f t="shared" ref="C131:C194" si="5">YEAR(A131)</f>
        <v>2002</v>
      </c>
      <c r="D131" s="2">
        <v>20603</v>
      </c>
      <c r="E131">
        <f>VLOOKUP(A131,PSR!$A$12:$B$721,2,FALSE)</f>
        <v>4.7</v>
      </c>
      <c r="F131">
        <f>VLOOKUP(A131,CCI_USA!$F$2:$H$317,3,FALSE)</f>
        <v>99.655050000000003</v>
      </c>
      <c r="G131">
        <f>INDEX('BLS Data Series'!$A$11:$M$39,MATCH('UI Datathon Development'!C131,'BLS Data Series'!$A$13:$A$39,0)+2,MATCH('UI Datathon Development'!B131,'BLS Data Series'!$B$11:$M$11,0)+1)</f>
        <v>5.7</v>
      </c>
      <c r="H131">
        <f>VLOOKUP(A131,'Houses for sale'!$B$10:$I$671,8,FALSE)</f>
        <v>335</v>
      </c>
      <c r="I131">
        <f>VLOOKUP(A131,'House starts'!$A$12:$B$325,2,FALSE)</f>
        <v>1648</v>
      </c>
      <c r="J131">
        <f>VLOOKUP(A131,'New house sales'!$A$13:$C$324,3,FALSE)</f>
        <v>189200</v>
      </c>
      <c r="K131">
        <f>VLOOKUP($A131,'Sreenath''s data'!$A$2:$F$313,3,FALSE)</f>
        <v>126.13500000000001</v>
      </c>
      <c r="L131">
        <f>VLOOKUP($A131,'Sreenath''s data'!$A$2:$F$313,4,FALSE)</f>
        <v>7113.4</v>
      </c>
      <c r="M131">
        <f>VLOOKUP($A131,'Sreenath''s data'!$A$2:$F$313,5,FALSE)</f>
        <v>105337</v>
      </c>
      <c r="N131">
        <f>VLOOKUP($A131,'Sreenath''s data'!$A$2:$F$313,6,FALSE)</f>
        <v>84.381990781344797</v>
      </c>
      <c r="O131">
        <f>VLOOKUP($A131,'Niteesh''s data'!$A$2:$I$313,3,FALSE)</f>
        <v>815.28002900000001</v>
      </c>
      <c r="P131">
        <f>VLOOKUP($A131,'Niteesh''s data'!$A$2:$I$313,4,FALSE)</f>
        <v>907.44000200000005</v>
      </c>
      <c r="Q131">
        <f>VLOOKUP($A131,'Niteesh''s data'!$A$2:$I$313,5,FALSE)</f>
        <v>768.63000499999998</v>
      </c>
      <c r="R131">
        <f>VLOOKUP($A131,'Niteesh''s data'!$A$2:$I$313,6,FALSE)</f>
        <v>885.76000999999997</v>
      </c>
      <c r="S131">
        <f>VLOOKUP($A131,'Niteesh''s data'!$A$2:$I$313,7,FALSE)</f>
        <v>885.76000999999997</v>
      </c>
      <c r="T131">
        <f>VLOOKUP($A131,'Niteesh''s data'!$A$2:$I$313,8,FALSE)</f>
        <v>37856310000</v>
      </c>
      <c r="U131" s="61">
        <f>VLOOKUP($A131,'Niteesh''s data'!$A$2:$I$313,9,FALSE)</f>
        <v>9.2999999999999992E-3</v>
      </c>
      <c r="V131">
        <f>VLOOKUP(A131,'Existing home Sales'!$A$2:$C$324,3,FALSE)</f>
        <v>5.52</v>
      </c>
      <c r="W131" s="8">
        <v>1</v>
      </c>
      <c r="X131">
        <f>IFERROR(VLOOKUP(A131,'Home Depot Gross Profit'!$A$1:$B$105,2,FALSE)/3,IF(W131=2,X130,X130))</f>
        <v>1526.6666666666667</v>
      </c>
      <c r="Y131">
        <f>IFERROR(VLOOKUP(A131,'LOWE''S GROSS PROFIT'!$A$1:$B$105,2,FALSE)/3,IF(X131=2,Y130/3,Y130))</f>
        <v>655</v>
      </c>
      <c r="Z131" s="8">
        <v>6.08</v>
      </c>
      <c r="AA131">
        <v>6689</v>
      </c>
      <c r="AB131">
        <f>VLOOKUP(A131,'[1]Fed_Int (1)'!$A$2:$B$316,2,FALSE)</f>
        <v>1.75</v>
      </c>
      <c r="AC131" s="8">
        <v>25.950001</v>
      </c>
      <c r="AD131" s="8">
        <v>31.32</v>
      </c>
      <c r="AE131" s="8">
        <v>23.18</v>
      </c>
      <c r="AF131" s="8">
        <v>28.879999000000002</v>
      </c>
      <c r="AG131" s="8">
        <v>20.532592999999999</v>
      </c>
      <c r="AH131" s="8">
        <v>319117100</v>
      </c>
      <c r="AI131" s="8">
        <v>20.700001</v>
      </c>
      <c r="AJ131" s="8">
        <v>22.405000999999999</v>
      </c>
      <c r="AK131" s="8">
        <v>18.245000999999998</v>
      </c>
      <c r="AL131" s="8">
        <v>20.864999999999998</v>
      </c>
      <c r="AM131" s="8">
        <v>16.821888000000001</v>
      </c>
      <c r="AN131" s="8">
        <v>271898400</v>
      </c>
    </row>
    <row r="132" spans="1:40" x14ac:dyDescent="0.35">
      <c r="A132" s="1">
        <v>37561</v>
      </c>
      <c r="B132" s="13">
        <f t="shared" si="4"/>
        <v>11</v>
      </c>
      <c r="C132" s="13">
        <f t="shared" si="5"/>
        <v>2002</v>
      </c>
      <c r="D132" s="2">
        <v>20969</v>
      </c>
      <c r="E132">
        <f>VLOOKUP(A132,PSR!$A$12:$B$721,2,FALSE)</f>
        <v>4.7</v>
      </c>
      <c r="F132">
        <f>VLOOKUP(A132,CCI_USA!$F$2:$H$317,3,FALSE)</f>
        <v>99.669970000000006</v>
      </c>
      <c r="G132">
        <f>INDEX('BLS Data Series'!$A$11:$M$39,MATCH('UI Datathon Development'!C132,'BLS Data Series'!$A$13:$A$39,0)+2,MATCH('UI Datathon Development'!B132,'BLS Data Series'!$B$11:$M$11,0)+1)</f>
        <v>5.9</v>
      </c>
      <c r="H132">
        <f>VLOOKUP(A132,'Houses for sale'!$B$10:$I$671,8,FALSE)</f>
        <v>338</v>
      </c>
      <c r="I132">
        <f>VLOOKUP(A132,'House starts'!$A$12:$B$325,2,FALSE)</f>
        <v>1753</v>
      </c>
      <c r="J132">
        <f>VLOOKUP(A132,'New house sales'!$A$13:$C$324,3,FALSE)</f>
        <v>181200</v>
      </c>
      <c r="K132">
        <f>VLOOKUP($A132,'Sreenath''s data'!$A$2:$F$313,3,FALSE)</f>
        <v>126.64</v>
      </c>
      <c r="L132">
        <f>VLOOKUP($A132,'Sreenath''s data'!$A$2:$F$313,4,FALSE)</f>
        <v>7111.1</v>
      </c>
      <c r="M132">
        <f>VLOOKUP($A132,'Sreenath''s data'!$A$2:$F$313,5,FALSE)</f>
        <v>105296</v>
      </c>
      <c r="N132">
        <f>VLOOKUP($A132,'Sreenath''s data'!$A$2:$F$313,6,FALSE)</f>
        <v>84.304717896013898</v>
      </c>
      <c r="O132">
        <f>VLOOKUP($A132,'Niteesh''s data'!$A$2:$I$313,3,FALSE)</f>
        <v>885.76000999999997</v>
      </c>
      <c r="P132">
        <f>VLOOKUP($A132,'Niteesh''s data'!$A$2:$I$313,4,FALSE)</f>
        <v>941.82000700000003</v>
      </c>
      <c r="Q132">
        <f>VLOOKUP($A132,'Niteesh''s data'!$A$2:$I$313,5,FALSE)</f>
        <v>872.04998799999998</v>
      </c>
      <c r="R132">
        <f>VLOOKUP($A132,'Niteesh''s data'!$A$2:$I$313,6,FALSE)</f>
        <v>936.30999799999995</v>
      </c>
      <c r="S132">
        <f>VLOOKUP($A132,'Niteesh''s data'!$A$2:$I$313,7,FALSE)</f>
        <v>936.30999799999995</v>
      </c>
      <c r="T132">
        <f>VLOOKUP($A132,'Niteesh''s data'!$A$2:$I$313,8,FALSE)</f>
        <v>29200960000</v>
      </c>
      <c r="U132" s="61">
        <f>VLOOKUP($A132,'Niteesh''s data'!$A$2:$I$313,9,FALSE)</f>
        <v>8.9999999999999993E-3</v>
      </c>
      <c r="V132">
        <f>VLOOKUP(A132,'Existing home Sales'!$A$2:$C$324,3,FALSE)</f>
        <v>5.68</v>
      </c>
      <c r="W132" s="8">
        <v>2</v>
      </c>
      <c r="X132">
        <f>IFERROR(VLOOKUP(A132,'Home Depot Gross Profit'!$A$1:$B$105,2,FALSE)/3,IF(W132=2,X131,X131))</f>
        <v>1526.6666666666667</v>
      </c>
      <c r="Y132">
        <f>IFERROR(VLOOKUP(A132,'LOWE''S GROSS PROFIT'!$A$1:$B$105,2,FALSE)/3,IF(X132=2,Y131/3,Y131))</f>
        <v>655</v>
      </c>
      <c r="Z132" s="8">
        <v>6.11</v>
      </c>
      <c r="AA132">
        <v>6713</v>
      </c>
      <c r="AB132">
        <f>VLOOKUP(A132,'[1]Fed_Int (1)'!$A$2:$B$316,2,FALSE)</f>
        <v>1.34</v>
      </c>
      <c r="AC132" s="8">
        <v>28.809999000000001</v>
      </c>
      <c r="AD132" s="8">
        <v>29.25</v>
      </c>
      <c r="AE132" s="8">
        <v>23.799999</v>
      </c>
      <c r="AF132" s="8">
        <v>26.4</v>
      </c>
      <c r="AG132" s="8">
        <v>18.769414999999999</v>
      </c>
      <c r="AH132" s="8">
        <v>356145400</v>
      </c>
      <c r="AI132" s="8">
        <v>20.870000999999998</v>
      </c>
      <c r="AJ132" s="8">
        <v>21.9</v>
      </c>
      <c r="AK132" s="8">
        <v>18.915001</v>
      </c>
      <c r="AL132" s="8">
        <v>20.75</v>
      </c>
      <c r="AM132" s="8">
        <v>16.745132000000002</v>
      </c>
      <c r="AN132" s="8">
        <v>238357800</v>
      </c>
    </row>
    <row r="133" spans="1:40" x14ac:dyDescent="0.35">
      <c r="A133" s="1">
        <v>37591</v>
      </c>
      <c r="B133" s="13">
        <f t="shared" si="4"/>
        <v>12</v>
      </c>
      <c r="C133" s="13">
        <f t="shared" si="5"/>
        <v>2002</v>
      </c>
      <c r="D133" s="2">
        <v>20415</v>
      </c>
      <c r="E133">
        <f>VLOOKUP(A133,PSR!$A$12:$B$721,2,FALSE)</f>
        <v>4.5</v>
      </c>
      <c r="F133">
        <f>VLOOKUP(A133,CCI_USA!$F$2:$H$317,3,FALSE)</f>
        <v>99.667460000000005</v>
      </c>
      <c r="G133">
        <f>INDEX('BLS Data Series'!$A$11:$M$39,MATCH('UI Datathon Development'!C133,'BLS Data Series'!$A$13:$A$39,0)+2,MATCH('UI Datathon Development'!B133,'BLS Data Series'!$B$11:$M$11,0)+1)</f>
        <v>6</v>
      </c>
      <c r="H133">
        <f>VLOOKUP(A133,'Houses for sale'!$B$10:$I$671,8,FALSE)</f>
        <v>339</v>
      </c>
      <c r="I133">
        <f>VLOOKUP(A133,'House starts'!$A$12:$B$325,2,FALSE)</f>
        <v>1788</v>
      </c>
      <c r="J133">
        <f>VLOOKUP(A133,'New house sales'!$A$13:$C$324,3,FALSE)</f>
        <v>197600</v>
      </c>
      <c r="K133">
        <f>VLOOKUP($A133,'Sreenath''s data'!$A$2:$F$313,3,FALSE)</f>
        <v>127.149</v>
      </c>
      <c r="L133">
        <f>VLOOKUP($A133,'Sreenath''s data'!$A$2:$F$313,4,FALSE)</f>
        <v>7144.2</v>
      </c>
      <c r="M133">
        <f>VLOOKUP($A133,'Sreenath''s data'!$A$2:$F$313,5,FALSE)</f>
        <v>105387</v>
      </c>
      <c r="N133">
        <f>VLOOKUP($A133,'Sreenath''s data'!$A$2:$F$313,6,FALSE)</f>
        <v>84.266081453348406</v>
      </c>
      <c r="O133">
        <f>VLOOKUP($A133,'Niteesh''s data'!$A$2:$I$313,3,FALSE)</f>
        <v>936.30999799999995</v>
      </c>
      <c r="P133">
        <f>VLOOKUP($A133,'Niteesh''s data'!$A$2:$I$313,4,FALSE)</f>
        <v>954.28002900000001</v>
      </c>
      <c r="Q133">
        <f>VLOOKUP($A133,'Niteesh''s data'!$A$2:$I$313,5,FALSE)</f>
        <v>869.45001200000002</v>
      </c>
      <c r="R133">
        <f>VLOOKUP($A133,'Niteesh''s data'!$A$2:$I$313,6,FALSE)</f>
        <v>879.82000700000003</v>
      </c>
      <c r="S133">
        <f>VLOOKUP($A133,'Niteesh''s data'!$A$2:$I$313,7,FALSE)</f>
        <v>879.82000700000003</v>
      </c>
      <c r="T133">
        <f>VLOOKUP($A133,'Niteesh''s data'!$A$2:$I$313,8,FALSE)</f>
        <v>25993640000</v>
      </c>
      <c r="U133" s="61">
        <f>VLOOKUP($A133,'Niteesh''s data'!$A$2:$I$313,9,FALSE)</f>
        <v>8.8000000000000005E-3</v>
      </c>
      <c r="V133">
        <f>VLOOKUP(A133,'Existing home Sales'!$A$2:$C$324,3,FALSE)</f>
        <v>5.73</v>
      </c>
      <c r="W133" s="8">
        <v>3</v>
      </c>
      <c r="X133">
        <f>IFERROR(VLOOKUP(A133,'Home Depot Gross Profit'!$A$1:$B$105,2,FALSE)/3,IF(W133=2,X132,X132))</f>
        <v>1526.6666666666667</v>
      </c>
      <c r="Y133">
        <f>IFERROR(VLOOKUP(A133,'LOWE''S GROSS PROFIT'!$A$1:$B$105,2,FALSE)/3,IF(X133=2,Y132/3,Y132))</f>
        <v>655</v>
      </c>
      <c r="Z133" s="8">
        <v>6.0350000000000001</v>
      </c>
      <c r="AA133">
        <v>6700</v>
      </c>
      <c r="AB133">
        <f>VLOOKUP(A133,'[1]Fed_Int (1)'!$A$2:$B$316,2,FALSE)</f>
        <v>1.24</v>
      </c>
      <c r="AC133" s="8">
        <v>27.48</v>
      </c>
      <c r="AD133" s="8">
        <v>27.629999000000002</v>
      </c>
      <c r="AE133" s="8">
        <v>23.01</v>
      </c>
      <c r="AF133" s="8">
        <v>24.02</v>
      </c>
      <c r="AG133" s="8">
        <v>17.077311999999999</v>
      </c>
      <c r="AH133" s="8">
        <v>284287400</v>
      </c>
      <c r="AI133" s="8">
        <v>21.25</v>
      </c>
      <c r="AJ133" s="8">
        <v>21.34</v>
      </c>
      <c r="AK133" s="8">
        <v>18.25</v>
      </c>
      <c r="AL133" s="8">
        <v>18.75</v>
      </c>
      <c r="AM133" s="8">
        <v>15.131152</v>
      </c>
      <c r="AN133" s="8">
        <v>164910200</v>
      </c>
    </row>
    <row r="134" spans="1:40" x14ac:dyDescent="0.35">
      <c r="A134" s="1">
        <v>37622</v>
      </c>
      <c r="B134" s="13">
        <f t="shared" si="4"/>
        <v>1</v>
      </c>
      <c r="C134" s="13">
        <f t="shared" si="5"/>
        <v>2003</v>
      </c>
      <c r="D134" s="2">
        <v>21270</v>
      </c>
      <c r="E134">
        <f>VLOOKUP(A134,PSR!$A$12:$B$721,2,FALSE)</f>
        <v>4.5</v>
      </c>
      <c r="F134">
        <f>VLOOKUP(A134,CCI_USA!$F$2:$H$317,3,FALSE)</f>
        <v>99.490369999999999</v>
      </c>
      <c r="G134">
        <f>INDEX('BLS Data Series'!$A$11:$M$39,MATCH('UI Datathon Development'!C134,'BLS Data Series'!$A$13:$A$39,0)+2,MATCH('UI Datathon Development'!B134,'BLS Data Series'!$B$11:$M$11,0)+1)</f>
        <v>5.8</v>
      </c>
      <c r="H134">
        <f>VLOOKUP(A134,'Houses for sale'!$B$10:$I$671,8,FALSE)</f>
        <v>341</v>
      </c>
      <c r="I134">
        <f>VLOOKUP(A134,'House starts'!$A$12:$B$325,2,FALSE)</f>
        <v>1853</v>
      </c>
      <c r="J134">
        <f>VLOOKUP(A134,'New house sales'!$A$13:$C$324,3,FALSE)</f>
        <v>181700</v>
      </c>
      <c r="K134">
        <f>VLOOKUP($A134,'Sreenath''s data'!$A$2:$F$313,3,FALSE)</f>
        <v>127.652</v>
      </c>
      <c r="L134">
        <f>VLOOKUP($A134,'Sreenath''s data'!$A$2:$F$313,4,FALSE)</f>
        <v>7174.2</v>
      </c>
      <c r="M134">
        <f>VLOOKUP($A134,'Sreenath''s data'!$A$2:$F$313,5,FALSE)</f>
        <v>105513</v>
      </c>
      <c r="N134">
        <f>VLOOKUP($A134,'Sreenath''s data'!$A$2:$F$313,6,FALSE)</f>
        <v>84.806991650664699</v>
      </c>
      <c r="O134">
        <f>VLOOKUP($A134,'Niteesh''s data'!$A$2:$I$313,3,FALSE)</f>
        <v>879.82000700000003</v>
      </c>
      <c r="P134">
        <f>VLOOKUP($A134,'Niteesh''s data'!$A$2:$I$313,4,FALSE)</f>
        <v>935.04998799999998</v>
      </c>
      <c r="Q134">
        <f>VLOOKUP($A134,'Niteesh''s data'!$A$2:$I$313,5,FALSE)</f>
        <v>840.34002699999996</v>
      </c>
      <c r="R134">
        <f>VLOOKUP($A134,'Niteesh''s data'!$A$2:$I$313,6,FALSE)</f>
        <v>855.70001200000002</v>
      </c>
      <c r="S134">
        <f>VLOOKUP($A134,'Niteesh''s data'!$A$2:$I$313,7,FALSE)</f>
        <v>855.70001200000002</v>
      </c>
      <c r="T134">
        <f>VLOOKUP($A134,'Niteesh''s data'!$A$2:$I$313,8,FALSE)</f>
        <v>30749580000</v>
      </c>
      <c r="U134" s="61">
        <f>VLOOKUP($A134,'Niteesh''s data'!$A$2:$I$313,9,FALSE)</f>
        <v>8.6E-3</v>
      </c>
      <c r="V134">
        <f>VLOOKUP(A134,'Existing home Sales'!$A$2:$C$324,3,FALSE)</f>
        <v>5.97</v>
      </c>
      <c r="W134" s="8">
        <v>1</v>
      </c>
      <c r="X134">
        <f>IFERROR(VLOOKUP(A134,'Home Depot Gross Profit'!$A$1:$B$105,2,FALSE)/3,IF(W134=2,X133,X133))</f>
        <v>1407.3333333333333</v>
      </c>
      <c r="Y134">
        <f>IFERROR(VLOOKUP(A134,'LOWE''S GROSS PROFIT'!$A$1:$B$105,2,FALSE)/3,IF(X134=2,Y133/3,Y133))</f>
        <v>619.33333333333337</v>
      </c>
      <c r="Z134" s="8">
        <v>5.91</v>
      </c>
      <c r="AA134">
        <v>6704</v>
      </c>
      <c r="AB134">
        <f>VLOOKUP(A134,'[1]Fed_Int (1)'!$A$2:$B$316,2,FALSE)</f>
        <v>1.24</v>
      </c>
      <c r="AC134" s="8">
        <v>24.209999</v>
      </c>
      <c r="AD134" s="8">
        <v>24.91</v>
      </c>
      <c r="AE134" s="8">
        <v>20.100000000000001</v>
      </c>
      <c r="AF134" s="8">
        <v>20.9</v>
      </c>
      <c r="AG134" s="8">
        <v>14.892871</v>
      </c>
      <c r="AH134" s="8">
        <v>393066300</v>
      </c>
      <c r="AI134" s="8">
        <v>18.950001</v>
      </c>
      <c r="AJ134" s="8">
        <v>19.754999000000002</v>
      </c>
      <c r="AK134" s="8">
        <v>16.93</v>
      </c>
      <c r="AL134" s="8">
        <v>17.09</v>
      </c>
      <c r="AM134" s="8">
        <v>13.791536000000001</v>
      </c>
      <c r="AN134" s="8">
        <v>240108800</v>
      </c>
    </row>
    <row r="135" spans="1:40" x14ac:dyDescent="0.35">
      <c r="A135" s="1">
        <v>37653</v>
      </c>
      <c r="B135" s="13">
        <f t="shared" si="4"/>
        <v>2</v>
      </c>
      <c r="C135" s="13">
        <f t="shared" si="5"/>
        <v>2003</v>
      </c>
      <c r="D135" s="2">
        <v>20041</v>
      </c>
      <c r="E135">
        <f>VLOOKUP(A135,PSR!$A$12:$B$721,2,FALSE)</f>
        <v>4.8</v>
      </c>
      <c r="F135">
        <f>VLOOKUP(A135,CCI_USA!$F$2:$H$317,3,FALSE)</f>
        <v>99.333309999999997</v>
      </c>
      <c r="G135">
        <f>INDEX('BLS Data Series'!$A$11:$M$39,MATCH('UI Datathon Development'!C135,'BLS Data Series'!$A$13:$A$39,0)+2,MATCH('UI Datathon Development'!B135,'BLS Data Series'!$B$11:$M$11,0)+1)</f>
        <v>5.9</v>
      </c>
      <c r="H135">
        <f>VLOOKUP(A135,'Houses for sale'!$B$10:$I$671,8,FALSE)</f>
        <v>341</v>
      </c>
      <c r="I135">
        <f>VLOOKUP(A135,'House starts'!$A$12:$B$325,2,FALSE)</f>
        <v>1629</v>
      </c>
      <c r="J135">
        <f>VLOOKUP(A135,'New house sales'!$A$13:$C$324,3,FALSE)</f>
        <v>187000</v>
      </c>
      <c r="K135">
        <f>VLOOKUP($A135,'Sreenath''s data'!$A$2:$F$313,3,FALSE)</f>
        <v>128.327</v>
      </c>
      <c r="L135">
        <f>VLOOKUP($A135,'Sreenath''s data'!$A$2:$F$313,4,FALSE)</f>
        <v>7190.3</v>
      </c>
      <c r="M135">
        <f>VLOOKUP($A135,'Sreenath''s data'!$A$2:$F$313,5,FALSE)</f>
        <v>105432</v>
      </c>
      <c r="N135">
        <f>VLOOKUP($A135,'Sreenath''s data'!$A$2:$F$313,6,FALSE)</f>
        <v>85.116083191988395</v>
      </c>
      <c r="O135">
        <f>VLOOKUP($A135,'Niteesh''s data'!$A$2:$I$313,3,FALSE)</f>
        <v>855.70001200000002</v>
      </c>
      <c r="P135">
        <f>VLOOKUP($A135,'Niteesh''s data'!$A$2:$I$313,4,FALSE)</f>
        <v>864.64001499999995</v>
      </c>
      <c r="Q135">
        <f>VLOOKUP($A135,'Niteesh''s data'!$A$2:$I$313,5,FALSE)</f>
        <v>806.28997800000002</v>
      </c>
      <c r="R135">
        <f>VLOOKUP($A135,'Niteesh''s data'!$A$2:$I$313,6,FALSE)</f>
        <v>841.15002400000003</v>
      </c>
      <c r="S135">
        <f>VLOOKUP($A135,'Niteesh''s data'!$A$2:$I$313,7,FALSE)</f>
        <v>841.15002400000003</v>
      </c>
      <c r="T135">
        <f>VLOOKUP($A135,'Niteesh''s data'!$A$2:$I$313,8,FALSE)</f>
        <v>25235300000</v>
      </c>
      <c r="U135" s="61">
        <f>VLOOKUP($A135,'Niteesh''s data'!$A$2:$I$313,9,FALSE)</f>
        <v>8.3999999999999995E-3</v>
      </c>
      <c r="V135">
        <f>VLOOKUP(A135,'Existing home Sales'!$A$2:$C$324,3,FALSE)</f>
        <v>6.03</v>
      </c>
      <c r="W135" s="8">
        <v>2</v>
      </c>
      <c r="X135">
        <f>IFERROR(VLOOKUP(A135,'Home Depot Gross Profit'!$A$1:$B$105,2,FALSE)/3,IF(W135=2,X134,X134))</f>
        <v>1407.3333333333333</v>
      </c>
      <c r="Y135">
        <f>IFERROR(VLOOKUP(A135,'LOWE''S GROSS PROFIT'!$A$1:$B$105,2,FALSE)/3,IF(X135=2,Y134/3,Y134))</f>
        <v>619.33333333333337</v>
      </c>
      <c r="Z135" s="8">
        <v>5.85</v>
      </c>
      <c r="AA135">
        <v>6667</v>
      </c>
      <c r="AB135">
        <f>VLOOKUP(A135,'[1]Fed_Int (1)'!$A$2:$B$316,2,FALSE)</f>
        <v>1.26</v>
      </c>
      <c r="AC135" s="8">
        <v>21</v>
      </c>
      <c r="AD135" s="8">
        <v>23.59</v>
      </c>
      <c r="AE135" s="8">
        <v>20.18</v>
      </c>
      <c r="AF135" s="8">
        <v>23.450001</v>
      </c>
      <c r="AG135" s="8">
        <v>16.709948000000001</v>
      </c>
      <c r="AH135" s="8">
        <v>231128700</v>
      </c>
      <c r="AI135" s="8">
        <v>17.274999999999999</v>
      </c>
      <c r="AJ135" s="8">
        <v>19.829999999999998</v>
      </c>
      <c r="AK135" s="8">
        <v>16.684999000000001</v>
      </c>
      <c r="AL135" s="8">
        <v>19.649999999999999</v>
      </c>
      <c r="AM135" s="8">
        <v>15.878481000000001</v>
      </c>
      <c r="AN135" s="8">
        <v>178357600</v>
      </c>
    </row>
    <row r="136" spans="1:40" x14ac:dyDescent="0.35">
      <c r="A136" s="1">
        <v>37681</v>
      </c>
      <c r="B136" s="13">
        <f t="shared" si="4"/>
        <v>3</v>
      </c>
      <c r="C136" s="13">
        <f t="shared" si="5"/>
        <v>2003</v>
      </c>
      <c r="D136" s="2">
        <v>21326</v>
      </c>
      <c r="E136">
        <f>VLOOKUP(A136,PSR!$A$12:$B$721,2,FALSE)</f>
        <v>4.5999999999999996</v>
      </c>
      <c r="F136">
        <f>VLOOKUP(A136,CCI_USA!$F$2:$H$317,3,FALSE)</f>
        <v>99.415819999999997</v>
      </c>
      <c r="G136">
        <f>INDEX('BLS Data Series'!$A$11:$M$39,MATCH('UI Datathon Development'!C136,'BLS Data Series'!$A$13:$A$39,0)+2,MATCH('UI Datathon Development'!B136,'BLS Data Series'!$B$11:$M$11,0)+1)</f>
        <v>5.9</v>
      </c>
      <c r="H136">
        <f>VLOOKUP(A136,'Houses for sale'!$B$10:$I$671,8,FALSE)</f>
        <v>338</v>
      </c>
      <c r="I136">
        <f>VLOOKUP(A136,'House starts'!$A$12:$B$325,2,FALSE)</f>
        <v>1726</v>
      </c>
      <c r="J136">
        <f>VLOOKUP(A136,'New house sales'!$A$13:$C$324,3,FALSE)</f>
        <v>185100</v>
      </c>
      <c r="K136">
        <f>VLOOKUP($A136,'Sreenath''s data'!$A$2:$F$313,3,FALSE)</f>
        <v>129.31</v>
      </c>
      <c r="L136">
        <f>VLOOKUP($A136,'Sreenath''s data'!$A$2:$F$313,4,FALSE)</f>
        <v>7208.3</v>
      </c>
      <c r="M136">
        <f>VLOOKUP($A136,'Sreenath''s data'!$A$2:$F$313,5,FALSE)</f>
        <v>105277</v>
      </c>
      <c r="N136">
        <f>VLOOKUP($A136,'Sreenath''s data'!$A$2:$F$313,6,FALSE)</f>
        <v>85.347901847981007</v>
      </c>
      <c r="O136">
        <f>VLOOKUP($A136,'Niteesh''s data'!$A$2:$I$313,3,FALSE)</f>
        <v>841.15002400000003</v>
      </c>
      <c r="P136">
        <f>VLOOKUP($A136,'Niteesh''s data'!$A$2:$I$313,4,FALSE)</f>
        <v>895.90002400000003</v>
      </c>
      <c r="Q136">
        <f>VLOOKUP($A136,'Niteesh''s data'!$A$2:$I$313,5,FALSE)</f>
        <v>788.90002400000003</v>
      </c>
      <c r="R136">
        <f>VLOOKUP($A136,'Niteesh''s data'!$A$2:$I$313,6,FALSE)</f>
        <v>848.17999299999997</v>
      </c>
      <c r="S136">
        <f>VLOOKUP($A136,'Niteesh''s data'!$A$2:$I$313,7,FALSE)</f>
        <v>848.17999299999997</v>
      </c>
      <c r="T136">
        <f>VLOOKUP($A136,'Niteesh''s data'!$A$2:$I$313,8,FALSE)</f>
        <v>30080030000</v>
      </c>
      <c r="U136" s="61">
        <f>VLOOKUP($A136,'Niteesh''s data'!$A$2:$I$313,9,FALSE)</f>
        <v>8.3999999999999995E-3</v>
      </c>
      <c r="V136">
        <f>VLOOKUP(A136,'Existing home Sales'!$A$2:$C$324,3,FALSE)</f>
        <v>6.02</v>
      </c>
      <c r="W136" s="8">
        <v>3</v>
      </c>
      <c r="X136">
        <f>IFERROR(VLOOKUP(A136,'Home Depot Gross Profit'!$A$1:$B$105,2,FALSE)/3,IF(W136=2,X135,X135))</f>
        <v>1407.3333333333333</v>
      </c>
      <c r="Y136">
        <f>IFERROR(VLOOKUP(A136,'LOWE''S GROSS PROFIT'!$A$1:$B$105,2,FALSE)/3,IF(X136=2,Y135/3,Y135))</f>
        <v>619.33333333333337</v>
      </c>
      <c r="Z136" s="8">
        <v>5.73</v>
      </c>
      <c r="AA136">
        <v>6654</v>
      </c>
      <c r="AB136">
        <f>VLOOKUP(A136,'[1]Fed_Int (1)'!$A$2:$B$316,2,FALSE)</f>
        <v>1.25</v>
      </c>
      <c r="AC136" s="8">
        <v>23.49</v>
      </c>
      <c r="AD136" s="8">
        <v>25.799999</v>
      </c>
      <c r="AE136" s="8">
        <v>21.51</v>
      </c>
      <c r="AF136" s="8">
        <v>24.360001</v>
      </c>
      <c r="AG136" s="8">
        <v>17.358397</v>
      </c>
      <c r="AH136" s="8">
        <v>229009100</v>
      </c>
      <c r="AI136" s="8">
        <v>19.774999999999999</v>
      </c>
      <c r="AJ136" s="8">
        <v>21.334999</v>
      </c>
      <c r="AK136" s="8">
        <v>17.725000000000001</v>
      </c>
      <c r="AL136" s="8">
        <v>20.41</v>
      </c>
      <c r="AM136" s="8">
        <v>16.492611</v>
      </c>
      <c r="AN136" s="8">
        <v>211385600</v>
      </c>
    </row>
    <row r="137" spans="1:40" x14ac:dyDescent="0.35">
      <c r="A137" s="1">
        <v>37712</v>
      </c>
      <c r="B137" s="13">
        <f t="shared" si="4"/>
        <v>4</v>
      </c>
      <c r="C137" s="13">
        <f t="shared" si="5"/>
        <v>2003</v>
      </c>
      <c r="D137" s="2">
        <v>21139</v>
      </c>
      <c r="E137">
        <f>VLOOKUP(A137,PSR!$A$12:$B$721,2,FALSE)</f>
        <v>4.5999999999999996</v>
      </c>
      <c r="F137">
        <f>VLOOKUP(A137,CCI_USA!$F$2:$H$317,3,FALSE)</f>
        <v>99.846540000000005</v>
      </c>
      <c r="G137">
        <f>INDEX('BLS Data Series'!$A$11:$M$39,MATCH('UI Datathon Development'!C137,'BLS Data Series'!$A$13:$A$39,0)+2,MATCH('UI Datathon Development'!B137,'BLS Data Series'!$B$11:$M$11,0)+1)</f>
        <v>6</v>
      </c>
      <c r="H137">
        <f>VLOOKUP(A137,'Houses for sale'!$B$10:$I$671,8,FALSE)</f>
        <v>340</v>
      </c>
      <c r="I137">
        <f>VLOOKUP(A137,'House starts'!$A$12:$B$325,2,FALSE)</f>
        <v>1643</v>
      </c>
      <c r="J137">
        <f>VLOOKUP(A137,'New house sales'!$A$13:$C$324,3,FALSE)</f>
        <v>189500</v>
      </c>
      <c r="K137">
        <f>VLOOKUP($A137,'Sreenath''s data'!$A$2:$F$313,3,FALSE)</f>
        <v>130.49</v>
      </c>
      <c r="L137">
        <f>VLOOKUP($A137,'Sreenath''s data'!$A$2:$F$313,4,FALSE)</f>
        <v>7153.1</v>
      </c>
      <c r="M137">
        <f>VLOOKUP($A137,'Sreenath''s data'!$A$2:$F$313,5,FALSE)</f>
        <v>105470</v>
      </c>
      <c r="N137">
        <f>VLOOKUP($A137,'Sreenath''s data'!$A$2:$F$313,6,FALSE)</f>
        <v>85.3092654053156</v>
      </c>
      <c r="O137">
        <f>VLOOKUP($A137,'Niteesh''s data'!$A$2:$I$313,3,FALSE)</f>
        <v>848.17999299999997</v>
      </c>
      <c r="P137">
        <f>VLOOKUP($A137,'Niteesh''s data'!$A$2:$I$313,4,FALSE)</f>
        <v>924.23999000000003</v>
      </c>
      <c r="Q137">
        <f>VLOOKUP($A137,'Niteesh''s data'!$A$2:$I$313,5,FALSE)</f>
        <v>847.84997599999997</v>
      </c>
      <c r="R137">
        <f>VLOOKUP($A137,'Niteesh''s data'!$A$2:$I$313,6,FALSE)</f>
        <v>916.919983</v>
      </c>
      <c r="S137">
        <f>VLOOKUP($A137,'Niteesh''s data'!$A$2:$I$313,7,FALSE)</f>
        <v>916.919983</v>
      </c>
      <c r="T137">
        <f>VLOOKUP($A137,'Niteesh''s data'!$A$2:$I$313,8,FALSE)</f>
        <v>29669610000</v>
      </c>
      <c r="U137" s="61">
        <f>VLOOKUP($A137,'Niteesh''s data'!$A$2:$I$313,9,FALSE)</f>
        <v>8.6E-3</v>
      </c>
      <c r="V137">
        <f>VLOOKUP(A137,'Existing home Sales'!$A$2:$C$324,3,FALSE)</f>
        <v>5.86</v>
      </c>
      <c r="W137" s="8">
        <v>1</v>
      </c>
      <c r="X137">
        <f>IFERROR(VLOOKUP(A137,'Home Depot Gross Profit'!$A$1:$B$105,2,FALSE)/3,IF(W137=2,X136,X136))</f>
        <v>1609.6666666666667</v>
      </c>
      <c r="Y137">
        <f>IFERROR(VLOOKUP(A137,'LOWE''S GROSS PROFIT'!$A$1:$B$105,2,FALSE)/3,IF(X137=2,Y136/3,Y136))</f>
        <v>739.66666666666663</v>
      </c>
      <c r="Z137" s="8">
        <v>5.8049999999999997</v>
      </c>
      <c r="AA137">
        <v>6689</v>
      </c>
      <c r="AB137">
        <f>VLOOKUP(A137,'[1]Fed_Int (1)'!$A$2:$B$316,2,FALSE)</f>
        <v>1.26</v>
      </c>
      <c r="AC137" s="8">
        <v>24.610001</v>
      </c>
      <c r="AD137" s="8">
        <v>28.76</v>
      </c>
      <c r="AE137" s="8">
        <v>23.98</v>
      </c>
      <c r="AF137" s="8">
        <v>28.129999000000002</v>
      </c>
      <c r="AG137" s="8">
        <v>20.099820999999999</v>
      </c>
      <c r="AH137" s="8">
        <v>220136700</v>
      </c>
      <c r="AI137" s="8">
        <v>20.524999999999999</v>
      </c>
      <c r="AJ137" s="8">
        <v>23</v>
      </c>
      <c r="AK137" s="8">
        <v>20.149999999999999</v>
      </c>
      <c r="AL137" s="8">
        <v>21.945</v>
      </c>
      <c r="AM137" s="8">
        <v>17.732994000000001</v>
      </c>
      <c r="AN137" s="8">
        <v>197153200</v>
      </c>
    </row>
    <row r="138" spans="1:40" x14ac:dyDescent="0.35">
      <c r="A138" s="1">
        <v>37742</v>
      </c>
      <c r="B138" s="13">
        <f t="shared" si="4"/>
        <v>5</v>
      </c>
      <c r="C138" s="13">
        <f t="shared" si="5"/>
        <v>2003</v>
      </c>
      <c r="D138" s="2">
        <v>21328</v>
      </c>
      <c r="E138">
        <f>VLOOKUP(A138,PSR!$A$12:$B$721,2,FALSE)</f>
        <v>5.0999999999999996</v>
      </c>
      <c r="F138">
        <f>VLOOKUP(A138,CCI_USA!$F$2:$H$317,3,FALSE)</f>
        <v>100.27119999999999</v>
      </c>
      <c r="G138">
        <f>INDEX('BLS Data Series'!$A$11:$M$39,MATCH('UI Datathon Development'!C138,'BLS Data Series'!$A$13:$A$39,0)+2,MATCH('UI Datathon Development'!B138,'BLS Data Series'!$B$11:$M$11,0)+1)</f>
        <v>6.1</v>
      </c>
      <c r="H138">
        <f>VLOOKUP(A138,'Houses for sale'!$B$10:$I$671,8,FALSE)</f>
        <v>343</v>
      </c>
      <c r="I138">
        <f>VLOOKUP(A138,'House starts'!$A$12:$B$325,2,FALSE)</f>
        <v>1751</v>
      </c>
      <c r="J138">
        <f>VLOOKUP(A138,'New house sales'!$A$13:$C$324,3,FALSE)</f>
        <v>195500</v>
      </c>
      <c r="K138">
        <f>VLOOKUP($A138,'Sreenath''s data'!$A$2:$F$313,3,FALSE)</f>
        <v>131.84100000000001</v>
      </c>
      <c r="L138">
        <f>VLOOKUP($A138,'Sreenath''s data'!$A$2:$F$313,4,FALSE)</f>
        <v>7223.3</v>
      </c>
      <c r="M138">
        <f>VLOOKUP($A138,'Sreenath''s data'!$A$2:$F$313,5,FALSE)</f>
        <v>105507</v>
      </c>
      <c r="N138">
        <f>VLOOKUP($A138,'Sreenath''s data'!$A$2:$F$313,6,FALSE)</f>
        <v>85.579720503973803</v>
      </c>
      <c r="O138">
        <f>VLOOKUP($A138,'Niteesh''s data'!$A$2:$I$313,3,FALSE)</f>
        <v>916.919983</v>
      </c>
      <c r="P138">
        <f>VLOOKUP($A138,'Niteesh''s data'!$A$2:$I$313,4,FALSE)</f>
        <v>965.38000499999998</v>
      </c>
      <c r="Q138">
        <f>VLOOKUP($A138,'Niteesh''s data'!$A$2:$I$313,5,FALSE)</f>
        <v>902.830017</v>
      </c>
      <c r="R138">
        <f>VLOOKUP($A138,'Niteesh''s data'!$A$2:$I$313,6,FALSE)</f>
        <v>963.59002699999996</v>
      </c>
      <c r="S138">
        <f>VLOOKUP($A138,'Niteesh''s data'!$A$2:$I$313,7,FALSE)</f>
        <v>963.59002699999996</v>
      </c>
      <c r="T138">
        <f>VLOOKUP($A138,'Niteesh''s data'!$A$2:$I$313,8,FALSE)</f>
        <v>30952100000</v>
      </c>
      <c r="U138" s="61">
        <f>VLOOKUP($A138,'Niteesh''s data'!$A$2:$I$313,9,FALSE)</f>
        <v>8.8000000000000005E-3</v>
      </c>
      <c r="V138">
        <f>VLOOKUP(A138,'Existing home Sales'!$A$2:$C$324,3,FALSE)</f>
        <v>5.84</v>
      </c>
      <c r="W138" s="8">
        <v>2</v>
      </c>
      <c r="X138">
        <f>IFERROR(VLOOKUP(A138,'Home Depot Gross Profit'!$A$1:$B$105,2,FALSE)/3,IF(W138=2,X137,X137))</f>
        <v>1609.6666666666667</v>
      </c>
      <c r="Y138">
        <f>IFERROR(VLOOKUP(A138,'LOWE''S GROSS PROFIT'!$A$1:$B$105,2,FALSE)/3,IF(X138=2,Y137/3,Y137))</f>
        <v>739.66666666666663</v>
      </c>
      <c r="Z138" s="8">
        <v>5.45</v>
      </c>
      <c r="AA138">
        <v>6706</v>
      </c>
      <c r="AB138">
        <f>VLOOKUP(A138,'[1]Fed_Int (1)'!$A$2:$B$316,2,FALSE)</f>
        <v>1.26</v>
      </c>
      <c r="AC138" s="8">
        <v>28.1</v>
      </c>
      <c r="AD138" s="8">
        <v>32.57</v>
      </c>
      <c r="AE138" s="8">
        <v>27.35</v>
      </c>
      <c r="AF138" s="8">
        <v>32.490001999999997</v>
      </c>
      <c r="AG138" s="8">
        <v>23.215191000000001</v>
      </c>
      <c r="AH138" s="8">
        <v>250999800</v>
      </c>
      <c r="AI138" s="8">
        <v>21.825001</v>
      </c>
      <c r="AJ138" s="8">
        <v>23.215</v>
      </c>
      <c r="AK138" s="8">
        <v>19.100000000000001</v>
      </c>
      <c r="AL138" s="8">
        <v>21.129999000000002</v>
      </c>
      <c r="AM138" s="8">
        <v>17.093653</v>
      </c>
      <c r="AN138" s="8">
        <v>256867800</v>
      </c>
    </row>
    <row r="139" spans="1:40" x14ac:dyDescent="0.35">
      <c r="A139" s="1">
        <v>37773</v>
      </c>
      <c r="B139" s="13">
        <f t="shared" si="4"/>
        <v>6</v>
      </c>
      <c r="C139" s="13">
        <f t="shared" si="5"/>
        <v>2003</v>
      </c>
      <c r="D139" s="2">
        <v>22003</v>
      </c>
      <c r="E139">
        <f>VLOOKUP(A139,PSR!$A$12:$B$721,2,FALSE)</f>
        <v>4.9000000000000004</v>
      </c>
      <c r="F139">
        <f>VLOOKUP(A139,CCI_USA!$F$2:$H$317,3,FALSE)</f>
        <v>100.42610000000001</v>
      </c>
      <c r="G139">
        <f>INDEX('BLS Data Series'!$A$11:$M$39,MATCH('UI Datathon Development'!C139,'BLS Data Series'!$A$13:$A$39,0)+2,MATCH('UI Datathon Development'!B139,'BLS Data Series'!$B$11:$M$11,0)+1)</f>
        <v>6.3</v>
      </c>
      <c r="H139">
        <f>VLOOKUP(A139,'Houses for sale'!$B$10:$I$671,8,FALSE)</f>
        <v>343</v>
      </c>
      <c r="I139">
        <f>VLOOKUP(A139,'House starts'!$A$12:$B$325,2,FALSE)</f>
        <v>1867</v>
      </c>
      <c r="J139">
        <f>VLOOKUP(A139,'New house sales'!$A$13:$C$324,3,FALSE)</f>
        <v>187900</v>
      </c>
      <c r="K139">
        <f>VLOOKUP($A139,'Sreenath''s data'!$A$2:$F$313,3,FALSE)</f>
        <v>133.22499999999999</v>
      </c>
      <c r="L139">
        <f>VLOOKUP($A139,'Sreenath''s data'!$A$2:$F$313,4,FALSE)</f>
        <v>7245.4</v>
      </c>
      <c r="M139">
        <f>VLOOKUP($A139,'Sreenath''s data'!$A$2:$F$313,5,FALSE)</f>
        <v>105449</v>
      </c>
      <c r="N139">
        <f>VLOOKUP($A139,'Sreenath''s data'!$A$2:$F$313,6,FALSE)</f>
        <v>85.656993389304603</v>
      </c>
      <c r="O139">
        <f>VLOOKUP($A139,'Niteesh''s data'!$A$2:$I$313,3,FALSE)</f>
        <v>963.59002699999996</v>
      </c>
      <c r="P139">
        <f>VLOOKUP($A139,'Niteesh''s data'!$A$2:$I$313,4,FALSE)</f>
        <v>1015.330017</v>
      </c>
      <c r="Q139">
        <f>VLOOKUP($A139,'Niteesh''s data'!$A$2:$I$313,5,FALSE)</f>
        <v>963.59002699999996</v>
      </c>
      <c r="R139">
        <f>VLOOKUP($A139,'Niteesh''s data'!$A$2:$I$313,6,FALSE)</f>
        <v>974.5</v>
      </c>
      <c r="S139">
        <f>VLOOKUP($A139,'Niteesh''s data'!$A$2:$I$313,7,FALSE)</f>
        <v>974.5</v>
      </c>
      <c r="T139">
        <f>VLOOKUP($A139,'Niteesh''s data'!$A$2:$I$313,8,FALSE)</f>
        <v>31219400000</v>
      </c>
      <c r="U139" s="61">
        <f>VLOOKUP($A139,'Niteesh''s data'!$A$2:$I$313,9,FALSE)</f>
        <v>8.8000000000000005E-3</v>
      </c>
      <c r="V139">
        <f>VLOOKUP(A139,'Existing home Sales'!$A$2:$C$324,3,FALSE)</f>
        <v>5.94</v>
      </c>
      <c r="W139" s="8">
        <v>3</v>
      </c>
      <c r="X139">
        <f>IFERROR(VLOOKUP(A139,'Home Depot Gross Profit'!$A$1:$B$105,2,FALSE)/3,IF(W139=2,X138,X138))</f>
        <v>1609.6666666666667</v>
      </c>
      <c r="Y139">
        <f>IFERROR(VLOOKUP(A139,'LOWE''S GROSS PROFIT'!$A$1:$B$105,2,FALSE)/3,IF(X139=2,Y138/3,Y138))</f>
        <v>739.66666666666663</v>
      </c>
      <c r="Z139" s="8">
        <v>5.2249999999999996</v>
      </c>
      <c r="AA139">
        <v>6723</v>
      </c>
      <c r="AB139">
        <f>VLOOKUP(A139,'[1]Fed_Int (1)'!$A$2:$B$316,2,FALSE)</f>
        <v>1.22</v>
      </c>
      <c r="AC139" s="8">
        <v>32.75</v>
      </c>
      <c r="AD139" s="8">
        <v>34.720001000000003</v>
      </c>
      <c r="AE139" s="8">
        <v>31.58</v>
      </c>
      <c r="AF139" s="8">
        <v>33.119999</v>
      </c>
      <c r="AG139" s="8">
        <v>23.665344000000001</v>
      </c>
      <c r="AH139" s="8">
        <v>182886200</v>
      </c>
      <c r="AI139" s="8">
        <v>21.299999</v>
      </c>
      <c r="AJ139" s="8">
        <v>22.92</v>
      </c>
      <c r="AK139" s="8">
        <v>21.045000000000002</v>
      </c>
      <c r="AL139" s="8">
        <v>21.475000000000001</v>
      </c>
      <c r="AM139" s="8">
        <v>17.372751000000001</v>
      </c>
      <c r="AN139" s="8">
        <v>192193000</v>
      </c>
    </row>
    <row r="140" spans="1:40" x14ac:dyDescent="0.35">
      <c r="A140" s="1">
        <v>37803</v>
      </c>
      <c r="B140" s="13">
        <f t="shared" si="4"/>
        <v>7</v>
      </c>
      <c r="C140" s="13">
        <f t="shared" si="5"/>
        <v>2003</v>
      </c>
      <c r="D140" s="2">
        <v>22372</v>
      </c>
      <c r="E140">
        <f>VLOOKUP(A140,PSR!$A$12:$B$721,2,FALSE)</f>
        <v>5.5</v>
      </c>
      <c r="F140">
        <f>VLOOKUP(A140,CCI_USA!$F$2:$H$317,3,FALSE)</f>
        <v>100.4284</v>
      </c>
      <c r="G140">
        <f>INDEX('BLS Data Series'!$A$11:$M$39,MATCH('UI Datathon Development'!C140,'BLS Data Series'!$A$13:$A$39,0)+2,MATCH('UI Datathon Development'!B140,'BLS Data Series'!$B$11:$M$11,0)+1)</f>
        <v>6.2</v>
      </c>
      <c r="H140">
        <f>VLOOKUP(A140,'Houses for sale'!$B$10:$I$671,8,FALSE)</f>
        <v>342</v>
      </c>
      <c r="I140">
        <f>VLOOKUP(A140,'House starts'!$A$12:$B$325,2,FALSE)</f>
        <v>1897</v>
      </c>
      <c r="J140">
        <f>VLOOKUP(A140,'New house sales'!$A$13:$C$324,3,FALSE)</f>
        <v>190200</v>
      </c>
      <c r="K140">
        <f>VLOOKUP($A140,'Sreenath''s data'!$A$2:$F$313,3,FALSE)</f>
        <v>134.64500000000001</v>
      </c>
      <c r="L140">
        <f>VLOOKUP($A140,'Sreenath''s data'!$A$2:$F$313,4,FALSE)</f>
        <v>7259.9</v>
      </c>
      <c r="M140">
        <f>VLOOKUP($A140,'Sreenath''s data'!$A$2:$F$313,5,FALSE)</f>
        <v>105314</v>
      </c>
      <c r="N140">
        <f>VLOOKUP($A140,'Sreenath''s data'!$A$2:$F$313,6,FALSE)</f>
        <v>86.004721373293705</v>
      </c>
      <c r="O140">
        <f>VLOOKUP($A140,'Niteesh''s data'!$A$2:$I$313,3,FALSE)</f>
        <v>974.5</v>
      </c>
      <c r="P140">
        <f>VLOOKUP($A140,'Niteesh''s data'!$A$2:$I$313,4,FALSE)</f>
        <v>1015.409973</v>
      </c>
      <c r="Q140">
        <f>VLOOKUP($A140,'Niteesh''s data'!$A$2:$I$313,5,FALSE)</f>
        <v>962.09997599999997</v>
      </c>
      <c r="R140">
        <f>VLOOKUP($A140,'Niteesh''s data'!$A$2:$I$313,6,FALSE)</f>
        <v>990.30999799999995</v>
      </c>
      <c r="S140">
        <f>VLOOKUP($A140,'Niteesh''s data'!$A$2:$I$313,7,FALSE)</f>
        <v>990.30999799999995</v>
      </c>
      <c r="T140">
        <f>VLOOKUP($A140,'Niteesh''s data'!$A$2:$I$313,8,FALSE)</f>
        <v>31553200000</v>
      </c>
      <c r="U140" s="61">
        <f>VLOOKUP($A140,'Niteesh''s data'!$A$2:$I$313,9,FALSE)</f>
        <v>8.8000000000000005E-3</v>
      </c>
      <c r="V140">
        <f>VLOOKUP(A140,'Existing home Sales'!$A$2:$C$324,3,FALSE)</f>
        <v>5.94</v>
      </c>
      <c r="W140" s="8">
        <v>1</v>
      </c>
      <c r="X140">
        <f>IFERROR(VLOOKUP(A140,'Home Depot Gross Profit'!$A$1:$B$105,2,FALSE)/3,IF(W140=2,X139,X139))</f>
        <v>1868.3333333333333</v>
      </c>
      <c r="Y140">
        <f>IFERROR(VLOOKUP(A140,'LOWE''S GROSS PROFIT'!$A$1:$B$105,2,FALSE)/3,IF(X140=2,Y139/3,Y139))</f>
        <v>875.33333333333337</v>
      </c>
      <c r="Z140" s="8">
        <v>5.5949999999999998</v>
      </c>
      <c r="AA140">
        <v>6735</v>
      </c>
      <c r="AB140">
        <f>VLOOKUP(A140,'[1]Fed_Int (1)'!$A$2:$B$316,2,FALSE)</f>
        <v>1.01</v>
      </c>
      <c r="AC140" s="8">
        <v>33.119999</v>
      </c>
      <c r="AD140" s="8">
        <v>34.700001</v>
      </c>
      <c r="AE140" s="8">
        <v>30.559999000000001</v>
      </c>
      <c r="AF140" s="8">
        <v>31.200001</v>
      </c>
      <c r="AG140" s="8">
        <v>22.334616</v>
      </c>
      <c r="AH140" s="8">
        <v>197934200</v>
      </c>
      <c r="AI140" s="8">
        <v>21.41</v>
      </c>
      <c r="AJ140" s="8">
        <v>24.355</v>
      </c>
      <c r="AK140" s="8">
        <v>20.905000999999999</v>
      </c>
      <c r="AL140" s="8">
        <v>23.780000999999999</v>
      </c>
      <c r="AM140" s="8">
        <v>19.237434</v>
      </c>
      <c r="AN140" s="8">
        <v>185431600</v>
      </c>
    </row>
    <row r="141" spans="1:40" x14ac:dyDescent="0.35">
      <c r="A141" s="1">
        <v>37834</v>
      </c>
      <c r="B141" s="13">
        <f t="shared" si="4"/>
        <v>8</v>
      </c>
      <c r="C141" s="13">
        <f t="shared" si="5"/>
        <v>2003</v>
      </c>
      <c r="D141" s="2">
        <v>22489</v>
      </c>
      <c r="E141">
        <f>VLOOKUP(A141,PSR!$A$12:$B$721,2,FALSE)</f>
        <v>5.3</v>
      </c>
      <c r="F141">
        <f>VLOOKUP(A141,CCI_USA!$F$2:$H$317,3,FALSE)</f>
        <v>100.33969999999999</v>
      </c>
      <c r="G141">
        <f>INDEX('BLS Data Series'!$A$11:$M$39,MATCH('UI Datathon Development'!C141,'BLS Data Series'!$A$13:$A$39,0)+2,MATCH('UI Datathon Development'!B141,'BLS Data Series'!$B$11:$M$11,0)+1)</f>
        <v>6.1</v>
      </c>
      <c r="H141">
        <f>VLOOKUP(A141,'Houses for sale'!$B$10:$I$671,8,FALSE)</f>
        <v>346</v>
      </c>
      <c r="I141">
        <f>VLOOKUP(A141,'House starts'!$A$12:$B$325,2,FALSE)</f>
        <v>1833</v>
      </c>
      <c r="J141">
        <f>VLOOKUP(A141,'New house sales'!$A$13:$C$324,3,FALSE)</f>
        <v>190500</v>
      </c>
      <c r="K141">
        <f>VLOOKUP($A141,'Sreenath''s data'!$A$2:$F$313,3,FALSE)</f>
        <v>135.96299999999999</v>
      </c>
      <c r="L141">
        <f>VLOOKUP($A141,'Sreenath''s data'!$A$2:$F$313,4,FALSE)</f>
        <v>7265.8</v>
      </c>
      <c r="M141">
        <f>VLOOKUP($A141,'Sreenath''s data'!$A$2:$F$313,5,FALSE)</f>
        <v>105470</v>
      </c>
      <c r="N141">
        <f>VLOOKUP($A141,'Sreenath''s data'!$A$2:$F$313,6,FALSE)</f>
        <v>86.197903586620995</v>
      </c>
      <c r="O141">
        <f>VLOOKUP($A141,'Niteesh''s data'!$A$2:$I$313,3,FALSE)</f>
        <v>990.30999799999995</v>
      </c>
      <c r="P141">
        <f>VLOOKUP($A141,'Niteesh''s data'!$A$2:$I$313,4,FALSE)</f>
        <v>1011.01001</v>
      </c>
      <c r="Q141">
        <f>VLOOKUP($A141,'Niteesh''s data'!$A$2:$I$313,5,FALSE)</f>
        <v>960.84002699999996</v>
      </c>
      <c r="R141">
        <f>VLOOKUP($A141,'Niteesh''s data'!$A$2:$I$313,6,FALSE)</f>
        <v>1008.01001</v>
      </c>
      <c r="S141">
        <f>VLOOKUP($A141,'Niteesh''s data'!$A$2:$I$313,7,FALSE)</f>
        <v>1008.01001</v>
      </c>
      <c r="T141">
        <f>VLOOKUP($A141,'Niteesh''s data'!$A$2:$I$313,8,FALSE)</f>
        <v>24881470000</v>
      </c>
      <c r="U141" s="61">
        <f>VLOOKUP($A141,'Niteesh''s data'!$A$2:$I$313,9,FALSE)</f>
        <v>8.8000000000000005E-3</v>
      </c>
      <c r="V141">
        <f>VLOOKUP(A141,'Existing home Sales'!$A$2:$C$324,3,FALSE)</f>
        <v>6.27</v>
      </c>
      <c r="W141" s="8">
        <v>2</v>
      </c>
      <c r="X141">
        <f>IFERROR(VLOOKUP(A141,'Home Depot Gross Profit'!$A$1:$B$105,2,FALSE)/3,IF(W141=2,X140,X140))</f>
        <v>1868.3333333333333</v>
      </c>
      <c r="Y141">
        <f>IFERROR(VLOOKUP(A141,'LOWE''S GROSS PROFIT'!$A$1:$B$105,2,FALSE)/3,IF(X141=2,Y140/3,Y140))</f>
        <v>875.33333333333337</v>
      </c>
      <c r="Z141" s="8">
        <v>6.28</v>
      </c>
      <c r="AA141">
        <v>6760</v>
      </c>
      <c r="AB141">
        <f>VLOOKUP(A141,'[1]Fed_Int (1)'!$A$2:$B$316,2,FALSE)</f>
        <v>1.03</v>
      </c>
      <c r="AC141" s="8">
        <v>31.25</v>
      </c>
      <c r="AD141" s="8">
        <v>34.229999999999997</v>
      </c>
      <c r="AE141" s="8">
        <v>30.1</v>
      </c>
      <c r="AF141" s="8">
        <v>32.159999999999997</v>
      </c>
      <c r="AG141" s="8">
        <v>23.021827999999999</v>
      </c>
      <c r="AH141" s="8">
        <v>200772100</v>
      </c>
      <c r="AI141" s="8">
        <v>23.780000999999999</v>
      </c>
      <c r="AJ141" s="8">
        <v>27.475000000000001</v>
      </c>
      <c r="AK141" s="8">
        <v>22.77</v>
      </c>
      <c r="AL141" s="8">
        <v>27.43</v>
      </c>
      <c r="AM141" s="8">
        <v>22.213782999999999</v>
      </c>
      <c r="AN141" s="8">
        <v>169125000</v>
      </c>
    </row>
    <row r="142" spans="1:40" x14ac:dyDescent="0.35">
      <c r="A142" s="1">
        <v>37865</v>
      </c>
      <c r="B142" s="13">
        <f t="shared" si="4"/>
        <v>9</v>
      </c>
      <c r="C142" s="13">
        <f t="shared" si="5"/>
        <v>2003</v>
      </c>
      <c r="D142" s="2">
        <v>22630</v>
      </c>
      <c r="E142">
        <f>VLOOKUP(A142,PSR!$A$12:$B$721,2,FALSE)</f>
        <v>4.5</v>
      </c>
      <c r="F142">
        <f>VLOOKUP(A142,CCI_USA!$F$2:$H$317,3,FALSE)</f>
        <v>100.3045</v>
      </c>
      <c r="G142">
        <f>INDEX('BLS Data Series'!$A$11:$M$39,MATCH('UI Datathon Development'!C142,'BLS Data Series'!$A$13:$A$39,0)+2,MATCH('UI Datathon Development'!B142,'BLS Data Series'!$B$11:$M$11,0)+1)</f>
        <v>6.1</v>
      </c>
      <c r="H142">
        <f>VLOOKUP(A142,'Houses for sale'!$B$10:$I$671,8,FALSE)</f>
        <v>350</v>
      </c>
      <c r="I142">
        <f>VLOOKUP(A142,'House starts'!$A$12:$B$325,2,FALSE)</f>
        <v>1939</v>
      </c>
      <c r="J142">
        <f>VLOOKUP(A142,'New house sales'!$A$13:$C$324,3,FALSE)</f>
        <v>192000</v>
      </c>
      <c r="K142">
        <f>VLOOKUP($A142,'Sreenath''s data'!$A$2:$F$313,3,FALSE)</f>
        <v>137.07599999999999</v>
      </c>
      <c r="L142">
        <f>VLOOKUP($A142,'Sreenath''s data'!$A$2:$F$313,4,FALSE)</f>
        <v>7289.4</v>
      </c>
      <c r="M142">
        <f>VLOOKUP($A142,'Sreenath''s data'!$A$2:$F$313,5,FALSE)</f>
        <v>105713</v>
      </c>
      <c r="N142">
        <f>VLOOKUP($A142,'Sreenath''s data'!$A$2:$F$313,6,FALSE)</f>
        <v>86.004721373293705</v>
      </c>
      <c r="O142">
        <f>VLOOKUP($A142,'Niteesh''s data'!$A$2:$I$313,3,FALSE)</f>
        <v>1008.01001</v>
      </c>
      <c r="P142">
        <f>VLOOKUP($A142,'Niteesh''s data'!$A$2:$I$313,4,FALSE)</f>
        <v>1040.290039</v>
      </c>
      <c r="Q142">
        <f>VLOOKUP($A142,'Niteesh''s data'!$A$2:$I$313,5,FALSE)</f>
        <v>990.35998500000005</v>
      </c>
      <c r="R142">
        <f>VLOOKUP($A142,'Niteesh''s data'!$A$2:$I$313,6,FALSE)</f>
        <v>995.96997099999999</v>
      </c>
      <c r="S142">
        <f>VLOOKUP($A142,'Niteesh''s data'!$A$2:$I$313,7,FALSE)</f>
        <v>995.96997099999999</v>
      </c>
      <c r="T142">
        <f>VLOOKUP($A142,'Niteesh''s data'!$A$2:$I$313,8,FALSE)</f>
        <v>29940110000</v>
      </c>
      <c r="U142" s="61">
        <f>VLOOKUP($A142,'Niteesh''s data'!$A$2:$I$313,9,FALSE)</f>
        <v>8.8999999999999999E-3</v>
      </c>
      <c r="V142">
        <f>VLOOKUP(A142,'Existing home Sales'!$A$2:$C$324,3,FALSE)</f>
        <v>6.52</v>
      </c>
      <c r="W142" s="8">
        <v>3</v>
      </c>
      <c r="X142">
        <f>IFERROR(VLOOKUP(A142,'Home Depot Gross Profit'!$A$1:$B$105,2,FALSE)/3,IF(W142=2,X141,X141))</f>
        <v>1868.3333333333333</v>
      </c>
      <c r="Y142">
        <f>IFERROR(VLOOKUP(A142,'LOWE''S GROSS PROFIT'!$A$1:$B$105,2,FALSE)/3,IF(X142=2,Y141/3,Y141))</f>
        <v>875.33333333333337</v>
      </c>
      <c r="Z142" s="8">
        <v>6.085</v>
      </c>
      <c r="AA142">
        <v>6783</v>
      </c>
      <c r="AB142">
        <f>VLOOKUP(A142,'[1]Fed_Int (1)'!$A$2:$B$316,2,FALSE)</f>
        <v>1.01</v>
      </c>
      <c r="AC142" s="8">
        <v>31.93</v>
      </c>
      <c r="AD142" s="8">
        <v>34.25</v>
      </c>
      <c r="AE142" s="8">
        <v>31.110001</v>
      </c>
      <c r="AF142" s="8">
        <v>31.85</v>
      </c>
      <c r="AG142" s="8">
        <v>22.799910000000001</v>
      </c>
      <c r="AH142" s="8">
        <v>215459500</v>
      </c>
      <c r="AI142" s="8">
        <v>27.379999000000002</v>
      </c>
      <c r="AJ142" s="8">
        <v>27.950001</v>
      </c>
      <c r="AK142" s="8">
        <v>25.15</v>
      </c>
      <c r="AL142" s="8">
        <v>25.950001</v>
      </c>
      <c r="AM142" s="8">
        <v>21.015234</v>
      </c>
      <c r="AN142" s="8">
        <v>175577600</v>
      </c>
    </row>
    <row r="143" spans="1:40" x14ac:dyDescent="0.35">
      <c r="A143" s="1">
        <v>37895</v>
      </c>
      <c r="B143" s="13">
        <f t="shared" si="4"/>
        <v>10</v>
      </c>
      <c r="C143" s="13">
        <f t="shared" si="5"/>
        <v>2003</v>
      </c>
      <c r="D143" s="2">
        <v>22869</v>
      </c>
      <c r="E143">
        <f>VLOOKUP(A143,PSR!$A$12:$B$721,2,FALSE)</f>
        <v>4.5999999999999996</v>
      </c>
      <c r="F143">
        <f>VLOOKUP(A143,CCI_USA!$F$2:$H$317,3,FALSE)</f>
        <v>100.4517</v>
      </c>
      <c r="G143">
        <f>INDEX('BLS Data Series'!$A$11:$M$39,MATCH('UI Datathon Development'!C143,'BLS Data Series'!$A$13:$A$39,0)+2,MATCH('UI Datathon Development'!B143,'BLS Data Series'!$B$11:$M$11,0)+1)</f>
        <v>6</v>
      </c>
      <c r="H143">
        <f>VLOOKUP(A143,'Houses for sale'!$B$10:$I$671,8,FALSE)</f>
        <v>361</v>
      </c>
      <c r="I143">
        <f>VLOOKUP(A143,'House starts'!$A$12:$B$325,2,FALSE)</f>
        <v>1967</v>
      </c>
      <c r="J143">
        <f>VLOOKUP(A143,'New house sales'!$A$13:$C$324,3,FALSE)</f>
        <v>194100</v>
      </c>
      <c r="K143">
        <f>VLOOKUP($A143,'Sreenath''s data'!$A$2:$F$313,3,FALSE)</f>
        <v>137.977</v>
      </c>
      <c r="L143">
        <f>VLOOKUP($A143,'Sreenath''s data'!$A$2:$F$313,4,FALSE)</f>
        <v>7297.7</v>
      </c>
      <c r="M143">
        <f>VLOOKUP($A143,'Sreenath''s data'!$A$2:$F$313,5,FALSE)</f>
        <v>105750</v>
      </c>
      <c r="N143">
        <f>VLOOKUP($A143,'Sreenath''s data'!$A$2:$F$313,6,FALSE)</f>
        <v>86.352449357282794</v>
      </c>
      <c r="O143">
        <f>VLOOKUP($A143,'Niteesh''s data'!$A$2:$I$313,3,FALSE)</f>
        <v>995.96997099999999</v>
      </c>
      <c r="P143">
        <f>VLOOKUP($A143,'Niteesh''s data'!$A$2:$I$313,4,FALSE)</f>
        <v>1053.790039</v>
      </c>
      <c r="Q143">
        <f>VLOOKUP($A143,'Niteesh''s data'!$A$2:$I$313,5,FALSE)</f>
        <v>995.96997099999999</v>
      </c>
      <c r="R143">
        <f>VLOOKUP($A143,'Niteesh''s data'!$A$2:$I$313,6,FALSE)</f>
        <v>1050.709961</v>
      </c>
      <c r="S143">
        <f>VLOOKUP($A143,'Niteesh''s data'!$A$2:$I$313,7,FALSE)</f>
        <v>1050.709961</v>
      </c>
      <c r="T143">
        <f>VLOOKUP($A143,'Niteesh''s data'!$A$2:$I$313,8,FALSE)</f>
        <v>32298500000</v>
      </c>
      <c r="U143" s="61">
        <f>VLOOKUP($A143,'Niteesh''s data'!$A$2:$I$313,9,FALSE)</f>
        <v>8.8000000000000005E-3</v>
      </c>
      <c r="V143">
        <f>VLOOKUP(A143,'Existing home Sales'!$A$2:$C$324,3,FALSE)</f>
        <v>6.58</v>
      </c>
      <c r="W143" s="8">
        <v>1</v>
      </c>
      <c r="X143">
        <f>IFERROR(VLOOKUP(A143,'Home Depot Gross Profit'!$A$1:$B$105,2,FALSE)/3,IF(W143=2,X142,X142))</f>
        <v>1731</v>
      </c>
      <c r="Y143">
        <f>IFERROR(VLOOKUP(A143,'LOWE''S GROSS PROFIT'!$A$1:$B$105,2,FALSE)/3,IF(X143=2,Y142/3,Y142))</f>
        <v>813.66666666666663</v>
      </c>
      <c r="Z143" s="8">
        <v>5.95</v>
      </c>
      <c r="AA143">
        <v>6784</v>
      </c>
      <c r="AB143">
        <f>VLOOKUP(A143,'[1]Fed_Int (1)'!$A$2:$B$316,2,FALSE)</f>
        <v>1.01</v>
      </c>
      <c r="AC143" s="8">
        <v>32.119999</v>
      </c>
      <c r="AD143" s="8">
        <v>37.840000000000003</v>
      </c>
      <c r="AE143" s="8">
        <v>32.060001</v>
      </c>
      <c r="AF143" s="8">
        <v>37.07</v>
      </c>
      <c r="AG143" s="8">
        <v>26.594555</v>
      </c>
      <c r="AH143" s="8">
        <v>173351900</v>
      </c>
      <c r="AI143" s="8">
        <v>26.024999999999999</v>
      </c>
      <c r="AJ143" s="8">
        <v>29.975000000000001</v>
      </c>
      <c r="AK143" s="8">
        <v>26</v>
      </c>
      <c r="AL143" s="8">
        <v>29.465</v>
      </c>
      <c r="AM143" s="8">
        <v>23.861795000000001</v>
      </c>
      <c r="AN143" s="8">
        <v>161410800</v>
      </c>
    </row>
    <row r="144" spans="1:40" x14ac:dyDescent="0.35">
      <c r="A144" s="1">
        <v>37926</v>
      </c>
      <c r="B144" s="13">
        <f t="shared" si="4"/>
        <v>11</v>
      </c>
      <c r="C144" s="13">
        <f t="shared" si="5"/>
        <v>2003</v>
      </c>
      <c r="D144" s="2">
        <v>22864</v>
      </c>
      <c r="E144">
        <f>VLOOKUP(A144,PSR!$A$12:$B$721,2,FALSE)</f>
        <v>4.7</v>
      </c>
      <c r="F144">
        <f>VLOOKUP(A144,CCI_USA!$F$2:$H$317,3,FALSE)</f>
        <v>100.74169999999999</v>
      </c>
      <c r="G144">
        <f>INDEX('BLS Data Series'!$A$11:$M$39,MATCH('UI Datathon Development'!C144,'BLS Data Series'!$A$13:$A$39,0)+2,MATCH('UI Datathon Development'!B144,'BLS Data Series'!$B$11:$M$11,0)+1)</f>
        <v>5.8</v>
      </c>
      <c r="H144">
        <f>VLOOKUP(A144,'Houses for sale'!$B$10:$I$671,8,FALSE)</f>
        <v>366</v>
      </c>
      <c r="I144">
        <f>VLOOKUP(A144,'House starts'!$A$12:$B$325,2,FALSE)</f>
        <v>2083</v>
      </c>
      <c r="J144">
        <f>VLOOKUP(A144,'New house sales'!$A$13:$C$324,3,FALSE)</f>
        <v>207100</v>
      </c>
      <c r="K144">
        <f>VLOOKUP($A144,'Sreenath''s data'!$A$2:$F$313,3,FALSE)</f>
        <v>138.768</v>
      </c>
      <c r="L144">
        <f>VLOOKUP($A144,'Sreenath''s data'!$A$2:$F$313,4,FALSE)</f>
        <v>7317.5</v>
      </c>
      <c r="M144">
        <f>VLOOKUP($A144,'Sreenath''s data'!$A$2:$F$313,5,FALSE)</f>
        <v>105810</v>
      </c>
      <c r="N144">
        <f>VLOOKUP($A144,'Sreenath''s data'!$A$2:$F$313,6,FALSE)</f>
        <v>86.159267143955503</v>
      </c>
      <c r="O144">
        <f>VLOOKUP($A144,'Niteesh''s data'!$A$2:$I$313,3,FALSE)</f>
        <v>1050.709961</v>
      </c>
      <c r="P144">
        <f>VLOOKUP($A144,'Niteesh''s data'!$A$2:$I$313,4,FALSE)</f>
        <v>1063.650024</v>
      </c>
      <c r="Q144">
        <f>VLOOKUP($A144,'Niteesh''s data'!$A$2:$I$313,5,FALSE)</f>
        <v>1031.1999510000001</v>
      </c>
      <c r="R144">
        <f>VLOOKUP($A144,'Niteesh''s data'!$A$2:$I$313,6,FALSE)</f>
        <v>1058.1999510000001</v>
      </c>
      <c r="S144">
        <f>VLOOKUP($A144,'Niteesh''s data'!$A$2:$I$313,7,FALSE)</f>
        <v>1058.1999510000001</v>
      </c>
      <c r="T144">
        <f>VLOOKUP($A144,'Niteesh''s data'!$A$2:$I$313,8,FALSE)</f>
        <v>24463220000</v>
      </c>
      <c r="U144" s="61">
        <f>VLOOKUP($A144,'Niteesh''s data'!$A$2:$I$313,9,FALSE)</f>
        <v>8.8999999999999999E-3</v>
      </c>
      <c r="V144">
        <f>VLOOKUP(A144,'Existing home Sales'!$A$2:$C$324,3,FALSE)</f>
        <v>6.39</v>
      </c>
      <c r="W144" s="8">
        <v>2</v>
      </c>
      <c r="X144">
        <f>IFERROR(VLOOKUP(A144,'Home Depot Gross Profit'!$A$1:$B$105,2,FALSE)/3,IF(W144=2,X143,X143))</f>
        <v>1731</v>
      </c>
      <c r="Y144">
        <f>IFERROR(VLOOKUP(A144,'LOWE''S GROSS PROFIT'!$A$1:$B$105,2,FALSE)/3,IF(X144=2,Y143/3,Y143))</f>
        <v>813.66666666666663</v>
      </c>
      <c r="Z144" s="8">
        <v>5.9349999999999996</v>
      </c>
      <c r="AA144">
        <v>6796</v>
      </c>
      <c r="AB144">
        <f>VLOOKUP(A144,'[1]Fed_Int (1)'!$A$2:$B$316,2,FALSE)</f>
        <v>1</v>
      </c>
      <c r="AC144" s="8">
        <v>37.43</v>
      </c>
      <c r="AD144" s="8">
        <v>37.889999000000003</v>
      </c>
      <c r="AE144" s="8">
        <v>34.830002</v>
      </c>
      <c r="AF144" s="8">
        <v>36.759998000000003</v>
      </c>
      <c r="AG144" s="8">
        <v>26.372156</v>
      </c>
      <c r="AH144" s="8">
        <v>129531900</v>
      </c>
      <c r="AI144" s="8">
        <v>29.6</v>
      </c>
      <c r="AJ144" s="8">
        <v>30.209999</v>
      </c>
      <c r="AK144" s="8">
        <v>28.4</v>
      </c>
      <c r="AL144" s="8">
        <v>29.15</v>
      </c>
      <c r="AM144" s="8">
        <v>23.630941</v>
      </c>
      <c r="AN144" s="8">
        <v>117103200</v>
      </c>
    </row>
    <row r="145" spans="1:40" x14ac:dyDescent="0.35">
      <c r="A145" s="1">
        <v>37956</v>
      </c>
      <c r="B145" s="13">
        <f t="shared" si="4"/>
        <v>12</v>
      </c>
      <c r="C145" s="13">
        <f t="shared" si="5"/>
        <v>2003</v>
      </c>
      <c r="D145" s="2">
        <v>22748</v>
      </c>
      <c r="E145">
        <f>VLOOKUP(A145,PSR!$A$12:$B$721,2,FALSE)</f>
        <v>4.8</v>
      </c>
      <c r="F145">
        <f>VLOOKUP(A145,CCI_USA!$F$2:$H$317,3,FALSE)</f>
        <v>101.0427</v>
      </c>
      <c r="G145">
        <f>INDEX('BLS Data Series'!$A$11:$M$39,MATCH('UI Datathon Development'!C145,'BLS Data Series'!$A$13:$A$39,0)+2,MATCH('UI Datathon Development'!B145,'BLS Data Series'!$B$11:$M$11,0)+1)</f>
        <v>5.7</v>
      </c>
      <c r="H145">
        <f>VLOOKUP(A145,'Houses for sale'!$B$10:$I$671,8,FALSE)</f>
        <v>370</v>
      </c>
      <c r="I145">
        <f>VLOOKUP(A145,'House starts'!$A$12:$B$325,2,FALSE)</f>
        <v>2057</v>
      </c>
      <c r="J145">
        <f>VLOOKUP(A145,'New house sales'!$A$13:$C$324,3,FALSE)</f>
        <v>196000</v>
      </c>
      <c r="K145">
        <f>VLOOKUP($A145,'Sreenath''s data'!$A$2:$F$313,3,FALSE)</f>
        <v>139.63200000000001</v>
      </c>
      <c r="L145">
        <f>VLOOKUP($A145,'Sreenath''s data'!$A$2:$F$313,4,FALSE)</f>
        <v>7326.1</v>
      </c>
      <c r="M145">
        <f>VLOOKUP($A145,'Sreenath''s data'!$A$2:$F$313,5,FALSE)</f>
        <v>106014</v>
      </c>
      <c r="N145">
        <f>VLOOKUP($A145,'Sreenath''s data'!$A$2:$F$313,6,FALSE)</f>
        <v>86.120630701290096</v>
      </c>
      <c r="O145">
        <f>VLOOKUP($A145,'Niteesh''s data'!$A$2:$I$313,3,FALSE)</f>
        <v>1058.1999510000001</v>
      </c>
      <c r="P145">
        <f>VLOOKUP($A145,'Niteesh''s data'!$A$2:$I$313,4,FALSE)</f>
        <v>1112.5600589999999</v>
      </c>
      <c r="Q145">
        <f>VLOOKUP($A145,'Niteesh''s data'!$A$2:$I$313,5,FALSE)</f>
        <v>1053.410034</v>
      </c>
      <c r="R145">
        <f>VLOOKUP($A145,'Niteesh''s data'!$A$2:$I$313,6,FALSE)</f>
        <v>1111.920044</v>
      </c>
      <c r="S145">
        <f>VLOOKUP($A145,'Niteesh''s data'!$A$2:$I$313,7,FALSE)</f>
        <v>1111.920044</v>
      </c>
      <c r="T145">
        <f>VLOOKUP($A145,'Niteesh''s data'!$A$2:$I$313,8,FALSE)</f>
        <v>27839130000</v>
      </c>
      <c r="U145" s="61">
        <f>VLOOKUP($A145,'Niteesh''s data'!$A$2:$I$313,9,FALSE)</f>
        <v>9.1000000000000004E-3</v>
      </c>
      <c r="V145">
        <f>VLOOKUP(A145,'Existing home Sales'!$A$2:$C$324,3,FALSE)</f>
        <v>6.23</v>
      </c>
      <c r="W145" s="8">
        <v>3</v>
      </c>
      <c r="X145">
        <f>IFERROR(VLOOKUP(A145,'Home Depot Gross Profit'!$A$1:$B$105,2,FALSE)/3,IF(W145=2,X144,X144))</f>
        <v>1731</v>
      </c>
      <c r="Y145">
        <f>IFERROR(VLOOKUP(A145,'LOWE''S GROSS PROFIT'!$A$1:$B$105,2,FALSE)/3,IF(X145=2,Y144/3,Y144))</f>
        <v>813.66666666666663</v>
      </c>
      <c r="Z145" s="8">
        <v>5.85</v>
      </c>
      <c r="AA145">
        <v>6827</v>
      </c>
      <c r="AB145">
        <f>VLOOKUP(A145,'[1]Fed_Int (1)'!$A$2:$B$316,2,FALSE)</f>
        <v>0.98</v>
      </c>
      <c r="AC145" s="8">
        <v>36.880001</v>
      </c>
      <c r="AD145" s="8">
        <v>36.979999999999997</v>
      </c>
      <c r="AE145" s="8">
        <v>31.93</v>
      </c>
      <c r="AF145" s="8">
        <v>35.490001999999997</v>
      </c>
      <c r="AG145" s="8">
        <v>25.461044000000001</v>
      </c>
      <c r="AH145" s="8">
        <v>193037700</v>
      </c>
      <c r="AI145" s="8">
        <v>29.18</v>
      </c>
      <c r="AJ145" s="8">
        <v>29.309999000000001</v>
      </c>
      <c r="AK145" s="8">
        <v>26.219999000000001</v>
      </c>
      <c r="AL145" s="8">
        <v>27.695</v>
      </c>
      <c r="AM145" s="8">
        <v>22.451415999999998</v>
      </c>
      <c r="AN145" s="8">
        <v>150900000</v>
      </c>
    </row>
    <row r="146" spans="1:40" x14ac:dyDescent="0.35">
      <c r="A146" s="1">
        <v>37987</v>
      </c>
      <c r="B146" s="13">
        <f t="shared" si="4"/>
        <v>1</v>
      </c>
      <c r="C146" s="13">
        <f t="shared" si="5"/>
        <v>2004</v>
      </c>
      <c r="D146" s="2">
        <v>22637</v>
      </c>
      <c r="E146">
        <f>VLOOKUP(A146,PSR!$A$12:$B$721,2,FALSE)</f>
        <v>4.5</v>
      </c>
      <c r="F146">
        <f>VLOOKUP(A146,CCI_USA!$F$2:$H$317,3,FALSE)</f>
        <v>101.32</v>
      </c>
      <c r="G146">
        <f>INDEX('BLS Data Series'!$A$11:$M$39,MATCH('UI Datathon Development'!C146,'BLS Data Series'!$A$13:$A$39,0)+2,MATCH('UI Datathon Development'!B146,'BLS Data Series'!$B$11:$M$11,0)+1)</f>
        <v>5.7</v>
      </c>
      <c r="H146">
        <f>VLOOKUP(A146,'Houses for sale'!$B$10:$I$671,8,FALSE)</f>
        <v>374</v>
      </c>
      <c r="I146">
        <f>VLOOKUP(A146,'House starts'!$A$12:$B$325,2,FALSE)</f>
        <v>1911</v>
      </c>
      <c r="J146">
        <f>VLOOKUP(A146,'New house sales'!$A$13:$C$324,3,FALSE)</f>
        <v>209500</v>
      </c>
      <c r="K146">
        <f>VLOOKUP($A146,'Sreenath''s data'!$A$2:$F$313,3,FALSE)</f>
        <v>140.71100000000001</v>
      </c>
      <c r="L146">
        <f>VLOOKUP($A146,'Sreenath''s data'!$A$2:$F$313,4,FALSE)</f>
        <v>6616.3</v>
      </c>
      <c r="M146">
        <f>VLOOKUP($A146,'Sreenath''s data'!$A$2:$F$313,5,FALSE)</f>
        <v>105803</v>
      </c>
      <c r="N146">
        <f>VLOOKUP($A146,'Sreenath''s data'!$A$2:$F$313,6,FALSE)</f>
        <v>86.584268013275505</v>
      </c>
      <c r="O146">
        <f>VLOOKUP($A146,'Niteesh''s data'!$A$2:$I$313,3,FALSE)</f>
        <v>1111.920044</v>
      </c>
      <c r="P146">
        <f>VLOOKUP($A146,'Niteesh''s data'!$A$2:$I$313,4,FALSE)</f>
        <v>1155.380005</v>
      </c>
      <c r="Q146">
        <f>VLOOKUP($A146,'Niteesh''s data'!$A$2:$I$313,5,FALSE)</f>
        <v>1105.079956</v>
      </c>
      <c r="R146">
        <f>VLOOKUP($A146,'Niteesh''s data'!$A$2:$I$313,6,FALSE)</f>
        <v>1131.130005</v>
      </c>
      <c r="S146">
        <f>VLOOKUP($A146,'Niteesh''s data'!$A$2:$I$313,7,FALSE)</f>
        <v>1131.130005</v>
      </c>
      <c r="T146">
        <f>VLOOKUP($A146,'Niteesh''s data'!$A$2:$I$313,8,FALSE)</f>
        <v>32820000000</v>
      </c>
      <c r="U146" s="61">
        <f>VLOOKUP($A146,'Niteesh''s data'!$A$2:$I$313,9,FALSE)</f>
        <v>9.4000000000000004E-3</v>
      </c>
      <c r="V146">
        <f>VLOOKUP(A146,'Existing home Sales'!$A$2:$C$324,3,FALSE)</f>
        <v>6.49</v>
      </c>
      <c r="W146" s="8">
        <v>1</v>
      </c>
      <c r="X146">
        <f>IFERROR(VLOOKUP(A146,'Home Depot Gross Profit'!$A$1:$B$105,2,FALSE)/3,IF(W146=2,X145,X145))</f>
        <v>1651</v>
      </c>
      <c r="Y146">
        <f>IFERROR(VLOOKUP(A146,'LOWE''S GROSS PROFIT'!$A$1:$B$105,2,FALSE)/3,IF(X146=2,Y145/3,Y145))</f>
        <v>773.33333333333337</v>
      </c>
      <c r="Z146" s="8">
        <v>5.67</v>
      </c>
      <c r="AA146">
        <v>6848</v>
      </c>
      <c r="AB146">
        <f>VLOOKUP(A146,'[1]Fed_Int (1)'!$A$2:$B$316,2,FALSE)</f>
        <v>1</v>
      </c>
      <c r="AC146" s="8">
        <v>35.75</v>
      </c>
      <c r="AD146" s="8">
        <v>36.400002000000001</v>
      </c>
      <c r="AE146" s="8">
        <v>34.700001</v>
      </c>
      <c r="AF146" s="8">
        <v>35.470001000000003</v>
      </c>
      <c r="AG146" s="8">
        <v>25.495232000000001</v>
      </c>
      <c r="AH146" s="8">
        <v>183718600</v>
      </c>
      <c r="AI146" s="8">
        <v>27.924999</v>
      </c>
      <c r="AJ146" s="8">
        <v>28.125</v>
      </c>
      <c r="AK146" s="8">
        <v>25.375</v>
      </c>
      <c r="AL146" s="8">
        <v>26.774999999999999</v>
      </c>
      <c r="AM146" s="8">
        <v>21.705594999999999</v>
      </c>
      <c r="AN146" s="8">
        <v>182950400</v>
      </c>
    </row>
    <row r="147" spans="1:40" x14ac:dyDescent="0.35">
      <c r="A147" s="1">
        <v>38018</v>
      </c>
      <c r="B147" s="13">
        <f t="shared" si="4"/>
        <v>2</v>
      </c>
      <c r="C147" s="13">
        <f t="shared" si="5"/>
        <v>2004</v>
      </c>
      <c r="D147" s="2">
        <v>22727</v>
      </c>
      <c r="E147">
        <f>VLOOKUP(A147,PSR!$A$12:$B$721,2,FALSE)</f>
        <v>4.5</v>
      </c>
      <c r="F147">
        <f>VLOOKUP(A147,CCI_USA!$F$2:$H$317,3,FALSE)</f>
        <v>101.2072</v>
      </c>
      <c r="G147">
        <f>INDEX('BLS Data Series'!$A$11:$M$39,MATCH('UI Datathon Development'!C147,'BLS Data Series'!$A$13:$A$39,0)+2,MATCH('UI Datathon Development'!B147,'BLS Data Series'!$B$11:$M$11,0)+1)</f>
        <v>5.6</v>
      </c>
      <c r="H147">
        <f>VLOOKUP(A147,'Houses for sale'!$B$10:$I$671,8,FALSE)</f>
        <v>372</v>
      </c>
      <c r="I147">
        <f>VLOOKUP(A147,'House starts'!$A$12:$B$325,2,FALSE)</f>
        <v>1846</v>
      </c>
      <c r="J147">
        <f>VLOOKUP(A147,'New house sales'!$A$13:$C$324,3,FALSE)</f>
        <v>219600</v>
      </c>
      <c r="K147">
        <f>VLOOKUP($A147,'Sreenath''s data'!$A$2:$F$313,3,FALSE)</f>
        <v>142.03399999999999</v>
      </c>
      <c r="L147">
        <f>VLOOKUP($A147,'Sreenath''s data'!$A$2:$F$313,4,FALSE)</f>
        <v>6649.9</v>
      </c>
      <c r="M147">
        <f>VLOOKUP($A147,'Sreenath''s data'!$A$2:$F$313,5,FALSE)</f>
        <v>106006</v>
      </c>
      <c r="N147">
        <f>VLOOKUP($A147,'Sreenath''s data'!$A$2:$F$313,6,FALSE)</f>
        <v>86.893359554599101</v>
      </c>
      <c r="O147">
        <f>VLOOKUP($A147,'Niteesh''s data'!$A$2:$I$313,3,FALSE)</f>
        <v>1131.130005</v>
      </c>
      <c r="P147">
        <f>VLOOKUP($A147,'Niteesh''s data'!$A$2:$I$313,4,FALSE)</f>
        <v>1158.9799800000001</v>
      </c>
      <c r="Q147">
        <f>VLOOKUP($A147,'Niteesh''s data'!$A$2:$I$313,5,FALSE)</f>
        <v>1124.4399410000001</v>
      </c>
      <c r="R147">
        <f>VLOOKUP($A147,'Niteesh''s data'!$A$2:$I$313,6,FALSE)</f>
        <v>1144.9399410000001</v>
      </c>
      <c r="S147">
        <f>VLOOKUP($A147,'Niteesh''s data'!$A$2:$I$313,7,FALSE)</f>
        <v>1144.9399410000001</v>
      </c>
      <c r="T147">
        <f>VLOOKUP($A147,'Niteesh''s data'!$A$2:$I$313,8,FALSE)</f>
        <v>27985600000</v>
      </c>
      <c r="U147" s="61">
        <f>VLOOKUP($A147,'Niteesh''s data'!$A$2:$I$313,9,FALSE)</f>
        <v>9.7000000000000003E-3</v>
      </c>
      <c r="V147">
        <f>VLOOKUP(A147,'Existing home Sales'!$A$2:$C$324,3,FALSE)</f>
        <v>6.23</v>
      </c>
      <c r="W147" s="8">
        <v>2</v>
      </c>
      <c r="X147">
        <f>IFERROR(VLOOKUP(A147,'Home Depot Gross Profit'!$A$1:$B$105,2,FALSE)/3,IF(W147=2,X146,X146))</f>
        <v>1651</v>
      </c>
      <c r="Y147">
        <f>IFERROR(VLOOKUP(A147,'LOWE''S GROSS PROFIT'!$A$1:$B$105,2,FALSE)/3,IF(X147=2,Y146/3,Y146))</f>
        <v>773.33333333333337</v>
      </c>
      <c r="Z147" s="8">
        <v>5.62</v>
      </c>
      <c r="AA147">
        <v>6838</v>
      </c>
      <c r="AB147">
        <f>VLOOKUP(A147,'[1]Fed_Int (1)'!$A$2:$B$316,2,FALSE)</f>
        <v>1.01</v>
      </c>
      <c r="AC147" s="8">
        <v>35.470001000000003</v>
      </c>
      <c r="AD147" s="8">
        <v>37.080002</v>
      </c>
      <c r="AE147" s="8">
        <v>35.009998000000003</v>
      </c>
      <c r="AF147" s="8">
        <v>36.310001</v>
      </c>
      <c r="AG147" s="8">
        <v>26.099008999999999</v>
      </c>
      <c r="AH147" s="8">
        <v>144953600</v>
      </c>
      <c r="AI147" s="8">
        <v>26.85</v>
      </c>
      <c r="AJ147" s="8">
        <v>29.33</v>
      </c>
      <c r="AK147" s="8">
        <v>26.4</v>
      </c>
      <c r="AL147" s="8">
        <v>28</v>
      </c>
      <c r="AM147" s="8">
        <v>22.724722</v>
      </c>
      <c r="AN147" s="8">
        <v>147729200</v>
      </c>
    </row>
    <row r="148" spans="1:40" x14ac:dyDescent="0.35">
      <c r="A148" s="1">
        <v>38047</v>
      </c>
      <c r="B148" s="13">
        <f t="shared" si="4"/>
        <v>3</v>
      </c>
      <c r="C148" s="13">
        <f t="shared" si="5"/>
        <v>2004</v>
      </c>
      <c r="D148" s="2">
        <v>24992</v>
      </c>
      <c r="E148">
        <f>VLOOKUP(A148,PSR!$A$12:$B$721,2,FALSE)</f>
        <v>4.5</v>
      </c>
      <c r="F148">
        <f>VLOOKUP(A148,CCI_USA!$F$2:$H$317,3,FALSE)</f>
        <v>101.0406</v>
      </c>
      <c r="G148">
        <f>INDEX('BLS Data Series'!$A$11:$M$39,MATCH('UI Datathon Development'!C148,'BLS Data Series'!$A$13:$A$39,0)+2,MATCH('UI Datathon Development'!B148,'BLS Data Series'!$B$11:$M$11,0)+1)</f>
        <v>5.8</v>
      </c>
      <c r="H148">
        <f>VLOOKUP(A148,'Houses for sale'!$B$10:$I$671,8,FALSE)</f>
        <v>381</v>
      </c>
      <c r="I148">
        <f>VLOOKUP(A148,'House starts'!$A$12:$B$325,2,FALSE)</f>
        <v>1998</v>
      </c>
      <c r="J148">
        <f>VLOOKUP(A148,'New house sales'!$A$13:$C$324,3,FALSE)</f>
        <v>209600</v>
      </c>
      <c r="K148">
        <f>VLOOKUP($A148,'Sreenath''s data'!$A$2:$F$313,3,FALSE)</f>
        <v>144.08500000000001</v>
      </c>
      <c r="L148">
        <f>VLOOKUP($A148,'Sreenath''s data'!$A$2:$F$313,4,FALSE)</f>
        <v>6659.6</v>
      </c>
      <c r="M148">
        <f>VLOOKUP($A148,'Sreenath''s data'!$A$2:$F$313,5,FALSE)</f>
        <v>105802</v>
      </c>
      <c r="N148">
        <f>VLOOKUP($A148,'Sreenath''s data'!$A$2:$F$313,6,FALSE)</f>
        <v>87.627451965242599</v>
      </c>
      <c r="O148">
        <f>VLOOKUP($A148,'Niteesh''s data'!$A$2:$I$313,3,FALSE)</f>
        <v>1144.9399410000001</v>
      </c>
      <c r="P148">
        <f>VLOOKUP($A148,'Niteesh''s data'!$A$2:$I$313,4,FALSE)</f>
        <v>1163.2299800000001</v>
      </c>
      <c r="Q148">
        <f>VLOOKUP($A148,'Niteesh''s data'!$A$2:$I$313,5,FALSE)</f>
        <v>1087.160034</v>
      </c>
      <c r="R148">
        <f>VLOOKUP($A148,'Niteesh''s data'!$A$2:$I$313,6,FALSE)</f>
        <v>1126.209961</v>
      </c>
      <c r="S148">
        <f>VLOOKUP($A148,'Niteesh''s data'!$A$2:$I$313,7,FALSE)</f>
        <v>1126.209961</v>
      </c>
      <c r="T148">
        <f>VLOOKUP($A148,'Niteesh''s data'!$A$2:$I$313,8,FALSE)</f>
        <v>33597900000</v>
      </c>
      <c r="U148" s="61">
        <f>VLOOKUP($A148,'Niteesh''s data'!$A$2:$I$313,9,FALSE)</f>
        <v>9.4999999999999998E-3</v>
      </c>
      <c r="V148">
        <f>VLOOKUP(A148,'Existing home Sales'!$A$2:$C$324,3,FALSE)</f>
        <v>6.41</v>
      </c>
      <c r="W148" s="8">
        <v>3</v>
      </c>
      <c r="X148">
        <f>IFERROR(VLOOKUP(A148,'Home Depot Gross Profit'!$A$1:$B$105,2,FALSE)/3,IF(W148=2,X147,X147))</f>
        <v>1651</v>
      </c>
      <c r="Y148">
        <f>IFERROR(VLOOKUP(A148,'LOWE''S GROSS PROFIT'!$A$1:$B$105,2,FALSE)/3,IF(X148=2,Y147/3,Y147))</f>
        <v>773.33333333333337</v>
      </c>
      <c r="Z148" s="8">
        <v>5.4050000000000002</v>
      </c>
      <c r="AA148">
        <v>6887</v>
      </c>
      <c r="AB148">
        <f>VLOOKUP(A148,'[1]Fed_Int (1)'!$A$2:$B$316,2,FALSE)</f>
        <v>1</v>
      </c>
      <c r="AC148" s="8">
        <v>36.580002</v>
      </c>
      <c r="AD148" s="8">
        <v>37.650002000000001</v>
      </c>
      <c r="AE148" s="8">
        <v>35.119999</v>
      </c>
      <c r="AF148" s="8">
        <v>37.360000999999997</v>
      </c>
      <c r="AG148" s="8">
        <v>26.853726999999999</v>
      </c>
      <c r="AH148" s="8">
        <v>158885900</v>
      </c>
      <c r="AI148" s="8">
        <v>28.049999</v>
      </c>
      <c r="AJ148" s="8">
        <v>28.469999000000001</v>
      </c>
      <c r="AK148" s="8">
        <v>25.885000000000002</v>
      </c>
      <c r="AL148" s="8">
        <v>28.065000999999999</v>
      </c>
      <c r="AM148" s="8">
        <v>22.777463999999998</v>
      </c>
      <c r="AN148" s="8">
        <v>168004200</v>
      </c>
    </row>
    <row r="149" spans="1:40" x14ac:dyDescent="0.35">
      <c r="A149" s="1">
        <v>38078</v>
      </c>
      <c r="B149" s="13">
        <f t="shared" si="4"/>
        <v>4</v>
      </c>
      <c r="C149" s="13">
        <f t="shared" si="5"/>
        <v>2004</v>
      </c>
      <c r="D149" s="2">
        <v>24565</v>
      </c>
      <c r="E149">
        <f>VLOOKUP(A149,PSR!$A$12:$B$721,2,FALSE)</f>
        <v>4.7</v>
      </c>
      <c r="F149">
        <f>VLOOKUP(A149,CCI_USA!$F$2:$H$317,3,FALSE)</f>
        <v>100.8707</v>
      </c>
      <c r="G149">
        <f>INDEX('BLS Data Series'!$A$11:$M$39,MATCH('UI Datathon Development'!C149,'BLS Data Series'!$A$13:$A$39,0)+2,MATCH('UI Datathon Development'!B149,'BLS Data Series'!$B$11:$M$11,0)+1)</f>
        <v>5.6</v>
      </c>
      <c r="H149">
        <f>VLOOKUP(A149,'Houses for sale'!$B$10:$I$671,8,FALSE)</f>
        <v>383</v>
      </c>
      <c r="I149">
        <f>VLOOKUP(A149,'House starts'!$A$12:$B$325,2,FALSE)</f>
        <v>2003</v>
      </c>
      <c r="J149">
        <f>VLOOKUP(A149,'New house sales'!$A$13:$C$324,3,FALSE)</f>
        <v>222300</v>
      </c>
      <c r="K149">
        <f>VLOOKUP($A149,'Sreenath''s data'!$A$2:$F$313,3,FALSE)</f>
        <v>146.18199999999999</v>
      </c>
      <c r="L149">
        <f>VLOOKUP($A149,'Sreenath''s data'!$A$2:$F$313,4,FALSE)</f>
        <v>6679.4</v>
      </c>
      <c r="M149">
        <f>VLOOKUP($A149,'Sreenath''s data'!$A$2:$F$313,5,FALSE)</f>
        <v>105939</v>
      </c>
      <c r="N149">
        <f>VLOOKUP($A149,'Sreenath''s data'!$A$2:$F$313,6,FALSE)</f>
        <v>87.859270621235396</v>
      </c>
      <c r="O149">
        <f>VLOOKUP($A149,'Niteesh''s data'!$A$2:$I$313,3,FALSE)</f>
        <v>1126.209961</v>
      </c>
      <c r="P149">
        <f>VLOOKUP($A149,'Niteesh''s data'!$A$2:$I$313,4,FALSE)</f>
        <v>1150.5699460000001</v>
      </c>
      <c r="Q149">
        <f>VLOOKUP($A149,'Niteesh''s data'!$A$2:$I$313,5,FALSE)</f>
        <v>1107.2299800000001</v>
      </c>
      <c r="R149">
        <f>VLOOKUP($A149,'Niteesh''s data'!$A$2:$I$313,6,FALSE)</f>
        <v>1107.3000489999999</v>
      </c>
      <c r="S149">
        <f>VLOOKUP($A149,'Niteesh''s data'!$A$2:$I$313,7,FALSE)</f>
        <v>1107.3000489999999</v>
      </c>
      <c r="T149">
        <f>VLOOKUP($A149,'Niteesh''s data'!$A$2:$I$313,8,FALSE)</f>
        <v>31611900000</v>
      </c>
      <c r="U149" s="61">
        <f>VLOOKUP($A149,'Niteesh''s data'!$A$2:$I$313,9,FALSE)</f>
        <v>9.2999999999999992E-3</v>
      </c>
      <c r="V149">
        <f>VLOOKUP(A149,'Existing home Sales'!$A$2:$C$324,3,FALSE)</f>
        <v>6.66</v>
      </c>
      <c r="W149" s="8">
        <v>1</v>
      </c>
      <c r="X149">
        <f>IFERROR(VLOOKUP(A149,'Home Depot Gross Profit'!$A$1:$B$105,2,FALSE)/3,IF(W149=2,X148,X148))</f>
        <v>1922.6666666666667</v>
      </c>
      <c r="Y149">
        <f>IFERROR(VLOOKUP(A149,'LOWE''S GROSS PROFIT'!$A$1:$B$105,2,FALSE)/3,IF(X149=2,Y148/3,Y148))</f>
        <v>956.66666666666663</v>
      </c>
      <c r="Z149" s="8">
        <v>5.89</v>
      </c>
      <c r="AA149">
        <v>6901</v>
      </c>
      <c r="AB149">
        <f>VLOOKUP(A149,'[1]Fed_Int (1)'!$A$2:$B$316,2,FALSE)</f>
        <v>1</v>
      </c>
      <c r="AC149" s="8">
        <v>37.299999</v>
      </c>
      <c r="AD149" s="8">
        <v>37.840000000000003</v>
      </c>
      <c r="AE149" s="8">
        <v>35.189999</v>
      </c>
      <c r="AF149" s="8">
        <v>35.189999</v>
      </c>
      <c r="AG149" s="8">
        <v>25.341621</v>
      </c>
      <c r="AH149" s="8">
        <v>133451400</v>
      </c>
      <c r="AI149" s="8">
        <v>27.940000999999999</v>
      </c>
      <c r="AJ149" s="8">
        <v>28.15</v>
      </c>
      <c r="AK149" s="8">
        <v>25.85</v>
      </c>
      <c r="AL149" s="8">
        <v>26.030000999999999</v>
      </c>
      <c r="AM149" s="8">
        <v>21.125872000000001</v>
      </c>
      <c r="AN149" s="8">
        <v>150093000</v>
      </c>
    </row>
    <row r="150" spans="1:40" x14ac:dyDescent="0.35">
      <c r="A150" s="1">
        <v>38108</v>
      </c>
      <c r="B150" s="13">
        <f t="shared" si="4"/>
        <v>5</v>
      </c>
      <c r="C150" s="13">
        <f t="shared" si="5"/>
        <v>2004</v>
      </c>
      <c r="D150" s="2">
        <v>24420</v>
      </c>
      <c r="E150">
        <f>VLOOKUP(A150,PSR!$A$12:$B$721,2,FALSE)</f>
        <v>4.7</v>
      </c>
      <c r="F150">
        <f>VLOOKUP(A150,CCI_USA!$F$2:$H$317,3,FALSE)</f>
        <v>100.7929</v>
      </c>
      <c r="G150">
        <f>INDEX('BLS Data Series'!$A$11:$M$39,MATCH('UI Datathon Development'!C150,'BLS Data Series'!$A$13:$A$39,0)+2,MATCH('UI Datathon Development'!B150,'BLS Data Series'!$B$11:$M$11,0)+1)</f>
        <v>5.6</v>
      </c>
      <c r="H150">
        <f>VLOOKUP(A150,'Houses for sale'!$B$10:$I$671,8,FALSE)</f>
        <v>383</v>
      </c>
      <c r="I150">
        <f>VLOOKUP(A150,'House starts'!$A$12:$B$325,2,FALSE)</f>
        <v>1981</v>
      </c>
      <c r="J150">
        <f>VLOOKUP(A150,'New house sales'!$A$13:$C$324,3,FALSE)</f>
        <v>211700</v>
      </c>
      <c r="K150">
        <f>VLOOKUP($A150,'Sreenath''s data'!$A$2:$F$313,3,FALSE)</f>
        <v>148.33500000000001</v>
      </c>
      <c r="L150">
        <f>VLOOKUP($A150,'Sreenath''s data'!$A$2:$F$313,4,FALSE)</f>
        <v>6712.9</v>
      </c>
      <c r="M150">
        <f>VLOOKUP($A150,'Sreenath''s data'!$A$2:$F$313,5,FALSE)</f>
        <v>106208</v>
      </c>
      <c r="N150">
        <f>VLOOKUP($A150,'Sreenath''s data'!$A$2:$F$313,6,FALSE)</f>
        <v>87.975179949231702</v>
      </c>
      <c r="O150">
        <f>VLOOKUP($A150,'Niteesh''s data'!$A$2:$I$313,3,FALSE)</f>
        <v>1107.3000489999999</v>
      </c>
      <c r="P150">
        <f>VLOOKUP($A150,'Niteesh''s data'!$A$2:$I$313,4,FALSE)</f>
        <v>1127.73999</v>
      </c>
      <c r="Q150">
        <f>VLOOKUP($A150,'Niteesh''s data'!$A$2:$I$313,5,FALSE)</f>
        <v>1076.3199460000001</v>
      </c>
      <c r="R150">
        <f>VLOOKUP($A150,'Niteesh''s data'!$A$2:$I$313,6,FALSE)</f>
        <v>1120.6800539999999</v>
      </c>
      <c r="S150">
        <f>VLOOKUP($A150,'Niteesh''s data'!$A$2:$I$313,7,FALSE)</f>
        <v>1120.6800539999999</v>
      </c>
      <c r="T150">
        <f>VLOOKUP($A150,'Niteesh''s data'!$A$2:$I$313,8,FALSE)</f>
        <v>29326400000</v>
      </c>
      <c r="U150" s="61">
        <f>VLOOKUP($A150,'Niteesh''s data'!$A$2:$I$313,9,FALSE)</f>
        <v>9.1999999999999998E-3</v>
      </c>
      <c r="V150">
        <f>VLOOKUP(A150,'Existing home Sales'!$A$2:$C$324,3,FALSE)</f>
        <v>6.73</v>
      </c>
      <c r="W150" s="8">
        <v>2</v>
      </c>
      <c r="X150">
        <f>IFERROR(VLOOKUP(A150,'Home Depot Gross Profit'!$A$1:$B$105,2,FALSE)/3,IF(W150=2,X149,X149))</f>
        <v>1922.6666666666667</v>
      </c>
      <c r="Y150">
        <f>IFERROR(VLOOKUP(A150,'LOWE''S GROSS PROFIT'!$A$1:$B$105,2,FALSE)/3,IF(X150=2,Y149/3,Y149))</f>
        <v>956.66666666666663</v>
      </c>
      <c r="Z150" s="8">
        <v>6.31</v>
      </c>
      <c r="AA150">
        <v>6948</v>
      </c>
      <c r="AB150">
        <f>VLOOKUP(A150,'[1]Fed_Int (1)'!$A$2:$B$316,2,FALSE)</f>
        <v>1</v>
      </c>
      <c r="AC150" s="8">
        <v>35.25</v>
      </c>
      <c r="AD150" s="8">
        <v>36.299999</v>
      </c>
      <c r="AE150" s="8">
        <v>32.340000000000003</v>
      </c>
      <c r="AF150" s="8">
        <v>35.919998</v>
      </c>
      <c r="AG150" s="8">
        <v>25.867321</v>
      </c>
      <c r="AH150" s="8">
        <v>170501900</v>
      </c>
      <c r="AI150" s="8">
        <v>26.274999999999999</v>
      </c>
      <c r="AJ150" s="8">
        <v>27.245000999999998</v>
      </c>
      <c r="AK150" s="8">
        <v>24.049999</v>
      </c>
      <c r="AL150" s="8">
        <v>26.785</v>
      </c>
      <c r="AM150" s="8">
        <v>21.763193000000001</v>
      </c>
      <c r="AN150" s="8">
        <v>191580400</v>
      </c>
    </row>
    <row r="151" spans="1:40" x14ac:dyDescent="0.35">
      <c r="A151" s="1">
        <v>38139</v>
      </c>
      <c r="B151" s="13">
        <f t="shared" si="4"/>
        <v>6</v>
      </c>
      <c r="C151" s="13">
        <f t="shared" si="5"/>
        <v>2004</v>
      </c>
      <c r="D151" s="2">
        <v>24622</v>
      </c>
      <c r="E151">
        <f>VLOOKUP(A151,PSR!$A$12:$B$721,2,FALSE)</f>
        <v>5</v>
      </c>
      <c r="F151">
        <f>VLOOKUP(A151,CCI_USA!$F$2:$H$317,3,FALSE)</f>
        <v>100.9299</v>
      </c>
      <c r="G151">
        <f>INDEX('BLS Data Series'!$A$11:$M$39,MATCH('UI Datathon Development'!C151,'BLS Data Series'!$A$13:$A$39,0)+2,MATCH('UI Datathon Development'!B151,'BLS Data Series'!$B$11:$M$11,0)+1)</f>
        <v>5.6</v>
      </c>
      <c r="H151">
        <f>VLOOKUP(A151,'Houses for sale'!$B$10:$I$671,8,FALSE)</f>
        <v>383</v>
      </c>
      <c r="I151">
        <f>VLOOKUP(A151,'House starts'!$A$12:$B$325,2,FALSE)</f>
        <v>1828</v>
      </c>
      <c r="J151">
        <f>VLOOKUP(A151,'New house sales'!$A$13:$C$324,3,FALSE)</f>
        <v>215700</v>
      </c>
      <c r="K151">
        <f>VLOOKUP($A151,'Sreenath''s data'!$A$2:$F$313,3,FALSE)</f>
        <v>150.517</v>
      </c>
      <c r="L151">
        <f>VLOOKUP($A151,'Sreenath''s data'!$A$2:$F$313,4,FALSE)</f>
        <v>6741.7</v>
      </c>
      <c r="M151">
        <f>VLOOKUP($A151,'Sreenath''s data'!$A$2:$F$313,5,FALSE)</f>
        <v>106051</v>
      </c>
      <c r="N151">
        <f>VLOOKUP($A151,'Sreenath''s data'!$A$2:$F$313,6,FALSE)</f>
        <v>88.206998605224399</v>
      </c>
      <c r="O151">
        <f>VLOOKUP($A151,'Niteesh''s data'!$A$2:$I$313,3,FALSE)</f>
        <v>1120.6800539999999</v>
      </c>
      <c r="P151">
        <f>VLOOKUP($A151,'Niteesh''s data'!$A$2:$I$313,4,FALSE)</f>
        <v>1146.339966</v>
      </c>
      <c r="Q151">
        <f>VLOOKUP($A151,'Niteesh''s data'!$A$2:$I$313,5,FALSE)</f>
        <v>1113.3199460000001</v>
      </c>
      <c r="R151">
        <f>VLOOKUP($A151,'Niteesh''s data'!$A$2:$I$313,6,FALSE)</f>
        <v>1140.839966</v>
      </c>
      <c r="S151">
        <f>VLOOKUP($A151,'Niteesh''s data'!$A$2:$I$313,7,FALSE)</f>
        <v>1140.839966</v>
      </c>
      <c r="T151">
        <f>VLOOKUP($A151,'Niteesh''s data'!$A$2:$I$313,8,FALSE)</f>
        <v>27529500000</v>
      </c>
      <c r="U151" s="61">
        <f>VLOOKUP($A151,'Niteesh''s data'!$A$2:$I$313,9,FALSE)</f>
        <v>9.1000000000000004E-3</v>
      </c>
      <c r="V151">
        <f>VLOOKUP(A151,'Existing home Sales'!$A$2:$C$324,3,FALSE)</f>
        <v>6.85</v>
      </c>
      <c r="W151" s="8">
        <v>3</v>
      </c>
      <c r="X151">
        <f>IFERROR(VLOOKUP(A151,'Home Depot Gross Profit'!$A$1:$B$105,2,FALSE)/3,IF(W151=2,X150,X150))</f>
        <v>1922.6666666666667</v>
      </c>
      <c r="Y151">
        <f>IFERROR(VLOOKUP(A151,'LOWE''S GROSS PROFIT'!$A$1:$B$105,2,FALSE)/3,IF(X151=2,Y150/3,Y150))</f>
        <v>956.66666666666663</v>
      </c>
      <c r="Z151" s="8">
        <v>6.29</v>
      </c>
      <c r="AA151">
        <v>6962</v>
      </c>
      <c r="AB151">
        <f>VLOOKUP(A151,'[1]Fed_Int (1)'!$A$2:$B$316,2,FALSE)</f>
        <v>1.03</v>
      </c>
      <c r="AC151" s="8">
        <v>35.770000000000003</v>
      </c>
      <c r="AD151" s="8">
        <v>36.130001</v>
      </c>
      <c r="AE151" s="8">
        <v>34.75</v>
      </c>
      <c r="AF151" s="8">
        <v>35.200001</v>
      </c>
      <c r="AG151" s="8">
        <v>25.348828999999999</v>
      </c>
      <c r="AH151" s="8">
        <v>171113400</v>
      </c>
      <c r="AI151" s="8">
        <v>26.785</v>
      </c>
      <c r="AJ151" s="8">
        <v>28.08</v>
      </c>
      <c r="AK151" s="8">
        <v>25.940000999999999</v>
      </c>
      <c r="AL151" s="8">
        <v>26.274999999999999</v>
      </c>
      <c r="AM151" s="8">
        <v>21.34881</v>
      </c>
      <c r="AN151" s="8">
        <v>147645600</v>
      </c>
    </row>
    <row r="152" spans="1:40" x14ac:dyDescent="0.35">
      <c r="A152" s="1">
        <v>38169</v>
      </c>
      <c r="B152" s="13">
        <f t="shared" si="4"/>
        <v>7</v>
      </c>
      <c r="C152" s="13">
        <f t="shared" si="5"/>
        <v>2004</v>
      </c>
      <c r="D152" s="2">
        <v>24538</v>
      </c>
      <c r="E152">
        <f>VLOOKUP(A152,PSR!$A$12:$B$721,2,FALSE)</f>
        <v>4.5999999999999996</v>
      </c>
      <c r="F152">
        <f>VLOOKUP(A152,CCI_USA!$F$2:$H$317,3,FALSE)</f>
        <v>101.04049999999999</v>
      </c>
      <c r="G152">
        <f>INDEX('BLS Data Series'!$A$11:$M$39,MATCH('UI Datathon Development'!C152,'BLS Data Series'!$A$13:$A$39,0)+2,MATCH('UI Datathon Development'!B152,'BLS Data Series'!$B$11:$M$11,0)+1)</f>
        <v>5.5</v>
      </c>
      <c r="H152">
        <f>VLOOKUP(A152,'Houses for sale'!$B$10:$I$671,8,FALSE)</f>
        <v>400</v>
      </c>
      <c r="I152">
        <f>VLOOKUP(A152,'House starts'!$A$12:$B$325,2,FALSE)</f>
        <v>2002</v>
      </c>
      <c r="J152">
        <f>VLOOKUP(A152,'New house sales'!$A$13:$C$324,3,FALSE)</f>
        <v>212400</v>
      </c>
      <c r="K152">
        <f>VLOOKUP($A152,'Sreenath''s data'!$A$2:$F$313,3,FALSE)</f>
        <v>152.33600000000001</v>
      </c>
      <c r="L152">
        <f>VLOOKUP($A152,'Sreenath''s data'!$A$2:$F$313,4,FALSE)</f>
        <v>6736.8</v>
      </c>
      <c r="M152">
        <f>VLOOKUP($A152,'Sreenath''s data'!$A$2:$F$313,5,FALSE)</f>
        <v>106379</v>
      </c>
      <c r="N152">
        <f>VLOOKUP($A152,'Sreenath''s data'!$A$2:$F$313,6,FALSE)</f>
        <v>88.554726589213402</v>
      </c>
      <c r="O152">
        <f>VLOOKUP($A152,'Niteesh''s data'!$A$2:$I$313,3,FALSE)</f>
        <v>1140.839966</v>
      </c>
      <c r="P152">
        <f>VLOOKUP($A152,'Niteesh''s data'!$A$2:$I$313,4,FALSE)</f>
        <v>1140.839966</v>
      </c>
      <c r="Q152">
        <f>VLOOKUP($A152,'Niteesh''s data'!$A$2:$I$313,5,FALSE)</f>
        <v>1078.780029</v>
      </c>
      <c r="R152">
        <f>VLOOKUP($A152,'Niteesh''s data'!$A$2:$I$313,6,FALSE)</f>
        <v>1101.719971</v>
      </c>
      <c r="S152">
        <f>VLOOKUP($A152,'Niteesh''s data'!$A$2:$I$313,7,FALSE)</f>
        <v>1101.719971</v>
      </c>
      <c r="T152">
        <f>VLOOKUP($A152,'Niteesh''s data'!$A$2:$I$313,8,FALSE)</f>
        <v>29285600000</v>
      </c>
      <c r="U152" s="61">
        <f>VLOOKUP($A152,'Niteesh''s data'!$A$2:$I$313,9,FALSE)</f>
        <v>9.1000000000000004E-3</v>
      </c>
      <c r="V152">
        <f>VLOOKUP(A152,'Existing home Sales'!$A$2:$C$324,3,FALSE)</f>
        <v>6.92</v>
      </c>
      <c r="W152" s="8">
        <v>1</v>
      </c>
      <c r="X152">
        <f>IFERROR(VLOOKUP(A152,'Home Depot Gross Profit'!$A$1:$B$105,2,FALSE)/3,IF(W152=2,X151,X151))</f>
        <v>2220.3333333333335</v>
      </c>
      <c r="Y152">
        <f>IFERROR(VLOOKUP(A152,'LOWE''S GROSS PROFIT'!$A$1:$B$105,2,FALSE)/3,IF(X152=2,Y151/3,Y151))</f>
        <v>1129.6666666666667</v>
      </c>
      <c r="Z152" s="8">
        <v>6.01</v>
      </c>
      <c r="AA152">
        <v>6977</v>
      </c>
      <c r="AB152">
        <f>VLOOKUP(A152,'[1]Fed_Int (1)'!$A$2:$B$316,2,FALSE)</f>
        <v>1.26</v>
      </c>
      <c r="AC152" s="8">
        <v>35.209999000000003</v>
      </c>
      <c r="AD152" s="8">
        <v>35.349997999999999</v>
      </c>
      <c r="AE152" s="8">
        <v>32.57</v>
      </c>
      <c r="AF152" s="8">
        <v>33.720001000000003</v>
      </c>
      <c r="AG152" s="8">
        <v>24.340755000000001</v>
      </c>
      <c r="AH152" s="8">
        <v>129195800</v>
      </c>
      <c r="AI152" s="8">
        <v>26.280000999999999</v>
      </c>
      <c r="AJ152" s="8">
        <v>27.045000000000002</v>
      </c>
      <c r="AK152" s="8">
        <v>23.84</v>
      </c>
      <c r="AL152" s="8">
        <v>24.360001</v>
      </c>
      <c r="AM152" s="8">
        <v>19.792845</v>
      </c>
      <c r="AN152" s="8">
        <v>151543000</v>
      </c>
    </row>
    <row r="153" spans="1:40" x14ac:dyDescent="0.35">
      <c r="A153" s="1">
        <v>38200</v>
      </c>
      <c r="B153" s="13">
        <f t="shared" si="4"/>
        <v>8</v>
      </c>
      <c r="C153" s="13">
        <f t="shared" si="5"/>
        <v>2004</v>
      </c>
      <c r="D153" s="2">
        <v>24713</v>
      </c>
      <c r="E153">
        <f>VLOOKUP(A153,PSR!$A$12:$B$721,2,FALSE)</f>
        <v>4.5999999999999996</v>
      </c>
      <c r="F153">
        <f>VLOOKUP(A153,CCI_USA!$F$2:$H$317,3,FALSE)</f>
        <v>101.0159</v>
      </c>
      <c r="G153">
        <f>INDEX('BLS Data Series'!$A$11:$M$39,MATCH('UI Datathon Development'!C153,'BLS Data Series'!$A$13:$A$39,0)+2,MATCH('UI Datathon Development'!B153,'BLS Data Series'!$B$11:$M$11,0)+1)</f>
        <v>5.4</v>
      </c>
      <c r="H153">
        <f>VLOOKUP(A153,'Houses for sale'!$B$10:$I$671,8,FALSE)</f>
        <v>405</v>
      </c>
      <c r="I153">
        <f>VLOOKUP(A153,'House starts'!$A$12:$B$325,2,FALSE)</f>
        <v>2024</v>
      </c>
      <c r="J153">
        <f>VLOOKUP(A153,'New house sales'!$A$13:$C$324,3,FALSE)</f>
        <v>218100</v>
      </c>
      <c r="K153">
        <f>VLOOKUP($A153,'Sreenath''s data'!$A$2:$F$313,3,FALSE)</f>
        <v>153.81200000000001</v>
      </c>
      <c r="L153">
        <f>VLOOKUP($A153,'Sreenath''s data'!$A$2:$F$313,4,FALSE)</f>
        <v>6759.6</v>
      </c>
      <c r="M153">
        <f>VLOOKUP($A153,'Sreenath''s data'!$A$2:$F$313,5,FALSE)</f>
        <v>107026</v>
      </c>
      <c r="N153">
        <f>VLOOKUP($A153,'Sreenath''s data'!$A$2:$F$313,6,FALSE)</f>
        <v>88.631999474544401</v>
      </c>
      <c r="O153">
        <f>VLOOKUP($A153,'Niteesh''s data'!$A$2:$I$313,3,FALSE)</f>
        <v>1101.719971</v>
      </c>
      <c r="P153">
        <f>VLOOKUP($A153,'Niteesh''s data'!$A$2:$I$313,4,FALSE)</f>
        <v>1109.6800539999999</v>
      </c>
      <c r="Q153">
        <f>VLOOKUP($A153,'Niteesh''s data'!$A$2:$I$313,5,FALSE)</f>
        <v>1060.719971</v>
      </c>
      <c r="R153">
        <f>VLOOKUP($A153,'Niteesh''s data'!$A$2:$I$313,6,FALSE)</f>
        <v>1104.23999</v>
      </c>
      <c r="S153">
        <f>VLOOKUP($A153,'Niteesh''s data'!$A$2:$I$313,7,FALSE)</f>
        <v>1104.23999</v>
      </c>
      <c r="T153">
        <f>VLOOKUP($A153,'Niteesh''s data'!$A$2:$I$313,8,FALSE)</f>
        <v>26586800000</v>
      </c>
      <c r="U153" s="61">
        <f>VLOOKUP($A153,'Niteesh''s data'!$A$2:$I$313,9,FALSE)</f>
        <v>9.1000000000000004E-3</v>
      </c>
      <c r="V153">
        <f>VLOOKUP(A153,'Existing home Sales'!$A$2:$C$324,3,FALSE)</f>
        <v>6.84</v>
      </c>
      <c r="W153" s="8">
        <v>2</v>
      </c>
      <c r="X153">
        <f>IFERROR(VLOOKUP(A153,'Home Depot Gross Profit'!$A$1:$B$105,2,FALSE)/3,IF(W153=2,X152,X152))</f>
        <v>2220.3333333333335</v>
      </c>
      <c r="Y153">
        <f>IFERROR(VLOOKUP(A153,'LOWE''S GROSS PROFIT'!$A$1:$B$105,2,FALSE)/3,IF(X153=2,Y152/3,Y152))</f>
        <v>1129.6666666666667</v>
      </c>
      <c r="Z153" s="8">
        <v>5.835</v>
      </c>
      <c r="AA153">
        <v>7003</v>
      </c>
      <c r="AB153">
        <f>VLOOKUP(A153,'[1]Fed_Int (1)'!$A$2:$B$316,2,FALSE)</f>
        <v>1.43</v>
      </c>
      <c r="AC153" s="8">
        <v>33.720001000000003</v>
      </c>
      <c r="AD153" s="8">
        <v>36.869999</v>
      </c>
      <c r="AE153" s="8">
        <v>32.389999000000003</v>
      </c>
      <c r="AF153" s="8">
        <v>36.560001</v>
      </c>
      <c r="AG153" s="8">
        <v>26.390802000000001</v>
      </c>
      <c r="AH153" s="8">
        <v>144180100</v>
      </c>
      <c r="AI153" s="8">
        <v>24.219999000000001</v>
      </c>
      <c r="AJ153" s="8">
        <v>25.445</v>
      </c>
      <c r="AK153" s="8">
        <v>22.950001</v>
      </c>
      <c r="AL153" s="8">
        <v>24.85</v>
      </c>
      <c r="AM153" s="8">
        <v>20.221729</v>
      </c>
      <c r="AN153" s="8">
        <v>158585400</v>
      </c>
    </row>
    <row r="154" spans="1:40" x14ac:dyDescent="0.35">
      <c r="A154" s="1">
        <v>38231</v>
      </c>
      <c r="B154" s="13">
        <f t="shared" si="4"/>
        <v>9</v>
      </c>
      <c r="C154" s="13">
        <f t="shared" si="5"/>
        <v>2004</v>
      </c>
      <c r="D154" s="2">
        <v>25045</v>
      </c>
      <c r="E154">
        <f>VLOOKUP(A154,PSR!$A$12:$B$721,2,FALSE)</f>
        <v>3.9</v>
      </c>
      <c r="F154">
        <f>VLOOKUP(A154,CCI_USA!$F$2:$H$317,3,FALSE)</f>
        <v>100.89790000000001</v>
      </c>
      <c r="G154">
        <f>INDEX('BLS Data Series'!$A$11:$M$39,MATCH('UI Datathon Development'!C154,'BLS Data Series'!$A$13:$A$39,0)+2,MATCH('UI Datathon Development'!B154,'BLS Data Series'!$B$11:$M$11,0)+1)</f>
        <v>5.4</v>
      </c>
      <c r="H154">
        <f>VLOOKUP(A154,'Houses for sale'!$B$10:$I$671,8,FALSE)</f>
        <v>410</v>
      </c>
      <c r="I154">
        <f>VLOOKUP(A154,'House starts'!$A$12:$B$325,2,FALSE)</f>
        <v>1905</v>
      </c>
      <c r="J154">
        <f>VLOOKUP(A154,'New house sales'!$A$13:$C$324,3,FALSE)</f>
        <v>211600</v>
      </c>
      <c r="K154">
        <f>VLOOKUP($A154,'Sreenath''s data'!$A$2:$F$313,3,FALSE)</f>
        <v>155.108</v>
      </c>
      <c r="L154">
        <f>VLOOKUP($A154,'Sreenath''s data'!$A$2:$F$313,4,FALSE)</f>
        <v>6725.8</v>
      </c>
      <c r="M154">
        <f>VLOOKUP($A154,'Sreenath''s data'!$A$2:$F$313,5,FALSE)</f>
        <v>107205</v>
      </c>
      <c r="N154">
        <f>VLOOKUP($A154,'Sreenath''s data'!$A$2:$F$313,6,FALSE)</f>
        <v>88.593363031878894</v>
      </c>
      <c r="O154">
        <f>VLOOKUP($A154,'Niteesh''s data'!$A$2:$I$313,3,FALSE)</f>
        <v>1104.23999</v>
      </c>
      <c r="P154">
        <f>VLOOKUP($A154,'Niteesh''s data'!$A$2:$I$313,4,FALSE)</f>
        <v>1131.540039</v>
      </c>
      <c r="Q154">
        <f>VLOOKUP($A154,'Niteesh''s data'!$A$2:$I$313,5,FALSE)</f>
        <v>1099.1800539999999</v>
      </c>
      <c r="R154">
        <f>VLOOKUP($A154,'Niteesh''s data'!$A$2:$I$313,6,FALSE)</f>
        <v>1114.579956</v>
      </c>
      <c r="S154">
        <f>VLOOKUP($A154,'Niteesh''s data'!$A$2:$I$313,7,FALSE)</f>
        <v>1114.579956</v>
      </c>
      <c r="T154">
        <f>VLOOKUP($A154,'Niteesh''s data'!$A$2:$I$313,8,FALSE)</f>
        <v>26829870000</v>
      </c>
      <c r="U154" s="61">
        <f>VLOOKUP($A154,'Niteesh''s data'!$A$2:$I$313,9,FALSE)</f>
        <v>9.1000000000000004E-3</v>
      </c>
      <c r="V154">
        <f>VLOOKUP(A154,'Existing home Sales'!$A$2:$C$324,3,FALSE)</f>
        <v>6.7</v>
      </c>
      <c r="W154" s="8">
        <v>3</v>
      </c>
      <c r="X154">
        <f>IFERROR(VLOOKUP(A154,'Home Depot Gross Profit'!$A$1:$B$105,2,FALSE)/3,IF(W154=2,X153,X153))</f>
        <v>2220.3333333333335</v>
      </c>
      <c r="Y154">
        <f>IFERROR(VLOOKUP(A154,'LOWE''S GROSS PROFIT'!$A$1:$B$105,2,FALSE)/3,IF(X154=2,Y153/3,Y153))</f>
        <v>1129.6666666666667</v>
      </c>
      <c r="Z154" s="8">
        <v>5.75</v>
      </c>
      <c r="AA154">
        <v>7029</v>
      </c>
      <c r="AB154">
        <f>VLOOKUP(A154,'[1]Fed_Int (1)'!$A$2:$B$316,2,FALSE)</f>
        <v>1.61</v>
      </c>
      <c r="AC154" s="8">
        <v>36.549999</v>
      </c>
      <c r="AD154" s="8">
        <v>39.729999999999997</v>
      </c>
      <c r="AE154" s="8">
        <v>36.360000999999997</v>
      </c>
      <c r="AF154" s="8">
        <v>39.200001</v>
      </c>
      <c r="AG154" s="8">
        <v>28.362483999999998</v>
      </c>
      <c r="AH154" s="8">
        <v>140363500</v>
      </c>
      <c r="AI154" s="8">
        <v>24.975000000000001</v>
      </c>
      <c r="AJ154" s="8">
        <v>27.5</v>
      </c>
      <c r="AK154" s="8">
        <v>24.799999</v>
      </c>
      <c r="AL154" s="8">
        <v>27.174999</v>
      </c>
      <c r="AM154" s="8">
        <v>22.113707000000002</v>
      </c>
      <c r="AN154" s="8">
        <v>141184600</v>
      </c>
    </row>
    <row r="155" spans="1:40" x14ac:dyDescent="0.35">
      <c r="A155" s="1">
        <v>38261</v>
      </c>
      <c r="B155" s="13">
        <f t="shared" si="4"/>
        <v>10</v>
      </c>
      <c r="C155" s="13">
        <f t="shared" si="5"/>
        <v>2004</v>
      </c>
      <c r="D155" s="2">
        <v>24842</v>
      </c>
      <c r="E155">
        <f>VLOOKUP(A155,PSR!$A$12:$B$721,2,FALSE)</f>
        <v>3.8</v>
      </c>
      <c r="F155">
        <f>VLOOKUP(A155,CCI_USA!$F$2:$H$317,3,FALSE)</f>
        <v>100.80929999999999</v>
      </c>
      <c r="G155">
        <f>INDEX('BLS Data Series'!$A$11:$M$39,MATCH('UI Datathon Development'!C155,'BLS Data Series'!$A$13:$A$39,0)+2,MATCH('UI Datathon Development'!B155,'BLS Data Series'!$B$11:$M$11,0)+1)</f>
        <v>5.5</v>
      </c>
      <c r="H155">
        <f>VLOOKUP(A155,'Houses for sale'!$B$10:$I$671,8,FALSE)</f>
        <v>413</v>
      </c>
      <c r="I155">
        <f>VLOOKUP(A155,'House starts'!$A$12:$B$325,2,FALSE)</f>
        <v>2072</v>
      </c>
      <c r="J155">
        <f>VLOOKUP(A155,'New house sales'!$A$13:$C$324,3,FALSE)</f>
        <v>229200</v>
      </c>
      <c r="K155">
        <f>VLOOKUP($A155,'Sreenath''s data'!$A$2:$F$313,3,FALSE)</f>
        <v>156.29900000000001</v>
      </c>
      <c r="L155">
        <f>VLOOKUP($A155,'Sreenath''s data'!$A$2:$F$313,4,FALSE)</f>
        <v>6682.5</v>
      </c>
      <c r="M155">
        <f>VLOOKUP($A155,'Sreenath''s data'!$A$2:$F$313,5,FALSE)</f>
        <v>107511</v>
      </c>
      <c r="N155">
        <f>VLOOKUP($A155,'Sreenath''s data'!$A$2:$F$313,6,FALSE)</f>
        <v>88.786545245206199</v>
      </c>
      <c r="O155">
        <f>VLOOKUP($A155,'Niteesh''s data'!$A$2:$I$313,3,FALSE)</f>
        <v>1114.579956</v>
      </c>
      <c r="P155">
        <f>VLOOKUP($A155,'Niteesh''s data'!$A$2:$I$313,4,FALSE)</f>
        <v>1142.0500489999999</v>
      </c>
      <c r="Q155">
        <f>VLOOKUP($A155,'Niteesh''s data'!$A$2:$I$313,5,FALSE)</f>
        <v>1090.290039</v>
      </c>
      <c r="R155">
        <f>VLOOKUP($A155,'Niteesh''s data'!$A$2:$I$313,6,FALSE)</f>
        <v>1130.1999510000001</v>
      </c>
      <c r="S155">
        <f>VLOOKUP($A155,'Niteesh''s data'!$A$2:$I$313,7,FALSE)</f>
        <v>1130.1999510000001</v>
      </c>
      <c r="T155">
        <f>VLOOKUP($A155,'Niteesh''s data'!$A$2:$I$313,8,FALSE)</f>
        <v>31511000000</v>
      </c>
      <c r="U155" s="61">
        <f>VLOOKUP($A155,'Niteesh''s data'!$A$2:$I$313,9,FALSE)</f>
        <v>9.1999999999999998E-3</v>
      </c>
      <c r="V155">
        <f>VLOOKUP(A155,'Existing home Sales'!$A$2:$C$324,3,FALSE)</f>
        <v>6.68</v>
      </c>
      <c r="W155" s="8">
        <v>1</v>
      </c>
      <c r="X155">
        <f>IFERROR(VLOOKUP(A155,'Home Depot Gross Profit'!$A$1:$B$105,2,FALSE)/3,IF(W155=2,X154,X154))</f>
        <v>2084</v>
      </c>
      <c r="Y155">
        <f>IFERROR(VLOOKUP(A155,'LOWE''S GROSS PROFIT'!$A$1:$B$105,2,FALSE)/3,IF(X155=2,Y154/3,Y154))</f>
        <v>1017</v>
      </c>
      <c r="Z155" s="8">
        <v>5.7149999999999999</v>
      </c>
      <c r="AA155">
        <v>7077</v>
      </c>
      <c r="AB155">
        <f>VLOOKUP(A155,'[1]Fed_Int (1)'!$A$2:$B$316,2,FALSE)</f>
        <v>1.76</v>
      </c>
      <c r="AC155" s="8">
        <v>39.590000000000003</v>
      </c>
      <c r="AD155" s="8">
        <v>41.5</v>
      </c>
      <c r="AE155" s="8">
        <v>38.310001</v>
      </c>
      <c r="AF155" s="8">
        <v>41.080002</v>
      </c>
      <c r="AG155" s="8">
        <v>29.722733999999999</v>
      </c>
      <c r="AH155" s="8">
        <v>130066700</v>
      </c>
      <c r="AI155" s="8">
        <v>27.299999</v>
      </c>
      <c r="AJ155" s="8">
        <v>28.875</v>
      </c>
      <c r="AK155" s="8">
        <v>26.945</v>
      </c>
      <c r="AL155" s="8">
        <v>28.139999</v>
      </c>
      <c r="AM155" s="8">
        <v>22.898969999999998</v>
      </c>
      <c r="AN155" s="8">
        <v>123544200</v>
      </c>
    </row>
    <row r="156" spans="1:40" x14ac:dyDescent="0.35">
      <c r="A156" s="1">
        <v>38292</v>
      </c>
      <c r="B156" s="13">
        <f t="shared" si="4"/>
        <v>11</v>
      </c>
      <c r="C156" s="13">
        <f t="shared" si="5"/>
        <v>2004</v>
      </c>
      <c r="D156" s="2">
        <v>24974</v>
      </c>
      <c r="E156">
        <f>VLOOKUP(A156,PSR!$A$12:$B$721,2,FALSE)</f>
        <v>3.5</v>
      </c>
      <c r="F156">
        <f>VLOOKUP(A156,CCI_USA!$F$2:$H$317,3,FALSE)</f>
        <v>100.87309999999999</v>
      </c>
      <c r="G156">
        <f>INDEX('BLS Data Series'!$A$11:$M$39,MATCH('UI Datathon Development'!C156,'BLS Data Series'!$A$13:$A$39,0)+2,MATCH('UI Datathon Development'!B156,'BLS Data Series'!$B$11:$M$11,0)+1)</f>
        <v>5.4</v>
      </c>
      <c r="H156">
        <f>VLOOKUP(A156,'Houses for sale'!$B$10:$I$671,8,FALSE)</f>
        <v>418</v>
      </c>
      <c r="I156">
        <f>VLOOKUP(A156,'House starts'!$A$12:$B$325,2,FALSE)</f>
        <v>1782</v>
      </c>
      <c r="J156">
        <f>VLOOKUP(A156,'New house sales'!$A$13:$C$324,3,FALSE)</f>
        <v>224500</v>
      </c>
      <c r="K156">
        <f>VLOOKUP($A156,'Sreenath''s data'!$A$2:$F$313,3,FALSE)</f>
        <v>157.49799999999999</v>
      </c>
      <c r="L156">
        <f>VLOOKUP($A156,'Sreenath''s data'!$A$2:$F$313,4,FALSE)</f>
        <v>6685.9</v>
      </c>
      <c r="M156">
        <f>VLOOKUP($A156,'Sreenath''s data'!$A$2:$F$313,5,FALSE)</f>
        <v>107636</v>
      </c>
      <c r="N156">
        <f>VLOOKUP($A156,'Sreenath''s data'!$A$2:$F$313,6,FALSE)</f>
        <v>88.477453703882603</v>
      </c>
      <c r="O156">
        <f>VLOOKUP($A156,'Niteesh''s data'!$A$2:$I$313,3,FALSE)</f>
        <v>1130.1999510000001</v>
      </c>
      <c r="P156">
        <f>VLOOKUP($A156,'Niteesh''s data'!$A$2:$I$313,4,FALSE)</f>
        <v>1188.459961</v>
      </c>
      <c r="Q156">
        <f>VLOOKUP($A156,'Niteesh''s data'!$A$2:$I$313,5,FALSE)</f>
        <v>1127.599976</v>
      </c>
      <c r="R156">
        <f>VLOOKUP($A156,'Niteesh''s data'!$A$2:$I$313,6,FALSE)</f>
        <v>1173.8199460000001</v>
      </c>
      <c r="S156">
        <f>VLOOKUP($A156,'Niteesh''s data'!$A$2:$I$313,7,FALSE)</f>
        <v>1173.8199460000001</v>
      </c>
      <c r="T156">
        <f>VLOOKUP($A156,'Niteesh''s data'!$A$2:$I$313,8,FALSE)</f>
        <v>30460280000</v>
      </c>
      <c r="U156" s="61">
        <f>VLOOKUP($A156,'Niteesh''s data'!$A$2:$I$313,9,FALSE)</f>
        <v>9.1000000000000004E-3</v>
      </c>
      <c r="V156">
        <f>VLOOKUP(A156,'Existing home Sales'!$A$2:$C$324,3,FALSE)</f>
        <v>6.85</v>
      </c>
      <c r="W156" s="8">
        <v>2</v>
      </c>
      <c r="X156">
        <f>IFERROR(VLOOKUP(A156,'Home Depot Gross Profit'!$A$1:$B$105,2,FALSE)/3,IF(W156=2,X155,X155))</f>
        <v>2084</v>
      </c>
      <c r="Y156">
        <f>IFERROR(VLOOKUP(A156,'LOWE''S GROSS PROFIT'!$A$1:$B$105,2,FALSE)/3,IF(X156=2,Y155/3,Y155))</f>
        <v>1017</v>
      </c>
      <c r="Z156" s="8">
        <v>5.73</v>
      </c>
      <c r="AA156">
        <v>7091</v>
      </c>
      <c r="AB156">
        <f>VLOOKUP(A156,'[1]Fed_Int (1)'!$A$2:$B$316,2,FALSE)</f>
        <v>1.93</v>
      </c>
      <c r="AC156" s="8">
        <v>41.02</v>
      </c>
      <c r="AD156" s="8">
        <v>44.299999</v>
      </c>
      <c r="AE156" s="8">
        <v>40.799999</v>
      </c>
      <c r="AF156" s="8">
        <v>41.75</v>
      </c>
      <c r="AG156" s="8">
        <v>30.207488999999999</v>
      </c>
      <c r="AH156" s="8">
        <v>156743400</v>
      </c>
      <c r="AI156" s="8">
        <v>28.190000999999999</v>
      </c>
      <c r="AJ156" s="8">
        <v>30.27</v>
      </c>
      <c r="AK156" s="8">
        <v>27.524999999999999</v>
      </c>
      <c r="AL156" s="8">
        <v>27.665001</v>
      </c>
      <c r="AM156" s="8">
        <v>22.545262999999998</v>
      </c>
      <c r="AN156" s="8">
        <v>154460800</v>
      </c>
    </row>
    <row r="157" spans="1:40" x14ac:dyDescent="0.35">
      <c r="A157" s="1">
        <v>38322</v>
      </c>
      <c r="B157" s="13">
        <f t="shared" si="4"/>
        <v>12</v>
      </c>
      <c r="C157" s="13">
        <f t="shared" si="5"/>
        <v>2004</v>
      </c>
      <c r="D157" s="2">
        <v>25679</v>
      </c>
      <c r="E157">
        <f>VLOOKUP(A157,PSR!$A$12:$B$721,2,FALSE)</f>
        <v>6.3</v>
      </c>
      <c r="F157">
        <f>VLOOKUP(A157,CCI_USA!$F$2:$H$317,3,FALSE)</f>
        <v>101.00790000000001</v>
      </c>
      <c r="G157">
        <f>INDEX('BLS Data Series'!$A$11:$M$39,MATCH('UI Datathon Development'!C157,'BLS Data Series'!$A$13:$A$39,0)+2,MATCH('UI Datathon Development'!B157,'BLS Data Series'!$B$11:$M$11,0)+1)</f>
        <v>5.4</v>
      </c>
      <c r="H157">
        <f>VLOOKUP(A157,'Houses for sale'!$B$10:$I$671,8,FALSE)</f>
        <v>422</v>
      </c>
      <c r="I157">
        <f>VLOOKUP(A157,'House starts'!$A$12:$B$325,2,FALSE)</f>
        <v>2042</v>
      </c>
      <c r="J157">
        <f>VLOOKUP(A157,'New house sales'!$A$13:$C$324,3,FALSE)</f>
        <v>229600</v>
      </c>
      <c r="K157">
        <f>VLOOKUP($A157,'Sreenath''s data'!$A$2:$F$313,3,FALSE)</f>
        <v>158.67400000000001</v>
      </c>
      <c r="L157">
        <f>VLOOKUP($A157,'Sreenath''s data'!$A$2:$F$313,4,FALSE)</f>
        <v>6922.8</v>
      </c>
      <c r="M157">
        <f>VLOOKUP($A157,'Sreenath''s data'!$A$2:$F$313,5,FALSE)</f>
        <v>107490</v>
      </c>
      <c r="N157">
        <f>VLOOKUP($A157,'Sreenath''s data'!$A$2:$F$313,6,FALSE)</f>
        <v>88.438817261217096</v>
      </c>
      <c r="O157">
        <f>VLOOKUP($A157,'Niteesh''s data'!$A$2:$I$313,3,FALSE)</f>
        <v>1173.780029</v>
      </c>
      <c r="P157">
        <f>VLOOKUP($A157,'Niteesh''s data'!$A$2:$I$313,4,FALSE)</f>
        <v>1217.329956</v>
      </c>
      <c r="Q157">
        <f>VLOOKUP($A157,'Niteesh''s data'!$A$2:$I$313,5,FALSE)</f>
        <v>1173.780029</v>
      </c>
      <c r="R157">
        <f>VLOOKUP($A157,'Niteesh''s data'!$A$2:$I$313,6,FALSE)</f>
        <v>1211.920044</v>
      </c>
      <c r="S157">
        <f>VLOOKUP($A157,'Niteesh''s data'!$A$2:$I$313,7,FALSE)</f>
        <v>1211.920044</v>
      </c>
      <c r="T157">
        <f>VLOOKUP($A157,'Niteesh''s data'!$A$2:$I$313,8,FALSE)</f>
        <v>31102500000</v>
      </c>
      <c r="U157" s="61">
        <f>VLOOKUP($A157,'Niteesh''s data'!$A$2:$I$313,9,FALSE)</f>
        <v>9.1000000000000004E-3</v>
      </c>
      <c r="V157">
        <f>VLOOKUP(A157,'Existing home Sales'!$A$2:$C$324,3,FALSE)</f>
        <v>6.96</v>
      </c>
      <c r="W157" s="8">
        <v>3</v>
      </c>
      <c r="X157">
        <f>IFERROR(VLOOKUP(A157,'Home Depot Gross Profit'!$A$1:$B$105,2,FALSE)/3,IF(W157=2,X156,X156))</f>
        <v>2084</v>
      </c>
      <c r="Y157">
        <f>IFERROR(VLOOKUP(A157,'LOWE''S GROSS PROFIT'!$A$1:$B$105,2,FALSE)/3,IF(X157=2,Y156/3,Y156))</f>
        <v>1017</v>
      </c>
      <c r="Z157" s="8">
        <v>5.75</v>
      </c>
      <c r="AA157">
        <v>7117</v>
      </c>
      <c r="AB157">
        <f>VLOOKUP(A157,'[1]Fed_Int (1)'!$A$2:$B$316,2,FALSE)</f>
        <v>2.16</v>
      </c>
      <c r="AC157" s="8">
        <v>41.950001</v>
      </c>
      <c r="AD157" s="8">
        <v>43.09</v>
      </c>
      <c r="AE157" s="8">
        <v>41.490001999999997</v>
      </c>
      <c r="AF157" s="8">
        <v>42.740001999999997</v>
      </c>
      <c r="AG157" s="8">
        <v>30.984988999999999</v>
      </c>
      <c r="AH157" s="8">
        <v>122581700</v>
      </c>
      <c r="AI157" s="8">
        <v>27.889999</v>
      </c>
      <c r="AJ157" s="8">
        <v>29.780000999999999</v>
      </c>
      <c r="AK157" s="8">
        <v>27.82</v>
      </c>
      <c r="AL157" s="8">
        <v>28.795000000000002</v>
      </c>
      <c r="AM157" s="8">
        <v>23.466141</v>
      </c>
      <c r="AN157" s="8">
        <v>111324200</v>
      </c>
    </row>
    <row r="158" spans="1:40" x14ac:dyDescent="0.35">
      <c r="A158" s="1">
        <v>38353</v>
      </c>
      <c r="B158" s="13">
        <f t="shared" si="4"/>
        <v>1</v>
      </c>
      <c r="C158" s="13">
        <f t="shared" si="5"/>
        <v>2005</v>
      </c>
      <c r="D158" s="2">
        <v>26009</v>
      </c>
      <c r="E158">
        <f>VLOOKUP(A158,PSR!$A$12:$B$721,2,FALSE)</f>
        <v>3.2</v>
      </c>
      <c r="F158">
        <f>VLOOKUP(A158,CCI_USA!$F$2:$H$317,3,FALSE)</f>
        <v>100.9933</v>
      </c>
      <c r="G158">
        <f>INDEX('BLS Data Series'!$A$11:$M$39,MATCH('UI Datathon Development'!C158,'BLS Data Series'!$A$13:$A$39,0)+2,MATCH('UI Datathon Development'!B158,'BLS Data Series'!$B$11:$M$11,0)+1)</f>
        <v>5.3</v>
      </c>
      <c r="H158">
        <f>VLOOKUP(A158,'Houses for sale'!$B$10:$I$671,8,FALSE)</f>
        <v>441</v>
      </c>
      <c r="I158">
        <f>VLOOKUP(A158,'House starts'!$A$12:$B$325,2,FALSE)</f>
        <v>2144</v>
      </c>
      <c r="J158">
        <f>VLOOKUP(A158,'New house sales'!$A$13:$C$324,3,FALSE)</f>
        <v>223100</v>
      </c>
      <c r="K158">
        <f>VLOOKUP($A158,'Sreenath''s data'!$A$2:$F$313,3,FALSE)</f>
        <v>160.136</v>
      </c>
      <c r="L158">
        <f>VLOOKUP($A158,'Sreenath''s data'!$A$2:$F$313,4,FALSE)</f>
        <v>6793.6</v>
      </c>
      <c r="M158">
        <f>VLOOKUP($A158,'Sreenath''s data'!$A$2:$F$313,5,FALSE)</f>
        <v>107776</v>
      </c>
      <c r="N158">
        <f>VLOOKUP($A158,'Sreenath''s data'!$A$2:$F$313,6,FALSE)</f>
        <v>88.902454573202505</v>
      </c>
      <c r="O158">
        <f>VLOOKUP($A158,'Niteesh''s data'!$A$2:$I$313,3,FALSE)</f>
        <v>1211.920044</v>
      </c>
      <c r="P158">
        <f>VLOOKUP($A158,'Niteesh''s data'!$A$2:$I$313,4,FALSE)</f>
        <v>1217.8000489999999</v>
      </c>
      <c r="Q158">
        <f>VLOOKUP($A158,'Niteesh''s data'!$A$2:$I$313,5,FALSE)</f>
        <v>1163.75</v>
      </c>
      <c r="R158">
        <f>VLOOKUP($A158,'Niteesh''s data'!$A$2:$I$313,6,FALSE)</f>
        <v>1181.2700199999999</v>
      </c>
      <c r="S158">
        <f>VLOOKUP($A158,'Niteesh''s data'!$A$2:$I$313,7,FALSE)</f>
        <v>1181.2700199999999</v>
      </c>
      <c r="T158">
        <f>VLOOKUP($A158,'Niteesh''s data'!$A$2:$I$313,8,FALSE)</f>
        <v>31498800000</v>
      </c>
      <c r="U158" s="61">
        <f>VLOOKUP($A158,'Niteesh''s data'!$A$2:$I$313,9,FALSE)</f>
        <v>9.1999999999999998E-3</v>
      </c>
      <c r="V158">
        <f>VLOOKUP(A158,'Existing home Sales'!$A$2:$C$324,3,FALSE)</f>
        <v>6.89</v>
      </c>
      <c r="W158" s="8">
        <v>1</v>
      </c>
      <c r="X158">
        <f>IFERROR(VLOOKUP(A158,'Home Depot Gross Profit'!$A$1:$B$105,2,FALSE)/3,IF(W158=2,X157,X157))</f>
        <v>1916.3333333333333</v>
      </c>
      <c r="Y158">
        <f>IFERROR(VLOOKUP(A158,'LOWE''S GROSS PROFIT'!$A$1:$B$105,2,FALSE)/3,IF(X158=2,Y157/3,Y157))</f>
        <v>977</v>
      </c>
      <c r="Z158" s="8">
        <v>5.7050000000000001</v>
      </c>
      <c r="AA158">
        <v>7095</v>
      </c>
      <c r="AB158">
        <f>VLOOKUP(A158,'[1]Fed_Int (1)'!$A$2:$B$316,2,FALSE)</f>
        <v>2.2799999999999998</v>
      </c>
      <c r="AC158" s="8">
        <v>42.990001999999997</v>
      </c>
      <c r="AD158" s="8">
        <v>43.27</v>
      </c>
      <c r="AE158" s="8">
        <v>40.279998999999997</v>
      </c>
      <c r="AF158" s="8">
        <v>41.259998000000003</v>
      </c>
      <c r="AG158" s="8">
        <v>29.912043000000001</v>
      </c>
      <c r="AH158" s="8">
        <v>125399300</v>
      </c>
      <c r="AI158" s="8">
        <v>28.99</v>
      </c>
      <c r="AJ158" s="8">
        <v>29.165001</v>
      </c>
      <c r="AK158" s="8">
        <v>27.535</v>
      </c>
      <c r="AL158" s="8">
        <v>28.495000999999998</v>
      </c>
      <c r="AM158" s="8">
        <v>23.221658999999999</v>
      </c>
      <c r="AN158" s="8">
        <v>112860800</v>
      </c>
    </row>
    <row r="159" spans="1:40" x14ac:dyDescent="0.35">
      <c r="A159" s="1">
        <v>38384</v>
      </c>
      <c r="B159" s="13">
        <f t="shared" si="4"/>
        <v>2</v>
      </c>
      <c r="C159" s="13">
        <f t="shared" si="5"/>
        <v>2005</v>
      </c>
      <c r="D159" s="2">
        <v>25793</v>
      </c>
      <c r="E159">
        <f>VLOOKUP(A159,PSR!$A$12:$B$721,2,FALSE)</f>
        <v>2.9</v>
      </c>
      <c r="F159">
        <f>VLOOKUP(A159,CCI_USA!$F$2:$H$317,3,FALSE)</f>
        <v>100.8387</v>
      </c>
      <c r="G159">
        <f>INDEX('BLS Data Series'!$A$11:$M$39,MATCH('UI Datathon Development'!C159,'BLS Data Series'!$A$13:$A$39,0)+2,MATCH('UI Datathon Development'!B159,'BLS Data Series'!$B$11:$M$11,0)+1)</f>
        <v>5.4</v>
      </c>
      <c r="H159">
        <f>VLOOKUP(A159,'Houses for sale'!$B$10:$I$671,8,FALSE)</f>
        <v>446</v>
      </c>
      <c r="I159">
        <f>VLOOKUP(A159,'House starts'!$A$12:$B$325,2,FALSE)</f>
        <v>2207</v>
      </c>
      <c r="J159">
        <f>VLOOKUP(A159,'New house sales'!$A$13:$C$324,3,FALSE)</f>
        <v>237300</v>
      </c>
      <c r="K159">
        <f>VLOOKUP($A159,'Sreenath''s data'!$A$2:$F$313,3,FALSE)</f>
        <v>161.93199999999999</v>
      </c>
      <c r="L159">
        <f>VLOOKUP($A159,'Sreenath''s data'!$A$2:$F$313,4,FALSE)</f>
        <v>6817.1</v>
      </c>
      <c r="M159">
        <f>VLOOKUP($A159,'Sreenath''s data'!$A$2:$F$313,5,FALSE)</f>
        <v>108070</v>
      </c>
      <c r="N159">
        <f>VLOOKUP($A159,'Sreenath''s data'!$A$2:$F$313,6,FALSE)</f>
        <v>89.520637655849697</v>
      </c>
      <c r="O159">
        <f>VLOOKUP($A159,'Niteesh''s data'!$A$2:$I$313,3,FALSE)</f>
        <v>1181.2700199999999</v>
      </c>
      <c r="P159">
        <f>VLOOKUP($A159,'Niteesh''s data'!$A$2:$I$313,4,FALSE)</f>
        <v>1212.4399410000001</v>
      </c>
      <c r="Q159">
        <f>VLOOKUP($A159,'Niteesh''s data'!$A$2:$I$313,5,FALSE)</f>
        <v>1180.9499510000001</v>
      </c>
      <c r="R159">
        <f>VLOOKUP($A159,'Niteesh''s data'!$A$2:$I$313,6,FALSE)</f>
        <v>1203.599976</v>
      </c>
      <c r="S159">
        <f>VLOOKUP($A159,'Niteesh''s data'!$A$2:$I$313,7,FALSE)</f>
        <v>1203.599976</v>
      </c>
      <c r="T159">
        <f>VLOOKUP($A159,'Niteesh''s data'!$A$2:$I$313,8,FALSE)</f>
        <v>29297410000</v>
      </c>
      <c r="U159" s="61">
        <f>VLOOKUP($A159,'Niteesh''s data'!$A$2:$I$313,9,FALSE)</f>
        <v>9.1999999999999998E-3</v>
      </c>
      <c r="V159">
        <f>VLOOKUP(A159,'Existing home Sales'!$A$2:$C$324,3,FALSE)</f>
        <v>7.1</v>
      </c>
      <c r="W159" s="8">
        <v>2</v>
      </c>
      <c r="X159">
        <f>IFERROR(VLOOKUP(A159,'Home Depot Gross Profit'!$A$1:$B$105,2,FALSE)/3,IF(W159=2,X158,X158))</f>
        <v>1916.3333333333333</v>
      </c>
      <c r="Y159">
        <f>IFERROR(VLOOKUP(A159,'LOWE''S GROSS PROFIT'!$A$1:$B$105,2,FALSE)/3,IF(X159=2,Y158/3,Y158))</f>
        <v>977</v>
      </c>
      <c r="Z159" s="8">
        <v>5.625</v>
      </c>
      <c r="AA159">
        <v>7153</v>
      </c>
      <c r="AB159">
        <f>VLOOKUP(A159,'[1]Fed_Int (1)'!$A$2:$B$316,2,FALSE)</f>
        <v>2.5</v>
      </c>
      <c r="AC159" s="8">
        <v>41.200001</v>
      </c>
      <c r="AD159" s="8">
        <v>42.990001999999997</v>
      </c>
      <c r="AE159" s="8">
        <v>38.880001</v>
      </c>
      <c r="AF159" s="8">
        <v>40.020000000000003</v>
      </c>
      <c r="AG159" s="8">
        <v>29.013107000000002</v>
      </c>
      <c r="AH159" s="8">
        <v>134241800</v>
      </c>
      <c r="AI159" s="8">
        <v>28.6</v>
      </c>
      <c r="AJ159" s="8">
        <v>29.985001</v>
      </c>
      <c r="AK159" s="8">
        <v>28.32</v>
      </c>
      <c r="AL159" s="8">
        <v>29.389999</v>
      </c>
      <c r="AM159" s="8">
        <v>23.984349999999999</v>
      </c>
      <c r="AN159" s="8">
        <v>115753400</v>
      </c>
    </row>
    <row r="160" spans="1:40" x14ac:dyDescent="0.35">
      <c r="A160" s="1">
        <v>38412</v>
      </c>
      <c r="B160" s="13">
        <f t="shared" si="4"/>
        <v>3</v>
      </c>
      <c r="C160" s="13">
        <f t="shared" si="5"/>
        <v>2005</v>
      </c>
      <c r="D160" s="2">
        <v>26253</v>
      </c>
      <c r="E160">
        <f>VLOOKUP(A160,PSR!$A$12:$B$721,2,FALSE)</f>
        <v>2.9</v>
      </c>
      <c r="F160">
        <f>VLOOKUP(A160,CCI_USA!$F$2:$H$317,3,FALSE)</f>
        <v>100.6109</v>
      </c>
      <c r="G160">
        <f>INDEX('BLS Data Series'!$A$11:$M$39,MATCH('UI Datathon Development'!C160,'BLS Data Series'!$A$13:$A$39,0)+2,MATCH('UI Datathon Development'!B160,'BLS Data Series'!$B$11:$M$11,0)+1)</f>
        <v>5.2</v>
      </c>
      <c r="H160">
        <f>VLOOKUP(A160,'Houses for sale'!$B$10:$I$671,8,FALSE)</f>
        <v>445</v>
      </c>
      <c r="I160">
        <f>VLOOKUP(A160,'House starts'!$A$12:$B$325,2,FALSE)</f>
        <v>1864</v>
      </c>
      <c r="J160">
        <f>VLOOKUP(A160,'New house sales'!$A$13:$C$324,3,FALSE)</f>
        <v>229300</v>
      </c>
      <c r="K160">
        <f>VLOOKUP($A160,'Sreenath''s data'!$A$2:$F$313,3,FALSE)</f>
        <v>164.58199999999999</v>
      </c>
      <c r="L160">
        <f>VLOOKUP($A160,'Sreenath''s data'!$A$2:$F$313,4,FALSE)</f>
        <v>6794.6</v>
      </c>
      <c r="M160">
        <f>VLOOKUP($A160,'Sreenath''s data'!$A$2:$F$313,5,FALSE)</f>
        <v>107420</v>
      </c>
      <c r="N160">
        <f>VLOOKUP($A160,'Sreenath''s data'!$A$2:$F$313,6,FALSE)</f>
        <v>90.293366509158801</v>
      </c>
      <c r="O160">
        <f>VLOOKUP($A160,'Niteesh''s data'!$A$2:$I$313,3,FALSE)</f>
        <v>1203.599976</v>
      </c>
      <c r="P160">
        <f>VLOOKUP($A160,'Niteesh''s data'!$A$2:$I$313,4,FALSE)</f>
        <v>1229.1099850000001</v>
      </c>
      <c r="Q160">
        <f>VLOOKUP($A160,'Niteesh''s data'!$A$2:$I$313,5,FALSE)</f>
        <v>1163.6899410000001</v>
      </c>
      <c r="R160">
        <f>VLOOKUP($A160,'Niteesh''s data'!$A$2:$I$313,6,FALSE)</f>
        <v>1180.589966</v>
      </c>
      <c r="S160">
        <f>VLOOKUP($A160,'Niteesh''s data'!$A$2:$I$313,7,FALSE)</f>
        <v>1180.589966</v>
      </c>
      <c r="T160">
        <f>VLOOKUP($A160,'Niteesh''s data'!$A$2:$I$313,8,FALSE)</f>
        <v>39014150000</v>
      </c>
      <c r="U160" s="61">
        <f>VLOOKUP($A160,'Niteesh''s data'!$A$2:$I$313,9,FALSE)</f>
        <v>9.1999999999999998E-3</v>
      </c>
      <c r="V160">
        <f>VLOOKUP(A160,'Existing home Sales'!$A$2:$C$324,3,FALSE)</f>
        <v>6.88</v>
      </c>
      <c r="W160" s="8">
        <v>3</v>
      </c>
      <c r="X160">
        <f>IFERROR(VLOOKUP(A160,'Home Depot Gross Profit'!$A$1:$B$105,2,FALSE)/3,IF(W160=2,X159,X159))</f>
        <v>1916.3333333333333</v>
      </c>
      <c r="Y160">
        <f>IFERROR(VLOOKUP(A160,'LOWE''S GROSS PROFIT'!$A$1:$B$105,2,FALSE)/3,IF(X160=2,Y159/3,Y159))</f>
        <v>977</v>
      </c>
      <c r="Z160" s="8">
        <v>5.95</v>
      </c>
      <c r="AA160">
        <v>7181</v>
      </c>
      <c r="AB160">
        <f>VLOOKUP(A160,'[1]Fed_Int (1)'!$A$2:$B$316,2,FALSE)</f>
        <v>2.63</v>
      </c>
      <c r="AC160" s="8">
        <v>40.049999</v>
      </c>
      <c r="AD160" s="8">
        <v>40.270000000000003</v>
      </c>
      <c r="AE160" s="8">
        <v>37.439999</v>
      </c>
      <c r="AF160" s="8">
        <v>38.240001999999997</v>
      </c>
      <c r="AG160" s="8">
        <v>27.722660000000001</v>
      </c>
      <c r="AH160" s="8">
        <v>171584800</v>
      </c>
      <c r="AI160" s="8">
        <v>29.309999000000001</v>
      </c>
      <c r="AJ160" s="8">
        <v>29.540001</v>
      </c>
      <c r="AK160" s="8">
        <v>27.864999999999998</v>
      </c>
      <c r="AL160" s="8">
        <v>28.545000000000002</v>
      </c>
      <c r="AM160" s="8">
        <v>23.294768999999999</v>
      </c>
      <c r="AN160" s="8">
        <v>142587400</v>
      </c>
    </row>
    <row r="161" spans="1:40" x14ac:dyDescent="0.35">
      <c r="A161" s="1">
        <v>38443</v>
      </c>
      <c r="B161" s="13">
        <f t="shared" si="4"/>
        <v>4</v>
      </c>
      <c r="C161" s="13">
        <f t="shared" si="5"/>
        <v>2005</v>
      </c>
      <c r="D161" s="2">
        <v>26551</v>
      </c>
      <c r="E161">
        <f>VLOOKUP(A161,PSR!$A$12:$B$721,2,FALSE)</f>
        <v>2.2000000000000002</v>
      </c>
      <c r="F161">
        <f>VLOOKUP(A161,CCI_USA!$F$2:$H$317,3,FALSE)</f>
        <v>100.4238</v>
      </c>
      <c r="G161">
        <f>INDEX('BLS Data Series'!$A$11:$M$39,MATCH('UI Datathon Development'!C161,'BLS Data Series'!$A$13:$A$39,0)+2,MATCH('UI Datathon Development'!B161,'BLS Data Series'!$B$11:$M$11,0)+1)</f>
        <v>5.2</v>
      </c>
      <c r="H161">
        <f>VLOOKUP(A161,'Houses for sale'!$B$10:$I$671,8,FALSE)</f>
        <v>445</v>
      </c>
      <c r="I161">
        <f>VLOOKUP(A161,'House starts'!$A$12:$B$325,2,FALSE)</f>
        <v>2061</v>
      </c>
      <c r="J161">
        <f>VLOOKUP(A161,'New house sales'!$A$13:$C$324,3,FALSE)</f>
        <v>236300</v>
      </c>
      <c r="K161">
        <f>VLOOKUP($A161,'Sreenath''s data'!$A$2:$F$313,3,FALSE)</f>
        <v>167</v>
      </c>
      <c r="L161">
        <f>VLOOKUP($A161,'Sreenath''s data'!$A$2:$F$313,4,FALSE)</f>
        <v>6825.9</v>
      </c>
      <c r="M161">
        <f>VLOOKUP($A161,'Sreenath''s data'!$A$2:$F$313,5,FALSE)</f>
        <v>107560</v>
      </c>
      <c r="N161">
        <f>VLOOKUP($A161,'Sreenath''s data'!$A$2:$F$313,6,FALSE)</f>
        <v>90.293366509158801</v>
      </c>
      <c r="O161">
        <f>VLOOKUP($A161,'Niteesh''s data'!$A$2:$I$313,3,FALSE)</f>
        <v>1180.589966</v>
      </c>
      <c r="P161">
        <f>VLOOKUP($A161,'Niteesh''s data'!$A$2:$I$313,4,FALSE)</f>
        <v>1191.880005</v>
      </c>
      <c r="Q161">
        <f>VLOOKUP($A161,'Niteesh''s data'!$A$2:$I$313,5,FALSE)</f>
        <v>1136.150024</v>
      </c>
      <c r="R161">
        <f>VLOOKUP($A161,'Niteesh''s data'!$A$2:$I$313,6,FALSE)</f>
        <v>1156.849976</v>
      </c>
      <c r="S161">
        <f>VLOOKUP($A161,'Niteesh''s data'!$A$2:$I$313,7,FALSE)</f>
        <v>1156.849976</v>
      </c>
      <c r="T161">
        <f>VLOOKUP($A161,'Niteesh''s data'!$A$2:$I$313,8,FALSE)</f>
        <v>43424270000</v>
      </c>
      <c r="U161" s="61">
        <f>VLOOKUP($A161,'Niteesh''s data'!$A$2:$I$313,9,FALSE)</f>
        <v>9.2999999999999992E-3</v>
      </c>
      <c r="V161">
        <f>VLOOKUP(A161,'Existing home Sales'!$A$2:$C$324,3,FALSE)</f>
        <v>6.96</v>
      </c>
      <c r="W161" s="8">
        <v>1</v>
      </c>
      <c r="X161">
        <f>IFERROR(VLOOKUP(A161,'Home Depot Gross Profit'!$A$1:$B$105,2,FALSE)/3,IF(W161=2,X160,X160))</f>
        <v>2118.3333333333335</v>
      </c>
      <c r="Y161">
        <f>IFERROR(VLOOKUP(A161,'LOWE''S GROSS PROFIT'!$A$1:$B$105,2,FALSE)/3,IF(X161=2,Y160/3,Y160))</f>
        <v>1132.6666666666667</v>
      </c>
      <c r="Z161" s="8">
        <v>5.8550000000000004</v>
      </c>
      <c r="AA161">
        <v>7266</v>
      </c>
      <c r="AB161">
        <f>VLOOKUP(A161,'[1]Fed_Int (1)'!$A$2:$B$316,2,FALSE)</f>
        <v>2.79</v>
      </c>
      <c r="AC161" s="8">
        <v>38.400002000000001</v>
      </c>
      <c r="AD161" s="8">
        <v>38.75</v>
      </c>
      <c r="AE161" s="8">
        <v>34.560001</v>
      </c>
      <c r="AF161" s="8">
        <v>35.369999</v>
      </c>
      <c r="AG161" s="8">
        <v>25.706465000000001</v>
      </c>
      <c r="AH161" s="8">
        <v>175448400</v>
      </c>
      <c r="AI161" s="8">
        <v>28.65</v>
      </c>
      <c r="AJ161" s="8">
        <v>28.68</v>
      </c>
      <c r="AK161" s="8">
        <v>25.360001</v>
      </c>
      <c r="AL161" s="8">
        <v>26.055</v>
      </c>
      <c r="AM161" s="8">
        <v>21.262758000000002</v>
      </c>
      <c r="AN161" s="8">
        <v>154349000</v>
      </c>
    </row>
    <row r="162" spans="1:40" x14ac:dyDescent="0.35">
      <c r="A162" s="1">
        <v>38473</v>
      </c>
      <c r="B162" s="13">
        <f t="shared" si="4"/>
        <v>5</v>
      </c>
      <c r="C162" s="13">
        <f t="shared" si="5"/>
        <v>2005</v>
      </c>
      <c r="D162" s="2">
        <v>26463</v>
      </c>
      <c r="E162">
        <f>VLOOKUP(A162,PSR!$A$12:$B$721,2,FALSE)</f>
        <v>3</v>
      </c>
      <c r="F162">
        <f>VLOOKUP(A162,CCI_USA!$F$2:$H$317,3,FALSE)</f>
        <v>100.49120000000001</v>
      </c>
      <c r="G162">
        <f>INDEX('BLS Data Series'!$A$11:$M$39,MATCH('UI Datathon Development'!C162,'BLS Data Series'!$A$13:$A$39,0)+2,MATCH('UI Datathon Development'!B162,'BLS Data Series'!$B$11:$M$11,0)+1)</f>
        <v>5.0999999999999996</v>
      </c>
      <c r="H162">
        <f>VLOOKUP(A162,'Houses for sale'!$B$10:$I$671,8,FALSE)</f>
        <v>450</v>
      </c>
      <c r="I162">
        <f>VLOOKUP(A162,'House starts'!$A$12:$B$325,2,FALSE)</f>
        <v>2025</v>
      </c>
      <c r="J162">
        <f>VLOOKUP(A162,'New house sales'!$A$13:$C$324,3,FALSE)</f>
        <v>228300</v>
      </c>
      <c r="K162">
        <f>VLOOKUP($A162,'Sreenath''s data'!$A$2:$F$313,3,FALSE)</f>
        <v>169.542</v>
      </c>
      <c r="L162">
        <f>VLOOKUP($A162,'Sreenath''s data'!$A$2:$F$313,4,FALSE)</f>
        <v>6814.5</v>
      </c>
      <c r="M162">
        <f>VLOOKUP($A162,'Sreenath''s data'!$A$2:$F$313,5,FALSE)</f>
        <v>107872</v>
      </c>
      <c r="N162">
        <f>VLOOKUP($A162,'Sreenath''s data'!$A$2:$F$313,6,FALSE)</f>
        <v>90.100184295831497</v>
      </c>
      <c r="O162">
        <f>VLOOKUP($A162,'Niteesh''s data'!$A$2:$I$313,3,FALSE)</f>
        <v>1156.849976</v>
      </c>
      <c r="P162">
        <f>VLOOKUP($A162,'Niteesh''s data'!$A$2:$I$313,4,FALSE)</f>
        <v>1199.5600589999999</v>
      </c>
      <c r="Q162">
        <f>VLOOKUP($A162,'Niteesh''s data'!$A$2:$I$313,5,FALSE)</f>
        <v>1146.1800539999999</v>
      </c>
      <c r="R162">
        <f>VLOOKUP($A162,'Niteesh''s data'!$A$2:$I$313,6,FALSE)</f>
        <v>1191.5</v>
      </c>
      <c r="S162">
        <f>VLOOKUP($A162,'Niteesh''s data'!$A$2:$I$313,7,FALSE)</f>
        <v>1191.5</v>
      </c>
      <c r="T162">
        <f>VLOOKUP($A162,'Niteesh''s data'!$A$2:$I$313,8,FALSE)</f>
        <v>39321990000</v>
      </c>
      <c r="U162" s="61">
        <f>VLOOKUP($A162,'Niteesh''s data'!$A$2:$I$313,9,FALSE)</f>
        <v>9.2999999999999992E-3</v>
      </c>
      <c r="V162">
        <f>VLOOKUP(A162,'Existing home Sales'!$A$2:$C$324,3,FALSE)</f>
        <v>7.12</v>
      </c>
      <c r="W162" s="8">
        <v>2</v>
      </c>
      <c r="X162">
        <f>IFERROR(VLOOKUP(A162,'Home Depot Gross Profit'!$A$1:$B$105,2,FALSE)/3,IF(W162=2,X161,X161))</f>
        <v>2118.3333333333335</v>
      </c>
      <c r="Y162">
        <f>IFERROR(VLOOKUP(A162,'LOWE''S GROSS PROFIT'!$A$1:$B$105,2,FALSE)/3,IF(X162=2,Y161/3,Y161))</f>
        <v>1132.6666666666667</v>
      </c>
      <c r="Z162" s="8">
        <v>5.73</v>
      </c>
      <c r="AA162">
        <v>7294</v>
      </c>
      <c r="AB162">
        <f>VLOOKUP(A162,'[1]Fed_Int (1)'!$A$2:$B$316,2,FALSE)</f>
        <v>3</v>
      </c>
      <c r="AC162" s="8">
        <v>35.669998</v>
      </c>
      <c r="AD162" s="8">
        <v>40.340000000000003</v>
      </c>
      <c r="AE162" s="8">
        <v>35.540000999999997</v>
      </c>
      <c r="AF162" s="8">
        <v>39.349997999999999</v>
      </c>
      <c r="AG162" s="8">
        <v>28.599079</v>
      </c>
      <c r="AH162" s="8">
        <v>165217800</v>
      </c>
      <c r="AI162" s="8">
        <v>26.049999</v>
      </c>
      <c r="AJ162" s="8">
        <v>28.995000999999998</v>
      </c>
      <c r="AK162" s="8">
        <v>25.934999000000001</v>
      </c>
      <c r="AL162" s="8">
        <v>28.605</v>
      </c>
      <c r="AM162" s="8">
        <v>23.377549999999999</v>
      </c>
      <c r="AN162" s="8">
        <v>162994400</v>
      </c>
    </row>
    <row r="163" spans="1:40" x14ac:dyDescent="0.35">
      <c r="A163" s="1">
        <v>38504</v>
      </c>
      <c r="B163" s="13">
        <f t="shared" si="4"/>
        <v>6</v>
      </c>
      <c r="C163" s="13">
        <f t="shared" si="5"/>
        <v>2005</v>
      </c>
      <c r="D163" s="2">
        <v>26653</v>
      </c>
      <c r="E163">
        <f>VLOOKUP(A163,PSR!$A$12:$B$721,2,FALSE)</f>
        <v>2.2999999999999998</v>
      </c>
      <c r="F163">
        <f>VLOOKUP(A163,CCI_USA!$F$2:$H$317,3,FALSE)</f>
        <v>100.7396</v>
      </c>
      <c r="G163">
        <f>INDEX('BLS Data Series'!$A$11:$M$39,MATCH('UI Datathon Development'!C163,'BLS Data Series'!$A$13:$A$39,0)+2,MATCH('UI Datathon Development'!B163,'BLS Data Series'!$B$11:$M$11,0)+1)</f>
        <v>5</v>
      </c>
      <c r="H163">
        <f>VLOOKUP(A163,'Houses for sale'!$B$10:$I$671,8,FALSE)</f>
        <v>455</v>
      </c>
      <c r="I163">
        <f>VLOOKUP(A163,'House starts'!$A$12:$B$325,2,FALSE)</f>
        <v>2068</v>
      </c>
      <c r="J163">
        <f>VLOOKUP(A163,'New house sales'!$A$13:$C$324,3,FALSE)</f>
        <v>226100</v>
      </c>
      <c r="K163">
        <f>VLOOKUP($A163,'Sreenath''s data'!$A$2:$F$313,3,FALSE)</f>
        <v>172.01300000000001</v>
      </c>
      <c r="L163">
        <f>VLOOKUP($A163,'Sreenath''s data'!$A$2:$F$313,4,FALSE)</f>
        <v>6800.8</v>
      </c>
      <c r="M163">
        <f>VLOOKUP($A163,'Sreenath''s data'!$A$2:$F$313,5,FALSE)</f>
        <v>108117</v>
      </c>
      <c r="N163">
        <f>VLOOKUP($A163,'Sreenath''s data'!$A$2:$F$313,6,FALSE)</f>
        <v>90.332002951824194</v>
      </c>
      <c r="O163">
        <f>VLOOKUP($A163,'Niteesh''s data'!$A$2:$I$313,3,FALSE)</f>
        <v>1191.5</v>
      </c>
      <c r="P163">
        <f>VLOOKUP($A163,'Niteesh''s data'!$A$2:$I$313,4,FALSE)</f>
        <v>1219.589966</v>
      </c>
      <c r="Q163">
        <f>VLOOKUP($A163,'Niteesh''s data'!$A$2:$I$313,5,FALSE)</f>
        <v>1188.3000489999999</v>
      </c>
      <c r="R163">
        <f>VLOOKUP($A163,'Niteesh''s data'!$A$2:$I$313,6,FALSE)</f>
        <v>1191.329956</v>
      </c>
      <c r="S163">
        <f>VLOOKUP($A163,'Niteesh''s data'!$A$2:$I$313,7,FALSE)</f>
        <v>1191.329956</v>
      </c>
      <c r="T163">
        <f>VLOOKUP($A163,'Niteesh''s data'!$A$2:$I$313,8,FALSE)</f>
        <v>40334040000</v>
      </c>
      <c r="U163" s="61">
        <f>VLOOKUP($A163,'Niteesh''s data'!$A$2:$I$313,9,FALSE)</f>
        <v>9.2999999999999992E-3</v>
      </c>
      <c r="V163">
        <f>VLOOKUP(A163,'Existing home Sales'!$A$2:$C$324,3,FALSE)</f>
        <v>7.08</v>
      </c>
      <c r="W163" s="8">
        <v>3</v>
      </c>
      <c r="X163">
        <f>IFERROR(VLOOKUP(A163,'Home Depot Gross Profit'!$A$1:$B$105,2,FALSE)/3,IF(W163=2,X162,X162))</f>
        <v>2118.3333333333335</v>
      </c>
      <c r="Y163">
        <f>IFERROR(VLOOKUP(A163,'LOWE''S GROSS PROFIT'!$A$1:$B$105,2,FALSE)/3,IF(X163=2,Y162/3,Y162))</f>
        <v>1132.6666666666667</v>
      </c>
      <c r="Z163" s="8">
        <v>5.57</v>
      </c>
      <c r="AA163">
        <v>7333</v>
      </c>
      <c r="AB163">
        <f>VLOOKUP(A163,'[1]Fed_Int (1)'!$A$2:$B$316,2,FALSE)</f>
        <v>3.04</v>
      </c>
      <c r="AC163" s="8">
        <v>39.200001</v>
      </c>
      <c r="AD163" s="8">
        <v>40.93</v>
      </c>
      <c r="AE163" s="8">
        <v>38.150002000000001</v>
      </c>
      <c r="AF163" s="8">
        <v>38.900002000000001</v>
      </c>
      <c r="AG163" s="8">
        <v>28.272031999999999</v>
      </c>
      <c r="AH163" s="8">
        <v>140214700</v>
      </c>
      <c r="AI163" s="8">
        <v>28.524999999999999</v>
      </c>
      <c r="AJ163" s="8">
        <v>29.995000999999998</v>
      </c>
      <c r="AK163" s="8">
        <v>28.26</v>
      </c>
      <c r="AL163" s="8">
        <v>29.110001</v>
      </c>
      <c r="AM163" s="8">
        <v>23.790257</v>
      </c>
      <c r="AN163" s="8">
        <v>135252400</v>
      </c>
    </row>
    <row r="164" spans="1:40" x14ac:dyDescent="0.35">
      <c r="A164" s="1">
        <v>38534</v>
      </c>
      <c r="B164" s="13">
        <f t="shared" si="4"/>
        <v>7</v>
      </c>
      <c r="C164" s="13">
        <f t="shared" si="5"/>
        <v>2005</v>
      </c>
      <c r="D164" s="2">
        <v>26578</v>
      </c>
      <c r="E164">
        <f>VLOOKUP(A164,PSR!$A$12:$B$721,2,FALSE)</f>
        <v>1.9</v>
      </c>
      <c r="F164">
        <f>VLOOKUP(A164,CCI_USA!$F$2:$H$317,3,FALSE)</f>
        <v>100.6468</v>
      </c>
      <c r="G164">
        <f>INDEX('BLS Data Series'!$A$11:$M$39,MATCH('UI Datathon Development'!C164,'BLS Data Series'!$A$13:$A$39,0)+2,MATCH('UI Datathon Development'!B164,'BLS Data Series'!$B$11:$M$11,0)+1)</f>
        <v>5</v>
      </c>
      <c r="H164">
        <f>VLOOKUP(A164,'Houses for sale'!$B$10:$I$671,8,FALSE)</f>
        <v>464</v>
      </c>
      <c r="I164">
        <f>VLOOKUP(A164,'House starts'!$A$12:$B$325,2,FALSE)</f>
        <v>2054</v>
      </c>
      <c r="J164">
        <f>VLOOKUP(A164,'New house sales'!$A$13:$C$324,3,FALSE)</f>
        <v>229200</v>
      </c>
      <c r="K164">
        <f>VLOOKUP($A164,'Sreenath''s data'!$A$2:$F$313,3,FALSE)</f>
        <v>174.09599999999901</v>
      </c>
      <c r="L164">
        <f>VLOOKUP($A164,'Sreenath''s data'!$A$2:$F$313,4,FALSE)</f>
        <v>6817.1</v>
      </c>
      <c r="M164">
        <f>VLOOKUP($A164,'Sreenath''s data'!$A$2:$F$313,5,FALSE)</f>
        <v>108330</v>
      </c>
      <c r="N164">
        <f>VLOOKUP($A164,'Sreenath''s data'!$A$2:$F$313,6,FALSE)</f>
        <v>90.757003821144195</v>
      </c>
      <c r="O164">
        <f>VLOOKUP($A164,'Niteesh''s data'!$A$2:$I$313,3,FALSE)</f>
        <v>1191.329956</v>
      </c>
      <c r="P164">
        <f>VLOOKUP($A164,'Niteesh''s data'!$A$2:$I$313,4,FALSE)</f>
        <v>1245.150024</v>
      </c>
      <c r="Q164">
        <f>VLOOKUP($A164,'Niteesh''s data'!$A$2:$I$313,5,FALSE)</f>
        <v>1183.5500489999999</v>
      </c>
      <c r="R164">
        <f>VLOOKUP($A164,'Niteesh''s data'!$A$2:$I$313,6,FALSE)</f>
        <v>1234.1800539999999</v>
      </c>
      <c r="S164">
        <f>VLOOKUP($A164,'Niteesh''s data'!$A$2:$I$313,7,FALSE)</f>
        <v>1234.1800539999999</v>
      </c>
      <c r="T164">
        <f>VLOOKUP($A164,'Niteesh''s data'!$A$2:$I$313,8,FALSE)</f>
        <v>37464670000</v>
      </c>
      <c r="U164" s="61">
        <f>VLOOKUP($A164,'Niteesh''s data'!$A$2:$I$313,9,FALSE)</f>
        <v>9.2999999999999992E-3</v>
      </c>
      <c r="V164">
        <f>VLOOKUP(A164,'Existing home Sales'!$A$2:$C$324,3,FALSE)</f>
        <v>7.18</v>
      </c>
      <c r="W164" s="8">
        <v>1</v>
      </c>
      <c r="X164">
        <f>IFERROR(VLOOKUP(A164,'Home Depot Gross Profit'!$A$1:$B$105,2,FALSE)/3,IF(W164=2,X163,X163))</f>
        <v>2469.6666666666665</v>
      </c>
      <c r="Y164">
        <f>IFERROR(VLOOKUP(A164,'LOWE''S GROSS PROFIT'!$A$1:$B$105,2,FALSE)/3,IF(X164=2,Y163/3,Y163))</f>
        <v>1345.6666666666667</v>
      </c>
      <c r="Z164" s="8">
        <v>5.6950000000000003</v>
      </c>
      <c r="AA164">
        <v>7353</v>
      </c>
      <c r="AB164">
        <f>VLOOKUP(A164,'[1]Fed_Int (1)'!$A$2:$B$316,2,FALSE)</f>
        <v>3.26</v>
      </c>
      <c r="AC164" s="8">
        <v>39.18</v>
      </c>
      <c r="AD164" s="8">
        <v>43.98</v>
      </c>
      <c r="AE164" s="8">
        <v>38.610000999999997</v>
      </c>
      <c r="AF164" s="8">
        <v>43.509998000000003</v>
      </c>
      <c r="AG164" s="8">
        <v>31.701868000000001</v>
      </c>
      <c r="AH164" s="8">
        <v>148971100</v>
      </c>
      <c r="AI164" s="8">
        <v>29.139999</v>
      </c>
      <c r="AJ164" s="8">
        <v>33.505001</v>
      </c>
      <c r="AK164" s="8">
        <v>28.5</v>
      </c>
      <c r="AL164" s="8">
        <v>33.110000999999997</v>
      </c>
      <c r="AM164" s="8">
        <v>27.059280000000001</v>
      </c>
      <c r="AN164" s="8">
        <v>142053800</v>
      </c>
    </row>
    <row r="165" spans="1:40" x14ac:dyDescent="0.35">
      <c r="A165" s="1">
        <v>38565</v>
      </c>
      <c r="B165" s="13">
        <f t="shared" si="4"/>
        <v>8</v>
      </c>
      <c r="C165" s="13">
        <f t="shared" si="5"/>
        <v>2005</v>
      </c>
      <c r="D165" s="2">
        <v>26745</v>
      </c>
      <c r="E165">
        <f>VLOOKUP(A165,PSR!$A$12:$B$721,2,FALSE)</f>
        <v>2.4</v>
      </c>
      <c r="F165">
        <f>VLOOKUP(A165,CCI_USA!$F$2:$H$317,3,FALSE)</f>
        <v>100.0596</v>
      </c>
      <c r="G165">
        <f>INDEX('BLS Data Series'!$A$11:$M$39,MATCH('UI Datathon Development'!C165,'BLS Data Series'!$A$13:$A$39,0)+2,MATCH('UI Datathon Development'!B165,'BLS Data Series'!$B$11:$M$11,0)+1)</f>
        <v>4.9000000000000004</v>
      </c>
      <c r="H165">
        <f>VLOOKUP(A165,'Houses for sale'!$B$10:$I$671,8,FALSE)</f>
        <v>476</v>
      </c>
      <c r="I165">
        <f>VLOOKUP(A165,'House starts'!$A$12:$B$325,2,FALSE)</f>
        <v>2095</v>
      </c>
      <c r="J165">
        <f>VLOOKUP(A165,'New house sales'!$A$13:$C$324,3,FALSE)</f>
        <v>240100</v>
      </c>
      <c r="K165">
        <f>VLOOKUP($A165,'Sreenath''s data'!$A$2:$F$313,3,FALSE)</f>
        <v>175.922</v>
      </c>
      <c r="L165">
        <f>VLOOKUP($A165,'Sreenath''s data'!$A$2:$F$313,4,FALSE)</f>
        <v>6826.9</v>
      </c>
      <c r="M165">
        <f>VLOOKUP($A165,'Sreenath''s data'!$A$2:$F$313,5,FALSE)</f>
        <v>108448</v>
      </c>
      <c r="N165">
        <f>VLOOKUP($A165,'Sreenath''s data'!$A$2:$F$313,6,FALSE)</f>
        <v>90.795640263809602</v>
      </c>
      <c r="O165">
        <f>VLOOKUP($A165,'Niteesh''s data'!$A$2:$I$313,3,FALSE)</f>
        <v>1234.1800539999999</v>
      </c>
      <c r="P165">
        <f>VLOOKUP($A165,'Niteesh''s data'!$A$2:$I$313,4,FALSE)</f>
        <v>1245.8599850000001</v>
      </c>
      <c r="Q165">
        <f>VLOOKUP($A165,'Niteesh''s data'!$A$2:$I$313,5,FALSE)</f>
        <v>1201.0699460000001</v>
      </c>
      <c r="R165">
        <f>VLOOKUP($A165,'Niteesh''s data'!$A$2:$I$313,6,FALSE)</f>
        <v>1220.329956</v>
      </c>
      <c r="S165">
        <f>VLOOKUP($A165,'Niteesh''s data'!$A$2:$I$313,7,FALSE)</f>
        <v>1220.329956</v>
      </c>
      <c r="T165">
        <f>VLOOKUP($A165,'Niteesh''s data'!$A$2:$I$313,8,FALSE)</f>
        <v>42030090000</v>
      </c>
      <c r="U165" s="61">
        <f>VLOOKUP($A165,'Niteesh''s data'!$A$2:$I$313,9,FALSE)</f>
        <v>9.1999999999999998E-3</v>
      </c>
      <c r="V165">
        <f>VLOOKUP(A165,'Existing home Sales'!$A$2:$C$324,3,FALSE)</f>
        <v>7.14</v>
      </c>
      <c r="W165" s="8">
        <v>2</v>
      </c>
      <c r="X165">
        <f>IFERROR(VLOOKUP(A165,'Home Depot Gross Profit'!$A$1:$B$105,2,FALSE)/3,IF(W165=2,X164,X164))</f>
        <v>2469.6666666666665</v>
      </c>
      <c r="Y165">
        <f>IFERROR(VLOOKUP(A165,'LOWE''S GROSS PROFIT'!$A$1:$B$105,2,FALSE)/3,IF(X165=2,Y164/3,Y164))</f>
        <v>1345.6666666666667</v>
      </c>
      <c r="Z165" s="8">
        <v>5.81</v>
      </c>
      <c r="AA165">
        <v>7394</v>
      </c>
      <c r="AB165">
        <f>VLOOKUP(A165,'[1]Fed_Int (1)'!$A$2:$B$316,2,FALSE)</f>
        <v>3.5</v>
      </c>
      <c r="AC165" s="8">
        <v>43.209999000000003</v>
      </c>
      <c r="AD165" s="8">
        <v>43.389999000000003</v>
      </c>
      <c r="AE165" s="8">
        <v>39.139999000000003</v>
      </c>
      <c r="AF165" s="8">
        <v>40.32</v>
      </c>
      <c r="AG165" s="8">
        <v>29.377602</v>
      </c>
      <c r="AH165" s="8">
        <v>188347600</v>
      </c>
      <c r="AI165" s="8">
        <v>33.115001999999997</v>
      </c>
      <c r="AJ165" s="8">
        <v>33.485000999999997</v>
      </c>
      <c r="AK165" s="8">
        <v>31.15</v>
      </c>
      <c r="AL165" s="8">
        <v>32.154998999999997</v>
      </c>
      <c r="AM165" s="8">
        <v>26.329419999999999</v>
      </c>
      <c r="AN165" s="8">
        <v>182852000</v>
      </c>
    </row>
    <row r="166" spans="1:40" x14ac:dyDescent="0.35">
      <c r="A166" s="1">
        <v>38596</v>
      </c>
      <c r="B166" s="13">
        <f t="shared" si="4"/>
        <v>9</v>
      </c>
      <c r="C166" s="13">
        <f t="shared" si="5"/>
        <v>2005</v>
      </c>
      <c r="D166" s="2">
        <v>27123</v>
      </c>
      <c r="E166">
        <f>VLOOKUP(A166,PSR!$A$12:$B$721,2,FALSE)</f>
        <v>2.2999999999999998</v>
      </c>
      <c r="F166">
        <f>VLOOKUP(A166,CCI_USA!$F$2:$H$317,3,FALSE)</f>
        <v>99.346019999999996</v>
      </c>
      <c r="G166">
        <f>INDEX('BLS Data Series'!$A$11:$M$39,MATCH('UI Datathon Development'!C166,'BLS Data Series'!$A$13:$A$39,0)+2,MATCH('UI Datathon Development'!B166,'BLS Data Series'!$B$11:$M$11,0)+1)</f>
        <v>5</v>
      </c>
      <c r="H166">
        <f>VLOOKUP(A166,'Houses for sale'!$B$10:$I$671,8,FALSE)</f>
        <v>487</v>
      </c>
      <c r="I166">
        <f>VLOOKUP(A166,'House starts'!$A$12:$B$325,2,FALSE)</f>
        <v>2151</v>
      </c>
      <c r="J166">
        <f>VLOOKUP(A166,'New house sales'!$A$13:$C$324,3,FALSE)</f>
        <v>240400</v>
      </c>
      <c r="K166">
        <f>VLOOKUP($A166,'Sreenath''s data'!$A$2:$F$313,3,FALSE)</f>
        <v>177.61099999999999</v>
      </c>
      <c r="L166">
        <f>VLOOKUP($A166,'Sreenath''s data'!$A$2:$F$313,4,FALSE)</f>
        <v>6809.3</v>
      </c>
      <c r="M166">
        <f>VLOOKUP($A166,'Sreenath''s data'!$A$2:$F$313,5,FALSE)</f>
        <v>108517</v>
      </c>
      <c r="N166">
        <f>VLOOKUP($A166,'Sreenath''s data'!$A$2:$F$313,6,FALSE)</f>
        <v>90.332002951824194</v>
      </c>
      <c r="O166">
        <f>VLOOKUP($A166,'Niteesh''s data'!$A$2:$I$313,3,FALSE)</f>
        <v>1220.329956</v>
      </c>
      <c r="P166">
        <f>VLOOKUP($A166,'Niteesh''s data'!$A$2:$I$313,4,FALSE)</f>
        <v>1243.130005</v>
      </c>
      <c r="Q166">
        <f>VLOOKUP($A166,'Niteesh''s data'!$A$2:$I$313,5,FALSE)</f>
        <v>1205.349976</v>
      </c>
      <c r="R166">
        <f>VLOOKUP($A166,'Niteesh''s data'!$A$2:$I$313,6,FALSE)</f>
        <v>1228.8100589999999</v>
      </c>
      <c r="S166">
        <f>VLOOKUP($A166,'Niteesh''s data'!$A$2:$I$313,7,FALSE)</f>
        <v>1228.8100589999999</v>
      </c>
      <c r="T166">
        <f>VLOOKUP($A166,'Niteesh''s data'!$A$2:$I$313,8,FALSE)</f>
        <v>44777510000</v>
      </c>
      <c r="U166" s="61">
        <f>VLOOKUP($A166,'Niteesh''s data'!$A$2:$I$313,9,FALSE)</f>
        <v>9.2999999999999992E-3</v>
      </c>
      <c r="V166">
        <f>VLOOKUP(A166,'Existing home Sales'!$A$2:$C$324,3,FALSE)</f>
        <v>7.23</v>
      </c>
      <c r="W166" s="8">
        <v>3</v>
      </c>
      <c r="X166">
        <f>IFERROR(VLOOKUP(A166,'Home Depot Gross Profit'!$A$1:$B$105,2,FALSE)/3,IF(W166=2,X165,X165))</f>
        <v>2469.6666666666665</v>
      </c>
      <c r="Y166">
        <f>IFERROR(VLOOKUP(A166,'LOWE''S GROSS PROFIT'!$A$1:$B$105,2,FALSE)/3,IF(X166=2,Y165/3,Y165))</f>
        <v>1345.6666666666667</v>
      </c>
      <c r="Z166" s="8">
        <v>5.74</v>
      </c>
      <c r="AA166">
        <v>7415</v>
      </c>
      <c r="AB166">
        <f>VLOOKUP(A166,'[1]Fed_Int (1)'!$A$2:$B$316,2,FALSE)</f>
        <v>3.62</v>
      </c>
      <c r="AC166" s="8">
        <v>40.700001</v>
      </c>
      <c r="AD166" s="8">
        <v>42.040000999999997</v>
      </c>
      <c r="AE166" s="8">
        <v>37.139999000000003</v>
      </c>
      <c r="AF166" s="8">
        <v>38.139999000000003</v>
      </c>
      <c r="AG166" s="8">
        <v>27.857944</v>
      </c>
      <c r="AH166" s="8">
        <v>201857000</v>
      </c>
      <c r="AI166" s="8">
        <v>32.104999999999997</v>
      </c>
      <c r="AJ166" s="8">
        <v>34.470001000000003</v>
      </c>
      <c r="AK166" s="8">
        <v>30.614999999999998</v>
      </c>
      <c r="AL166" s="8">
        <v>32.200001</v>
      </c>
      <c r="AM166" s="8">
        <v>26.366268000000002</v>
      </c>
      <c r="AN166" s="8">
        <v>173447400</v>
      </c>
    </row>
    <row r="167" spans="1:40" x14ac:dyDescent="0.35">
      <c r="A167" s="1">
        <v>38626</v>
      </c>
      <c r="B167" s="13">
        <f t="shared" si="4"/>
        <v>10</v>
      </c>
      <c r="C167" s="13">
        <f t="shared" si="5"/>
        <v>2005</v>
      </c>
      <c r="D167" s="2">
        <v>27640</v>
      </c>
      <c r="E167">
        <f>VLOOKUP(A167,PSR!$A$12:$B$721,2,FALSE)</f>
        <v>2.6</v>
      </c>
      <c r="F167">
        <f>VLOOKUP(A167,CCI_USA!$F$2:$H$317,3,FALSE)</f>
        <v>99.114410000000007</v>
      </c>
      <c r="G167">
        <f>INDEX('BLS Data Series'!$A$11:$M$39,MATCH('UI Datathon Development'!C167,'BLS Data Series'!$A$13:$A$39,0)+2,MATCH('UI Datathon Development'!B167,'BLS Data Series'!$B$11:$M$11,0)+1)</f>
        <v>5</v>
      </c>
      <c r="H167">
        <f>VLOOKUP(A167,'Houses for sale'!$B$10:$I$671,8,FALSE)</f>
        <v>490</v>
      </c>
      <c r="I167">
        <f>VLOOKUP(A167,'House starts'!$A$12:$B$325,2,FALSE)</f>
        <v>2065</v>
      </c>
      <c r="J167">
        <f>VLOOKUP(A167,'New house sales'!$A$13:$C$324,3,FALSE)</f>
        <v>243900</v>
      </c>
      <c r="K167">
        <f>VLOOKUP($A167,'Sreenath''s data'!$A$2:$F$313,3,FALSE)</f>
        <v>178.75399999999999</v>
      </c>
      <c r="L167">
        <f>VLOOKUP($A167,'Sreenath''s data'!$A$2:$F$313,4,FALSE)</f>
        <v>6772.6</v>
      </c>
      <c r="M167">
        <f>VLOOKUP($A167,'Sreenath''s data'!$A$2:$F$313,5,FALSE)</f>
        <v>108636</v>
      </c>
      <c r="N167">
        <f>VLOOKUP($A167,'Sreenath''s data'!$A$2:$F$313,6,FALSE)</f>
        <v>90.834276706475094</v>
      </c>
      <c r="O167">
        <f>VLOOKUP($A167,'Niteesh''s data'!$A$2:$I$313,3,FALSE)</f>
        <v>1228.8100589999999</v>
      </c>
      <c r="P167">
        <f>VLOOKUP($A167,'Niteesh''s data'!$A$2:$I$313,4,FALSE)</f>
        <v>1233.339966</v>
      </c>
      <c r="Q167">
        <f>VLOOKUP($A167,'Niteesh''s data'!$A$2:$I$313,5,FALSE)</f>
        <v>1168.1999510000001</v>
      </c>
      <c r="R167">
        <f>VLOOKUP($A167,'Niteesh''s data'!$A$2:$I$313,6,FALSE)</f>
        <v>1207.01001</v>
      </c>
      <c r="S167">
        <f>VLOOKUP($A167,'Niteesh''s data'!$A$2:$I$313,7,FALSE)</f>
        <v>1207.01001</v>
      </c>
      <c r="T167">
        <f>VLOOKUP($A167,'Niteesh''s data'!$A$2:$I$313,8,FALSE)</f>
        <v>49793790000</v>
      </c>
      <c r="U167" s="61">
        <f>VLOOKUP($A167,'Niteesh''s data'!$A$2:$I$313,9,FALSE)</f>
        <v>9.4000000000000004E-3</v>
      </c>
      <c r="V167">
        <f>VLOOKUP(A167,'Existing home Sales'!$A$2:$C$324,3,FALSE)</f>
        <v>7.25</v>
      </c>
      <c r="W167" s="8">
        <v>1</v>
      </c>
      <c r="X167">
        <f>IFERROR(VLOOKUP(A167,'Home Depot Gross Profit'!$A$1:$B$105,2,FALSE)/3,IF(W167=2,X166,X166))</f>
        <v>2321</v>
      </c>
      <c r="Y167">
        <f>IFERROR(VLOOKUP(A167,'LOWE''S GROSS PROFIT'!$A$1:$B$105,2,FALSE)/3,IF(X167=2,Y166/3,Y166))</f>
        <v>1193.3333333333333</v>
      </c>
      <c r="Z167" s="8">
        <v>6.0649999999999897</v>
      </c>
      <c r="AA167">
        <v>7460</v>
      </c>
      <c r="AB167">
        <f>VLOOKUP(A167,'[1]Fed_Int (1)'!$A$2:$B$316,2,FALSE)</f>
        <v>3.78</v>
      </c>
      <c r="AC167" s="8">
        <v>38.150002000000001</v>
      </c>
      <c r="AD167" s="8">
        <v>41.470001000000003</v>
      </c>
      <c r="AE167" s="8">
        <v>37.479999999999997</v>
      </c>
      <c r="AF167" s="8">
        <v>41.040000999999997</v>
      </c>
      <c r="AG167" s="8">
        <v>29.976127999999999</v>
      </c>
      <c r="AH167" s="8">
        <v>212047300</v>
      </c>
      <c r="AI167" s="8">
        <v>32.240001999999997</v>
      </c>
      <c r="AJ167" s="8">
        <v>32.599997999999999</v>
      </c>
      <c r="AK167" s="8">
        <v>28.915001</v>
      </c>
      <c r="AL167" s="8">
        <v>30.385000000000002</v>
      </c>
      <c r="AM167" s="8">
        <v>24.880092999999999</v>
      </c>
      <c r="AN167" s="8">
        <v>178801000</v>
      </c>
    </row>
    <row r="168" spans="1:40" x14ac:dyDescent="0.35">
      <c r="A168" s="1">
        <v>38657</v>
      </c>
      <c r="B168" s="13">
        <f t="shared" si="4"/>
        <v>11</v>
      </c>
      <c r="C168" s="13">
        <f t="shared" si="5"/>
        <v>2005</v>
      </c>
      <c r="D168" s="2">
        <v>27725</v>
      </c>
      <c r="E168">
        <f>VLOOKUP(A168,PSR!$A$12:$B$721,2,FALSE)</f>
        <v>2.7</v>
      </c>
      <c r="F168">
        <f>VLOOKUP(A168,CCI_USA!$F$2:$H$317,3,FALSE)</f>
        <v>99.498230000000007</v>
      </c>
      <c r="G168">
        <f>INDEX('BLS Data Series'!$A$11:$M$39,MATCH('UI Datathon Development'!C168,'BLS Data Series'!$A$13:$A$39,0)+2,MATCH('UI Datathon Development'!B168,'BLS Data Series'!$B$11:$M$11,0)+1)</f>
        <v>5</v>
      </c>
      <c r="H168">
        <f>VLOOKUP(A168,'Houses for sale'!$B$10:$I$671,8,FALSE)</f>
        <v>502</v>
      </c>
      <c r="I168">
        <f>VLOOKUP(A168,'House starts'!$A$12:$B$325,2,FALSE)</f>
        <v>2147</v>
      </c>
      <c r="J168">
        <f>VLOOKUP(A168,'New house sales'!$A$13:$C$324,3,FALSE)</f>
        <v>237900</v>
      </c>
      <c r="K168">
        <f>VLOOKUP($A168,'Sreenath''s data'!$A$2:$F$313,3,FALSE)</f>
        <v>179.67699999999999</v>
      </c>
      <c r="L168">
        <f>VLOOKUP($A168,'Sreenath''s data'!$A$2:$F$313,4,FALSE)</f>
        <v>6791.6</v>
      </c>
      <c r="M168">
        <f>VLOOKUP($A168,'Sreenath''s data'!$A$2:$F$313,5,FALSE)</f>
        <v>108857</v>
      </c>
      <c r="N168">
        <f>VLOOKUP($A168,'Sreenath''s data'!$A$2:$F$313,6,FALSE)</f>
        <v>90.757003821144195</v>
      </c>
      <c r="O168">
        <f>VLOOKUP($A168,'Niteesh''s data'!$A$2:$I$313,3,FALSE)</f>
        <v>1207.01001</v>
      </c>
      <c r="P168">
        <f>VLOOKUP($A168,'Niteesh''s data'!$A$2:$I$313,4,FALSE)</f>
        <v>1270.6400149999999</v>
      </c>
      <c r="Q168">
        <f>VLOOKUP($A168,'Niteesh''s data'!$A$2:$I$313,5,FALSE)</f>
        <v>1201.0699460000001</v>
      </c>
      <c r="R168">
        <f>VLOOKUP($A168,'Niteesh''s data'!$A$2:$I$313,6,FALSE)</f>
        <v>1249.4799800000001</v>
      </c>
      <c r="S168">
        <f>VLOOKUP($A168,'Niteesh''s data'!$A$2:$I$313,7,FALSE)</f>
        <v>1249.4799800000001</v>
      </c>
      <c r="T168">
        <f>VLOOKUP($A168,'Niteesh''s data'!$A$2:$I$313,8,FALSE)</f>
        <v>45102870000</v>
      </c>
      <c r="U168" s="61">
        <f>VLOOKUP($A168,'Niteesh''s data'!$A$2:$I$313,9,FALSE)</f>
        <v>9.5999999999999992E-3</v>
      </c>
      <c r="V168">
        <f>VLOOKUP(A168,'Existing home Sales'!$A$2:$C$324,3,FALSE)</f>
        <v>7.1</v>
      </c>
      <c r="W168" s="8">
        <v>2</v>
      </c>
      <c r="X168">
        <f>IFERROR(VLOOKUP(A168,'Home Depot Gross Profit'!$A$1:$B$105,2,FALSE)/3,IF(W168=2,X167,X167))</f>
        <v>2321</v>
      </c>
      <c r="Y168">
        <f>IFERROR(VLOOKUP(A168,'LOWE''S GROSS PROFIT'!$A$1:$B$105,2,FALSE)/3,IF(X168=2,Y167/3,Y167))</f>
        <v>1193.3333333333333</v>
      </c>
      <c r="Z168" s="8">
        <v>6.335</v>
      </c>
      <c r="AA168">
        <v>7524</v>
      </c>
      <c r="AB168">
        <f>VLOOKUP(A168,'[1]Fed_Int (1)'!$A$2:$B$316,2,FALSE)</f>
        <v>4</v>
      </c>
      <c r="AC168" s="8">
        <v>41</v>
      </c>
      <c r="AD168" s="8">
        <v>43.27</v>
      </c>
      <c r="AE168" s="8">
        <v>40.349997999999999</v>
      </c>
      <c r="AF168" s="8">
        <v>41.779998999999997</v>
      </c>
      <c r="AG168" s="8">
        <v>30.516645</v>
      </c>
      <c r="AH168" s="8">
        <v>188661700</v>
      </c>
      <c r="AI168" s="8">
        <v>30.299999</v>
      </c>
      <c r="AJ168" s="8">
        <v>33.935001</v>
      </c>
      <c r="AK168" s="8">
        <v>29.825001</v>
      </c>
      <c r="AL168" s="8">
        <v>33.740001999999997</v>
      </c>
      <c r="AM168" s="8">
        <v>27.681657999999999</v>
      </c>
      <c r="AN168" s="8">
        <v>186338000</v>
      </c>
    </row>
    <row r="169" spans="1:40" x14ac:dyDescent="0.35">
      <c r="A169" s="1">
        <v>38687</v>
      </c>
      <c r="B169" s="13">
        <f t="shared" si="4"/>
        <v>12</v>
      </c>
      <c r="C169" s="13">
        <f t="shared" si="5"/>
        <v>2005</v>
      </c>
      <c r="D169" s="2">
        <v>27308</v>
      </c>
      <c r="E169">
        <f>VLOOKUP(A169,PSR!$A$12:$B$721,2,FALSE)</f>
        <v>2.8</v>
      </c>
      <c r="F169">
        <f>VLOOKUP(A169,CCI_USA!$F$2:$H$317,3,FALSE)</f>
        <v>100.07089999999999</v>
      </c>
      <c r="G169">
        <f>INDEX('BLS Data Series'!$A$11:$M$39,MATCH('UI Datathon Development'!C169,'BLS Data Series'!$A$13:$A$39,0)+2,MATCH('UI Datathon Development'!B169,'BLS Data Series'!$B$11:$M$11,0)+1)</f>
        <v>4.9000000000000004</v>
      </c>
      <c r="H169">
        <f>VLOOKUP(A169,'Houses for sale'!$B$10:$I$671,8,FALSE)</f>
        <v>511</v>
      </c>
      <c r="I169">
        <f>VLOOKUP(A169,'House starts'!$A$12:$B$325,2,FALSE)</f>
        <v>1994</v>
      </c>
      <c r="J169">
        <f>VLOOKUP(A169,'New house sales'!$A$13:$C$324,3,FALSE)</f>
        <v>238600</v>
      </c>
      <c r="K169">
        <f>VLOOKUP($A169,'Sreenath''s data'!$A$2:$F$313,3,FALSE)</f>
        <v>180.11099999999999</v>
      </c>
      <c r="L169">
        <f>VLOOKUP($A169,'Sreenath''s data'!$A$2:$F$313,4,FALSE)</f>
        <v>7023.2</v>
      </c>
      <c r="M169">
        <f>VLOOKUP($A169,'Sreenath''s data'!$A$2:$F$313,5,FALSE)</f>
        <v>109171</v>
      </c>
      <c r="N169">
        <f>VLOOKUP($A169,'Sreenath''s data'!$A$2:$F$313,6,FALSE)</f>
        <v>90.795640263809602</v>
      </c>
      <c r="O169">
        <f>VLOOKUP($A169,'Niteesh''s data'!$A$2:$I$313,3,FALSE)</f>
        <v>1249.4799800000001</v>
      </c>
      <c r="P169">
        <f>VLOOKUP($A169,'Niteesh''s data'!$A$2:$I$313,4,FALSE)</f>
        <v>1275.8000489999999</v>
      </c>
      <c r="Q169">
        <f>VLOOKUP($A169,'Niteesh''s data'!$A$2:$I$313,5,FALSE)</f>
        <v>1246.589966</v>
      </c>
      <c r="R169">
        <f>VLOOKUP($A169,'Niteesh''s data'!$A$2:$I$313,6,FALSE)</f>
        <v>1248.290039</v>
      </c>
      <c r="S169">
        <f>VLOOKUP($A169,'Niteesh''s data'!$A$2:$I$313,7,FALSE)</f>
        <v>1248.290039</v>
      </c>
      <c r="T169">
        <f>VLOOKUP($A169,'Niteesh''s data'!$A$2:$I$313,8,FALSE)</f>
        <v>41756130000</v>
      </c>
      <c r="U169" s="61">
        <f>VLOOKUP($A169,'Niteesh''s data'!$A$2:$I$313,9,FALSE)</f>
        <v>9.7000000000000003E-3</v>
      </c>
      <c r="V169">
        <f>VLOOKUP(A169,'Existing home Sales'!$A$2:$C$324,3,FALSE)</f>
        <v>7.03</v>
      </c>
      <c r="W169" s="8">
        <v>3</v>
      </c>
      <c r="X169">
        <f>IFERROR(VLOOKUP(A169,'Home Depot Gross Profit'!$A$1:$B$105,2,FALSE)/3,IF(W169=2,X168,X168))</f>
        <v>2321</v>
      </c>
      <c r="Y169">
        <f>IFERROR(VLOOKUP(A169,'LOWE''S GROSS PROFIT'!$A$1:$B$105,2,FALSE)/3,IF(X169=2,Y168/3,Y168))</f>
        <v>1193.3333333333333</v>
      </c>
      <c r="Z169" s="8">
        <v>6.26</v>
      </c>
      <c r="AA169">
        <v>7533</v>
      </c>
      <c r="AB169">
        <f>VLOOKUP(A169,'[1]Fed_Int (1)'!$A$2:$B$316,2,FALSE)</f>
        <v>4.16</v>
      </c>
      <c r="AC169" s="8">
        <v>41.84</v>
      </c>
      <c r="AD169" s="8">
        <v>42.790000999999997</v>
      </c>
      <c r="AE169" s="8">
        <v>40.419998</v>
      </c>
      <c r="AF169" s="8">
        <v>40.479999999999997</v>
      </c>
      <c r="AG169" s="8">
        <v>29.638271</v>
      </c>
      <c r="AH169" s="8">
        <v>123216400</v>
      </c>
      <c r="AI169" s="8">
        <v>33.924999</v>
      </c>
      <c r="AJ169" s="8">
        <v>34.849997999999999</v>
      </c>
      <c r="AK169" s="8">
        <v>33.25</v>
      </c>
      <c r="AL169" s="8">
        <v>33.330002</v>
      </c>
      <c r="AM169" s="8">
        <v>27.345275999999998</v>
      </c>
      <c r="AN169" s="8">
        <v>120838000</v>
      </c>
    </row>
    <row r="170" spans="1:40" x14ac:dyDescent="0.35">
      <c r="A170" s="1">
        <v>38718</v>
      </c>
      <c r="B170" s="13">
        <f t="shared" si="4"/>
        <v>1</v>
      </c>
      <c r="C170" s="13">
        <f t="shared" si="5"/>
        <v>2006</v>
      </c>
      <c r="D170" s="2">
        <v>29549</v>
      </c>
      <c r="E170">
        <f>VLOOKUP(A170,PSR!$A$12:$B$721,2,FALSE)</f>
        <v>3.8</v>
      </c>
      <c r="F170">
        <f>VLOOKUP(A170,CCI_USA!$F$2:$H$317,3,FALSE)</f>
        <v>100.32940000000001</v>
      </c>
      <c r="G170">
        <f>INDEX('BLS Data Series'!$A$11:$M$39,MATCH('UI Datathon Development'!C170,'BLS Data Series'!$A$13:$A$39,0)+2,MATCH('UI Datathon Development'!B170,'BLS Data Series'!$B$11:$M$11,0)+1)</f>
        <v>4.7</v>
      </c>
      <c r="H170">
        <f>VLOOKUP(A170,'Houses for sale'!$B$10:$I$671,8,FALSE)</f>
        <v>523</v>
      </c>
      <c r="I170">
        <f>VLOOKUP(A170,'House starts'!$A$12:$B$325,2,FALSE)</f>
        <v>2273</v>
      </c>
      <c r="J170">
        <f>VLOOKUP(A170,'New house sales'!$A$13:$C$324,3,FALSE)</f>
        <v>244900</v>
      </c>
      <c r="K170">
        <f>VLOOKUP($A170,'Sreenath''s data'!$A$2:$F$313,3,FALSE)</f>
        <v>180.83199999999999</v>
      </c>
      <c r="L170">
        <f>VLOOKUP($A170,'Sreenath''s data'!$A$2:$F$313,4,FALSE)</f>
        <v>6892.9</v>
      </c>
      <c r="M170">
        <f>VLOOKUP($A170,'Sreenath''s data'!$A$2:$F$313,5,FALSE)</f>
        <v>109402</v>
      </c>
      <c r="N170">
        <f>VLOOKUP($A170,'Sreenath''s data'!$A$2:$F$313,6,FALSE)</f>
        <v>91.259277575794997</v>
      </c>
      <c r="O170">
        <f>VLOOKUP($A170,'Niteesh''s data'!$A$2:$I$313,3,FALSE)</f>
        <v>1248.290039</v>
      </c>
      <c r="P170">
        <f>VLOOKUP($A170,'Niteesh''s data'!$A$2:$I$313,4,FALSE)</f>
        <v>1294.900024</v>
      </c>
      <c r="Q170">
        <f>VLOOKUP($A170,'Niteesh''s data'!$A$2:$I$313,5,FALSE)</f>
        <v>1245.73999</v>
      </c>
      <c r="R170">
        <f>VLOOKUP($A170,'Niteesh''s data'!$A$2:$I$313,6,FALSE)</f>
        <v>1280.079956</v>
      </c>
      <c r="S170">
        <f>VLOOKUP($A170,'Niteesh''s data'!$A$2:$I$313,7,FALSE)</f>
        <v>1280.079956</v>
      </c>
      <c r="T170">
        <f>VLOOKUP($A170,'Niteesh''s data'!$A$2:$I$313,8,FALSE)</f>
        <v>49211650000</v>
      </c>
      <c r="U170" s="61">
        <f>VLOOKUP($A170,'Niteesh''s data'!$A$2:$I$313,9,FALSE)</f>
        <v>9.7000000000000003E-3</v>
      </c>
      <c r="V170">
        <f>VLOOKUP(A170,'Existing home Sales'!$A$2:$C$324,3,FALSE)</f>
        <v>6.84</v>
      </c>
      <c r="W170" s="8">
        <v>1</v>
      </c>
      <c r="X170">
        <f>IFERROR(VLOOKUP(A170,'Home Depot Gross Profit'!$A$1:$B$105,2,FALSE)/3,IF(W170=2,X169,X169))</f>
        <v>1737</v>
      </c>
      <c r="Y170">
        <f>IFERROR(VLOOKUP(A170,'LOWE''S GROSS PROFIT'!$A$1:$B$105,2,FALSE)/3,IF(X170=2,Y169/3,Y169))</f>
        <v>1261.6666666666667</v>
      </c>
      <c r="Z170" s="8">
        <v>6.1349999999999998</v>
      </c>
      <c r="AA170">
        <v>7601</v>
      </c>
      <c r="AB170">
        <f>VLOOKUP(A170,'[1]Fed_Int (1)'!$A$2:$B$316,2,FALSE)</f>
        <v>4.29</v>
      </c>
      <c r="AC170" s="8">
        <v>40.389999000000003</v>
      </c>
      <c r="AD170" s="8">
        <v>43.200001</v>
      </c>
      <c r="AE170" s="8">
        <v>39.650002000000001</v>
      </c>
      <c r="AF170" s="8">
        <v>40.549999</v>
      </c>
      <c r="AG170" s="8">
        <v>29.689518</v>
      </c>
      <c r="AH170" s="8">
        <v>190368300</v>
      </c>
      <c r="AI170" s="8">
        <v>33.305</v>
      </c>
      <c r="AJ170" s="8">
        <v>33.705002</v>
      </c>
      <c r="AK170" s="8">
        <v>31.524999999999999</v>
      </c>
      <c r="AL170" s="8">
        <v>31.774999999999999</v>
      </c>
      <c r="AM170" s="8">
        <v>26.069489999999998</v>
      </c>
      <c r="AN170" s="8">
        <v>146065400</v>
      </c>
    </row>
    <row r="171" spans="1:40" x14ac:dyDescent="0.35">
      <c r="A171" s="1">
        <v>38749</v>
      </c>
      <c r="B171" s="13">
        <f t="shared" si="4"/>
        <v>2</v>
      </c>
      <c r="C171" s="13">
        <f t="shared" si="5"/>
        <v>2006</v>
      </c>
      <c r="D171" s="2">
        <v>29508</v>
      </c>
      <c r="E171">
        <f>VLOOKUP(A171,PSR!$A$12:$B$721,2,FALSE)</f>
        <v>3.8</v>
      </c>
      <c r="F171">
        <f>VLOOKUP(A171,CCI_USA!$F$2:$H$317,3,FALSE)</f>
        <v>100.28100000000001</v>
      </c>
      <c r="G171">
        <f>INDEX('BLS Data Series'!$A$11:$M$39,MATCH('UI Datathon Development'!C171,'BLS Data Series'!$A$13:$A$39,0)+2,MATCH('UI Datathon Development'!B171,'BLS Data Series'!$B$11:$M$11,0)+1)</f>
        <v>4.8</v>
      </c>
      <c r="H171">
        <f>VLOOKUP(A171,'Houses for sale'!$B$10:$I$671,8,FALSE)</f>
        <v>539</v>
      </c>
      <c r="I171">
        <f>VLOOKUP(A171,'House starts'!$A$12:$B$325,2,FALSE)</f>
        <v>2119</v>
      </c>
      <c r="J171">
        <f>VLOOKUP(A171,'New house sales'!$A$13:$C$324,3,FALSE)</f>
        <v>250800</v>
      </c>
      <c r="K171">
        <f>VLOOKUP($A171,'Sreenath''s data'!$A$2:$F$313,3,FALSE)</f>
        <v>181.50399999999999</v>
      </c>
      <c r="L171">
        <f>VLOOKUP($A171,'Sreenath''s data'!$A$2:$F$313,4,FALSE)</f>
        <v>6908.4</v>
      </c>
      <c r="M171">
        <f>VLOOKUP($A171,'Sreenath''s data'!$A$2:$F$313,5,FALSE)</f>
        <v>109368</v>
      </c>
      <c r="N171">
        <f>VLOOKUP($A171,'Sreenath''s data'!$A$2:$F$313,6,FALSE)</f>
        <v>91.877460658442303</v>
      </c>
      <c r="O171">
        <f>VLOOKUP($A171,'Niteesh''s data'!$A$2:$I$313,3,FALSE)</f>
        <v>1280.079956</v>
      </c>
      <c r="P171">
        <f>VLOOKUP($A171,'Niteesh''s data'!$A$2:$I$313,4,FALSE)</f>
        <v>1297.5699460000001</v>
      </c>
      <c r="Q171">
        <f>VLOOKUP($A171,'Niteesh''s data'!$A$2:$I$313,5,FALSE)</f>
        <v>1253.6099850000001</v>
      </c>
      <c r="R171">
        <f>VLOOKUP($A171,'Niteesh''s data'!$A$2:$I$313,6,FALSE)</f>
        <v>1280.660034</v>
      </c>
      <c r="S171">
        <f>VLOOKUP($A171,'Niteesh''s data'!$A$2:$I$313,7,FALSE)</f>
        <v>1280.660034</v>
      </c>
      <c r="T171">
        <f>VLOOKUP($A171,'Niteesh''s data'!$A$2:$I$313,8,FALSE)</f>
        <v>42859940000</v>
      </c>
      <c r="U171" s="61">
        <f>VLOOKUP($A171,'Niteesh''s data'!$A$2:$I$313,9,FALSE)</f>
        <v>9.5999999999999992E-3</v>
      </c>
      <c r="V171">
        <f>VLOOKUP(A171,'Existing home Sales'!$A$2:$C$324,3,FALSE)</f>
        <v>6.72</v>
      </c>
      <c r="W171" s="8">
        <v>2</v>
      </c>
      <c r="X171">
        <f>IFERROR(VLOOKUP(A171,'Home Depot Gross Profit'!$A$1:$B$105,2,FALSE)/3,IF(W171=2,X170,X170))</f>
        <v>1737</v>
      </c>
      <c r="Y171">
        <f>IFERROR(VLOOKUP(A171,'LOWE''S GROSS PROFIT'!$A$1:$B$105,2,FALSE)/3,IF(X171=2,Y170/3,Y170))</f>
        <v>1261.6666666666667</v>
      </c>
      <c r="Z171" s="8">
        <v>6.25</v>
      </c>
      <c r="AA171">
        <v>7664</v>
      </c>
      <c r="AB171">
        <f>VLOOKUP(A171,'[1]Fed_Int (1)'!$A$2:$B$316,2,FALSE)</f>
        <v>4.49</v>
      </c>
      <c r="AC171" s="8">
        <v>40.450001</v>
      </c>
      <c r="AD171" s="8">
        <v>43</v>
      </c>
      <c r="AE171" s="8">
        <v>38.5</v>
      </c>
      <c r="AF171" s="8">
        <v>42.150002000000001</v>
      </c>
      <c r="AG171" s="8">
        <v>30.860996</v>
      </c>
      <c r="AH171" s="8">
        <v>169723200</v>
      </c>
      <c r="AI171" s="8">
        <v>32.099997999999999</v>
      </c>
      <c r="AJ171" s="8">
        <v>34.825001</v>
      </c>
      <c r="AK171" s="8">
        <v>30.58</v>
      </c>
      <c r="AL171" s="8">
        <v>34.090000000000003</v>
      </c>
      <c r="AM171" s="8">
        <v>28.020277</v>
      </c>
      <c r="AN171" s="8">
        <v>145786000</v>
      </c>
    </row>
    <row r="172" spans="1:40" x14ac:dyDescent="0.35">
      <c r="A172" s="1">
        <v>38777</v>
      </c>
      <c r="B172" s="13">
        <f t="shared" si="4"/>
        <v>3</v>
      </c>
      <c r="C172" s="13">
        <f t="shared" si="5"/>
        <v>2006</v>
      </c>
      <c r="D172" s="2">
        <v>29443</v>
      </c>
      <c r="E172">
        <f>VLOOKUP(A172,PSR!$A$12:$B$721,2,FALSE)</f>
        <v>3.8</v>
      </c>
      <c r="F172">
        <f>VLOOKUP(A172,CCI_USA!$F$2:$H$317,3,FALSE)</f>
        <v>100.1506</v>
      </c>
      <c r="G172">
        <f>INDEX('BLS Data Series'!$A$11:$M$39,MATCH('UI Datathon Development'!C172,'BLS Data Series'!$A$13:$A$39,0)+2,MATCH('UI Datathon Development'!B172,'BLS Data Series'!$B$11:$M$11,0)+1)</f>
        <v>4.7</v>
      </c>
      <c r="H172">
        <f>VLOOKUP(A172,'Houses for sale'!$B$10:$I$671,8,FALSE)</f>
        <v>552</v>
      </c>
      <c r="I172">
        <f>VLOOKUP(A172,'House starts'!$A$12:$B$325,2,FALSE)</f>
        <v>1969</v>
      </c>
      <c r="J172">
        <f>VLOOKUP(A172,'New house sales'!$A$13:$C$324,3,FALSE)</f>
        <v>238800</v>
      </c>
      <c r="K172">
        <f>VLOOKUP($A172,'Sreenath''s data'!$A$2:$F$313,3,FALSE)</f>
        <v>182.75299999999999</v>
      </c>
      <c r="L172">
        <f>VLOOKUP($A172,'Sreenath''s data'!$A$2:$F$313,4,FALSE)</f>
        <v>6930.4</v>
      </c>
      <c r="M172">
        <f>VLOOKUP($A172,'Sreenath''s data'!$A$2:$F$313,5,FALSE)</f>
        <v>109098</v>
      </c>
      <c r="N172">
        <f>VLOOKUP($A172,'Sreenath''s data'!$A$2:$F$313,6,FALSE)</f>
        <v>92.572916626420394</v>
      </c>
      <c r="O172">
        <f>VLOOKUP($A172,'Niteesh''s data'!$A$2:$I$313,3,FALSE)</f>
        <v>1280.660034</v>
      </c>
      <c r="P172">
        <f>VLOOKUP($A172,'Niteesh''s data'!$A$2:$I$313,4,FALSE)</f>
        <v>1310.880005</v>
      </c>
      <c r="Q172">
        <f>VLOOKUP($A172,'Niteesh''s data'!$A$2:$I$313,5,FALSE)</f>
        <v>1268.420044</v>
      </c>
      <c r="R172">
        <f>VLOOKUP($A172,'Niteesh''s data'!$A$2:$I$313,6,FALSE)</f>
        <v>1294.869995</v>
      </c>
      <c r="S172">
        <f>VLOOKUP($A172,'Niteesh''s data'!$A$2:$I$313,7,FALSE)</f>
        <v>1294.869995</v>
      </c>
      <c r="T172">
        <f>VLOOKUP($A172,'Niteesh''s data'!$A$2:$I$313,8,FALSE)</f>
        <v>50905040000</v>
      </c>
      <c r="U172" s="61">
        <f>VLOOKUP($A172,'Niteesh''s data'!$A$2:$I$313,9,FALSE)</f>
        <v>9.7000000000000003E-3</v>
      </c>
      <c r="V172">
        <f>VLOOKUP(A172,'Existing home Sales'!$A$2:$C$324,3,FALSE)</f>
        <v>6.84</v>
      </c>
      <c r="W172" s="8">
        <v>3</v>
      </c>
      <c r="X172">
        <f>IFERROR(VLOOKUP(A172,'Home Depot Gross Profit'!$A$1:$B$105,2,FALSE)/3,IF(W172=2,X171,X171))</f>
        <v>1737</v>
      </c>
      <c r="Y172">
        <f>IFERROR(VLOOKUP(A172,'LOWE''S GROSS PROFIT'!$A$1:$B$105,2,FALSE)/3,IF(X172=2,Y171/3,Y171))</f>
        <v>1261.6666666666667</v>
      </c>
      <c r="Z172" s="8">
        <v>6.34</v>
      </c>
      <c r="AA172">
        <v>7689</v>
      </c>
      <c r="AB172">
        <f>VLOOKUP(A172,'[1]Fed_Int (1)'!$A$2:$B$316,2,FALSE)</f>
        <v>4.59</v>
      </c>
      <c r="AC172" s="8">
        <v>42.150002000000001</v>
      </c>
      <c r="AD172" s="8">
        <v>43.950001</v>
      </c>
      <c r="AE172" s="8">
        <v>40.279998999999997</v>
      </c>
      <c r="AF172" s="8">
        <v>42.299999</v>
      </c>
      <c r="AG172" s="8">
        <v>30.970821000000001</v>
      </c>
      <c r="AH172" s="8">
        <v>192419800</v>
      </c>
      <c r="AI172" s="8">
        <v>34.090000000000003</v>
      </c>
      <c r="AJ172" s="8">
        <v>34.424999</v>
      </c>
      <c r="AK172" s="8">
        <v>32.200001</v>
      </c>
      <c r="AL172" s="8">
        <v>32.220001000000003</v>
      </c>
      <c r="AM172" s="8">
        <v>26.483233999999999</v>
      </c>
      <c r="AN172" s="8">
        <v>163925400</v>
      </c>
    </row>
    <row r="173" spans="1:40" x14ac:dyDescent="0.35">
      <c r="A173" s="1">
        <v>38808</v>
      </c>
      <c r="B173" s="13">
        <f t="shared" si="4"/>
        <v>4</v>
      </c>
      <c r="C173" s="13">
        <f t="shared" si="5"/>
        <v>2006</v>
      </c>
      <c r="D173" s="2">
        <v>28900</v>
      </c>
      <c r="E173">
        <f>VLOOKUP(A173,PSR!$A$12:$B$721,2,FALSE)</f>
        <v>3.4</v>
      </c>
      <c r="F173">
        <f>VLOOKUP(A173,CCI_USA!$F$2:$H$317,3,FALSE)</f>
        <v>99.900869999999998</v>
      </c>
      <c r="G173">
        <f>INDEX('BLS Data Series'!$A$11:$M$39,MATCH('UI Datathon Development'!C173,'BLS Data Series'!$A$13:$A$39,0)+2,MATCH('UI Datathon Development'!B173,'BLS Data Series'!$B$11:$M$11,0)+1)</f>
        <v>4.7</v>
      </c>
      <c r="H173">
        <f>VLOOKUP(A173,'Houses for sale'!$B$10:$I$671,8,FALSE)</f>
        <v>565</v>
      </c>
      <c r="I173">
        <f>VLOOKUP(A173,'House starts'!$A$12:$B$325,2,FALSE)</f>
        <v>1821</v>
      </c>
      <c r="J173">
        <f>VLOOKUP(A173,'New house sales'!$A$13:$C$324,3,FALSE)</f>
        <v>257000</v>
      </c>
      <c r="K173">
        <f>VLOOKUP($A173,'Sreenath''s data'!$A$2:$F$313,3,FALSE)</f>
        <v>183.65</v>
      </c>
      <c r="L173">
        <f>VLOOKUP($A173,'Sreenath''s data'!$A$2:$F$313,4,FALSE)</f>
        <v>6932.6</v>
      </c>
      <c r="M173">
        <f>VLOOKUP($A173,'Sreenath''s data'!$A$2:$F$313,5,FALSE)</f>
        <v>109353</v>
      </c>
      <c r="N173">
        <f>VLOOKUP($A173,'Sreenath''s data'!$A$2:$F$313,6,FALSE)</f>
        <v>92.882008167744004</v>
      </c>
      <c r="O173">
        <f>VLOOKUP($A173,'Niteesh''s data'!$A$2:$I$313,3,FALSE)</f>
        <v>1302.880005</v>
      </c>
      <c r="P173">
        <f>VLOOKUP($A173,'Niteesh''s data'!$A$2:$I$313,4,FALSE)</f>
        <v>1318.160034</v>
      </c>
      <c r="Q173">
        <f>VLOOKUP($A173,'Niteesh''s data'!$A$2:$I$313,5,FALSE)</f>
        <v>1280.73999</v>
      </c>
      <c r="R173">
        <f>VLOOKUP($A173,'Niteesh''s data'!$A$2:$I$313,6,FALSE)</f>
        <v>1310.6099850000001</v>
      </c>
      <c r="S173">
        <f>VLOOKUP($A173,'Niteesh''s data'!$A$2:$I$313,7,FALSE)</f>
        <v>1310.6099850000001</v>
      </c>
      <c r="T173">
        <f>VLOOKUP($A173,'Niteesh''s data'!$A$2:$I$313,8,FALSE)</f>
        <v>43308430000</v>
      </c>
      <c r="U173" s="61">
        <f>VLOOKUP($A173,'Niteesh''s data'!$A$2:$I$313,9,FALSE)</f>
        <v>9.7000000000000003E-3</v>
      </c>
      <c r="V173">
        <f>VLOOKUP(A173,'Existing home Sales'!$A$2:$C$324,3,FALSE)</f>
        <v>6.83</v>
      </c>
      <c r="W173" s="8">
        <v>1</v>
      </c>
      <c r="X173">
        <f>IFERROR(VLOOKUP(A173,'Home Depot Gross Profit'!$A$1:$B$105,2,FALSE)/3,IF(W173=2,X172,X172))</f>
        <v>2409.3333333333335</v>
      </c>
      <c r="Y173">
        <f>IFERROR(VLOOKUP(A173,'LOWE''S GROSS PROFIT'!$A$1:$B$105,2,FALSE)/3,IF(X173=2,Y172/3,Y172))</f>
        <v>1389.6666666666667</v>
      </c>
      <c r="Z173" s="8">
        <v>6.51</v>
      </c>
      <c r="AA173">
        <v>7726</v>
      </c>
      <c r="AB173">
        <f>VLOOKUP(A173,'[1]Fed_Int (1)'!$A$2:$B$316,2,FALSE)</f>
        <v>4.79</v>
      </c>
      <c r="AC173" s="8">
        <v>42.380001</v>
      </c>
      <c r="AD173" s="8">
        <v>42.93</v>
      </c>
      <c r="AE173" s="8">
        <v>39.5</v>
      </c>
      <c r="AF173" s="8">
        <v>39.93</v>
      </c>
      <c r="AG173" s="8">
        <v>29.340868</v>
      </c>
      <c r="AH173" s="8">
        <v>142636300</v>
      </c>
      <c r="AI173" s="8">
        <v>32.474997999999999</v>
      </c>
      <c r="AJ173" s="8">
        <v>33.479999999999997</v>
      </c>
      <c r="AK173" s="8">
        <v>31.15</v>
      </c>
      <c r="AL173" s="8">
        <v>31.524999999999999</v>
      </c>
      <c r="AM173" s="8">
        <v>25.911974000000001</v>
      </c>
      <c r="AN173" s="8">
        <v>151150000</v>
      </c>
    </row>
    <row r="174" spans="1:40" x14ac:dyDescent="0.35">
      <c r="A174" s="1">
        <v>38838</v>
      </c>
      <c r="B174" s="13">
        <f t="shared" si="4"/>
        <v>5</v>
      </c>
      <c r="C174" s="13">
        <f t="shared" si="5"/>
        <v>2006</v>
      </c>
      <c r="D174" s="2">
        <v>27793</v>
      </c>
      <c r="E174">
        <f>VLOOKUP(A174,PSR!$A$12:$B$721,2,FALSE)</f>
        <v>3.2</v>
      </c>
      <c r="F174">
        <f>VLOOKUP(A174,CCI_USA!$F$2:$H$317,3,FALSE)</f>
        <v>99.620940000000004</v>
      </c>
      <c r="G174">
        <f>INDEX('BLS Data Series'!$A$11:$M$39,MATCH('UI Datathon Development'!C174,'BLS Data Series'!$A$13:$A$39,0)+2,MATCH('UI Datathon Development'!B174,'BLS Data Series'!$B$11:$M$11,0)+1)</f>
        <v>4.5999999999999996</v>
      </c>
      <c r="H174">
        <f>VLOOKUP(A174,'Houses for sale'!$B$10:$I$671,8,FALSE)</f>
        <v>565</v>
      </c>
      <c r="I174">
        <f>VLOOKUP(A174,'House starts'!$A$12:$B$325,2,FALSE)</f>
        <v>1942</v>
      </c>
      <c r="J174">
        <f>VLOOKUP(A174,'New house sales'!$A$13:$C$324,3,FALSE)</f>
        <v>238200</v>
      </c>
      <c r="K174">
        <f>VLOOKUP($A174,'Sreenath''s data'!$A$2:$F$313,3,FALSE)</f>
        <v>184.38200000000001</v>
      </c>
      <c r="L174">
        <f>VLOOKUP($A174,'Sreenath''s data'!$A$2:$F$313,4,FALSE)</f>
        <v>7016.1</v>
      </c>
      <c r="M174">
        <f>VLOOKUP($A174,'Sreenath''s data'!$A$2:$F$313,5,FALSE)</f>
        <v>109623</v>
      </c>
      <c r="N174">
        <f>VLOOKUP($A174,'Sreenath''s data'!$A$2:$F$313,6,FALSE)</f>
        <v>93.113826823736701</v>
      </c>
      <c r="O174">
        <f>VLOOKUP($A174,'Niteesh''s data'!$A$2:$I$313,3,FALSE)</f>
        <v>1310.6099850000001</v>
      </c>
      <c r="P174">
        <f>VLOOKUP($A174,'Niteesh''s data'!$A$2:$I$313,4,FALSE)</f>
        <v>1326.6999510000001</v>
      </c>
      <c r="Q174">
        <f>VLOOKUP($A174,'Niteesh''s data'!$A$2:$I$313,5,FALSE)</f>
        <v>1245.339966</v>
      </c>
      <c r="R174">
        <f>VLOOKUP($A174,'Niteesh''s data'!$A$2:$I$313,6,FALSE)</f>
        <v>1270.089966</v>
      </c>
      <c r="S174">
        <f>VLOOKUP($A174,'Niteesh''s data'!$A$2:$I$313,7,FALSE)</f>
        <v>1270.089966</v>
      </c>
      <c r="T174">
        <f>VLOOKUP($A174,'Niteesh''s data'!$A$2:$I$313,8,FALSE)</f>
        <v>54312830000</v>
      </c>
      <c r="U174" s="61">
        <f>VLOOKUP($A174,'Niteesh''s data'!$A$2:$I$313,9,FALSE)</f>
        <v>9.7000000000000003E-3</v>
      </c>
      <c r="V174">
        <f>VLOOKUP(A174,'Existing home Sales'!$A$2:$C$324,3,FALSE)</f>
        <v>6.7</v>
      </c>
      <c r="W174" s="8">
        <v>2</v>
      </c>
      <c r="X174">
        <f>IFERROR(VLOOKUP(A174,'Home Depot Gross Profit'!$A$1:$B$105,2,FALSE)/3,IF(W174=2,X173,X173))</f>
        <v>2409.3333333333335</v>
      </c>
      <c r="Y174">
        <f>IFERROR(VLOOKUP(A174,'LOWE''S GROSS PROFIT'!$A$1:$B$105,2,FALSE)/3,IF(X174=2,Y173/3,Y173))</f>
        <v>1389.6666666666667</v>
      </c>
      <c r="Z174" s="8">
        <v>6.5949999999999998</v>
      </c>
      <c r="AA174">
        <v>7713</v>
      </c>
      <c r="AB174">
        <f>VLOOKUP(A174,'[1]Fed_Int (1)'!$A$2:$B$316,2,FALSE)</f>
        <v>4.9400000000000004</v>
      </c>
      <c r="AC174" s="8">
        <v>40.150002000000001</v>
      </c>
      <c r="AD174" s="8">
        <v>41.610000999999997</v>
      </c>
      <c r="AE174" s="8">
        <v>37.299999</v>
      </c>
      <c r="AF174" s="8">
        <v>38.119999</v>
      </c>
      <c r="AG174" s="8">
        <v>28.010860000000001</v>
      </c>
      <c r="AH174" s="8">
        <v>264997600</v>
      </c>
      <c r="AI174" s="8">
        <v>31.709999</v>
      </c>
      <c r="AJ174" s="8">
        <v>32.849997999999999</v>
      </c>
      <c r="AK174" s="8">
        <v>29.5</v>
      </c>
      <c r="AL174" s="8">
        <v>31.139999</v>
      </c>
      <c r="AM174" s="8">
        <v>25.643507</v>
      </c>
      <c r="AN174" s="8">
        <v>178527000</v>
      </c>
    </row>
    <row r="175" spans="1:40" x14ac:dyDescent="0.35">
      <c r="A175" s="1">
        <v>38869</v>
      </c>
      <c r="B175" s="13">
        <f t="shared" si="4"/>
        <v>6</v>
      </c>
      <c r="C175" s="13">
        <f t="shared" si="5"/>
        <v>2006</v>
      </c>
      <c r="D175" s="2">
        <v>27391</v>
      </c>
      <c r="E175">
        <f>VLOOKUP(A175,PSR!$A$12:$B$721,2,FALSE)</f>
        <v>3.4</v>
      </c>
      <c r="F175">
        <f>VLOOKUP(A175,CCI_USA!$F$2:$H$317,3,FALSE)</f>
        <v>99.60033</v>
      </c>
      <c r="G175">
        <f>INDEX('BLS Data Series'!$A$11:$M$39,MATCH('UI Datathon Development'!C175,'BLS Data Series'!$A$13:$A$39,0)+2,MATCH('UI Datathon Development'!B175,'BLS Data Series'!$B$11:$M$11,0)+1)</f>
        <v>4.5999999999999996</v>
      </c>
      <c r="H175">
        <f>VLOOKUP(A175,'Houses for sale'!$B$10:$I$671,8,FALSE)</f>
        <v>566</v>
      </c>
      <c r="I175">
        <f>VLOOKUP(A175,'House starts'!$A$12:$B$325,2,FALSE)</f>
        <v>1802</v>
      </c>
      <c r="J175">
        <f>VLOOKUP(A175,'New house sales'!$A$13:$C$324,3,FALSE)</f>
        <v>243200</v>
      </c>
      <c r="K175">
        <f>VLOOKUP($A175,'Sreenath''s data'!$A$2:$F$313,3,FALSE)</f>
        <v>184.55099999999999</v>
      </c>
      <c r="L175">
        <f>VLOOKUP($A175,'Sreenath''s data'!$A$2:$F$313,4,FALSE)</f>
        <v>7002.8</v>
      </c>
      <c r="M175">
        <f>VLOOKUP($A175,'Sreenath''s data'!$A$2:$F$313,5,FALSE)</f>
        <v>109373</v>
      </c>
      <c r="N175">
        <f>VLOOKUP($A175,'Sreenath''s data'!$A$2:$F$313,6,FALSE)</f>
        <v>93.500191250391197</v>
      </c>
      <c r="O175">
        <f>VLOOKUP($A175,'Niteesh''s data'!$A$2:$I$313,3,FALSE)</f>
        <v>1270.0500489999999</v>
      </c>
      <c r="P175">
        <f>VLOOKUP($A175,'Niteesh''s data'!$A$2:$I$313,4,FALSE)</f>
        <v>1290.6800539999999</v>
      </c>
      <c r="Q175">
        <f>VLOOKUP($A175,'Niteesh''s data'!$A$2:$I$313,5,FALSE)</f>
        <v>1219.290039</v>
      </c>
      <c r="R175">
        <f>VLOOKUP($A175,'Niteesh''s data'!$A$2:$I$313,6,FALSE)</f>
        <v>1270.1999510000001</v>
      </c>
      <c r="S175">
        <f>VLOOKUP($A175,'Niteesh''s data'!$A$2:$I$313,7,FALSE)</f>
        <v>1270.1999510000001</v>
      </c>
      <c r="T175">
        <f>VLOOKUP($A175,'Niteesh''s data'!$A$2:$I$313,8,FALSE)</f>
        <v>54873260000</v>
      </c>
      <c r="U175" s="61">
        <f>VLOOKUP($A175,'Niteesh''s data'!$A$2:$I$313,9,FALSE)</f>
        <v>9.7000000000000003E-3</v>
      </c>
      <c r="V175">
        <f>VLOOKUP(A175,'Existing home Sales'!$A$2:$C$324,3,FALSE)</f>
        <v>6.58</v>
      </c>
      <c r="W175" s="8">
        <v>3</v>
      </c>
      <c r="X175">
        <f>IFERROR(VLOOKUP(A175,'Home Depot Gross Profit'!$A$1:$B$105,2,FALSE)/3,IF(W175=2,X174,X174))</f>
        <v>2409.3333333333335</v>
      </c>
      <c r="Y175">
        <f>IFERROR(VLOOKUP(A175,'LOWE''S GROSS PROFIT'!$A$1:$B$105,2,FALSE)/3,IF(X175=2,Y174/3,Y174))</f>
        <v>1389.6666666666667</v>
      </c>
      <c r="Z175" s="8">
        <v>6.67</v>
      </c>
      <c r="AA175">
        <v>7699</v>
      </c>
      <c r="AB175">
        <f>VLOOKUP(A175,'[1]Fed_Int (1)'!$A$2:$B$316,2,FALSE)</f>
        <v>4.99</v>
      </c>
      <c r="AC175" s="8">
        <v>37.950001</v>
      </c>
      <c r="AD175" s="8">
        <v>38.799999</v>
      </c>
      <c r="AE175" s="8">
        <v>35.630001</v>
      </c>
      <c r="AF175" s="8">
        <v>35.790000999999997</v>
      </c>
      <c r="AG175" s="8">
        <v>26.298763000000001</v>
      </c>
      <c r="AH175" s="8">
        <v>297879600</v>
      </c>
      <c r="AI175" s="8">
        <v>31.049999</v>
      </c>
      <c r="AJ175" s="8">
        <v>32.005001</v>
      </c>
      <c r="AK175" s="8">
        <v>30.030000999999999</v>
      </c>
      <c r="AL175" s="8">
        <v>30.334999</v>
      </c>
      <c r="AM175" s="8">
        <v>24.980602000000001</v>
      </c>
      <c r="AN175" s="8">
        <v>166160600</v>
      </c>
    </row>
    <row r="176" spans="1:40" x14ac:dyDescent="0.35">
      <c r="A176" s="1">
        <v>38899</v>
      </c>
      <c r="B176" s="13">
        <f t="shared" si="4"/>
        <v>7</v>
      </c>
      <c r="C176" s="13">
        <f t="shared" si="5"/>
        <v>2006</v>
      </c>
      <c r="D176" s="2">
        <v>27306</v>
      </c>
      <c r="E176">
        <f>VLOOKUP(A176,PSR!$A$12:$B$721,2,FALSE)</f>
        <v>2.9</v>
      </c>
      <c r="F176">
        <f>VLOOKUP(A176,CCI_USA!$F$2:$H$317,3,FALSE)</f>
        <v>99.636219999999994</v>
      </c>
      <c r="G176">
        <f>INDEX('BLS Data Series'!$A$11:$M$39,MATCH('UI Datathon Development'!C176,'BLS Data Series'!$A$13:$A$39,0)+2,MATCH('UI Datathon Development'!B176,'BLS Data Series'!$B$11:$M$11,0)+1)</f>
        <v>4.7</v>
      </c>
      <c r="H176">
        <f>VLOOKUP(A176,'Houses for sale'!$B$10:$I$671,8,FALSE)</f>
        <v>572</v>
      </c>
      <c r="I176">
        <f>VLOOKUP(A176,'House starts'!$A$12:$B$325,2,FALSE)</f>
        <v>1737</v>
      </c>
      <c r="J176">
        <f>VLOOKUP(A176,'New house sales'!$A$13:$C$324,3,FALSE)</f>
        <v>238100</v>
      </c>
      <c r="K176">
        <f>VLOOKUP($A176,'Sreenath''s data'!$A$2:$F$313,3,FALSE)</f>
        <v>184.61500000000001</v>
      </c>
      <c r="L176">
        <f>VLOOKUP($A176,'Sreenath''s data'!$A$2:$F$313,4,FALSE)</f>
        <v>7008.8</v>
      </c>
      <c r="M176">
        <f>VLOOKUP($A176,'Sreenath''s data'!$A$2:$F$313,5,FALSE)</f>
        <v>109504</v>
      </c>
      <c r="N176">
        <f>VLOOKUP($A176,'Sreenath''s data'!$A$2:$F$313,6,FALSE)</f>
        <v>94.041101447707504</v>
      </c>
      <c r="O176">
        <f>VLOOKUP($A176,'Niteesh''s data'!$A$2:$I$313,3,FALSE)</f>
        <v>1270.0600589999999</v>
      </c>
      <c r="P176">
        <f>VLOOKUP($A176,'Niteesh''s data'!$A$2:$I$313,4,FALSE)</f>
        <v>1280.420044</v>
      </c>
      <c r="Q176">
        <f>VLOOKUP($A176,'Niteesh''s data'!$A$2:$I$313,5,FALSE)</f>
        <v>1224.540039</v>
      </c>
      <c r="R176">
        <f>VLOOKUP($A176,'Niteesh''s data'!$A$2:$I$313,6,FALSE)</f>
        <v>1276.660034</v>
      </c>
      <c r="S176">
        <f>VLOOKUP($A176,'Niteesh''s data'!$A$2:$I$313,7,FALSE)</f>
        <v>1276.660034</v>
      </c>
      <c r="T176">
        <f>VLOOKUP($A176,'Niteesh''s data'!$A$2:$I$313,8,FALSE)</f>
        <v>46348220000</v>
      </c>
      <c r="U176" s="61">
        <f>VLOOKUP($A176,'Niteesh''s data'!$A$2:$I$313,9,FALSE)</f>
        <v>9.5999999999999992E-3</v>
      </c>
      <c r="V176">
        <f>VLOOKUP(A176,'Existing home Sales'!$A$2:$C$324,3,FALSE)</f>
        <v>6.48</v>
      </c>
      <c r="W176" s="8">
        <v>1</v>
      </c>
      <c r="X176">
        <f>IFERROR(VLOOKUP(A176,'Home Depot Gross Profit'!$A$1:$B$105,2,FALSE)/3,IF(W176=2,X175,X175))</f>
        <v>2485.3333333333335</v>
      </c>
      <c r="Y176">
        <f>IFERROR(VLOOKUP(A176,'LOWE''S GROSS PROFIT'!$A$1:$B$105,2,FALSE)/3,IF(X176=2,Y175/3,Y175))</f>
        <v>1492.6666666666667</v>
      </c>
      <c r="Z176" s="8">
        <v>6.7649999999999997</v>
      </c>
      <c r="AA176">
        <v>7712</v>
      </c>
      <c r="AB176">
        <f>VLOOKUP(A176,'[1]Fed_Int (1)'!$A$2:$B$316,2,FALSE)</f>
        <v>5.24</v>
      </c>
      <c r="AC176" s="8">
        <v>35.860000999999997</v>
      </c>
      <c r="AD176" s="8">
        <v>35.979999999999997</v>
      </c>
      <c r="AE176" s="8">
        <v>32.849997999999999</v>
      </c>
      <c r="AF176" s="8">
        <v>34.709999000000003</v>
      </c>
      <c r="AG176" s="8">
        <v>25.607710000000001</v>
      </c>
      <c r="AH176" s="8">
        <v>294513800</v>
      </c>
      <c r="AI176" s="8">
        <v>30.6</v>
      </c>
      <c r="AJ176" s="8">
        <v>31.15</v>
      </c>
      <c r="AK176" s="8">
        <v>26.9</v>
      </c>
      <c r="AL176" s="8">
        <v>28.35</v>
      </c>
      <c r="AM176" s="8">
        <v>23.345963999999999</v>
      </c>
      <c r="AN176" s="8">
        <v>173051600</v>
      </c>
    </row>
    <row r="177" spans="1:40" x14ac:dyDescent="0.35">
      <c r="A177" s="1">
        <v>38930</v>
      </c>
      <c r="B177" s="13">
        <f t="shared" si="4"/>
        <v>8</v>
      </c>
      <c r="C177" s="13">
        <f t="shared" si="5"/>
        <v>2006</v>
      </c>
      <c r="D177" s="2">
        <v>27380</v>
      </c>
      <c r="E177">
        <f>VLOOKUP(A177,PSR!$A$12:$B$721,2,FALSE)</f>
        <v>3</v>
      </c>
      <c r="F177">
        <f>VLOOKUP(A177,CCI_USA!$F$2:$H$317,3,FALSE)</f>
        <v>99.733760000000004</v>
      </c>
      <c r="G177">
        <f>INDEX('BLS Data Series'!$A$11:$M$39,MATCH('UI Datathon Development'!C177,'BLS Data Series'!$A$13:$A$39,0)+2,MATCH('UI Datathon Development'!B177,'BLS Data Series'!$B$11:$M$11,0)+1)</f>
        <v>4.7</v>
      </c>
      <c r="H177">
        <f>VLOOKUP(A177,'Houses for sale'!$B$10:$I$671,8,FALSE)</f>
        <v>566</v>
      </c>
      <c r="I177">
        <f>VLOOKUP(A177,'House starts'!$A$12:$B$325,2,FALSE)</f>
        <v>1650</v>
      </c>
      <c r="J177">
        <f>VLOOKUP(A177,'New house sales'!$A$13:$C$324,3,FALSE)</f>
        <v>243900</v>
      </c>
      <c r="K177">
        <f>VLOOKUP($A177,'Sreenath''s data'!$A$2:$F$313,3,FALSE)</f>
        <v>184.41399999999999</v>
      </c>
      <c r="L177">
        <f>VLOOKUP($A177,'Sreenath''s data'!$A$2:$F$313,4,FALSE)</f>
        <v>7019.1</v>
      </c>
      <c r="M177">
        <f>VLOOKUP($A177,'Sreenath''s data'!$A$2:$F$313,5,FALSE)</f>
        <v>109611</v>
      </c>
      <c r="N177">
        <f>VLOOKUP($A177,'Sreenath''s data'!$A$2:$F$313,6,FALSE)</f>
        <v>94.311556546365594</v>
      </c>
      <c r="O177">
        <f>VLOOKUP($A177,'Niteesh''s data'!$A$2:$I$313,3,FALSE)</f>
        <v>1278.530029</v>
      </c>
      <c r="P177">
        <f>VLOOKUP($A177,'Niteesh''s data'!$A$2:$I$313,4,FALSE)</f>
        <v>1306.73999</v>
      </c>
      <c r="Q177">
        <f>VLOOKUP($A177,'Niteesh''s data'!$A$2:$I$313,5,FALSE)</f>
        <v>1261.3000489999999</v>
      </c>
      <c r="R177">
        <f>VLOOKUP($A177,'Niteesh''s data'!$A$2:$I$313,6,FALSE)</f>
        <v>1303.8199460000001</v>
      </c>
      <c r="S177">
        <f>VLOOKUP($A177,'Niteesh''s data'!$A$2:$I$313,7,FALSE)</f>
        <v>1303.8199460000001</v>
      </c>
      <c r="T177">
        <f>VLOOKUP($A177,'Niteesh''s data'!$A$2:$I$313,8,FALSE)</f>
        <v>50485620000</v>
      </c>
      <c r="U177" s="61">
        <f>VLOOKUP($A177,'Niteesh''s data'!$A$2:$I$313,9,FALSE)</f>
        <v>9.7000000000000003E-3</v>
      </c>
      <c r="V177">
        <f>VLOOKUP(A177,'Existing home Sales'!$A$2:$C$324,3,FALSE)</f>
        <v>6.32</v>
      </c>
      <c r="W177" s="8">
        <v>2</v>
      </c>
      <c r="X177">
        <f>IFERROR(VLOOKUP(A177,'Home Depot Gross Profit'!$A$1:$B$105,2,FALSE)/3,IF(W177=2,X176,X176))</f>
        <v>2485.3333333333335</v>
      </c>
      <c r="Y177">
        <f>IFERROR(VLOOKUP(A177,'LOWE''S GROSS PROFIT'!$A$1:$B$105,2,FALSE)/3,IF(X177=2,Y176/3,Y176))</f>
        <v>1492.6666666666667</v>
      </c>
      <c r="Z177" s="8">
        <v>6.52</v>
      </c>
      <c r="AA177">
        <v>7720</v>
      </c>
      <c r="AB177">
        <f>VLOOKUP(A177,'[1]Fed_Int (1)'!$A$2:$B$316,2,FALSE)</f>
        <v>5.25</v>
      </c>
      <c r="AC177" s="8">
        <v>34.5</v>
      </c>
      <c r="AD177" s="8">
        <v>35.220001000000003</v>
      </c>
      <c r="AE177" s="8">
        <v>33.07</v>
      </c>
      <c r="AF177" s="8">
        <v>34.290000999999997</v>
      </c>
      <c r="AG177" s="8">
        <v>25.297853</v>
      </c>
      <c r="AH177" s="8">
        <v>284655800</v>
      </c>
      <c r="AI177" s="8">
        <v>28.35</v>
      </c>
      <c r="AJ177" s="8">
        <v>29.950001</v>
      </c>
      <c r="AK177" s="8">
        <v>26.15</v>
      </c>
      <c r="AL177" s="8">
        <v>27.059999000000001</v>
      </c>
      <c r="AM177" s="8">
        <v>22.323854000000001</v>
      </c>
      <c r="AN177" s="8">
        <v>203134600</v>
      </c>
    </row>
    <row r="178" spans="1:40" x14ac:dyDescent="0.35">
      <c r="A178" s="1">
        <v>38961</v>
      </c>
      <c r="B178" s="13">
        <f t="shared" si="4"/>
        <v>9</v>
      </c>
      <c r="C178" s="13">
        <f t="shared" si="5"/>
        <v>2006</v>
      </c>
      <c r="D178" s="2">
        <v>26963</v>
      </c>
      <c r="E178">
        <f>VLOOKUP(A178,PSR!$A$12:$B$721,2,FALSE)</f>
        <v>3</v>
      </c>
      <c r="F178">
        <f>VLOOKUP(A178,CCI_USA!$F$2:$H$317,3,FALSE)</f>
        <v>100.0467</v>
      </c>
      <c r="G178">
        <f>INDEX('BLS Data Series'!$A$11:$M$39,MATCH('UI Datathon Development'!C178,'BLS Data Series'!$A$13:$A$39,0)+2,MATCH('UI Datathon Development'!B178,'BLS Data Series'!$B$11:$M$11,0)+1)</f>
        <v>4.5</v>
      </c>
      <c r="H178">
        <f>VLOOKUP(A178,'Houses for sale'!$B$10:$I$671,8,FALSE)</f>
        <v>559</v>
      </c>
      <c r="I178">
        <f>VLOOKUP(A178,'House starts'!$A$12:$B$325,2,FALSE)</f>
        <v>1720</v>
      </c>
      <c r="J178">
        <f>VLOOKUP(A178,'New house sales'!$A$13:$C$324,3,FALSE)</f>
        <v>226700</v>
      </c>
      <c r="K178">
        <f>VLOOKUP($A178,'Sreenath''s data'!$A$2:$F$313,3,FALSE)</f>
        <v>184.20699999999999</v>
      </c>
      <c r="L178">
        <f>VLOOKUP($A178,'Sreenath''s data'!$A$2:$F$313,4,FALSE)</f>
        <v>7048.2</v>
      </c>
      <c r="M178">
        <f>VLOOKUP($A178,'Sreenath''s data'!$A$2:$F$313,5,FALSE)</f>
        <v>109773</v>
      </c>
      <c r="N178">
        <f>VLOOKUP($A178,'Sreenath''s data'!$A$2:$F$313,6,FALSE)</f>
        <v>94.195647218369302</v>
      </c>
      <c r="O178">
        <f>VLOOKUP($A178,'Niteesh''s data'!$A$2:$I$313,3,FALSE)</f>
        <v>1303.8000489999999</v>
      </c>
      <c r="P178">
        <f>VLOOKUP($A178,'Niteesh''s data'!$A$2:$I$313,4,FALSE)</f>
        <v>1340.280029</v>
      </c>
      <c r="Q178">
        <f>VLOOKUP($A178,'Niteesh''s data'!$A$2:$I$313,5,FALSE)</f>
        <v>1290.9300539999999</v>
      </c>
      <c r="R178">
        <f>VLOOKUP($A178,'Niteesh''s data'!$A$2:$I$313,6,FALSE)</f>
        <v>1335.849976</v>
      </c>
      <c r="S178">
        <f>VLOOKUP($A178,'Niteesh''s data'!$A$2:$I$313,7,FALSE)</f>
        <v>1335.849976</v>
      </c>
      <c r="T178">
        <f>VLOOKUP($A178,'Niteesh''s data'!$A$2:$I$313,8,FALSE)</f>
        <v>49001440000</v>
      </c>
      <c r="U178" s="61">
        <f>VLOOKUP($A178,'Niteesh''s data'!$A$2:$I$313,9,FALSE)</f>
        <v>9.7999999999999997E-3</v>
      </c>
      <c r="V178">
        <f>VLOOKUP(A178,'Existing home Sales'!$A$2:$C$324,3,FALSE)</f>
        <v>6.34</v>
      </c>
      <c r="W178" s="8">
        <v>3</v>
      </c>
      <c r="X178">
        <f>IFERROR(VLOOKUP(A178,'Home Depot Gross Profit'!$A$1:$B$105,2,FALSE)/3,IF(W178=2,X177,X177))</f>
        <v>2485.3333333333335</v>
      </c>
      <c r="Y178">
        <f>IFERROR(VLOOKUP(A178,'LOWE''S GROSS PROFIT'!$A$1:$B$105,2,FALSE)/3,IF(X178=2,Y177/3,Y177))</f>
        <v>1492.6666666666667</v>
      </c>
      <c r="Z178" s="8">
        <v>6.415</v>
      </c>
      <c r="AA178">
        <v>7718</v>
      </c>
      <c r="AB178">
        <f>VLOOKUP(A178,'[1]Fed_Int (1)'!$A$2:$B$316,2,FALSE)</f>
        <v>5.25</v>
      </c>
      <c r="AC178" s="8">
        <v>34.299999</v>
      </c>
      <c r="AD178" s="8">
        <v>37.650002000000001</v>
      </c>
      <c r="AE178" s="8">
        <v>33.75</v>
      </c>
      <c r="AF178" s="8">
        <v>36.270000000000003</v>
      </c>
      <c r="AG178" s="8">
        <v>26.758621000000002</v>
      </c>
      <c r="AH178" s="8">
        <v>245905100</v>
      </c>
      <c r="AI178" s="8">
        <v>27.08</v>
      </c>
      <c r="AJ178" s="8">
        <v>29.690000999999999</v>
      </c>
      <c r="AK178" s="8">
        <v>26.76</v>
      </c>
      <c r="AL178" s="8">
        <v>28.059999000000001</v>
      </c>
      <c r="AM178" s="8">
        <v>23.148831999999999</v>
      </c>
      <c r="AN178" s="8">
        <v>185743200</v>
      </c>
    </row>
    <row r="179" spans="1:40" x14ac:dyDescent="0.35">
      <c r="A179" s="1">
        <v>38991</v>
      </c>
      <c r="B179" s="13">
        <f t="shared" si="4"/>
        <v>10</v>
      </c>
      <c r="C179" s="13">
        <f t="shared" si="5"/>
        <v>2006</v>
      </c>
      <c r="D179" s="2">
        <v>27158</v>
      </c>
      <c r="E179">
        <f>VLOOKUP(A179,PSR!$A$12:$B$721,2,FALSE)</f>
        <v>3.1</v>
      </c>
      <c r="F179">
        <f>VLOOKUP(A179,CCI_USA!$F$2:$H$317,3,FALSE)</f>
        <v>100.4635</v>
      </c>
      <c r="G179">
        <f>INDEX('BLS Data Series'!$A$11:$M$39,MATCH('UI Datathon Development'!C179,'BLS Data Series'!$A$13:$A$39,0)+2,MATCH('UI Datathon Development'!B179,'BLS Data Series'!$B$11:$M$11,0)+1)</f>
        <v>4.4000000000000004</v>
      </c>
      <c r="H179">
        <f>VLOOKUP(A179,'Houses for sale'!$B$10:$I$671,8,FALSE)</f>
        <v>554</v>
      </c>
      <c r="I179">
        <f>VLOOKUP(A179,'House starts'!$A$12:$B$325,2,FALSE)</f>
        <v>1491</v>
      </c>
      <c r="J179">
        <f>VLOOKUP(A179,'New house sales'!$A$13:$C$324,3,FALSE)</f>
        <v>250400</v>
      </c>
      <c r="K179">
        <f>VLOOKUP($A179,'Sreenath''s data'!$A$2:$F$313,3,FALSE)</f>
        <v>184.06200000000001</v>
      </c>
      <c r="L179">
        <f>VLOOKUP($A179,'Sreenath''s data'!$A$2:$F$313,4,FALSE)</f>
        <v>7113.4</v>
      </c>
      <c r="M179">
        <f>VLOOKUP($A179,'Sreenath''s data'!$A$2:$F$313,5,FALSE)</f>
        <v>110020</v>
      </c>
      <c r="N179">
        <f>VLOOKUP($A179,'Sreenath''s data'!$A$2:$F$313,6,FALSE)</f>
        <v>94.543375202358405</v>
      </c>
      <c r="O179">
        <f>VLOOKUP($A179,'Niteesh''s data'!$A$2:$I$313,3,FALSE)</f>
        <v>1335.8199460000001</v>
      </c>
      <c r="P179">
        <f>VLOOKUP($A179,'Niteesh''s data'!$A$2:$I$313,4,FALSE)</f>
        <v>1389.4499510000001</v>
      </c>
      <c r="Q179">
        <f>VLOOKUP($A179,'Niteesh''s data'!$A$2:$I$313,5,FALSE)</f>
        <v>1327.099976</v>
      </c>
      <c r="R179">
        <f>VLOOKUP($A179,'Niteesh''s data'!$A$2:$I$313,6,FALSE)</f>
        <v>1377.9399410000001</v>
      </c>
      <c r="S179">
        <f>VLOOKUP($A179,'Niteesh''s data'!$A$2:$I$313,7,FALSE)</f>
        <v>1377.9399410000001</v>
      </c>
      <c r="T179">
        <f>VLOOKUP($A179,'Niteesh''s data'!$A$2:$I$313,8,FALSE)</f>
        <v>56793620000</v>
      </c>
      <c r="U179" s="61">
        <f>VLOOKUP($A179,'Niteesh''s data'!$A$2:$I$313,9,FALSE)</f>
        <v>9.7999999999999997E-3</v>
      </c>
      <c r="V179">
        <f>VLOOKUP(A179,'Existing home Sales'!$A$2:$C$324,3,FALSE)</f>
        <v>6.28</v>
      </c>
      <c r="W179" s="8">
        <v>1</v>
      </c>
      <c r="X179">
        <f>IFERROR(VLOOKUP(A179,'Home Depot Gross Profit'!$A$1:$B$105,2,FALSE)/3,IF(W179=2,X178,X178))</f>
        <v>2201.3333333333335</v>
      </c>
      <c r="Y179">
        <f>IFERROR(VLOOKUP(A179,'LOWE''S GROSS PROFIT'!$A$1:$B$105,2,FALSE)/3,IF(X179=2,Y178/3,Y178))</f>
        <v>1288.3333333333333</v>
      </c>
      <c r="Z179" s="8">
        <v>6.3650000000000002</v>
      </c>
      <c r="AA179">
        <v>7682</v>
      </c>
      <c r="AB179">
        <f>VLOOKUP(A179,'[1]Fed_Int (1)'!$A$2:$B$316,2,FALSE)</f>
        <v>5.25</v>
      </c>
      <c r="AC179" s="8">
        <v>36.18</v>
      </c>
      <c r="AD179" s="8">
        <v>38.240001999999997</v>
      </c>
      <c r="AE179" s="8">
        <v>35.549999</v>
      </c>
      <c r="AF179" s="8">
        <v>37.330002</v>
      </c>
      <c r="AG179" s="8">
        <v>27.660420999999999</v>
      </c>
      <c r="AH179" s="8">
        <v>268215200</v>
      </c>
      <c r="AI179" s="8">
        <v>28.1</v>
      </c>
      <c r="AJ179" s="8">
        <v>31.549999</v>
      </c>
      <c r="AK179" s="8">
        <v>27.85</v>
      </c>
      <c r="AL179" s="8">
        <v>30.139999</v>
      </c>
      <c r="AM179" s="8">
        <v>24.864784</v>
      </c>
      <c r="AN179" s="8">
        <v>198882300</v>
      </c>
    </row>
    <row r="180" spans="1:40" x14ac:dyDescent="0.35">
      <c r="A180" s="1">
        <v>39022</v>
      </c>
      <c r="B180" s="13">
        <f t="shared" si="4"/>
        <v>11</v>
      </c>
      <c r="C180" s="13">
        <f t="shared" si="5"/>
        <v>2006</v>
      </c>
      <c r="D180" s="2">
        <v>26696</v>
      </c>
      <c r="E180">
        <f>VLOOKUP(A180,PSR!$A$12:$B$721,2,FALSE)</f>
        <v>3.2</v>
      </c>
      <c r="F180">
        <f>VLOOKUP(A180,CCI_USA!$F$2:$H$317,3,FALSE)</f>
        <v>100.69280000000001</v>
      </c>
      <c r="G180">
        <f>INDEX('BLS Data Series'!$A$11:$M$39,MATCH('UI Datathon Development'!C180,'BLS Data Series'!$A$13:$A$39,0)+2,MATCH('UI Datathon Development'!B180,'BLS Data Series'!$B$11:$M$11,0)+1)</f>
        <v>4.5</v>
      </c>
      <c r="H180">
        <f>VLOOKUP(A180,'Houses for sale'!$B$10:$I$671,8,FALSE)</f>
        <v>543</v>
      </c>
      <c r="I180">
        <f>VLOOKUP(A180,'House starts'!$A$12:$B$325,2,FALSE)</f>
        <v>1570</v>
      </c>
      <c r="J180">
        <f>VLOOKUP(A180,'New house sales'!$A$13:$C$324,3,FALSE)</f>
        <v>240100</v>
      </c>
      <c r="K180">
        <f>VLOOKUP($A180,'Sreenath''s data'!$A$2:$F$313,3,FALSE)</f>
        <v>183.63800000000001</v>
      </c>
      <c r="L180">
        <f>VLOOKUP($A180,'Sreenath''s data'!$A$2:$F$313,4,FALSE)</f>
        <v>7111.1</v>
      </c>
      <c r="M180">
        <f>VLOOKUP($A180,'Sreenath''s data'!$A$2:$F$313,5,FALSE)</f>
        <v>109937</v>
      </c>
      <c r="N180">
        <f>VLOOKUP($A180,'Sreenath''s data'!$A$2:$F$313,6,FALSE)</f>
        <v>94.543375202358405</v>
      </c>
      <c r="O180">
        <f>VLOOKUP($A180,'Niteesh''s data'!$A$2:$I$313,3,FALSE)</f>
        <v>1377.76001</v>
      </c>
      <c r="P180">
        <f>VLOOKUP($A180,'Niteesh''s data'!$A$2:$I$313,4,FALSE)</f>
        <v>1407.8900149999999</v>
      </c>
      <c r="Q180">
        <f>VLOOKUP($A180,'Niteesh''s data'!$A$2:$I$313,5,FALSE)</f>
        <v>1360.9799800000001</v>
      </c>
      <c r="R180">
        <f>VLOOKUP($A180,'Niteesh''s data'!$A$2:$I$313,6,FALSE)</f>
        <v>1400.630005</v>
      </c>
      <c r="S180">
        <f>VLOOKUP($A180,'Niteesh''s data'!$A$2:$I$313,7,FALSE)</f>
        <v>1400.630005</v>
      </c>
      <c r="T180">
        <f>VLOOKUP($A180,'Niteesh''s data'!$A$2:$I$313,8,FALSE)</f>
        <v>55343930000</v>
      </c>
      <c r="U180" s="61">
        <f>VLOOKUP($A180,'Niteesh''s data'!$A$2:$I$313,9,FALSE)</f>
        <v>9.7000000000000003E-3</v>
      </c>
      <c r="V180">
        <f>VLOOKUP(A180,'Existing home Sales'!$A$2:$C$324,3,FALSE)</f>
        <v>6.36</v>
      </c>
      <c r="W180" s="8">
        <v>2</v>
      </c>
      <c r="X180">
        <f>IFERROR(VLOOKUP(A180,'Home Depot Gross Profit'!$A$1:$B$105,2,FALSE)/3,IF(W180=2,X179,X179))</f>
        <v>2201.3333333333335</v>
      </c>
      <c r="Y180">
        <f>IFERROR(VLOOKUP(A180,'LOWE''S GROSS PROFIT'!$A$1:$B$105,2,FALSE)/3,IF(X180=2,Y179/3,Y179))</f>
        <v>1288.3333333333333</v>
      </c>
      <c r="Z180" s="8">
        <v>6.24</v>
      </c>
      <c r="AA180">
        <v>7666</v>
      </c>
      <c r="AB180">
        <f>VLOOKUP(A180,'[1]Fed_Int (1)'!$A$2:$B$316,2,FALSE)</f>
        <v>5.25</v>
      </c>
      <c r="AC180" s="8">
        <v>37.5</v>
      </c>
      <c r="AD180" s="8">
        <v>38.849997999999999</v>
      </c>
      <c r="AE180" s="8">
        <v>35.770000000000003</v>
      </c>
      <c r="AF180" s="8">
        <v>37.970001000000003</v>
      </c>
      <c r="AG180" s="8">
        <v>28.134649</v>
      </c>
      <c r="AH180" s="8">
        <v>355710000</v>
      </c>
      <c r="AI180" s="8">
        <v>30.16</v>
      </c>
      <c r="AJ180" s="8">
        <v>31.190000999999999</v>
      </c>
      <c r="AK180" s="8">
        <v>28.59</v>
      </c>
      <c r="AL180" s="8">
        <v>30.16</v>
      </c>
      <c r="AM180" s="8">
        <v>24.922070999999999</v>
      </c>
      <c r="AN180" s="8">
        <v>209490300</v>
      </c>
    </row>
    <row r="181" spans="1:40" x14ac:dyDescent="0.35">
      <c r="A181" s="1">
        <v>39052</v>
      </c>
      <c r="B181" s="13">
        <f t="shared" si="4"/>
        <v>12</v>
      </c>
      <c r="C181" s="13">
        <f t="shared" si="5"/>
        <v>2006</v>
      </c>
      <c r="D181" s="2">
        <v>27151</v>
      </c>
      <c r="E181">
        <f>VLOOKUP(A181,PSR!$A$12:$B$721,2,FALSE)</f>
        <v>3</v>
      </c>
      <c r="F181">
        <f>VLOOKUP(A181,CCI_USA!$F$2:$H$317,3,FALSE)</f>
        <v>100.8074</v>
      </c>
      <c r="G181">
        <f>INDEX('BLS Data Series'!$A$11:$M$39,MATCH('UI Datathon Development'!C181,'BLS Data Series'!$A$13:$A$39,0)+2,MATCH('UI Datathon Development'!B181,'BLS Data Series'!$B$11:$M$11,0)+1)</f>
        <v>4.4000000000000004</v>
      </c>
      <c r="H181">
        <f>VLOOKUP(A181,'Houses for sale'!$B$10:$I$671,8,FALSE)</f>
        <v>536</v>
      </c>
      <c r="I181">
        <f>VLOOKUP(A181,'House starts'!$A$12:$B$325,2,FALSE)</f>
        <v>1649</v>
      </c>
      <c r="J181">
        <f>VLOOKUP(A181,'New house sales'!$A$13:$C$324,3,FALSE)</f>
        <v>244700</v>
      </c>
      <c r="K181">
        <f>VLOOKUP($A181,'Sreenath''s data'!$A$2:$F$313,3,FALSE)</f>
        <v>183.23599999999999</v>
      </c>
      <c r="L181">
        <f>VLOOKUP($A181,'Sreenath''s data'!$A$2:$F$313,4,FALSE)</f>
        <v>7144.2</v>
      </c>
      <c r="M181">
        <f>VLOOKUP($A181,'Sreenath''s data'!$A$2:$F$313,5,FALSE)</f>
        <v>109838</v>
      </c>
      <c r="N181">
        <f>VLOOKUP($A181,'Sreenath''s data'!$A$2:$F$313,6,FALSE)</f>
        <v>94.659284530354697</v>
      </c>
      <c r="O181">
        <f>VLOOKUP($A181,'Niteesh''s data'!$A$2:$I$313,3,FALSE)</f>
        <v>1400.630005</v>
      </c>
      <c r="P181">
        <f>VLOOKUP($A181,'Niteesh''s data'!$A$2:$I$313,4,FALSE)</f>
        <v>1431.8100589999999</v>
      </c>
      <c r="Q181">
        <f>VLOOKUP($A181,'Niteesh''s data'!$A$2:$I$313,5,FALSE)</f>
        <v>1385.9300539999999</v>
      </c>
      <c r="R181">
        <f>VLOOKUP($A181,'Niteesh''s data'!$A$2:$I$313,6,FALSE)</f>
        <v>1418.3000489999999</v>
      </c>
      <c r="S181">
        <f>VLOOKUP($A181,'Niteesh''s data'!$A$2:$I$313,7,FALSE)</f>
        <v>1418.3000489999999</v>
      </c>
      <c r="T181">
        <f>VLOOKUP($A181,'Niteesh''s data'!$A$2:$I$313,8,FALSE)</f>
        <v>47578780000</v>
      </c>
      <c r="U181" s="61">
        <f>VLOOKUP($A181,'Niteesh''s data'!$A$2:$I$313,9,FALSE)</f>
        <v>9.5999999999999992E-3</v>
      </c>
      <c r="V181">
        <f>VLOOKUP(A181,'Existing home Sales'!$A$2:$C$324,3,FALSE)</f>
        <v>6.34</v>
      </c>
      <c r="W181" s="8">
        <v>3</v>
      </c>
      <c r="X181">
        <f>IFERROR(VLOOKUP(A181,'Home Depot Gross Profit'!$A$1:$B$105,2,FALSE)/3,IF(W181=2,X180,X180))</f>
        <v>2201.3333333333335</v>
      </c>
      <c r="Y181">
        <f>IFERROR(VLOOKUP(A181,'LOWE''S GROSS PROFIT'!$A$1:$B$105,2,FALSE)/3,IF(X181=2,Y180/3,Y180))</f>
        <v>1288.3333333333333</v>
      </c>
      <c r="Z181" s="8">
        <v>6.125</v>
      </c>
      <c r="AA181">
        <v>7685</v>
      </c>
      <c r="AB181">
        <f>VLOOKUP(A181,'[1]Fed_Int (1)'!$A$2:$B$316,2,FALSE)</f>
        <v>5.24</v>
      </c>
      <c r="AC181" s="8">
        <v>39.099997999999999</v>
      </c>
      <c r="AD181" s="8">
        <v>40.369999</v>
      </c>
      <c r="AE181" s="8">
        <v>38.18</v>
      </c>
      <c r="AF181" s="8">
        <v>40.159999999999997</v>
      </c>
      <c r="AG181" s="8">
        <v>29.93655</v>
      </c>
      <c r="AH181" s="8">
        <v>323271600</v>
      </c>
      <c r="AI181" s="8">
        <v>30.5</v>
      </c>
      <c r="AJ181" s="8">
        <v>31.98</v>
      </c>
      <c r="AK181" s="8">
        <v>30.15</v>
      </c>
      <c r="AL181" s="8">
        <v>31.15</v>
      </c>
      <c r="AM181" s="8">
        <v>25.740137000000001</v>
      </c>
      <c r="AN181" s="8">
        <v>155780500</v>
      </c>
    </row>
    <row r="182" spans="1:40" x14ac:dyDescent="0.35">
      <c r="A182" s="1">
        <v>39083</v>
      </c>
      <c r="B182" s="13">
        <f t="shared" si="4"/>
        <v>1</v>
      </c>
      <c r="C182" s="13">
        <f t="shared" si="5"/>
        <v>2007</v>
      </c>
      <c r="D182" s="2">
        <v>27380</v>
      </c>
      <c r="E182">
        <f>VLOOKUP(A182,PSR!$A$12:$B$721,2,FALSE)</f>
        <v>3</v>
      </c>
      <c r="F182">
        <f>VLOOKUP(A182,CCI_USA!$F$2:$H$317,3,FALSE)</f>
        <v>100.8391</v>
      </c>
      <c r="G182">
        <f>INDEX('BLS Data Series'!$A$11:$M$39,MATCH('UI Datathon Development'!C182,'BLS Data Series'!$A$13:$A$39,0)+2,MATCH('UI Datathon Development'!B182,'BLS Data Series'!$B$11:$M$11,0)+1)</f>
        <v>4.5999999999999996</v>
      </c>
      <c r="H182">
        <f>VLOOKUP(A182,'Houses for sale'!$B$10:$I$671,8,FALSE)</f>
        <v>538</v>
      </c>
      <c r="I182">
        <f>VLOOKUP(A182,'House starts'!$A$12:$B$325,2,FALSE)</f>
        <v>1409</v>
      </c>
      <c r="J182">
        <f>VLOOKUP(A182,'New house sales'!$A$13:$C$324,3,FALSE)</f>
        <v>254400</v>
      </c>
      <c r="K182">
        <f>VLOOKUP($A182,'Sreenath''s data'!$A$2:$F$313,3,FALSE)</f>
        <v>182.72399999999999</v>
      </c>
      <c r="L182">
        <f>VLOOKUP($A182,'Sreenath''s data'!$A$2:$F$313,4,FALSE)</f>
        <v>7174.2</v>
      </c>
      <c r="M182">
        <f>VLOOKUP($A182,'Sreenath''s data'!$A$2:$F$313,5,FALSE)</f>
        <v>109807</v>
      </c>
      <c r="N182">
        <f>VLOOKUP($A182,'Sreenath''s data'!$A$2:$F$313,6,FALSE)</f>
        <v>95.229558424096794</v>
      </c>
      <c r="O182">
        <f>VLOOKUP($A182,'Niteesh''s data'!$A$2:$I$313,3,FALSE)</f>
        <v>1418.030029</v>
      </c>
      <c r="P182">
        <f>VLOOKUP($A182,'Niteesh''s data'!$A$2:$I$313,4,FALSE)</f>
        <v>1441.6099850000001</v>
      </c>
      <c r="Q182">
        <f>VLOOKUP($A182,'Niteesh''s data'!$A$2:$I$313,5,FALSE)</f>
        <v>1403.969971</v>
      </c>
      <c r="R182">
        <f>VLOOKUP($A182,'Niteesh''s data'!$A$2:$I$313,6,FALSE)</f>
        <v>1438.23999</v>
      </c>
      <c r="S182">
        <f>VLOOKUP($A182,'Niteesh''s data'!$A$2:$I$313,7,FALSE)</f>
        <v>1438.23999</v>
      </c>
      <c r="T182">
        <f>VLOOKUP($A182,'Niteesh''s data'!$A$2:$I$313,8,FALSE)</f>
        <v>56686200000</v>
      </c>
      <c r="U182" s="61">
        <f>VLOOKUP($A182,'Niteesh''s data'!$A$2:$I$313,9,FALSE)</f>
        <v>9.5999999999999992E-3</v>
      </c>
      <c r="V182">
        <f>VLOOKUP(A182,'Existing home Sales'!$A$2:$C$324,3,FALSE)</f>
        <v>6.4</v>
      </c>
      <c r="W182" s="8">
        <v>1</v>
      </c>
      <c r="X182">
        <f>IFERROR(VLOOKUP(A182,'Home Depot Gross Profit'!$A$1:$B$105,2,FALSE)/3,IF(W182=2,X181,X181))</f>
        <v>1950</v>
      </c>
      <c r="Y182">
        <f>IFERROR(VLOOKUP(A182,'LOWE''S GROSS PROFIT'!$A$1:$B$105,2,FALSE)/3,IF(X182=2,Y181/3,Y181))</f>
        <v>1229</v>
      </c>
      <c r="Z182" s="8">
        <v>6.22</v>
      </c>
      <c r="AA182">
        <v>7725</v>
      </c>
      <c r="AB182">
        <f>VLOOKUP(A182,'[1]Fed_Int (1)'!$A$2:$B$316,2,FALSE)</f>
        <v>5.25</v>
      </c>
      <c r="AC182" s="8">
        <v>41.299999</v>
      </c>
      <c r="AD182" s="8">
        <v>41.84</v>
      </c>
      <c r="AE182" s="8">
        <v>39.060001</v>
      </c>
      <c r="AF182" s="8">
        <v>40.740001999999997</v>
      </c>
      <c r="AG182" s="8">
        <v>30.368904000000001</v>
      </c>
      <c r="AH182" s="8">
        <v>316367900</v>
      </c>
      <c r="AI182" s="8">
        <v>31.209999</v>
      </c>
      <c r="AJ182" s="8">
        <v>33.950001</v>
      </c>
      <c r="AK182" s="8">
        <v>31.129999000000002</v>
      </c>
      <c r="AL182" s="8">
        <v>33.709999000000003</v>
      </c>
      <c r="AM182" s="8">
        <v>27.855537000000002</v>
      </c>
      <c r="AN182" s="8">
        <v>149914900</v>
      </c>
    </row>
    <row r="183" spans="1:40" x14ac:dyDescent="0.35">
      <c r="A183" s="1">
        <v>39114</v>
      </c>
      <c r="B183" s="13">
        <f t="shared" si="4"/>
        <v>2</v>
      </c>
      <c r="C183" s="13">
        <f t="shared" si="5"/>
        <v>2007</v>
      </c>
      <c r="D183" s="2">
        <v>27083</v>
      </c>
      <c r="E183">
        <f>VLOOKUP(A183,PSR!$A$12:$B$721,2,FALSE)</f>
        <v>3.3</v>
      </c>
      <c r="F183">
        <f>VLOOKUP(A183,CCI_USA!$F$2:$H$317,3,FALSE)</f>
        <v>100.6177</v>
      </c>
      <c r="G183">
        <f>INDEX('BLS Data Series'!$A$11:$M$39,MATCH('UI Datathon Development'!C183,'BLS Data Series'!$A$13:$A$39,0)+2,MATCH('UI Datathon Development'!B183,'BLS Data Series'!$B$11:$M$11,0)+1)</f>
        <v>4.5</v>
      </c>
      <c r="H183">
        <f>VLOOKUP(A183,'Houses for sale'!$B$10:$I$671,8,FALSE)</f>
        <v>544</v>
      </c>
      <c r="I183">
        <f>VLOOKUP(A183,'House starts'!$A$12:$B$325,2,FALSE)</f>
        <v>1480</v>
      </c>
      <c r="J183">
        <f>VLOOKUP(A183,'New house sales'!$A$13:$C$324,3,FALSE)</f>
        <v>250800</v>
      </c>
      <c r="K183">
        <f>VLOOKUP($A183,'Sreenath''s data'!$A$2:$F$313,3,FALSE)</f>
        <v>182.476</v>
      </c>
      <c r="L183">
        <f>VLOOKUP($A183,'Sreenath''s data'!$A$2:$F$313,4,FALSE)</f>
        <v>7190.3</v>
      </c>
      <c r="M183">
        <f>VLOOKUP($A183,'Sreenath''s data'!$A$2:$F$313,5,FALSE)</f>
        <v>109700</v>
      </c>
      <c r="N183">
        <f>VLOOKUP($A183,'Sreenath''s data'!$A$2:$F$313,6,FALSE)</f>
        <v>95.827650556557998</v>
      </c>
      <c r="O183">
        <f>VLOOKUP($A183,'Niteesh''s data'!$A$2:$I$313,3,FALSE)</f>
        <v>1437.900024</v>
      </c>
      <c r="P183">
        <f>VLOOKUP($A183,'Niteesh''s data'!$A$2:$I$313,4,FALSE)</f>
        <v>1461.5699460000001</v>
      </c>
      <c r="Q183">
        <f>VLOOKUP($A183,'Niteesh''s data'!$A$2:$I$313,5,FALSE)</f>
        <v>1389.420044</v>
      </c>
      <c r="R183">
        <f>VLOOKUP($A183,'Niteesh''s data'!$A$2:$I$313,6,FALSE)</f>
        <v>1406.8199460000001</v>
      </c>
      <c r="S183">
        <f>VLOOKUP($A183,'Niteesh''s data'!$A$2:$I$313,7,FALSE)</f>
        <v>1406.8199460000001</v>
      </c>
      <c r="T183">
        <f>VLOOKUP($A183,'Niteesh''s data'!$A$2:$I$313,8,FALSE)</f>
        <v>51844990000</v>
      </c>
      <c r="U183" s="61">
        <f>VLOOKUP($A183,'Niteesh''s data'!$A$2:$I$313,9,FALSE)</f>
        <v>9.5999999999999992E-3</v>
      </c>
      <c r="V183">
        <f>VLOOKUP(A183,'Existing home Sales'!$A$2:$C$324,3,FALSE)</f>
        <v>5.74</v>
      </c>
      <c r="W183" s="8">
        <v>2</v>
      </c>
      <c r="X183">
        <f>IFERROR(VLOOKUP(A183,'Home Depot Gross Profit'!$A$1:$B$105,2,FALSE)/3,IF(W183=2,X182,X182))</f>
        <v>1950</v>
      </c>
      <c r="Y183">
        <f>IFERROR(VLOOKUP(A183,'LOWE''S GROSS PROFIT'!$A$1:$B$105,2,FALSE)/3,IF(X183=2,Y182/3,Y182))</f>
        <v>1229</v>
      </c>
      <c r="Z183" s="8">
        <v>6.29</v>
      </c>
      <c r="AA183">
        <v>7626</v>
      </c>
      <c r="AB183">
        <f>VLOOKUP(A183,'[1]Fed_Int (1)'!$A$2:$B$316,2,FALSE)</f>
        <v>5.26</v>
      </c>
      <c r="AC183" s="8">
        <v>40.770000000000003</v>
      </c>
      <c r="AD183" s="8">
        <v>42.009998000000003</v>
      </c>
      <c r="AE183" s="8">
        <v>39.290000999999997</v>
      </c>
      <c r="AF183" s="8">
        <v>39.590000000000003</v>
      </c>
      <c r="AG183" s="8">
        <v>29.511662000000001</v>
      </c>
      <c r="AH183" s="8">
        <v>258092400</v>
      </c>
      <c r="AI183" s="8">
        <v>33.900002000000001</v>
      </c>
      <c r="AJ183" s="8">
        <v>35.740001999999997</v>
      </c>
      <c r="AK183" s="8">
        <v>32.439999</v>
      </c>
      <c r="AL183" s="8">
        <v>32.549999</v>
      </c>
      <c r="AM183" s="8">
        <v>26.937325000000001</v>
      </c>
      <c r="AN183" s="8">
        <v>137894400</v>
      </c>
    </row>
    <row r="184" spans="1:40" x14ac:dyDescent="0.35">
      <c r="A184" s="1">
        <v>39142</v>
      </c>
      <c r="B184" s="13">
        <f t="shared" si="4"/>
        <v>3</v>
      </c>
      <c r="C184" s="13">
        <f t="shared" si="5"/>
        <v>2007</v>
      </c>
      <c r="D184" s="2">
        <v>27583</v>
      </c>
      <c r="E184">
        <f>VLOOKUP(A184,PSR!$A$12:$B$721,2,FALSE)</f>
        <v>3.6</v>
      </c>
      <c r="F184">
        <f>VLOOKUP(A184,CCI_USA!$F$2:$H$317,3,FALSE)</f>
        <v>100.3479</v>
      </c>
      <c r="G184">
        <f>INDEX('BLS Data Series'!$A$11:$M$39,MATCH('UI Datathon Development'!C184,'BLS Data Series'!$A$13:$A$39,0)+2,MATCH('UI Datathon Development'!B184,'BLS Data Series'!$B$11:$M$11,0)+1)</f>
        <v>4.4000000000000004</v>
      </c>
      <c r="H184">
        <f>VLOOKUP(A184,'Houses for sale'!$B$10:$I$671,8,FALSE)</f>
        <v>545</v>
      </c>
      <c r="I184">
        <f>VLOOKUP(A184,'House starts'!$A$12:$B$325,2,FALSE)</f>
        <v>1495</v>
      </c>
      <c r="J184">
        <f>VLOOKUP(A184,'New house sales'!$A$13:$C$324,3,FALSE)</f>
        <v>262600</v>
      </c>
      <c r="K184">
        <f>VLOOKUP($A184,'Sreenath''s data'!$A$2:$F$313,3,FALSE)</f>
        <v>182.19900000000001</v>
      </c>
      <c r="L184">
        <f>VLOOKUP($A184,'Sreenath''s data'!$A$2:$F$313,4,FALSE)</f>
        <v>7208.3</v>
      </c>
      <c r="M184">
        <f>VLOOKUP($A184,'Sreenath''s data'!$A$2:$F$313,5,FALSE)</f>
        <v>109606</v>
      </c>
      <c r="N184">
        <f>VLOOKUP($A184,'Sreenath''s data'!$A$2:$F$313,6,FALSE)</f>
        <v>96.238355942091701</v>
      </c>
      <c r="O184">
        <f>VLOOKUP($A184,'Niteesh''s data'!$A$2:$I$313,3,FALSE)</f>
        <v>1406.8000489999999</v>
      </c>
      <c r="P184">
        <f>VLOOKUP($A184,'Niteesh''s data'!$A$2:$I$313,4,FALSE)</f>
        <v>1438.8900149999999</v>
      </c>
      <c r="Q184">
        <f>VLOOKUP($A184,'Niteesh''s data'!$A$2:$I$313,5,FALSE)</f>
        <v>1363.9799800000001</v>
      </c>
      <c r="R184">
        <f>VLOOKUP($A184,'Niteesh''s data'!$A$2:$I$313,6,FALSE)</f>
        <v>1420.8599850000001</v>
      </c>
      <c r="S184">
        <f>VLOOKUP($A184,'Niteesh''s data'!$A$2:$I$313,7,FALSE)</f>
        <v>1420.8599850000001</v>
      </c>
      <c r="T184">
        <f>VLOOKUP($A184,'Niteesh''s data'!$A$2:$I$313,8,FALSE)</f>
        <v>67622250000</v>
      </c>
      <c r="U184" s="61">
        <f>VLOOKUP($A184,'Niteesh''s data'!$A$2:$I$313,9,FALSE)</f>
        <v>9.5999999999999992E-3</v>
      </c>
      <c r="V184">
        <f>VLOOKUP(A184,'Existing home Sales'!$A$2:$C$324,3,FALSE)</f>
        <v>5.79</v>
      </c>
      <c r="W184" s="8">
        <v>3</v>
      </c>
      <c r="X184">
        <f>IFERROR(VLOOKUP(A184,'Home Depot Gross Profit'!$A$1:$B$105,2,FALSE)/3,IF(W184=2,X183,X183))</f>
        <v>1950</v>
      </c>
      <c r="Y184">
        <f>IFERROR(VLOOKUP(A184,'LOWE''S GROSS PROFIT'!$A$1:$B$105,2,FALSE)/3,IF(X184=2,Y183/3,Y183))</f>
        <v>1229</v>
      </c>
      <c r="Z184" s="8">
        <v>6.16</v>
      </c>
      <c r="AA184">
        <v>7706</v>
      </c>
      <c r="AB184">
        <f>VLOOKUP(A184,'[1]Fed_Int (1)'!$A$2:$B$316,2,FALSE)</f>
        <v>5.26</v>
      </c>
      <c r="AC184" s="8">
        <v>39.169998</v>
      </c>
      <c r="AD184" s="8">
        <v>39.650002000000001</v>
      </c>
      <c r="AE184" s="8">
        <v>36.349997999999999</v>
      </c>
      <c r="AF184" s="8">
        <v>36.740001999999997</v>
      </c>
      <c r="AG184" s="8">
        <v>27.387174999999999</v>
      </c>
      <c r="AH184" s="8">
        <v>326396300</v>
      </c>
      <c r="AI184" s="8">
        <v>32.150002000000001</v>
      </c>
      <c r="AJ184" s="8">
        <v>33.259998000000003</v>
      </c>
      <c r="AK184" s="8">
        <v>29.870000999999998</v>
      </c>
      <c r="AL184" s="8">
        <v>31.49</v>
      </c>
      <c r="AM184" s="8">
        <v>26.060102000000001</v>
      </c>
      <c r="AN184" s="8">
        <v>217697100</v>
      </c>
    </row>
    <row r="185" spans="1:40" x14ac:dyDescent="0.35">
      <c r="A185" s="1">
        <v>39173</v>
      </c>
      <c r="B185" s="13">
        <f t="shared" si="4"/>
        <v>4</v>
      </c>
      <c r="C185" s="13">
        <f t="shared" si="5"/>
        <v>2007</v>
      </c>
      <c r="D185" s="2">
        <v>26569</v>
      </c>
      <c r="E185">
        <f>VLOOKUP(A185,PSR!$A$12:$B$721,2,FALSE)</f>
        <v>3.2</v>
      </c>
      <c r="F185">
        <f>VLOOKUP(A185,CCI_USA!$F$2:$H$317,3,FALSE)</f>
        <v>100.1752</v>
      </c>
      <c r="G185">
        <f>INDEX('BLS Data Series'!$A$11:$M$39,MATCH('UI Datathon Development'!C185,'BLS Data Series'!$A$13:$A$39,0)+2,MATCH('UI Datathon Development'!B185,'BLS Data Series'!$B$11:$M$11,0)+1)</f>
        <v>4.5</v>
      </c>
      <c r="H185">
        <f>VLOOKUP(A185,'Houses for sale'!$B$10:$I$671,8,FALSE)</f>
        <v>548</v>
      </c>
      <c r="I185">
        <f>VLOOKUP(A185,'House starts'!$A$12:$B$325,2,FALSE)</f>
        <v>1490</v>
      </c>
      <c r="J185">
        <f>VLOOKUP(A185,'New house sales'!$A$13:$C$324,3,FALSE)</f>
        <v>242500</v>
      </c>
      <c r="K185">
        <f>VLOOKUP($A185,'Sreenath''s data'!$A$2:$F$313,3,FALSE)</f>
        <v>182.13800000000001</v>
      </c>
      <c r="L185">
        <f>VLOOKUP($A185,'Sreenath''s data'!$A$2:$F$313,4,FALSE)</f>
        <v>7153.1</v>
      </c>
      <c r="M185">
        <f>VLOOKUP($A185,'Sreenath''s data'!$A$2:$F$313,5,FALSE)</f>
        <v>110197</v>
      </c>
      <c r="N185">
        <f>VLOOKUP($A185,'Sreenath''s data'!$A$2:$F$313,6,FALSE)</f>
        <v>96.543583839148795</v>
      </c>
      <c r="O185">
        <f>VLOOKUP($A185,'Niteesh''s data'!$A$2:$I$313,3,FALSE)</f>
        <v>1420.829956</v>
      </c>
      <c r="P185">
        <f>VLOOKUP($A185,'Niteesh''s data'!$A$2:$I$313,4,FALSE)</f>
        <v>1498.0200199999999</v>
      </c>
      <c r="Q185">
        <f>VLOOKUP($A185,'Niteesh''s data'!$A$2:$I$313,5,FALSE)</f>
        <v>1416.369995</v>
      </c>
      <c r="R185">
        <f>VLOOKUP($A185,'Niteesh''s data'!$A$2:$I$313,6,FALSE)</f>
        <v>1482.369995</v>
      </c>
      <c r="S185">
        <f>VLOOKUP($A185,'Niteesh''s data'!$A$2:$I$313,7,FALSE)</f>
        <v>1482.369995</v>
      </c>
      <c r="T185">
        <f>VLOOKUP($A185,'Niteesh''s data'!$A$2:$I$313,8,FALSE)</f>
        <v>57032470000</v>
      </c>
      <c r="U185" s="61">
        <f>VLOOKUP($A185,'Niteesh''s data'!$A$2:$I$313,9,FALSE)</f>
        <v>9.5999999999999992E-3</v>
      </c>
      <c r="V185">
        <f>VLOOKUP(A185,'Existing home Sales'!$A$2:$C$324,3,FALSE)</f>
        <v>5.46</v>
      </c>
      <c r="W185" s="8">
        <v>1</v>
      </c>
      <c r="X185">
        <f>IFERROR(VLOOKUP(A185,'Home Depot Gross Profit'!$A$1:$B$105,2,FALSE)/3,IF(W185=2,X184,X184))</f>
        <v>2087.6666666666665</v>
      </c>
      <c r="Y185">
        <f>IFERROR(VLOOKUP(A185,'LOWE''S GROSS PROFIT'!$A$1:$B$105,2,FALSE)/3,IF(X185=2,Y184/3,Y184))</f>
        <v>1419.6666666666667</v>
      </c>
      <c r="Z185" s="8">
        <v>6.17</v>
      </c>
      <c r="AA185">
        <v>7686</v>
      </c>
      <c r="AB185">
        <f>VLOOKUP(A185,'[1]Fed_Int (1)'!$A$2:$B$316,2,FALSE)</f>
        <v>5.25</v>
      </c>
      <c r="AC185" s="8">
        <v>36.669998</v>
      </c>
      <c r="AD185" s="8">
        <v>39.689999</v>
      </c>
      <c r="AE185" s="8">
        <v>36.599997999999999</v>
      </c>
      <c r="AF185" s="8">
        <v>37.869999</v>
      </c>
      <c r="AG185" s="8">
        <v>28.394732000000001</v>
      </c>
      <c r="AH185" s="8">
        <v>250809800</v>
      </c>
      <c r="AI185" s="8">
        <v>31.43</v>
      </c>
      <c r="AJ185" s="8">
        <v>32.229999999999997</v>
      </c>
      <c r="AK185" s="8">
        <v>30.549999</v>
      </c>
      <c r="AL185" s="8">
        <v>30.559999000000001</v>
      </c>
      <c r="AM185" s="8">
        <v>25.290464</v>
      </c>
      <c r="AN185" s="8">
        <v>126989900</v>
      </c>
    </row>
    <row r="186" spans="1:40" x14ac:dyDescent="0.35">
      <c r="A186" s="1">
        <v>39203</v>
      </c>
      <c r="B186" s="13">
        <f t="shared" si="4"/>
        <v>5</v>
      </c>
      <c r="C186" s="13">
        <f t="shared" si="5"/>
        <v>2007</v>
      </c>
      <c r="D186" s="2">
        <v>27164</v>
      </c>
      <c r="E186">
        <f>VLOOKUP(A186,PSR!$A$12:$B$721,2,FALSE)</f>
        <v>3</v>
      </c>
      <c r="F186">
        <f>VLOOKUP(A186,CCI_USA!$F$2:$H$317,3,FALSE)</f>
        <v>100.11539999999999</v>
      </c>
      <c r="G186">
        <f>INDEX('BLS Data Series'!$A$11:$M$39,MATCH('UI Datathon Development'!C186,'BLS Data Series'!$A$13:$A$39,0)+2,MATCH('UI Datathon Development'!B186,'BLS Data Series'!$B$11:$M$11,0)+1)</f>
        <v>4.4000000000000004</v>
      </c>
      <c r="H186">
        <f>VLOOKUP(A186,'Houses for sale'!$B$10:$I$671,8,FALSE)</f>
        <v>545</v>
      </c>
      <c r="I186">
        <f>VLOOKUP(A186,'House starts'!$A$12:$B$325,2,FALSE)</f>
        <v>1415</v>
      </c>
      <c r="J186">
        <f>VLOOKUP(A186,'New house sales'!$A$13:$C$324,3,FALSE)</f>
        <v>245000</v>
      </c>
      <c r="K186">
        <f>VLOOKUP($A186,'Sreenath''s data'!$A$2:$F$313,3,FALSE)</f>
        <v>181.892</v>
      </c>
      <c r="L186">
        <f>VLOOKUP($A186,'Sreenath''s data'!$A$2:$F$313,4,FALSE)</f>
        <v>7223.3</v>
      </c>
      <c r="M186">
        <f>VLOOKUP($A186,'Sreenath''s data'!$A$2:$F$313,5,FALSE)</f>
        <v>110541</v>
      </c>
      <c r="N186">
        <f>VLOOKUP($A186,'Sreenath''s data'!$A$2:$F$313,6,FALSE)</f>
        <v>96.612356707093198</v>
      </c>
      <c r="O186">
        <f>VLOOKUP($A186,'Niteesh''s data'!$A$2:$I$313,3,FALSE)</f>
        <v>1482.369995</v>
      </c>
      <c r="P186">
        <f>VLOOKUP($A186,'Niteesh''s data'!$A$2:$I$313,4,FALSE)</f>
        <v>1535.5600589999999</v>
      </c>
      <c r="Q186">
        <f>VLOOKUP($A186,'Niteesh''s data'!$A$2:$I$313,5,FALSE)</f>
        <v>1476.6999510000001</v>
      </c>
      <c r="R186">
        <f>VLOOKUP($A186,'Niteesh''s data'!$A$2:$I$313,6,FALSE)</f>
        <v>1530.619995</v>
      </c>
      <c r="S186">
        <f>VLOOKUP($A186,'Niteesh''s data'!$A$2:$I$313,7,FALSE)</f>
        <v>1530.619995</v>
      </c>
      <c r="T186">
        <f>VLOOKUP($A186,'Niteesh''s data'!$A$2:$I$313,8,FALSE)</f>
        <v>64958050000</v>
      </c>
      <c r="U186" s="61">
        <f>VLOOKUP($A186,'Niteesh''s data'!$A$2:$I$313,9,FALSE)</f>
        <v>9.5999999999999992E-3</v>
      </c>
      <c r="V186">
        <f>VLOOKUP(A186,'Existing home Sales'!$A$2:$C$324,3,FALSE)</f>
        <v>5.29</v>
      </c>
      <c r="W186" s="8">
        <v>2</v>
      </c>
      <c r="X186">
        <f>IFERROR(VLOOKUP(A186,'Home Depot Gross Profit'!$A$1:$B$105,2,FALSE)/3,IF(W186=2,X185,X185))</f>
        <v>2087.6666666666665</v>
      </c>
      <c r="Y186">
        <f>IFERROR(VLOOKUP(A186,'LOWE''S GROSS PROFIT'!$A$1:$B$105,2,FALSE)/3,IF(X186=2,Y185/3,Y185))</f>
        <v>1419.6666666666667</v>
      </c>
      <c r="Z186" s="8">
        <v>6.21</v>
      </c>
      <c r="AA186">
        <v>7673</v>
      </c>
      <c r="AB186">
        <f>VLOOKUP(A186,'[1]Fed_Int (1)'!$A$2:$B$316,2,FALSE)</f>
        <v>5.25</v>
      </c>
      <c r="AC186" s="8">
        <v>38.150002000000001</v>
      </c>
      <c r="AD186" s="8">
        <v>39.619999</v>
      </c>
      <c r="AE186" s="8">
        <v>37.900002000000001</v>
      </c>
      <c r="AF186" s="8">
        <v>38.869999</v>
      </c>
      <c r="AG186" s="8">
        <v>29.144528999999999</v>
      </c>
      <c r="AH186" s="8">
        <v>276299900</v>
      </c>
      <c r="AI186" s="8">
        <v>30.65</v>
      </c>
      <c r="AJ186" s="8">
        <v>32.950001</v>
      </c>
      <c r="AK186" s="8">
        <v>30.35</v>
      </c>
      <c r="AL186" s="8">
        <v>32.82</v>
      </c>
      <c r="AM186" s="8">
        <v>27.203484</v>
      </c>
      <c r="AN186" s="8">
        <v>223168500</v>
      </c>
    </row>
    <row r="187" spans="1:40" x14ac:dyDescent="0.35">
      <c r="A187" s="1">
        <v>39234</v>
      </c>
      <c r="B187" s="13">
        <f t="shared" si="4"/>
        <v>6</v>
      </c>
      <c r="C187" s="13">
        <f t="shared" si="5"/>
        <v>2007</v>
      </c>
      <c r="D187" s="2">
        <v>26656</v>
      </c>
      <c r="E187">
        <f>VLOOKUP(A187,PSR!$A$12:$B$721,2,FALSE)</f>
        <v>2.8</v>
      </c>
      <c r="F187">
        <f>VLOOKUP(A187,CCI_USA!$F$2:$H$317,3,FALSE)</f>
        <v>100.075</v>
      </c>
      <c r="G187">
        <f>INDEX('BLS Data Series'!$A$11:$M$39,MATCH('UI Datathon Development'!C187,'BLS Data Series'!$A$13:$A$39,0)+2,MATCH('UI Datathon Development'!B187,'BLS Data Series'!$B$11:$M$11,0)+1)</f>
        <v>4.5999999999999996</v>
      </c>
      <c r="H187">
        <f>VLOOKUP(A187,'Houses for sale'!$B$10:$I$671,8,FALSE)</f>
        <v>542</v>
      </c>
      <c r="I187">
        <f>VLOOKUP(A187,'House starts'!$A$12:$B$325,2,FALSE)</f>
        <v>1448</v>
      </c>
      <c r="J187">
        <f>VLOOKUP(A187,'New house sales'!$A$13:$C$324,3,FALSE)</f>
        <v>235500</v>
      </c>
      <c r="K187">
        <f>VLOOKUP($A187,'Sreenath''s data'!$A$2:$F$313,3,FALSE)</f>
        <v>181.54900000000001</v>
      </c>
      <c r="L187">
        <f>VLOOKUP($A187,'Sreenath''s data'!$A$2:$F$313,4,FALSE)</f>
        <v>7245.4</v>
      </c>
      <c r="M187">
        <f>VLOOKUP($A187,'Sreenath''s data'!$A$2:$F$313,5,FALSE)</f>
        <v>110284</v>
      </c>
      <c r="N187">
        <f>VLOOKUP($A187,'Sreenath''s data'!$A$2:$F$313,6,FALSE)</f>
        <v>97.054743975612695</v>
      </c>
      <c r="O187">
        <f>VLOOKUP($A187,'Niteesh''s data'!$A$2:$I$313,3,FALSE)</f>
        <v>1530.619995</v>
      </c>
      <c r="P187">
        <f>VLOOKUP($A187,'Niteesh''s data'!$A$2:$I$313,4,FALSE)</f>
        <v>1540.5600589999999</v>
      </c>
      <c r="Q187">
        <f>VLOOKUP($A187,'Niteesh''s data'!$A$2:$I$313,5,FALSE)</f>
        <v>1484.1800539999999</v>
      </c>
      <c r="R187">
        <f>VLOOKUP($A187,'Niteesh''s data'!$A$2:$I$313,6,FALSE)</f>
        <v>1503.349976</v>
      </c>
      <c r="S187">
        <f>VLOOKUP($A187,'Niteesh''s data'!$A$2:$I$313,7,FALSE)</f>
        <v>1503.349976</v>
      </c>
      <c r="T187">
        <f>VLOOKUP($A187,'Niteesh''s data'!$A$2:$I$313,8,FALSE)</f>
        <v>65322800000</v>
      </c>
      <c r="U187" s="61">
        <f>VLOOKUP($A187,'Niteesh''s data'!$A$2:$I$313,9,FALSE)</f>
        <v>9.5999999999999992E-3</v>
      </c>
      <c r="V187">
        <f>VLOOKUP(A187,'Existing home Sales'!$A$2:$C$324,3,FALSE)</f>
        <v>5.27</v>
      </c>
      <c r="W187" s="8">
        <v>3</v>
      </c>
      <c r="X187">
        <f>IFERROR(VLOOKUP(A187,'Home Depot Gross Profit'!$A$1:$B$105,2,FALSE)/3,IF(W187=2,X186,X186))</f>
        <v>2087.6666666666665</v>
      </c>
      <c r="Y187">
        <f>IFERROR(VLOOKUP(A187,'LOWE''S GROSS PROFIT'!$A$1:$B$105,2,FALSE)/3,IF(X187=2,Y186/3,Y186))</f>
        <v>1419.6666666666667</v>
      </c>
      <c r="Z187" s="8">
        <v>6.68</v>
      </c>
      <c r="AA187">
        <v>7687</v>
      </c>
      <c r="AB187">
        <f>VLOOKUP(A187,'[1]Fed_Int (1)'!$A$2:$B$316,2,FALSE)</f>
        <v>5.25</v>
      </c>
      <c r="AC187" s="8">
        <v>39.099997999999999</v>
      </c>
      <c r="AD187" s="8">
        <v>41.189999</v>
      </c>
      <c r="AE187" s="8">
        <v>37.349997999999999</v>
      </c>
      <c r="AF187" s="8">
        <v>39.349997999999999</v>
      </c>
      <c r="AG187" s="8">
        <v>29.504431</v>
      </c>
      <c r="AH187" s="8">
        <v>370787500</v>
      </c>
      <c r="AI187" s="8">
        <v>32.82</v>
      </c>
      <c r="AJ187" s="8">
        <v>33.189999</v>
      </c>
      <c r="AK187" s="8">
        <v>30.559999000000001</v>
      </c>
      <c r="AL187" s="8">
        <v>30.690000999999999</v>
      </c>
      <c r="AM187" s="8">
        <v>25.437995999999998</v>
      </c>
      <c r="AN187" s="8">
        <v>181453000</v>
      </c>
    </row>
    <row r="188" spans="1:40" x14ac:dyDescent="0.35">
      <c r="A188" s="1">
        <v>39264</v>
      </c>
      <c r="B188" s="13">
        <f t="shared" si="4"/>
        <v>7</v>
      </c>
      <c r="C188" s="13">
        <f t="shared" si="5"/>
        <v>2007</v>
      </c>
      <c r="D188" s="2">
        <v>26842</v>
      </c>
      <c r="E188">
        <f>VLOOKUP(A188,PSR!$A$12:$B$721,2,FALSE)</f>
        <v>2.8</v>
      </c>
      <c r="F188">
        <f>VLOOKUP(A188,CCI_USA!$F$2:$H$317,3,FALSE)</f>
        <v>100.0521</v>
      </c>
      <c r="G188">
        <f>INDEX('BLS Data Series'!$A$11:$M$39,MATCH('UI Datathon Development'!C188,'BLS Data Series'!$A$13:$A$39,0)+2,MATCH('UI Datathon Development'!B188,'BLS Data Series'!$B$11:$M$11,0)+1)</f>
        <v>4.7</v>
      </c>
      <c r="H188">
        <f>VLOOKUP(A188,'Houses for sale'!$B$10:$I$671,8,FALSE)</f>
        <v>537</v>
      </c>
      <c r="I188">
        <f>VLOOKUP(A188,'House starts'!$A$12:$B$325,2,FALSE)</f>
        <v>1354</v>
      </c>
      <c r="J188">
        <f>VLOOKUP(A188,'New house sales'!$A$13:$C$324,3,FALSE)</f>
        <v>246200</v>
      </c>
      <c r="K188">
        <f>VLOOKUP($A188,'Sreenath''s data'!$A$2:$F$313,3,FALSE)</f>
        <v>181.00299999999999</v>
      </c>
      <c r="L188">
        <f>VLOOKUP($A188,'Sreenath''s data'!$A$2:$F$313,4,FALSE)</f>
        <v>7259.9</v>
      </c>
      <c r="M188">
        <f>VLOOKUP($A188,'Sreenath''s data'!$A$2:$F$313,5,FALSE)</f>
        <v>110195</v>
      </c>
      <c r="N188">
        <f>VLOOKUP($A188,'Sreenath''s data'!$A$2:$F$313,6,FALSE)</f>
        <v>97.502153981678603</v>
      </c>
      <c r="O188">
        <f>VLOOKUP($A188,'Niteesh''s data'!$A$2:$I$313,3,FALSE)</f>
        <v>1504.660034</v>
      </c>
      <c r="P188">
        <f>VLOOKUP($A188,'Niteesh''s data'!$A$2:$I$313,4,FALSE)</f>
        <v>1555.900024</v>
      </c>
      <c r="Q188">
        <f>VLOOKUP($A188,'Niteesh''s data'!$A$2:$I$313,5,FALSE)</f>
        <v>1454.25</v>
      </c>
      <c r="R188">
        <f>VLOOKUP($A188,'Niteesh''s data'!$A$2:$I$313,6,FALSE)</f>
        <v>1455.2700199999999</v>
      </c>
      <c r="S188">
        <f>VLOOKUP($A188,'Niteesh''s data'!$A$2:$I$313,7,FALSE)</f>
        <v>1455.2700199999999</v>
      </c>
      <c r="T188">
        <f>VLOOKUP($A188,'Niteesh''s data'!$A$2:$I$313,8,FALSE)</f>
        <v>70337430000</v>
      </c>
      <c r="U188" s="61">
        <f>VLOOKUP($A188,'Niteesh''s data'!$A$2:$I$313,9,FALSE)</f>
        <v>9.5999999999999992E-3</v>
      </c>
      <c r="V188">
        <f>VLOOKUP(A188,'Existing home Sales'!$A$2:$C$324,3,FALSE)</f>
        <v>5.12</v>
      </c>
      <c r="W188" s="8">
        <v>1</v>
      </c>
      <c r="X188">
        <f>IFERROR(VLOOKUP(A188,'Home Depot Gross Profit'!$A$1:$B$105,2,FALSE)/3,IF(W188=2,X187,X187))</f>
        <v>2447</v>
      </c>
      <c r="Y188">
        <f>IFERROR(VLOOKUP(A188,'LOWE''S GROSS PROFIT'!$A$1:$B$105,2,FALSE)/3,IF(X188=2,Y187/3,Y187))</f>
        <v>1627.6666666666667</v>
      </c>
      <c r="Z188" s="8">
        <v>6.71</v>
      </c>
      <c r="AA188">
        <v>7660</v>
      </c>
      <c r="AB188">
        <f>VLOOKUP(A188,'[1]Fed_Int (1)'!$A$2:$B$316,2,FALSE)</f>
        <v>5.26</v>
      </c>
      <c r="AC188" s="8">
        <v>39.549999</v>
      </c>
      <c r="AD188" s="8">
        <v>41.009998000000003</v>
      </c>
      <c r="AE188" s="8">
        <v>36.720001000000003</v>
      </c>
      <c r="AF188" s="8">
        <v>37.169998</v>
      </c>
      <c r="AG188" s="8">
        <v>28.02833</v>
      </c>
      <c r="AH188" s="8">
        <v>417546100</v>
      </c>
      <c r="AI188" s="8">
        <v>30.799999</v>
      </c>
      <c r="AJ188" s="8">
        <v>31.309999000000001</v>
      </c>
      <c r="AK188" s="8">
        <v>27.379999000000002</v>
      </c>
      <c r="AL188" s="8">
        <v>28.01</v>
      </c>
      <c r="AM188" s="8">
        <v>23.216629000000001</v>
      </c>
      <c r="AN188" s="8">
        <v>210691200</v>
      </c>
    </row>
    <row r="189" spans="1:40" x14ac:dyDescent="0.35">
      <c r="A189" s="1">
        <v>39295</v>
      </c>
      <c r="B189" s="13">
        <f t="shared" si="4"/>
        <v>8</v>
      </c>
      <c r="C189" s="13">
        <f t="shared" si="5"/>
        <v>2007</v>
      </c>
      <c r="D189" s="2">
        <v>26654</v>
      </c>
      <c r="E189">
        <f>VLOOKUP(A189,PSR!$A$12:$B$721,2,FALSE)</f>
        <v>2.6</v>
      </c>
      <c r="F189">
        <f>VLOOKUP(A189,CCI_USA!$F$2:$H$317,3,FALSE)</f>
        <v>99.824619999999996</v>
      </c>
      <c r="G189">
        <f>INDEX('BLS Data Series'!$A$11:$M$39,MATCH('UI Datathon Development'!C189,'BLS Data Series'!$A$13:$A$39,0)+2,MATCH('UI Datathon Development'!B189,'BLS Data Series'!$B$11:$M$11,0)+1)</f>
        <v>4.5999999999999996</v>
      </c>
      <c r="H189">
        <f>VLOOKUP(A189,'Houses for sale'!$B$10:$I$671,8,FALSE)</f>
        <v>533</v>
      </c>
      <c r="I189">
        <f>VLOOKUP(A189,'House starts'!$A$12:$B$325,2,FALSE)</f>
        <v>1330</v>
      </c>
      <c r="J189">
        <f>VLOOKUP(A189,'New house sales'!$A$13:$C$324,3,FALSE)</f>
        <v>236500</v>
      </c>
      <c r="K189">
        <f>VLOOKUP($A189,'Sreenath''s data'!$A$2:$F$313,3,FALSE)</f>
        <v>180.244</v>
      </c>
      <c r="L189">
        <f>VLOOKUP($A189,'Sreenath''s data'!$A$2:$F$313,4,FALSE)</f>
        <v>7265.8</v>
      </c>
      <c r="M189">
        <f>VLOOKUP($A189,'Sreenath''s data'!$A$2:$F$313,5,FALSE)</f>
        <v>110276</v>
      </c>
      <c r="N189">
        <f>VLOOKUP($A189,'Sreenath''s data'!$A$2:$F$313,6,FALSE)</f>
        <v>97.568608663063202</v>
      </c>
      <c r="O189">
        <f>VLOOKUP($A189,'Niteesh''s data'!$A$2:$I$313,3,FALSE)</f>
        <v>1455.1800539999999</v>
      </c>
      <c r="P189">
        <f>VLOOKUP($A189,'Niteesh''s data'!$A$2:$I$313,4,FALSE)</f>
        <v>1503.8900149999999</v>
      </c>
      <c r="Q189">
        <f>VLOOKUP($A189,'Niteesh''s data'!$A$2:$I$313,5,FALSE)</f>
        <v>1370.599976</v>
      </c>
      <c r="R189">
        <f>VLOOKUP($A189,'Niteesh''s data'!$A$2:$I$313,6,FALSE)</f>
        <v>1473.98999</v>
      </c>
      <c r="S189">
        <f>VLOOKUP($A189,'Niteesh''s data'!$A$2:$I$313,7,FALSE)</f>
        <v>1473.98999</v>
      </c>
      <c r="T189">
        <f>VLOOKUP($A189,'Niteesh''s data'!$A$2:$I$313,8,FALSE)</f>
        <v>91381760000</v>
      </c>
      <c r="U189" s="61">
        <f>VLOOKUP($A189,'Niteesh''s data'!$A$2:$I$313,9,FALSE)</f>
        <v>9.7000000000000003E-3</v>
      </c>
      <c r="V189">
        <f>VLOOKUP(A189,'Existing home Sales'!$A$2:$C$324,3,FALSE)</f>
        <v>5.07</v>
      </c>
      <c r="W189" s="8">
        <v>2</v>
      </c>
      <c r="X189">
        <f>IFERROR(VLOOKUP(A189,'Home Depot Gross Profit'!$A$1:$B$105,2,FALSE)/3,IF(W189=2,X188,X188))</f>
        <v>2447</v>
      </c>
      <c r="Y189">
        <f>IFERROR(VLOOKUP(A189,'LOWE''S GROSS PROFIT'!$A$1:$B$105,2,FALSE)/3,IF(X189=2,Y188/3,Y188))</f>
        <v>1627.6666666666667</v>
      </c>
      <c r="Z189" s="8">
        <v>6.59</v>
      </c>
      <c r="AA189">
        <v>7610</v>
      </c>
      <c r="AB189">
        <f>VLOOKUP(A189,'[1]Fed_Int (1)'!$A$2:$B$316,2,FALSE)</f>
        <v>5.0199999999999996</v>
      </c>
      <c r="AC189" s="8">
        <v>36.939999</v>
      </c>
      <c r="AD189" s="8">
        <v>38.540000999999997</v>
      </c>
      <c r="AE189" s="8">
        <v>31.85</v>
      </c>
      <c r="AF189" s="8">
        <v>38.310001</v>
      </c>
      <c r="AG189" s="8">
        <v>28.887957</v>
      </c>
      <c r="AH189" s="8">
        <v>769305600</v>
      </c>
      <c r="AI189" s="8">
        <v>27.940000999999999</v>
      </c>
      <c r="AJ189" s="8">
        <v>31.290001</v>
      </c>
      <c r="AK189" s="8">
        <v>25.98</v>
      </c>
      <c r="AL189" s="8">
        <v>31.059999000000001</v>
      </c>
      <c r="AM189" s="8">
        <v>25.813839000000002</v>
      </c>
      <c r="AN189" s="8">
        <v>282289800</v>
      </c>
    </row>
    <row r="190" spans="1:40" x14ac:dyDescent="0.35">
      <c r="A190" s="1">
        <v>39326</v>
      </c>
      <c r="B190" s="13">
        <f t="shared" si="4"/>
        <v>9</v>
      </c>
      <c r="C190" s="13">
        <f t="shared" si="5"/>
        <v>2007</v>
      </c>
      <c r="D190" s="2">
        <v>26455</v>
      </c>
      <c r="E190">
        <f>VLOOKUP(A190,PSR!$A$12:$B$721,2,FALSE)</f>
        <v>2.8</v>
      </c>
      <c r="F190">
        <f>VLOOKUP(A190,CCI_USA!$F$2:$H$317,3,FALSE)</f>
        <v>99.571439999999996</v>
      </c>
      <c r="G190">
        <f>INDEX('BLS Data Series'!$A$11:$M$39,MATCH('UI Datathon Development'!C190,'BLS Data Series'!$A$13:$A$39,0)+2,MATCH('UI Datathon Development'!B190,'BLS Data Series'!$B$11:$M$11,0)+1)</f>
        <v>4.7</v>
      </c>
      <c r="H190">
        <f>VLOOKUP(A190,'Houses for sale'!$B$10:$I$671,8,FALSE)</f>
        <v>527</v>
      </c>
      <c r="I190">
        <f>VLOOKUP(A190,'House starts'!$A$12:$B$325,2,FALSE)</f>
        <v>1183</v>
      </c>
      <c r="J190">
        <f>VLOOKUP(A190,'New house sales'!$A$13:$C$324,3,FALSE)</f>
        <v>240300</v>
      </c>
      <c r="K190">
        <f>VLOOKUP($A190,'Sreenath''s data'!$A$2:$F$313,3,FALSE)</f>
        <v>179.13200000000001</v>
      </c>
      <c r="L190">
        <f>VLOOKUP($A190,'Sreenath''s data'!$A$2:$F$313,4,FALSE)</f>
        <v>7289.4</v>
      </c>
      <c r="M190">
        <f>VLOOKUP($A190,'Sreenath''s data'!$A$2:$F$313,5,FALSE)</f>
        <v>110425</v>
      </c>
      <c r="N190">
        <f>VLOOKUP($A190,'Sreenath''s data'!$A$2:$F$313,6,FALSE)</f>
        <v>97.468926640986297</v>
      </c>
      <c r="O190">
        <f>VLOOKUP($A190,'Niteesh''s data'!$A$2:$I$313,3,FALSE)</f>
        <v>1473.959961</v>
      </c>
      <c r="P190">
        <f>VLOOKUP($A190,'Niteesh''s data'!$A$2:$I$313,4,FALSE)</f>
        <v>1538.73999</v>
      </c>
      <c r="Q190">
        <f>VLOOKUP($A190,'Niteesh''s data'!$A$2:$I$313,5,FALSE)</f>
        <v>1439.290039</v>
      </c>
      <c r="R190">
        <f>VLOOKUP($A190,'Niteesh''s data'!$A$2:$I$313,6,FALSE)</f>
        <v>1526.75</v>
      </c>
      <c r="S190">
        <f>VLOOKUP($A190,'Niteesh''s data'!$A$2:$I$313,7,FALSE)</f>
        <v>1526.75</v>
      </c>
      <c r="T190">
        <f>VLOOKUP($A190,'Niteesh''s data'!$A$2:$I$313,8,FALSE)</f>
        <v>57809700000</v>
      </c>
      <c r="U190" s="61">
        <f>VLOOKUP($A190,'Niteesh''s data'!$A$2:$I$313,9,FALSE)</f>
        <v>9.5999999999999992E-3</v>
      </c>
      <c r="V190">
        <f>VLOOKUP(A190,'Existing home Sales'!$A$2:$C$324,3,FALSE)</f>
        <v>4.87</v>
      </c>
      <c r="W190" s="8">
        <v>3</v>
      </c>
      <c r="X190">
        <f>IFERROR(VLOOKUP(A190,'Home Depot Gross Profit'!$A$1:$B$105,2,FALSE)/3,IF(W190=2,X189,X189))</f>
        <v>2447</v>
      </c>
      <c r="Y190">
        <f>IFERROR(VLOOKUP(A190,'LOWE''S GROSS PROFIT'!$A$1:$B$105,2,FALSE)/3,IF(X190=2,Y189/3,Y189))</f>
        <v>1627.6666666666667</v>
      </c>
      <c r="Z190" s="8">
        <v>6.38</v>
      </c>
      <c r="AA190">
        <v>7577</v>
      </c>
      <c r="AB190">
        <f>VLOOKUP(A190,'[1]Fed_Int (1)'!$A$2:$B$316,2,FALSE)</f>
        <v>4.9400000000000004</v>
      </c>
      <c r="AC190" s="8">
        <v>37.209999000000003</v>
      </c>
      <c r="AD190" s="8">
        <v>37.369999</v>
      </c>
      <c r="AE190" s="8">
        <v>32.369999</v>
      </c>
      <c r="AF190" s="8">
        <v>32.439999</v>
      </c>
      <c r="AG190" s="8">
        <v>24.618773000000001</v>
      </c>
      <c r="AH190" s="8">
        <v>515270200</v>
      </c>
      <c r="AI190" s="8">
        <v>30.75</v>
      </c>
      <c r="AJ190" s="8">
        <v>32.529998999999997</v>
      </c>
      <c r="AK190" s="8">
        <v>27.99</v>
      </c>
      <c r="AL190" s="8">
        <v>28.02</v>
      </c>
      <c r="AM190" s="8">
        <v>23.287307999999999</v>
      </c>
      <c r="AN190" s="8">
        <v>220043500</v>
      </c>
    </row>
    <row r="191" spans="1:40" x14ac:dyDescent="0.35">
      <c r="A191" s="1">
        <v>39356</v>
      </c>
      <c r="B191" s="13">
        <f t="shared" si="4"/>
        <v>10</v>
      </c>
      <c r="C191" s="13">
        <f t="shared" si="5"/>
        <v>2007</v>
      </c>
      <c r="D191" s="2">
        <v>26194</v>
      </c>
      <c r="E191">
        <f>VLOOKUP(A191,PSR!$A$12:$B$721,2,FALSE)</f>
        <v>2.8</v>
      </c>
      <c r="F191">
        <f>VLOOKUP(A191,CCI_USA!$F$2:$H$317,3,FALSE)</f>
        <v>99.279169999999993</v>
      </c>
      <c r="G191">
        <f>INDEX('BLS Data Series'!$A$11:$M$39,MATCH('UI Datathon Development'!C191,'BLS Data Series'!$A$13:$A$39,0)+2,MATCH('UI Datathon Development'!B191,'BLS Data Series'!$B$11:$M$11,0)+1)</f>
        <v>4.7</v>
      </c>
      <c r="H191">
        <f>VLOOKUP(A191,'Houses for sale'!$B$10:$I$671,8,FALSE)</f>
        <v>514</v>
      </c>
      <c r="I191">
        <f>VLOOKUP(A191,'House starts'!$A$12:$B$325,2,FALSE)</f>
        <v>1264</v>
      </c>
      <c r="J191">
        <f>VLOOKUP(A191,'New house sales'!$A$13:$C$324,3,FALSE)</f>
        <v>234300</v>
      </c>
      <c r="K191">
        <f>VLOOKUP($A191,'Sreenath''s data'!$A$2:$F$313,3,FALSE)</f>
        <v>177.542</v>
      </c>
      <c r="L191">
        <f>VLOOKUP($A191,'Sreenath''s data'!$A$2:$F$313,4,FALSE)</f>
        <v>7297.7</v>
      </c>
      <c r="M191">
        <f>VLOOKUP($A191,'Sreenath''s data'!$A$2:$F$313,5,FALSE)</f>
        <v>110739</v>
      </c>
      <c r="N191">
        <f>VLOOKUP($A191,'Sreenath''s data'!$A$2:$F$313,6,FALSE)</f>
        <v>97.639313353141006</v>
      </c>
      <c r="O191">
        <f>VLOOKUP($A191,'Niteesh''s data'!$A$2:$I$313,3,FALSE)</f>
        <v>1527.290039</v>
      </c>
      <c r="P191">
        <f>VLOOKUP($A191,'Niteesh''s data'!$A$2:$I$313,4,FALSE)</f>
        <v>1576.089966</v>
      </c>
      <c r="Q191">
        <f>VLOOKUP($A191,'Niteesh''s data'!$A$2:$I$313,5,FALSE)</f>
        <v>1489.5600589999999</v>
      </c>
      <c r="R191">
        <f>VLOOKUP($A191,'Niteesh''s data'!$A$2:$I$313,6,FALSE)</f>
        <v>1549.380005</v>
      </c>
      <c r="S191">
        <f>VLOOKUP($A191,'Niteesh''s data'!$A$2:$I$313,7,FALSE)</f>
        <v>1549.380005</v>
      </c>
      <c r="T191">
        <f>VLOOKUP($A191,'Niteesh''s data'!$A$2:$I$313,8,FALSE)</f>
        <v>76022580000</v>
      </c>
      <c r="U191" s="61">
        <f>VLOOKUP($A191,'Niteesh''s data'!$A$2:$I$313,9,FALSE)</f>
        <v>9.4999999999999998E-3</v>
      </c>
      <c r="V191">
        <f>VLOOKUP(A191,'Existing home Sales'!$A$2:$C$324,3,FALSE)</f>
        <v>4.58</v>
      </c>
      <c r="W191" s="8">
        <v>1</v>
      </c>
      <c r="X191">
        <f>IFERROR(VLOOKUP(A191,'Home Depot Gross Profit'!$A$1:$B$105,2,FALSE)/3,IF(W191=2,X190,X190))</f>
        <v>2113</v>
      </c>
      <c r="Y191">
        <f>IFERROR(VLOOKUP(A191,'LOWE''S GROSS PROFIT'!$A$1:$B$105,2,FALSE)/3,IF(X191=2,Y190/3,Y190))</f>
        <v>1321.3333333333333</v>
      </c>
      <c r="Z191" s="8">
        <v>6.3849999999999998</v>
      </c>
      <c r="AA191">
        <v>7565</v>
      </c>
      <c r="AB191">
        <f>VLOOKUP(A191,'[1]Fed_Int (1)'!$A$2:$B$316,2,FALSE)</f>
        <v>4.76</v>
      </c>
      <c r="AC191" s="8">
        <v>32.580002</v>
      </c>
      <c r="AD191" s="8">
        <v>34.549999</v>
      </c>
      <c r="AE191" s="8">
        <v>30.280000999999999</v>
      </c>
      <c r="AF191" s="8">
        <v>31.51</v>
      </c>
      <c r="AG191" s="8">
        <v>23.913001999999999</v>
      </c>
      <c r="AH191" s="8">
        <v>400517900</v>
      </c>
      <c r="AI191" s="8">
        <v>28.17</v>
      </c>
      <c r="AJ191" s="8">
        <v>31.719999000000001</v>
      </c>
      <c r="AK191" s="8">
        <v>25.92</v>
      </c>
      <c r="AL191" s="8">
        <v>26.889999</v>
      </c>
      <c r="AM191" s="8">
        <v>22.348167</v>
      </c>
      <c r="AN191" s="8">
        <v>206489000</v>
      </c>
    </row>
    <row r="192" spans="1:40" x14ac:dyDescent="0.35">
      <c r="A192" s="1">
        <v>39387</v>
      </c>
      <c r="B192" s="13">
        <f t="shared" si="4"/>
        <v>11</v>
      </c>
      <c r="C192" s="13">
        <f t="shared" si="5"/>
        <v>2007</v>
      </c>
      <c r="D192" s="2">
        <v>26581</v>
      </c>
      <c r="E192">
        <f>VLOOKUP(A192,PSR!$A$12:$B$721,2,FALSE)</f>
        <v>2.5</v>
      </c>
      <c r="F192">
        <f>VLOOKUP(A192,CCI_USA!$F$2:$H$317,3,FALSE)</f>
        <v>98.995540000000005</v>
      </c>
      <c r="G192">
        <f>INDEX('BLS Data Series'!$A$11:$M$39,MATCH('UI Datathon Development'!C192,'BLS Data Series'!$A$13:$A$39,0)+2,MATCH('UI Datathon Development'!B192,'BLS Data Series'!$B$11:$M$11,0)+1)</f>
        <v>4.7</v>
      </c>
      <c r="H192">
        <f>VLOOKUP(A192,'Houses for sale'!$B$10:$I$671,8,FALSE)</f>
        <v>503</v>
      </c>
      <c r="I192">
        <f>VLOOKUP(A192,'House starts'!$A$12:$B$325,2,FALSE)</f>
        <v>1197</v>
      </c>
      <c r="J192">
        <f>VLOOKUP(A192,'New house sales'!$A$13:$C$324,3,FALSE)</f>
        <v>249100</v>
      </c>
      <c r="K192">
        <f>VLOOKUP($A192,'Sreenath''s data'!$A$2:$F$313,3,FALSE)</f>
        <v>175.17500000000001</v>
      </c>
      <c r="L192">
        <f>VLOOKUP($A192,'Sreenath''s data'!$A$2:$F$313,4,FALSE)</f>
        <v>7317.5</v>
      </c>
      <c r="M192">
        <f>VLOOKUP($A192,'Sreenath''s data'!$A$2:$F$313,5,FALSE)</f>
        <v>110875</v>
      </c>
      <c r="N192">
        <f>VLOOKUP($A192,'Sreenath''s data'!$A$2:$F$313,6,FALSE)</f>
        <v>97.555085908130195</v>
      </c>
      <c r="O192">
        <f>VLOOKUP($A192,'Niteesh''s data'!$A$2:$I$313,3,FALSE)</f>
        <v>1545.790039</v>
      </c>
      <c r="P192">
        <f>VLOOKUP($A192,'Niteesh''s data'!$A$2:$I$313,4,FALSE)</f>
        <v>1545.790039</v>
      </c>
      <c r="Q192">
        <f>VLOOKUP($A192,'Niteesh''s data'!$A$2:$I$313,5,FALSE)</f>
        <v>1406.099976</v>
      </c>
      <c r="R192">
        <f>VLOOKUP($A192,'Niteesh''s data'!$A$2:$I$313,6,FALSE)</f>
        <v>1481.1400149999999</v>
      </c>
      <c r="S192">
        <f>VLOOKUP($A192,'Niteesh''s data'!$A$2:$I$313,7,FALSE)</f>
        <v>1481.1400149999999</v>
      </c>
      <c r="T192">
        <f>VLOOKUP($A192,'Niteesh''s data'!$A$2:$I$313,8,FALSE)</f>
        <v>86246950000</v>
      </c>
      <c r="U192" s="61">
        <f>VLOOKUP($A192,'Niteesh''s data'!$A$2:$I$313,9,FALSE)</f>
        <v>9.5999999999999992E-3</v>
      </c>
      <c r="V192">
        <f>VLOOKUP(A192,'Existing home Sales'!$A$2:$C$324,3,FALSE)</f>
        <v>4.43</v>
      </c>
      <c r="W192" s="8">
        <v>2</v>
      </c>
      <c r="X192">
        <f>IFERROR(VLOOKUP(A192,'Home Depot Gross Profit'!$A$1:$B$105,2,FALSE)/3,IF(W192=2,X191,X191))</f>
        <v>2113</v>
      </c>
      <c r="Y192">
        <f>IFERROR(VLOOKUP(A192,'LOWE''S GROSS PROFIT'!$A$1:$B$105,2,FALSE)/3,IF(X192=2,Y191/3,Y191))</f>
        <v>1321.3333333333333</v>
      </c>
      <c r="Z192" s="8">
        <v>6.24</v>
      </c>
      <c r="AA192">
        <v>7523</v>
      </c>
      <c r="AB192">
        <f>VLOOKUP(A192,'[1]Fed_Int (1)'!$A$2:$B$316,2,FALSE)</f>
        <v>4.49</v>
      </c>
      <c r="AC192" s="8">
        <v>31.4</v>
      </c>
      <c r="AD192" s="8">
        <v>31.58</v>
      </c>
      <c r="AE192" s="8">
        <v>26.780000999999999</v>
      </c>
      <c r="AF192" s="8">
        <v>28.559999000000001</v>
      </c>
      <c r="AG192" s="8">
        <v>21.674236000000001</v>
      </c>
      <c r="AH192" s="8">
        <v>406371300</v>
      </c>
      <c r="AI192" s="8">
        <v>26.51</v>
      </c>
      <c r="AJ192" s="8">
        <v>26.870000999999998</v>
      </c>
      <c r="AK192" s="8">
        <v>21.76</v>
      </c>
      <c r="AL192" s="8">
        <v>24.41</v>
      </c>
      <c r="AM192" s="8">
        <v>20.345707000000001</v>
      </c>
      <c r="AN192" s="8">
        <v>310057500</v>
      </c>
    </row>
    <row r="193" spans="1:40" x14ac:dyDescent="0.35">
      <c r="A193" s="1">
        <v>39417</v>
      </c>
      <c r="B193" s="13">
        <f t="shared" si="4"/>
        <v>12</v>
      </c>
      <c r="C193" s="13">
        <f t="shared" si="5"/>
        <v>2007</v>
      </c>
      <c r="D193" s="2">
        <v>25653</v>
      </c>
      <c r="E193">
        <f>VLOOKUP(A193,PSR!$A$12:$B$721,2,FALSE)</f>
        <v>3</v>
      </c>
      <c r="F193">
        <f>VLOOKUP(A193,CCI_USA!$F$2:$H$317,3,FALSE)</f>
        <v>98.828659999999999</v>
      </c>
      <c r="G193">
        <f>INDEX('BLS Data Series'!$A$11:$M$39,MATCH('UI Datathon Development'!C193,'BLS Data Series'!$A$13:$A$39,0)+2,MATCH('UI Datathon Development'!B193,'BLS Data Series'!$B$11:$M$11,0)+1)</f>
        <v>5</v>
      </c>
      <c r="H193">
        <f>VLOOKUP(A193,'Houses for sale'!$B$10:$I$671,8,FALSE)</f>
        <v>497</v>
      </c>
      <c r="I193">
        <f>VLOOKUP(A193,'House starts'!$A$12:$B$325,2,FALSE)</f>
        <v>1037</v>
      </c>
      <c r="J193">
        <f>VLOOKUP(A193,'New house sales'!$A$13:$C$324,3,FALSE)</f>
        <v>227700</v>
      </c>
      <c r="K193">
        <f>VLOOKUP($A193,'Sreenath''s data'!$A$2:$F$313,3,FALSE)</f>
        <v>173.351</v>
      </c>
      <c r="L193">
        <f>VLOOKUP($A193,'Sreenath''s data'!$A$2:$F$313,4,FALSE)</f>
        <v>7326.1</v>
      </c>
      <c r="M193">
        <f>VLOOKUP($A193,'Sreenath''s data'!$A$2:$F$313,5,FALSE)</f>
        <v>111021</v>
      </c>
      <c r="N193">
        <f>VLOOKUP($A193,'Sreenath''s data'!$A$2:$F$313,6,FALSE)</f>
        <v>97.622313318368199</v>
      </c>
      <c r="O193">
        <f>VLOOKUP($A193,'Niteesh''s data'!$A$2:$I$313,3,FALSE)</f>
        <v>1479.630005</v>
      </c>
      <c r="P193">
        <f>VLOOKUP($A193,'Niteesh''s data'!$A$2:$I$313,4,FALSE)</f>
        <v>1523.5699460000001</v>
      </c>
      <c r="Q193">
        <f>VLOOKUP($A193,'Niteesh''s data'!$A$2:$I$313,5,FALSE)</f>
        <v>1435.650024</v>
      </c>
      <c r="R193">
        <f>VLOOKUP($A193,'Niteesh''s data'!$A$2:$I$313,6,FALSE)</f>
        <v>1468.3599850000001</v>
      </c>
      <c r="S193">
        <f>VLOOKUP($A193,'Niteesh''s data'!$A$2:$I$313,7,FALSE)</f>
        <v>1468.3599850000001</v>
      </c>
      <c r="T193">
        <f>VLOOKUP($A193,'Niteesh''s data'!$A$2:$I$313,8,FALSE)</f>
        <v>64821670000</v>
      </c>
      <c r="U193" s="61">
        <f>VLOOKUP($A193,'Niteesh''s data'!$A$2:$I$313,9,FALSE)</f>
        <v>9.5999999999999992E-3</v>
      </c>
      <c r="V193">
        <f>VLOOKUP(A193,'Existing home Sales'!$A$2:$C$324,3,FALSE)</f>
        <v>4.46</v>
      </c>
      <c r="W193" s="8">
        <v>3</v>
      </c>
      <c r="X193">
        <f>IFERROR(VLOOKUP(A193,'Home Depot Gross Profit'!$A$1:$B$105,2,FALSE)/3,IF(W193=2,X192,X192))</f>
        <v>2113</v>
      </c>
      <c r="Y193">
        <f>IFERROR(VLOOKUP(A193,'LOWE''S GROSS PROFIT'!$A$1:$B$105,2,FALSE)/3,IF(X193=2,Y192/3,Y192))</f>
        <v>1321.3333333333333</v>
      </c>
      <c r="Z193" s="8">
        <v>6.125</v>
      </c>
      <c r="AA193">
        <v>7490</v>
      </c>
      <c r="AB193">
        <f>VLOOKUP(A193,'[1]Fed_Int (1)'!$A$2:$B$316,2,FALSE)</f>
        <v>4.24</v>
      </c>
      <c r="AC193" s="8">
        <v>28.620000999999998</v>
      </c>
      <c r="AD193" s="8">
        <v>29.799999</v>
      </c>
      <c r="AE193" s="8">
        <v>25.57</v>
      </c>
      <c r="AF193" s="8">
        <v>26.940000999999999</v>
      </c>
      <c r="AG193" s="8">
        <v>20.613533</v>
      </c>
      <c r="AH193" s="8">
        <v>330175300</v>
      </c>
      <c r="AI193" s="8">
        <v>24.41</v>
      </c>
      <c r="AJ193" s="8">
        <v>25.290001</v>
      </c>
      <c r="AK193" s="8">
        <v>21.01</v>
      </c>
      <c r="AL193" s="8">
        <v>22.620000999999998</v>
      </c>
      <c r="AM193" s="8">
        <v>18.853740999999999</v>
      </c>
      <c r="AN193" s="8">
        <v>170333600</v>
      </c>
    </row>
    <row r="194" spans="1:40" x14ac:dyDescent="0.35">
      <c r="A194" s="1">
        <v>39448</v>
      </c>
      <c r="B194" s="13">
        <f t="shared" si="4"/>
        <v>1</v>
      </c>
      <c r="C194" s="13">
        <f t="shared" si="5"/>
        <v>2008</v>
      </c>
      <c r="D194" s="2">
        <v>25665</v>
      </c>
      <c r="E194">
        <f>VLOOKUP(A194,PSR!$A$12:$B$721,2,FALSE)</f>
        <v>3.3</v>
      </c>
      <c r="F194">
        <f>VLOOKUP(A194,CCI_USA!$F$2:$H$317,3,FALSE)</f>
        <v>98.66825</v>
      </c>
      <c r="G194">
        <f>INDEX('BLS Data Series'!$A$11:$M$39,MATCH('UI Datathon Development'!C194,'BLS Data Series'!$A$13:$A$39,0)+2,MATCH('UI Datathon Development'!B194,'BLS Data Series'!$B$11:$M$11,0)+1)</f>
        <v>5</v>
      </c>
      <c r="H194">
        <f>VLOOKUP(A194,'Houses for sale'!$B$10:$I$671,8,FALSE)</f>
        <v>487</v>
      </c>
      <c r="I194">
        <f>VLOOKUP(A194,'House starts'!$A$12:$B$325,2,FALSE)</f>
        <v>1084</v>
      </c>
      <c r="J194">
        <f>VLOOKUP(A194,'New house sales'!$A$13:$C$324,3,FALSE)</f>
        <v>232400</v>
      </c>
      <c r="K194">
        <f>VLOOKUP($A194,'Sreenath''s data'!$A$2:$F$313,3,FALSE)</f>
        <v>171.09</v>
      </c>
      <c r="L194">
        <f>VLOOKUP($A194,'Sreenath''s data'!$A$2:$F$313,4,FALSE)</f>
        <v>6616.3</v>
      </c>
      <c r="M194">
        <f>VLOOKUP($A194,'Sreenath''s data'!$A$2:$F$313,5,FALSE)</f>
        <v>110924</v>
      </c>
      <c r="N194">
        <f>VLOOKUP($A194,'Sreenath''s data'!$A$2:$F$313,6,FALSE)</f>
        <v>98.2289054682157</v>
      </c>
      <c r="O194">
        <f>VLOOKUP($A194,'Niteesh''s data'!$A$2:$I$313,3,FALSE)</f>
        <v>1467.969971</v>
      </c>
      <c r="P194">
        <f>VLOOKUP($A194,'Niteesh''s data'!$A$2:$I$313,4,FALSE)</f>
        <v>1471.7700199999999</v>
      </c>
      <c r="Q194">
        <f>VLOOKUP($A194,'Niteesh''s data'!$A$2:$I$313,5,FALSE)</f>
        <v>1270.0500489999999</v>
      </c>
      <c r="R194">
        <f>VLOOKUP($A194,'Niteesh''s data'!$A$2:$I$313,6,FALSE)</f>
        <v>1378.5500489999999</v>
      </c>
      <c r="S194">
        <f>VLOOKUP($A194,'Niteesh''s data'!$A$2:$I$313,7,FALSE)</f>
        <v>1378.5500489999999</v>
      </c>
      <c r="T194">
        <f>VLOOKUP($A194,'Niteesh''s data'!$A$2:$I$313,8,FALSE)</f>
        <v>98475340000</v>
      </c>
      <c r="U194" s="61">
        <f>VLOOKUP($A194,'Niteesh''s data'!$A$2:$I$313,9,FALSE)</f>
        <v>9.5999999999999992E-3</v>
      </c>
      <c r="V194">
        <f>VLOOKUP(A194,'Existing home Sales'!$A$2:$C$324,3,FALSE)</f>
        <v>4.41</v>
      </c>
      <c r="W194" s="8">
        <v>1</v>
      </c>
      <c r="X194">
        <f>IFERROR(VLOOKUP(A194,'Home Depot Gross Profit'!$A$1:$B$105,2,FALSE)/3,IF(W194=2,X193,X193))</f>
        <v>2018</v>
      </c>
      <c r="Y194">
        <f>IFERROR(VLOOKUP(A194,'LOWE''S GROSS PROFIT'!$A$1:$B$105,2,FALSE)/3,IF(X194=2,Y193/3,Y193))</f>
        <v>1207</v>
      </c>
      <c r="Z194" s="8">
        <v>5.69</v>
      </c>
      <c r="AA194">
        <v>7476</v>
      </c>
      <c r="AB194">
        <f>VLOOKUP(A194,'[1]Fed_Int (1)'!$A$2:$B$316,2,FALSE)</f>
        <v>3.94</v>
      </c>
      <c r="AC194" s="8">
        <v>27.129999000000002</v>
      </c>
      <c r="AD194" s="8">
        <v>31.08</v>
      </c>
      <c r="AE194" s="8">
        <v>23.77</v>
      </c>
      <c r="AF194" s="8">
        <v>30.639999</v>
      </c>
      <c r="AG194" s="8">
        <v>23.444641000000001</v>
      </c>
      <c r="AH194" s="8">
        <v>482772200</v>
      </c>
      <c r="AI194" s="8">
        <v>22.780000999999999</v>
      </c>
      <c r="AJ194" s="8">
        <v>26.870000999999998</v>
      </c>
      <c r="AK194" s="8">
        <v>19.940000999999999</v>
      </c>
      <c r="AL194" s="8">
        <v>26.43</v>
      </c>
      <c r="AM194" s="8">
        <v>22.029377</v>
      </c>
      <c r="AN194" s="8">
        <v>347210100</v>
      </c>
    </row>
    <row r="195" spans="1:40" x14ac:dyDescent="0.35">
      <c r="A195" s="1">
        <v>39479</v>
      </c>
      <c r="B195" s="13">
        <f t="shared" ref="B195:B258" si="6">MONTH(A195)</f>
        <v>2</v>
      </c>
      <c r="C195" s="13">
        <f t="shared" ref="C195:C258" si="7">YEAR(A195)</f>
        <v>2008</v>
      </c>
      <c r="D195" s="2">
        <v>25649</v>
      </c>
      <c r="E195">
        <f>VLOOKUP(A195,PSR!$A$12:$B$721,2,FALSE)</f>
        <v>3.8</v>
      </c>
      <c r="F195">
        <f>VLOOKUP(A195,CCI_USA!$F$2:$H$317,3,FALSE)</f>
        <v>98.282200000000003</v>
      </c>
      <c r="G195">
        <f>INDEX('BLS Data Series'!$A$11:$M$39,MATCH('UI Datathon Development'!C195,'BLS Data Series'!$A$13:$A$39,0)+2,MATCH('UI Datathon Development'!B195,'BLS Data Series'!$B$11:$M$11,0)+1)</f>
        <v>4.9000000000000004</v>
      </c>
      <c r="H195">
        <f>VLOOKUP(A195,'Houses for sale'!$B$10:$I$671,8,FALSE)</f>
        <v>477</v>
      </c>
      <c r="I195">
        <f>VLOOKUP(A195,'House starts'!$A$12:$B$325,2,FALSE)</f>
        <v>1103</v>
      </c>
      <c r="J195">
        <f>VLOOKUP(A195,'New house sales'!$A$13:$C$324,3,FALSE)</f>
        <v>245300</v>
      </c>
      <c r="K195">
        <f>VLOOKUP($A195,'Sreenath''s data'!$A$2:$F$313,3,FALSE)</f>
        <v>169.203</v>
      </c>
      <c r="L195">
        <f>VLOOKUP($A195,'Sreenath''s data'!$A$2:$F$313,4,FALSE)</f>
        <v>6649.9</v>
      </c>
      <c r="M195">
        <f>VLOOKUP($A195,'Sreenath''s data'!$A$2:$F$313,5,FALSE)</f>
        <v>110868</v>
      </c>
      <c r="N195">
        <f>VLOOKUP($A195,'Sreenath''s data'!$A$2:$F$313,6,FALSE)</f>
        <v>98.599815317804101</v>
      </c>
      <c r="O195">
        <f>VLOOKUP($A195,'Niteesh''s data'!$A$2:$I$313,3,FALSE)</f>
        <v>1378.599976</v>
      </c>
      <c r="P195">
        <f>VLOOKUP($A195,'Niteesh''s data'!$A$2:$I$313,4,FALSE)</f>
        <v>1396.0200199999999</v>
      </c>
      <c r="Q195">
        <f>VLOOKUP($A195,'Niteesh''s data'!$A$2:$I$313,5,FALSE)</f>
        <v>1316.75</v>
      </c>
      <c r="R195">
        <f>VLOOKUP($A195,'Niteesh''s data'!$A$2:$I$313,6,FALSE)</f>
        <v>1330.630005</v>
      </c>
      <c r="S195">
        <f>VLOOKUP($A195,'Niteesh''s data'!$A$2:$I$313,7,FALSE)</f>
        <v>1330.630005</v>
      </c>
      <c r="T195">
        <f>VLOOKUP($A195,'Niteesh''s data'!$A$2:$I$313,8,FALSE)</f>
        <v>78536130000</v>
      </c>
      <c r="U195" s="61">
        <f>VLOOKUP($A195,'Niteesh''s data'!$A$2:$I$313,9,FALSE)</f>
        <v>9.5999999999999992E-3</v>
      </c>
      <c r="V195">
        <f>VLOOKUP(A195,'Existing home Sales'!$A$2:$C$324,3,FALSE)</f>
        <v>4.8899999999999997</v>
      </c>
      <c r="W195" s="8">
        <v>2</v>
      </c>
      <c r="X195">
        <f>IFERROR(VLOOKUP(A195,'Home Depot Gross Profit'!$A$1:$B$105,2,FALSE)/3,IF(W195=2,X194,X194))</f>
        <v>2018</v>
      </c>
      <c r="Y195">
        <f>IFERROR(VLOOKUP(A195,'LOWE''S GROSS PROFIT'!$A$1:$B$105,2,FALSE)/3,IF(X195=2,Y194/3,Y194))</f>
        <v>1207</v>
      </c>
      <c r="Z195" s="8">
        <v>5.88</v>
      </c>
      <c r="AA195">
        <v>7453</v>
      </c>
      <c r="AB195">
        <f>VLOOKUP(A195,'[1]Fed_Int (1)'!$A$2:$B$316,2,FALSE)</f>
        <v>2.98</v>
      </c>
      <c r="AC195" s="8">
        <v>30.299999</v>
      </c>
      <c r="AD195" s="8">
        <v>30.690000999999999</v>
      </c>
      <c r="AE195" s="8">
        <v>26.41</v>
      </c>
      <c r="AF195" s="8">
        <v>26.549999</v>
      </c>
      <c r="AG195" s="8">
        <v>20.315118999999999</v>
      </c>
      <c r="AH195" s="8">
        <v>356434400</v>
      </c>
      <c r="AI195" s="8">
        <v>26.08</v>
      </c>
      <c r="AJ195" s="8">
        <v>26.35</v>
      </c>
      <c r="AK195" s="8">
        <v>22.700001</v>
      </c>
      <c r="AL195" s="8">
        <v>23.969999000000001</v>
      </c>
      <c r="AM195" s="8">
        <v>20.056218999999999</v>
      </c>
      <c r="AN195" s="8">
        <v>259327000</v>
      </c>
    </row>
    <row r="196" spans="1:40" x14ac:dyDescent="0.35">
      <c r="A196" s="1">
        <v>39508</v>
      </c>
      <c r="B196" s="13">
        <f t="shared" si="6"/>
        <v>3</v>
      </c>
      <c r="C196" s="13">
        <f t="shared" si="7"/>
        <v>2008</v>
      </c>
      <c r="D196" s="2">
        <v>25385</v>
      </c>
      <c r="E196">
        <f>VLOOKUP(A196,PSR!$A$12:$B$721,2,FALSE)</f>
        <v>3.9</v>
      </c>
      <c r="F196">
        <f>VLOOKUP(A196,CCI_USA!$F$2:$H$317,3,FALSE)</f>
        <v>97.816789999999997</v>
      </c>
      <c r="G196">
        <f>INDEX('BLS Data Series'!$A$11:$M$39,MATCH('UI Datathon Development'!C196,'BLS Data Series'!$A$13:$A$39,0)+2,MATCH('UI Datathon Development'!B196,'BLS Data Series'!$B$11:$M$11,0)+1)</f>
        <v>5.0999999999999996</v>
      </c>
      <c r="H196">
        <f>VLOOKUP(A196,'Houses for sale'!$B$10:$I$671,8,FALSE)</f>
        <v>470</v>
      </c>
      <c r="I196">
        <f>VLOOKUP(A196,'House starts'!$A$12:$B$325,2,FALSE)</f>
        <v>1005</v>
      </c>
      <c r="J196">
        <f>VLOOKUP(A196,'New house sales'!$A$13:$C$324,3,FALSE)</f>
        <v>229300</v>
      </c>
      <c r="K196">
        <f>VLOOKUP($A196,'Sreenath''s data'!$A$2:$F$313,3,FALSE)</f>
        <v>167.91399999999999</v>
      </c>
      <c r="L196">
        <f>VLOOKUP($A196,'Sreenath''s data'!$A$2:$F$313,4,FALSE)</f>
        <v>6659.6</v>
      </c>
      <c r="M196">
        <f>VLOOKUP($A196,'Sreenath''s data'!$A$2:$F$313,5,FALSE)</f>
        <v>110680</v>
      </c>
      <c r="N196">
        <f>VLOOKUP($A196,'Sreenath''s data'!$A$2:$F$313,6,FALSE)</f>
        <v>99.090884504081899</v>
      </c>
      <c r="O196">
        <f>VLOOKUP($A196,'Niteesh''s data'!$A$2:$I$313,3,FALSE)</f>
        <v>1330.4499510000001</v>
      </c>
      <c r="P196">
        <f>VLOOKUP($A196,'Niteesh''s data'!$A$2:$I$313,4,FALSE)</f>
        <v>1359.6800539999999</v>
      </c>
      <c r="Q196">
        <f>VLOOKUP($A196,'Niteesh''s data'!$A$2:$I$313,5,FALSE)</f>
        <v>1256.9799800000001</v>
      </c>
      <c r="R196">
        <f>VLOOKUP($A196,'Niteesh''s data'!$A$2:$I$313,6,FALSE)</f>
        <v>1322.6999510000001</v>
      </c>
      <c r="S196">
        <f>VLOOKUP($A196,'Niteesh''s data'!$A$2:$I$313,7,FALSE)</f>
        <v>1322.6999510000001</v>
      </c>
      <c r="T196">
        <f>VLOOKUP($A196,'Niteesh''s data'!$A$2:$I$313,8,FALSE)</f>
        <v>93189170000</v>
      </c>
      <c r="U196" s="61">
        <f>VLOOKUP($A196,'Niteesh''s data'!$A$2:$I$313,9,FALSE)</f>
        <v>9.5999999999999992E-3</v>
      </c>
      <c r="V196">
        <f>VLOOKUP(A196,'Existing home Sales'!$A$2:$C$324,3,FALSE)</f>
        <v>5.03</v>
      </c>
      <c r="W196" s="8">
        <v>3</v>
      </c>
      <c r="X196">
        <f>IFERROR(VLOOKUP(A196,'Home Depot Gross Profit'!$A$1:$B$105,2,FALSE)/3,IF(W196=2,X195,X195))</f>
        <v>2018</v>
      </c>
      <c r="Y196">
        <f>IFERROR(VLOOKUP(A196,'LOWE''S GROSS PROFIT'!$A$1:$B$105,2,FALSE)/3,IF(X196=2,Y195/3,Y195))</f>
        <v>1207</v>
      </c>
      <c r="Z196" s="8">
        <v>5.95</v>
      </c>
      <c r="AA196">
        <v>7406</v>
      </c>
      <c r="AB196">
        <f>VLOOKUP(A196,'[1]Fed_Int (1)'!$A$2:$B$316,2,FALSE)</f>
        <v>2.61</v>
      </c>
      <c r="AC196" s="8">
        <v>26.5</v>
      </c>
      <c r="AD196" s="8">
        <v>30</v>
      </c>
      <c r="AE196" s="8">
        <v>24.870000999999998</v>
      </c>
      <c r="AF196" s="8">
        <v>27.969999000000001</v>
      </c>
      <c r="AG196" s="8">
        <v>21.401648999999999</v>
      </c>
      <c r="AH196" s="8">
        <v>375945900</v>
      </c>
      <c r="AI196" s="8">
        <v>23.940000999999999</v>
      </c>
      <c r="AJ196" s="8">
        <v>24.92</v>
      </c>
      <c r="AK196" s="8">
        <v>20.25</v>
      </c>
      <c r="AL196" s="8">
        <v>22.940000999999999</v>
      </c>
      <c r="AM196" s="8">
        <v>19.194389000000001</v>
      </c>
      <c r="AN196" s="8">
        <v>298292700</v>
      </c>
    </row>
    <row r="197" spans="1:40" x14ac:dyDescent="0.35">
      <c r="A197" s="1">
        <v>39539</v>
      </c>
      <c r="B197" s="13">
        <f t="shared" si="6"/>
        <v>4</v>
      </c>
      <c r="C197" s="13">
        <f t="shared" si="7"/>
        <v>2008</v>
      </c>
      <c r="D197" s="2">
        <v>25358</v>
      </c>
      <c r="E197">
        <f>VLOOKUP(A197,PSR!$A$12:$B$721,2,FALSE)</f>
        <v>3.5</v>
      </c>
      <c r="F197">
        <f>VLOOKUP(A197,CCI_USA!$F$2:$H$317,3,FALSE)</f>
        <v>97.292169999999999</v>
      </c>
      <c r="G197">
        <f>INDEX('BLS Data Series'!$A$11:$M$39,MATCH('UI Datathon Development'!C197,'BLS Data Series'!$A$13:$A$39,0)+2,MATCH('UI Datathon Development'!B197,'BLS Data Series'!$B$11:$M$11,0)+1)</f>
        <v>5</v>
      </c>
      <c r="H197">
        <f>VLOOKUP(A197,'Houses for sale'!$B$10:$I$671,8,FALSE)</f>
        <v>458</v>
      </c>
      <c r="I197">
        <f>VLOOKUP(A197,'House starts'!$A$12:$B$325,2,FALSE)</f>
        <v>1013</v>
      </c>
      <c r="J197">
        <f>VLOOKUP(A197,'New house sales'!$A$13:$C$324,3,FALSE)</f>
        <v>246400</v>
      </c>
      <c r="K197">
        <f>VLOOKUP($A197,'Sreenath''s data'!$A$2:$F$313,3,FALSE)</f>
        <v>167.33199999999999</v>
      </c>
      <c r="L197">
        <f>VLOOKUP($A197,'Sreenath''s data'!$A$2:$F$313,4,FALSE)</f>
        <v>6679.4</v>
      </c>
      <c r="M197">
        <f>VLOOKUP($A197,'Sreenath''s data'!$A$2:$F$313,5,FALSE)</f>
        <v>111115</v>
      </c>
      <c r="N197">
        <f>VLOOKUP($A197,'Sreenath''s data'!$A$2:$F$313,6,FALSE)</f>
        <v>99.088179953095405</v>
      </c>
      <c r="O197">
        <f>VLOOKUP($A197,'Niteesh''s data'!$A$2:$I$313,3,FALSE)</f>
        <v>1326.410034</v>
      </c>
      <c r="P197">
        <f>VLOOKUP($A197,'Niteesh''s data'!$A$2:$I$313,4,FALSE)</f>
        <v>1404.5699460000001</v>
      </c>
      <c r="Q197">
        <f>VLOOKUP($A197,'Niteesh''s data'!$A$2:$I$313,5,FALSE)</f>
        <v>1324.349976</v>
      </c>
      <c r="R197">
        <f>VLOOKUP($A197,'Niteesh''s data'!$A$2:$I$313,6,FALSE)</f>
        <v>1385.589966</v>
      </c>
      <c r="S197">
        <f>VLOOKUP($A197,'Niteesh''s data'!$A$2:$I$313,7,FALSE)</f>
        <v>1385.589966</v>
      </c>
      <c r="T197">
        <f>VLOOKUP($A197,'Niteesh''s data'!$A$2:$I$313,8,FALSE)</f>
        <v>85978630000</v>
      </c>
      <c r="U197" s="61">
        <f>VLOOKUP($A197,'Niteesh''s data'!$A$2:$I$313,9,FALSE)</f>
        <v>9.4999999999999998E-3</v>
      </c>
      <c r="V197">
        <f>VLOOKUP(A197,'Existing home Sales'!$A$2:$C$324,3,FALSE)</f>
        <v>4.93</v>
      </c>
      <c r="W197" s="8">
        <v>1</v>
      </c>
      <c r="X197">
        <f>IFERROR(VLOOKUP(A197,'Home Depot Gross Profit'!$A$1:$B$105,2,FALSE)/3,IF(W197=2,X196,X196))</f>
        <v>2024</v>
      </c>
      <c r="Y197">
        <f>IFERROR(VLOOKUP(A197,'LOWE''S GROSS PROFIT'!$A$1:$B$105,2,FALSE)/3,IF(X197=2,Y196/3,Y196))</f>
        <v>1388.6666666666667</v>
      </c>
      <c r="Z197" s="8">
        <v>5.88</v>
      </c>
      <c r="AA197">
        <v>7327</v>
      </c>
      <c r="AB197">
        <f>VLOOKUP(A197,'[1]Fed_Int (1)'!$A$2:$B$316,2,FALSE)</f>
        <v>2.2799999999999998</v>
      </c>
      <c r="AC197" s="8">
        <v>28.200001</v>
      </c>
      <c r="AD197" s="8">
        <v>30.16</v>
      </c>
      <c r="AE197" s="8">
        <v>27.4</v>
      </c>
      <c r="AF197" s="8">
        <v>28.799999</v>
      </c>
      <c r="AG197" s="8">
        <v>22.23687</v>
      </c>
      <c r="AH197" s="8">
        <v>315442200</v>
      </c>
      <c r="AI197" s="8">
        <v>23.25</v>
      </c>
      <c r="AJ197" s="8">
        <v>26.049999</v>
      </c>
      <c r="AK197" s="8">
        <v>23.16</v>
      </c>
      <c r="AL197" s="8">
        <v>25.190000999999999</v>
      </c>
      <c r="AM197" s="8">
        <v>21.077017000000001</v>
      </c>
      <c r="AN197" s="8">
        <v>219777300</v>
      </c>
    </row>
    <row r="198" spans="1:40" x14ac:dyDescent="0.35">
      <c r="A198" s="1">
        <v>39569</v>
      </c>
      <c r="B198" s="13">
        <f t="shared" si="6"/>
        <v>5</v>
      </c>
      <c r="C198" s="13">
        <f t="shared" si="7"/>
        <v>2008</v>
      </c>
      <c r="D198" s="2">
        <v>25622</v>
      </c>
      <c r="E198">
        <f>VLOOKUP(A198,PSR!$A$12:$B$721,2,FALSE)</f>
        <v>7.9</v>
      </c>
      <c r="F198">
        <f>VLOOKUP(A198,CCI_USA!$F$2:$H$317,3,FALSE)</f>
        <v>96.915499999999994</v>
      </c>
      <c r="G198">
        <f>INDEX('BLS Data Series'!$A$11:$M$39,MATCH('UI Datathon Development'!C198,'BLS Data Series'!$A$13:$A$39,0)+2,MATCH('UI Datathon Development'!B198,'BLS Data Series'!$B$11:$M$11,0)+1)</f>
        <v>5.4</v>
      </c>
      <c r="H198">
        <f>VLOOKUP(A198,'Houses for sale'!$B$10:$I$671,8,FALSE)</f>
        <v>451</v>
      </c>
      <c r="I198">
        <f>VLOOKUP(A198,'House starts'!$A$12:$B$325,2,FALSE)</f>
        <v>973</v>
      </c>
      <c r="J198">
        <f>VLOOKUP(A198,'New house sales'!$A$13:$C$324,3,FALSE)</f>
        <v>229300</v>
      </c>
      <c r="K198">
        <f>VLOOKUP($A198,'Sreenath''s data'!$A$2:$F$313,3,FALSE)</f>
        <v>167.03</v>
      </c>
      <c r="L198">
        <f>VLOOKUP($A198,'Sreenath''s data'!$A$2:$F$313,4,FALSE)</f>
        <v>6712.9</v>
      </c>
      <c r="M198">
        <f>VLOOKUP($A198,'Sreenath''s data'!$A$2:$F$313,5,FALSE)</f>
        <v>111150</v>
      </c>
      <c r="N198">
        <f>VLOOKUP($A198,'Sreenath''s data'!$A$2:$F$313,6,FALSE)</f>
        <v>99.114839098534503</v>
      </c>
      <c r="O198">
        <f>VLOOKUP($A198,'Niteesh''s data'!$A$2:$I$313,3,FALSE)</f>
        <v>1385.969971</v>
      </c>
      <c r="P198">
        <f>VLOOKUP($A198,'Niteesh''s data'!$A$2:$I$313,4,FALSE)</f>
        <v>1440.23999</v>
      </c>
      <c r="Q198">
        <f>VLOOKUP($A198,'Niteesh''s data'!$A$2:$I$313,5,FALSE)</f>
        <v>1373.0699460000001</v>
      </c>
      <c r="R198">
        <f>VLOOKUP($A198,'Niteesh''s data'!$A$2:$I$313,6,FALSE)</f>
        <v>1400.380005</v>
      </c>
      <c r="S198">
        <f>VLOOKUP($A198,'Niteesh''s data'!$A$2:$I$313,7,FALSE)</f>
        <v>1400.380005</v>
      </c>
      <c r="T198">
        <f>VLOOKUP($A198,'Niteesh''s data'!$A$2:$I$313,8,FALSE)</f>
        <v>80990480000</v>
      </c>
      <c r="U198" s="61">
        <f>VLOOKUP($A198,'Niteesh''s data'!$A$2:$I$313,9,FALSE)</f>
        <v>9.4999999999999998E-3</v>
      </c>
      <c r="V198">
        <f>VLOOKUP(A198,'Existing home Sales'!$A$2:$C$324,3,FALSE)</f>
        <v>4.8899999999999997</v>
      </c>
      <c r="W198" s="8">
        <v>2</v>
      </c>
      <c r="X198">
        <f>IFERROR(VLOOKUP(A198,'Home Depot Gross Profit'!$A$1:$B$105,2,FALSE)/3,IF(W198=2,X197,X197))</f>
        <v>2024</v>
      </c>
      <c r="Y198">
        <f>IFERROR(VLOOKUP(A198,'LOWE''S GROSS PROFIT'!$A$1:$B$105,2,FALSE)/3,IF(X198=2,Y197/3,Y197))</f>
        <v>1388.6666666666667</v>
      </c>
      <c r="Z198" s="8">
        <v>6.05</v>
      </c>
      <c r="AA198">
        <v>7274</v>
      </c>
      <c r="AB198">
        <f>VLOOKUP(A198,'[1]Fed_Int (1)'!$A$2:$B$316,2,FALSE)</f>
        <v>1.98</v>
      </c>
      <c r="AC198" s="8">
        <v>29.09</v>
      </c>
      <c r="AD198" s="8">
        <v>30.5</v>
      </c>
      <c r="AE198" s="8">
        <v>26.280000999999999</v>
      </c>
      <c r="AF198" s="8">
        <v>27.360001</v>
      </c>
      <c r="AG198" s="8">
        <v>21.125026999999999</v>
      </c>
      <c r="AH198" s="8">
        <v>358885800</v>
      </c>
      <c r="AI198" s="8">
        <v>25.049999</v>
      </c>
      <c r="AJ198" s="8">
        <v>27.18</v>
      </c>
      <c r="AK198" s="8">
        <v>23.02</v>
      </c>
      <c r="AL198" s="8">
        <v>24</v>
      </c>
      <c r="AM198" s="8">
        <v>20.147921</v>
      </c>
      <c r="AN198" s="8">
        <v>263427400</v>
      </c>
    </row>
    <row r="199" spans="1:40" x14ac:dyDescent="0.35">
      <c r="A199" s="1">
        <v>39600</v>
      </c>
      <c r="B199" s="13">
        <f t="shared" si="6"/>
        <v>6</v>
      </c>
      <c r="C199" s="13">
        <f t="shared" si="7"/>
        <v>2008</v>
      </c>
      <c r="D199" s="2">
        <v>25728</v>
      </c>
      <c r="E199">
        <f>VLOOKUP(A199,PSR!$A$12:$B$721,2,FALSE)</f>
        <v>5.5</v>
      </c>
      <c r="F199">
        <f>VLOOKUP(A199,CCI_USA!$F$2:$H$317,3,FALSE)</f>
        <v>96.797049999999999</v>
      </c>
      <c r="G199">
        <f>INDEX('BLS Data Series'!$A$11:$M$39,MATCH('UI Datathon Development'!C199,'BLS Data Series'!$A$13:$A$39,0)+2,MATCH('UI Datathon Development'!B199,'BLS Data Series'!$B$11:$M$11,0)+1)</f>
        <v>5.6</v>
      </c>
      <c r="H199">
        <f>VLOOKUP(A199,'Houses for sale'!$B$10:$I$671,8,FALSE)</f>
        <v>435</v>
      </c>
      <c r="I199">
        <f>VLOOKUP(A199,'House starts'!$A$12:$B$325,2,FALSE)</f>
        <v>1046</v>
      </c>
      <c r="J199">
        <f>VLOOKUP(A199,'New house sales'!$A$13:$C$324,3,FALSE)</f>
        <v>234300</v>
      </c>
      <c r="K199">
        <f>VLOOKUP($A199,'Sreenath''s data'!$A$2:$F$313,3,FALSE)</f>
        <v>166.55</v>
      </c>
      <c r="L199">
        <f>VLOOKUP($A199,'Sreenath''s data'!$A$2:$F$313,4,FALSE)</f>
        <v>6741.7</v>
      </c>
      <c r="M199">
        <f>VLOOKUP($A199,'Sreenath''s data'!$A$2:$F$313,5,FALSE)</f>
        <v>111420</v>
      </c>
      <c r="N199">
        <f>VLOOKUP($A199,'Sreenath''s data'!$A$2:$F$313,6,FALSE)</f>
        <v>99.521680839801704</v>
      </c>
      <c r="O199">
        <f>VLOOKUP($A199,'Niteesh''s data'!$A$2:$I$313,3,FALSE)</f>
        <v>1399.619995</v>
      </c>
      <c r="P199">
        <f>VLOOKUP($A199,'Niteesh''s data'!$A$2:$I$313,4,FALSE)</f>
        <v>1404.0500489999999</v>
      </c>
      <c r="Q199">
        <f>VLOOKUP($A199,'Niteesh''s data'!$A$2:$I$313,5,FALSE)</f>
        <v>1272</v>
      </c>
      <c r="R199">
        <f>VLOOKUP($A199,'Niteesh''s data'!$A$2:$I$313,6,FALSE)</f>
        <v>1280</v>
      </c>
      <c r="S199">
        <f>VLOOKUP($A199,'Niteesh''s data'!$A$2:$I$313,7,FALSE)</f>
        <v>1280</v>
      </c>
      <c r="T199">
        <f>VLOOKUP($A199,'Niteesh''s data'!$A$2:$I$313,8,FALSE)</f>
        <v>96614040000</v>
      </c>
      <c r="U199" s="61">
        <f>VLOOKUP($A199,'Niteesh''s data'!$A$2:$I$313,9,FALSE)</f>
        <v>9.4000000000000004E-3</v>
      </c>
      <c r="V199">
        <f>VLOOKUP(A199,'Existing home Sales'!$A$2:$C$324,3,FALSE)</f>
        <v>4.99</v>
      </c>
      <c r="W199" s="8">
        <v>3</v>
      </c>
      <c r="X199">
        <f>IFERROR(VLOOKUP(A199,'Home Depot Gross Profit'!$A$1:$B$105,2,FALSE)/3,IF(W199=2,X198,X198))</f>
        <v>2024</v>
      </c>
      <c r="Y199">
        <f>IFERROR(VLOOKUP(A199,'LOWE''S GROSS PROFIT'!$A$1:$B$105,2,FALSE)/3,IF(X199=2,Y198/3,Y198))</f>
        <v>1388.6666666666667</v>
      </c>
      <c r="Z199" s="8">
        <v>6.37</v>
      </c>
      <c r="AA199">
        <v>7213</v>
      </c>
      <c r="AB199">
        <f>VLOOKUP(A199,'[1]Fed_Int (1)'!$A$2:$B$316,2,FALSE)</f>
        <v>2</v>
      </c>
      <c r="AC199" s="8">
        <v>27.41</v>
      </c>
      <c r="AD199" s="8">
        <v>28.129999000000002</v>
      </c>
      <c r="AE199" s="8">
        <v>23.32</v>
      </c>
      <c r="AF199" s="8">
        <v>23.42</v>
      </c>
      <c r="AG199" s="8">
        <v>18.082903000000002</v>
      </c>
      <c r="AH199" s="8">
        <v>367890700</v>
      </c>
      <c r="AI199" s="8">
        <v>24.280000999999999</v>
      </c>
      <c r="AJ199" s="8">
        <v>24.82</v>
      </c>
      <c r="AK199" s="8">
        <v>20.52</v>
      </c>
      <c r="AL199" s="8">
        <v>20.75</v>
      </c>
      <c r="AM199" s="8">
        <v>17.419561000000002</v>
      </c>
      <c r="AN199" s="8">
        <v>248254100</v>
      </c>
    </row>
    <row r="200" spans="1:40" x14ac:dyDescent="0.35">
      <c r="A200" s="1">
        <v>39630</v>
      </c>
      <c r="B200" s="13">
        <f t="shared" si="6"/>
        <v>7</v>
      </c>
      <c r="C200" s="13">
        <f t="shared" si="7"/>
        <v>2008</v>
      </c>
      <c r="D200" s="2">
        <v>25943</v>
      </c>
      <c r="E200">
        <f>VLOOKUP(A200,PSR!$A$12:$B$721,2,FALSE)</f>
        <v>4.4000000000000004</v>
      </c>
      <c r="F200">
        <f>VLOOKUP(A200,CCI_USA!$F$2:$H$317,3,FALSE)</f>
        <v>96.998760000000004</v>
      </c>
      <c r="G200">
        <f>INDEX('BLS Data Series'!$A$11:$M$39,MATCH('UI Datathon Development'!C200,'BLS Data Series'!$A$13:$A$39,0)+2,MATCH('UI Datathon Development'!B200,'BLS Data Series'!$B$11:$M$11,0)+1)</f>
        <v>5.8</v>
      </c>
      <c r="H200">
        <f>VLOOKUP(A200,'Houses for sale'!$B$10:$I$671,8,FALSE)</f>
        <v>419</v>
      </c>
      <c r="I200">
        <f>VLOOKUP(A200,'House starts'!$A$12:$B$325,2,FALSE)</f>
        <v>923</v>
      </c>
      <c r="J200">
        <f>VLOOKUP(A200,'New house sales'!$A$13:$C$324,3,FALSE)</f>
        <v>237300</v>
      </c>
      <c r="K200">
        <f>VLOOKUP($A200,'Sreenath''s data'!$A$2:$F$313,3,FALSE)</f>
        <v>165.72900000000001</v>
      </c>
      <c r="L200">
        <f>VLOOKUP($A200,'Sreenath''s data'!$A$2:$F$313,4,FALSE)</f>
        <v>6736.8</v>
      </c>
      <c r="M200">
        <f>VLOOKUP($A200,'Sreenath''s data'!$A$2:$F$313,5,FALSE)</f>
        <v>111572</v>
      </c>
      <c r="N200">
        <f>VLOOKUP($A200,'Sreenath''s data'!$A$2:$F$313,6,FALSE)</f>
        <v>99.928136216642201</v>
      </c>
      <c r="O200">
        <f>VLOOKUP($A200,'Niteesh''s data'!$A$2:$I$313,3,FALSE)</f>
        <v>1276.6899410000001</v>
      </c>
      <c r="P200">
        <f>VLOOKUP($A200,'Niteesh''s data'!$A$2:$I$313,4,FALSE)</f>
        <v>1292.170044</v>
      </c>
      <c r="Q200">
        <f>VLOOKUP($A200,'Niteesh''s data'!$A$2:$I$313,5,FALSE)</f>
        <v>1200.4399410000001</v>
      </c>
      <c r="R200">
        <f>VLOOKUP($A200,'Niteesh''s data'!$A$2:$I$313,6,FALSE)</f>
        <v>1267.380005</v>
      </c>
      <c r="S200">
        <f>VLOOKUP($A200,'Niteesh''s data'!$A$2:$I$313,7,FALSE)</f>
        <v>1267.380005</v>
      </c>
      <c r="T200">
        <f>VLOOKUP($A200,'Niteesh''s data'!$A$2:$I$313,8,FALSE)</f>
        <v>125000000000</v>
      </c>
      <c r="U200" s="61">
        <f>VLOOKUP($A200,'Niteesh''s data'!$A$2:$I$313,9,FALSE)</f>
        <v>9.4000000000000004E-3</v>
      </c>
      <c r="V200">
        <f>VLOOKUP(A200,'Existing home Sales'!$A$2:$C$324,3,FALSE)</f>
        <v>4.8600000000000003</v>
      </c>
      <c r="W200" s="8">
        <v>1</v>
      </c>
      <c r="X200">
        <f>IFERROR(VLOOKUP(A200,'Home Depot Gross Profit'!$A$1:$B$105,2,FALSE)/3,IF(W200=2,X199,X199))</f>
        <v>2321.3333333333335</v>
      </c>
      <c r="Y200">
        <f>IFERROR(VLOOKUP(A200,'LOWE''S GROSS PROFIT'!$A$1:$B$105,2,FALSE)/3,IF(X200=2,Y199/3,Y199))</f>
        <v>1660.6666666666667</v>
      </c>
      <c r="Z200" s="8">
        <v>6.37</v>
      </c>
      <c r="AA200">
        <v>7160</v>
      </c>
      <c r="AB200">
        <f>VLOOKUP(A200,'[1]Fed_Int (1)'!$A$2:$B$316,2,FALSE)</f>
        <v>2.0099999999999998</v>
      </c>
      <c r="AC200" s="8">
        <v>23.110001</v>
      </c>
      <c r="AD200" s="8">
        <v>25.85</v>
      </c>
      <c r="AE200" s="8">
        <v>20.76</v>
      </c>
      <c r="AF200" s="8">
        <v>23.83</v>
      </c>
      <c r="AG200" s="8">
        <v>18.553162</v>
      </c>
      <c r="AH200" s="8">
        <v>397904400</v>
      </c>
      <c r="AI200" s="8">
        <v>20.469999000000001</v>
      </c>
      <c r="AJ200" s="8">
        <v>21.83</v>
      </c>
      <c r="AK200" s="8">
        <v>18</v>
      </c>
      <c r="AL200" s="8">
        <v>20.32</v>
      </c>
      <c r="AM200" s="8">
        <v>17.058571000000001</v>
      </c>
      <c r="AN200" s="8">
        <v>293623400</v>
      </c>
    </row>
    <row r="201" spans="1:40" x14ac:dyDescent="0.35">
      <c r="A201" s="1">
        <v>39661</v>
      </c>
      <c r="B201" s="13">
        <f t="shared" si="6"/>
        <v>8</v>
      </c>
      <c r="C201" s="13">
        <f t="shared" si="7"/>
        <v>2008</v>
      </c>
      <c r="D201" s="2">
        <v>25343</v>
      </c>
      <c r="E201">
        <f>VLOOKUP(A201,PSR!$A$12:$B$721,2,FALSE)</f>
        <v>3.7</v>
      </c>
      <c r="F201">
        <f>VLOOKUP(A201,CCI_USA!$F$2:$H$317,3,FALSE)</f>
        <v>97.254300000000001</v>
      </c>
      <c r="G201">
        <f>INDEX('BLS Data Series'!$A$11:$M$39,MATCH('UI Datathon Development'!C201,'BLS Data Series'!$A$13:$A$39,0)+2,MATCH('UI Datathon Development'!B201,'BLS Data Series'!$B$11:$M$11,0)+1)</f>
        <v>6.1</v>
      </c>
      <c r="H201">
        <f>VLOOKUP(A201,'Houses for sale'!$B$10:$I$671,8,FALSE)</f>
        <v>409</v>
      </c>
      <c r="I201">
        <f>VLOOKUP(A201,'House starts'!$A$12:$B$325,2,FALSE)</f>
        <v>844</v>
      </c>
      <c r="J201">
        <f>VLOOKUP(A201,'New house sales'!$A$13:$C$324,3,FALSE)</f>
        <v>221000</v>
      </c>
      <c r="K201">
        <f>VLOOKUP($A201,'Sreenath''s data'!$A$2:$F$313,3,FALSE)</f>
        <v>164.29400000000001</v>
      </c>
      <c r="L201">
        <f>VLOOKUP($A201,'Sreenath''s data'!$A$2:$F$313,4,FALSE)</f>
        <v>6759.6</v>
      </c>
      <c r="M201">
        <f>VLOOKUP($A201,'Sreenath''s data'!$A$2:$F$313,5,FALSE)</f>
        <v>111724</v>
      </c>
      <c r="N201">
        <f>VLOOKUP($A201,'Sreenath''s data'!$A$2:$F$313,6,FALSE)</f>
        <v>99.893363418243396</v>
      </c>
      <c r="O201">
        <f>VLOOKUP($A201,'Niteesh''s data'!$A$2:$I$313,3,FALSE)</f>
        <v>1269.420044</v>
      </c>
      <c r="P201">
        <f>VLOOKUP($A201,'Niteesh''s data'!$A$2:$I$313,4,FALSE)</f>
        <v>1313.150024</v>
      </c>
      <c r="Q201">
        <f>VLOOKUP($A201,'Niteesh''s data'!$A$2:$I$313,5,FALSE)</f>
        <v>1247.4499510000001</v>
      </c>
      <c r="R201">
        <f>VLOOKUP($A201,'Niteesh''s data'!$A$2:$I$313,6,FALSE)</f>
        <v>1282.829956</v>
      </c>
      <c r="S201">
        <f>VLOOKUP($A201,'Niteesh''s data'!$A$2:$I$313,7,FALSE)</f>
        <v>1282.829956</v>
      </c>
      <c r="T201">
        <f>VLOOKUP($A201,'Niteesh''s data'!$A$2:$I$313,8,FALSE)</f>
        <v>86266010000</v>
      </c>
      <c r="U201" s="61">
        <f>VLOOKUP($A201,'Niteesh''s data'!$A$2:$I$313,9,FALSE)</f>
        <v>9.2999999999999992E-3</v>
      </c>
      <c r="V201">
        <f>VLOOKUP(A201,'Existing home Sales'!$A$2:$C$324,3,FALSE)</f>
        <v>5</v>
      </c>
      <c r="W201" s="8">
        <v>2</v>
      </c>
      <c r="X201">
        <f>IFERROR(VLOOKUP(A201,'Home Depot Gross Profit'!$A$1:$B$105,2,FALSE)/3,IF(W201=2,X200,X200))</f>
        <v>2321.3333333333335</v>
      </c>
      <c r="Y201">
        <f>IFERROR(VLOOKUP(A201,'LOWE''S GROSS PROFIT'!$A$1:$B$105,2,FALSE)/3,IF(X201=2,Y200/3,Y200))</f>
        <v>1660.6666666666667</v>
      </c>
      <c r="Z201" s="8">
        <v>6.4949999999999903</v>
      </c>
      <c r="AA201">
        <v>7114</v>
      </c>
      <c r="AB201">
        <f>VLOOKUP(A201,'[1]Fed_Int (1)'!$A$2:$B$316,2,FALSE)</f>
        <v>2</v>
      </c>
      <c r="AC201" s="8">
        <v>24.030000999999999</v>
      </c>
      <c r="AD201" s="8">
        <v>28.75</v>
      </c>
      <c r="AE201" s="8">
        <v>22.82</v>
      </c>
      <c r="AF201" s="8">
        <v>27.120000999999998</v>
      </c>
      <c r="AG201" s="8">
        <v>21.114640999999999</v>
      </c>
      <c r="AH201" s="8">
        <v>407771000</v>
      </c>
      <c r="AI201" s="8">
        <v>20.440000999999999</v>
      </c>
      <c r="AJ201" s="8">
        <v>25.469999000000001</v>
      </c>
      <c r="AK201" s="8">
        <v>19.969999000000001</v>
      </c>
      <c r="AL201" s="8">
        <v>24.639999</v>
      </c>
      <c r="AM201" s="8">
        <v>20.781832000000001</v>
      </c>
      <c r="AN201" s="8">
        <v>292435600</v>
      </c>
    </row>
    <row r="202" spans="1:40" x14ac:dyDescent="0.35">
      <c r="A202" s="1">
        <v>39692</v>
      </c>
      <c r="B202" s="13">
        <f t="shared" si="6"/>
        <v>9</v>
      </c>
      <c r="C202" s="13">
        <f t="shared" si="7"/>
        <v>2008</v>
      </c>
      <c r="D202" s="2">
        <v>25187</v>
      </c>
      <c r="E202">
        <f>VLOOKUP(A202,PSR!$A$12:$B$721,2,FALSE)</f>
        <v>4.4000000000000004</v>
      </c>
      <c r="F202">
        <f>VLOOKUP(A202,CCI_USA!$F$2:$H$317,3,FALSE)</f>
        <v>97.329819999999998</v>
      </c>
      <c r="G202">
        <f>INDEX('BLS Data Series'!$A$11:$M$39,MATCH('UI Datathon Development'!C202,'BLS Data Series'!$A$13:$A$39,0)+2,MATCH('UI Datathon Development'!B202,'BLS Data Series'!$B$11:$M$11,0)+1)</f>
        <v>6.1</v>
      </c>
      <c r="H202">
        <f>VLOOKUP(A202,'Houses for sale'!$B$10:$I$671,8,FALSE)</f>
        <v>395</v>
      </c>
      <c r="I202">
        <f>VLOOKUP(A202,'House starts'!$A$12:$B$325,2,FALSE)</f>
        <v>820</v>
      </c>
      <c r="J202">
        <f>VLOOKUP(A202,'New house sales'!$A$13:$C$324,3,FALSE)</f>
        <v>225200</v>
      </c>
      <c r="K202">
        <f>VLOOKUP($A202,'Sreenath''s data'!$A$2:$F$313,3,FALSE)</f>
        <v>161.92599999999999</v>
      </c>
      <c r="L202">
        <f>VLOOKUP($A202,'Sreenath''s data'!$A$2:$F$313,4,FALSE)</f>
        <v>6725.8</v>
      </c>
      <c r="M202">
        <f>VLOOKUP($A202,'Sreenath''s data'!$A$2:$F$313,5,FALSE)</f>
        <v>111893</v>
      </c>
      <c r="N202">
        <f>VLOOKUP($A202,'Sreenath''s data'!$A$2:$F$313,6,FALSE)</f>
        <v>99.780545005660201</v>
      </c>
      <c r="O202">
        <f>VLOOKUP($A202,'Niteesh''s data'!$A$2:$I$313,3,FALSE)</f>
        <v>1287.829956</v>
      </c>
      <c r="P202">
        <f>VLOOKUP($A202,'Niteesh''s data'!$A$2:$I$313,4,FALSE)</f>
        <v>1303.040039</v>
      </c>
      <c r="Q202">
        <f>VLOOKUP($A202,'Niteesh''s data'!$A$2:$I$313,5,FALSE)</f>
        <v>1106.420044</v>
      </c>
      <c r="R202">
        <f>VLOOKUP($A202,'Niteesh''s data'!$A$2:$I$313,6,FALSE)</f>
        <v>1166.3599850000001</v>
      </c>
      <c r="S202">
        <f>VLOOKUP($A202,'Niteesh''s data'!$A$2:$I$313,7,FALSE)</f>
        <v>1166.3599850000001</v>
      </c>
      <c r="T202">
        <f>VLOOKUP($A202,'Niteesh''s data'!$A$2:$I$313,8,FALSE)</f>
        <v>140000000000</v>
      </c>
      <c r="U202" s="61">
        <f>VLOOKUP($A202,'Niteesh''s data'!$A$2:$I$313,9,FALSE)</f>
        <v>9.1000000000000004E-3</v>
      </c>
      <c r="V202">
        <f>VLOOKUP(A202,'Existing home Sales'!$A$2:$C$324,3,FALSE)</f>
        <v>4.91</v>
      </c>
      <c r="W202" s="8">
        <v>3</v>
      </c>
      <c r="X202">
        <f>IFERROR(VLOOKUP(A202,'Home Depot Gross Profit'!$A$1:$B$105,2,FALSE)/3,IF(W202=2,X201,X201))</f>
        <v>2321.3333333333335</v>
      </c>
      <c r="Y202">
        <f>IFERROR(VLOOKUP(A202,'LOWE''S GROSS PROFIT'!$A$1:$B$105,2,FALSE)/3,IF(X202=2,Y201/3,Y201))</f>
        <v>1660.6666666666667</v>
      </c>
      <c r="Z202" s="8">
        <v>6.01</v>
      </c>
      <c r="AA202">
        <v>7044</v>
      </c>
      <c r="AB202">
        <f>VLOOKUP(A202,'[1]Fed_Int (1)'!$A$2:$B$316,2,FALSE)</f>
        <v>1.81</v>
      </c>
      <c r="AC202" s="8">
        <v>27.65</v>
      </c>
      <c r="AD202" s="8">
        <v>30.74</v>
      </c>
      <c r="AE202" s="8">
        <v>24.440000999999999</v>
      </c>
      <c r="AF202" s="8">
        <v>25.889999</v>
      </c>
      <c r="AG202" s="8">
        <v>20.156998000000002</v>
      </c>
      <c r="AH202" s="8">
        <v>621080800</v>
      </c>
      <c r="AI202" s="8">
        <v>25.280000999999999</v>
      </c>
      <c r="AJ202" s="8">
        <v>28.49</v>
      </c>
      <c r="AK202" s="8">
        <v>21.77</v>
      </c>
      <c r="AL202" s="8">
        <v>23.690000999999999</v>
      </c>
      <c r="AM202" s="8">
        <v>19.980587</v>
      </c>
      <c r="AN202" s="8">
        <v>485354500</v>
      </c>
    </row>
    <row r="203" spans="1:40" x14ac:dyDescent="0.35">
      <c r="A203" s="1">
        <v>39722</v>
      </c>
      <c r="B203" s="13">
        <f t="shared" si="6"/>
        <v>10</v>
      </c>
      <c r="C203" s="13">
        <f t="shared" si="7"/>
        <v>2008</v>
      </c>
      <c r="D203" s="2">
        <v>24592</v>
      </c>
      <c r="E203">
        <f>VLOOKUP(A203,PSR!$A$12:$B$721,2,FALSE)</f>
        <v>5.4</v>
      </c>
      <c r="F203">
        <f>VLOOKUP(A203,CCI_USA!$F$2:$H$317,3,FALSE)</f>
        <v>96.979320000000001</v>
      </c>
      <c r="G203">
        <f>INDEX('BLS Data Series'!$A$11:$M$39,MATCH('UI Datathon Development'!C203,'BLS Data Series'!$A$13:$A$39,0)+2,MATCH('UI Datathon Development'!B203,'BLS Data Series'!$B$11:$M$11,0)+1)</f>
        <v>6.5</v>
      </c>
      <c r="H203">
        <f>VLOOKUP(A203,'Houses for sale'!$B$10:$I$671,8,FALSE)</f>
        <v>381</v>
      </c>
      <c r="I203">
        <f>VLOOKUP(A203,'House starts'!$A$12:$B$325,2,FALSE)</f>
        <v>777</v>
      </c>
      <c r="J203">
        <f>VLOOKUP(A203,'New house sales'!$A$13:$C$324,3,FALSE)</f>
        <v>213200</v>
      </c>
      <c r="K203">
        <f>VLOOKUP($A203,'Sreenath''s data'!$A$2:$F$313,3,FALSE)</f>
        <v>159.172</v>
      </c>
      <c r="L203">
        <f>VLOOKUP($A203,'Sreenath''s data'!$A$2:$F$313,4,FALSE)</f>
        <v>6682.5</v>
      </c>
      <c r="M203">
        <f>VLOOKUP($A203,'Sreenath''s data'!$A$2:$F$313,5,FALSE)</f>
        <v>112073</v>
      </c>
      <c r="N203">
        <f>VLOOKUP($A203,'Sreenath''s data'!$A$2:$F$313,6,FALSE)</f>
        <v>99.824204185872205</v>
      </c>
      <c r="O203">
        <f>VLOOKUP($A203,'Niteesh''s data'!$A$2:$I$313,3,FALSE)</f>
        <v>1164.170044</v>
      </c>
      <c r="P203">
        <f>VLOOKUP($A203,'Niteesh''s data'!$A$2:$I$313,4,FALSE)</f>
        <v>1167.030029</v>
      </c>
      <c r="Q203">
        <f>VLOOKUP($A203,'Niteesh''s data'!$A$2:$I$313,5,FALSE)</f>
        <v>839.79998799999998</v>
      </c>
      <c r="R203">
        <f>VLOOKUP($A203,'Niteesh''s data'!$A$2:$I$313,6,FALSE)</f>
        <v>968.75</v>
      </c>
      <c r="S203">
        <f>VLOOKUP($A203,'Niteesh''s data'!$A$2:$I$313,7,FALSE)</f>
        <v>968.75</v>
      </c>
      <c r="T203">
        <f>VLOOKUP($A203,'Niteesh''s data'!$A$2:$I$313,8,FALSE)</f>
        <v>160000000000</v>
      </c>
      <c r="U203" s="61">
        <f>VLOOKUP($A203,'Niteesh''s data'!$A$2:$I$313,9,FALSE)</f>
        <v>9.1000000000000004E-3</v>
      </c>
      <c r="V203">
        <f>VLOOKUP(A203,'Existing home Sales'!$A$2:$C$324,3,FALSE)</f>
        <v>5.18</v>
      </c>
      <c r="W203" s="8">
        <v>1</v>
      </c>
      <c r="X203">
        <f>IFERROR(VLOOKUP(A203,'Home Depot Gross Profit'!$A$1:$B$105,2,FALSE)/3,IF(W203=2,X202,X202))</f>
        <v>1998</v>
      </c>
      <c r="Y203">
        <f>IFERROR(VLOOKUP(A203,'LOWE''S GROSS PROFIT'!$A$1:$B$105,2,FALSE)/3,IF(X203=2,Y202/3,Y202))</f>
        <v>1328.3333333333333</v>
      </c>
      <c r="Z203" s="8">
        <v>6.1</v>
      </c>
      <c r="AA203">
        <v>6967</v>
      </c>
      <c r="AB203">
        <f>VLOOKUP(A203,'[1]Fed_Int (1)'!$A$2:$B$316,2,FALSE)</f>
        <v>0.97</v>
      </c>
      <c r="AC203" s="8">
        <v>25.52</v>
      </c>
      <c r="AD203" s="8">
        <v>26.09</v>
      </c>
      <c r="AE203" s="8">
        <v>17.049999</v>
      </c>
      <c r="AF203" s="8">
        <v>23.59</v>
      </c>
      <c r="AG203" s="8">
        <v>18.519966</v>
      </c>
      <c r="AH203" s="8">
        <v>628648800</v>
      </c>
      <c r="AI203" s="8">
        <v>23.41</v>
      </c>
      <c r="AJ203" s="8">
        <v>23.629999000000002</v>
      </c>
      <c r="AK203" s="8">
        <v>15.76</v>
      </c>
      <c r="AL203" s="8">
        <v>21.700001</v>
      </c>
      <c r="AM203" s="8">
        <v>18.302182999999999</v>
      </c>
      <c r="AN203" s="8">
        <v>502020700</v>
      </c>
    </row>
    <row r="204" spans="1:40" x14ac:dyDescent="0.35">
      <c r="A204" s="1">
        <v>39753</v>
      </c>
      <c r="B204" s="13">
        <f t="shared" si="6"/>
        <v>11</v>
      </c>
      <c r="C204" s="13">
        <f t="shared" si="7"/>
        <v>2008</v>
      </c>
      <c r="D204" s="2">
        <v>23225</v>
      </c>
      <c r="E204">
        <f>VLOOKUP(A204,PSR!$A$12:$B$721,2,FALSE)</f>
        <v>6.2</v>
      </c>
      <c r="F204">
        <f>VLOOKUP(A204,CCI_USA!$F$2:$H$317,3,FALSE)</f>
        <v>96.724490000000003</v>
      </c>
      <c r="G204">
        <f>INDEX('BLS Data Series'!$A$11:$M$39,MATCH('UI Datathon Development'!C204,'BLS Data Series'!$A$13:$A$39,0)+2,MATCH('UI Datathon Development'!B204,'BLS Data Series'!$B$11:$M$11,0)+1)</f>
        <v>6.8</v>
      </c>
      <c r="H204">
        <f>VLOOKUP(A204,'Houses for sale'!$B$10:$I$671,8,FALSE)</f>
        <v>371</v>
      </c>
      <c r="I204">
        <f>VLOOKUP(A204,'House starts'!$A$12:$B$325,2,FALSE)</f>
        <v>652</v>
      </c>
      <c r="J204">
        <f>VLOOKUP(A204,'New house sales'!$A$13:$C$324,3,FALSE)</f>
        <v>221600</v>
      </c>
      <c r="K204">
        <f>VLOOKUP($A204,'Sreenath''s data'!$A$2:$F$313,3,FALSE)</f>
        <v>156.07900000000001</v>
      </c>
      <c r="L204">
        <f>VLOOKUP($A204,'Sreenath''s data'!$A$2:$F$313,4,FALSE)</f>
        <v>6685.9</v>
      </c>
      <c r="M204">
        <f>VLOOKUP($A204,'Sreenath''s data'!$A$2:$F$313,5,FALSE)</f>
        <v>111792</v>
      </c>
      <c r="N204">
        <f>VLOOKUP($A204,'Sreenath''s data'!$A$2:$F$313,6,FALSE)</f>
        <v>99.6669538642238</v>
      </c>
      <c r="O204">
        <f>VLOOKUP($A204,'Niteesh''s data'!$A$2:$I$313,3,FALSE)</f>
        <v>968.669983</v>
      </c>
      <c r="P204">
        <f>VLOOKUP($A204,'Niteesh''s data'!$A$2:$I$313,4,FALSE)</f>
        <v>1007.51001</v>
      </c>
      <c r="Q204">
        <f>VLOOKUP($A204,'Niteesh''s data'!$A$2:$I$313,5,FALSE)</f>
        <v>741.02002000000005</v>
      </c>
      <c r="R204">
        <f>VLOOKUP($A204,'Niteesh''s data'!$A$2:$I$313,6,FALSE)</f>
        <v>896.23999000000003</v>
      </c>
      <c r="S204">
        <f>VLOOKUP($A204,'Niteesh''s data'!$A$2:$I$313,7,FALSE)</f>
        <v>896.23999000000003</v>
      </c>
      <c r="T204">
        <f>VLOOKUP($A204,'Niteesh''s data'!$A$2:$I$313,8,FALSE)</f>
        <v>116000000000</v>
      </c>
      <c r="U204" s="61">
        <f>VLOOKUP($A204,'Niteesh''s data'!$A$2:$I$313,9,FALSE)</f>
        <v>9.1000000000000004E-3</v>
      </c>
      <c r="V204">
        <f>VLOOKUP(A204,'Existing home Sales'!$A$2:$C$324,3,FALSE)</f>
        <v>4.9800000000000004</v>
      </c>
      <c r="W204" s="8">
        <v>2</v>
      </c>
      <c r="X204">
        <f>IFERROR(VLOOKUP(A204,'Home Depot Gross Profit'!$A$1:$B$105,2,FALSE)/3,IF(W204=2,X203,X203))</f>
        <v>1998</v>
      </c>
      <c r="Y204">
        <f>IFERROR(VLOOKUP(A204,'LOWE''S GROSS PROFIT'!$A$1:$B$105,2,FALSE)/3,IF(X204=2,Y203/3,Y203))</f>
        <v>1328.3333333333333</v>
      </c>
      <c r="Z204" s="8">
        <v>6.09</v>
      </c>
      <c r="AA204">
        <v>6813</v>
      </c>
      <c r="AB204">
        <f>VLOOKUP(A204,'[1]Fed_Int (1)'!$A$2:$B$316,2,FALSE)</f>
        <v>0.39</v>
      </c>
      <c r="AC204" s="8">
        <v>23.48</v>
      </c>
      <c r="AD204" s="8">
        <v>23.790001</v>
      </c>
      <c r="AE204" s="8">
        <v>17.459999</v>
      </c>
      <c r="AF204" s="8">
        <v>23.110001</v>
      </c>
      <c r="AG204" s="8">
        <v>18.143127</v>
      </c>
      <c r="AH204" s="8">
        <v>459693800</v>
      </c>
      <c r="AI204" s="8">
        <v>21.58</v>
      </c>
      <c r="AJ204" s="8">
        <v>22</v>
      </c>
      <c r="AK204" s="8">
        <v>15.85</v>
      </c>
      <c r="AL204" s="8">
        <v>20.66</v>
      </c>
      <c r="AM204" s="8">
        <v>17.502625999999999</v>
      </c>
      <c r="AN204" s="8">
        <v>330178200</v>
      </c>
    </row>
    <row r="205" spans="1:40" x14ac:dyDescent="0.35">
      <c r="A205" s="1">
        <v>39783</v>
      </c>
      <c r="B205" s="13">
        <f t="shared" si="6"/>
        <v>12</v>
      </c>
      <c r="C205" s="13">
        <f t="shared" si="7"/>
        <v>2008</v>
      </c>
      <c r="D205" s="2">
        <v>22911</v>
      </c>
      <c r="E205">
        <f>VLOOKUP(A205,PSR!$A$12:$B$721,2,FALSE)</f>
        <v>6.4</v>
      </c>
      <c r="F205">
        <f>VLOOKUP(A205,CCI_USA!$F$2:$H$317,3,FALSE)</f>
        <v>96.717079999999996</v>
      </c>
      <c r="G205">
        <f>INDEX('BLS Data Series'!$A$11:$M$39,MATCH('UI Datathon Development'!C205,'BLS Data Series'!$A$13:$A$39,0)+2,MATCH('UI Datathon Development'!B205,'BLS Data Series'!$B$11:$M$11,0)+1)</f>
        <v>7.3</v>
      </c>
      <c r="H205">
        <f>VLOOKUP(A205,'Houses for sale'!$B$10:$I$671,8,FALSE)</f>
        <v>353</v>
      </c>
      <c r="I205">
        <f>VLOOKUP(A205,'House starts'!$A$12:$B$325,2,FALSE)</f>
        <v>560</v>
      </c>
      <c r="J205">
        <f>VLOOKUP(A205,'New house sales'!$A$13:$C$324,3,FALSE)</f>
        <v>229600</v>
      </c>
      <c r="K205">
        <f>VLOOKUP($A205,'Sreenath''s data'!$A$2:$F$313,3,FALSE)</f>
        <v>152.554</v>
      </c>
      <c r="L205">
        <f>VLOOKUP($A205,'Sreenath''s data'!$A$2:$F$313,4,FALSE)</f>
        <v>6922.8</v>
      </c>
      <c r="M205">
        <f>VLOOKUP($A205,'Sreenath''s data'!$A$2:$F$313,5,FALSE)</f>
        <v>111696</v>
      </c>
      <c r="N205">
        <f>VLOOKUP($A205,'Sreenath''s data'!$A$2:$F$313,6,FALSE)</f>
        <v>99.514726280121906</v>
      </c>
      <c r="O205">
        <f>VLOOKUP($A205,'Niteesh''s data'!$A$2:$I$313,3,FALSE)</f>
        <v>888.60998500000005</v>
      </c>
      <c r="P205">
        <f>VLOOKUP($A205,'Niteesh''s data'!$A$2:$I$313,4,FALSE)</f>
        <v>918.84997599999997</v>
      </c>
      <c r="Q205">
        <f>VLOOKUP($A205,'Niteesh''s data'!$A$2:$I$313,5,FALSE)</f>
        <v>815.69000200000005</v>
      </c>
      <c r="R205">
        <f>VLOOKUP($A205,'Niteesh''s data'!$A$2:$I$313,6,FALSE)</f>
        <v>903.25</v>
      </c>
      <c r="S205">
        <f>VLOOKUP($A205,'Niteesh''s data'!$A$2:$I$313,7,FALSE)</f>
        <v>903.25</v>
      </c>
      <c r="T205">
        <f>VLOOKUP($A205,'Niteesh''s data'!$A$2:$I$313,8,FALSE)</f>
        <v>113000000000</v>
      </c>
      <c r="U205" s="61">
        <f>VLOOKUP($A205,'Niteesh''s data'!$A$2:$I$313,9,FALSE)</f>
        <v>8.9999999999999993E-3</v>
      </c>
      <c r="V205">
        <f>VLOOKUP(A205,'Existing home Sales'!$A$2:$C$324,3,FALSE)</f>
        <v>4.49</v>
      </c>
      <c r="W205" s="8">
        <v>3</v>
      </c>
      <c r="X205">
        <f>IFERROR(VLOOKUP(A205,'Home Depot Gross Profit'!$A$1:$B$105,2,FALSE)/3,IF(W205=2,X204,X204))</f>
        <v>1998</v>
      </c>
      <c r="Y205">
        <f>IFERROR(VLOOKUP(A205,'LOWE''S GROSS PROFIT'!$A$1:$B$105,2,FALSE)/3,IF(X205=2,Y204/3,Y204))</f>
        <v>1328.3333333333333</v>
      </c>
      <c r="Z205" s="8">
        <v>5.19</v>
      </c>
      <c r="AA205">
        <v>6701</v>
      </c>
      <c r="AB205">
        <f>VLOOKUP(A205,'[1]Fed_Int (1)'!$A$2:$B$316,2,FALSE)</f>
        <v>0.16</v>
      </c>
      <c r="AC205" s="8">
        <v>22.549999</v>
      </c>
      <c r="AD205" s="8">
        <v>25.190000999999999</v>
      </c>
      <c r="AE205" s="8">
        <v>20.65</v>
      </c>
      <c r="AF205" s="8">
        <v>23.02</v>
      </c>
      <c r="AG205" s="8">
        <v>18.072465999999999</v>
      </c>
      <c r="AH205" s="8">
        <v>439676400</v>
      </c>
      <c r="AI205" s="8">
        <v>20.129999000000002</v>
      </c>
      <c r="AJ205" s="8">
        <v>23.73</v>
      </c>
      <c r="AK205" s="8">
        <v>18.459999</v>
      </c>
      <c r="AL205" s="8">
        <v>21.52</v>
      </c>
      <c r="AM205" s="8">
        <v>18.231203000000001</v>
      </c>
      <c r="AN205" s="8">
        <v>351765200</v>
      </c>
    </row>
    <row r="206" spans="1:40" x14ac:dyDescent="0.35">
      <c r="A206" s="1">
        <v>39814</v>
      </c>
      <c r="B206" s="13">
        <f t="shared" si="6"/>
        <v>1</v>
      </c>
      <c r="C206" s="13">
        <f t="shared" si="7"/>
        <v>2009</v>
      </c>
      <c r="D206" s="2">
        <v>22705</v>
      </c>
      <c r="E206">
        <f>VLOOKUP(A206,PSR!$A$12:$B$721,2,FALSE)</f>
        <v>6.4</v>
      </c>
      <c r="F206">
        <f>VLOOKUP(A206,CCI_USA!$F$2:$H$317,3,FALSE)</f>
        <v>96.724239999999995</v>
      </c>
      <c r="G206">
        <f>INDEX('BLS Data Series'!$A$11:$M$39,MATCH('UI Datathon Development'!C206,'BLS Data Series'!$A$13:$A$39,0)+2,MATCH('UI Datathon Development'!B206,'BLS Data Series'!$B$11:$M$11,0)+1)</f>
        <v>7.8</v>
      </c>
      <c r="H206">
        <f>VLOOKUP(A206,'Houses for sale'!$B$10:$I$671,8,FALSE)</f>
        <v>341</v>
      </c>
      <c r="I206">
        <f>VLOOKUP(A206,'House starts'!$A$12:$B$325,2,FALSE)</f>
        <v>490</v>
      </c>
      <c r="J206">
        <f>VLOOKUP(A206,'New house sales'!$A$13:$C$324,3,FALSE)</f>
        <v>208600</v>
      </c>
      <c r="K206">
        <f>VLOOKUP($A206,'Sreenath''s data'!$A$2:$F$313,3,FALSE)</f>
        <v>149.37299999999999</v>
      </c>
      <c r="L206">
        <f>VLOOKUP($A206,'Sreenath''s data'!$A$2:$F$313,4,FALSE)</f>
        <v>6793.6</v>
      </c>
      <c r="M206">
        <f>VLOOKUP($A206,'Sreenath''s data'!$A$2:$F$313,5,FALSE)</f>
        <v>111079</v>
      </c>
      <c r="N206">
        <f>VLOOKUP($A206,'Sreenath''s data'!$A$2:$F$313,6,FALSE)</f>
        <v>100.002704550987</v>
      </c>
      <c r="O206">
        <f>VLOOKUP($A206,'Niteesh''s data'!$A$2:$I$313,3,FALSE)</f>
        <v>902.98999000000003</v>
      </c>
      <c r="P206">
        <f>VLOOKUP($A206,'Niteesh''s data'!$A$2:$I$313,4,FALSE)</f>
        <v>943.84997599999997</v>
      </c>
      <c r="Q206">
        <f>VLOOKUP($A206,'Niteesh''s data'!$A$2:$I$313,5,FALSE)</f>
        <v>804.29998799999998</v>
      </c>
      <c r="R206">
        <f>VLOOKUP($A206,'Niteesh''s data'!$A$2:$I$313,6,FALSE)</f>
        <v>825.88000499999998</v>
      </c>
      <c r="S206">
        <f>VLOOKUP($A206,'Niteesh''s data'!$A$2:$I$313,7,FALSE)</f>
        <v>825.88000499999998</v>
      </c>
      <c r="T206">
        <f>VLOOKUP($A206,'Niteesh''s data'!$A$2:$I$313,8,FALSE)</f>
        <v>112000000000</v>
      </c>
      <c r="U206" s="61">
        <f>VLOOKUP($A206,'Niteesh''s data'!$A$2:$I$313,9,FALSE)</f>
        <v>8.9999999999999993E-3</v>
      </c>
      <c r="V206">
        <f>VLOOKUP(A206,'Existing home Sales'!$A$2:$C$324,3,FALSE)</f>
        <v>4.74</v>
      </c>
      <c r="W206" s="8">
        <v>1</v>
      </c>
      <c r="X206">
        <f>IFERROR(VLOOKUP(A206,'Home Depot Gross Profit'!$A$1:$B$105,2,FALSE)/3,IF(W206=2,X205,X205))</f>
        <v>1653.3333333333333</v>
      </c>
      <c r="Y206">
        <f>IFERROR(VLOOKUP(A206,'LOWE''S GROSS PROFIT'!$A$1:$B$105,2,FALSE)/3,IF(X206=2,Y205/3,Y205))</f>
        <v>1122.6666666666667</v>
      </c>
      <c r="Z206" s="8">
        <v>5.0549999999999997</v>
      </c>
      <c r="AA206">
        <v>6567</v>
      </c>
      <c r="AB206">
        <f>VLOOKUP(A206,'[1]Fed_Int (1)'!$A$2:$B$316,2,FALSE)</f>
        <v>0.15</v>
      </c>
      <c r="AC206" s="8">
        <v>23.07</v>
      </c>
      <c r="AD206" s="8">
        <v>25.49</v>
      </c>
      <c r="AE206" s="8">
        <v>21.299999</v>
      </c>
      <c r="AF206" s="8">
        <v>21.530000999999999</v>
      </c>
      <c r="AG206" s="8">
        <v>17.083931</v>
      </c>
      <c r="AH206" s="8">
        <v>431144100</v>
      </c>
      <c r="AI206" s="8">
        <v>21.5</v>
      </c>
      <c r="AJ206" s="8">
        <v>23.17</v>
      </c>
      <c r="AK206" s="8">
        <v>18.149999999999999</v>
      </c>
      <c r="AL206" s="8">
        <v>18.27</v>
      </c>
      <c r="AM206" s="8">
        <v>15.477885000000001</v>
      </c>
      <c r="AN206" s="8">
        <v>268829800</v>
      </c>
    </row>
    <row r="207" spans="1:40" x14ac:dyDescent="0.35">
      <c r="A207" s="1">
        <v>39845</v>
      </c>
      <c r="B207" s="13">
        <f t="shared" si="6"/>
        <v>2</v>
      </c>
      <c r="C207" s="13">
        <f t="shared" si="7"/>
        <v>2009</v>
      </c>
      <c r="D207" s="2">
        <v>22495</v>
      </c>
      <c r="E207">
        <f>VLOOKUP(A207,PSR!$A$12:$B$721,2,FALSE)</f>
        <v>5.9</v>
      </c>
      <c r="F207">
        <f>VLOOKUP(A207,CCI_USA!$F$2:$H$317,3,FALSE)</f>
        <v>96.69838</v>
      </c>
      <c r="G207">
        <f>INDEX('BLS Data Series'!$A$11:$M$39,MATCH('UI Datathon Development'!C207,'BLS Data Series'!$A$13:$A$39,0)+2,MATCH('UI Datathon Development'!B207,'BLS Data Series'!$B$11:$M$11,0)+1)</f>
        <v>8.3000000000000007</v>
      </c>
      <c r="H207">
        <f>VLOOKUP(A207,'Houses for sale'!$B$10:$I$671,8,FALSE)</f>
        <v>326</v>
      </c>
      <c r="I207">
        <f>VLOOKUP(A207,'House starts'!$A$12:$B$325,2,FALSE)</f>
        <v>582</v>
      </c>
      <c r="J207">
        <f>VLOOKUP(A207,'New house sales'!$A$13:$C$324,3,FALSE)</f>
        <v>209700</v>
      </c>
      <c r="K207">
        <f>VLOOKUP($A207,'Sreenath''s data'!$A$2:$F$313,3,FALSE)</f>
        <v>147.63</v>
      </c>
      <c r="L207">
        <f>VLOOKUP($A207,'Sreenath''s data'!$A$2:$F$313,4,FALSE)</f>
        <v>6817.1</v>
      </c>
      <c r="M207">
        <f>VLOOKUP($A207,'Sreenath''s data'!$A$2:$F$313,5,FALSE)</f>
        <v>111413</v>
      </c>
      <c r="N207">
        <f>VLOOKUP($A207,'Sreenath''s data'!$A$2:$F$313,6,FALSE)</f>
        <v>100.23838685124601</v>
      </c>
      <c r="O207">
        <f>VLOOKUP($A207,'Niteesh''s data'!$A$2:$I$313,3,FALSE)</f>
        <v>823.09002699999996</v>
      </c>
      <c r="P207">
        <f>VLOOKUP($A207,'Niteesh''s data'!$A$2:$I$313,4,FALSE)</f>
        <v>875.01000999999997</v>
      </c>
      <c r="Q207">
        <f>VLOOKUP($A207,'Niteesh''s data'!$A$2:$I$313,5,FALSE)</f>
        <v>734.52002000000005</v>
      </c>
      <c r="R207">
        <f>VLOOKUP($A207,'Niteesh''s data'!$A$2:$I$313,6,FALSE)</f>
        <v>735.09002699999996</v>
      </c>
      <c r="S207">
        <f>VLOOKUP($A207,'Niteesh''s data'!$A$2:$I$313,7,FALSE)</f>
        <v>735.09002699999996</v>
      </c>
      <c r="T207">
        <f>VLOOKUP($A207,'Niteesh''s data'!$A$2:$I$313,8,FALSE)</f>
        <v>124000000000</v>
      </c>
      <c r="U207" s="61">
        <f>VLOOKUP($A207,'Niteesh''s data'!$A$2:$I$313,9,FALSE)</f>
        <v>8.8999999999999999E-3</v>
      </c>
      <c r="V207">
        <f>VLOOKUP(A207,'Existing home Sales'!$A$2:$C$324,3,FALSE)</f>
        <v>4.49</v>
      </c>
      <c r="W207" s="8">
        <v>2</v>
      </c>
      <c r="X207">
        <f>IFERROR(VLOOKUP(A207,'Home Depot Gross Profit'!$A$1:$B$105,2,FALSE)/3,IF(W207=2,X206,X206))</f>
        <v>1653.3333333333333</v>
      </c>
      <c r="Y207">
        <f>IFERROR(VLOOKUP(A207,'LOWE''S GROSS PROFIT'!$A$1:$B$105,2,FALSE)/3,IF(X207=2,Y206/3,Y206))</f>
        <v>1122.6666666666667</v>
      </c>
      <c r="Z207" s="8">
        <v>5.1150000000000002</v>
      </c>
      <c r="AA207">
        <v>6446</v>
      </c>
      <c r="AB207">
        <f>VLOOKUP(A207,'[1]Fed_Int (1)'!$A$2:$B$316,2,FALSE)</f>
        <v>0.22</v>
      </c>
      <c r="AC207" s="8">
        <v>21.209999</v>
      </c>
      <c r="AD207" s="8">
        <v>23.85</v>
      </c>
      <c r="AE207" s="8">
        <v>18.239999999999998</v>
      </c>
      <c r="AF207" s="8">
        <v>20.889999</v>
      </c>
      <c r="AG207" s="8">
        <v>16.576091999999999</v>
      </c>
      <c r="AH207" s="8">
        <v>454586800</v>
      </c>
      <c r="AI207" s="8">
        <v>18</v>
      </c>
      <c r="AJ207" s="8">
        <v>19.440000999999999</v>
      </c>
      <c r="AK207" s="8">
        <v>14.91</v>
      </c>
      <c r="AL207" s="8">
        <v>15.84</v>
      </c>
      <c r="AM207" s="8">
        <v>13.475676999999999</v>
      </c>
      <c r="AN207" s="8">
        <v>380478600</v>
      </c>
    </row>
    <row r="208" spans="1:40" x14ac:dyDescent="0.35">
      <c r="A208" s="1">
        <v>39873</v>
      </c>
      <c r="B208" s="13">
        <f t="shared" si="6"/>
        <v>3</v>
      </c>
      <c r="C208" s="13">
        <f t="shared" si="7"/>
        <v>2009</v>
      </c>
      <c r="D208" s="2">
        <v>22167</v>
      </c>
      <c r="E208">
        <f>VLOOKUP(A208,PSR!$A$12:$B$721,2,FALSE)</f>
        <v>6.1</v>
      </c>
      <c r="F208">
        <f>VLOOKUP(A208,CCI_USA!$F$2:$H$317,3,FALSE)</f>
        <v>96.898899999999998</v>
      </c>
      <c r="G208">
        <f>INDEX('BLS Data Series'!$A$11:$M$39,MATCH('UI Datathon Development'!C208,'BLS Data Series'!$A$13:$A$39,0)+2,MATCH('UI Datathon Development'!B208,'BLS Data Series'!$B$11:$M$11,0)+1)</f>
        <v>8.6999999999999993</v>
      </c>
      <c r="H208">
        <f>VLOOKUP(A208,'Houses for sale'!$B$10:$I$671,8,FALSE)</f>
        <v>311</v>
      </c>
      <c r="I208">
        <f>VLOOKUP(A208,'House starts'!$A$12:$B$325,2,FALSE)</f>
        <v>505</v>
      </c>
      <c r="J208">
        <f>VLOOKUP(A208,'New house sales'!$A$13:$C$324,3,FALSE)</f>
        <v>205100</v>
      </c>
      <c r="K208">
        <f>VLOOKUP($A208,'Sreenath''s data'!$A$2:$F$313,3,FALSE)</f>
        <v>146.52799999999999</v>
      </c>
      <c r="L208">
        <f>VLOOKUP($A208,'Sreenath''s data'!$A$2:$F$313,4,FALSE)</f>
        <v>6794.6</v>
      </c>
      <c r="M208">
        <f>VLOOKUP($A208,'Sreenath''s data'!$A$2:$F$313,5,FALSE)</f>
        <v>111612</v>
      </c>
      <c r="N208">
        <f>VLOOKUP($A208,'Sreenath''s data'!$A$2:$F$313,6,FALSE)</f>
        <v>100.530864722223</v>
      </c>
      <c r="O208">
        <f>VLOOKUP($A208,'Niteesh''s data'!$A$2:$I$313,3,FALSE)</f>
        <v>729.57000700000003</v>
      </c>
      <c r="P208">
        <f>VLOOKUP($A208,'Niteesh''s data'!$A$2:$I$313,4,FALSE)</f>
        <v>832.97997999999995</v>
      </c>
      <c r="Q208">
        <f>VLOOKUP($A208,'Niteesh''s data'!$A$2:$I$313,5,FALSE)</f>
        <v>666.78997800000002</v>
      </c>
      <c r="R208">
        <f>VLOOKUP($A208,'Niteesh''s data'!$A$2:$I$313,6,FALSE)</f>
        <v>797.86999500000002</v>
      </c>
      <c r="S208">
        <f>VLOOKUP($A208,'Niteesh''s data'!$A$2:$I$313,7,FALSE)</f>
        <v>797.86999500000002</v>
      </c>
      <c r="T208">
        <f>VLOOKUP($A208,'Niteesh''s data'!$A$2:$I$313,8,FALSE)</f>
        <v>162000000000</v>
      </c>
      <c r="U208" s="61">
        <f>VLOOKUP($A208,'Niteesh''s data'!$A$2:$I$313,9,FALSE)</f>
        <v>8.8999999999999999E-3</v>
      </c>
      <c r="V208">
        <f>VLOOKUP(A208,'Existing home Sales'!$A$2:$C$324,3,FALSE)</f>
        <v>4.72</v>
      </c>
      <c r="W208" s="8">
        <v>3</v>
      </c>
      <c r="X208">
        <f>IFERROR(VLOOKUP(A208,'Home Depot Gross Profit'!$A$1:$B$105,2,FALSE)/3,IF(W208=2,X207,X207))</f>
        <v>1653.3333333333333</v>
      </c>
      <c r="Y208">
        <f>IFERROR(VLOOKUP(A208,'LOWE''S GROSS PROFIT'!$A$1:$B$105,2,FALSE)/3,IF(X208=2,Y207/3,Y207))</f>
        <v>1122.6666666666667</v>
      </c>
      <c r="Z208" s="8">
        <v>5.0049999999999999</v>
      </c>
      <c r="AA208">
        <v>6291</v>
      </c>
      <c r="AB208">
        <f>VLOOKUP(A208,'[1]Fed_Int (1)'!$A$2:$B$316,2,FALSE)</f>
        <v>0.18</v>
      </c>
      <c r="AC208" s="8">
        <v>20.350000000000001</v>
      </c>
      <c r="AD208" s="8">
        <v>24.360001</v>
      </c>
      <c r="AE208" s="8">
        <v>17.489999999999998</v>
      </c>
      <c r="AF208" s="8">
        <v>23.559999000000001</v>
      </c>
      <c r="AG208" s="8">
        <v>18.694727</v>
      </c>
      <c r="AH208" s="8">
        <v>533962800</v>
      </c>
      <c r="AI208" s="8">
        <v>15.46</v>
      </c>
      <c r="AJ208" s="8">
        <v>19.469999000000001</v>
      </c>
      <c r="AK208" s="8">
        <v>13</v>
      </c>
      <c r="AL208" s="8">
        <v>18.25</v>
      </c>
      <c r="AM208" s="8">
        <v>15.525949000000001</v>
      </c>
      <c r="AN208" s="8">
        <v>437259300</v>
      </c>
    </row>
    <row r="209" spans="1:40" x14ac:dyDescent="0.35">
      <c r="A209" s="1">
        <v>39904</v>
      </c>
      <c r="B209" s="13">
        <f t="shared" si="6"/>
        <v>4</v>
      </c>
      <c r="C209" s="13">
        <f t="shared" si="7"/>
        <v>2009</v>
      </c>
      <c r="D209" s="2">
        <v>22106</v>
      </c>
      <c r="E209">
        <f>VLOOKUP(A209,PSR!$A$12:$B$721,2,FALSE)</f>
        <v>6.7</v>
      </c>
      <c r="F209">
        <f>VLOOKUP(A209,CCI_USA!$F$2:$H$317,3,FALSE)</f>
        <v>97.343909999999994</v>
      </c>
      <c r="G209">
        <f>INDEX('BLS Data Series'!$A$11:$M$39,MATCH('UI Datathon Development'!C209,'BLS Data Series'!$A$13:$A$39,0)+2,MATCH('UI Datathon Development'!B209,'BLS Data Series'!$B$11:$M$11,0)+1)</f>
        <v>9</v>
      </c>
      <c r="H209">
        <f>VLOOKUP(A209,'Houses for sale'!$B$10:$I$671,8,FALSE)</f>
        <v>300</v>
      </c>
      <c r="I209">
        <f>VLOOKUP(A209,'House starts'!$A$12:$B$325,2,FALSE)</f>
        <v>478</v>
      </c>
      <c r="J209">
        <f>VLOOKUP(A209,'New house sales'!$A$13:$C$324,3,FALSE)</f>
        <v>219200</v>
      </c>
      <c r="K209">
        <f>VLOOKUP($A209,'Sreenath''s data'!$A$2:$F$313,3,FALSE)</f>
        <v>146.96</v>
      </c>
      <c r="L209">
        <f>VLOOKUP($A209,'Sreenath''s data'!$A$2:$F$313,4,FALSE)</f>
        <v>6825.9</v>
      </c>
      <c r="M209">
        <f>VLOOKUP($A209,'Sreenath''s data'!$A$2:$F$313,5,FALSE)</f>
        <v>112106</v>
      </c>
      <c r="N209">
        <f>VLOOKUP($A209,'Sreenath''s data'!$A$2:$F$313,6,FALSE)</f>
        <v>100.63595584627301</v>
      </c>
      <c r="O209">
        <f>VLOOKUP($A209,'Niteesh''s data'!$A$2:$I$313,3,FALSE)</f>
        <v>793.59002699999996</v>
      </c>
      <c r="P209">
        <f>VLOOKUP($A209,'Niteesh''s data'!$A$2:$I$313,4,FALSE)</f>
        <v>888.70001200000002</v>
      </c>
      <c r="Q209">
        <f>VLOOKUP($A209,'Niteesh''s data'!$A$2:$I$313,5,FALSE)</f>
        <v>783.32000700000003</v>
      </c>
      <c r="R209">
        <f>VLOOKUP($A209,'Niteesh''s data'!$A$2:$I$313,6,FALSE)</f>
        <v>872.80999799999995</v>
      </c>
      <c r="S209">
        <f>VLOOKUP($A209,'Niteesh''s data'!$A$2:$I$313,7,FALSE)</f>
        <v>872.80999799999995</v>
      </c>
      <c r="T209">
        <f>VLOOKUP($A209,'Niteesh''s data'!$A$2:$I$313,8,FALSE)</f>
        <v>139000000000</v>
      </c>
      <c r="U209" s="61">
        <f>VLOOKUP($A209,'Niteesh''s data'!$A$2:$I$313,9,FALSE)</f>
        <v>8.8000000000000005E-3</v>
      </c>
      <c r="V209">
        <f>VLOOKUP(A209,'Existing home Sales'!$A$2:$C$324,3,FALSE)</f>
        <v>4.57</v>
      </c>
      <c r="W209" s="8">
        <v>1</v>
      </c>
      <c r="X209">
        <f>IFERROR(VLOOKUP(A209,'Home Depot Gross Profit'!$A$1:$B$105,2,FALSE)/3,IF(W209=2,X208,X208))</f>
        <v>1816.6666666666667</v>
      </c>
      <c r="Y209">
        <f>IFERROR(VLOOKUP(A209,'LOWE''S GROSS PROFIT'!$A$1:$B$105,2,FALSE)/3,IF(X209=2,Y208/3,Y208))</f>
        <v>1398.6666666666667</v>
      </c>
      <c r="Z209" s="8">
        <v>4.8</v>
      </c>
      <c r="AA209">
        <v>6154</v>
      </c>
      <c r="AB209">
        <f>VLOOKUP(A209,'[1]Fed_Int (1)'!$A$2:$B$316,2,FALSE)</f>
        <v>0.15</v>
      </c>
      <c r="AC209" s="8">
        <v>23.15</v>
      </c>
      <c r="AD209" s="8">
        <v>27.07</v>
      </c>
      <c r="AE209" s="8">
        <v>22.92</v>
      </c>
      <c r="AF209" s="8">
        <v>26.32</v>
      </c>
      <c r="AG209" s="8">
        <v>21.145755999999999</v>
      </c>
      <c r="AH209" s="8">
        <v>398336600</v>
      </c>
      <c r="AI209" s="8">
        <v>17.93</v>
      </c>
      <c r="AJ209" s="8">
        <v>22.09</v>
      </c>
      <c r="AK209" s="8">
        <v>17.649999999999999</v>
      </c>
      <c r="AL209" s="8">
        <v>21.5</v>
      </c>
      <c r="AM209" s="8">
        <v>18.290845999999998</v>
      </c>
      <c r="AN209" s="8">
        <v>331972000</v>
      </c>
    </row>
    <row r="210" spans="1:40" x14ac:dyDescent="0.35">
      <c r="A210" s="1">
        <v>39934</v>
      </c>
      <c r="B210" s="13">
        <f t="shared" si="6"/>
        <v>5</v>
      </c>
      <c r="C210" s="13">
        <f t="shared" si="7"/>
        <v>2009</v>
      </c>
      <c r="D210" s="2">
        <v>22321</v>
      </c>
      <c r="E210">
        <f>VLOOKUP(A210,PSR!$A$12:$B$721,2,FALSE)</f>
        <v>8.1</v>
      </c>
      <c r="F210">
        <f>VLOOKUP(A210,CCI_USA!$F$2:$H$317,3,FALSE)</f>
        <v>97.72681</v>
      </c>
      <c r="G210">
        <f>INDEX('BLS Data Series'!$A$11:$M$39,MATCH('UI Datathon Development'!C210,'BLS Data Series'!$A$13:$A$39,0)+2,MATCH('UI Datathon Development'!B210,'BLS Data Series'!$B$11:$M$11,0)+1)</f>
        <v>9.4</v>
      </c>
      <c r="H210">
        <f>VLOOKUP(A210,'Houses for sale'!$B$10:$I$671,8,FALSE)</f>
        <v>291</v>
      </c>
      <c r="I210">
        <f>VLOOKUP(A210,'House starts'!$A$12:$B$325,2,FALSE)</f>
        <v>540</v>
      </c>
      <c r="J210">
        <f>VLOOKUP(A210,'New house sales'!$A$13:$C$324,3,FALSE)</f>
        <v>222300</v>
      </c>
      <c r="K210">
        <f>VLOOKUP($A210,'Sreenath''s data'!$A$2:$F$313,3,FALSE)</f>
        <v>148.18899999999999</v>
      </c>
      <c r="L210">
        <f>VLOOKUP($A210,'Sreenath''s data'!$A$2:$F$313,4,FALSE)</f>
        <v>6814.5</v>
      </c>
      <c r="M210">
        <f>VLOOKUP($A210,'Sreenath''s data'!$A$2:$F$313,5,FALSE)</f>
        <v>111950</v>
      </c>
      <c r="N210">
        <f>VLOOKUP($A210,'Sreenath''s data'!$A$2:$F$313,6,FALSE)</f>
        <v>100.604660327714</v>
      </c>
      <c r="O210">
        <f>VLOOKUP($A210,'Niteesh''s data'!$A$2:$I$313,3,FALSE)</f>
        <v>872.73999000000003</v>
      </c>
      <c r="P210">
        <f>VLOOKUP($A210,'Niteesh''s data'!$A$2:$I$313,4,FALSE)</f>
        <v>930.169983</v>
      </c>
      <c r="Q210">
        <f>VLOOKUP($A210,'Niteesh''s data'!$A$2:$I$313,5,FALSE)</f>
        <v>866.09997599999997</v>
      </c>
      <c r="R210">
        <f>VLOOKUP($A210,'Niteesh''s data'!$A$2:$I$313,6,FALSE)</f>
        <v>919.14001499999995</v>
      </c>
      <c r="S210">
        <f>VLOOKUP($A210,'Niteesh''s data'!$A$2:$I$313,7,FALSE)</f>
        <v>919.14001499999995</v>
      </c>
      <c r="T210">
        <f>VLOOKUP($A210,'Niteesh''s data'!$A$2:$I$313,8,FALSE)</f>
        <v>132000000000</v>
      </c>
      <c r="U210" s="61">
        <f>VLOOKUP($A210,'Niteesh''s data'!$A$2:$I$313,9,FALSE)</f>
        <v>8.6999999999999994E-3</v>
      </c>
      <c r="V210">
        <f>VLOOKUP(A210,'Existing home Sales'!$A$2:$C$324,3,FALSE)</f>
        <v>4.68</v>
      </c>
      <c r="W210" s="8">
        <v>2</v>
      </c>
      <c r="X210">
        <f>IFERROR(VLOOKUP(A210,'Home Depot Gross Profit'!$A$1:$B$105,2,FALSE)/3,IF(W210=2,X209,X209))</f>
        <v>1816.6666666666667</v>
      </c>
      <c r="Y210">
        <f>IFERROR(VLOOKUP(A210,'LOWE''S GROSS PROFIT'!$A$1:$B$105,2,FALSE)/3,IF(X210=2,Y209/3,Y209))</f>
        <v>1398.6666666666667</v>
      </c>
      <c r="Z210" s="8">
        <v>4.8499999999999996</v>
      </c>
      <c r="AA210">
        <v>6100</v>
      </c>
      <c r="AB210">
        <f>VLOOKUP(A210,'[1]Fed_Int (1)'!$A$2:$B$316,2,FALSE)</f>
        <v>0.18</v>
      </c>
      <c r="AC210" s="8">
        <v>26.58</v>
      </c>
      <c r="AD210" s="8">
        <v>26.77</v>
      </c>
      <c r="AE210" s="8">
        <v>22.33</v>
      </c>
      <c r="AF210" s="8">
        <v>23.16</v>
      </c>
      <c r="AG210" s="8">
        <v>18.606987</v>
      </c>
      <c r="AH210" s="8">
        <v>425707400</v>
      </c>
      <c r="AI210" s="8">
        <v>21.540001</v>
      </c>
      <c r="AJ210" s="8">
        <v>21.75</v>
      </c>
      <c r="AK210" s="8">
        <v>18.299999</v>
      </c>
      <c r="AL210" s="8">
        <v>19.010000000000002</v>
      </c>
      <c r="AM210" s="8">
        <v>16.242132000000002</v>
      </c>
      <c r="AN210" s="8">
        <v>377840500</v>
      </c>
    </row>
    <row r="211" spans="1:40" x14ac:dyDescent="0.35">
      <c r="A211" s="1">
        <v>39965</v>
      </c>
      <c r="B211" s="13">
        <f t="shared" si="6"/>
        <v>6</v>
      </c>
      <c r="C211" s="13">
        <f t="shared" si="7"/>
        <v>2009</v>
      </c>
      <c r="D211" s="2">
        <v>22294</v>
      </c>
      <c r="E211">
        <f>VLOOKUP(A211,PSR!$A$12:$B$721,2,FALSE)</f>
        <v>6.6</v>
      </c>
      <c r="F211">
        <f>VLOOKUP(A211,CCI_USA!$F$2:$H$317,3,FALSE)</f>
        <v>97.885339999999999</v>
      </c>
      <c r="G211">
        <f>INDEX('BLS Data Series'!$A$11:$M$39,MATCH('UI Datathon Development'!C211,'BLS Data Series'!$A$13:$A$39,0)+2,MATCH('UI Datathon Development'!B211,'BLS Data Series'!$B$11:$M$11,0)+1)</f>
        <v>9.5</v>
      </c>
      <c r="H211">
        <f>VLOOKUP(A211,'Houses for sale'!$B$10:$I$671,8,FALSE)</f>
        <v>280</v>
      </c>
      <c r="I211">
        <f>VLOOKUP(A211,'House starts'!$A$12:$B$325,2,FALSE)</f>
        <v>585</v>
      </c>
      <c r="J211">
        <f>VLOOKUP(A211,'New house sales'!$A$13:$C$324,3,FALSE)</f>
        <v>214700</v>
      </c>
      <c r="K211">
        <f>VLOOKUP($A211,'Sreenath''s data'!$A$2:$F$313,3,FALSE)</f>
        <v>149.81299999999999</v>
      </c>
      <c r="L211">
        <f>VLOOKUP($A211,'Sreenath''s data'!$A$2:$F$313,4,FALSE)</f>
        <v>6800.8</v>
      </c>
      <c r="M211">
        <f>VLOOKUP($A211,'Sreenath''s data'!$A$2:$F$313,5,FALSE)</f>
        <v>112302</v>
      </c>
      <c r="N211">
        <f>VLOOKUP($A211,'Sreenath''s data'!$A$2:$F$313,6,FALSE)</f>
        <v>100.790501616935</v>
      </c>
      <c r="O211">
        <f>VLOOKUP($A211,'Niteesh''s data'!$A$2:$I$313,3,FALSE)</f>
        <v>923.26000999999997</v>
      </c>
      <c r="P211">
        <f>VLOOKUP($A211,'Niteesh''s data'!$A$2:$I$313,4,FALSE)</f>
        <v>956.22997999999995</v>
      </c>
      <c r="Q211">
        <f>VLOOKUP($A211,'Niteesh''s data'!$A$2:$I$313,5,FALSE)</f>
        <v>888.85998500000005</v>
      </c>
      <c r="R211">
        <f>VLOOKUP($A211,'Niteesh''s data'!$A$2:$I$313,6,FALSE)</f>
        <v>919.32000700000003</v>
      </c>
      <c r="S211">
        <f>VLOOKUP($A211,'Niteesh''s data'!$A$2:$I$313,7,FALSE)</f>
        <v>919.32000700000003</v>
      </c>
      <c r="T211">
        <f>VLOOKUP($A211,'Niteesh''s data'!$A$2:$I$313,8,FALSE)</f>
        <v>113000000000</v>
      </c>
      <c r="U211" s="61">
        <f>VLOOKUP($A211,'Niteesh''s data'!$A$2:$I$313,9,FALSE)</f>
        <v>8.6999999999999994E-3</v>
      </c>
      <c r="V211">
        <f>VLOOKUP(A211,'Existing home Sales'!$A$2:$C$324,3,FALSE)</f>
        <v>4.7699999999999996</v>
      </c>
      <c r="W211" s="8">
        <v>3</v>
      </c>
      <c r="X211">
        <f>IFERROR(VLOOKUP(A211,'Home Depot Gross Profit'!$A$1:$B$105,2,FALSE)/3,IF(W211=2,X210,X210))</f>
        <v>1816.6666666666667</v>
      </c>
      <c r="Y211">
        <f>IFERROR(VLOOKUP(A211,'LOWE''S GROSS PROFIT'!$A$1:$B$105,2,FALSE)/3,IF(X211=2,Y210/3,Y210))</f>
        <v>1398.6666666666667</v>
      </c>
      <c r="Z211" s="8">
        <v>5.4</v>
      </c>
      <c r="AA211">
        <v>6010</v>
      </c>
      <c r="AB211">
        <f>VLOOKUP(A211,'[1]Fed_Int (1)'!$A$2:$B$316,2,FALSE)</f>
        <v>0.21</v>
      </c>
      <c r="AC211" s="8">
        <v>23.59</v>
      </c>
      <c r="AD211" s="8">
        <v>25.120000999999998</v>
      </c>
      <c r="AE211" s="8">
        <v>22.530000999999999</v>
      </c>
      <c r="AF211" s="8">
        <v>23.629999000000002</v>
      </c>
      <c r="AG211" s="8">
        <v>18.984580999999999</v>
      </c>
      <c r="AH211" s="8">
        <v>350279000</v>
      </c>
      <c r="AI211" s="8">
        <v>19.23</v>
      </c>
      <c r="AJ211" s="8">
        <v>20.99</v>
      </c>
      <c r="AK211" s="8">
        <v>18.02</v>
      </c>
      <c r="AL211" s="8">
        <v>19.41</v>
      </c>
      <c r="AM211" s="8">
        <v>16.583887000000001</v>
      </c>
      <c r="AN211" s="8">
        <v>308903700</v>
      </c>
    </row>
    <row r="212" spans="1:40" x14ac:dyDescent="0.35">
      <c r="A212" s="1">
        <v>39995</v>
      </c>
      <c r="B212" s="13">
        <f t="shared" si="6"/>
        <v>7</v>
      </c>
      <c r="C212" s="13">
        <f t="shared" si="7"/>
        <v>2009</v>
      </c>
      <c r="D212" s="2">
        <v>21904</v>
      </c>
      <c r="E212">
        <f>VLOOKUP(A212,PSR!$A$12:$B$721,2,FALSE)</f>
        <v>6</v>
      </c>
      <c r="F212">
        <f>VLOOKUP(A212,CCI_USA!$F$2:$H$317,3,FALSE)</f>
        <v>97.840440000000001</v>
      </c>
      <c r="G212">
        <f>INDEX('BLS Data Series'!$A$11:$M$39,MATCH('UI Datathon Development'!C212,'BLS Data Series'!$A$13:$A$39,0)+2,MATCH('UI Datathon Development'!B212,'BLS Data Series'!$B$11:$M$11,0)+1)</f>
        <v>9.5</v>
      </c>
      <c r="H212">
        <f>VLOOKUP(A212,'Houses for sale'!$B$10:$I$671,8,FALSE)</f>
        <v>270</v>
      </c>
      <c r="I212">
        <f>VLOOKUP(A212,'House starts'!$A$12:$B$325,2,FALSE)</f>
        <v>594</v>
      </c>
      <c r="J212">
        <f>VLOOKUP(A212,'New house sales'!$A$13:$C$324,3,FALSE)</f>
        <v>214200</v>
      </c>
      <c r="K212">
        <f>VLOOKUP($A212,'Sreenath''s data'!$A$2:$F$313,3,FALSE)</f>
        <v>150.75899999999999</v>
      </c>
      <c r="L212">
        <f>VLOOKUP($A212,'Sreenath''s data'!$A$2:$F$313,4,FALSE)</f>
        <v>6817.1</v>
      </c>
      <c r="M212">
        <f>VLOOKUP($A212,'Sreenath''s data'!$A$2:$F$313,5,FALSE)</f>
        <v>111298</v>
      </c>
      <c r="N212">
        <f>VLOOKUP($A212,'Sreenath''s data'!$A$2:$F$313,6,FALSE)</f>
        <v>100.81600166909401</v>
      </c>
      <c r="O212">
        <f>VLOOKUP($A212,'Niteesh''s data'!$A$2:$I$313,3,FALSE)</f>
        <v>920.82000700000003</v>
      </c>
      <c r="P212">
        <f>VLOOKUP($A212,'Niteesh''s data'!$A$2:$I$313,4,FALSE)</f>
        <v>996.67999299999997</v>
      </c>
      <c r="Q212">
        <f>VLOOKUP($A212,'Niteesh''s data'!$A$2:$I$313,5,FALSE)</f>
        <v>869.32000700000003</v>
      </c>
      <c r="R212">
        <f>VLOOKUP($A212,'Niteesh''s data'!$A$2:$I$313,6,FALSE)</f>
        <v>987.47997999999995</v>
      </c>
      <c r="S212">
        <f>VLOOKUP($A212,'Niteesh''s data'!$A$2:$I$313,7,FALSE)</f>
        <v>987.47997999999995</v>
      </c>
      <c r="T212">
        <f>VLOOKUP($A212,'Niteesh''s data'!$A$2:$I$313,8,FALSE)</f>
        <v>107000000000</v>
      </c>
      <c r="U212" s="61">
        <f>VLOOKUP($A212,'Niteesh''s data'!$A$2:$I$313,9,FALSE)</f>
        <v>8.6999999999999994E-3</v>
      </c>
      <c r="V212">
        <f>VLOOKUP(A212,'Existing home Sales'!$A$2:$C$324,3,FALSE)</f>
        <v>4.8899999999999997</v>
      </c>
      <c r="W212" s="8">
        <v>1</v>
      </c>
      <c r="X212">
        <f>IFERROR(VLOOKUP(A212,'Home Depot Gross Profit'!$A$1:$B$105,2,FALSE)/3,IF(W212=2,X211,X211))</f>
        <v>2129.3333333333335</v>
      </c>
      <c r="Y212">
        <f>IFERROR(VLOOKUP(A212,'LOWE''S GROSS PROFIT'!$A$1:$B$105,2,FALSE)/3,IF(X212=2,Y211/3,Y211))</f>
        <v>1607.6666666666667</v>
      </c>
      <c r="Z212" s="8">
        <v>5.2</v>
      </c>
      <c r="AA212">
        <v>5932</v>
      </c>
      <c r="AB212">
        <f>VLOOKUP(A212,'[1]Fed_Int (1)'!$A$2:$B$316,2,FALSE)</f>
        <v>0.16</v>
      </c>
      <c r="AC212" s="8">
        <v>23.799999</v>
      </c>
      <c r="AD212" s="8">
        <v>26.190000999999999</v>
      </c>
      <c r="AE212" s="8">
        <v>22.27</v>
      </c>
      <c r="AF212" s="8">
        <v>25.940000999999999</v>
      </c>
      <c r="AG212" s="8">
        <v>21.033152000000001</v>
      </c>
      <c r="AH212" s="8">
        <v>299152600</v>
      </c>
      <c r="AI212" s="8">
        <v>19.48</v>
      </c>
      <c r="AJ212" s="8">
        <v>22.68</v>
      </c>
      <c r="AK212" s="8">
        <v>18.43</v>
      </c>
      <c r="AL212" s="8">
        <v>22.459999</v>
      </c>
      <c r="AM212" s="8">
        <v>19.189807999999999</v>
      </c>
      <c r="AN212" s="8">
        <v>251081300</v>
      </c>
    </row>
    <row r="213" spans="1:40" x14ac:dyDescent="0.35">
      <c r="A213" s="1">
        <v>40026</v>
      </c>
      <c r="B213" s="13">
        <f t="shared" si="6"/>
        <v>8</v>
      </c>
      <c r="C213" s="13">
        <f t="shared" si="7"/>
        <v>2009</v>
      </c>
      <c r="D213" s="2">
        <v>21439</v>
      </c>
      <c r="E213">
        <f>VLOOKUP(A213,PSR!$A$12:$B$721,2,FALSE)</f>
        <v>4.9000000000000004</v>
      </c>
      <c r="F213">
        <f>VLOOKUP(A213,CCI_USA!$F$2:$H$317,3,FALSE)</f>
        <v>97.883830000000003</v>
      </c>
      <c r="G213">
        <f>INDEX('BLS Data Series'!$A$11:$M$39,MATCH('UI Datathon Development'!C213,'BLS Data Series'!$A$13:$A$39,0)+2,MATCH('UI Datathon Development'!B213,'BLS Data Series'!$B$11:$M$11,0)+1)</f>
        <v>9.6</v>
      </c>
      <c r="H213">
        <f>VLOOKUP(A213,'Houses for sale'!$B$10:$I$671,8,FALSE)</f>
        <v>261</v>
      </c>
      <c r="I213">
        <f>VLOOKUP(A213,'House starts'!$A$12:$B$325,2,FALSE)</f>
        <v>586</v>
      </c>
      <c r="J213">
        <f>VLOOKUP(A213,'New house sales'!$A$13:$C$324,3,FALSE)</f>
        <v>207100</v>
      </c>
      <c r="K213">
        <f>VLOOKUP($A213,'Sreenath''s data'!$A$2:$F$313,3,FALSE)</f>
        <v>150.67500000000001</v>
      </c>
      <c r="L213">
        <f>VLOOKUP($A213,'Sreenath''s data'!$A$2:$F$313,4,FALSE)</f>
        <v>6826.9</v>
      </c>
      <c r="M213">
        <f>VLOOKUP($A213,'Sreenath''s data'!$A$2:$F$313,5,FALSE)</f>
        <v>111427</v>
      </c>
      <c r="N213">
        <f>VLOOKUP($A213,'Sreenath''s data'!$A$2:$F$313,6,FALSE)</f>
        <v>100.786251608242</v>
      </c>
      <c r="O213">
        <f>VLOOKUP($A213,'Niteesh''s data'!$A$2:$I$313,3,FALSE)</f>
        <v>990.21997099999999</v>
      </c>
      <c r="P213">
        <f>VLOOKUP($A213,'Niteesh''s data'!$A$2:$I$313,4,FALSE)</f>
        <v>1039.469971</v>
      </c>
      <c r="Q213">
        <f>VLOOKUP($A213,'Niteesh''s data'!$A$2:$I$313,5,FALSE)</f>
        <v>978.51000999999997</v>
      </c>
      <c r="R213">
        <f>VLOOKUP($A213,'Niteesh''s data'!$A$2:$I$313,6,FALSE)</f>
        <v>1020.619995</v>
      </c>
      <c r="S213">
        <f>VLOOKUP($A213,'Niteesh''s data'!$A$2:$I$313,7,FALSE)</f>
        <v>1020.619995</v>
      </c>
      <c r="T213">
        <f>VLOOKUP($A213,'Niteesh''s data'!$A$2:$I$313,8,FALSE)</f>
        <v>116000000000</v>
      </c>
      <c r="U213" s="61">
        <f>VLOOKUP($A213,'Niteesh''s data'!$A$2:$I$313,9,FALSE)</f>
        <v>8.6999999999999994E-3</v>
      </c>
      <c r="V213">
        <f>VLOOKUP(A213,'Existing home Sales'!$A$2:$C$324,3,FALSE)</f>
        <v>5.24</v>
      </c>
      <c r="W213" s="8">
        <v>2</v>
      </c>
      <c r="X213">
        <f>IFERROR(VLOOKUP(A213,'Home Depot Gross Profit'!$A$1:$B$105,2,FALSE)/3,IF(W213=2,X212,X212))</f>
        <v>2129.3333333333335</v>
      </c>
      <c r="Y213">
        <f>IFERROR(VLOOKUP(A213,'LOWE''S GROSS PROFIT'!$A$1:$B$105,2,FALSE)/3,IF(X213=2,Y212/3,Y212))</f>
        <v>1607.6666666666667</v>
      </c>
      <c r="Z213" s="8">
        <v>5.18</v>
      </c>
      <c r="AA213">
        <v>5855</v>
      </c>
      <c r="AB213">
        <f>VLOOKUP(A213,'[1]Fed_Int (1)'!$A$2:$B$316,2,FALSE)</f>
        <v>0.16</v>
      </c>
      <c r="AC213" s="8">
        <v>26.18</v>
      </c>
      <c r="AD213" s="8">
        <v>27.940000999999999</v>
      </c>
      <c r="AE213" s="8">
        <v>25.43</v>
      </c>
      <c r="AF213" s="8">
        <v>27.290001</v>
      </c>
      <c r="AG213" s="8">
        <v>22.127780999999999</v>
      </c>
      <c r="AH213" s="8">
        <v>343157900</v>
      </c>
      <c r="AI213" s="8">
        <v>22.709999</v>
      </c>
      <c r="AJ213" s="8">
        <v>24.09</v>
      </c>
      <c r="AK213" s="8">
        <v>19.690000999999999</v>
      </c>
      <c r="AL213" s="8">
        <v>21.5</v>
      </c>
      <c r="AM213" s="8">
        <v>18.454456</v>
      </c>
      <c r="AN213" s="8">
        <v>361653900</v>
      </c>
    </row>
    <row r="214" spans="1:40" x14ac:dyDescent="0.35">
      <c r="A214" s="1">
        <v>40057</v>
      </c>
      <c r="B214" s="13">
        <f t="shared" si="6"/>
        <v>9</v>
      </c>
      <c r="C214" s="13">
        <f t="shared" si="7"/>
        <v>2009</v>
      </c>
      <c r="D214" s="2">
        <v>21401</v>
      </c>
      <c r="E214">
        <f>VLOOKUP(A214,PSR!$A$12:$B$721,2,FALSE)</f>
        <v>5.9</v>
      </c>
      <c r="F214">
        <f>VLOOKUP(A214,CCI_USA!$F$2:$H$317,3,FALSE)</f>
        <v>98.060419999999993</v>
      </c>
      <c r="G214">
        <f>INDEX('BLS Data Series'!$A$11:$M$39,MATCH('UI Datathon Development'!C214,'BLS Data Series'!$A$13:$A$39,0)+2,MATCH('UI Datathon Development'!B214,'BLS Data Series'!$B$11:$M$11,0)+1)</f>
        <v>9.8000000000000007</v>
      </c>
      <c r="H214">
        <f>VLOOKUP(A214,'Houses for sale'!$B$10:$I$671,8,FALSE)</f>
        <v>252</v>
      </c>
      <c r="I214">
        <f>VLOOKUP(A214,'House starts'!$A$12:$B$325,2,FALSE)</f>
        <v>585</v>
      </c>
      <c r="J214">
        <f>VLOOKUP(A214,'New house sales'!$A$13:$C$324,3,FALSE)</f>
        <v>216600</v>
      </c>
      <c r="K214">
        <f>VLOOKUP($A214,'Sreenath''s data'!$A$2:$F$313,3,FALSE)</f>
        <v>149.63399999999999</v>
      </c>
      <c r="L214">
        <f>VLOOKUP($A214,'Sreenath''s data'!$A$2:$F$313,4,FALSE)</f>
        <v>6809.3</v>
      </c>
      <c r="M214">
        <f>VLOOKUP($A214,'Sreenath''s data'!$A$2:$F$313,5,FALSE)</f>
        <v>111651</v>
      </c>
      <c r="N214">
        <f>VLOOKUP($A214,'Sreenath''s data'!$A$2:$F$313,6,FALSE)</f>
        <v>100.47947825347801</v>
      </c>
      <c r="O214">
        <f>VLOOKUP($A214,'Niteesh''s data'!$A$2:$I$313,3,FALSE)</f>
        <v>1019.52002</v>
      </c>
      <c r="P214">
        <f>VLOOKUP($A214,'Niteesh''s data'!$A$2:$I$313,4,FALSE)</f>
        <v>1080.150024</v>
      </c>
      <c r="Q214">
        <f>VLOOKUP($A214,'Niteesh''s data'!$A$2:$I$313,5,FALSE)</f>
        <v>991.96997099999999</v>
      </c>
      <c r="R214">
        <f>VLOOKUP($A214,'Niteesh''s data'!$A$2:$I$313,6,FALSE)</f>
        <v>1057.079956</v>
      </c>
      <c r="S214">
        <f>VLOOKUP($A214,'Niteesh''s data'!$A$2:$I$313,7,FALSE)</f>
        <v>1057.079956</v>
      </c>
      <c r="T214">
        <f>VLOOKUP($A214,'Niteesh''s data'!$A$2:$I$313,8,FALSE)</f>
        <v>112000000000</v>
      </c>
      <c r="U214" s="61">
        <f>VLOOKUP($A214,'Niteesh''s data'!$A$2:$I$313,9,FALSE)</f>
        <v>8.6999999999999994E-3</v>
      </c>
      <c r="V214">
        <f>VLOOKUP(A214,'Existing home Sales'!$A$2:$C$324,3,FALSE)</f>
        <v>5.0999999999999996</v>
      </c>
      <c r="W214" s="8">
        <v>3</v>
      </c>
      <c r="X214">
        <f>IFERROR(VLOOKUP(A214,'Home Depot Gross Profit'!$A$1:$B$105,2,FALSE)/3,IF(W214=2,X213,X213))</f>
        <v>2129.3333333333335</v>
      </c>
      <c r="Y214">
        <f>IFERROR(VLOOKUP(A214,'LOWE''S GROSS PROFIT'!$A$1:$B$105,2,FALSE)/3,IF(X214=2,Y213/3,Y213))</f>
        <v>1607.6666666666667</v>
      </c>
      <c r="Z214" s="8">
        <v>5.0549999999999997</v>
      </c>
      <c r="AA214">
        <v>5787</v>
      </c>
      <c r="AB214">
        <f>VLOOKUP(A214,'[1]Fed_Int (1)'!$A$2:$B$316,2,FALSE)</f>
        <v>0.15</v>
      </c>
      <c r="AC214" s="8">
        <v>27.01</v>
      </c>
      <c r="AD214" s="8">
        <v>28.440000999999999</v>
      </c>
      <c r="AE214" s="8">
        <v>26.32</v>
      </c>
      <c r="AF214" s="8">
        <v>26.639999</v>
      </c>
      <c r="AG214" s="8">
        <v>21.600735</v>
      </c>
      <c r="AH214" s="8">
        <v>255075500</v>
      </c>
      <c r="AI214" s="8">
        <v>21.26</v>
      </c>
      <c r="AJ214" s="8">
        <v>22.370000999999998</v>
      </c>
      <c r="AK214" s="8">
        <v>20.549999</v>
      </c>
      <c r="AL214" s="8">
        <v>20.940000999999999</v>
      </c>
      <c r="AM214" s="8">
        <v>17.973782</v>
      </c>
      <c r="AN214" s="8">
        <v>271459500</v>
      </c>
    </row>
    <row r="215" spans="1:40" x14ac:dyDescent="0.35">
      <c r="A215" s="1">
        <v>40087</v>
      </c>
      <c r="B215" s="13">
        <f t="shared" si="6"/>
        <v>10</v>
      </c>
      <c r="C215" s="13">
        <f t="shared" si="7"/>
        <v>2009</v>
      </c>
      <c r="D215" s="2">
        <v>20626</v>
      </c>
      <c r="E215">
        <f>VLOOKUP(A215,PSR!$A$12:$B$721,2,FALSE)</f>
        <v>5.4</v>
      </c>
      <c r="F215">
        <f>VLOOKUP(A215,CCI_USA!$F$2:$H$317,3,FALSE)</f>
        <v>98.089860000000002</v>
      </c>
      <c r="G215">
        <f>INDEX('BLS Data Series'!$A$11:$M$39,MATCH('UI Datathon Development'!C215,'BLS Data Series'!$A$13:$A$39,0)+2,MATCH('UI Datathon Development'!B215,'BLS Data Series'!$B$11:$M$11,0)+1)</f>
        <v>10</v>
      </c>
      <c r="H215">
        <f>VLOOKUP(A215,'Houses for sale'!$B$10:$I$671,8,FALSE)</f>
        <v>243</v>
      </c>
      <c r="I215">
        <f>VLOOKUP(A215,'House starts'!$A$12:$B$325,2,FALSE)</f>
        <v>534</v>
      </c>
      <c r="J215">
        <f>VLOOKUP(A215,'New house sales'!$A$13:$C$324,3,FALSE)</f>
        <v>215100</v>
      </c>
      <c r="K215">
        <f>VLOOKUP($A215,'Sreenath''s data'!$A$2:$F$313,3,FALSE)</f>
        <v>148.595</v>
      </c>
      <c r="L215">
        <f>VLOOKUP($A215,'Sreenath''s data'!$A$2:$F$313,4,FALSE)</f>
        <v>6772.6</v>
      </c>
      <c r="M215">
        <f>VLOOKUP($A215,'Sreenath''s data'!$A$2:$F$313,5,FALSE)</f>
        <v>111698</v>
      </c>
      <c r="N215">
        <f>VLOOKUP($A215,'Sreenath''s data'!$A$2:$F$313,6,FALSE)</f>
        <v>100.468273685105</v>
      </c>
      <c r="O215">
        <f>VLOOKUP($A215,'Niteesh''s data'!$A$2:$I$313,3,FALSE)</f>
        <v>1054.910034</v>
      </c>
      <c r="P215">
        <f>VLOOKUP($A215,'Niteesh''s data'!$A$2:$I$313,4,FALSE)</f>
        <v>1101.3599850000001</v>
      </c>
      <c r="Q215">
        <f>VLOOKUP($A215,'Niteesh''s data'!$A$2:$I$313,5,FALSE)</f>
        <v>1019.950012</v>
      </c>
      <c r="R215">
        <f>VLOOKUP($A215,'Niteesh''s data'!$A$2:$I$313,6,FALSE)</f>
        <v>1036.1899410000001</v>
      </c>
      <c r="S215">
        <f>VLOOKUP($A215,'Niteesh''s data'!$A$2:$I$313,7,FALSE)</f>
        <v>1036.1899410000001</v>
      </c>
      <c r="T215">
        <f>VLOOKUP($A215,'Niteesh''s data'!$A$2:$I$313,8,FALSE)</f>
        <v>113000000000</v>
      </c>
      <c r="U215" s="61">
        <f>VLOOKUP($A215,'Niteesh''s data'!$A$2:$I$313,9,FALSE)</f>
        <v>8.6999999999999994E-3</v>
      </c>
      <c r="V215">
        <f>VLOOKUP(A215,'Existing home Sales'!$A$2:$C$324,3,FALSE)</f>
        <v>5.57</v>
      </c>
      <c r="W215" s="8">
        <v>1</v>
      </c>
      <c r="X215">
        <f>IFERROR(VLOOKUP(A215,'Home Depot Gross Profit'!$A$1:$B$105,2,FALSE)/3,IF(W215=2,X214,X214))</f>
        <v>1853.6666666666667</v>
      </c>
      <c r="Y215">
        <f>IFERROR(VLOOKUP(A215,'LOWE''S GROSS PROFIT'!$A$1:$B$105,2,FALSE)/3,IF(X215=2,Y214/3,Y214))</f>
        <v>1296.6666666666667</v>
      </c>
      <c r="Z215" s="8">
        <v>4.9400000000000004</v>
      </c>
      <c r="AA215">
        <v>5716</v>
      </c>
      <c r="AB215">
        <f>VLOOKUP(A215,'[1]Fed_Int (1)'!$A$2:$B$316,2,FALSE)</f>
        <v>0.12</v>
      </c>
      <c r="AC215" s="8">
        <v>26.65</v>
      </c>
      <c r="AD215" s="8">
        <v>28.02</v>
      </c>
      <c r="AE215" s="8">
        <v>24.959999</v>
      </c>
      <c r="AF215" s="8">
        <v>25.09</v>
      </c>
      <c r="AG215" s="8">
        <v>20.513062999999999</v>
      </c>
      <c r="AH215" s="8">
        <v>327855200</v>
      </c>
      <c r="AI215" s="8">
        <v>21.049999</v>
      </c>
      <c r="AJ215" s="8">
        <v>21.99</v>
      </c>
      <c r="AK215" s="8">
        <v>19.459999</v>
      </c>
      <c r="AL215" s="8">
        <v>19.57</v>
      </c>
      <c r="AM215" s="8">
        <v>16.797847999999998</v>
      </c>
      <c r="AN215" s="8">
        <v>365531700</v>
      </c>
    </row>
    <row r="216" spans="1:40" x14ac:dyDescent="0.35">
      <c r="A216" s="1">
        <v>40118</v>
      </c>
      <c r="B216" s="13">
        <f t="shared" si="6"/>
        <v>11</v>
      </c>
      <c r="C216" s="13">
        <f t="shared" si="7"/>
        <v>2009</v>
      </c>
      <c r="D216" s="2">
        <v>20927</v>
      </c>
      <c r="E216">
        <f>VLOOKUP(A216,PSR!$A$12:$B$721,2,FALSE)</f>
        <v>5.7</v>
      </c>
      <c r="F216">
        <f>VLOOKUP(A216,CCI_USA!$F$2:$H$317,3,FALSE)</f>
        <v>98.103800000000007</v>
      </c>
      <c r="G216">
        <f>INDEX('BLS Data Series'!$A$11:$M$39,MATCH('UI Datathon Development'!C216,'BLS Data Series'!$A$13:$A$39,0)+2,MATCH('UI Datathon Development'!B216,'BLS Data Series'!$B$11:$M$11,0)+1)</f>
        <v>9.9</v>
      </c>
      <c r="H216">
        <f>VLOOKUP(A216,'Houses for sale'!$B$10:$I$671,8,FALSE)</f>
        <v>237</v>
      </c>
      <c r="I216">
        <f>VLOOKUP(A216,'House starts'!$A$12:$B$325,2,FALSE)</f>
        <v>588</v>
      </c>
      <c r="J216">
        <f>VLOOKUP(A216,'New house sales'!$A$13:$C$324,3,FALSE)</f>
        <v>218800</v>
      </c>
      <c r="K216">
        <f>VLOOKUP($A216,'Sreenath''s data'!$A$2:$F$313,3,FALSE)</f>
        <v>147.95400000000001</v>
      </c>
      <c r="L216">
        <f>VLOOKUP($A216,'Sreenath''s data'!$A$2:$F$313,4,FALSE)</f>
        <v>6791.6</v>
      </c>
      <c r="M216">
        <f>VLOOKUP($A216,'Sreenath''s data'!$A$2:$F$313,5,FALSE)</f>
        <v>111797</v>
      </c>
      <c r="N216">
        <f>VLOOKUP($A216,'Sreenath''s data'!$A$2:$F$313,6,FALSE)</f>
        <v>99.954022633228107</v>
      </c>
      <c r="O216">
        <f>VLOOKUP($A216,'Niteesh''s data'!$A$2:$I$313,3,FALSE)</f>
        <v>1036.1800539999999</v>
      </c>
      <c r="P216">
        <f>VLOOKUP($A216,'Niteesh''s data'!$A$2:$I$313,4,FALSE)</f>
        <v>1113.6899410000001</v>
      </c>
      <c r="Q216">
        <f>VLOOKUP($A216,'Niteesh''s data'!$A$2:$I$313,5,FALSE)</f>
        <v>1029.380005</v>
      </c>
      <c r="R216">
        <f>VLOOKUP($A216,'Niteesh''s data'!$A$2:$I$313,6,FALSE)</f>
        <v>1095.630005</v>
      </c>
      <c r="S216">
        <f>VLOOKUP($A216,'Niteesh''s data'!$A$2:$I$313,7,FALSE)</f>
        <v>1095.630005</v>
      </c>
      <c r="T216">
        <f>VLOOKUP($A216,'Niteesh''s data'!$A$2:$I$313,8,FALSE)</f>
        <v>84981530000</v>
      </c>
      <c r="U216" s="61">
        <f>VLOOKUP($A216,'Niteesh''s data'!$A$2:$I$313,9,FALSE)</f>
        <v>8.6999999999999994E-3</v>
      </c>
      <c r="V216">
        <f>VLOOKUP(A216,'Existing home Sales'!$A$2:$C$324,3,FALSE)</f>
        <v>6.1</v>
      </c>
      <c r="W216" s="8">
        <v>2</v>
      </c>
      <c r="X216">
        <f>IFERROR(VLOOKUP(A216,'Home Depot Gross Profit'!$A$1:$B$105,2,FALSE)/3,IF(W216=2,X215,X215))</f>
        <v>1853.6666666666667</v>
      </c>
      <c r="Y216">
        <f>IFERROR(VLOOKUP(A216,'LOWE''S GROSS PROFIT'!$A$1:$B$105,2,FALSE)/3,IF(X216=2,Y215/3,Y215))</f>
        <v>1296.6666666666667</v>
      </c>
      <c r="Z216" s="8">
        <v>4.87</v>
      </c>
      <c r="AA216">
        <v>5696</v>
      </c>
      <c r="AB216">
        <f>VLOOKUP(A216,'[1]Fed_Int (1)'!$A$2:$B$316,2,FALSE)</f>
        <v>0.12</v>
      </c>
      <c r="AC216" s="8">
        <v>25.139999</v>
      </c>
      <c r="AD216" s="8">
        <v>27.950001</v>
      </c>
      <c r="AE216" s="8">
        <v>24.469999000000001</v>
      </c>
      <c r="AF216" s="8">
        <v>27.360001</v>
      </c>
      <c r="AG216" s="8">
        <v>22.368970999999998</v>
      </c>
      <c r="AH216" s="8">
        <v>324108800</v>
      </c>
      <c r="AI216" s="8">
        <v>19.600000000000001</v>
      </c>
      <c r="AJ216" s="8">
        <v>22.24</v>
      </c>
      <c r="AK216" s="8">
        <v>19.149999999999999</v>
      </c>
      <c r="AL216" s="8">
        <v>21.809999000000001</v>
      </c>
      <c r="AM216" s="8">
        <v>18.799423000000001</v>
      </c>
      <c r="AN216" s="8">
        <v>302982400</v>
      </c>
    </row>
    <row r="217" spans="1:40" x14ac:dyDescent="0.35">
      <c r="A217" s="1">
        <v>40148</v>
      </c>
      <c r="B217" s="13">
        <f t="shared" si="6"/>
        <v>12</v>
      </c>
      <c r="C217" s="13">
        <f t="shared" si="7"/>
        <v>2009</v>
      </c>
      <c r="D217" s="2">
        <v>20904</v>
      </c>
      <c r="E217">
        <f>VLOOKUP(A217,PSR!$A$12:$B$721,2,FALSE)</f>
        <v>5.7</v>
      </c>
      <c r="F217">
        <f>VLOOKUP(A217,CCI_USA!$F$2:$H$317,3,FALSE)</f>
        <v>98.276700000000005</v>
      </c>
      <c r="G217">
        <f>INDEX('BLS Data Series'!$A$11:$M$39,MATCH('UI Datathon Development'!C217,'BLS Data Series'!$A$13:$A$39,0)+2,MATCH('UI Datathon Development'!B217,'BLS Data Series'!$B$11:$M$11,0)+1)</f>
        <v>9.9</v>
      </c>
      <c r="H217">
        <f>VLOOKUP(A217,'Houses for sale'!$B$10:$I$671,8,FALSE)</f>
        <v>234</v>
      </c>
      <c r="I217">
        <f>VLOOKUP(A217,'House starts'!$A$12:$B$325,2,FALSE)</f>
        <v>581</v>
      </c>
      <c r="J217">
        <f>VLOOKUP(A217,'New house sales'!$A$13:$C$324,3,FALSE)</f>
        <v>222600</v>
      </c>
      <c r="K217">
        <f>VLOOKUP($A217,'Sreenath''s data'!$A$2:$F$313,3,FALSE)</f>
        <v>146.684</v>
      </c>
      <c r="L217">
        <f>VLOOKUP($A217,'Sreenath''s data'!$A$2:$F$313,4,FALSE)</f>
        <v>7023.2</v>
      </c>
      <c r="M217">
        <f>VLOOKUP($A217,'Sreenath''s data'!$A$2:$F$313,5,FALSE)</f>
        <v>111636</v>
      </c>
      <c r="N217">
        <f>VLOOKUP($A217,'Sreenath''s data'!$A$2:$F$313,6,FALSE)</f>
        <v>99.799090498139606</v>
      </c>
      <c r="O217">
        <f>VLOOKUP($A217,'Niteesh''s data'!$A$2:$I$313,3,FALSE)</f>
        <v>1098.8900149999999</v>
      </c>
      <c r="P217">
        <f>VLOOKUP($A217,'Niteesh''s data'!$A$2:$I$313,4,FALSE)</f>
        <v>1130.380005</v>
      </c>
      <c r="Q217">
        <f>VLOOKUP($A217,'Niteesh''s data'!$A$2:$I$313,5,FALSE)</f>
        <v>1085.8900149999999</v>
      </c>
      <c r="R217">
        <f>VLOOKUP($A217,'Niteesh''s data'!$A$2:$I$313,6,FALSE)</f>
        <v>1115.099976</v>
      </c>
      <c r="S217">
        <f>VLOOKUP($A217,'Niteesh''s data'!$A$2:$I$313,7,FALSE)</f>
        <v>1115.099976</v>
      </c>
      <c r="T217">
        <f>VLOOKUP($A217,'Niteesh''s data'!$A$2:$I$313,8,FALSE)</f>
        <v>89515330000</v>
      </c>
      <c r="U217" s="61">
        <f>VLOOKUP($A217,'Niteesh''s data'!$A$2:$I$313,9,FALSE)</f>
        <v>8.6E-3</v>
      </c>
      <c r="V217">
        <f>VLOOKUP(A217,'Existing home Sales'!$A$2:$C$324,3,FALSE)</f>
        <v>6.54</v>
      </c>
      <c r="W217" s="8">
        <v>3</v>
      </c>
      <c r="X217">
        <f>IFERROR(VLOOKUP(A217,'Home Depot Gross Profit'!$A$1:$B$105,2,FALSE)/3,IF(W217=2,X216,X216))</f>
        <v>1853.6666666666667</v>
      </c>
      <c r="Y217">
        <f>IFERROR(VLOOKUP(A217,'LOWE''S GROSS PROFIT'!$A$1:$B$105,2,FALSE)/3,IF(X217=2,Y216/3,Y216))</f>
        <v>1296.6666666666667</v>
      </c>
      <c r="Z217" s="8">
        <v>4.9400000000000004</v>
      </c>
      <c r="AA217">
        <v>5654</v>
      </c>
      <c r="AB217">
        <f>VLOOKUP(A217,'[1]Fed_Int (1)'!$A$2:$B$316,2,FALSE)</f>
        <v>0.12</v>
      </c>
      <c r="AC217" s="8">
        <v>27.49</v>
      </c>
      <c r="AD217" s="8">
        <v>29.440000999999999</v>
      </c>
      <c r="AE217" s="8">
        <v>27.35</v>
      </c>
      <c r="AF217" s="8">
        <v>28.93</v>
      </c>
      <c r="AG217" s="8">
        <v>23.652567000000001</v>
      </c>
      <c r="AH217" s="8">
        <v>272428900</v>
      </c>
      <c r="AI217" s="8">
        <v>22.09</v>
      </c>
      <c r="AJ217" s="8">
        <v>24.5</v>
      </c>
      <c r="AK217" s="8">
        <v>22.02</v>
      </c>
      <c r="AL217" s="8">
        <v>23.389999</v>
      </c>
      <c r="AM217" s="8">
        <v>20.161321999999998</v>
      </c>
      <c r="AN217" s="8">
        <v>258476200</v>
      </c>
    </row>
    <row r="218" spans="1:40" x14ac:dyDescent="0.35">
      <c r="A218" s="1">
        <v>40179</v>
      </c>
      <c r="B218" s="13">
        <f t="shared" si="6"/>
        <v>1</v>
      </c>
      <c r="C218" s="13">
        <f t="shared" si="7"/>
        <v>2010</v>
      </c>
      <c r="D218" s="2">
        <v>20561</v>
      </c>
      <c r="E218">
        <f>VLOOKUP(A218,PSR!$A$12:$B$721,2,FALSE)</f>
        <v>5.6</v>
      </c>
      <c r="F218">
        <f>VLOOKUP(A218,CCI_USA!$F$2:$H$317,3,FALSE)</f>
        <v>98.436980000000005</v>
      </c>
      <c r="G218">
        <f>INDEX('BLS Data Series'!$A$11:$M$39,MATCH('UI Datathon Development'!C218,'BLS Data Series'!$A$13:$A$39,0)+2,MATCH('UI Datathon Development'!B218,'BLS Data Series'!$B$11:$M$11,0)+1)</f>
        <v>9.8000000000000007</v>
      </c>
      <c r="H218">
        <f>VLOOKUP(A218,'Houses for sale'!$B$10:$I$671,8,FALSE)</f>
        <v>233</v>
      </c>
      <c r="I218">
        <f>VLOOKUP(A218,'House starts'!$A$12:$B$325,2,FALSE)</f>
        <v>614</v>
      </c>
      <c r="J218">
        <f>VLOOKUP(A218,'New house sales'!$A$13:$C$324,3,FALSE)</f>
        <v>218200</v>
      </c>
      <c r="K218">
        <f>VLOOKUP($A218,'Sreenath''s data'!$A$2:$F$313,3,FALSE)</f>
        <v>145.00299999999999</v>
      </c>
      <c r="L218">
        <f>VLOOKUP($A218,'Sreenath''s data'!$A$2:$F$313,4,FALSE)</f>
        <v>6892.9</v>
      </c>
      <c r="M218">
        <f>VLOOKUP($A218,'Sreenath''s data'!$A$2:$F$313,5,FALSE)</f>
        <v>111686</v>
      </c>
      <c r="N218">
        <f>VLOOKUP($A218,'Sreenath''s data'!$A$2:$F$313,6,FALSE)</f>
        <v>99.829613287845405</v>
      </c>
      <c r="O218">
        <f>VLOOKUP($A218,'Niteesh''s data'!$A$2:$I$313,3,FALSE)</f>
        <v>1116.5600589999999</v>
      </c>
      <c r="P218">
        <f>VLOOKUP($A218,'Niteesh''s data'!$A$2:$I$313,4,FALSE)</f>
        <v>1150.4499510000001</v>
      </c>
      <c r="Q218">
        <f>VLOOKUP($A218,'Niteesh''s data'!$A$2:$I$313,5,FALSE)</f>
        <v>1071.589966</v>
      </c>
      <c r="R218">
        <f>VLOOKUP($A218,'Niteesh''s data'!$A$2:$I$313,6,FALSE)</f>
        <v>1073.869995</v>
      </c>
      <c r="S218">
        <f>VLOOKUP($A218,'Niteesh''s data'!$A$2:$I$313,7,FALSE)</f>
        <v>1073.869995</v>
      </c>
      <c r="T218">
        <f>VLOOKUP($A218,'Niteesh''s data'!$A$2:$I$313,8,FALSE)</f>
        <v>90947580000</v>
      </c>
      <c r="U218" s="61">
        <f>VLOOKUP($A218,'Niteesh''s data'!$A$2:$I$313,9,FALSE)</f>
        <v>8.6E-3</v>
      </c>
      <c r="V218">
        <f>VLOOKUP(A218,'Existing home Sales'!$A$2:$C$324,3,FALSE)</f>
        <v>5.45</v>
      </c>
      <c r="W218" s="8">
        <v>1</v>
      </c>
      <c r="X218">
        <f>IFERROR(VLOOKUP(A218,'Home Depot Gross Profit'!$A$1:$B$105,2,FALSE)/3,IF(W218=2,X217,X217))</f>
        <v>1671</v>
      </c>
      <c r="Y218">
        <f>IFERROR(VLOOKUP(A218,'LOWE''S GROSS PROFIT'!$A$1:$B$105,2,FALSE)/3,IF(X218=2,Y217/3,Y217))</f>
        <v>1184.6666666666667</v>
      </c>
      <c r="Z218" s="8">
        <v>5.0250000000000004</v>
      </c>
      <c r="AA218">
        <v>5580</v>
      </c>
      <c r="AB218">
        <f>VLOOKUP(A218,'[1]Fed_Int (1)'!$A$2:$B$316,2,FALSE)</f>
        <v>0.11</v>
      </c>
      <c r="AC218" s="8">
        <v>29.15</v>
      </c>
      <c r="AD218" s="8">
        <v>29.24</v>
      </c>
      <c r="AE218" s="8">
        <v>27.190000999999999</v>
      </c>
      <c r="AF218" s="8">
        <v>28.01</v>
      </c>
      <c r="AG218" s="8">
        <v>23.090281000000001</v>
      </c>
      <c r="AH218" s="8">
        <v>305927400</v>
      </c>
      <c r="AI218" s="8">
        <v>23.51</v>
      </c>
      <c r="AJ218" s="8">
        <v>23.809999000000001</v>
      </c>
      <c r="AK218" s="8">
        <v>21.610001</v>
      </c>
      <c r="AL218" s="8">
        <v>21.65</v>
      </c>
      <c r="AM218" s="8">
        <v>18.661507</v>
      </c>
      <c r="AN218" s="8">
        <v>243055300</v>
      </c>
    </row>
    <row r="219" spans="1:40" x14ac:dyDescent="0.35">
      <c r="A219" s="1">
        <v>40210</v>
      </c>
      <c r="B219" s="13">
        <f t="shared" si="6"/>
        <v>2</v>
      </c>
      <c r="C219" s="13">
        <f t="shared" si="7"/>
        <v>2010</v>
      </c>
      <c r="D219" s="2">
        <v>20448</v>
      </c>
      <c r="E219">
        <f>VLOOKUP(A219,PSR!$A$12:$B$721,2,FALSE)</f>
        <v>5.2</v>
      </c>
      <c r="F219">
        <f>VLOOKUP(A219,CCI_USA!$F$2:$H$317,3,FALSE)</f>
        <v>98.491619999999998</v>
      </c>
      <c r="G219">
        <f>INDEX('BLS Data Series'!$A$11:$M$39,MATCH('UI Datathon Development'!C219,'BLS Data Series'!$A$13:$A$39,0)+2,MATCH('UI Datathon Development'!B219,'BLS Data Series'!$B$11:$M$11,0)+1)</f>
        <v>9.8000000000000007</v>
      </c>
      <c r="H219">
        <f>VLOOKUP(A219,'Houses for sale'!$B$10:$I$671,8,FALSE)</f>
        <v>231</v>
      </c>
      <c r="I219">
        <f>VLOOKUP(A219,'House starts'!$A$12:$B$325,2,FALSE)</f>
        <v>604</v>
      </c>
      <c r="J219">
        <f>VLOOKUP(A219,'New house sales'!$A$13:$C$324,3,FALSE)</f>
        <v>221900</v>
      </c>
      <c r="K219">
        <f>VLOOKUP($A219,'Sreenath''s data'!$A$2:$F$313,3,FALSE)</f>
        <v>143.05699999999999</v>
      </c>
      <c r="L219">
        <f>VLOOKUP($A219,'Sreenath''s data'!$A$2:$F$313,4,FALSE)</f>
        <v>6908.4</v>
      </c>
      <c r="M219">
        <f>VLOOKUP($A219,'Sreenath''s data'!$A$2:$F$313,5,FALSE)</f>
        <v>111881</v>
      </c>
      <c r="N219">
        <f>VLOOKUP($A219,'Sreenath''s data'!$A$2:$F$313,6,FALSE)</f>
        <v>99.850090602457996</v>
      </c>
      <c r="O219">
        <f>VLOOKUP($A219,'Niteesh''s data'!$A$2:$I$313,3,FALSE)</f>
        <v>1073.8900149999999</v>
      </c>
      <c r="P219">
        <f>VLOOKUP($A219,'Niteesh''s data'!$A$2:$I$313,4,FALSE)</f>
        <v>1112.420044</v>
      </c>
      <c r="Q219">
        <f>VLOOKUP($A219,'Niteesh''s data'!$A$2:$I$313,5,FALSE)</f>
        <v>1044.5</v>
      </c>
      <c r="R219">
        <f>VLOOKUP($A219,'Niteesh''s data'!$A$2:$I$313,6,FALSE)</f>
        <v>1104.48999</v>
      </c>
      <c r="S219">
        <f>VLOOKUP($A219,'Niteesh''s data'!$A$2:$I$313,7,FALSE)</f>
        <v>1104.48999</v>
      </c>
      <c r="T219">
        <f>VLOOKUP($A219,'Niteesh''s data'!$A$2:$I$313,8,FALSE)</f>
        <v>84561340000</v>
      </c>
      <c r="U219" s="61">
        <f>VLOOKUP($A219,'Niteesh''s data'!$A$2:$I$313,9,FALSE)</f>
        <v>8.6E-3</v>
      </c>
      <c r="V219">
        <f>VLOOKUP(A219,'Existing home Sales'!$A$2:$C$324,3,FALSE)</f>
        <v>5.05</v>
      </c>
      <c r="W219" s="8">
        <v>2</v>
      </c>
      <c r="X219">
        <f>IFERROR(VLOOKUP(A219,'Home Depot Gross Profit'!$A$1:$B$105,2,FALSE)/3,IF(W219=2,X218,X218))</f>
        <v>1671</v>
      </c>
      <c r="Y219">
        <f>IFERROR(VLOOKUP(A219,'LOWE''S GROSS PROFIT'!$A$1:$B$105,2,FALSE)/3,IF(X219=2,Y218/3,Y218))</f>
        <v>1184.6666666666667</v>
      </c>
      <c r="Z219" s="8">
        <v>4.99</v>
      </c>
      <c r="AA219">
        <v>5500</v>
      </c>
      <c r="AB219">
        <f>VLOOKUP(A219,'[1]Fed_Int (1)'!$A$2:$B$316,2,FALSE)</f>
        <v>0.13</v>
      </c>
      <c r="AC219" s="8">
        <v>28.01</v>
      </c>
      <c r="AD219" s="8">
        <v>31.450001</v>
      </c>
      <c r="AE219" s="8">
        <v>27.530000999999999</v>
      </c>
      <c r="AF219" s="8">
        <v>31.200001</v>
      </c>
      <c r="AG219" s="8">
        <v>25.719988000000001</v>
      </c>
      <c r="AH219" s="8">
        <v>358199600</v>
      </c>
      <c r="AI219" s="8">
        <v>21.719999000000001</v>
      </c>
      <c r="AJ219" s="8">
        <v>23.969999000000001</v>
      </c>
      <c r="AK219" s="8">
        <v>21.290001</v>
      </c>
      <c r="AL219" s="8">
        <v>23.709999</v>
      </c>
      <c r="AM219" s="8">
        <v>20.516777000000001</v>
      </c>
      <c r="AN219" s="8">
        <v>300811800</v>
      </c>
    </row>
    <row r="220" spans="1:40" x14ac:dyDescent="0.35">
      <c r="A220" s="1">
        <v>40238</v>
      </c>
      <c r="B220" s="13">
        <f t="shared" si="6"/>
        <v>3</v>
      </c>
      <c r="C220" s="13">
        <f t="shared" si="7"/>
        <v>2010</v>
      </c>
      <c r="D220" s="2">
        <v>21862</v>
      </c>
      <c r="E220">
        <f>VLOOKUP(A220,PSR!$A$12:$B$721,2,FALSE)</f>
        <v>5</v>
      </c>
      <c r="F220">
        <f>VLOOKUP(A220,CCI_USA!$F$2:$H$317,3,FALSE)</f>
        <v>98.48854</v>
      </c>
      <c r="G220">
        <f>INDEX('BLS Data Series'!$A$11:$M$39,MATCH('UI Datathon Development'!C220,'BLS Data Series'!$A$13:$A$39,0)+2,MATCH('UI Datathon Development'!B220,'BLS Data Series'!$B$11:$M$11,0)+1)</f>
        <v>9.9</v>
      </c>
      <c r="H220">
        <f>VLOOKUP(A220,'Houses for sale'!$B$10:$I$671,8,FALSE)</f>
        <v>227</v>
      </c>
      <c r="I220">
        <f>VLOOKUP(A220,'House starts'!$A$12:$B$325,2,FALSE)</f>
        <v>636</v>
      </c>
      <c r="J220">
        <f>VLOOKUP(A220,'New house sales'!$A$13:$C$324,3,FALSE)</f>
        <v>224800</v>
      </c>
      <c r="K220">
        <f>VLOOKUP($A220,'Sreenath''s data'!$A$2:$F$313,3,FALSE)</f>
        <v>143.59399999999999</v>
      </c>
      <c r="L220">
        <f>VLOOKUP($A220,'Sreenath''s data'!$A$2:$F$313,4,FALSE)</f>
        <v>6930.4</v>
      </c>
      <c r="M220">
        <f>VLOOKUP($A220,'Sreenath''s data'!$A$2:$F$313,5,FALSE)</f>
        <v>111983</v>
      </c>
      <c r="N220">
        <f>VLOOKUP($A220,'Sreenath''s data'!$A$2:$F$313,6,FALSE)</f>
        <v>99.870954281497404</v>
      </c>
      <c r="O220">
        <f>VLOOKUP($A220,'Niteesh''s data'!$A$2:$I$313,3,FALSE)</f>
        <v>1105.3599850000001</v>
      </c>
      <c r="P220">
        <f>VLOOKUP($A220,'Niteesh''s data'!$A$2:$I$313,4,FALSE)</f>
        <v>1180.6899410000001</v>
      </c>
      <c r="Q220">
        <f>VLOOKUP($A220,'Niteesh''s data'!$A$2:$I$313,5,FALSE)</f>
        <v>1105.3599850000001</v>
      </c>
      <c r="R220">
        <f>VLOOKUP($A220,'Niteesh''s data'!$A$2:$I$313,6,FALSE)</f>
        <v>1169.4300539999999</v>
      </c>
      <c r="S220">
        <f>VLOOKUP($A220,'Niteesh''s data'!$A$2:$I$313,7,FALSE)</f>
        <v>1169.4300539999999</v>
      </c>
      <c r="T220">
        <f>VLOOKUP($A220,'Niteesh''s data'!$A$2:$I$313,8,FALSE)</f>
        <v>104000000000</v>
      </c>
      <c r="U220" s="61">
        <f>VLOOKUP($A220,'Niteesh''s data'!$A$2:$I$313,9,FALSE)</f>
        <v>8.5000000000000006E-3</v>
      </c>
      <c r="V220">
        <f>VLOOKUP(A220,'Existing home Sales'!$A$2:$C$324,3,FALSE)</f>
        <v>5.0199999999999996</v>
      </c>
      <c r="W220" s="8">
        <v>3</v>
      </c>
      <c r="X220">
        <f>IFERROR(VLOOKUP(A220,'Home Depot Gross Profit'!$A$1:$B$105,2,FALSE)/3,IF(W220=2,X219,X219))</f>
        <v>1671</v>
      </c>
      <c r="Y220">
        <f>IFERROR(VLOOKUP(A220,'LOWE''S GROSS PROFIT'!$A$1:$B$105,2,FALSE)/3,IF(X220=2,Y219/3,Y219))</f>
        <v>1184.6666666666667</v>
      </c>
      <c r="Z220" s="8">
        <v>4.9649999999999999</v>
      </c>
      <c r="AA220">
        <v>5537</v>
      </c>
      <c r="AB220">
        <f>VLOOKUP(A220,'[1]Fed_Int (1)'!$A$2:$B$316,2,FALSE)</f>
        <v>0.16</v>
      </c>
      <c r="AC220" s="8">
        <v>31.24</v>
      </c>
      <c r="AD220" s="8">
        <v>32.979999999999997</v>
      </c>
      <c r="AE220" s="8">
        <v>31.09</v>
      </c>
      <c r="AF220" s="8">
        <v>32.349997999999999</v>
      </c>
      <c r="AG220" s="8">
        <v>26.668001</v>
      </c>
      <c r="AH220" s="8">
        <v>311755400</v>
      </c>
      <c r="AI220" s="8">
        <v>23.790001</v>
      </c>
      <c r="AJ220" s="8">
        <v>25.309999000000001</v>
      </c>
      <c r="AK220" s="8">
        <v>23.530000999999999</v>
      </c>
      <c r="AL220" s="8">
        <v>24.24</v>
      </c>
      <c r="AM220" s="8">
        <v>20.975394999999999</v>
      </c>
      <c r="AN220" s="8">
        <v>250390800</v>
      </c>
    </row>
    <row r="221" spans="1:40" x14ac:dyDescent="0.35">
      <c r="A221" s="1">
        <v>40269</v>
      </c>
      <c r="B221" s="13">
        <f t="shared" si="6"/>
        <v>4</v>
      </c>
      <c r="C221" s="13">
        <f t="shared" si="7"/>
        <v>2010</v>
      </c>
      <c r="D221" s="2">
        <v>23489</v>
      </c>
      <c r="E221">
        <f>VLOOKUP(A221,PSR!$A$12:$B$721,2,FALSE)</f>
        <v>5.6</v>
      </c>
      <c r="F221">
        <f>VLOOKUP(A221,CCI_USA!$F$2:$H$317,3,FALSE)</f>
        <v>98.468289999999996</v>
      </c>
      <c r="G221">
        <f>INDEX('BLS Data Series'!$A$11:$M$39,MATCH('UI Datathon Development'!C221,'BLS Data Series'!$A$13:$A$39,0)+2,MATCH('UI Datathon Development'!B221,'BLS Data Series'!$B$11:$M$11,0)+1)</f>
        <v>9.9</v>
      </c>
      <c r="H221">
        <f>VLOOKUP(A221,'Houses for sale'!$B$10:$I$671,8,FALSE)</f>
        <v>217</v>
      </c>
      <c r="I221">
        <f>VLOOKUP(A221,'House starts'!$A$12:$B$325,2,FALSE)</f>
        <v>687</v>
      </c>
      <c r="J221">
        <f>VLOOKUP(A221,'New house sales'!$A$13:$C$324,3,FALSE)</f>
        <v>208300</v>
      </c>
      <c r="K221">
        <f>VLOOKUP($A221,'Sreenath''s data'!$A$2:$F$313,3,FALSE)</f>
        <v>145.392</v>
      </c>
      <c r="L221">
        <f>VLOOKUP($A221,'Sreenath''s data'!$A$2:$F$313,4,FALSE)</f>
        <v>6932.6</v>
      </c>
      <c r="M221">
        <f>VLOOKUP($A221,'Sreenath''s data'!$A$2:$F$313,5,FALSE)</f>
        <v>112126</v>
      </c>
      <c r="N221">
        <f>VLOOKUP($A221,'Sreenath''s data'!$A$2:$F$313,6,FALSE)</f>
        <v>99.858590619844406</v>
      </c>
      <c r="O221">
        <f>VLOOKUP($A221,'Niteesh''s data'!$A$2:$I$313,3,FALSE)</f>
        <v>1171.2299800000001</v>
      </c>
      <c r="P221">
        <f>VLOOKUP($A221,'Niteesh''s data'!$A$2:$I$313,4,FALSE)</f>
        <v>1219.8000489999999</v>
      </c>
      <c r="Q221">
        <f>VLOOKUP($A221,'Niteesh''s data'!$A$2:$I$313,5,FALSE)</f>
        <v>1170.6899410000001</v>
      </c>
      <c r="R221">
        <f>VLOOKUP($A221,'Niteesh''s data'!$A$2:$I$313,6,FALSE)</f>
        <v>1186.6899410000001</v>
      </c>
      <c r="S221">
        <f>VLOOKUP($A221,'Niteesh''s data'!$A$2:$I$313,7,FALSE)</f>
        <v>1186.6899410000001</v>
      </c>
      <c r="T221">
        <f>VLOOKUP($A221,'Niteesh''s data'!$A$2:$I$313,8,FALSE)</f>
        <v>117000000000</v>
      </c>
      <c r="U221" s="61">
        <f>VLOOKUP($A221,'Niteesh''s data'!$A$2:$I$313,9,FALSE)</f>
        <v>8.3999999999999995E-3</v>
      </c>
      <c r="V221">
        <f>VLOOKUP(A221,'Existing home Sales'!$A$2:$C$324,3,FALSE)</f>
        <v>5.35</v>
      </c>
      <c r="W221" s="8">
        <v>1</v>
      </c>
      <c r="X221">
        <f>IFERROR(VLOOKUP(A221,'Home Depot Gross Profit'!$A$1:$B$105,2,FALSE)/3,IF(W221=2,X220,X220))</f>
        <v>1931.3333333333333</v>
      </c>
      <c r="Y221">
        <f>IFERROR(VLOOKUP(A221,'LOWE''S GROSS PROFIT'!$A$1:$B$105,2,FALSE)/3,IF(X221=2,Y220/3,Y220))</f>
        <v>1452.6666666666667</v>
      </c>
      <c r="Z221" s="8">
        <v>5.07</v>
      </c>
      <c r="AA221">
        <v>5553</v>
      </c>
      <c r="AB221">
        <f>VLOOKUP(A221,'[1]Fed_Int (1)'!$A$2:$B$316,2,FALSE)</f>
        <v>0.2</v>
      </c>
      <c r="AC221" s="8">
        <v>32.409999999999997</v>
      </c>
      <c r="AD221" s="8">
        <v>37.029998999999997</v>
      </c>
      <c r="AE221" s="8">
        <v>32.159999999999997</v>
      </c>
      <c r="AF221" s="8">
        <v>35.229999999999997</v>
      </c>
      <c r="AG221" s="8">
        <v>29.258431999999999</v>
      </c>
      <c r="AH221" s="8">
        <v>371036400</v>
      </c>
      <c r="AI221" s="8">
        <v>24.370000999999998</v>
      </c>
      <c r="AJ221" s="8">
        <v>28.540001</v>
      </c>
      <c r="AK221" s="8">
        <v>24.35</v>
      </c>
      <c r="AL221" s="8">
        <v>27.120000999999998</v>
      </c>
      <c r="AM221" s="8">
        <v>23.46752</v>
      </c>
      <c r="AN221" s="8">
        <v>288537900</v>
      </c>
    </row>
    <row r="222" spans="1:40" x14ac:dyDescent="0.35">
      <c r="A222" s="1">
        <v>40299</v>
      </c>
      <c r="B222" s="13">
        <f t="shared" si="6"/>
        <v>5</v>
      </c>
      <c r="C222" s="13">
        <f t="shared" si="7"/>
        <v>2010</v>
      </c>
      <c r="D222" s="2">
        <v>21728</v>
      </c>
      <c r="E222">
        <f>VLOOKUP(A222,PSR!$A$12:$B$721,2,FALSE)</f>
        <v>6</v>
      </c>
      <c r="F222">
        <f>VLOOKUP(A222,CCI_USA!$F$2:$H$317,3,FALSE)</f>
        <v>98.467029999999994</v>
      </c>
      <c r="G222">
        <f>INDEX('BLS Data Series'!$A$11:$M$39,MATCH('UI Datathon Development'!C222,'BLS Data Series'!$A$13:$A$39,0)+2,MATCH('UI Datathon Development'!B222,'BLS Data Series'!$B$11:$M$11,0)+1)</f>
        <v>9.6</v>
      </c>
      <c r="H222">
        <f>VLOOKUP(A222,'Houses for sale'!$B$10:$I$671,8,FALSE)</f>
        <v>216</v>
      </c>
      <c r="I222">
        <f>VLOOKUP(A222,'House starts'!$A$12:$B$325,2,FALSE)</f>
        <v>583</v>
      </c>
      <c r="J222">
        <f>VLOOKUP(A222,'New house sales'!$A$13:$C$324,3,FALSE)</f>
        <v>230500</v>
      </c>
      <c r="K222">
        <f>VLOOKUP($A222,'Sreenath''s data'!$A$2:$F$313,3,FALSE)</f>
        <v>147.023</v>
      </c>
      <c r="L222">
        <f>VLOOKUP($A222,'Sreenath''s data'!$A$2:$F$313,4,FALSE)</f>
        <v>7016.1</v>
      </c>
      <c r="M222">
        <f>VLOOKUP($A222,'Sreenath''s data'!$A$2:$F$313,5,FALSE)</f>
        <v>112299</v>
      </c>
      <c r="N222">
        <f>VLOOKUP($A222,'Sreenath''s data'!$A$2:$F$313,6,FALSE)</f>
        <v>99.884863400856901</v>
      </c>
      <c r="O222">
        <f>VLOOKUP($A222,'Niteesh''s data'!$A$2:$I$313,3,FALSE)</f>
        <v>1188.579956</v>
      </c>
      <c r="P222">
        <f>VLOOKUP($A222,'Niteesh''s data'!$A$2:$I$313,4,FALSE)</f>
        <v>1205.130005</v>
      </c>
      <c r="Q222">
        <f>VLOOKUP($A222,'Niteesh''s data'!$A$2:$I$313,5,FALSE)</f>
        <v>1040.780029</v>
      </c>
      <c r="R222">
        <f>VLOOKUP($A222,'Niteesh''s data'!$A$2:$I$313,6,FALSE)</f>
        <v>1089.410034</v>
      </c>
      <c r="S222">
        <f>VLOOKUP($A222,'Niteesh''s data'!$A$2:$I$313,7,FALSE)</f>
        <v>1089.410034</v>
      </c>
      <c r="T222">
        <f>VLOOKUP($A222,'Niteesh''s data'!$A$2:$I$313,8,FALSE)</f>
        <v>128000000000</v>
      </c>
      <c r="U222" s="61">
        <f>VLOOKUP($A222,'Niteesh''s data'!$A$2:$I$313,9,FALSE)</f>
        <v>8.3000000000000001E-3</v>
      </c>
      <c r="V222">
        <f>VLOOKUP(A222,'Existing home Sales'!$A$2:$C$324,3,FALSE)</f>
        <v>5.77</v>
      </c>
      <c r="W222" s="8">
        <v>2</v>
      </c>
      <c r="X222">
        <f>IFERROR(VLOOKUP(A222,'Home Depot Gross Profit'!$A$1:$B$105,2,FALSE)/3,IF(W222=2,X221,X221))</f>
        <v>1931.3333333333333</v>
      </c>
      <c r="Y222">
        <f>IFERROR(VLOOKUP(A222,'LOWE''S GROSS PROFIT'!$A$1:$B$105,2,FALSE)/3,IF(X222=2,Y221/3,Y221))</f>
        <v>1452.6666666666667</v>
      </c>
      <c r="Z222" s="8">
        <v>4.8849999999999998</v>
      </c>
      <c r="AA222">
        <v>5520</v>
      </c>
      <c r="AB222">
        <f>VLOOKUP(A222,'[1]Fed_Int (1)'!$A$2:$B$316,2,FALSE)</f>
        <v>0.2</v>
      </c>
      <c r="AC222" s="8">
        <v>35.389999000000003</v>
      </c>
      <c r="AD222" s="8">
        <v>36.299999</v>
      </c>
      <c r="AE222" s="8">
        <v>32.07</v>
      </c>
      <c r="AF222" s="8">
        <v>33.860000999999997</v>
      </c>
      <c r="AG222" s="8">
        <v>28.120653000000001</v>
      </c>
      <c r="AH222" s="8">
        <v>522063700</v>
      </c>
      <c r="AI222" s="8">
        <v>27.290001</v>
      </c>
      <c r="AJ222" s="8">
        <v>27.93</v>
      </c>
      <c r="AK222" s="8">
        <v>23.09</v>
      </c>
      <c r="AL222" s="8">
        <v>24.75</v>
      </c>
      <c r="AM222" s="8">
        <v>21.490282000000001</v>
      </c>
      <c r="AN222" s="8">
        <v>387366500</v>
      </c>
    </row>
    <row r="223" spans="1:40" x14ac:dyDescent="0.35">
      <c r="A223" s="1">
        <v>40330</v>
      </c>
      <c r="B223" s="13">
        <f t="shared" si="6"/>
        <v>6</v>
      </c>
      <c r="C223" s="13">
        <f t="shared" si="7"/>
        <v>2010</v>
      </c>
      <c r="D223" s="2">
        <v>21575</v>
      </c>
      <c r="E223">
        <f>VLOOKUP(A223,PSR!$A$12:$B$721,2,FALSE)</f>
        <v>5.9</v>
      </c>
      <c r="F223">
        <f>VLOOKUP(A223,CCI_USA!$F$2:$H$317,3,FALSE)</f>
        <v>98.372799999999998</v>
      </c>
      <c r="G223">
        <f>INDEX('BLS Data Series'!$A$11:$M$39,MATCH('UI Datathon Development'!C223,'BLS Data Series'!$A$13:$A$39,0)+2,MATCH('UI Datathon Development'!B223,'BLS Data Series'!$B$11:$M$11,0)+1)</f>
        <v>9.4</v>
      </c>
      <c r="H223">
        <f>VLOOKUP(A223,'Houses for sale'!$B$10:$I$671,8,FALSE)</f>
        <v>212</v>
      </c>
      <c r="I223">
        <f>VLOOKUP(A223,'House starts'!$A$12:$B$325,2,FALSE)</f>
        <v>536</v>
      </c>
      <c r="J223">
        <f>VLOOKUP(A223,'New house sales'!$A$13:$C$324,3,FALSE)</f>
        <v>219500</v>
      </c>
      <c r="K223">
        <f>VLOOKUP($A223,'Sreenath''s data'!$A$2:$F$313,3,FALSE)</f>
        <v>147.68600000000001</v>
      </c>
      <c r="L223">
        <f>VLOOKUP($A223,'Sreenath''s data'!$A$2:$F$313,4,FALSE)</f>
        <v>7002.8</v>
      </c>
      <c r="M223">
        <f>VLOOKUP($A223,'Sreenath''s data'!$A$2:$F$313,5,FALSE)</f>
        <v>112220</v>
      </c>
      <c r="N223">
        <f>VLOOKUP($A223,'Sreenath''s data'!$A$2:$F$313,6,FALSE)</f>
        <v>100.033613705119</v>
      </c>
      <c r="O223">
        <f>VLOOKUP($A223,'Niteesh''s data'!$A$2:$I$313,3,FALSE)</f>
        <v>1087.3000489999999</v>
      </c>
      <c r="P223">
        <f>VLOOKUP($A223,'Niteesh''s data'!$A$2:$I$313,4,FALSE)</f>
        <v>1131.2299800000001</v>
      </c>
      <c r="Q223">
        <f>VLOOKUP($A223,'Niteesh''s data'!$A$2:$I$313,5,FALSE)</f>
        <v>1028.329956</v>
      </c>
      <c r="R223">
        <f>VLOOKUP($A223,'Niteesh''s data'!$A$2:$I$313,6,FALSE)</f>
        <v>1030.709961</v>
      </c>
      <c r="S223">
        <f>VLOOKUP($A223,'Niteesh''s data'!$A$2:$I$313,7,FALSE)</f>
        <v>1030.709961</v>
      </c>
      <c r="T223">
        <f>VLOOKUP($A223,'Niteesh''s data'!$A$2:$I$313,8,FALSE)</f>
        <v>110000000000</v>
      </c>
      <c r="U223" s="61">
        <f>VLOOKUP($A223,'Niteesh''s data'!$A$2:$I$313,9,FALSE)</f>
        <v>8.2000000000000007E-3</v>
      </c>
      <c r="V223">
        <f>VLOOKUP(A223,'Existing home Sales'!$A$2:$C$324,3,FALSE)</f>
        <v>5.66</v>
      </c>
      <c r="W223" s="8">
        <v>3</v>
      </c>
      <c r="X223">
        <f>IFERROR(VLOOKUP(A223,'Home Depot Gross Profit'!$A$1:$B$105,2,FALSE)/3,IF(W223=2,X222,X222))</f>
        <v>1931.3333333333333</v>
      </c>
      <c r="Y223">
        <f>IFERROR(VLOOKUP(A223,'LOWE''S GROSS PROFIT'!$A$1:$B$105,2,FALSE)/3,IF(X223=2,Y222/3,Y222))</f>
        <v>1452.6666666666667</v>
      </c>
      <c r="Z223" s="8">
        <v>4.7349999999999897</v>
      </c>
      <c r="AA223">
        <v>5516</v>
      </c>
      <c r="AB223">
        <f>VLOOKUP(A223,'[1]Fed_Int (1)'!$A$2:$B$316,2,FALSE)</f>
        <v>0.18</v>
      </c>
      <c r="AC223" s="8">
        <v>33.419998</v>
      </c>
      <c r="AD223" s="8">
        <v>34.169998</v>
      </c>
      <c r="AE223" s="8">
        <v>27.99</v>
      </c>
      <c r="AF223" s="8">
        <v>28.07</v>
      </c>
      <c r="AG223" s="8">
        <v>23.312069000000001</v>
      </c>
      <c r="AH223" s="8">
        <v>445088000</v>
      </c>
      <c r="AI223" s="8">
        <v>24.58</v>
      </c>
      <c r="AJ223" s="8">
        <v>24.889999</v>
      </c>
      <c r="AK223" s="8">
        <v>20.360001</v>
      </c>
      <c r="AL223" s="8">
        <v>20.420000000000002</v>
      </c>
      <c r="AM223" s="8">
        <v>17.730566</v>
      </c>
      <c r="AN223" s="8">
        <v>334819300</v>
      </c>
    </row>
    <row r="224" spans="1:40" x14ac:dyDescent="0.35">
      <c r="A224" s="1">
        <v>40360</v>
      </c>
      <c r="B224" s="13">
        <f t="shared" si="6"/>
        <v>7</v>
      </c>
      <c r="C224" s="13">
        <f t="shared" si="7"/>
        <v>2010</v>
      </c>
      <c r="D224" s="2">
        <v>21476</v>
      </c>
      <c r="E224">
        <f>VLOOKUP(A224,PSR!$A$12:$B$721,2,FALSE)</f>
        <v>5.9</v>
      </c>
      <c r="F224">
        <f>VLOOKUP(A224,CCI_USA!$F$2:$H$317,3,FALSE)</f>
        <v>98.090770000000006</v>
      </c>
      <c r="G224">
        <f>INDEX('BLS Data Series'!$A$11:$M$39,MATCH('UI Datathon Development'!C224,'BLS Data Series'!$A$13:$A$39,0)+2,MATCH('UI Datathon Development'!B224,'BLS Data Series'!$B$11:$M$11,0)+1)</f>
        <v>9.4</v>
      </c>
      <c r="H224">
        <f>VLOOKUP(A224,'Houses for sale'!$B$10:$I$671,8,FALSE)</f>
        <v>209</v>
      </c>
      <c r="I224">
        <f>VLOOKUP(A224,'House starts'!$A$12:$B$325,2,FALSE)</f>
        <v>546</v>
      </c>
      <c r="J224">
        <f>VLOOKUP(A224,'New house sales'!$A$13:$C$324,3,FALSE)</f>
        <v>212100</v>
      </c>
      <c r="K224">
        <f>VLOOKUP($A224,'Sreenath''s data'!$A$2:$F$313,3,FALSE)</f>
        <v>147.54</v>
      </c>
      <c r="L224">
        <f>VLOOKUP($A224,'Sreenath''s data'!$A$2:$F$313,4,FALSE)</f>
        <v>7008.8</v>
      </c>
      <c r="M224">
        <f>VLOOKUP($A224,'Sreenath''s data'!$A$2:$F$313,5,FALSE)</f>
        <v>111612</v>
      </c>
      <c r="N224">
        <f>VLOOKUP($A224,'Sreenath''s data'!$A$2:$F$313,6,FALSE)</f>
        <v>100.112818412583</v>
      </c>
      <c r="O224">
        <f>VLOOKUP($A224,'Niteesh''s data'!$A$2:$I$313,3,FALSE)</f>
        <v>1031.099976</v>
      </c>
      <c r="P224">
        <f>VLOOKUP($A224,'Niteesh''s data'!$A$2:$I$313,4,FALSE)</f>
        <v>1120.9499510000001</v>
      </c>
      <c r="Q224">
        <f>VLOOKUP($A224,'Niteesh''s data'!$A$2:$I$313,5,FALSE)</f>
        <v>1010.909973</v>
      </c>
      <c r="R224">
        <f>VLOOKUP($A224,'Niteesh''s data'!$A$2:$I$313,6,FALSE)</f>
        <v>1101.599976</v>
      </c>
      <c r="S224">
        <f>VLOOKUP($A224,'Niteesh''s data'!$A$2:$I$313,7,FALSE)</f>
        <v>1101.599976</v>
      </c>
      <c r="T224">
        <f>VLOOKUP($A224,'Niteesh''s data'!$A$2:$I$313,8,FALSE)</f>
        <v>94778110000</v>
      </c>
      <c r="U224" s="61">
        <f>VLOOKUP($A224,'Niteesh''s data'!$A$2:$I$313,9,FALSE)</f>
        <v>8.0999999999999996E-3</v>
      </c>
      <c r="V224">
        <f>VLOOKUP(A224,'Existing home Sales'!$A$2:$C$324,3,FALSE)</f>
        <v>5.37</v>
      </c>
      <c r="W224" s="8">
        <v>1</v>
      </c>
      <c r="X224">
        <f>IFERROR(VLOOKUP(A224,'Home Depot Gross Profit'!$A$1:$B$105,2,FALSE)/3,IF(W224=2,X223,X223))</f>
        <v>2194</v>
      </c>
      <c r="Y224">
        <f>IFERROR(VLOOKUP(A224,'LOWE''S GROSS PROFIT'!$A$1:$B$105,2,FALSE)/3,IF(X224=2,Y223/3,Y223))</f>
        <v>1668.6666666666667</v>
      </c>
      <c r="Z224" s="8">
        <v>4.57</v>
      </c>
      <c r="AA224">
        <v>5508</v>
      </c>
      <c r="AB224">
        <f>VLOOKUP(A224,'[1]Fed_Int (1)'!$A$2:$B$316,2,FALSE)</f>
        <v>0.18</v>
      </c>
      <c r="AC224" s="8">
        <v>28.41</v>
      </c>
      <c r="AD224" s="8">
        <v>29.370000999999998</v>
      </c>
      <c r="AE224" s="8">
        <v>26.620000999999998</v>
      </c>
      <c r="AF224" s="8">
        <v>28.51</v>
      </c>
      <c r="AG224" s="8">
        <v>23.843845000000002</v>
      </c>
      <c r="AH224" s="8">
        <v>375351500</v>
      </c>
      <c r="AI224" s="8">
        <v>20.549999</v>
      </c>
      <c r="AJ224" s="8">
        <v>21.99</v>
      </c>
      <c r="AK224" s="8">
        <v>19.639999</v>
      </c>
      <c r="AL224" s="8">
        <v>20.74</v>
      </c>
      <c r="AM224" s="8">
        <v>18.008417000000001</v>
      </c>
      <c r="AN224" s="8">
        <v>294695100</v>
      </c>
    </row>
    <row r="225" spans="1:40" x14ac:dyDescent="0.35">
      <c r="A225" s="1">
        <v>40391</v>
      </c>
      <c r="B225" s="13">
        <f t="shared" si="6"/>
        <v>8</v>
      </c>
      <c r="C225" s="13">
        <f t="shared" si="7"/>
        <v>2010</v>
      </c>
      <c r="D225" s="2">
        <v>21252</v>
      </c>
      <c r="E225">
        <f>VLOOKUP(A225,PSR!$A$12:$B$721,2,FALSE)</f>
        <v>5.8</v>
      </c>
      <c r="F225">
        <f>VLOOKUP(A225,CCI_USA!$F$2:$H$317,3,FALSE)</f>
        <v>97.918760000000006</v>
      </c>
      <c r="G225">
        <f>INDEX('BLS Data Series'!$A$11:$M$39,MATCH('UI Datathon Development'!C225,'BLS Data Series'!$A$13:$A$39,0)+2,MATCH('UI Datathon Development'!B225,'BLS Data Series'!$B$11:$M$11,0)+1)</f>
        <v>9.5</v>
      </c>
      <c r="H225">
        <f>VLOOKUP(A225,'Houses for sale'!$B$10:$I$671,8,FALSE)</f>
        <v>206</v>
      </c>
      <c r="I225">
        <f>VLOOKUP(A225,'House starts'!$A$12:$B$325,2,FALSE)</f>
        <v>599</v>
      </c>
      <c r="J225">
        <f>VLOOKUP(A225,'New house sales'!$A$13:$C$324,3,FALSE)</f>
        <v>226600</v>
      </c>
      <c r="K225">
        <f>VLOOKUP($A225,'Sreenath''s data'!$A$2:$F$313,3,FALSE)</f>
        <v>146.399</v>
      </c>
      <c r="L225">
        <f>VLOOKUP($A225,'Sreenath''s data'!$A$2:$F$313,4,FALSE)</f>
        <v>7019.1</v>
      </c>
      <c r="M225">
        <f>VLOOKUP($A225,'Sreenath''s data'!$A$2:$F$313,5,FALSE)</f>
        <v>111604</v>
      </c>
      <c r="N225">
        <f>VLOOKUP($A225,'Sreenath''s data'!$A$2:$F$313,6,FALSE)</f>
        <v>100.074181969918</v>
      </c>
      <c r="O225">
        <f>VLOOKUP($A225,'Niteesh''s data'!$A$2:$I$313,3,FALSE)</f>
        <v>1107.530029</v>
      </c>
      <c r="P225">
        <f>VLOOKUP($A225,'Niteesh''s data'!$A$2:$I$313,4,FALSE)</f>
        <v>1129.23999</v>
      </c>
      <c r="Q225">
        <f>VLOOKUP($A225,'Niteesh''s data'!$A$2:$I$313,5,FALSE)</f>
        <v>1039.6999510000001</v>
      </c>
      <c r="R225">
        <f>VLOOKUP($A225,'Niteesh''s data'!$A$2:$I$313,6,FALSE)</f>
        <v>1049.329956</v>
      </c>
      <c r="S225">
        <f>VLOOKUP($A225,'Niteesh''s data'!$A$2:$I$313,7,FALSE)</f>
        <v>1049.329956</v>
      </c>
      <c r="T225">
        <f>VLOOKUP($A225,'Niteesh''s data'!$A$2:$I$313,8,FALSE)</f>
        <v>85738250000</v>
      </c>
      <c r="U225" s="61">
        <f>VLOOKUP($A225,'Niteesh''s data'!$A$2:$I$313,9,FALSE)</f>
        <v>8.0000000000000002E-3</v>
      </c>
      <c r="V225">
        <f>VLOOKUP(A225,'Existing home Sales'!$A$2:$C$324,3,FALSE)</f>
        <v>3.83</v>
      </c>
      <c r="W225" s="8">
        <v>2</v>
      </c>
      <c r="X225">
        <f>IFERROR(VLOOKUP(A225,'Home Depot Gross Profit'!$A$1:$B$105,2,FALSE)/3,IF(W225=2,X224,X224))</f>
        <v>2194</v>
      </c>
      <c r="Y225">
        <f>IFERROR(VLOOKUP(A225,'LOWE''S GROSS PROFIT'!$A$1:$B$105,2,FALSE)/3,IF(X225=2,Y224/3,Y224))</f>
        <v>1668.6666666666667</v>
      </c>
      <c r="Z225" s="8">
        <v>4.43</v>
      </c>
      <c r="AA225">
        <v>5524</v>
      </c>
      <c r="AB225">
        <f>VLOOKUP(A225,'[1]Fed_Int (1)'!$A$2:$B$316,2,FALSE)</f>
        <v>0.19</v>
      </c>
      <c r="AC225" s="8">
        <v>28.82</v>
      </c>
      <c r="AD225" s="8">
        <v>29.24</v>
      </c>
      <c r="AE225" s="8">
        <v>27.1</v>
      </c>
      <c r="AF225" s="8">
        <v>27.82</v>
      </c>
      <c r="AG225" s="8">
        <v>23.266779</v>
      </c>
      <c r="AH225" s="8">
        <v>279092800</v>
      </c>
      <c r="AI225" s="8">
        <v>21.07</v>
      </c>
      <c r="AJ225" s="8">
        <v>21.4</v>
      </c>
      <c r="AK225" s="8">
        <v>19.350000000000001</v>
      </c>
      <c r="AL225" s="8">
        <v>20.280000999999999</v>
      </c>
      <c r="AM225" s="8">
        <v>17.706199999999999</v>
      </c>
      <c r="AN225" s="8">
        <v>345832800</v>
      </c>
    </row>
    <row r="226" spans="1:40" x14ac:dyDescent="0.35">
      <c r="A226" s="1">
        <v>40422</v>
      </c>
      <c r="B226" s="13">
        <f t="shared" si="6"/>
        <v>9</v>
      </c>
      <c r="C226" s="13">
        <f t="shared" si="7"/>
        <v>2010</v>
      </c>
      <c r="D226" s="2">
        <v>21389</v>
      </c>
      <c r="E226">
        <f>VLOOKUP(A226,PSR!$A$12:$B$721,2,FALSE)</f>
        <v>5.6</v>
      </c>
      <c r="F226">
        <f>VLOOKUP(A226,CCI_USA!$F$2:$H$317,3,FALSE)</f>
        <v>97.868390000000005</v>
      </c>
      <c r="G226">
        <f>INDEX('BLS Data Series'!$A$11:$M$39,MATCH('UI Datathon Development'!C226,'BLS Data Series'!$A$13:$A$39,0)+2,MATCH('UI Datathon Development'!B226,'BLS Data Series'!$B$11:$M$11,0)+1)</f>
        <v>9.5</v>
      </c>
      <c r="H226">
        <f>VLOOKUP(A226,'Houses for sale'!$B$10:$I$671,8,FALSE)</f>
        <v>201</v>
      </c>
      <c r="I226">
        <f>VLOOKUP(A226,'House starts'!$A$12:$B$325,2,FALSE)</f>
        <v>594</v>
      </c>
      <c r="J226">
        <f>VLOOKUP(A226,'New house sales'!$A$13:$C$324,3,FALSE)</f>
        <v>228000</v>
      </c>
      <c r="K226">
        <f>VLOOKUP($A226,'Sreenath''s data'!$A$2:$F$313,3,FALSE)</f>
        <v>144.583</v>
      </c>
      <c r="L226">
        <f>VLOOKUP($A226,'Sreenath''s data'!$A$2:$F$313,4,FALSE)</f>
        <v>7048.2</v>
      </c>
      <c r="M226">
        <f>VLOOKUP($A226,'Sreenath''s data'!$A$2:$F$313,5,FALSE)</f>
        <v>112527</v>
      </c>
      <c r="N226">
        <f>VLOOKUP($A226,'Sreenath''s data'!$A$2:$F$313,6,FALSE)</f>
        <v>100.042886451359</v>
      </c>
      <c r="O226">
        <f>VLOOKUP($A226,'Niteesh''s data'!$A$2:$I$313,3,FALSE)</f>
        <v>1049.719971</v>
      </c>
      <c r="P226">
        <f>VLOOKUP($A226,'Niteesh''s data'!$A$2:$I$313,4,FALSE)</f>
        <v>1157.160034</v>
      </c>
      <c r="Q226">
        <f>VLOOKUP($A226,'Niteesh''s data'!$A$2:$I$313,5,FALSE)</f>
        <v>1049.719971</v>
      </c>
      <c r="R226">
        <f>VLOOKUP($A226,'Niteesh''s data'!$A$2:$I$313,6,FALSE)</f>
        <v>1141.1999510000001</v>
      </c>
      <c r="S226">
        <f>VLOOKUP($A226,'Niteesh''s data'!$A$2:$I$313,7,FALSE)</f>
        <v>1141.1999510000001</v>
      </c>
      <c r="T226">
        <f>VLOOKUP($A226,'Niteesh''s data'!$A$2:$I$313,8,FALSE)</f>
        <v>79589450000</v>
      </c>
      <c r="U226" s="61">
        <f>VLOOKUP($A226,'Niteesh''s data'!$A$2:$I$313,9,FALSE)</f>
        <v>7.9000000000000008E-3</v>
      </c>
      <c r="V226">
        <f>VLOOKUP(A226,'Existing home Sales'!$A$2:$C$324,3,FALSE)</f>
        <v>4.13</v>
      </c>
      <c r="W226" s="8">
        <v>3</v>
      </c>
      <c r="X226">
        <f>IFERROR(VLOOKUP(A226,'Home Depot Gross Profit'!$A$1:$B$105,2,FALSE)/3,IF(W226=2,X225,X225))</f>
        <v>2194</v>
      </c>
      <c r="Y226">
        <f>IFERROR(VLOOKUP(A226,'LOWE''S GROSS PROFIT'!$A$1:$B$105,2,FALSE)/3,IF(X226=2,Y225/3,Y225))</f>
        <v>1668.6666666666667</v>
      </c>
      <c r="Z226" s="8">
        <v>4.3499999999999996</v>
      </c>
      <c r="AA226">
        <v>5501</v>
      </c>
      <c r="AB226">
        <f>VLOOKUP(A226,'[1]Fed_Int (1)'!$A$2:$B$316,2,FALSE)</f>
        <v>0.19</v>
      </c>
      <c r="AC226" s="8">
        <v>28.08</v>
      </c>
      <c r="AD226" s="8">
        <v>32.229999999999997</v>
      </c>
      <c r="AE226" s="8">
        <v>28.059999000000001</v>
      </c>
      <c r="AF226" s="8">
        <v>31.68</v>
      </c>
      <c r="AG226" s="8">
        <v>26.720555999999998</v>
      </c>
      <c r="AH226" s="8">
        <v>235029100</v>
      </c>
      <c r="AI226" s="8">
        <v>20.48</v>
      </c>
      <c r="AJ226" s="8">
        <v>22.6</v>
      </c>
      <c r="AK226" s="8">
        <v>20.469999000000001</v>
      </c>
      <c r="AL226" s="8">
        <v>22.290001</v>
      </c>
      <c r="AM226" s="8">
        <v>19.461098</v>
      </c>
      <c r="AN226" s="8">
        <v>220476600</v>
      </c>
    </row>
    <row r="227" spans="1:40" x14ac:dyDescent="0.35">
      <c r="A227" s="1">
        <v>40452</v>
      </c>
      <c r="B227" s="13">
        <f t="shared" si="6"/>
        <v>10</v>
      </c>
      <c r="C227" s="13">
        <f t="shared" si="7"/>
        <v>2010</v>
      </c>
      <c r="D227" s="2">
        <v>22062</v>
      </c>
      <c r="E227">
        <f>VLOOKUP(A227,PSR!$A$12:$B$721,2,FALSE)</f>
        <v>5.4</v>
      </c>
      <c r="F227">
        <f>VLOOKUP(A227,CCI_USA!$F$2:$H$317,3,FALSE)</f>
        <v>97.965990000000005</v>
      </c>
      <c r="G227">
        <f>INDEX('BLS Data Series'!$A$11:$M$39,MATCH('UI Datathon Development'!C227,'BLS Data Series'!$A$13:$A$39,0)+2,MATCH('UI Datathon Development'!B227,'BLS Data Series'!$B$11:$M$11,0)+1)</f>
        <v>9.4</v>
      </c>
      <c r="H227">
        <f>VLOOKUP(A227,'Houses for sale'!$B$10:$I$671,8,FALSE)</f>
        <v>199</v>
      </c>
      <c r="I227">
        <f>VLOOKUP(A227,'House starts'!$A$12:$B$325,2,FALSE)</f>
        <v>543</v>
      </c>
      <c r="J227">
        <f>VLOOKUP(A227,'New house sales'!$A$13:$C$324,3,FALSE)</f>
        <v>204200</v>
      </c>
      <c r="K227">
        <f>VLOOKUP($A227,'Sreenath''s data'!$A$2:$F$313,3,FALSE)</f>
        <v>143.11500000000001</v>
      </c>
      <c r="L227">
        <f>VLOOKUP($A227,'Sreenath''s data'!$A$2:$F$313,4,FALSE)</f>
        <v>7113.4</v>
      </c>
      <c r="M227">
        <f>VLOOKUP($A227,'Sreenath''s data'!$A$2:$F$313,5,FALSE)</f>
        <v>112516</v>
      </c>
      <c r="N227">
        <f>VLOOKUP($A227,'Sreenath''s data'!$A$2:$F$313,6,FALSE)</f>
        <v>100.089250182557</v>
      </c>
      <c r="O227">
        <f>VLOOKUP($A227,'Niteesh''s data'!$A$2:$I$313,3,FALSE)</f>
        <v>1143.48999</v>
      </c>
      <c r="P227">
        <f>VLOOKUP($A227,'Niteesh''s data'!$A$2:$I$313,4,FALSE)</f>
        <v>1196.1400149999999</v>
      </c>
      <c r="Q227">
        <f>VLOOKUP($A227,'Niteesh''s data'!$A$2:$I$313,5,FALSE)</f>
        <v>1131.869995</v>
      </c>
      <c r="R227">
        <f>VLOOKUP($A227,'Niteesh''s data'!$A$2:$I$313,6,FALSE)</f>
        <v>1183.26001</v>
      </c>
      <c r="S227">
        <f>VLOOKUP($A227,'Niteesh''s data'!$A$2:$I$313,7,FALSE)</f>
        <v>1183.26001</v>
      </c>
      <c r="T227">
        <f>VLOOKUP($A227,'Niteesh''s data'!$A$2:$I$313,8,FALSE)</f>
        <v>89536270000</v>
      </c>
      <c r="U227" s="61">
        <f>VLOOKUP($A227,'Niteesh''s data'!$A$2:$I$313,9,FALSE)</f>
        <v>1.66E-2</v>
      </c>
      <c r="V227">
        <f>VLOOKUP(A227,'Existing home Sales'!$A$2:$C$324,3,FALSE)</f>
        <v>4.53</v>
      </c>
      <c r="W227" s="8">
        <v>1</v>
      </c>
      <c r="X227">
        <f>IFERROR(VLOOKUP(A227,'Home Depot Gross Profit'!$A$1:$B$105,2,FALSE)/3,IF(W227=2,X226,X226))</f>
        <v>1895</v>
      </c>
      <c r="Y227">
        <f>IFERROR(VLOOKUP(A227,'LOWE''S GROSS PROFIT'!$A$1:$B$105,2,FALSE)/3,IF(X227=2,Y226/3,Y226))</f>
        <v>1353.6666666666667</v>
      </c>
      <c r="Z227" s="8">
        <v>4.22</v>
      </c>
      <c r="AA227">
        <v>5508</v>
      </c>
      <c r="AB227">
        <f>VLOOKUP(A227,'[1]Fed_Int (1)'!$A$2:$B$316,2,FALSE)</f>
        <v>0.19</v>
      </c>
      <c r="AC227" s="8">
        <v>31.809999000000001</v>
      </c>
      <c r="AD227" s="8">
        <v>32.139999000000003</v>
      </c>
      <c r="AE227" s="8">
        <v>30.18</v>
      </c>
      <c r="AF227" s="8">
        <v>30.9</v>
      </c>
      <c r="AG227" s="8">
        <v>26.062674000000001</v>
      </c>
      <c r="AH227" s="8">
        <v>248397600</v>
      </c>
      <c r="AI227" s="8">
        <v>22.379999000000002</v>
      </c>
      <c r="AJ227" s="8">
        <v>22.91</v>
      </c>
      <c r="AK227" s="8">
        <v>20.799999</v>
      </c>
      <c r="AL227" s="8">
        <v>21.34</v>
      </c>
      <c r="AM227" s="8">
        <v>18.631665999999999</v>
      </c>
      <c r="AN227" s="8">
        <v>274488500</v>
      </c>
    </row>
    <row r="228" spans="1:40" x14ac:dyDescent="0.35">
      <c r="A228" s="1">
        <v>40483</v>
      </c>
      <c r="B228" s="13">
        <f t="shared" si="6"/>
        <v>11</v>
      </c>
      <c r="C228" s="13">
        <f t="shared" si="7"/>
        <v>2010</v>
      </c>
      <c r="D228" s="2">
        <v>21906</v>
      </c>
      <c r="E228">
        <f>VLOOKUP(A228,PSR!$A$12:$B$721,2,FALSE)</f>
        <v>5.3</v>
      </c>
      <c r="F228">
        <f>VLOOKUP(A228,CCI_USA!$F$2:$H$317,3,FALSE)</f>
        <v>98.220920000000007</v>
      </c>
      <c r="G228">
        <f>INDEX('BLS Data Series'!$A$11:$M$39,MATCH('UI Datathon Development'!C228,'BLS Data Series'!$A$13:$A$39,0)+2,MATCH('UI Datathon Development'!B228,'BLS Data Series'!$B$11:$M$11,0)+1)</f>
        <v>9.8000000000000007</v>
      </c>
      <c r="H228">
        <f>VLOOKUP(A228,'Houses for sale'!$B$10:$I$671,8,FALSE)</f>
        <v>195</v>
      </c>
      <c r="I228">
        <f>VLOOKUP(A228,'House starts'!$A$12:$B$325,2,FALSE)</f>
        <v>545</v>
      </c>
      <c r="J228">
        <f>VLOOKUP(A228,'New house sales'!$A$13:$C$324,3,FALSE)</f>
        <v>219600</v>
      </c>
      <c r="K228">
        <f>VLOOKUP($A228,'Sreenath''s data'!$A$2:$F$313,3,FALSE)</f>
        <v>141.81399999999999</v>
      </c>
      <c r="L228">
        <f>VLOOKUP($A228,'Sreenath''s data'!$A$2:$F$313,4,FALSE)</f>
        <v>7111.1</v>
      </c>
      <c r="M228">
        <f>VLOOKUP($A228,'Sreenath''s data'!$A$2:$F$313,5,FALSE)</f>
        <v>112403</v>
      </c>
      <c r="N228">
        <f>VLOOKUP($A228,'Sreenath''s data'!$A$2:$F$313,6,FALSE)</f>
        <v>100.12325025210301</v>
      </c>
      <c r="O228">
        <f>VLOOKUP($A228,'Niteesh''s data'!$A$2:$I$313,3,FALSE)</f>
        <v>1185.709961</v>
      </c>
      <c r="P228">
        <f>VLOOKUP($A228,'Niteesh''s data'!$A$2:$I$313,4,FALSE)</f>
        <v>1227.079956</v>
      </c>
      <c r="Q228">
        <f>VLOOKUP($A228,'Niteesh''s data'!$A$2:$I$313,5,FALSE)</f>
        <v>1173</v>
      </c>
      <c r="R228">
        <f>VLOOKUP($A228,'Niteesh''s data'!$A$2:$I$313,6,FALSE)</f>
        <v>1180.5500489999999</v>
      </c>
      <c r="S228">
        <f>VLOOKUP($A228,'Niteesh''s data'!$A$2:$I$313,7,FALSE)</f>
        <v>1180.5500489999999</v>
      </c>
      <c r="T228">
        <f>VLOOKUP($A228,'Niteesh''s data'!$A$2:$I$313,8,FALSE)</f>
        <v>87151070000</v>
      </c>
      <c r="U228" s="61">
        <f>VLOOKUP($A228,'Niteesh''s data'!$A$2:$I$313,9,FALSE)</f>
        <v>1.6500000000000001E-2</v>
      </c>
      <c r="V228">
        <f>VLOOKUP(A228,'Existing home Sales'!$A$2:$C$324,3,FALSE)</f>
        <v>4.43</v>
      </c>
      <c r="W228" s="8">
        <v>2</v>
      </c>
      <c r="X228">
        <f>IFERROR(VLOOKUP(A228,'Home Depot Gross Profit'!$A$1:$B$105,2,FALSE)/3,IF(W228=2,X227,X227))</f>
        <v>1895</v>
      </c>
      <c r="Y228">
        <f>IFERROR(VLOOKUP(A228,'LOWE''S GROSS PROFIT'!$A$1:$B$105,2,FALSE)/3,IF(X228=2,Y227/3,Y227))</f>
        <v>1353.6666666666667</v>
      </c>
      <c r="Z228" s="8">
        <v>4.3149999999999897</v>
      </c>
      <c r="AA228">
        <v>5506</v>
      </c>
      <c r="AB228">
        <f>VLOOKUP(A228,'[1]Fed_Int (1)'!$A$2:$B$316,2,FALSE)</f>
        <v>0.19</v>
      </c>
      <c r="AC228" s="8">
        <v>31</v>
      </c>
      <c r="AD228" s="8">
        <v>32.82</v>
      </c>
      <c r="AE228" s="8">
        <v>29.98</v>
      </c>
      <c r="AF228" s="8">
        <v>30.209999</v>
      </c>
      <c r="AG228" s="8">
        <v>25.480689999999999</v>
      </c>
      <c r="AH228" s="8">
        <v>285015300</v>
      </c>
      <c r="AI228" s="8">
        <v>21.309999000000001</v>
      </c>
      <c r="AJ228" s="8">
        <v>22.9</v>
      </c>
      <c r="AK228" s="8">
        <v>21.09</v>
      </c>
      <c r="AL228" s="8">
        <v>22.700001</v>
      </c>
      <c r="AM228" s="8">
        <v>19.920705999999999</v>
      </c>
      <c r="AN228" s="8">
        <v>261230500</v>
      </c>
    </row>
    <row r="229" spans="1:40" x14ac:dyDescent="0.35">
      <c r="A229" s="1">
        <v>40513</v>
      </c>
      <c r="B229" s="13">
        <f t="shared" si="6"/>
        <v>12</v>
      </c>
      <c r="C229" s="13">
        <f t="shared" si="7"/>
        <v>2010</v>
      </c>
      <c r="D229" s="2">
        <v>22155</v>
      </c>
      <c r="E229">
        <f>VLOOKUP(A229,PSR!$A$12:$B$721,2,FALSE)</f>
        <v>5.9</v>
      </c>
      <c r="F229">
        <f>VLOOKUP(A229,CCI_USA!$F$2:$H$317,3,FALSE)</f>
        <v>98.469449999999995</v>
      </c>
      <c r="G229">
        <f>INDEX('BLS Data Series'!$A$11:$M$39,MATCH('UI Datathon Development'!C229,'BLS Data Series'!$A$13:$A$39,0)+2,MATCH('UI Datathon Development'!B229,'BLS Data Series'!$B$11:$M$11,0)+1)</f>
        <v>9.3000000000000007</v>
      </c>
      <c r="H229">
        <f>VLOOKUP(A229,'Houses for sale'!$B$10:$I$671,8,FALSE)</f>
        <v>190</v>
      </c>
      <c r="I229">
        <f>VLOOKUP(A229,'House starts'!$A$12:$B$325,2,FALSE)</f>
        <v>539</v>
      </c>
      <c r="J229">
        <f>VLOOKUP(A229,'New house sales'!$A$13:$C$324,3,FALSE)</f>
        <v>241200</v>
      </c>
      <c r="K229">
        <f>VLOOKUP($A229,'Sreenath''s data'!$A$2:$F$313,3,FALSE)</f>
        <v>140.63</v>
      </c>
      <c r="L229">
        <f>VLOOKUP($A229,'Sreenath''s data'!$A$2:$F$313,4,FALSE)</f>
        <v>7144.2</v>
      </c>
      <c r="M229">
        <f>VLOOKUP($A229,'Sreenath''s data'!$A$2:$F$313,5,FALSE)</f>
        <v>112434</v>
      </c>
      <c r="N229">
        <f>VLOOKUP($A229,'Sreenath''s data'!$A$2:$F$313,6,FALSE)</f>
        <v>100.229886833859</v>
      </c>
      <c r="O229">
        <f>VLOOKUP($A229,'Niteesh''s data'!$A$2:$I$313,3,FALSE)</f>
        <v>1186.599976</v>
      </c>
      <c r="P229">
        <f>VLOOKUP($A229,'Niteesh''s data'!$A$2:$I$313,4,FALSE)</f>
        <v>1262.599976</v>
      </c>
      <c r="Q229">
        <f>VLOOKUP($A229,'Niteesh''s data'!$A$2:$I$313,5,FALSE)</f>
        <v>1186.599976</v>
      </c>
      <c r="R229">
        <f>VLOOKUP($A229,'Niteesh''s data'!$A$2:$I$313,6,FALSE)</f>
        <v>1257.6400149999999</v>
      </c>
      <c r="S229">
        <f>VLOOKUP($A229,'Niteesh''s data'!$A$2:$I$313,7,FALSE)</f>
        <v>1257.6400149999999</v>
      </c>
      <c r="T229">
        <f>VLOOKUP($A229,'Niteesh''s data'!$A$2:$I$313,8,FALSE)</f>
        <v>80984530000</v>
      </c>
      <c r="U229" s="61">
        <f>VLOOKUP($A229,'Niteesh''s data'!$A$2:$I$313,9,FALSE)</f>
        <v>1.6299999999999999E-2</v>
      </c>
      <c r="V229">
        <f>VLOOKUP(A229,'Existing home Sales'!$A$2:$C$324,3,FALSE)</f>
        <v>4.68</v>
      </c>
      <c r="W229" s="8">
        <v>3</v>
      </c>
      <c r="X229">
        <f>IFERROR(VLOOKUP(A229,'Home Depot Gross Profit'!$A$1:$B$105,2,FALSE)/3,IF(W229=2,X228,X228))</f>
        <v>1895</v>
      </c>
      <c r="Y229">
        <f>IFERROR(VLOOKUP(A229,'LOWE''S GROSS PROFIT'!$A$1:$B$105,2,FALSE)/3,IF(X229=2,Y228/3,Y228))</f>
        <v>1353.6666666666667</v>
      </c>
      <c r="Z229" s="8">
        <v>4.8099999999999996</v>
      </c>
      <c r="AA229">
        <v>5467</v>
      </c>
      <c r="AB229">
        <f>VLOOKUP(A229,'[1]Fed_Int (1)'!$A$2:$B$316,2,FALSE)</f>
        <v>0.18</v>
      </c>
      <c r="AC229" s="8">
        <v>30.6</v>
      </c>
      <c r="AD229" s="8">
        <v>35.490001999999997</v>
      </c>
      <c r="AE229" s="8">
        <v>30.6</v>
      </c>
      <c r="AF229" s="8">
        <v>35.060001</v>
      </c>
      <c r="AG229" s="8">
        <v>29.800829</v>
      </c>
      <c r="AH229" s="8">
        <v>242106100</v>
      </c>
      <c r="AI229" s="8">
        <v>22.950001</v>
      </c>
      <c r="AJ229" s="8">
        <v>25.860001</v>
      </c>
      <c r="AK229" s="8">
        <v>22.950001</v>
      </c>
      <c r="AL229" s="8">
        <v>25.08</v>
      </c>
      <c r="AM229" s="8">
        <v>22.009302000000002</v>
      </c>
      <c r="AN229" s="8">
        <v>316630000</v>
      </c>
    </row>
    <row r="230" spans="1:40" x14ac:dyDescent="0.35">
      <c r="A230" s="1">
        <v>40544</v>
      </c>
      <c r="B230" s="13">
        <f t="shared" si="6"/>
        <v>1</v>
      </c>
      <c r="C230" s="13">
        <f t="shared" si="7"/>
        <v>2011</v>
      </c>
      <c r="D230" s="2">
        <v>21469</v>
      </c>
      <c r="E230">
        <f>VLOOKUP(A230,PSR!$A$12:$B$721,2,FALSE)</f>
        <v>6.3</v>
      </c>
      <c r="F230">
        <f>VLOOKUP(A230,CCI_USA!$F$2:$H$317,3,FALSE)</f>
        <v>98.576719999999995</v>
      </c>
      <c r="G230">
        <f>INDEX('BLS Data Series'!$A$11:$M$39,MATCH('UI Datathon Development'!C230,'BLS Data Series'!$A$13:$A$39,0)+2,MATCH('UI Datathon Development'!B230,'BLS Data Series'!$B$11:$M$11,0)+1)</f>
        <v>9.1</v>
      </c>
      <c r="H230">
        <f>VLOOKUP(A230,'Houses for sale'!$B$10:$I$671,8,FALSE)</f>
        <v>187</v>
      </c>
      <c r="I230">
        <f>VLOOKUP(A230,'House starts'!$A$12:$B$325,2,FALSE)</f>
        <v>630</v>
      </c>
      <c r="J230">
        <f>VLOOKUP(A230,'New house sales'!$A$13:$C$324,3,FALSE)</f>
        <v>240100</v>
      </c>
      <c r="K230">
        <f>VLOOKUP($A230,'Sreenath''s data'!$A$2:$F$313,3,FALSE)</f>
        <v>139.04300000000001</v>
      </c>
      <c r="L230">
        <f>VLOOKUP($A230,'Sreenath''s data'!$A$2:$F$313,4,FALSE)</f>
        <v>7174.2</v>
      </c>
      <c r="M230">
        <f>VLOOKUP($A230,'Sreenath''s data'!$A$2:$F$313,5,FALSE)</f>
        <v>112327</v>
      </c>
      <c r="N230">
        <f>VLOOKUP($A230,'Sreenath''s data'!$A$2:$F$313,6,FALSE)</f>
        <v>100.42925087801299</v>
      </c>
      <c r="O230">
        <f>VLOOKUP($A230,'Niteesh''s data'!$A$2:$I$313,3,FALSE)</f>
        <v>1257.619995</v>
      </c>
      <c r="P230">
        <f>VLOOKUP($A230,'Niteesh''s data'!$A$2:$I$313,4,FALSE)</f>
        <v>1302.670044</v>
      </c>
      <c r="Q230">
        <f>VLOOKUP($A230,'Niteesh''s data'!$A$2:$I$313,5,FALSE)</f>
        <v>1257.619995</v>
      </c>
      <c r="R230">
        <f>VLOOKUP($A230,'Niteesh''s data'!$A$2:$I$313,6,FALSE)</f>
        <v>1286.119995</v>
      </c>
      <c r="S230">
        <f>VLOOKUP($A230,'Niteesh''s data'!$A$2:$I$313,7,FALSE)</f>
        <v>1286.119995</v>
      </c>
      <c r="T230">
        <f>VLOOKUP($A230,'Niteesh''s data'!$A$2:$I$313,8,FALSE)</f>
        <v>92164940000</v>
      </c>
      <c r="U230" s="61">
        <f>VLOOKUP($A230,'Niteesh''s data'!$A$2:$I$313,9,FALSE)</f>
        <v>7.4999999999999997E-3</v>
      </c>
      <c r="V230">
        <f>VLOOKUP(A230,'Existing home Sales'!$A$2:$C$324,3,FALSE)</f>
        <v>5.28</v>
      </c>
      <c r="W230" s="8">
        <v>1</v>
      </c>
      <c r="X230">
        <f>IFERROR(VLOOKUP(A230,'Home Depot Gross Profit'!$A$1:$B$105,2,FALSE)/3,IF(W230=2,X229,X229))</f>
        <v>1747.6666666666667</v>
      </c>
      <c r="Y230">
        <f>IFERROR(VLOOKUP(A230,'LOWE''S GROSS PROFIT'!$A$1:$B$105,2,FALSE)/3,IF(X230=2,Y229/3,Y229))</f>
        <v>1242</v>
      </c>
      <c r="Z230" s="8">
        <v>4.7549999999999999</v>
      </c>
      <c r="AA230">
        <v>5427</v>
      </c>
      <c r="AB230">
        <f>VLOOKUP(A230,'[1]Fed_Int (1)'!$A$2:$B$316,2,FALSE)</f>
        <v>0.17</v>
      </c>
      <c r="AC230" s="8">
        <v>35.200001</v>
      </c>
      <c r="AD230" s="8">
        <v>38.119999</v>
      </c>
      <c r="AE230" s="8">
        <v>34.07</v>
      </c>
      <c r="AF230" s="8">
        <v>36.770000000000003</v>
      </c>
      <c r="AG230" s="8">
        <v>31.254332999999999</v>
      </c>
      <c r="AH230" s="8">
        <v>229405900</v>
      </c>
      <c r="AI230" s="8">
        <v>25.209999</v>
      </c>
      <c r="AJ230" s="8">
        <v>26.290001</v>
      </c>
      <c r="AK230" s="8">
        <v>23.540001</v>
      </c>
      <c r="AL230" s="8">
        <v>24.799999</v>
      </c>
      <c r="AM230" s="8">
        <v>21.763586</v>
      </c>
      <c r="AN230" s="8">
        <v>232107000</v>
      </c>
    </row>
    <row r="231" spans="1:40" x14ac:dyDescent="0.35">
      <c r="A231" s="1">
        <v>40575</v>
      </c>
      <c r="B231" s="13">
        <f t="shared" si="6"/>
        <v>2</v>
      </c>
      <c r="C231" s="13">
        <f t="shared" si="7"/>
        <v>2011</v>
      </c>
      <c r="D231" s="2">
        <v>21196</v>
      </c>
      <c r="E231">
        <f>VLOOKUP(A231,PSR!$A$12:$B$721,2,FALSE)</f>
        <v>6.4</v>
      </c>
      <c r="F231">
        <f>VLOOKUP(A231,CCI_USA!$F$2:$H$317,3,FALSE)</f>
        <v>98.528120000000001</v>
      </c>
      <c r="G231">
        <f>INDEX('BLS Data Series'!$A$11:$M$39,MATCH('UI Datathon Development'!C231,'BLS Data Series'!$A$13:$A$39,0)+2,MATCH('UI Datathon Development'!B231,'BLS Data Series'!$B$11:$M$11,0)+1)</f>
        <v>9</v>
      </c>
      <c r="H231">
        <f>VLOOKUP(A231,'Houses for sale'!$B$10:$I$671,8,FALSE)</f>
        <v>183</v>
      </c>
      <c r="I231">
        <f>VLOOKUP(A231,'House starts'!$A$12:$B$325,2,FALSE)</f>
        <v>517</v>
      </c>
      <c r="J231">
        <f>VLOOKUP(A231,'New house sales'!$A$13:$C$324,3,FALSE)</f>
        <v>220100</v>
      </c>
      <c r="K231">
        <f>VLOOKUP($A231,'Sreenath''s data'!$A$2:$F$313,3,FALSE)</f>
        <v>137.74</v>
      </c>
      <c r="L231">
        <f>VLOOKUP($A231,'Sreenath''s data'!$A$2:$F$313,4,FALSE)</f>
        <v>7190.3</v>
      </c>
      <c r="M231">
        <f>VLOOKUP($A231,'Sreenath''s data'!$A$2:$F$313,5,FALSE)</f>
        <v>112219</v>
      </c>
      <c r="N231">
        <f>VLOOKUP($A231,'Sreenath''s data'!$A$2:$F$313,6,FALSE)</f>
        <v>100.598864861314</v>
      </c>
      <c r="O231">
        <f>VLOOKUP($A231,'Niteesh''s data'!$A$2:$I$313,3,FALSE)</f>
        <v>1289.1400149999999</v>
      </c>
      <c r="P231">
        <f>VLOOKUP($A231,'Niteesh''s data'!$A$2:$I$313,4,FALSE)</f>
        <v>1344.0699460000001</v>
      </c>
      <c r="Q231">
        <f>VLOOKUP($A231,'Niteesh''s data'!$A$2:$I$313,5,FALSE)</f>
        <v>1289.1400149999999</v>
      </c>
      <c r="R231">
        <f>VLOOKUP($A231,'Niteesh''s data'!$A$2:$I$313,6,FALSE)</f>
        <v>1327.219971</v>
      </c>
      <c r="S231">
        <f>VLOOKUP($A231,'Niteesh''s data'!$A$2:$I$313,7,FALSE)</f>
        <v>1327.219971</v>
      </c>
      <c r="T231">
        <f>VLOOKUP($A231,'Niteesh''s data'!$A$2:$I$313,8,FALSE)</f>
        <v>59223660000</v>
      </c>
      <c r="U231" s="61">
        <f>VLOOKUP($A231,'Niteesh''s data'!$A$2:$I$313,9,FALSE)</f>
        <v>7.4999999999999997E-3</v>
      </c>
      <c r="V231">
        <f>VLOOKUP(A231,'Existing home Sales'!$A$2:$C$324,3,FALSE)</f>
        <v>5.36</v>
      </c>
      <c r="W231" s="8">
        <v>2</v>
      </c>
      <c r="X231">
        <f>IFERROR(VLOOKUP(A231,'Home Depot Gross Profit'!$A$1:$B$105,2,FALSE)/3,IF(W231=2,X230,X230))</f>
        <v>1747.6666666666667</v>
      </c>
      <c r="Y231">
        <f>IFERROR(VLOOKUP(A231,'LOWE''S GROSS PROFIT'!$A$1:$B$105,2,FALSE)/3,IF(X231=2,Y230/3,Y230))</f>
        <v>1242</v>
      </c>
      <c r="Z231" s="8">
        <v>4.9749999999999996</v>
      </c>
      <c r="AA231">
        <v>5451</v>
      </c>
      <c r="AB231">
        <f>VLOOKUP(A231,'[1]Fed_Int (1)'!$A$2:$B$316,2,FALSE)</f>
        <v>0.16</v>
      </c>
      <c r="AC231" s="8">
        <v>36.939999</v>
      </c>
      <c r="AD231" s="8">
        <v>39.380001</v>
      </c>
      <c r="AE231" s="8">
        <v>36.380001</v>
      </c>
      <c r="AF231" s="8">
        <v>37.470001000000003</v>
      </c>
      <c r="AG231" s="8">
        <v>31.849321</v>
      </c>
      <c r="AH231" s="8">
        <v>174726800</v>
      </c>
      <c r="AI231" s="8">
        <v>24.889999</v>
      </c>
      <c r="AJ231" s="8">
        <v>26.610001</v>
      </c>
      <c r="AK231" s="8">
        <v>24.129999000000002</v>
      </c>
      <c r="AL231" s="8">
        <v>26.17</v>
      </c>
      <c r="AM231" s="8">
        <v>23.069217999999999</v>
      </c>
      <c r="AN231" s="8">
        <v>268242400</v>
      </c>
    </row>
    <row r="232" spans="1:40" x14ac:dyDescent="0.35">
      <c r="A232" s="1">
        <v>40603</v>
      </c>
      <c r="B232" s="13">
        <f t="shared" si="6"/>
        <v>3</v>
      </c>
      <c r="C232" s="13">
        <f t="shared" si="7"/>
        <v>2011</v>
      </c>
      <c r="D232" s="2">
        <v>21880</v>
      </c>
      <c r="E232">
        <f>VLOOKUP(A232,PSR!$A$12:$B$721,2,FALSE)</f>
        <v>6.1</v>
      </c>
      <c r="F232">
        <f>VLOOKUP(A232,CCI_USA!$F$2:$H$317,3,FALSE)</f>
        <v>98.286789999999996</v>
      </c>
      <c r="G232">
        <f>INDEX('BLS Data Series'!$A$11:$M$39,MATCH('UI Datathon Development'!C232,'BLS Data Series'!$A$13:$A$39,0)+2,MATCH('UI Datathon Development'!B232,'BLS Data Series'!$B$11:$M$11,0)+1)</f>
        <v>9</v>
      </c>
      <c r="H232">
        <f>VLOOKUP(A232,'Houses for sale'!$B$10:$I$671,8,FALSE)</f>
        <v>179</v>
      </c>
      <c r="I232">
        <f>VLOOKUP(A232,'House starts'!$A$12:$B$325,2,FALSE)</f>
        <v>600</v>
      </c>
      <c r="J232">
        <f>VLOOKUP(A232,'New house sales'!$A$13:$C$324,3,FALSE)</f>
        <v>220500</v>
      </c>
      <c r="K232">
        <f>VLOOKUP($A232,'Sreenath''s data'!$A$2:$F$313,3,FALSE)</f>
        <v>137.79</v>
      </c>
      <c r="L232">
        <f>VLOOKUP($A232,'Sreenath''s data'!$A$2:$F$313,4,FALSE)</f>
        <v>7208.3</v>
      </c>
      <c r="M232">
        <f>VLOOKUP($A232,'Sreenath''s data'!$A$2:$F$313,5,FALSE)</f>
        <v>111946</v>
      </c>
      <c r="N232">
        <f>VLOOKUP($A232,'Sreenath''s data'!$A$2:$F$313,6,FALSE)</f>
        <v>100.776978862002</v>
      </c>
      <c r="O232">
        <f>VLOOKUP($A232,'Niteesh''s data'!$A$2:$I$313,3,FALSE)</f>
        <v>1328.6400149999999</v>
      </c>
      <c r="P232">
        <f>VLOOKUP($A232,'Niteesh''s data'!$A$2:$I$313,4,FALSE)</f>
        <v>1332.280029</v>
      </c>
      <c r="Q232">
        <f>VLOOKUP($A232,'Niteesh''s data'!$A$2:$I$313,5,FALSE)</f>
        <v>1249.0500489999999</v>
      </c>
      <c r="R232">
        <f>VLOOKUP($A232,'Niteesh''s data'!$A$2:$I$313,6,FALSE)</f>
        <v>1325.829956</v>
      </c>
      <c r="S232">
        <f>VLOOKUP($A232,'Niteesh''s data'!$A$2:$I$313,7,FALSE)</f>
        <v>1325.829956</v>
      </c>
      <c r="T232">
        <f>VLOOKUP($A232,'Niteesh''s data'!$A$2:$I$313,8,FALSE)</f>
        <v>89507640000</v>
      </c>
      <c r="U232" s="61">
        <f>VLOOKUP($A232,'Niteesh''s data'!$A$2:$I$313,9,FALSE)</f>
        <v>7.4000000000000003E-3</v>
      </c>
      <c r="V232">
        <f>VLOOKUP(A232,'Existing home Sales'!$A$2:$C$324,3,FALSE)</f>
        <v>4.88</v>
      </c>
      <c r="W232" s="8">
        <v>3</v>
      </c>
      <c r="X232">
        <f>IFERROR(VLOOKUP(A232,'Home Depot Gross Profit'!$A$1:$B$105,2,FALSE)/3,IF(W232=2,X231,X231))</f>
        <v>1747.6666666666667</v>
      </c>
      <c r="Y232">
        <f>IFERROR(VLOOKUP(A232,'LOWE''S GROSS PROFIT'!$A$1:$B$105,2,FALSE)/3,IF(X232=2,Y231/3,Y231))</f>
        <v>1242</v>
      </c>
      <c r="Z232" s="8">
        <v>4.8600000000000003</v>
      </c>
      <c r="AA232">
        <v>5477</v>
      </c>
      <c r="AB232">
        <f>VLOOKUP(A232,'[1]Fed_Int (1)'!$A$2:$B$316,2,FALSE)</f>
        <v>0.14000000000000001</v>
      </c>
      <c r="AC232" s="8">
        <v>37.139999000000003</v>
      </c>
      <c r="AD232" s="8">
        <v>37.860000999999997</v>
      </c>
      <c r="AE232" s="8">
        <v>35.43</v>
      </c>
      <c r="AF232" s="8">
        <v>37.060001</v>
      </c>
      <c r="AG232" s="8">
        <v>31.500820000000001</v>
      </c>
      <c r="AH232" s="8">
        <v>225764900</v>
      </c>
      <c r="AI232" s="8">
        <v>26.35</v>
      </c>
      <c r="AJ232" s="8">
        <v>27.450001</v>
      </c>
      <c r="AK232" s="8">
        <v>25.24</v>
      </c>
      <c r="AL232" s="8">
        <v>26.43</v>
      </c>
      <c r="AM232" s="8">
        <v>23.298404999999999</v>
      </c>
      <c r="AN232" s="8">
        <v>302441000</v>
      </c>
    </row>
    <row r="233" spans="1:40" x14ac:dyDescent="0.35">
      <c r="A233" s="1">
        <v>40634</v>
      </c>
      <c r="B233" s="13">
        <f t="shared" si="6"/>
        <v>4</v>
      </c>
      <c r="C233" s="13">
        <f t="shared" si="7"/>
        <v>2011</v>
      </c>
      <c r="D233" s="2">
        <v>22050</v>
      </c>
      <c r="E233">
        <f>VLOOKUP(A233,PSR!$A$12:$B$721,2,FALSE)</f>
        <v>5.8</v>
      </c>
      <c r="F233">
        <f>VLOOKUP(A233,CCI_USA!$F$2:$H$317,3,FALSE)</f>
        <v>98.228920000000002</v>
      </c>
      <c r="G233">
        <f>INDEX('BLS Data Series'!$A$11:$M$39,MATCH('UI Datathon Development'!C233,'BLS Data Series'!$A$13:$A$39,0)+2,MATCH('UI Datathon Development'!B233,'BLS Data Series'!$B$11:$M$11,0)+1)</f>
        <v>9.1</v>
      </c>
      <c r="H233">
        <f>VLOOKUP(A233,'Houses for sale'!$B$10:$I$671,8,FALSE)</f>
        <v>173</v>
      </c>
      <c r="I233">
        <f>VLOOKUP(A233,'House starts'!$A$12:$B$325,2,FALSE)</f>
        <v>554</v>
      </c>
      <c r="J233">
        <f>VLOOKUP(A233,'New house sales'!$A$13:$C$324,3,FALSE)</f>
        <v>224700</v>
      </c>
      <c r="K233">
        <f>VLOOKUP($A233,'Sreenath''s data'!$A$2:$F$313,3,FALSE)</f>
        <v>139.154</v>
      </c>
      <c r="L233">
        <f>VLOOKUP($A233,'Sreenath''s data'!$A$2:$F$313,4,FALSE)</f>
        <v>7153.1</v>
      </c>
      <c r="M233">
        <f>VLOOKUP($A233,'Sreenath''s data'!$A$2:$F$313,5,FALSE)</f>
        <v>112382</v>
      </c>
      <c r="N233">
        <f>VLOOKUP($A233,'Sreenath''s data'!$A$2:$F$313,6,FALSE)</f>
        <v>100.826819873041</v>
      </c>
      <c r="O233">
        <f>VLOOKUP($A233,'Niteesh''s data'!$A$2:$I$313,3,FALSE)</f>
        <v>1329.4799800000001</v>
      </c>
      <c r="P233">
        <f>VLOOKUP($A233,'Niteesh''s data'!$A$2:$I$313,4,FALSE)</f>
        <v>1364.5600589999999</v>
      </c>
      <c r="Q233">
        <f>VLOOKUP($A233,'Niteesh''s data'!$A$2:$I$313,5,FALSE)</f>
        <v>1294.6999510000001</v>
      </c>
      <c r="R233">
        <f>VLOOKUP($A233,'Niteesh''s data'!$A$2:$I$313,6,FALSE)</f>
        <v>1363.6099850000001</v>
      </c>
      <c r="S233">
        <f>VLOOKUP($A233,'Niteesh''s data'!$A$2:$I$313,7,FALSE)</f>
        <v>1363.6099850000001</v>
      </c>
      <c r="T233">
        <f>VLOOKUP($A233,'Niteesh''s data'!$A$2:$I$313,8,FALSE)</f>
        <v>77364810000</v>
      </c>
      <c r="U233" s="61">
        <f>VLOOKUP($A233,'Niteesh''s data'!$A$2:$I$313,9,FALSE)</f>
        <v>7.4999999999999997E-3</v>
      </c>
      <c r="V233">
        <f>VLOOKUP(A233,'Existing home Sales'!$A$2:$C$324,3,FALSE)</f>
        <v>5.0999999999999996</v>
      </c>
      <c r="W233" s="8">
        <v>1</v>
      </c>
      <c r="X233">
        <f>IFERROR(VLOOKUP(A233,'Home Depot Gross Profit'!$A$1:$B$105,2,FALSE)/3,IF(W233=2,X232,X232))</f>
        <v>1942.6666666666667</v>
      </c>
      <c r="Y233">
        <f>IFERROR(VLOOKUP(A233,'LOWE''S GROSS PROFIT'!$A$1:$B$105,2,FALSE)/3,IF(X233=2,Y232/3,Y232))</f>
        <v>1439.6666666666667</v>
      </c>
      <c r="Z233" s="8">
        <v>4.835</v>
      </c>
      <c r="AA233">
        <v>5485</v>
      </c>
      <c r="AB233">
        <f>VLOOKUP(A233,'[1]Fed_Int (1)'!$A$2:$B$316,2,FALSE)</f>
        <v>0.1</v>
      </c>
      <c r="AC233" s="8">
        <v>37.119999</v>
      </c>
      <c r="AD233" s="8">
        <v>38.509998000000003</v>
      </c>
      <c r="AE233" s="8">
        <v>36.939999</v>
      </c>
      <c r="AF233" s="8">
        <v>37.150002000000001</v>
      </c>
      <c r="AG233" s="8">
        <v>31.792904</v>
      </c>
      <c r="AH233" s="8">
        <v>192754700</v>
      </c>
      <c r="AI233" s="8">
        <v>26.469999000000001</v>
      </c>
      <c r="AJ233" s="8">
        <v>27.33</v>
      </c>
      <c r="AK233" s="8">
        <v>25.91</v>
      </c>
      <c r="AL233" s="8">
        <v>26.25</v>
      </c>
      <c r="AM233" s="8">
        <v>23.13973</v>
      </c>
      <c r="AN233" s="8">
        <v>202017900</v>
      </c>
    </row>
    <row r="234" spans="1:40" x14ac:dyDescent="0.35">
      <c r="A234" s="1">
        <v>40664</v>
      </c>
      <c r="B234" s="13">
        <f t="shared" si="6"/>
        <v>5</v>
      </c>
      <c r="C234" s="13">
        <f t="shared" si="7"/>
        <v>2011</v>
      </c>
      <c r="D234" s="2">
        <v>22311</v>
      </c>
      <c r="E234">
        <f>VLOOKUP(A234,PSR!$A$12:$B$721,2,FALSE)</f>
        <v>5.9</v>
      </c>
      <c r="F234">
        <f>VLOOKUP(A234,CCI_USA!$F$2:$H$317,3,FALSE)</f>
        <v>98.213369999999998</v>
      </c>
      <c r="G234">
        <f>INDEX('BLS Data Series'!$A$11:$M$39,MATCH('UI Datathon Development'!C234,'BLS Data Series'!$A$13:$A$39,0)+2,MATCH('UI Datathon Development'!B234,'BLS Data Series'!$B$11:$M$11,0)+1)</f>
        <v>9</v>
      </c>
      <c r="H234">
        <f>VLOOKUP(A234,'Houses for sale'!$B$10:$I$671,8,FALSE)</f>
        <v>168</v>
      </c>
      <c r="I234">
        <f>VLOOKUP(A234,'House starts'!$A$12:$B$325,2,FALSE)</f>
        <v>561</v>
      </c>
      <c r="J234">
        <f>VLOOKUP(A234,'New house sales'!$A$13:$C$324,3,FALSE)</f>
        <v>222000</v>
      </c>
      <c r="K234">
        <f>VLOOKUP($A234,'Sreenath''s data'!$A$2:$F$313,3,FALSE)</f>
        <v>140.684</v>
      </c>
      <c r="L234">
        <f>VLOOKUP($A234,'Sreenath''s data'!$A$2:$F$313,4,FALSE)</f>
        <v>7223.3</v>
      </c>
      <c r="M234">
        <f>VLOOKUP($A234,'Sreenath''s data'!$A$2:$F$313,5,FALSE)</f>
        <v>112573</v>
      </c>
      <c r="N234">
        <f>VLOOKUP($A234,'Sreenath''s data'!$A$2:$F$313,6,FALSE)</f>
        <v>100.946206480877</v>
      </c>
      <c r="O234">
        <f>VLOOKUP($A234,'Niteesh''s data'!$A$2:$I$313,3,FALSE)</f>
        <v>1365.209961</v>
      </c>
      <c r="P234">
        <f>VLOOKUP($A234,'Niteesh''s data'!$A$2:$I$313,4,FALSE)</f>
        <v>1370.579956</v>
      </c>
      <c r="Q234">
        <f>VLOOKUP($A234,'Niteesh''s data'!$A$2:$I$313,5,FALSE)</f>
        <v>1311.8000489999999</v>
      </c>
      <c r="R234">
        <f>VLOOKUP($A234,'Niteesh''s data'!$A$2:$I$313,6,FALSE)</f>
        <v>1345.1999510000001</v>
      </c>
      <c r="S234">
        <f>VLOOKUP($A234,'Niteesh''s data'!$A$2:$I$313,7,FALSE)</f>
        <v>1345.1999510000001</v>
      </c>
      <c r="T234">
        <f>VLOOKUP($A234,'Niteesh''s data'!$A$2:$I$313,8,FALSE)</f>
        <v>81708980000</v>
      </c>
      <c r="U234" s="61">
        <f>VLOOKUP($A234,'Niteesh''s data'!$A$2:$I$313,9,FALSE)</f>
        <v>7.4000000000000003E-3</v>
      </c>
      <c r="V234">
        <f>VLOOKUP(A234,'Existing home Sales'!$A$2:$C$324,3,FALSE)</f>
        <v>5.05</v>
      </c>
      <c r="W234" s="8">
        <v>2</v>
      </c>
      <c r="X234">
        <f>IFERROR(VLOOKUP(A234,'Home Depot Gross Profit'!$A$1:$B$105,2,FALSE)/3,IF(W234=2,X233,X233))</f>
        <v>1942.6666666666667</v>
      </c>
      <c r="Y234">
        <f>IFERROR(VLOOKUP(A234,'LOWE''S GROSS PROFIT'!$A$1:$B$105,2,FALSE)/3,IF(X234=2,Y233/3,Y233))</f>
        <v>1439.6666666666667</v>
      </c>
      <c r="Z234" s="8">
        <v>4.62</v>
      </c>
      <c r="AA234">
        <v>5516</v>
      </c>
      <c r="AB234">
        <f>VLOOKUP(A234,'[1]Fed_Int (1)'!$A$2:$B$316,2,FALSE)</f>
        <v>0.09</v>
      </c>
      <c r="AC234" s="8">
        <v>37.439999</v>
      </c>
      <c r="AD234" s="8">
        <v>37.939999</v>
      </c>
      <c r="AE234" s="8">
        <v>35.909999999999997</v>
      </c>
      <c r="AF234" s="8">
        <v>36.279998999999997</v>
      </c>
      <c r="AG234" s="8">
        <v>31.048349000000002</v>
      </c>
      <c r="AH234" s="8">
        <v>205928600</v>
      </c>
      <c r="AI234" s="8">
        <v>26.379999000000002</v>
      </c>
      <c r="AJ234" s="8">
        <v>26.6</v>
      </c>
      <c r="AK234" s="8">
        <v>24.049999</v>
      </c>
      <c r="AL234" s="8">
        <v>24.139999</v>
      </c>
      <c r="AM234" s="8">
        <v>21.366627000000001</v>
      </c>
      <c r="AN234" s="8">
        <v>306835300</v>
      </c>
    </row>
    <row r="235" spans="1:40" x14ac:dyDescent="0.35">
      <c r="A235" s="1">
        <v>40695</v>
      </c>
      <c r="B235" s="13">
        <f t="shared" si="6"/>
        <v>6</v>
      </c>
      <c r="C235" s="13">
        <f t="shared" si="7"/>
        <v>2011</v>
      </c>
      <c r="D235" s="2">
        <v>22745</v>
      </c>
      <c r="E235">
        <f>VLOOKUP(A235,PSR!$A$12:$B$721,2,FALSE)</f>
        <v>6.1</v>
      </c>
      <c r="F235">
        <f>VLOOKUP(A235,CCI_USA!$F$2:$H$317,3,FALSE)</f>
        <v>97.908969999999997</v>
      </c>
      <c r="G235">
        <f>INDEX('BLS Data Series'!$A$11:$M$39,MATCH('UI Datathon Development'!C235,'BLS Data Series'!$A$13:$A$39,0)+2,MATCH('UI Datathon Development'!B235,'BLS Data Series'!$B$11:$M$11,0)+1)</f>
        <v>9.1</v>
      </c>
      <c r="H235">
        <f>VLOOKUP(A235,'Houses for sale'!$B$10:$I$671,8,FALSE)</f>
        <v>166</v>
      </c>
      <c r="I235">
        <f>VLOOKUP(A235,'House starts'!$A$12:$B$325,2,FALSE)</f>
        <v>608</v>
      </c>
      <c r="J235">
        <f>VLOOKUP(A235,'New house sales'!$A$13:$C$324,3,FALSE)</f>
        <v>240200</v>
      </c>
      <c r="K235">
        <f>VLOOKUP($A235,'Sreenath''s data'!$A$2:$F$313,3,FALSE)</f>
        <v>141.935</v>
      </c>
      <c r="L235">
        <f>VLOOKUP($A235,'Sreenath''s data'!$A$2:$F$313,4,FALSE)</f>
        <v>7245.4</v>
      </c>
      <c r="M235">
        <f>VLOOKUP($A235,'Sreenath''s data'!$A$2:$F$313,5,FALSE)</f>
        <v>112464</v>
      </c>
      <c r="N235">
        <f>VLOOKUP($A235,'Sreenath''s data'!$A$2:$F$313,6,FALSE)</f>
        <v>101.218593401668</v>
      </c>
      <c r="O235">
        <f>VLOOKUP($A235,'Niteesh''s data'!$A$2:$I$313,3,FALSE)</f>
        <v>1345.1999510000001</v>
      </c>
      <c r="P235">
        <f>VLOOKUP($A235,'Niteesh''s data'!$A$2:$I$313,4,FALSE)</f>
        <v>1345.1999510000001</v>
      </c>
      <c r="Q235">
        <f>VLOOKUP($A235,'Niteesh''s data'!$A$2:$I$313,5,FALSE)</f>
        <v>1258.0699460000001</v>
      </c>
      <c r="R235">
        <f>VLOOKUP($A235,'Niteesh''s data'!$A$2:$I$313,6,FALSE)</f>
        <v>1320.6400149999999</v>
      </c>
      <c r="S235">
        <f>VLOOKUP($A235,'Niteesh''s data'!$A$2:$I$313,7,FALSE)</f>
        <v>1320.6400149999999</v>
      </c>
      <c r="T235">
        <f>VLOOKUP($A235,'Niteesh''s data'!$A$2:$I$313,8,FALSE)</f>
        <v>86122730000</v>
      </c>
      <c r="U235" s="61">
        <f>VLOOKUP($A235,'Niteesh''s data'!$A$2:$I$313,9,FALSE)</f>
        <v>7.4000000000000003E-3</v>
      </c>
      <c r="V235">
        <f>VLOOKUP(A235,'Existing home Sales'!$A$2:$C$324,3,FALSE)</f>
        <v>4.8099999999999996</v>
      </c>
      <c r="W235" s="8">
        <v>3</v>
      </c>
      <c r="X235">
        <f>IFERROR(VLOOKUP(A235,'Home Depot Gross Profit'!$A$1:$B$105,2,FALSE)/3,IF(W235=2,X234,X234))</f>
        <v>1942.6666666666667</v>
      </c>
      <c r="Y235">
        <f>IFERROR(VLOOKUP(A235,'LOWE''S GROSS PROFIT'!$A$1:$B$105,2,FALSE)/3,IF(X235=2,Y234/3,Y234))</f>
        <v>1439.6666666666667</v>
      </c>
      <c r="Z235" s="8">
        <v>4.5</v>
      </c>
      <c r="AA235">
        <v>5528</v>
      </c>
      <c r="AB235">
        <f>VLOOKUP(A235,'[1]Fed_Int (1)'!$A$2:$B$316,2,FALSE)</f>
        <v>0.09</v>
      </c>
      <c r="AC235" s="8">
        <v>36.119999</v>
      </c>
      <c r="AD235" s="8">
        <v>36.310001</v>
      </c>
      <c r="AE235" s="8">
        <v>33.409999999999997</v>
      </c>
      <c r="AF235" s="8">
        <v>36.220001000000003</v>
      </c>
      <c r="AG235" s="8">
        <v>30.997004</v>
      </c>
      <c r="AH235" s="8">
        <v>267621000</v>
      </c>
      <c r="AI235" s="8">
        <v>24.09</v>
      </c>
      <c r="AJ235" s="8">
        <v>24.16</v>
      </c>
      <c r="AK235" s="8">
        <v>22.030000999999999</v>
      </c>
      <c r="AL235" s="8">
        <v>23.309999000000001</v>
      </c>
      <c r="AM235" s="8">
        <v>20.631986999999999</v>
      </c>
      <c r="AN235" s="8">
        <v>393783000</v>
      </c>
    </row>
    <row r="236" spans="1:40" x14ac:dyDescent="0.35">
      <c r="A236" s="1">
        <v>40725</v>
      </c>
      <c r="B236" s="13">
        <f t="shared" si="6"/>
        <v>7</v>
      </c>
      <c r="C236" s="13">
        <f t="shared" si="7"/>
        <v>2011</v>
      </c>
      <c r="D236" s="2">
        <v>22762</v>
      </c>
      <c r="E236">
        <f>VLOOKUP(A236,PSR!$A$12:$B$721,2,FALSE)</f>
        <v>6.2</v>
      </c>
      <c r="F236">
        <f>VLOOKUP(A236,CCI_USA!$F$2:$H$317,3,FALSE)</f>
        <v>97.337429999999998</v>
      </c>
      <c r="G236">
        <f>INDEX('BLS Data Series'!$A$11:$M$39,MATCH('UI Datathon Development'!C236,'BLS Data Series'!$A$13:$A$39,0)+2,MATCH('UI Datathon Development'!B236,'BLS Data Series'!$B$11:$M$11,0)+1)</f>
        <v>9</v>
      </c>
      <c r="H236">
        <f>VLOOKUP(A236,'Houses for sale'!$B$10:$I$671,8,FALSE)</f>
        <v>166</v>
      </c>
      <c r="I236">
        <f>VLOOKUP(A236,'House starts'!$A$12:$B$325,2,FALSE)</f>
        <v>623</v>
      </c>
      <c r="J236">
        <f>VLOOKUP(A236,'New house sales'!$A$13:$C$324,3,FALSE)</f>
        <v>229900</v>
      </c>
      <c r="K236">
        <f>VLOOKUP($A236,'Sreenath''s data'!$A$2:$F$313,3,FALSE)</f>
        <v>142.328</v>
      </c>
      <c r="L236">
        <f>VLOOKUP($A236,'Sreenath''s data'!$A$2:$F$313,4,FALSE)</f>
        <v>7259.9</v>
      </c>
      <c r="M236">
        <f>VLOOKUP($A236,'Sreenath''s data'!$A$2:$F$313,5,FALSE)</f>
        <v>113269</v>
      </c>
      <c r="N236">
        <f>VLOOKUP($A236,'Sreenath''s data'!$A$2:$F$313,6,FALSE)</f>
        <v>101.51609401019201</v>
      </c>
      <c r="O236">
        <f>VLOOKUP($A236,'Niteesh''s data'!$A$2:$I$313,3,FALSE)</f>
        <v>1320.6400149999999</v>
      </c>
      <c r="P236">
        <f>VLOOKUP($A236,'Niteesh''s data'!$A$2:$I$313,4,FALSE)</f>
        <v>1356.4799800000001</v>
      </c>
      <c r="Q236">
        <f>VLOOKUP($A236,'Niteesh''s data'!$A$2:$I$313,5,FALSE)</f>
        <v>1282.8599850000001</v>
      </c>
      <c r="R236">
        <f>VLOOKUP($A236,'Niteesh''s data'!$A$2:$I$313,6,FALSE)</f>
        <v>1292.280029</v>
      </c>
      <c r="S236">
        <f>VLOOKUP($A236,'Niteesh''s data'!$A$2:$I$313,7,FALSE)</f>
        <v>1292.280029</v>
      </c>
      <c r="T236">
        <f>VLOOKUP($A236,'Niteesh''s data'!$A$2:$I$313,8,FALSE)</f>
        <v>81102170000</v>
      </c>
      <c r="U236" s="61">
        <f>VLOOKUP($A236,'Niteesh''s data'!$A$2:$I$313,9,FALSE)</f>
        <v>7.4000000000000003E-3</v>
      </c>
      <c r="V236">
        <f>VLOOKUP(A236,'Existing home Sales'!$A$2:$C$324,3,FALSE)</f>
        <v>4.7699999999999996</v>
      </c>
      <c r="W236" s="8">
        <v>1</v>
      </c>
      <c r="X236">
        <f>IFERROR(VLOOKUP(A236,'Home Depot Gross Profit'!$A$1:$B$105,2,FALSE)/3,IF(W236=2,X235,X235))</f>
        <v>2292</v>
      </c>
      <c r="Y236">
        <f>IFERROR(VLOOKUP(A236,'LOWE''S GROSS PROFIT'!$A$1:$B$105,2,FALSE)/3,IF(X236=2,Y235/3,Y235))</f>
        <v>1672</v>
      </c>
      <c r="Z236" s="8">
        <v>4.5350000000000001</v>
      </c>
      <c r="AA236">
        <v>5547</v>
      </c>
      <c r="AB236">
        <f>VLOOKUP(A236,'[1]Fed_Int (1)'!$A$2:$B$316,2,FALSE)</f>
        <v>7.0000000000000007E-2</v>
      </c>
      <c r="AC236" s="8">
        <v>36.290000999999997</v>
      </c>
      <c r="AD236" s="8">
        <v>37.25</v>
      </c>
      <c r="AE236" s="8">
        <v>34.630001</v>
      </c>
      <c r="AF236" s="8">
        <v>34.93</v>
      </c>
      <c r="AG236" s="8">
        <v>30.117722000000001</v>
      </c>
      <c r="AH236" s="8">
        <v>200066500</v>
      </c>
      <c r="AI236" s="8">
        <v>23.299999</v>
      </c>
      <c r="AJ236" s="8">
        <v>24.209999</v>
      </c>
      <c r="AK236" s="8">
        <v>21.309999000000001</v>
      </c>
      <c r="AL236" s="8">
        <v>21.58</v>
      </c>
      <c r="AM236" s="8">
        <v>19.100736999999999</v>
      </c>
      <c r="AN236" s="8">
        <v>253321700</v>
      </c>
    </row>
    <row r="237" spans="1:40" x14ac:dyDescent="0.35">
      <c r="A237" s="1">
        <v>40756</v>
      </c>
      <c r="B237" s="13">
        <f t="shared" si="6"/>
        <v>8</v>
      </c>
      <c r="C237" s="13">
        <f t="shared" si="7"/>
        <v>2011</v>
      </c>
      <c r="D237" s="2">
        <v>22752</v>
      </c>
      <c r="E237">
        <f>VLOOKUP(A237,PSR!$A$12:$B$721,2,FALSE)</f>
        <v>6.2</v>
      </c>
      <c r="F237">
        <f>VLOOKUP(A237,CCI_USA!$F$2:$H$317,3,FALSE)</f>
        <v>96.849580000000003</v>
      </c>
      <c r="G237">
        <f>INDEX('BLS Data Series'!$A$11:$M$39,MATCH('UI Datathon Development'!C237,'BLS Data Series'!$A$13:$A$39,0)+2,MATCH('UI Datathon Development'!B237,'BLS Data Series'!$B$11:$M$11,0)+1)</f>
        <v>9</v>
      </c>
      <c r="H237">
        <f>VLOOKUP(A237,'Houses for sale'!$B$10:$I$671,8,FALSE)</f>
        <v>162</v>
      </c>
      <c r="I237">
        <f>VLOOKUP(A237,'House starts'!$A$12:$B$325,2,FALSE)</f>
        <v>585</v>
      </c>
      <c r="J237">
        <f>VLOOKUP(A237,'New house sales'!$A$13:$C$324,3,FALSE)</f>
        <v>219600</v>
      </c>
      <c r="K237">
        <f>VLOOKUP($A237,'Sreenath''s data'!$A$2:$F$313,3,FALSE)</f>
        <v>141.77000000000001</v>
      </c>
      <c r="L237">
        <f>VLOOKUP($A237,'Sreenath''s data'!$A$2:$F$313,4,FALSE)</f>
        <v>7265.8</v>
      </c>
      <c r="M237">
        <f>VLOOKUP($A237,'Sreenath''s data'!$A$2:$F$313,5,FALSE)</f>
        <v>113529</v>
      </c>
      <c r="N237">
        <f>VLOOKUP($A237,'Sreenath''s data'!$A$2:$F$313,6,FALSE)</f>
        <v>101.67257160298701</v>
      </c>
      <c r="O237">
        <f>VLOOKUP($A237,'Niteesh''s data'!$A$2:$I$313,3,FALSE)</f>
        <v>1292.589966</v>
      </c>
      <c r="P237">
        <f>VLOOKUP($A237,'Niteesh''s data'!$A$2:$I$313,4,FALSE)</f>
        <v>1307.380005</v>
      </c>
      <c r="Q237">
        <f>VLOOKUP($A237,'Niteesh''s data'!$A$2:$I$313,5,FALSE)</f>
        <v>1101.540039</v>
      </c>
      <c r="R237">
        <f>VLOOKUP($A237,'Niteesh''s data'!$A$2:$I$313,6,FALSE)</f>
        <v>1218.8900149999999</v>
      </c>
      <c r="S237">
        <f>VLOOKUP($A237,'Niteesh''s data'!$A$2:$I$313,7,FALSE)</f>
        <v>1218.8900149999999</v>
      </c>
      <c r="T237">
        <f>VLOOKUP($A237,'Niteesh''s data'!$A$2:$I$313,8,FALSE)</f>
        <v>108000000000</v>
      </c>
      <c r="U237" s="61">
        <f>VLOOKUP($A237,'Niteesh''s data'!$A$2:$I$313,9,FALSE)</f>
        <v>7.4000000000000003E-3</v>
      </c>
      <c r="V237">
        <f>VLOOKUP(A237,'Existing home Sales'!$A$2:$C$324,3,FALSE)</f>
        <v>4.67</v>
      </c>
      <c r="W237" s="8">
        <v>2</v>
      </c>
      <c r="X237">
        <f>IFERROR(VLOOKUP(A237,'Home Depot Gross Profit'!$A$1:$B$105,2,FALSE)/3,IF(W237=2,X236,X236))</f>
        <v>2292</v>
      </c>
      <c r="Y237">
        <f>IFERROR(VLOOKUP(A237,'LOWE''S GROSS PROFIT'!$A$1:$B$105,2,FALSE)/3,IF(X237=2,Y236/3,Y236))</f>
        <v>1672</v>
      </c>
      <c r="Z237" s="8">
        <v>4.2699999999999996</v>
      </c>
      <c r="AA237">
        <v>5552</v>
      </c>
      <c r="AB237">
        <f>VLOOKUP(A237,'[1]Fed_Int (1)'!$A$2:$B$316,2,FALSE)</f>
        <v>0.1</v>
      </c>
      <c r="AC237" s="8">
        <v>35.07</v>
      </c>
      <c r="AD237" s="8">
        <v>35.07</v>
      </c>
      <c r="AE237" s="8">
        <v>28.129999000000002</v>
      </c>
      <c r="AF237" s="8">
        <v>33.380001</v>
      </c>
      <c r="AG237" s="8">
        <v>28.781262999999999</v>
      </c>
      <c r="AH237" s="8">
        <v>451102200</v>
      </c>
      <c r="AI237" s="8">
        <v>21.610001</v>
      </c>
      <c r="AJ237" s="8">
        <v>21.68</v>
      </c>
      <c r="AK237" s="8">
        <v>18.07</v>
      </c>
      <c r="AL237" s="8">
        <v>19.93</v>
      </c>
      <c r="AM237" s="8">
        <v>17.749006000000001</v>
      </c>
      <c r="AN237" s="8">
        <v>490155800</v>
      </c>
    </row>
    <row r="238" spans="1:40" x14ac:dyDescent="0.35">
      <c r="A238" s="1">
        <v>40787</v>
      </c>
      <c r="B238" s="13">
        <f t="shared" si="6"/>
        <v>9</v>
      </c>
      <c r="C238" s="13">
        <f t="shared" si="7"/>
        <v>2011</v>
      </c>
      <c r="D238" s="2">
        <v>22640</v>
      </c>
      <c r="E238">
        <f>VLOOKUP(A238,PSR!$A$12:$B$721,2,FALSE)</f>
        <v>5.7</v>
      </c>
      <c r="F238">
        <f>VLOOKUP(A238,CCI_USA!$F$2:$H$317,3,FALSE)</f>
        <v>96.783029999999997</v>
      </c>
      <c r="G238">
        <f>INDEX('BLS Data Series'!$A$11:$M$39,MATCH('UI Datathon Development'!C238,'BLS Data Series'!$A$13:$A$39,0)+2,MATCH('UI Datathon Development'!B238,'BLS Data Series'!$B$11:$M$11,0)+1)</f>
        <v>9</v>
      </c>
      <c r="H238">
        <f>VLOOKUP(A238,'Houses for sale'!$B$10:$I$671,8,FALSE)</f>
        <v>160</v>
      </c>
      <c r="I238">
        <f>VLOOKUP(A238,'House starts'!$A$12:$B$325,2,FALSE)</f>
        <v>650</v>
      </c>
      <c r="J238">
        <f>VLOOKUP(A238,'New house sales'!$A$13:$C$324,3,FALSE)</f>
        <v>217000</v>
      </c>
      <c r="K238">
        <f>VLOOKUP($A238,'Sreenath''s data'!$A$2:$F$313,3,FALSE)</f>
        <v>140.15299999999999</v>
      </c>
      <c r="L238">
        <f>VLOOKUP($A238,'Sreenath''s data'!$A$2:$F$313,4,FALSE)</f>
        <v>7289.4</v>
      </c>
      <c r="M238">
        <f>VLOOKUP($A238,'Sreenath''s data'!$A$2:$F$313,5,FALSE)</f>
        <v>113850</v>
      </c>
      <c r="N238">
        <f>VLOOKUP($A238,'Sreenath''s data'!$A$2:$F$313,6,FALSE)</f>
        <v>101.71082168122599</v>
      </c>
      <c r="O238">
        <f>VLOOKUP($A238,'Niteesh''s data'!$A$2:$I$313,3,FALSE)</f>
        <v>1219.119995</v>
      </c>
      <c r="P238">
        <f>VLOOKUP($A238,'Niteesh''s data'!$A$2:$I$313,4,FALSE)</f>
        <v>1229.290039</v>
      </c>
      <c r="Q238">
        <f>VLOOKUP($A238,'Niteesh''s data'!$A$2:$I$313,5,FALSE)</f>
        <v>1114.219971</v>
      </c>
      <c r="R238">
        <f>VLOOKUP($A238,'Niteesh''s data'!$A$2:$I$313,6,FALSE)</f>
        <v>1131.420044</v>
      </c>
      <c r="S238">
        <f>VLOOKUP($A238,'Niteesh''s data'!$A$2:$I$313,7,FALSE)</f>
        <v>1131.420044</v>
      </c>
      <c r="T238">
        <f>VLOOKUP($A238,'Niteesh''s data'!$A$2:$I$313,8,FALSE)</f>
        <v>103000000000</v>
      </c>
      <c r="U238" s="61">
        <f>VLOOKUP($A238,'Niteesh''s data'!$A$2:$I$313,9,FALSE)</f>
        <v>7.4000000000000003E-3</v>
      </c>
      <c r="V238">
        <f>VLOOKUP(A238,'Existing home Sales'!$A$2:$C$324,3,FALSE)</f>
        <v>5.03</v>
      </c>
      <c r="W238" s="8">
        <v>3</v>
      </c>
      <c r="X238">
        <f>IFERROR(VLOOKUP(A238,'Home Depot Gross Profit'!$A$1:$B$105,2,FALSE)/3,IF(W238=2,X237,X237))</f>
        <v>2292</v>
      </c>
      <c r="Y238">
        <f>IFERROR(VLOOKUP(A238,'LOWE''S GROSS PROFIT'!$A$1:$B$105,2,FALSE)/3,IF(X238=2,Y237/3,Y237))</f>
        <v>1672</v>
      </c>
      <c r="Z238" s="8">
        <v>4.09</v>
      </c>
      <c r="AA238">
        <v>5584</v>
      </c>
      <c r="AB238">
        <f>VLOOKUP(A238,'[1]Fed_Int (1)'!$A$2:$B$316,2,FALSE)</f>
        <v>0.08</v>
      </c>
      <c r="AC238" s="8">
        <v>33.529998999999997</v>
      </c>
      <c r="AD238" s="8">
        <v>35.330002</v>
      </c>
      <c r="AE238" s="8">
        <v>31.08</v>
      </c>
      <c r="AF238" s="8">
        <v>32.869999</v>
      </c>
      <c r="AG238" s="8">
        <v>28.551527</v>
      </c>
      <c r="AH238" s="8">
        <v>280603400</v>
      </c>
      <c r="AI238" s="8">
        <v>19.940000999999999</v>
      </c>
      <c r="AJ238" s="8">
        <v>20.67</v>
      </c>
      <c r="AK238" s="8">
        <v>18.280000999999999</v>
      </c>
      <c r="AL238" s="8">
        <v>19.34</v>
      </c>
      <c r="AM238" s="8">
        <v>17.223566000000002</v>
      </c>
      <c r="AN238" s="8">
        <v>323187100</v>
      </c>
    </row>
    <row r="239" spans="1:40" x14ac:dyDescent="0.35">
      <c r="A239" s="1">
        <v>40817</v>
      </c>
      <c r="B239" s="13">
        <f t="shared" si="6"/>
        <v>10</v>
      </c>
      <c r="C239" s="13">
        <f t="shared" si="7"/>
        <v>2011</v>
      </c>
      <c r="D239" s="2">
        <v>23228</v>
      </c>
      <c r="E239">
        <f>VLOOKUP(A239,PSR!$A$12:$B$721,2,FALSE)</f>
        <v>5.5</v>
      </c>
      <c r="F239">
        <f>VLOOKUP(A239,CCI_USA!$F$2:$H$317,3,FALSE)</f>
        <v>97.012540000000001</v>
      </c>
      <c r="G239">
        <f>INDEX('BLS Data Series'!$A$11:$M$39,MATCH('UI Datathon Development'!C239,'BLS Data Series'!$A$13:$A$39,0)+2,MATCH('UI Datathon Development'!B239,'BLS Data Series'!$B$11:$M$11,0)+1)</f>
        <v>8.8000000000000007</v>
      </c>
      <c r="H239">
        <f>VLOOKUP(A239,'Houses for sale'!$B$10:$I$671,8,FALSE)</f>
        <v>158</v>
      </c>
      <c r="I239">
        <f>VLOOKUP(A239,'House starts'!$A$12:$B$325,2,FALSE)</f>
        <v>610</v>
      </c>
      <c r="J239">
        <f>VLOOKUP(A239,'New house sales'!$A$13:$C$324,3,FALSE)</f>
        <v>224800</v>
      </c>
      <c r="K239">
        <f>VLOOKUP($A239,'Sreenath''s data'!$A$2:$F$313,3,FALSE)</f>
        <v>138.39500000000001</v>
      </c>
      <c r="L239">
        <f>VLOOKUP($A239,'Sreenath''s data'!$A$2:$F$313,4,FALSE)</f>
        <v>7297.7</v>
      </c>
      <c r="M239">
        <f>VLOOKUP($A239,'Sreenath''s data'!$A$2:$F$313,5,FALSE)</f>
        <v>114133</v>
      </c>
      <c r="N239">
        <f>VLOOKUP($A239,'Sreenath''s data'!$A$2:$F$313,6,FALSE)</f>
        <v>101.89086750404699</v>
      </c>
      <c r="O239">
        <f>VLOOKUP($A239,'Niteesh''s data'!$A$2:$I$313,3,FALSE)</f>
        <v>1131.209961</v>
      </c>
      <c r="P239">
        <f>VLOOKUP($A239,'Niteesh''s data'!$A$2:$I$313,4,FALSE)</f>
        <v>1292.660034</v>
      </c>
      <c r="Q239">
        <f>VLOOKUP($A239,'Niteesh''s data'!$A$2:$I$313,5,FALSE)</f>
        <v>1074.7700199999999</v>
      </c>
      <c r="R239">
        <f>VLOOKUP($A239,'Niteesh''s data'!$A$2:$I$313,6,FALSE)</f>
        <v>1253.3000489999999</v>
      </c>
      <c r="S239">
        <f>VLOOKUP($A239,'Niteesh''s data'!$A$2:$I$313,7,FALSE)</f>
        <v>1253.3000489999999</v>
      </c>
      <c r="T239">
        <f>VLOOKUP($A239,'Niteesh''s data'!$A$2:$I$313,8,FALSE)</f>
        <v>98063670000</v>
      </c>
      <c r="U239" s="61">
        <f>VLOOKUP($A239,'Niteesh''s data'!$A$2:$I$313,9,FALSE)</f>
        <v>7.4999999999999997E-3</v>
      </c>
      <c r="V239">
        <f>VLOOKUP(A239,'Existing home Sales'!$A$2:$C$324,3,FALSE)</f>
        <v>4.91</v>
      </c>
      <c r="W239" s="8">
        <v>1</v>
      </c>
      <c r="X239">
        <f>IFERROR(VLOOKUP(A239,'Home Depot Gross Profit'!$A$1:$B$105,2,FALSE)/3,IF(W239=2,X238,X238))</f>
        <v>1987</v>
      </c>
      <c r="Y239">
        <f>IFERROR(VLOOKUP(A239,'LOWE''S GROSS PROFIT'!$A$1:$B$105,2,FALSE)/3,IF(X239=2,Y238/3,Y238))</f>
        <v>1345.6666666666667</v>
      </c>
      <c r="Z239" s="8">
        <v>4.1050000000000004</v>
      </c>
      <c r="AA239">
        <v>5588</v>
      </c>
      <c r="AB239">
        <f>VLOOKUP(A239,'[1]Fed_Int (1)'!$A$2:$B$316,2,FALSE)</f>
        <v>7.0000000000000007E-2</v>
      </c>
      <c r="AC239" s="8">
        <v>32.799999</v>
      </c>
      <c r="AD239" s="8">
        <v>37.650002000000001</v>
      </c>
      <c r="AE239" s="8">
        <v>31.030000999999999</v>
      </c>
      <c r="AF239" s="8">
        <v>35.799999</v>
      </c>
      <c r="AG239" s="8">
        <v>31.096572999999999</v>
      </c>
      <c r="AH239" s="8">
        <v>242007200</v>
      </c>
      <c r="AI239" s="8">
        <v>19.389999</v>
      </c>
      <c r="AJ239" s="8">
        <v>22.48</v>
      </c>
      <c r="AK239" s="8">
        <v>18.549999</v>
      </c>
      <c r="AL239" s="8">
        <v>21.02</v>
      </c>
      <c r="AM239" s="8">
        <v>18.719721</v>
      </c>
      <c r="AN239" s="8">
        <v>333038100</v>
      </c>
    </row>
    <row r="240" spans="1:40" x14ac:dyDescent="0.35">
      <c r="A240" s="1">
        <v>40848</v>
      </c>
      <c r="B240" s="13">
        <f t="shared" si="6"/>
        <v>11</v>
      </c>
      <c r="C240" s="13">
        <f t="shared" si="7"/>
        <v>2011</v>
      </c>
      <c r="D240" s="2">
        <v>22953</v>
      </c>
      <c r="E240">
        <f>VLOOKUP(A240,PSR!$A$12:$B$721,2,FALSE)</f>
        <v>5.6</v>
      </c>
      <c r="F240">
        <f>VLOOKUP(A240,CCI_USA!$F$2:$H$317,3,FALSE)</f>
        <v>97.450159999999997</v>
      </c>
      <c r="G240">
        <f>INDEX('BLS Data Series'!$A$11:$M$39,MATCH('UI Datathon Development'!C240,'BLS Data Series'!$A$13:$A$39,0)+2,MATCH('UI Datathon Development'!B240,'BLS Data Series'!$B$11:$M$11,0)+1)</f>
        <v>8.6</v>
      </c>
      <c r="H240">
        <f>VLOOKUP(A240,'Houses for sale'!$B$10:$I$671,8,FALSE)</f>
        <v>155</v>
      </c>
      <c r="I240">
        <f>VLOOKUP(A240,'House starts'!$A$12:$B$325,2,FALSE)</f>
        <v>711</v>
      </c>
      <c r="J240">
        <f>VLOOKUP(A240,'New house sales'!$A$13:$C$324,3,FALSE)</f>
        <v>214300</v>
      </c>
      <c r="K240">
        <f>VLOOKUP($A240,'Sreenath''s data'!$A$2:$F$313,3,FALSE)</f>
        <v>136.65199999999999</v>
      </c>
      <c r="L240">
        <f>VLOOKUP($A240,'Sreenath''s data'!$A$2:$F$313,4,FALSE)</f>
        <v>7317.5</v>
      </c>
      <c r="M240">
        <f>VLOOKUP($A240,'Sreenath''s data'!$A$2:$F$313,5,FALSE)</f>
        <v>114067</v>
      </c>
      <c r="N240">
        <f>VLOOKUP($A240,'Sreenath''s data'!$A$2:$F$313,6,FALSE)</f>
        <v>101.97354949135099</v>
      </c>
      <c r="O240">
        <f>VLOOKUP($A240,'Niteesh''s data'!$A$2:$I$313,3,FALSE)</f>
        <v>1251</v>
      </c>
      <c r="P240">
        <f>VLOOKUP($A240,'Niteesh''s data'!$A$2:$I$313,4,FALSE)</f>
        <v>1277.5500489999999</v>
      </c>
      <c r="Q240">
        <f>VLOOKUP($A240,'Niteesh''s data'!$A$2:$I$313,5,FALSE)</f>
        <v>1158.660034</v>
      </c>
      <c r="R240">
        <f>VLOOKUP($A240,'Niteesh''s data'!$A$2:$I$313,6,FALSE)</f>
        <v>1246.959961</v>
      </c>
      <c r="S240">
        <f>VLOOKUP($A240,'Niteesh''s data'!$A$2:$I$313,7,FALSE)</f>
        <v>1246.959961</v>
      </c>
      <c r="T240">
        <f>VLOOKUP($A240,'Niteesh''s data'!$A$2:$I$313,8,FALSE)</f>
        <v>84275050000</v>
      </c>
      <c r="U240" s="61">
        <f>VLOOKUP($A240,'Niteesh''s data'!$A$2:$I$313,9,FALSE)</f>
        <v>7.4000000000000003E-3</v>
      </c>
      <c r="V240">
        <f>VLOOKUP(A240,'Existing home Sales'!$A$2:$C$324,3,FALSE)</f>
        <v>4.97</v>
      </c>
      <c r="W240" s="8">
        <v>2</v>
      </c>
      <c r="X240">
        <f>IFERROR(VLOOKUP(A240,'Home Depot Gross Profit'!$A$1:$B$105,2,FALSE)/3,IF(W240=2,X239,X239))</f>
        <v>1987</v>
      </c>
      <c r="Y240">
        <f>IFERROR(VLOOKUP(A240,'LOWE''S GROSS PROFIT'!$A$1:$B$105,2,FALSE)/3,IF(X240=2,Y239/3,Y239))</f>
        <v>1345.6666666666667</v>
      </c>
      <c r="Z240" s="8">
        <v>3.9950000000000001</v>
      </c>
      <c r="AA240">
        <v>5593</v>
      </c>
      <c r="AB240">
        <f>VLOOKUP(A240,'[1]Fed_Int (1)'!$A$2:$B$316,2,FALSE)</f>
        <v>0.08</v>
      </c>
      <c r="AC240" s="8">
        <v>34.740001999999997</v>
      </c>
      <c r="AD240" s="8">
        <v>39.790000999999997</v>
      </c>
      <c r="AE240" s="8">
        <v>34.580002</v>
      </c>
      <c r="AF240" s="8">
        <v>39.220001000000003</v>
      </c>
      <c r="AG240" s="8">
        <v>34.067267999999999</v>
      </c>
      <c r="AH240" s="8">
        <v>231967000</v>
      </c>
      <c r="AI240" s="8">
        <v>20.389999</v>
      </c>
      <c r="AJ240" s="8">
        <v>25.1</v>
      </c>
      <c r="AK240" s="8">
        <v>20.34</v>
      </c>
      <c r="AL240" s="8">
        <v>24.01</v>
      </c>
      <c r="AM240" s="8">
        <v>21.526506000000001</v>
      </c>
      <c r="AN240" s="8">
        <v>354660200</v>
      </c>
    </row>
    <row r="241" spans="1:40" x14ac:dyDescent="0.35">
      <c r="A241" s="1">
        <v>40878</v>
      </c>
      <c r="B241" s="13">
        <f t="shared" si="6"/>
        <v>12</v>
      </c>
      <c r="C241" s="13">
        <f t="shared" si="7"/>
        <v>2011</v>
      </c>
      <c r="D241" s="2">
        <v>23450</v>
      </c>
      <c r="E241">
        <f>VLOOKUP(A241,PSR!$A$12:$B$721,2,FALSE)</f>
        <v>6.4</v>
      </c>
      <c r="F241">
        <f>VLOOKUP(A241,CCI_USA!$F$2:$H$317,3,FALSE)</f>
        <v>97.991479999999996</v>
      </c>
      <c r="G241">
        <f>INDEX('BLS Data Series'!$A$11:$M$39,MATCH('UI Datathon Development'!C241,'BLS Data Series'!$A$13:$A$39,0)+2,MATCH('UI Datathon Development'!B241,'BLS Data Series'!$B$11:$M$11,0)+1)</f>
        <v>8.5</v>
      </c>
      <c r="H241">
        <f>VLOOKUP(A241,'Houses for sale'!$B$10:$I$671,8,FALSE)</f>
        <v>151</v>
      </c>
      <c r="I241">
        <f>VLOOKUP(A241,'House starts'!$A$12:$B$325,2,FALSE)</f>
        <v>694</v>
      </c>
      <c r="J241">
        <f>VLOOKUP(A241,'New house sales'!$A$13:$C$324,3,FALSE)</f>
        <v>218600</v>
      </c>
      <c r="K241">
        <f>VLOOKUP($A241,'Sreenath''s data'!$A$2:$F$313,3,FALSE)</f>
        <v>135.155</v>
      </c>
      <c r="L241">
        <f>VLOOKUP($A241,'Sreenath''s data'!$A$2:$F$313,4,FALSE)</f>
        <v>7326.1</v>
      </c>
      <c r="M241">
        <f>VLOOKUP($A241,'Sreenath''s data'!$A$2:$F$313,5,FALSE)</f>
        <v>114058</v>
      </c>
      <c r="N241">
        <f>VLOOKUP($A241,'Sreenath''s data'!$A$2:$F$313,6,FALSE)</f>
        <v>102.13195890628</v>
      </c>
      <c r="O241">
        <f>VLOOKUP($A241,'Niteesh''s data'!$A$2:$I$313,3,FALSE)</f>
        <v>1246.910034</v>
      </c>
      <c r="P241">
        <f>VLOOKUP($A241,'Niteesh''s data'!$A$2:$I$313,4,FALSE)</f>
        <v>1269.369995</v>
      </c>
      <c r="Q241">
        <f>VLOOKUP($A241,'Niteesh''s data'!$A$2:$I$313,5,FALSE)</f>
        <v>1202.369995</v>
      </c>
      <c r="R241">
        <f>VLOOKUP($A241,'Niteesh''s data'!$A$2:$I$313,6,FALSE)</f>
        <v>1257.599976</v>
      </c>
      <c r="S241">
        <f>VLOOKUP($A241,'Niteesh''s data'!$A$2:$I$313,7,FALSE)</f>
        <v>1257.599976</v>
      </c>
      <c r="T241">
        <f>VLOOKUP($A241,'Niteesh''s data'!$A$2:$I$313,8,FALSE)</f>
        <v>74742430000</v>
      </c>
      <c r="U241" s="61">
        <f>VLOOKUP($A241,'Niteesh''s data'!$A$2:$I$313,9,FALSE)</f>
        <v>7.6E-3</v>
      </c>
      <c r="V241">
        <f>VLOOKUP(A241,'Existing home Sales'!$A$2:$C$324,3,FALSE)</f>
        <v>4.42</v>
      </c>
      <c r="W241" s="8">
        <v>3</v>
      </c>
      <c r="X241">
        <f>IFERROR(VLOOKUP(A241,'Home Depot Gross Profit'!$A$1:$B$105,2,FALSE)/3,IF(W241=2,X240,X240))</f>
        <v>1987</v>
      </c>
      <c r="Y241">
        <f>IFERROR(VLOOKUP(A241,'LOWE''S GROSS PROFIT'!$A$1:$B$105,2,FALSE)/3,IF(X241=2,Y240/3,Y240))</f>
        <v>1345.6666666666667</v>
      </c>
      <c r="Z241" s="8">
        <v>3.95</v>
      </c>
      <c r="AA241">
        <v>5611</v>
      </c>
      <c r="AB241">
        <f>VLOOKUP(A241,'[1]Fed_Int (1)'!$A$2:$B$316,2,FALSE)</f>
        <v>7.0000000000000007E-2</v>
      </c>
      <c r="AC241" s="8">
        <v>38.860000999999997</v>
      </c>
      <c r="AD241" s="8">
        <v>42.470001000000003</v>
      </c>
      <c r="AE241" s="8">
        <v>38.790000999999997</v>
      </c>
      <c r="AF241" s="8">
        <v>42.040000999999997</v>
      </c>
      <c r="AG241" s="8">
        <v>36.802906</v>
      </c>
      <c r="AH241" s="8">
        <v>230611500</v>
      </c>
      <c r="AI241" s="8">
        <v>23.91</v>
      </c>
      <c r="AJ241" s="8">
        <v>26.040001</v>
      </c>
      <c r="AK241" s="8">
        <v>23.83</v>
      </c>
      <c r="AL241" s="8">
        <v>25.379999000000002</v>
      </c>
      <c r="AM241" s="8">
        <v>22.754798999999998</v>
      </c>
      <c r="AN241" s="8">
        <v>364271000</v>
      </c>
    </row>
    <row r="242" spans="1:40" x14ac:dyDescent="0.35">
      <c r="A242" s="1">
        <v>40909</v>
      </c>
      <c r="B242" s="13">
        <f t="shared" si="6"/>
        <v>1</v>
      </c>
      <c r="C242" s="13">
        <f t="shared" si="7"/>
        <v>2012</v>
      </c>
      <c r="D242" s="2">
        <v>23590</v>
      </c>
      <c r="E242">
        <f>VLOOKUP(A242,PSR!$A$12:$B$721,2,FALSE)</f>
        <v>6.6</v>
      </c>
      <c r="F242">
        <f>VLOOKUP(A242,CCI_USA!$F$2:$H$317,3,FALSE)</f>
        <v>98.452960000000004</v>
      </c>
      <c r="G242">
        <f>INDEX('BLS Data Series'!$A$11:$M$39,MATCH('UI Datathon Development'!C242,'BLS Data Series'!$A$13:$A$39,0)+2,MATCH('UI Datathon Development'!B242,'BLS Data Series'!$B$11:$M$11,0)+1)</f>
        <v>8.3000000000000007</v>
      </c>
      <c r="H242">
        <f>VLOOKUP(A242,'Houses for sale'!$B$10:$I$671,8,FALSE)</f>
        <v>149</v>
      </c>
      <c r="I242">
        <f>VLOOKUP(A242,'House starts'!$A$12:$B$325,2,FALSE)</f>
        <v>723</v>
      </c>
      <c r="J242">
        <f>VLOOKUP(A242,'New house sales'!$A$13:$C$324,3,FALSE)</f>
        <v>221700</v>
      </c>
      <c r="K242">
        <f>VLOOKUP($A242,'Sreenath''s data'!$A$2:$F$313,3,FALSE)</f>
        <v>134.16</v>
      </c>
      <c r="L242">
        <f>VLOOKUP($A242,'Sreenath''s data'!$A$2:$F$313,4,FALSE)</f>
        <v>6616.3</v>
      </c>
      <c r="M242">
        <f>VLOOKUP($A242,'Sreenath''s data'!$A$2:$F$313,5,FALSE)</f>
        <v>114260</v>
      </c>
      <c r="N242">
        <f>VLOOKUP($A242,'Sreenath''s data'!$A$2:$F$313,6,FALSE)</f>
        <v>102.409754929044</v>
      </c>
      <c r="O242">
        <f>VLOOKUP($A242,'Niteesh''s data'!$A$2:$I$313,3,FALSE)</f>
        <v>1258.8599850000001</v>
      </c>
      <c r="P242">
        <f>VLOOKUP($A242,'Niteesh''s data'!$A$2:$I$313,4,FALSE)</f>
        <v>1333.469971</v>
      </c>
      <c r="Q242">
        <f>VLOOKUP($A242,'Niteesh''s data'!$A$2:$I$313,5,FALSE)</f>
        <v>1258.8599850000001</v>
      </c>
      <c r="R242">
        <f>VLOOKUP($A242,'Niteesh''s data'!$A$2:$I$313,6,FALSE)</f>
        <v>1312.410034</v>
      </c>
      <c r="S242">
        <f>VLOOKUP($A242,'Niteesh''s data'!$A$2:$I$313,7,FALSE)</f>
        <v>1312.410034</v>
      </c>
      <c r="T242">
        <f>VLOOKUP($A242,'Niteesh''s data'!$A$2:$I$313,8,FALSE)</f>
        <v>79567560000</v>
      </c>
      <c r="U242" s="61">
        <f>VLOOKUP($A242,'Niteesh''s data'!$A$2:$I$313,9,FALSE)</f>
        <v>7.4999999999999997E-3</v>
      </c>
      <c r="V242">
        <f>VLOOKUP(A242,'Existing home Sales'!$A$2:$C$324,3,FALSE)</f>
        <v>4.6100000000000003</v>
      </c>
      <c r="W242" s="8">
        <v>1</v>
      </c>
      <c r="X242">
        <f>IFERROR(VLOOKUP(A242,'Home Depot Gross Profit'!$A$1:$B$105,2,FALSE)/3,IF(W242=2,X241,X241))</f>
        <v>1865.6666666666667</v>
      </c>
      <c r="Y242">
        <f>IFERROR(VLOOKUP(A242,'LOWE''S GROSS PROFIT'!$A$1:$B$105,2,FALSE)/3,IF(X242=2,Y241/3,Y241))</f>
        <v>1326.3333333333333</v>
      </c>
      <c r="Z242" s="8">
        <v>3.9</v>
      </c>
      <c r="AA242">
        <v>5626</v>
      </c>
      <c r="AB242">
        <f>VLOOKUP(A242,'[1]Fed_Int (1)'!$A$2:$B$316,2,FALSE)</f>
        <v>0.08</v>
      </c>
      <c r="AC242" s="8">
        <v>42.41</v>
      </c>
      <c r="AD242" s="8">
        <v>45.5</v>
      </c>
      <c r="AE242" s="8">
        <v>41.919998</v>
      </c>
      <c r="AF242" s="8">
        <v>44.389999000000003</v>
      </c>
      <c r="AG242" s="8">
        <v>38.860146</v>
      </c>
      <c r="AH242" s="8">
        <v>196659700</v>
      </c>
      <c r="AI242" s="8">
        <v>25.66</v>
      </c>
      <c r="AJ242" s="8">
        <v>27.57</v>
      </c>
      <c r="AK242" s="8">
        <v>25.440000999999999</v>
      </c>
      <c r="AL242" s="8">
        <v>26.83</v>
      </c>
      <c r="AM242" s="8">
        <v>24.054815000000001</v>
      </c>
      <c r="AN242" s="8">
        <v>299912600</v>
      </c>
    </row>
    <row r="243" spans="1:40" x14ac:dyDescent="0.35">
      <c r="A243" s="1">
        <v>40940</v>
      </c>
      <c r="B243" s="13">
        <f t="shared" si="6"/>
        <v>2</v>
      </c>
      <c r="C243" s="13">
        <f t="shared" si="7"/>
        <v>2012</v>
      </c>
      <c r="D243" s="2">
        <v>23599</v>
      </c>
      <c r="E243">
        <f>VLOOKUP(A243,PSR!$A$12:$B$721,2,FALSE)</f>
        <v>6.7</v>
      </c>
      <c r="F243">
        <f>VLOOKUP(A243,CCI_USA!$F$2:$H$317,3,FALSE)</f>
        <v>98.710239999999999</v>
      </c>
      <c r="G243">
        <f>INDEX('BLS Data Series'!$A$11:$M$39,MATCH('UI Datathon Development'!C243,'BLS Data Series'!$A$13:$A$39,0)+2,MATCH('UI Datathon Development'!B243,'BLS Data Series'!$B$11:$M$11,0)+1)</f>
        <v>8.3000000000000007</v>
      </c>
      <c r="H243">
        <f>VLOOKUP(A243,'Houses for sale'!$B$10:$I$671,8,FALSE)</f>
        <v>147</v>
      </c>
      <c r="I243">
        <f>VLOOKUP(A243,'House starts'!$A$12:$B$325,2,FALSE)</f>
        <v>704</v>
      </c>
      <c r="J243">
        <f>VLOOKUP(A243,'New house sales'!$A$13:$C$324,3,FALSE)</f>
        <v>239900</v>
      </c>
      <c r="K243">
        <f>VLOOKUP($A243,'Sreenath''s data'!$A$2:$F$313,3,FALSE)</f>
        <v>133.994</v>
      </c>
      <c r="L243">
        <f>VLOOKUP($A243,'Sreenath''s data'!$A$2:$F$313,4,FALSE)</f>
        <v>6649.9</v>
      </c>
      <c r="M243">
        <f>VLOOKUP($A243,'Sreenath''s data'!$A$2:$F$313,5,FALSE)</f>
        <v>114167</v>
      </c>
      <c r="N243">
        <f>VLOOKUP($A243,'Sreenath''s data'!$A$2:$F$313,6,FALSE)</f>
        <v>102.629209923384</v>
      </c>
      <c r="O243">
        <f>VLOOKUP($A243,'Niteesh''s data'!$A$2:$I$313,3,FALSE)</f>
        <v>1312.4499510000001</v>
      </c>
      <c r="P243">
        <f>VLOOKUP($A243,'Niteesh''s data'!$A$2:$I$313,4,FALSE)</f>
        <v>1378.040039</v>
      </c>
      <c r="Q243">
        <f>VLOOKUP($A243,'Niteesh''s data'!$A$2:$I$313,5,FALSE)</f>
        <v>1312.4499510000001</v>
      </c>
      <c r="R243">
        <f>VLOOKUP($A243,'Niteesh''s data'!$A$2:$I$313,6,FALSE)</f>
        <v>1365.6800539999999</v>
      </c>
      <c r="S243">
        <f>VLOOKUP($A243,'Niteesh''s data'!$A$2:$I$313,7,FALSE)</f>
        <v>1365.6800539999999</v>
      </c>
      <c r="T243">
        <f>VLOOKUP($A243,'Niteesh''s data'!$A$2:$I$313,8,FALSE)</f>
        <v>78385710000</v>
      </c>
      <c r="U243" s="61">
        <f>VLOOKUP($A243,'Niteesh''s data'!$A$2:$I$313,9,FALSE)</f>
        <v>7.4999999999999997E-3</v>
      </c>
      <c r="V243">
        <f>VLOOKUP(A243,'Existing home Sales'!$A$2:$C$324,3,FALSE)</f>
        <v>4.57</v>
      </c>
      <c r="W243" s="8">
        <v>2</v>
      </c>
      <c r="X243">
        <f>IFERROR(VLOOKUP(A243,'Home Depot Gross Profit'!$A$1:$B$105,2,FALSE)/3,IF(W243=2,X242,X242))</f>
        <v>1865.6666666666667</v>
      </c>
      <c r="Y243">
        <f>IFERROR(VLOOKUP(A243,'LOWE''S GROSS PROFIT'!$A$1:$B$105,2,FALSE)/3,IF(X243=2,Y242/3,Y242))</f>
        <v>1326.3333333333333</v>
      </c>
      <c r="Z243" s="8">
        <v>3.87</v>
      </c>
      <c r="AA243">
        <v>5629</v>
      </c>
      <c r="AB243">
        <f>VLOOKUP(A243,'[1]Fed_Int (1)'!$A$2:$B$316,2,FALSE)</f>
        <v>0.1</v>
      </c>
      <c r="AC243" s="8">
        <v>44.689999</v>
      </c>
      <c r="AD243" s="8">
        <v>48.07</v>
      </c>
      <c r="AE243" s="8">
        <v>44.299999</v>
      </c>
      <c r="AF243" s="8">
        <v>47.57</v>
      </c>
      <c r="AG243" s="8">
        <v>41.643993000000002</v>
      </c>
      <c r="AH243" s="8">
        <v>189647500</v>
      </c>
      <c r="AI243" s="8">
        <v>27.16</v>
      </c>
      <c r="AJ243" s="8">
        <v>28.52</v>
      </c>
      <c r="AK243" s="8">
        <v>26.5</v>
      </c>
      <c r="AL243" s="8">
        <v>28.379999000000002</v>
      </c>
      <c r="AM243" s="8">
        <v>25.579473</v>
      </c>
      <c r="AN243" s="8">
        <v>300001500</v>
      </c>
    </row>
    <row r="244" spans="1:40" x14ac:dyDescent="0.35">
      <c r="A244" s="1">
        <v>40969</v>
      </c>
      <c r="B244" s="13">
        <f t="shared" si="6"/>
        <v>3</v>
      </c>
      <c r="C244" s="13">
        <f t="shared" si="7"/>
        <v>2012</v>
      </c>
      <c r="D244" s="2">
        <v>24561</v>
      </c>
      <c r="E244">
        <f>VLOOKUP(A244,PSR!$A$12:$B$721,2,FALSE)</f>
        <v>7</v>
      </c>
      <c r="F244">
        <f>VLOOKUP(A244,CCI_USA!$F$2:$H$317,3,FALSE)</f>
        <v>98.834230000000005</v>
      </c>
      <c r="G244">
        <f>INDEX('BLS Data Series'!$A$11:$M$39,MATCH('UI Datathon Development'!C244,'BLS Data Series'!$A$13:$A$39,0)+2,MATCH('UI Datathon Development'!B244,'BLS Data Series'!$B$11:$M$11,0)+1)</f>
        <v>8.1999999999999993</v>
      </c>
      <c r="H244">
        <f>VLOOKUP(A244,'Houses for sale'!$B$10:$I$671,8,FALSE)</f>
        <v>145</v>
      </c>
      <c r="I244">
        <f>VLOOKUP(A244,'House starts'!$A$12:$B$325,2,FALSE)</f>
        <v>695</v>
      </c>
      <c r="J244">
        <f>VLOOKUP(A244,'New house sales'!$A$13:$C$324,3,FALSE)</f>
        <v>239800</v>
      </c>
      <c r="K244">
        <f>VLOOKUP($A244,'Sreenath''s data'!$A$2:$F$313,3,FALSE)</f>
        <v>135.87100000000001</v>
      </c>
      <c r="L244">
        <f>VLOOKUP($A244,'Sreenath''s data'!$A$2:$F$313,4,FALSE)</f>
        <v>6659.6</v>
      </c>
      <c r="M244">
        <f>VLOOKUP($A244,'Sreenath''s data'!$A$2:$F$313,5,FALSE)</f>
        <v>113940</v>
      </c>
      <c r="N244">
        <f>VLOOKUP($A244,'Sreenath''s data'!$A$2:$F$313,6,FALSE)</f>
        <v>102.897733199909</v>
      </c>
      <c r="O244">
        <f>VLOOKUP($A244,'Niteesh''s data'!$A$2:$I$313,3,FALSE)</f>
        <v>1365.900024</v>
      </c>
      <c r="P244">
        <f>VLOOKUP($A244,'Niteesh''s data'!$A$2:$I$313,4,FALSE)</f>
        <v>1419.150024</v>
      </c>
      <c r="Q244">
        <f>VLOOKUP($A244,'Niteesh''s data'!$A$2:$I$313,5,FALSE)</f>
        <v>1340.030029</v>
      </c>
      <c r="R244">
        <f>VLOOKUP($A244,'Niteesh''s data'!$A$2:$I$313,6,FALSE)</f>
        <v>1408.469971</v>
      </c>
      <c r="S244">
        <f>VLOOKUP($A244,'Niteesh''s data'!$A$2:$I$313,7,FALSE)</f>
        <v>1408.469971</v>
      </c>
      <c r="T244">
        <f>VLOOKUP($A244,'Niteesh''s data'!$A$2:$I$313,8,FALSE)</f>
        <v>83899660000</v>
      </c>
      <c r="U244" s="61">
        <f>VLOOKUP($A244,'Niteesh''s data'!$A$2:$I$313,9,FALSE)</f>
        <v>7.6E-3</v>
      </c>
      <c r="V244">
        <f>VLOOKUP(A244,'Existing home Sales'!$A$2:$C$324,3,FALSE)</f>
        <v>4.59</v>
      </c>
      <c r="W244" s="8">
        <v>3</v>
      </c>
      <c r="X244">
        <f>IFERROR(VLOOKUP(A244,'Home Depot Gross Profit'!$A$1:$B$105,2,FALSE)/3,IF(W244=2,X243,X243))</f>
        <v>1865.6666666666667</v>
      </c>
      <c r="Y244">
        <f>IFERROR(VLOOKUP(A244,'LOWE''S GROSS PROFIT'!$A$1:$B$105,2,FALSE)/3,IF(X244=2,Y243/3,Y243))</f>
        <v>1326.3333333333333</v>
      </c>
      <c r="Z244" s="8">
        <v>3.92</v>
      </c>
      <c r="AA244">
        <v>5625</v>
      </c>
      <c r="AB244">
        <f>VLOOKUP(A244,'[1]Fed_Int (1)'!$A$2:$B$316,2,FALSE)</f>
        <v>0.13</v>
      </c>
      <c r="AC244" s="8">
        <v>47.529998999999997</v>
      </c>
      <c r="AD244" s="8">
        <v>50.419998</v>
      </c>
      <c r="AE244" s="8">
        <v>46.119999</v>
      </c>
      <c r="AF244" s="8">
        <v>50.310001</v>
      </c>
      <c r="AG244" s="8">
        <v>44.042667000000002</v>
      </c>
      <c r="AH244" s="8">
        <v>197964600</v>
      </c>
      <c r="AI244" s="8">
        <v>28.41</v>
      </c>
      <c r="AJ244" s="8">
        <v>31.57</v>
      </c>
      <c r="AK244" s="8">
        <v>27.780000999999999</v>
      </c>
      <c r="AL244" s="8">
        <v>31.379999000000002</v>
      </c>
      <c r="AM244" s="8">
        <v>28.283438</v>
      </c>
      <c r="AN244" s="8">
        <v>352719500</v>
      </c>
    </row>
    <row r="245" spans="1:40" x14ac:dyDescent="0.35">
      <c r="A245" s="1">
        <v>41000</v>
      </c>
      <c r="B245" s="13">
        <f t="shared" si="6"/>
        <v>4</v>
      </c>
      <c r="C245" s="13">
        <f t="shared" si="7"/>
        <v>2012</v>
      </c>
      <c r="D245" s="2">
        <v>23395</v>
      </c>
      <c r="E245">
        <f>VLOOKUP(A245,PSR!$A$12:$B$721,2,FALSE)</f>
        <v>7.2</v>
      </c>
      <c r="F245">
        <f>VLOOKUP(A245,CCI_USA!$F$2:$H$317,3,FALSE)</f>
        <v>98.868970000000004</v>
      </c>
      <c r="G245">
        <f>INDEX('BLS Data Series'!$A$11:$M$39,MATCH('UI Datathon Development'!C245,'BLS Data Series'!$A$13:$A$39,0)+2,MATCH('UI Datathon Development'!B245,'BLS Data Series'!$B$11:$M$11,0)+1)</f>
        <v>8.1999999999999993</v>
      </c>
      <c r="H245">
        <f>VLOOKUP(A245,'Houses for sale'!$B$10:$I$671,8,FALSE)</f>
        <v>144</v>
      </c>
      <c r="I245">
        <f>VLOOKUP(A245,'House starts'!$A$12:$B$325,2,FALSE)</f>
        <v>753</v>
      </c>
      <c r="J245">
        <f>VLOOKUP(A245,'New house sales'!$A$13:$C$324,3,FALSE)</f>
        <v>236400</v>
      </c>
      <c r="K245">
        <f>VLOOKUP($A245,'Sreenath''s data'!$A$2:$F$313,3,FALSE)</f>
        <v>138.488</v>
      </c>
      <c r="L245">
        <f>VLOOKUP($A245,'Sreenath''s data'!$A$2:$F$313,4,FALSE)</f>
        <v>6679.4</v>
      </c>
      <c r="M245">
        <f>VLOOKUP($A245,'Sreenath''s data'!$A$2:$F$313,5,FALSE)</f>
        <v>114055</v>
      </c>
      <c r="N245">
        <f>VLOOKUP($A245,'Sreenath''s data'!$A$2:$F$313,6,FALSE)</f>
        <v>103.06155171681</v>
      </c>
      <c r="O245">
        <f>VLOOKUP($A245,'Niteesh''s data'!$A$2:$I$313,3,FALSE)</f>
        <v>1408.469971</v>
      </c>
      <c r="P245">
        <f>VLOOKUP($A245,'Niteesh''s data'!$A$2:$I$313,4,FALSE)</f>
        <v>1422.380005</v>
      </c>
      <c r="Q245">
        <f>VLOOKUP($A245,'Niteesh''s data'!$A$2:$I$313,5,FALSE)</f>
        <v>1357.380005</v>
      </c>
      <c r="R245">
        <f>VLOOKUP($A245,'Niteesh''s data'!$A$2:$I$313,6,FALSE)</f>
        <v>1397.910034</v>
      </c>
      <c r="S245">
        <f>VLOOKUP($A245,'Niteesh''s data'!$A$2:$I$313,7,FALSE)</f>
        <v>1397.910034</v>
      </c>
      <c r="T245">
        <f>VLOOKUP($A245,'Niteesh''s data'!$A$2:$I$313,8,FALSE)</f>
        <v>74761710000</v>
      </c>
      <c r="U245" s="61">
        <f>VLOOKUP($A245,'Niteesh''s data'!$A$2:$I$313,9,FALSE)</f>
        <v>7.4999999999999997E-3</v>
      </c>
      <c r="V245">
        <f>VLOOKUP(A245,'Existing home Sales'!$A$2:$C$324,3,FALSE)</f>
        <v>4.4800000000000004</v>
      </c>
      <c r="W245" s="8">
        <v>1</v>
      </c>
      <c r="X245">
        <f>IFERROR(VLOOKUP(A245,'Home Depot Gross Profit'!$A$1:$B$105,2,FALSE)/3,IF(W245=2,X244,X244))</f>
        <v>2061</v>
      </c>
      <c r="Y245">
        <f>IFERROR(VLOOKUP(A245,'LOWE''S GROSS PROFIT'!$A$1:$B$105,2,FALSE)/3,IF(X245=2,Y244/3,Y244))</f>
        <v>1521.3333333333333</v>
      </c>
      <c r="Z245" s="8">
        <v>3.8899999999999899</v>
      </c>
      <c r="AA245">
        <v>5618</v>
      </c>
      <c r="AB245">
        <f>VLOOKUP(A245,'[1]Fed_Int (1)'!$A$2:$B$316,2,FALSE)</f>
        <v>0.14000000000000001</v>
      </c>
      <c r="AC245" s="8">
        <v>50.099997999999999</v>
      </c>
      <c r="AD245" s="8">
        <v>52.389999000000003</v>
      </c>
      <c r="AE245" s="8">
        <v>49.360000999999997</v>
      </c>
      <c r="AF245" s="8">
        <v>51.790000999999997</v>
      </c>
      <c r="AG245" s="8">
        <v>45.617446999999999</v>
      </c>
      <c r="AH245" s="8">
        <v>176244800</v>
      </c>
      <c r="AI245" s="8">
        <v>31.309999000000001</v>
      </c>
      <c r="AJ245" s="8">
        <v>32.290000999999997</v>
      </c>
      <c r="AK245" s="8">
        <v>30.33</v>
      </c>
      <c r="AL245" s="8">
        <v>31.469999000000001</v>
      </c>
      <c r="AM245" s="8">
        <v>28.364557000000001</v>
      </c>
      <c r="AN245" s="8">
        <v>218930100</v>
      </c>
    </row>
    <row r="246" spans="1:40" x14ac:dyDescent="0.35">
      <c r="A246" s="1">
        <v>41030</v>
      </c>
      <c r="B246" s="13">
        <f t="shared" si="6"/>
        <v>5</v>
      </c>
      <c r="C246" s="13">
        <f t="shared" si="7"/>
        <v>2012</v>
      </c>
      <c r="D246" s="2">
        <v>22771</v>
      </c>
      <c r="E246">
        <f>VLOOKUP(A246,PSR!$A$12:$B$721,2,FALSE)</f>
        <v>7.3</v>
      </c>
      <c r="F246">
        <f>VLOOKUP(A246,CCI_USA!$F$2:$H$317,3,FALSE)</f>
        <v>98.813159999999996</v>
      </c>
      <c r="G246">
        <f>INDEX('BLS Data Series'!$A$11:$M$39,MATCH('UI Datathon Development'!C246,'BLS Data Series'!$A$13:$A$39,0)+2,MATCH('UI Datathon Development'!B246,'BLS Data Series'!$B$11:$M$11,0)+1)</f>
        <v>8.1999999999999993</v>
      </c>
      <c r="H246">
        <f>VLOOKUP(A246,'Houses for sale'!$B$10:$I$671,8,FALSE)</f>
        <v>144</v>
      </c>
      <c r="I246">
        <f>VLOOKUP(A246,'House starts'!$A$12:$B$325,2,FALSE)</f>
        <v>708</v>
      </c>
      <c r="J246">
        <f>VLOOKUP(A246,'New house sales'!$A$13:$C$324,3,FALSE)</f>
        <v>239200</v>
      </c>
      <c r="K246">
        <f>VLOOKUP($A246,'Sreenath''s data'!$A$2:$F$313,3,FALSE)</f>
        <v>141.06700000000001</v>
      </c>
      <c r="L246">
        <f>VLOOKUP($A246,'Sreenath''s data'!$A$2:$F$313,4,FALSE)</f>
        <v>6712.9</v>
      </c>
      <c r="M246">
        <f>VLOOKUP($A246,'Sreenath''s data'!$A$2:$F$313,5,FALSE)</f>
        <v>114217</v>
      </c>
      <c r="N246">
        <f>VLOOKUP($A246,'Sreenath''s data'!$A$2:$F$313,6,FALSE)</f>
        <v>103.227302055845</v>
      </c>
      <c r="O246">
        <f>VLOOKUP($A246,'Niteesh''s data'!$A$2:$I$313,3,FALSE)</f>
        <v>1397.8599850000001</v>
      </c>
      <c r="P246">
        <f>VLOOKUP($A246,'Niteesh''s data'!$A$2:$I$313,4,FALSE)</f>
        <v>1415.3199460000001</v>
      </c>
      <c r="Q246">
        <f>VLOOKUP($A246,'Niteesh''s data'!$A$2:$I$313,5,FALSE)</f>
        <v>1291.9799800000001</v>
      </c>
      <c r="R246">
        <f>VLOOKUP($A246,'Niteesh''s data'!$A$2:$I$313,6,FALSE)</f>
        <v>1310.329956</v>
      </c>
      <c r="S246">
        <f>VLOOKUP($A246,'Niteesh''s data'!$A$2:$I$313,7,FALSE)</f>
        <v>1310.329956</v>
      </c>
      <c r="T246">
        <f>VLOOKUP($A246,'Niteesh''s data'!$A$2:$I$313,8,FALSE)</f>
        <v>86920490000</v>
      </c>
      <c r="U246" s="61">
        <f>VLOOKUP($A246,'Niteesh''s data'!$A$2:$I$313,9,FALSE)</f>
        <v>7.6E-3</v>
      </c>
      <c r="V246">
        <f>VLOOKUP(A246,'Existing home Sales'!$A$2:$C$324,3,FALSE)</f>
        <v>4.62</v>
      </c>
      <c r="W246" s="8">
        <v>2</v>
      </c>
      <c r="X246">
        <f>IFERROR(VLOOKUP(A246,'Home Depot Gross Profit'!$A$1:$B$105,2,FALSE)/3,IF(W246=2,X245,X245))</f>
        <v>2061</v>
      </c>
      <c r="Y246">
        <f>IFERROR(VLOOKUP(A246,'LOWE''S GROSS PROFIT'!$A$1:$B$105,2,FALSE)/3,IF(X246=2,Y245/3,Y245))</f>
        <v>1521.3333333333333</v>
      </c>
      <c r="Z246" s="8">
        <v>3.79</v>
      </c>
      <c r="AA246">
        <v>5604</v>
      </c>
      <c r="AB246">
        <f>VLOOKUP(A246,'[1]Fed_Int (1)'!$A$2:$B$316,2,FALSE)</f>
        <v>0.16</v>
      </c>
      <c r="AC246" s="8">
        <v>51.93</v>
      </c>
      <c r="AD246" s="8">
        <v>52.880001</v>
      </c>
      <c r="AE246" s="8">
        <v>46.369999</v>
      </c>
      <c r="AF246" s="8">
        <v>49.34</v>
      </c>
      <c r="AG246" s="8">
        <v>43.459454000000001</v>
      </c>
      <c r="AH246" s="8">
        <v>286227600</v>
      </c>
      <c r="AI246" s="8">
        <v>31.52</v>
      </c>
      <c r="AJ246" s="8">
        <v>32.229999999999997</v>
      </c>
      <c r="AK246" s="8">
        <v>25.280000999999999</v>
      </c>
      <c r="AL246" s="8">
        <v>26.719999000000001</v>
      </c>
      <c r="AM246" s="8">
        <v>24.190284999999999</v>
      </c>
      <c r="AN246" s="8">
        <v>415679200</v>
      </c>
    </row>
    <row r="247" spans="1:40" x14ac:dyDescent="0.35">
      <c r="A247" s="1">
        <v>41061</v>
      </c>
      <c r="B247" s="13">
        <f t="shared" si="6"/>
        <v>6</v>
      </c>
      <c r="C247" s="13">
        <f t="shared" si="7"/>
        <v>2012</v>
      </c>
      <c r="D247" s="2">
        <v>22503</v>
      </c>
      <c r="E247">
        <f>VLOOKUP(A247,PSR!$A$12:$B$721,2,FALSE)</f>
        <v>7.6</v>
      </c>
      <c r="F247">
        <f>VLOOKUP(A247,CCI_USA!$F$2:$H$317,3,FALSE)</f>
        <v>98.608789999999999</v>
      </c>
      <c r="G247">
        <f>INDEX('BLS Data Series'!$A$11:$M$39,MATCH('UI Datathon Development'!C247,'BLS Data Series'!$A$13:$A$39,0)+2,MATCH('UI Datathon Development'!B247,'BLS Data Series'!$B$11:$M$11,0)+1)</f>
        <v>8.1999999999999993</v>
      </c>
      <c r="H247">
        <f>VLOOKUP(A247,'Houses for sale'!$B$10:$I$671,8,FALSE)</f>
        <v>145</v>
      </c>
      <c r="I247">
        <f>VLOOKUP(A247,'House starts'!$A$12:$B$325,2,FALSE)</f>
        <v>757</v>
      </c>
      <c r="J247">
        <f>VLOOKUP(A247,'New house sales'!$A$13:$C$324,3,FALSE)</f>
        <v>232600</v>
      </c>
      <c r="K247">
        <f>VLOOKUP($A247,'Sreenath''s data'!$A$2:$F$313,3,FALSE)</f>
        <v>143.184</v>
      </c>
      <c r="L247">
        <f>VLOOKUP($A247,'Sreenath''s data'!$A$2:$F$313,4,FALSE)</f>
        <v>6741.7</v>
      </c>
      <c r="M247">
        <f>VLOOKUP($A247,'Sreenath''s data'!$A$2:$F$313,5,FALSE)</f>
        <v>114328</v>
      </c>
      <c r="N247">
        <f>VLOOKUP($A247,'Sreenath''s data'!$A$2:$F$313,6,FALSE)</f>
        <v>103.43284793082501</v>
      </c>
      <c r="O247">
        <f>VLOOKUP($A247,'Niteesh''s data'!$A$2:$I$313,3,FALSE)</f>
        <v>1309.869995</v>
      </c>
      <c r="P247">
        <f>VLOOKUP($A247,'Niteesh''s data'!$A$2:$I$313,4,FALSE)</f>
        <v>1363.459961</v>
      </c>
      <c r="Q247">
        <f>VLOOKUP($A247,'Niteesh''s data'!$A$2:$I$313,5,FALSE)</f>
        <v>1266.73999</v>
      </c>
      <c r="R247">
        <f>VLOOKUP($A247,'Niteesh''s data'!$A$2:$I$313,6,FALSE)</f>
        <v>1362.160034</v>
      </c>
      <c r="S247">
        <f>VLOOKUP($A247,'Niteesh''s data'!$A$2:$I$313,7,FALSE)</f>
        <v>1362.160034</v>
      </c>
      <c r="T247">
        <f>VLOOKUP($A247,'Niteesh''s data'!$A$2:$I$313,8,FALSE)</f>
        <v>81582440000</v>
      </c>
      <c r="U247" s="61">
        <f>VLOOKUP($A247,'Niteesh''s data'!$A$2:$I$313,9,FALSE)</f>
        <v>7.6E-3</v>
      </c>
      <c r="V247">
        <f>VLOOKUP(A247,'Existing home Sales'!$A$2:$C$324,3,FALSE)</f>
        <v>4.55</v>
      </c>
      <c r="W247" s="8">
        <v>3</v>
      </c>
      <c r="X247">
        <f>IFERROR(VLOOKUP(A247,'Home Depot Gross Profit'!$A$1:$B$105,2,FALSE)/3,IF(W247=2,X246,X246))</f>
        <v>2061</v>
      </c>
      <c r="Y247">
        <f>IFERROR(VLOOKUP(A247,'LOWE''S GROSS PROFIT'!$A$1:$B$105,2,FALSE)/3,IF(X247=2,Y246/3,Y246))</f>
        <v>1521.3333333333333</v>
      </c>
      <c r="Z247" s="8">
        <v>3.665</v>
      </c>
      <c r="AA247">
        <v>5621</v>
      </c>
      <c r="AB247">
        <f>VLOOKUP(A247,'[1]Fed_Int (1)'!$A$2:$B$316,2,FALSE)</f>
        <v>0.16</v>
      </c>
      <c r="AC247" s="8">
        <v>48.849997999999999</v>
      </c>
      <c r="AD247" s="8">
        <v>53.279998999999997</v>
      </c>
      <c r="AE247" s="8">
        <v>47.75</v>
      </c>
      <c r="AF247" s="8">
        <v>52.990001999999997</v>
      </c>
      <c r="AG247" s="8">
        <v>46.949829000000001</v>
      </c>
      <c r="AH247" s="8">
        <v>287347600</v>
      </c>
      <c r="AI247" s="8">
        <v>26.129999000000002</v>
      </c>
      <c r="AJ247" s="8">
        <v>28.709999</v>
      </c>
      <c r="AK247" s="8">
        <v>26.030000999999999</v>
      </c>
      <c r="AL247" s="8">
        <v>28.440000999999999</v>
      </c>
      <c r="AM247" s="8">
        <v>25.747446</v>
      </c>
      <c r="AN247" s="8">
        <v>313597300</v>
      </c>
    </row>
    <row r="248" spans="1:40" x14ac:dyDescent="0.35">
      <c r="A248" s="1">
        <v>41091</v>
      </c>
      <c r="B248" s="13">
        <f t="shared" si="6"/>
        <v>7</v>
      </c>
      <c r="C248" s="13">
        <f t="shared" si="7"/>
        <v>2012</v>
      </c>
      <c r="D248" s="2">
        <v>22663</v>
      </c>
      <c r="E248">
        <f>VLOOKUP(A248,PSR!$A$12:$B$721,2,FALSE)</f>
        <v>7.1</v>
      </c>
      <c r="F248">
        <f>VLOOKUP(A248,CCI_USA!$F$2:$H$317,3,FALSE)</f>
        <v>98.536770000000004</v>
      </c>
      <c r="G248">
        <f>INDEX('BLS Data Series'!$A$11:$M$39,MATCH('UI Datathon Development'!C248,'BLS Data Series'!$A$13:$A$39,0)+2,MATCH('UI Datathon Development'!B248,'BLS Data Series'!$B$11:$M$11,0)+1)</f>
        <v>8.1999999999999993</v>
      </c>
      <c r="H248">
        <f>VLOOKUP(A248,'Houses for sale'!$B$10:$I$671,8,FALSE)</f>
        <v>142</v>
      </c>
      <c r="I248">
        <f>VLOOKUP(A248,'House starts'!$A$12:$B$325,2,FALSE)</f>
        <v>740</v>
      </c>
      <c r="J248">
        <f>VLOOKUP(A248,'New house sales'!$A$13:$C$324,3,FALSE)</f>
        <v>237400</v>
      </c>
      <c r="K248">
        <f>VLOOKUP($A248,'Sreenath''s data'!$A$2:$F$313,3,FALSE)</f>
        <v>144.292</v>
      </c>
      <c r="L248">
        <f>VLOOKUP($A248,'Sreenath''s data'!$A$2:$F$313,4,FALSE)</f>
        <v>6736.8</v>
      </c>
      <c r="M248">
        <f>VLOOKUP($A248,'Sreenath''s data'!$A$2:$F$313,5,FALSE)</f>
        <v>114448</v>
      </c>
      <c r="N248">
        <f>VLOOKUP($A248,'Sreenath''s data'!$A$2:$F$313,6,FALSE)</f>
        <v>103.61675739791301</v>
      </c>
      <c r="O248">
        <f>VLOOKUP($A248,'Niteesh''s data'!$A$2:$I$313,3,FALSE)</f>
        <v>1362.329956</v>
      </c>
      <c r="P248">
        <f>VLOOKUP($A248,'Niteesh''s data'!$A$2:$I$313,4,FALSE)</f>
        <v>1391.73999</v>
      </c>
      <c r="Q248">
        <f>VLOOKUP($A248,'Niteesh''s data'!$A$2:$I$313,5,FALSE)</f>
        <v>1325.410034</v>
      </c>
      <c r="R248">
        <f>VLOOKUP($A248,'Niteesh''s data'!$A$2:$I$313,6,FALSE)</f>
        <v>1379.3199460000001</v>
      </c>
      <c r="S248">
        <f>VLOOKUP($A248,'Niteesh''s data'!$A$2:$I$313,7,FALSE)</f>
        <v>1379.3199460000001</v>
      </c>
      <c r="T248">
        <f>VLOOKUP($A248,'Niteesh''s data'!$A$2:$I$313,8,FALSE)</f>
        <v>73103810000</v>
      </c>
      <c r="U248" s="61">
        <f>VLOOKUP($A248,'Niteesh''s data'!$A$2:$I$313,9,FALSE)</f>
        <v>7.6E-3</v>
      </c>
      <c r="V248">
        <f>VLOOKUP(A248,'Existing home Sales'!$A$2:$C$324,3,FALSE)</f>
        <v>4.37</v>
      </c>
      <c r="W248" s="8">
        <v>1</v>
      </c>
      <c r="X248">
        <f>IFERROR(VLOOKUP(A248,'Home Depot Gross Profit'!$A$1:$B$105,2,FALSE)/3,IF(W248=2,X247,X247))</f>
        <v>2342</v>
      </c>
      <c r="Y248">
        <f>IFERROR(VLOOKUP(A248,'LOWE''S GROSS PROFIT'!$A$1:$B$105,2,FALSE)/3,IF(X248=2,Y247/3,Y247))</f>
        <v>1611.3333333333333</v>
      </c>
      <c r="Z248" s="8">
        <v>3.5449999999999999</v>
      </c>
      <c r="AA248">
        <v>5632</v>
      </c>
      <c r="AB248">
        <f>VLOOKUP(A248,'[1]Fed_Int (1)'!$A$2:$B$316,2,FALSE)</f>
        <v>0.16</v>
      </c>
      <c r="AC248" s="8">
        <v>52.959999000000003</v>
      </c>
      <c r="AD248" s="8">
        <v>54.279998999999997</v>
      </c>
      <c r="AE248" s="8">
        <v>49.77</v>
      </c>
      <c r="AF248" s="8">
        <v>52.18</v>
      </c>
      <c r="AG248" s="8">
        <v>46.232159000000003</v>
      </c>
      <c r="AH248" s="8">
        <v>205145900</v>
      </c>
      <c r="AI248" s="8">
        <v>28.459999</v>
      </c>
      <c r="AJ248" s="8">
        <v>28.629999000000002</v>
      </c>
      <c r="AK248" s="8">
        <v>25.110001</v>
      </c>
      <c r="AL248" s="8">
        <v>25.370000999999998</v>
      </c>
      <c r="AM248" s="8">
        <v>22.968094000000001</v>
      </c>
      <c r="AN248" s="8">
        <v>285517100</v>
      </c>
    </row>
    <row r="249" spans="1:40" x14ac:dyDescent="0.35">
      <c r="A249" s="1">
        <v>41122</v>
      </c>
      <c r="B249" s="13">
        <f t="shared" si="6"/>
        <v>8</v>
      </c>
      <c r="C249" s="13">
        <f t="shared" si="7"/>
        <v>2012</v>
      </c>
      <c r="D249" s="2">
        <v>23106</v>
      </c>
      <c r="E249">
        <f>VLOOKUP(A249,PSR!$A$12:$B$721,2,FALSE)</f>
        <v>7.1</v>
      </c>
      <c r="F249">
        <f>VLOOKUP(A249,CCI_USA!$F$2:$H$317,3,FALSE)</f>
        <v>98.706580000000002</v>
      </c>
      <c r="G249">
        <f>INDEX('BLS Data Series'!$A$11:$M$39,MATCH('UI Datathon Development'!C249,'BLS Data Series'!$A$13:$A$39,0)+2,MATCH('UI Datathon Development'!B249,'BLS Data Series'!$B$11:$M$11,0)+1)</f>
        <v>8.1</v>
      </c>
      <c r="H249">
        <f>VLOOKUP(A249,'Houses for sale'!$B$10:$I$671,8,FALSE)</f>
        <v>143</v>
      </c>
      <c r="I249">
        <f>VLOOKUP(A249,'House starts'!$A$12:$B$325,2,FALSE)</f>
        <v>754</v>
      </c>
      <c r="J249">
        <f>VLOOKUP(A249,'New house sales'!$A$13:$C$324,3,FALSE)</f>
        <v>253200</v>
      </c>
      <c r="K249">
        <f>VLOOKUP($A249,'Sreenath''s data'!$A$2:$F$313,3,FALSE)</f>
        <v>144.714</v>
      </c>
      <c r="L249">
        <f>VLOOKUP($A249,'Sreenath''s data'!$A$2:$F$313,4,FALSE)</f>
        <v>6759.6</v>
      </c>
      <c r="M249">
        <f>VLOOKUP($A249,'Sreenath''s data'!$A$2:$F$313,5,FALSE)</f>
        <v>114720</v>
      </c>
      <c r="N249">
        <f>VLOOKUP($A249,'Sreenath''s data'!$A$2:$F$313,6,FALSE)</f>
        <v>103.791780483187</v>
      </c>
      <c r="O249">
        <f>VLOOKUP($A249,'Niteesh''s data'!$A$2:$I$313,3,FALSE)</f>
        <v>1379.3199460000001</v>
      </c>
      <c r="P249">
        <f>VLOOKUP($A249,'Niteesh''s data'!$A$2:$I$313,4,FALSE)</f>
        <v>1426.6800539999999</v>
      </c>
      <c r="Q249">
        <f>VLOOKUP($A249,'Niteesh''s data'!$A$2:$I$313,5,FALSE)</f>
        <v>1354.650024</v>
      </c>
      <c r="R249">
        <f>VLOOKUP($A249,'Niteesh''s data'!$A$2:$I$313,6,FALSE)</f>
        <v>1406.579956</v>
      </c>
      <c r="S249">
        <f>VLOOKUP($A249,'Niteesh''s data'!$A$2:$I$313,7,FALSE)</f>
        <v>1406.579956</v>
      </c>
      <c r="T249">
        <f>VLOOKUP($A249,'Niteesh''s data'!$A$2:$I$313,8,FALSE)</f>
        <v>70283810000</v>
      </c>
      <c r="U249" s="61">
        <f>VLOOKUP($A249,'Niteesh''s data'!$A$2:$I$313,9,FALSE)</f>
        <v>7.6E-3</v>
      </c>
      <c r="V249">
        <f>VLOOKUP(A249,'Existing home Sales'!$A$2:$C$324,3,FALSE)</f>
        <v>4.47</v>
      </c>
      <c r="W249" s="8">
        <v>2</v>
      </c>
      <c r="X249">
        <f>IFERROR(VLOOKUP(A249,'Home Depot Gross Profit'!$A$1:$B$105,2,FALSE)/3,IF(W249=2,X248,X248))</f>
        <v>2342</v>
      </c>
      <c r="Y249">
        <f>IFERROR(VLOOKUP(A249,'LOWE''S GROSS PROFIT'!$A$1:$B$105,2,FALSE)/3,IF(X249=2,Y248/3,Y248))</f>
        <v>1611.3333333333333</v>
      </c>
      <c r="Z249" s="8">
        <v>3.59</v>
      </c>
      <c r="AA249">
        <v>5648</v>
      </c>
      <c r="AB249">
        <f>VLOOKUP(A249,'[1]Fed_Int (1)'!$A$2:$B$316,2,FALSE)</f>
        <v>0.13</v>
      </c>
      <c r="AC249" s="8">
        <v>52.310001</v>
      </c>
      <c r="AD249" s="8">
        <v>57.18</v>
      </c>
      <c r="AE249" s="8">
        <v>51.209999000000003</v>
      </c>
      <c r="AF249" s="8">
        <v>56.75</v>
      </c>
      <c r="AG249" s="8">
        <v>50.281222999999997</v>
      </c>
      <c r="AH249" s="8">
        <v>188405400</v>
      </c>
      <c r="AI249" s="8">
        <v>25.440000999999999</v>
      </c>
      <c r="AJ249" s="8">
        <v>28.709999</v>
      </c>
      <c r="AK249" s="8">
        <v>24.76</v>
      </c>
      <c r="AL249" s="8">
        <v>28.48</v>
      </c>
      <c r="AM249" s="8">
        <v>25.944613</v>
      </c>
      <c r="AN249" s="8">
        <v>353219500</v>
      </c>
    </row>
    <row r="250" spans="1:40" x14ac:dyDescent="0.35">
      <c r="A250" s="1">
        <v>41153</v>
      </c>
      <c r="B250" s="13">
        <f t="shared" si="6"/>
        <v>9</v>
      </c>
      <c r="C250" s="13">
        <f t="shared" si="7"/>
        <v>2012</v>
      </c>
      <c r="D250" s="2">
        <v>23719</v>
      </c>
      <c r="E250">
        <f>VLOOKUP(A250,PSR!$A$12:$B$721,2,FALSE)</f>
        <v>7.2</v>
      </c>
      <c r="F250">
        <f>VLOOKUP(A250,CCI_USA!$F$2:$H$317,3,FALSE)</f>
        <v>99.022760000000005</v>
      </c>
      <c r="G250">
        <f>INDEX('BLS Data Series'!$A$11:$M$39,MATCH('UI Datathon Development'!C250,'BLS Data Series'!$A$13:$A$39,0)+2,MATCH('UI Datathon Development'!B250,'BLS Data Series'!$B$11:$M$11,0)+1)</f>
        <v>7.8</v>
      </c>
      <c r="H250">
        <f>VLOOKUP(A250,'Houses for sale'!$B$10:$I$671,8,FALSE)</f>
        <v>144</v>
      </c>
      <c r="I250">
        <f>VLOOKUP(A250,'House starts'!$A$12:$B$325,2,FALSE)</f>
        <v>847</v>
      </c>
      <c r="J250">
        <f>VLOOKUP(A250,'New house sales'!$A$13:$C$324,3,FALSE)</f>
        <v>254600</v>
      </c>
      <c r="K250">
        <f>VLOOKUP($A250,'Sreenath''s data'!$A$2:$F$313,3,FALSE)</f>
        <v>144.36799999999999</v>
      </c>
      <c r="L250">
        <f>VLOOKUP($A250,'Sreenath''s data'!$A$2:$F$313,4,FALSE)</f>
        <v>6725.8</v>
      </c>
      <c r="M250">
        <f>VLOOKUP($A250,'Sreenath''s data'!$A$2:$F$313,5,FALSE)</f>
        <v>114916</v>
      </c>
      <c r="N250">
        <f>VLOOKUP($A250,'Sreenath''s data'!$A$2:$F$313,6,FALSE)</f>
        <v>103.960235373209</v>
      </c>
      <c r="O250">
        <f>VLOOKUP($A250,'Niteesh''s data'!$A$2:$I$313,3,FALSE)</f>
        <v>1406.540039</v>
      </c>
      <c r="P250">
        <f>VLOOKUP($A250,'Niteesh''s data'!$A$2:$I$313,4,FALSE)</f>
        <v>1474.51001</v>
      </c>
      <c r="Q250">
        <f>VLOOKUP($A250,'Niteesh''s data'!$A$2:$I$313,5,FALSE)</f>
        <v>1396.5600589999999</v>
      </c>
      <c r="R250">
        <f>VLOOKUP($A250,'Niteesh''s data'!$A$2:$I$313,6,FALSE)</f>
        <v>1440.670044</v>
      </c>
      <c r="S250">
        <f>VLOOKUP($A250,'Niteesh''s data'!$A$2:$I$313,7,FALSE)</f>
        <v>1440.670044</v>
      </c>
      <c r="T250">
        <f>VLOOKUP($A250,'Niteesh''s data'!$A$2:$I$313,8,FALSE)</f>
        <v>69784280000</v>
      </c>
      <c r="U250" s="61">
        <f>VLOOKUP($A250,'Niteesh''s data'!$A$2:$I$313,9,FALSE)</f>
        <v>7.4999999999999997E-3</v>
      </c>
      <c r="V250">
        <f>VLOOKUP(A250,'Existing home Sales'!$A$2:$C$324,3,FALSE)</f>
        <v>4.82</v>
      </c>
      <c r="W250" s="8">
        <v>3</v>
      </c>
      <c r="X250">
        <f>IFERROR(VLOOKUP(A250,'Home Depot Gross Profit'!$A$1:$B$105,2,FALSE)/3,IF(W250=2,X249,X249))</f>
        <v>2342</v>
      </c>
      <c r="Y250">
        <f>IFERROR(VLOOKUP(A250,'LOWE''S GROSS PROFIT'!$A$1:$B$105,2,FALSE)/3,IF(X250=2,Y249/3,Y249))</f>
        <v>1611.3333333333333</v>
      </c>
      <c r="Z250" s="8">
        <v>3.52</v>
      </c>
      <c r="AA250">
        <v>5661</v>
      </c>
      <c r="AB250">
        <f>VLOOKUP(A250,'[1]Fed_Int (1)'!$A$2:$B$316,2,FALSE)</f>
        <v>0.14000000000000001</v>
      </c>
      <c r="AC250" s="8">
        <v>56.790000999999997</v>
      </c>
      <c r="AD250" s="8">
        <v>60.580002</v>
      </c>
      <c r="AE250" s="8">
        <v>56.369999</v>
      </c>
      <c r="AF250" s="8">
        <v>60.369999</v>
      </c>
      <c r="AG250" s="8">
        <v>53.763714</v>
      </c>
      <c r="AH250" s="8">
        <v>144599900</v>
      </c>
      <c r="AI250" s="8">
        <v>28.559999000000001</v>
      </c>
      <c r="AJ250" s="8">
        <v>30.559999000000001</v>
      </c>
      <c r="AK250" s="8">
        <v>27.809999000000001</v>
      </c>
      <c r="AL250" s="8">
        <v>30.24</v>
      </c>
      <c r="AM250" s="8">
        <v>27.547934000000001</v>
      </c>
      <c r="AN250" s="8">
        <v>245529100</v>
      </c>
    </row>
    <row r="251" spans="1:40" x14ac:dyDescent="0.35">
      <c r="A251" s="1">
        <v>41183</v>
      </c>
      <c r="B251" s="13">
        <f t="shared" si="6"/>
        <v>10</v>
      </c>
      <c r="C251" s="13">
        <f t="shared" si="7"/>
        <v>2012</v>
      </c>
      <c r="D251" s="2">
        <v>23790</v>
      </c>
      <c r="E251">
        <f>VLOOKUP(A251,PSR!$A$12:$B$721,2,FALSE)</f>
        <v>7.8</v>
      </c>
      <c r="F251">
        <f>VLOOKUP(A251,CCI_USA!$F$2:$H$317,3,FALSE)</f>
        <v>99.249499999999998</v>
      </c>
      <c r="G251">
        <f>INDEX('BLS Data Series'!$A$11:$M$39,MATCH('UI Datathon Development'!C251,'BLS Data Series'!$A$13:$A$39,0)+2,MATCH('UI Datathon Development'!B251,'BLS Data Series'!$B$11:$M$11,0)+1)</f>
        <v>7.8</v>
      </c>
      <c r="H251">
        <f>VLOOKUP(A251,'Houses for sale'!$B$10:$I$671,8,FALSE)</f>
        <v>147</v>
      </c>
      <c r="I251">
        <f>VLOOKUP(A251,'House starts'!$A$12:$B$325,2,FALSE)</f>
        <v>915</v>
      </c>
      <c r="J251">
        <f>VLOOKUP(A251,'New house sales'!$A$13:$C$324,3,FALSE)</f>
        <v>247200</v>
      </c>
      <c r="K251">
        <f>VLOOKUP($A251,'Sreenath''s data'!$A$2:$F$313,3,FALSE)</f>
        <v>143.97999999999999</v>
      </c>
      <c r="L251">
        <f>VLOOKUP($A251,'Sreenath''s data'!$A$2:$F$313,4,FALSE)</f>
        <v>6682.5</v>
      </c>
      <c r="M251">
        <f>VLOOKUP($A251,'Sreenath''s data'!$A$2:$F$313,5,FALSE)</f>
        <v>115116</v>
      </c>
      <c r="N251">
        <f>VLOOKUP($A251,'Sreenath''s data'!$A$2:$F$313,6,FALSE)</f>
        <v>104.192440393628</v>
      </c>
      <c r="O251">
        <f>VLOOKUP($A251,'Niteesh''s data'!$A$2:$I$313,3,FALSE)</f>
        <v>1440.900024</v>
      </c>
      <c r="P251">
        <f>VLOOKUP($A251,'Niteesh''s data'!$A$2:$I$313,4,FALSE)</f>
        <v>1470.959961</v>
      </c>
      <c r="Q251">
        <f>VLOOKUP($A251,'Niteesh''s data'!$A$2:$I$313,5,FALSE)</f>
        <v>1403.280029</v>
      </c>
      <c r="R251">
        <f>VLOOKUP($A251,'Niteesh''s data'!$A$2:$I$313,6,FALSE)</f>
        <v>1412.160034</v>
      </c>
      <c r="S251">
        <f>VLOOKUP($A251,'Niteesh''s data'!$A$2:$I$313,7,FALSE)</f>
        <v>1412.160034</v>
      </c>
      <c r="T251">
        <f>VLOOKUP($A251,'Niteesh''s data'!$A$2:$I$313,8,FALSE)</f>
        <v>71752320000</v>
      </c>
      <c r="U251" s="61">
        <f>VLOOKUP($A251,'Niteesh''s data'!$A$2:$I$313,9,FALSE)</f>
        <v>7.4000000000000003E-3</v>
      </c>
      <c r="V251">
        <f>VLOOKUP(A251,'Existing home Sales'!$A$2:$C$324,3,FALSE)</f>
        <v>4.75</v>
      </c>
      <c r="W251" s="8">
        <v>1</v>
      </c>
      <c r="X251">
        <f>IFERROR(VLOOKUP(A251,'Home Depot Gross Profit'!$A$1:$B$105,2,FALSE)/3,IF(W251=2,X250,X250))</f>
        <v>2089</v>
      </c>
      <c r="Y251">
        <f>IFERROR(VLOOKUP(A251,'LOWE''S GROSS PROFIT'!$A$1:$B$105,2,FALSE)/3,IF(X251=2,Y250/3,Y250))</f>
        <v>1381</v>
      </c>
      <c r="Z251" s="8">
        <v>3.38</v>
      </c>
      <c r="AA251">
        <v>5674</v>
      </c>
      <c r="AB251">
        <f>VLOOKUP(A251,'[1]Fed_Int (1)'!$A$2:$B$316,2,FALSE)</f>
        <v>0.16</v>
      </c>
      <c r="AC251" s="8">
        <v>60.77</v>
      </c>
      <c r="AD251" s="8">
        <v>63.200001</v>
      </c>
      <c r="AE251" s="8">
        <v>58.75</v>
      </c>
      <c r="AF251" s="8">
        <v>61.380001</v>
      </c>
      <c r="AG251" s="8">
        <v>54.663207999999997</v>
      </c>
      <c r="AH251" s="8">
        <v>197653000</v>
      </c>
      <c r="AI251" s="8">
        <v>30.309999000000001</v>
      </c>
      <c r="AJ251" s="8">
        <v>33.290000999999997</v>
      </c>
      <c r="AK251" s="8">
        <v>30.040001</v>
      </c>
      <c r="AL251" s="8">
        <v>32.380001</v>
      </c>
      <c r="AM251" s="8">
        <v>29.497429</v>
      </c>
      <c r="AN251" s="8">
        <v>236740500</v>
      </c>
    </row>
    <row r="252" spans="1:40" x14ac:dyDescent="0.35">
      <c r="A252" s="1">
        <v>41214</v>
      </c>
      <c r="B252" s="13">
        <f t="shared" si="6"/>
        <v>11</v>
      </c>
      <c r="C252" s="13">
        <f t="shared" si="7"/>
        <v>2012</v>
      </c>
      <c r="D252" s="2">
        <v>24126</v>
      </c>
      <c r="E252">
        <f>VLOOKUP(A252,PSR!$A$12:$B$721,2,FALSE)</f>
        <v>8.8000000000000007</v>
      </c>
      <c r="F252">
        <f>VLOOKUP(A252,CCI_USA!$F$2:$H$317,3,FALSE)</f>
        <v>99.163139999999999</v>
      </c>
      <c r="G252">
        <f>INDEX('BLS Data Series'!$A$11:$M$39,MATCH('UI Datathon Development'!C252,'BLS Data Series'!$A$13:$A$39,0)+2,MATCH('UI Datathon Development'!B252,'BLS Data Series'!$B$11:$M$11,0)+1)</f>
        <v>7.7</v>
      </c>
      <c r="H252">
        <f>VLOOKUP(A252,'Houses for sale'!$B$10:$I$671,8,FALSE)</f>
        <v>150</v>
      </c>
      <c r="I252">
        <f>VLOOKUP(A252,'House starts'!$A$12:$B$325,2,FALSE)</f>
        <v>833</v>
      </c>
      <c r="J252">
        <f>VLOOKUP(A252,'New house sales'!$A$13:$C$324,3,FALSE)</f>
        <v>245000</v>
      </c>
      <c r="K252">
        <f>VLOOKUP($A252,'Sreenath''s data'!$A$2:$F$313,3,FALSE)</f>
        <v>143.97499999999999</v>
      </c>
      <c r="L252">
        <f>VLOOKUP($A252,'Sreenath''s data'!$A$2:$F$313,4,FALSE)</f>
        <v>6685.9</v>
      </c>
      <c r="M252">
        <f>VLOOKUP($A252,'Sreenath''s data'!$A$2:$F$313,5,FALSE)</f>
        <v>114953</v>
      </c>
      <c r="N252">
        <f>VLOOKUP($A252,'Sreenath''s data'!$A$2:$F$313,6,FALSE)</f>
        <v>104.25580415959899</v>
      </c>
      <c r="O252">
        <f>VLOOKUP($A252,'Niteesh''s data'!$A$2:$I$313,3,FALSE)</f>
        <v>1412.1999510000001</v>
      </c>
      <c r="P252">
        <f>VLOOKUP($A252,'Niteesh''s data'!$A$2:$I$313,4,FALSE)</f>
        <v>1434.2700199999999</v>
      </c>
      <c r="Q252">
        <f>VLOOKUP($A252,'Niteesh''s data'!$A$2:$I$313,5,FALSE)</f>
        <v>1343.349976</v>
      </c>
      <c r="R252">
        <f>VLOOKUP($A252,'Niteesh''s data'!$A$2:$I$313,6,FALSE)</f>
        <v>1416.1800539999999</v>
      </c>
      <c r="S252">
        <f>VLOOKUP($A252,'Niteesh''s data'!$A$2:$I$313,7,FALSE)</f>
        <v>1416.1800539999999</v>
      </c>
      <c r="T252">
        <f>VLOOKUP($A252,'Niteesh''s data'!$A$2:$I$313,8,FALSE)</f>
        <v>71489310000</v>
      </c>
      <c r="U252" s="61">
        <f>VLOOKUP($A252,'Niteesh''s data'!$A$2:$I$313,9,FALSE)</f>
        <v>7.4000000000000003E-3</v>
      </c>
      <c r="V252">
        <f>VLOOKUP(A252,'Existing home Sales'!$A$2:$C$324,3,FALSE)</f>
        <v>4.79</v>
      </c>
      <c r="W252" s="8">
        <v>2</v>
      </c>
      <c r="X252">
        <f>IFERROR(VLOOKUP(A252,'Home Depot Gross Profit'!$A$1:$B$105,2,FALSE)/3,IF(W252=2,X251,X251))</f>
        <v>2089</v>
      </c>
      <c r="Y252">
        <f>IFERROR(VLOOKUP(A252,'LOWE''S GROSS PROFIT'!$A$1:$B$105,2,FALSE)/3,IF(X252=2,Y251/3,Y251))</f>
        <v>1381</v>
      </c>
      <c r="Z252" s="8">
        <v>3.34</v>
      </c>
      <c r="AA252">
        <v>5684</v>
      </c>
      <c r="AB252">
        <f>VLOOKUP(A252,'[1]Fed_Int (1)'!$A$2:$B$316,2,FALSE)</f>
        <v>0.16</v>
      </c>
      <c r="AC252" s="8">
        <v>61.950001</v>
      </c>
      <c r="AD252" s="8">
        <v>65.230002999999996</v>
      </c>
      <c r="AE252" s="8">
        <v>60.310001</v>
      </c>
      <c r="AF252" s="8">
        <v>65.069999999999993</v>
      </c>
      <c r="AG252" s="8">
        <v>57.949406000000003</v>
      </c>
      <c r="AH252" s="8">
        <v>178244000</v>
      </c>
      <c r="AI252" s="8">
        <v>32.590000000000003</v>
      </c>
      <c r="AJ252" s="8">
        <v>36.270000000000003</v>
      </c>
      <c r="AK252" s="8">
        <v>31.23</v>
      </c>
      <c r="AL252" s="8">
        <v>36.090000000000003</v>
      </c>
      <c r="AM252" s="8">
        <v>33.039107999999999</v>
      </c>
      <c r="AN252" s="8">
        <v>271673700</v>
      </c>
    </row>
    <row r="253" spans="1:40" x14ac:dyDescent="0.35">
      <c r="A253" s="1">
        <v>41244</v>
      </c>
      <c r="B253" s="13">
        <f t="shared" si="6"/>
        <v>12</v>
      </c>
      <c r="C253" s="13">
        <f t="shared" si="7"/>
        <v>2012</v>
      </c>
      <c r="D253" s="2">
        <v>24135</v>
      </c>
      <c r="E253">
        <f>VLOOKUP(A253,PSR!$A$12:$B$721,2,FALSE)</f>
        <v>11</v>
      </c>
      <c r="F253">
        <f>VLOOKUP(A253,CCI_USA!$F$2:$H$317,3,FALSE)</f>
        <v>98.829310000000007</v>
      </c>
      <c r="G253">
        <f>INDEX('BLS Data Series'!$A$11:$M$39,MATCH('UI Datathon Development'!C253,'BLS Data Series'!$A$13:$A$39,0)+2,MATCH('UI Datathon Development'!B253,'BLS Data Series'!$B$11:$M$11,0)+1)</f>
        <v>7.9</v>
      </c>
      <c r="H253">
        <f>VLOOKUP(A253,'Houses for sale'!$B$10:$I$671,8,FALSE)</f>
        <v>150</v>
      </c>
      <c r="I253">
        <f>VLOOKUP(A253,'House starts'!$A$12:$B$325,2,FALSE)</f>
        <v>976</v>
      </c>
      <c r="J253">
        <f>VLOOKUP(A253,'New house sales'!$A$13:$C$324,3,FALSE)</f>
        <v>258300</v>
      </c>
      <c r="K253">
        <f>VLOOKUP($A253,'Sreenath''s data'!$A$2:$F$313,3,FALSE)</f>
        <v>143.88299999999899</v>
      </c>
      <c r="L253">
        <f>VLOOKUP($A253,'Sreenath''s data'!$A$2:$F$313,4,FALSE)</f>
        <v>6922.8</v>
      </c>
      <c r="M253">
        <f>VLOOKUP($A253,'Sreenath''s data'!$A$2:$F$313,5,FALSE)</f>
        <v>115031</v>
      </c>
      <c r="N253">
        <f>VLOOKUP($A253,'Sreenath''s data'!$A$2:$F$313,6,FALSE)</f>
        <v>104.36553165676899</v>
      </c>
      <c r="O253">
        <f>VLOOKUP($A253,'Niteesh''s data'!$A$2:$I$313,3,FALSE)</f>
        <v>1416.339966</v>
      </c>
      <c r="P253">
        <f>VLOOKUP($A253,'Niteesh''s data'!$A$2:$I$313,4,FALSE)</f>
        <v>1448</v>
      </c>
      <c r="Q253">
        <f>VLOOKUP($A253,'Niteesh''s data'!$A$2:$I$313,5,FALSE)</f>
        <v>1398.1099850000001</v>
      </c>
      <c r="R253">
        <f>VLOOKUP($A253,'Niteesh''s data'!$A$2:$I$313,6,FALSE)</f>
        <v>1426.1899410000001</v>
      </c>
      <c r="S253">
        <f>VLOOKUP($A253,'Niteesh''s data'!$A$2:$I$313,7,FALSE)</f>
        <v>1426.1899410000001</v>
      </c>
      <c r="T253">
        <f>VLOOKUP($A253,'Niteesh''s data'!$A$2:$I$313,8,FALSE)</f>
        <v>66388180000</v>
      </c>
      <c r="U253" s="61">
        <f>VLOOKUP($A253,'Niteesh''s data'!$A$2:$I$313,9,FALSE)</f>
        <v>7.1999999999999998E-3</v>
      </c>
      <c r="V253">
        <f>VLOOKUP(A253,'Existing home Sales'!$A$2:$C$324,3,FALSE)</f>
        <v>5.04</v>
      </c>
      <c r="W253" s="8">
        <v>3</v>
      </c>
      <c r="X253">
        <f>IFERROR(VLOOKUP(A253,'Home Depot Gross Profit'!$A$1:$B$105,2,FALSE)/3,IF(W253=2,X252,X252))</f>
        <v>2089</v>
      </c>
      <c r="Y253">
        <f>IFERROR(VLOOKUP(A253,'LOWE''S GROSS PROFIT'!$A$1:$B$105,2,FALSE)/3,IF(X253=2,Y252/3,Y252))</f>
        <v>1381</v>
      </c>
      <c r="Z253" s="8">
        <v>3.34499999999999</v>
      </c>
      <c r="AA253">
        <v>5724</v>
      </c>
      <c r="AB253">
        <f>VLOOKUP(A253,'[1]Fed_Int (1)'!$A$2:$B$316,2,FALSE)</f>
        <v>0.16</v>
      </c>
      <c r="AC253" s="8">
        <v>65</v>
      </c>
      <c r="AD253" s="8">
        <v>65.919998000000007</v>
      </c>
      <c r="AE253" s="8">
        <v>60.209999000000003</v>
      </c>
      <c r="AF253" s="8">
        <v>61.849997999999999</v>
      </c>
      <c r="AG253" s="8">
        <v>55.329886999999999</v>
      </c>
      <c r="AH253" s="8">
        <v>143325700</v>
      </c>
      <c r="AI253" s="8">
        <v>35.93</v>
      </c>
      <c r="AJ253" s="8">
        <v>36.470001000000003</v>
      </c>
      <c r="AK253" s="8">
        <v>34.200001</v>
      </c>
      <c r="AL253" s="8">
        <v>35.520000000000003</v>
      </c>
      <c r="AM253" s="8">
        <v>32.517296000000002</v>
      </c>
      <c r="AN253" s="8">
        <v>203661300</v>
      </c>
    </row>
    <row r="254" spans="1:40" x14ac:dyDescent="0.35">
      <c r="A254" s="1">
        <v>41275</v>
      </c>
      <c r="B254" s="13">
        <f t="shared" si="6"/>
        <v>1</v>
      </c>
      <c r="C254" s="13">
        <f t="shared" si="7"/>
        <v>2013</v>
      </c>
      <c r="D254" s="2">
        <v>24431</v>
      </c>
      <c r="E254">
        <f>VLOOKUP(A254,PSR!$A$12:$B$721,2,FALSE)</f>
        <v>4.9000000000000004</v>
      </c>
      <c r="F254">
        <f>VLOOKUP(A254,CCI_USA!$F$2:$H$317,3,FALSE)</f>
        <v>98.700950000000006</v>
      </c>
      <c r="G254">
        <f>INDEX('BLS Data Series'!$A$11:$M$39,MATCH('UI Datathon Development'!C254,'BLS Data Series'!$A$13:$A$39,0)+2,MATCH('UI Datathon Development'!B254,'BLS Data Series'!$B$11:$M$11,0)+1)</f>
        <v>8</v>
      </c>
      <c r="H254">
        <f>VLOOKUP(A254,'Houses for sale'!$B$10:$I$671,8,FALSE)</f>
        <v>149</v>
      </c>
      <c r="I254">
        <f>VLOOKUP(A254,'House starts'!$A$12:$B$325,2,FALSE)</f>
        <v>888</v>
      </c>
      <c r="J254">
        <f>VLOOKUP(A254,'New house sales'!$A$13:$C$324,3,FALSE)</f>
        <v>251500</v>
      </c>
      <c r="K254">
        <f>VLOOKUP($A254,'Sreenath''s data'!$A$2:$F$313,3,FALSE)</f>
        <v>144.32599999999999</v>
      </c>
      <c r="L254">
        <f>VLOOKUP($A254,'Sreenath''s data'!$A$2:$F$313,4,FALSE)</f>
        <v>6793.6</v>
      </c>
      <c r="M254">
        <f>VLOOKUP($A254,'Sreenath''s data'!$A$2:$F$313,5,FALSE)</f>
        <v>114786</v>
      </c>
      <c r="N254">
        <f>VLOOKUP($A254,'Sreenath''s data'!$A$2:$F$313,6,FALSE)</f>
        <v>104.66612318070599</v>
      </c>
      <c r="O254">
        <f>VLOOKUP($A254,'Niteesh''s data'!$A$2:$I$313,3,FALSE)</f>
        <v>1426.1899410000001</v>
      </c>
      <c r="P254">
        <f>VLOOKUP($A254,'Niteesh''s data'!$A$2:$I$313,4,FALSE)</f>
        <v>1509.9399410000001</v>
      </c>
      <c r="Q254">
        <f>VLOOKUP($A254,'Niteesh''s data'!$A$2:$I$313,5,FALSE)</f>
        <v>1426.1899410000001</v>
      </c>
      <c r="R254">
        <f>VLOOKUP($A254,'Niteesh''s data'!$A$2:$I$313,6,FALSE)</f>
        <v>1498.1099850000001</v>
      </c>
      <c r="S254">
        <f>VLOOKUP($A254,'Niteesh''s data'!$A$2:$I$313,7,FALSE)</f>
        <v>1498.1099850000001</v>
      </c>
      <c r="T254">
        <f>VLOOKUP($A254,'Niteesh''s data'!$A$2:$I$313,8,FALSE)</f>
        <v>75848510000</v>
      </c>
      <c r="U254" s="61">
        <f>VLOOKUP($A254,'Niteesh''s data'!$A$2:$I$313,9,FALSE)</f>
        <v>7.1999999999999998E-3</v>
      </c>
      <c r="V254">
        <f>VLOOKUP(A254,'Existing home Sales'!$A$2:$C$324,3,FALSE)</f>
        <v>4.9400000000000004</v>
      </c>
      <c r="W254" s="8">
        <v>1</v>
      </c>
      <c r="X254">
        <f>IFERROR(VLOOKUP(A254,'Home Depot Gross Profit'!$A$1:$B$105,2,FALSE)/3,IF(W254=2,X253,X253))</f>
        <v>2122</v>
      </c>
      <c r="Y254">
        <f>IFERROR(VLOOKUP(A254,'LOWE''S GROSS PROFIT'!$A$1:$B$105,2,FALSE)/3,IF(X254=2,Y253/3,Y253))</f>
        <v>1261.6666666666667</v>
      </c>
      <c r="Z254" s="8">
        <v>3.4</v>
      </c>
      <c r="AA254">
        <v>5746</v>
      </c>
      <c r="AB254">
        <f>VLOOKUP(A254,'[1]Fed_Int (1)'!$A$2:$B$316,2,FALSE)</f>
        <v>0.14000000000000001</v>
      </c>
      <c r="AC254" s="8">
        <v>63.57</v>
      </c>
      <c r="AD254" s="8">
        <v>68.150002000000001</v>
      </c>
      <c r="AE254" s="8">
        <v>62.380001</v>
      </c>
      <c r="AF254" s="8">
        <v>66.919998000000007</v>
      </c>
      <c r="AG254" s="8">
        <v>59.865417000000001</v>
      </c>
      <c r="AH254" s="8">
        <v>127826000</v>
      </c>
      <c r="AI254" s="8">
        <v>36.130001</v>
      </c>
      <c r="AJ254" s="8">
        <v>39.259998000000003</v>
      </c>
      <c r="AK254" s="8">
        <v>34.43</v>
      </c>
      <c r="AL254" s="8">
        <v>38.189999</v>
      </c>
      <c r="AM254" s="8">
        <v>34.961582</v>
      </c>
      <c r="AN254" s="8">
        <v>193293100</v>
      </c>
    </row>
    <row r="255" spans="1:40" x14ac:dyDescent="0.35">
      <c r="A255" s="1">
        <v>41306</v>
      </c>
      <c r="B255" s="13">
        <f t="shared" si="6"/>
        <v>2</v>
      </c>
      <c r="C255" s="13">
        <f t="shared" si="7"/>
        <v>2013</v>
      </c>
      <c r="D255" s="2">
        <v>24818</v>
      </c>
      <c r="E255">
        <f>VLOOKUP(A255,PSR!$A$12:$B$721,2,FALSE)</f>
        <v>4.7</v>
      </c>
      <c r="F255">
        <f>VLOOKUP(A255,CCI_USA!$F$2:$H$317,3,FALSE)</f>
        <v>98.803910000000002</v>
      </c>
      <c r="G255">
        <f>INDEX('BLS Data Series'!$A$11:$M$39,MATCH('UI Datathon Development'!C255,'BLS Data Series'!$A$13:$A$39,0)+2,MATCH('UI Datathon Development'!B255,'BLS Data Series'!$B$11:$M$11,0)+1)</f>
        <v>7.7</v>
      </c>
      <c r="H255">
        <f>VLOOKUP(A255,'Houses for sale'!$B$10:$I$671,8,FALSE)</f>
        <v>153</v>
      </c>
      <c r="I255">
        <f>VLOOKUP(A255,'House starts'!$A$12:$B$325,2,FALSE)</f>
        <v>970</v>
      </c>
      <c r="J255">
        <f>VLOOKUP(A255,'New house sales'!$A$13:$C$324,3,FALSE)</f>
        <v>265100</v>
      </c>
      <c r="K255">
        <f>VLOOKUP($A255,'Sreenath''s data'!$A$2:$F$313,3,FALSE)</f>
        <v>145.17400000000001</v>
      </c>
      <c r="L255">
        <f>VLOOKUP($A255,'Sreenath''s data'!$A$2:$F$313,4,FALSE)</f>
        <v>6817.1</v>
      </c>
      <c r="M255">
        <f>VLOOKUP($A255,'Sreenath''s data'!$A$2:$F$313,5,FALSE)</f>
        <v>114714</v>
      </c>
      <c r="N255">
        <f>VLOOKUP($A255,'Sreenath''s data'!$A$2:$F$313,6,FALSE)</f>
        <v>104.930010084112</v>
      </c>
      <c r="O255">
        <f>VLOOKUP($A255,'Niteesh''s data'!$A$2:$I$313,3,FALSE)</f>
        <v>1498.1099850000001</v>
      </c>
      <c r="P255">
        <f>VLOOKUP($A255,'Niteesh''s data'!$A$2:$I$313,4,FALSE)</f>
        <v>1530.9399410000001</v>
      </c>
      <c r="Q255">
        <f>VLOOKUP($A255,'Niteesh''s data'!$A$2:$I$313,5,FALSE)</f>
        <v>1485.01001</v>
      </c>
      <c r="R255">
        <f>VLOOKUP($A255,'Niteesh''s data'!$A$2:$I$313,6,FALSE)</f>
        <v>1514.6800539999999</v>
      </c>
      <c r="S255">
        <f>VLOOKUP($A255,'Niteesh''s data'!$A$2:$I$313,7,FALSE)</f>
        <v>1514.6800539999999</v>
      </c>
      <c r="T255">
        <f>VLOOKUP($A255,'Niteesh''s data'!$A$2:$I$313,8,FALSE)</f>
        <v>69273480000</v>
      </c>
      <c r="U255" s="61">
        <f>VLOOKUP($A255,'Niteesh''s data'!$A$2:$I$313,9,FALSE)</f>
        <v>7.1000000000000004E-3</v>
      </c>
      <c r="V255">
        <f>VLOOKUP(A255,'Existing home Sales'!$A$2:$C$324,3,FALSE)</f>
        <v>4.92</v>
      </c>
      <c r="W255" s="8">
        <v>2</v>
      </c>
      <c r="X255">
        <f>IFERROR(VLOOKUP(A255,'Home Depot Gross Profit'!$A$1:$B$105,2,FALSE)/3,IF(W255=2,X254,X254))</f>
        <v>2122</v>
      </c>
      <c r="Y255">
        <f>IFERROR(VLOOKUP(A255,'LOWE''S GROSS PROFIT'!$A$1:$B$105,2,FALSE)/3,IF(X255=2,Y254/3,Y254))</f>
        <v>1261.6666666666667</v>
      </c>
      <c r="Z255" s="8">
        <v>3.53</v>
      </c>
      <c r="AA255">
        <v>5784</v>
      </c>
      <c r="AB255">
        <f>VLOOKUP(A255,'[1]Fed_Int (1)'!$A$2:$B$316,2,FALSE)</f>
        <v>0.15</v>
      </c>
      <c r="AC255" s="8">
        <v>67.620002999999997</v>
      </c>
      <c r="AD255" s="8">
        <v>69.190002000000007</v>
      </c>
      <c r="AE255" s="8">
        <v>63.82</v>
      </c>
      <c r="AF255" s="8">
        <v>68.5</v>
      </c>
      <c r="AG255" s="8">
        <v>61.278851000000003</v>
      </c>
      <c r="AH255" s="8">
        <v>143475800</v>
      </c>
      <c r="AI255" s="8">
        <v>38.450001</v>
      </c>
      <c r="AJ255" s="8">
        <v>39.979999999999997</v>
      </c>
      <c r="AK255" s="8">
        <v>35.860000999999997</v>
      </c>
      <c r="AL255" s="8">
        <v>38.150002000000001</v>
      </c>
      <c r="AM255" s="8">
        <v>35.076644999999999</v>
      </c>
      <c r="AN255" s="8">
        <v>198474000</v>
      </c>
    </row>
    <row r="256" spans="1:40" x14ac:dyDescent="0.35">
      <c r="A256" s="1">
        <v>41334</v>
      </c>
      <c r="B256" s="13">
        <f t="shared" si="6"/>
        <v>3</v>
      </c>
      <c r="C256" s="13">
        <f t="shared" si="7"/>
        <v>2013</v>
      </c>
      <c r="D256" s="2">
        <v>24709</v>
      </c>
      <c r="E256">
        <f>VLOOKUP(A256,PSR!$A$12:$B$721,2,FALSE)</f>
        <v>4.8</v>
      </c>
      <c r="F256">
        <f>VLOOKUP(A256,CCI_USA!$F$2:$H$317,3,FALSE)</f>
        <v>98.970669999999998</v>
      </c>
      <c r="G256">
        <f>INDEX('BLS Data Series'!$A$11:$M$39,MATCH('UI Datathon Development'!C256,'BLS Data Series'!$A$13:$A$39,0)+2,MATCH('UI Datathon Development'!B256,'BLS Data Series'!$B$11:$M$11,0)+1)</f>
        <v>7.5</v>
      </c>
      <c r="H256">
        <f>VLOOKUP(A256,'Houses for sale'!$B$10:$I$671,8,FALSE)</f>
        <v>154</v>
      </c>
      <c r="I256">
        <f>VLOOKUP(A256,'House starts'!$A$12:$B$325,2,FALSE)</f>
        <v>999</v>
      </c>
      <c r="J256">
        <f>VLOOKUP(A256,'New house sales'!$A$13:$C$324,3,FALSE)</f>
        <v>257500</v>
      </c>
      <c r="K256">
        <f>VLOOKUP($A256,'Sreenath''s data'!$A$2:$F$313,3,FALSE)</f>
        <v>147.97799999999901</v>
      </c>
      <c r="L256">
        <f>VLOOKUP($A256,'Sreenath''s data'!$A$2:$F$313,4,FALSE)</f>
        <v>6794.6</v>
      </c>
      <c r="M256">
        <f>VLOOKUP($A256,'Sreenath''s data'!$A$2:$F$313,5,FALSE)</f>
        <v>114430</v>
      </c>
      <c r="N256">
        <f>VLOOKUP($A256,'Sreenath''s data'!$A$2:$F$313,6,FALSE)</f>
        <v>105.178828774877</v>
      </c>
      <c r="O256">
        <f>VLOOKUP($A256,'Niteesh''s data'!$A$2:$I$313,3,FALSE)</f>
        <v>1514.6800539999999</v>
      </c>
      <c r="P256">
        <f>VLOOKUP($A256,'Niteesh''s data'!$A$2:$I$313,4,FALSE)</f>
        <v>1570.280029</v>
      </c>
      <c r="Q256">
        <f>VLOOKUP($A256,'Niteesh''s data'!$A$2:$I$313,5,FALSE)</f>
        <v>1501.4799800000001</v>
      </c>
      <c r="R256">
        <f>VLOOKUP($A256,'Niteesh''s data'!$A$2:$I$313,6,FALSE)</f>
        <v>1569.1899410000001</v>
      </c>
      <c r="S256">
        <f>VLOOKUP($A256,'Niteesh''s data'!$A$2:$I$313,7,FALSE)</f>
        <v>1569.1899410000001</v>
      </c>
      <c r="T256">
        <f>VLOOKUP($A256,'Niteesh''s data'!$A$2:$I$313,8,FALSE)</f>
        <v>68527110000</v>
      </c>
      <c r="U256" s="61">
        <f>VLOOKUP($A256,'Niteesh''s data'!$A$2:$I$313,9,FALSE)</f>
        <v>7.1999999999999998E-3</v>
      </c>
      <c r="V256">
        <f>VLOOKUP(A256,'Existing home Sales'!$A$2:$C$324,3,FALSE)</f>
        <v>4.9800000000000004</v>
      </c>
      <c r="W256" s="8">
        <v>3</v>
      </c>
      <c r="X256">
        <f>IFERROR(VLOOKUP(A256,'Home Depot Gross Profit'!$A$1:$B$105,2,FALSE)/3,IF(W256=2,X255,X255))</f>
        <v>2122</v>
      </c>
      <c r="Y256">
        <f>IFERROR(VLOOKUP(A256,'LOWE''S GROSS PROFIT'!$A$1:$B$105,2,FALSE)/3,IF(X256=2,Y255/3,Y255))</f>
        <v>1261.6666666666667</v>
      </c>
      <c r="Z256" s="8">
        <v>3.5549999999999899</v>
      </c>
      <c r="AA256">
        <v>5802</v>
      </c>
      <c r="AB256">
        <f>VLOOKUP(A256,'[1]Fed_Int (1)'!$A$2:$B$316,2,FALSE)</f>
        <v>0.14000000000000001</v>
      </c>
      <c r="AC256" s="8">
        <v>68.379997000000003</v>
      </c>
      <c r="AD256" s="8">
        <v>71.449996999999996</v>
      </c>
      <c r="AE256" s="8">
        <v>68.089995999999999</v>
      </c>
      <c r="AF256" s="8">
        <v>69.779999000000004</v>
      </c>
      <c r="AG256" s="8">
        <v>62.423935</v>
      </c>
      <c r="AH256" s="8">
        <v>128165200</v>
      </c>
      <c r="AI256" s="8">
        <v>37.909999999999997</v>
      </c>
      <c r="AJ256" s="8">
        <v>39.689999</v>
      </c>
      <c r="AK256" s="8">
        <v>37.549999</v>
      </c>
      <c r="AL256" s="8">
        <v>37.919998</v>
      </c>
      <c r="AM256" s="8">
        <v>34.865166000000002</v>
      </c>
      <c r="AN256" s="8">
        <v>152131800</v>
      </c>
    </row>
    <row r="257" spans="1:40" x14ac:dyDescent="0.35">
      <c r="A257" s="1">
        <v>41365</v>
      </c>
      <c r="B257" s="13">
        <f t="shared" si="6"/>
        <v>4</v>
      </c>
      <c r="C257" s="13">
        <f t="shared" si="7"/>
        <v>2013</v>
      </c>
      <c r="D257" s="2">
        <v>24984</v>
      </c>
      <c r="E257">
        <f>VLOOKUP(A257,PSR!$A$12:$B$721,2,FALSE)</f>
        <v>4.9000000000000004</v>
      </c>
      <c r="F257">
        <f>VLOOKUP(A257,CCI_USA!$F$2:$H$317,3,FALSE)</f>
        <v>99.182749999999999</v>
      </c>
      <c r="G257">
        <f>INDEX('BLS Data Series'!$A$11:$M$39,MATCH('UI Datathon Development'!C257,'BLS Data Series'!$A$13:$A$39,0)+2,MATCH('UI Datathon Development'!B257,'BLS Data Series'!$B$11:$M$11,0)+1)</f>
        <v>7.6</v>
      </c>
      <c r="H257">
        <f>VLOOKUP(A257,'Houses for sale'!$B$10:$I$671,8,FALSE)</f>
        <v>161</v>
      </c>
      <c r="I257">
        <f>VLOOKUP(A257,'House starts'!$A$12:$B$325,2,FALSE)</f>
        <v>826</v>
      </c>
      <c r="J257">
        <f>VLOOKUP(A257,'New house sales'!$A$13:$C$324,3,FALSE)</f>
        <v>279300</v>
      </c>
      <c r="K257">
        <f>VLOOKUP($A257,'Sreenath''s data'!$A$2:$F$313,3,FALSE)</f>
        <v>150.99299999999999</v>
      </c>
      <c r="L257">
        <f>VLOOKUP($A257,'Sreenath''s data'!$A$2:$F$313,4,FALSE)</f>
        <v>6825.9</v>
      </c>
      <c r="M257">
        <f>VLOOKUP($A257,'Sreenath''s data'!$A$2:$F$313,5,FALSE)</f>
        <v>114372</v>
      </c>
      <c r="N257">
        <f>VLOOKUP($A257,'Sreenath''s data'!$A$2:$F$313,6,FALSE)</f>
        <v>105.32332907044599</v>
      </c>
      <c r="O257">
        <f>VLOOKUP($A257,'Niteesh''s data'!$A$2:$I$313,3,FALSE)</f>
        <v>1569.1800539999999</v>
      </c>
      <c r="P257">
        <f>VLOOKUP($A257,'Niteesh''s data'!$A$2:$I$313,4,FALSE)</f>
        <v>1597.5699460000001</v>
      </c>
      <c r="Q257">
        <f>VLOOKUP($A257,'Niteesh''s data'!$A$2:$I$313,5,FALSE)</f>
        <v>1536.030029</v>
      </c>
      <c r="R257">
        <f>VLOOKUP($A257,'Niteesh''s data'!$A$2:$I$313,6,FALSE)</f>
        <v>1597.5699460000001</v>
      </c>
      <c r="S257">
        <f>VLOOKUP($A257,'Niteesh''s data'!$A$2:$I$313,7,FALSE)</f>
        <v>1597.5699460000001</v>
      </c>
      <c r="T257">
        <f>VLOOKUP($A257,'Niteesh''s data'!$A$2:$I$313,8,FALSE)</f>
        <v>77098000000</v>
      </c>
      <c r="U257" s="61">
        <f>VLOOKUP($A257,'Niteesh''s data'!$A$2:$I$313,9,FALSE)</f>
        <v>7.1000000000000004E-3</v>
      </c>
      <c r="V257">
        <f>VLOOKUP(A257,'Existing home Sales'!$A$2:$C$324,3,FALSE)</f>
        <v>4.92</v>
      </c>
      <c r="W257" s="8">
        <v>1</v>
      </c>
      <c r="X257">
        <f>IFERROR(VLOOKUP(A257,'Home Depot Gross Profit'!$A$1:$B$105,2,FALSE)/3,IF(W257=2,X256,X256))</f>
        <v>2226.3333333333335</v>
      </c>
      <c r="Y257">
        <f>IFERROR(VLOOKUP(A257,'LOWE''S GROSS PROFIT'!$A$1:$B$105,2,FALSE)/3,IF(X257=2,Y256/3,Y256))</f>
        <v>1518.3333333333333</v>
      </c>
      <c r="Z257" s="8">
        <v>3.42</v>
      </c>
      <c r="AA257">
        <v>5796</v>
      </c>
      <c r="AB257">
        <f>VLOOKUP(A257,'[1]Fed_Int (1)'!$A$2:$B$316,2,FALSE)</f>
        <v>0.15</v>
      </c>
      <c r="AC257" s="8">
        <v>69.510002</v>
      </c>
      <c r="AD257" s="8">
        <v>74.589995999999999</v>
      </c>
      <c r="AE257" s="8">
        <v>69.510002</v>
      </c>
      <c r="AF257" s="8">
        <v>73.349997999999999</v>
      </c>
      <c r="AG257" s="8">
        <v>65.978378000000006</v>
      </c>
      <c r="AH257" s="8">
        <v>155248500</v>
      </c>
      <c r="AI257" s="8">
        <v>37.799999</v>
      </c>
      <c r="AJ257" s="8">
        <v>39.419998</v>
      </c>
      <c r="AK257" s="8">
        <v>37.090000000000003</v>
      </c>
      <c r="AL257" s="8">
        <v>38.419998</v>
      </c>
      <c r="AM257" s="8">
        <v>35.324894</v>
      </c>
      <c r="AN257" s="8">
        <v>179649000</v>
      </c>
    </row>
    <row r="258" spans="1:40" x14ac:dyDescent="0.35">
      <c r="A258" s="1">
        <v>41395</v>
      </c>
      <c r="B258" s="13">
        <f t="shared" si="6"/>
        <v>5</v>
      </c>
      <c r="C258" s="13">
        <f t="shared" si="7"/>
        <v>2013</v>
      </c>
      <c r="D258" s="2">
        <v>25470</v>
      </c>
      <c r="E258">
        <f>VLOOKUP(A258,PSR!$A$12:$B$721,2,FALSE)</f>
        <v>5.3</v>
      </c>
      <c r="F258">
        <f>VLOOKUP(A258,CCI_USA!$F$2:$H$317,3,FALSE)</f>
        <v>99.521019999999993</v>
      </c>
      <c r="G258">
        <f>INDEX('BLS Data Series'!$A$11:$M$39,MATCH('UI Datathon Development'!C258,'BLS Data Series'!$A$13:$A$39,0)+2,MATCH('UI Datathon Development'!B258,'BLS Data Series'!$B$11:$M$11,0)+1)</f>
        <v>7.5</v>
      </c>
      <c r="H258">
        <f>VLOOKUP(A258,'Houses for sale'!$B$10:$I$671,8,FALSE)</f>
        <v>162</v>
      </c>
      <c r="I258">
        <f>VLOOKUP(A258,'House starts'!$A$12:$B$325,2,FALSE)</f>
        <v>920</v>
      </c>
      <c r="J258">
        <f>VLOOKUP(A258,'New house sales'!$A$13:$C$324,3,FALSE)</f>
        <v>263700</v>
      </c>
      <c r="K258">
        <f>VLOOKUP($A258,'Sreenath''s data'!$A$2:$F$313,3,FALSE)</f>
        <v>153.886</v>
      </c>
      <c r="L258">
        <f>VLOOKUP($A258,'Sreenath''s data'!$A$2:$F$313,4,FALSE)</f>
        <v>6814.5</v>
      </c>
      <c r="M258">
        <f>VLOOKUP($A258,'Sreenath''s data'!$A$2:$F$313,5,FALSE)</f>
        <v>114998</v>
      </c>
      <c r="N258">
        <f>VLOOKUP($A258,'Sreenath''s data'!$A$2:$F$313,6,FALSE)</f>
        <v>105.57717049875799</v>
      </c>
      <c r="O258">
        <f>VLOOKUP($A258,'Niteesh''s data'!$A$2:$I$313,3,FALSE)</f>
        <v>1597.5500489999999</v>
      </c>
      <c r="P258">
        <f>VLOOKUP($A258,'Niteesh''s data'!$A$2:$I$313,4,FALSE)</f>
        <v>1687.1800539999999</v>
      </c>
      <c r="Q258">
        <f>VLOOKUP($A258,'Niteesh''s data'!$A$2:$I$313,5,FALSE)</f>
        <v>1581.280029</v>
      </c>
      <c r="R258">
        <f>VLOOKUP($A258,'Niteesh''s data'!$A$2:$I$313,6,FALSE)</f>
        <v>1630.73999</v>
      </c>
      <c r="S258">
        <f>VLOOKUP($A258,'Niteesh''s data'!$A$2:$I$313,7,FALSE)</f>
        <v>1630.73999</v>
      </c>
      <c r="T258">
        <f>VLOOKUP($A258,'Niteesh''s data'!$A$2:$I$313,8,FALSE)</f>
        <v>76447250000</v>
      </c>
      <c r="U258" s="61">
        <f>VLOOKUP($A258,'Niteesh''s data'!$A$2:$I$313,9,FALSE)</f>
        <v>7.1000000000000004E-3</v>
      </c>
      <c r="V258">
        <f>VLOOKUP(A258,'Existing home Sales'!$A$2:$C$324,3,FALSE)</f>
        <v>4.97</v>
      </c>
      <c r="W258" s="8">
        <v>2</v>
      </c>
      <c r="X258">
        <f>IFERROR(VLOOKUP(A258,'Home Depot Gross Profit'!$A$1:$B$105,2,FALSE)/3,IF(W258=2,X257,X257))</f>
        <v>2226.3333333333335</v>
      </c>
      <c r="Y258">
        <f>IFERROR(VLOOKUP(A258,'LOWE''S GROSS PROFIT'!$A$1:$B$105,2,FALSE)/3,IF(X258=2,Y257/3,Y257))</f>
        <v>1518.3333333333333</v>
      </c>
      <c r="Z258" s="8">
        <v>3.51</v>
      </c>
      <c r="AA258">
        <v>5829</v>
      </c>
      <c r="AB258">
        <f>VLOOKUP(A258,'[1]Fed_Int (1)'!$A$2:$B$316,2,FALSE)</f>
        <v>0.11</v>
      </c>
      <c r="AC258" s="8">
        <v>73.180000000000007</v>
      </c>
      <c r="AD258" s="8">
        <v>81.559997999999993</v>
      </c>
      <c r="AE258" s="8">
        <v>72.529999000000004</v>
      </c>
      <c r="AF258" s="8">
        <v>78.660004000000001</v>
      </c>
      <c r="AG258" s="8">
        <v>70.754722999999998</v>
      </c>
      <c r="AH258" s="8">
        <v>158696200</v>
      </c>
      <c r="AI258" s="8">
        <v>38.340000000000003</v>
      </c>
      <c r="AJ258" s="8">
        <v>43.84</v>
      </c>
      <c r="AK258" s="8">
        <v>37.979999999999997</v>
      </c>
      <c r="AL258" s="8">
        <v>42.110000999999997</v>
      </c>
      <c r="AM258" s="8">
        <v>38.880820999999997</v>
      </c>
      <c r="AN258" s="8">
        <v>181833100</v>
      </c>
    </row>
    <row r="259" spans="1:40" x14ac:dyDescent="0.35">
      <c r="A259" s="1">
        <v>41426</v>
      </c>
      <c r="B259" s="13">
        <f t="shared" ref="B259:B317" si="8">MONTH(A259)</f>
        <v>6</v>
      </c>
      <c r="C259" s="13">
        <f t="shared" ref="C259:C289" si="9">YEAR(A259)</f>
        <v>2013</v>
      </c>
      <c r="D259" s="2">
        <v>24998</v>
      </c>
      <c r="E259">
        <f>VLOOKUP(A259,PSR!$A$12:$B$721,2,FALSE)</f>
        <v>5.4</v>
      </c>
      <c r="F259">
        <f>VLOOKUP(A259,CCI_USA!$F$2:$H$317,3,FALSE)</f>
        <v>99.695909999999998</v>
      </c>
      <c r="G259">
        <f>INDEX('BLS Data Series'!$A$11:$M$39,MATCH('UI Datathon Development'!C259,'BLS Data Series'!$A$13:$A$39,0)+2,MATCH('UI Datathon Development'!B259,'BLS Data Series'!$B$11:$M$11,0)+1)</f>
        <v>7.5</v>
      </c>
      <c r="H259">
        <f>VLOOKUP(A259,'Houses for sale'!$B$10:$I$671,8,FALSE)</f>
        <v>160</v>
      </c>
      <c r="I259">
        <f>VLOOKUP(A259,'House starts'!$A$12:$B$325,2,FALSE)</f>
        <v>852</v>
      </c>
      <c r="J259">
        <f>VLOOKUP(A259,'New house sales'!$A$13:$C$324,3,FALSE)</f>
        <v>259800</v>
      </c>
      <c r="K259">
        <f>VLOOKUP($A259,'Sreenath''s data'!$A$2:$F$313,3,FALSE)</f>
        <v>156.452</v>
      </c>
      <c r="L259">
        <f>VLOOKUP($A259,'Sreenath''s data'!$A$2:$F$313,4,FALSE)</f>
        <v>6800.8</v>
      </c>
      <c r="M259">
        <f>VLOOKUP($A259,'Sreenath''s data'!$A$2:$F$313,5,FALSE)</f>
        <v>114663</v>
      </c>
      <c r="N259">
        <f>VLOOKUP($A259,'Sreenath''s data'!$A$2:$F$313,6,FALSE)</f>
        <v>105.82521646067001</v>
      </c>
      <c r="O259">
        <f>VLOOKUP($A259,'Niteesh''s data'!$A$2:$I$313,3,FALSE)</f>
        <v>1631.709961</v>
      </c>
      <c r="P259">
        <f>VLOOKUP($A259,'Niteesh''s data'!$A$2:$I$313,4,FALSE)</f>
        <v>1654.1899410000001</v>
      </c>
      <c r="Q259">
        <f>VLOOKUP($A259,'Niteesh''s data'!$A$2:$I$313,5,FALSE)</f>
        <v>1560.329956</v>
      </c>
      <c r="R259">
        <f>VLOOKUP($A259,'Niteesh''s data'!$A$2:$I$313,6,FALSE)</f>
        <v>1606.280029</v>
      </c>
      <c r="S259">
        <f>VLOOKUP($A259,'Niteesh''s data'!$A$2:$I$313,7,FALSE)</f>
        <v>1606.280029</v>
      </c>
      <c r="T259">
        <f>VLOOKUP($A259,'Niteesh''s data'!$A$2:$I$313,8,FALSE)</f>
        <v>74946790000</v>
      </c>
      <c r="U259" s="61">
        <f>VLOOKUP($A259,'Niteesh''s data'!$A$2:$I$313,9,FALSE)</f>
        <v>7.1000000000000004E-3</v>
      </c>
      <c r="V259">
        <f>VLOOKUP(A259,'Existing home Sales'!$A$2:$C$324,3,FALSE)</f>
        <v>5.18</v>
      </c>
      <c r="W259" s="8">
        <v>3</v>
      </c>
      <c r="X259">
        <f>IFERROR(VLOOKUP(A259,'Home Depot Gross Profit'!$A$1:$B$105,2,FALSE)/3,IF(W259=2,X258,X258))</f>
        <v>2226.3333333333335</v>
      </c>
      <c r="Y259">
        <f>IFERROR(VLOOKUP(A259,'LOWE''S GROSS PROFIT'!$A$1:$B$105,2,FALSE)/3,IF(X259=2,Y258/3,Y258))</f>
        <v>1518.3333333333333</v>
      </c>
      <c r="Z259" s="8">
        <v>3.9550000000000001</v>
      </c>
      <c r="AA259">
        <v>5855</v>
      </c>
      <c r="AB259">
        <f>VLOOKUP(A259,'[1]Fed_Int (1)'!$A$2:$B$316,2,FALSE)</f>
        <v>0.09</v>
      </c>
      <c r="AC259" s="8">
        <v>78.650002000000001</v>
      </c>
      <c r="AD259" s="8">
        <v>79.680000000000007</v>
      </c>
      <c r="AE259" s="8">
        <v>72.410004000000001</v>
      </c>
      <c r="AF259" s="8">
        <v>77.470000999999996</v>
      </c>
      <c r="AG259" s="8">
        <v>69.684296000000003</v>
      </c>
      <c r="AH259" s="8">
        <v>177557000</v>
      </c>
      <c r="AI259" s="8">
        <v>42.119999</v>
      </c>
      <c r="AJ259" s="8">
        <v>42.459999000000003</v>
      </c>
      <c r="AK259" s="8">
        <v>38.869999</v>
      </c>
      <c r="AL259" s="8">
        <v>40.900002000000001</v>
      </c>
      <c r="AM259" s="8">
        <v>37.763621999999998</v>
      </c>
      <c r="AN259" s="8">
        <v>174621800</v>
      </c>
    </row>
    <row r="260" spans="1:40" x14ac:dyDescent="0.35">
      <c r="A260" s="1">
        <v>41456</v>
      </c>
      <c r="B260" s="13">
        <f t="shared" si="8"/>
        <v>7</v>
      </c>
      <c r="C260" s="13">
        <f t="shared" si="9"/>
        <v>2013</v>
      </c>
      <c r="D260" s="2">
        <v>25534</v>
      </c>
      <c r="E260">
        <f>VLOOKUP(A260,PSR!$A$12:$B$721,2,FALSE)</f>
        <v>5.2</v>
      </c>
      <c r="F260">
        <f>VLOOKUP(A260,CCI_USA!$F$2:$H$317,3,FALSE)</f>
        <v>99.65822</v>
      </c>
      <c r="G260">
        <f>INDEX('BLS Data Series'!$A$11:$M$39,MATCH('UI Datathon Development'!C260,'BLS Data Series'!$A$13:$A$39,0)+2,MATCH('UI Datathon Development'!B260,'BLS Data Series'!$B$11:$M$11,0)+1)</f>
        <v>7.3</v>
      </c>
      <c r="H260">
        <f>VLOOKUP(A260,'Houses for sale'!$B$10:$I$671,8,FALSE)</f>
        <v>170</v>
      </c>
      <c r="I260">
        <f>VLOOKUP(A260,'House starts'!$A$12:$B$325,2,FALSE)</f>
        <v>891</v>
      </c>
      <c r="J260">
        <f>VLOOKUP(A260,'New house sales'!$A$13:$C$324,3,FALSE)</f>
        <v>262200</v>
      </c>
      <c r="K260">
        <f>VLOOKUP($A260,'Sreenath''s data'!$A$2:$F$313,3,FALSE)</f>
        <v>158.31</v>
      </c>
      <c r="L260">
        <f>VLOOKUP($A260,'Sreenath''s data'!$A$2:$F$313,4,FALSE)</f>
        <v>6817.1</v>
      </c>
      <c r="M260">
        <f>VLOOKUP($A260,'Sreenath''s data'!$A$2:$F$313,5,FALSE)</f>
        <v>114490</v>
      </c>
      <c r="N260">
        <f>VLOOKUP($A260,'Sreenath''s data'!$A$2:$F$313,6,FALSE)</f>
        <v>106.039262353037</v>
      </c>
      <c r="O260">
        <f>VLOOKUP($A260,'Niteesh''s data'!$A$2:$I$313,3,FALSE)</f>
        <v>1609.780029</v>
      </c>
      <c r="P260">
        <f>VLOOKUP($A260,'Niteesh''s data'!$A$2:$I$313,4,FALSE)</f>
        <v>1698.780029</v>
      </c>
      <c r="Q260">
        <f>VLOOKUP($A260,'Niteesh''s data'!$A$2:$I$313,5,FALSE)</f>
        <v>1604.5699460000001</v>
      </c>
      <c r="R260">
        <f>VLOOKUP($A260,'Niteesh''s data'!$A$2:$I$313,6,FALSE)</f>
        <v>1685.7299800000001</v>
      </c>
      <c r="S260">
        <f>VLOOKUP($A260,'Niteesh''s data'!$A$2:$I$313,7,FALSE)</f>
        <v>1685.7299800000001</v>
      </c>
      <c r="T260">
        <f>VLOOKUP($A260,'Niteesh''s data'!$A$2:$I$313,8,FALSE)</f>
        <v>68106820000</v>
      </c>
      <c r="U260" s="61">
        <f>VLOOKUP($A260,'Niteesh''s data'!$A$2:$I$313,9,FALSE)</f>
        <v>7.1000000000000004E-3</v>
      </c>
      <c r="V260">
        <f>VLOOKUP(A260,'Existing home Sales'!$A$2:$C$324,3,FALSE)</f>
        <v>5.08</v>
      </c>
      <c r="W260" s="8">
        <v>1</v>
      </c>
      <c r="X260">
        <f>IFERROR(VLOOKUP(A260,'Home Depot Gross Profit'!$A$1:$B$105,2,FALSE)/3,IF(W260=2,X259,X259))</f>
        <v>2573.6666666666665</v>
      </c>
      <c r="Y260">
        <f>IFERROR(VLOOKUP(A260,'LOWE''S GROSS PROFIT'!$A$1:$B$105,2,FALSE)/3,IF(X260=2,Y259/3,Y259))</f>
        <v>1799</v>
      </c>
      <c r="Z260" s="8">
        <v>4.34</v>
      </c>
      <c r="AA260">
        <v>5859</v>
      </c>
      <c r="AB260">
        <f>VLOOKUP(A260,'[1]Fed_Int (1)'!$A$2:$B$316,2,FALSE)</f>
        <v>0.09</v>
      </c>
      <c r="AC260" s="8">
        <v>77.629997000000003</v>
      </c>
      <c r="AD260" s="8">
        <v>81.230002999999996</v>
      </c>
      <c r="AE260" s="8">
        <v>76.629997000000003</v>
      </c>
      <c r="AF260" s="8">
        <v>79.029999000000004</v>
      </c>
      <c r="AG260" s="8">
        <v>71.439826999999994</v>
      </c>
      <c r="AH260" s="8">
        <v>125062100</v>
      </c>
      <c r="AI260" s="8">
        <v>41.189999</v>
      </c>
      <c r="AJ260" s="8">
        <v>45.299999</v>
      </c>
      <c r="AK260" s="8">
        <v>40.950001</v>
      </c>
      <c r="AL260" s="8">
        <v>44.580002</v>
      </c>
      <c r="AM260" s="8">
        <v>41.161414999999998</v>
      </c>
      <c r="AN260" s="8">
        <v>133352000</v>
      </c>
    </row>
    <row r="261" spans="1:40" x14ac:dyDescent="0.35">
      <c r="A261" s="1">
        <v>41487</v>
      </c>
      <c r="B261" s="13">
        <f t="shared" si="8"/>
        <v>8</v>
      </c>
      <c r="C261" s="13">
        <f t="shared" si="9"/>
        <v>2013</v>
      </c>
      <c r="D261" s="2">
        <v>25504</v>
      </c>
      <c r="E261">
        <f>VLOOKUP(A261,PSR!$A$12:$B$721,2,FALSE)</f>
        <v>5.4</v>
      </c>
      <c r="F261">
        <f>VLOOKUP(A261,CCI_USA!$F$2:$H$317,3,FALSE)</f>
        <v>99.377380000000002</v>
      </c>
      <c r="G261">
        <f>INDEX('BLS Data Series'!$A$11:$M$39,MATCH('UI Datathon Development'!C261,'BLS Data Series'!$A$13:$A$39,0)+2,MATCH('UI Datathon Development'!B261,'BLS Data Series'!$B$11:$M$11,0)+1)</f>
        <v>7.2</v>
      </c>
      <c r="H261">
        <f>VLOOKUP(A261,'Houses for sale'!$B$10:$I$671,8,FALSE)</f>
        <v>174</v>
      </c>
      <c r="I261">
        <f>VLOOKUP(A261,'House starts'!$A$12:$B$325,2,FALSE)</f>
        <v>898</v>
      </c>
      <c r="J261">
        <f>VLOOKUP(A261,'New house sales'!$A$13:$C$324,3,FALSE)</f>
        <v>255300</v>
      </c>
      <c r="K261">
        <f>VLOOKUP($A261,'Sreenath''s data'!$A$2:$F$313,3,FALSE)</f>
        <v>159.416</v>
      </c>
      <c r="L261">
        <f>VLOOKUP($A261,'Sreenath''s data'!$A$2:$F$313,4,FALSE)</f>
        <v>6826.9</v>
      </c>
      <c r="M261">
        <f>VLOOKUP($A261,'Sreenath''s data'!$A$2:$F$313,5,FALSE)</f>
        <v>114799</v>
      </c>
      <c r="N261">
        <f>VLOOKUP($A261,'Sreenath''s data'!$A$2:$F$313,6,FALSE)</f>
        <v>106.277649204282</v>
      </c>
      <c r="O261">
        <f>VLOOKUP($A261,'Niteesh''s data'!$A$2:$I$313,3,FALSE)</f>
        <v>1689.420044</v>
      </c>
      <c r="P261">
        <f>VLOOKUP($A261,'Niteesh''s data'!$A$2:$I$313,4,FALSE)</f>
        <v>1709.670044</v>
      </c>
      <c r="Q261">
        <f>VLOOKUP($A261,'Niteesh''s data'!$A$2:$I$313,5,FALSE)</f>
        <v>1627.469971</v>
      </c>
      <c r="R261">
        <f>VLOOKUP($A261,'Niteesh''s data'!$A$2:$I$313,6,FALSE)</f>
        <v>1632.969971</v>
      </c>
      <c r="S261">
        <f>VLOOKUP($A261,'Niteesh''s data'!$A$2:$I$313,7,FALSE)</f>
        <v>1632.969971</v>
      </c>
      <c r="T261">
        <f>VLOOKUP($A261,'Niteesh''s data'!$A$2:$I$313,8,FALSE)</f>
        <v>64802810000</v>
      </c>
      <c r="U261" s="61">
        <f>VLOOKUP($A261,'Niteesh''s data'!$A$2:$I$313,9,FALSE)</f>
        <v>7.1999999999999998E-3</v>
      </c>
      <c r="V261">
        <f>VLOOKUP(A261,'Existing home Sales'!$A$2:$C$324,3,FALSE)</f>
        <v>5.39</v>
      </c>
      <c r="W261" s="8">
        <v>2</v>
      </c>
      <c r="X261">
        <f>IFERROR(VLOOKUP(A261,'Home Depot Gross Profit'!$A$1:$B$105,2,FALSE)/3,IF(W261=2,X260,X260))</f>
        <v>2573.6666666666665</v>
      </c>
      <c r="Y261">
        <f>IFERROR(VLOOKUP(A261,'LOWE''S GROSS PROFIT'!$A$1:$B$105,2,FALSE)/3,IF(X261=2,Y260/3,Y260))</f>
        <v>1799</v>
      </c>
      <c r="Z261" s="8">
        <v>4.4000000000000004</v>
      </c>
      <c r="AA261">
        <v>5878</v>
      </c>
      <c r="AB261">
        <f>VLOOKUP(A261,'[1]Fed_Int (1)'!$A$2:$B$316,2,FALSE)</f>
        <v>0.08</v>
      </c>
      <c r="AC261" s="8">
        <v>79.519997000000004</v>
      </c>
      <c r="AD261" s="8">
        <v>80.5</v>
      </c>
      <c r="AE261" s="8">
        <v>73.110000999999997</v>
      </c>
      <c r="AF261" s="8">
        <v>74.489998</v>
      </c>
      <c r="AG261" s="8">
        <v>67.335883999999993</v>
      </c>
      <c r="AH261" s="8">
        <v>169108600</v>
      </c>
      <c r="AI261" s="8">
        <v>44.939999</v>
      </c>
      <c r="AJ261" s="8">
        <v>47.509998000000003</v>
      </c>
      <c r="AK261" s="8">
        <v>43.52</v>
      </c>
      <c r="AL261" s="8">
        <v>45.82</v>
      </c>
      <c r="AM261" s="8">
        <v>42.479033999999999</v>
      </c>
      <c r="AN261" s="8">
        <v>181930100</v>
      </c>
    </row>
    <row r="262" spans="1:40" x14ac:dyDescent="0.35">
      <c r="A262" s="1">
        <v>41518</v>
      </c>
      <c r="B262" s="13">
        <f t="shared" si="8"/>
        <v>9</v>
      </c>
      <c r="C262" s="13">
        <f t="shared" si="9"/>
        <v>2013</v>
      </c>
      <c r="D262" s="2">
        <v>25525</v>
      </c>
      <c r="E262">
        <f>VLOOKUP(A262,PSR!$A$12:$B$721,2,FALSE)</f>
        <v>5.3</v>
      </c>
      <c r="F262">
        <f>VLOOKUP(A262,CCI_USA!$F$2:$H$317,3,FALSE)</f>
        <v>98.996319999999997</v>
      </c>
      <c r="G262">
        <f>INDEX('BLS Data Series'!$A$11:$M$39,MATCH('UI Datathon Development'!C262,'BLS Data Series'!$A$13:$A$39,0)+2,MATCH('UI Datathon Development'!B262,'BLS Data Series'!$B$11:$M$11,0)+1)</f>
        <v>7.2</v>
      </c>
      <c r="H262">
        <f>VLOOKUP(A262,'Houses for sale'!$B$10:$I$671,8,FALSE)</f>
        <v>183</v>
      </c>
      <c r="I262">
        <f>VLOOKUP(A262,'House starts'!$A$12:$B$325,2,FALSE)</f>
        <v>860</v>
      </c>
      <c r="J262">
        <f>VLOOKUP(A262,'New house sales'!$A$13:$C$324,3,FALSE)</f>
        <v>269800</v>
      </c>
      <c r="K262">
        <f>VLOOKUP($A262,'Sreenath''s data'!$A$2:$F$313,3,FALSE)</f>
        <v>159.696</v>
      </c>
      <c r="L262">
        <f>VLOOKUP($A262,'Sreenath''s data'!$A$2:$F$313,4,FALSE)</f>
        <v>6809.3</v>
      </c>
      <c r="M262">
        <f>VLOOKUP($A262,'Sreenath''s data'!$A$2:$F$313,5,FALSE)</f>
        <v>115013</v>
      </c>
      <c r="N262">
        <f>VLOOKUP($A262,'Sreenath''s data'!$A$2:$F$313,6,FALSE)</f>
        <v>106.404763100652</v>
      </c>
      <c r="O262">
        <f>VLOOKUP($A262,'Niteesh''s data'!$A$2:$I$313,3,FALSE)</f>
        <v>1635.9499510000001</v>
      </c>
      <c r="P262">
        <f>VLOOKUP($A262,'Niteesh''s data'!$A$2:$I$313,4,FALSE)</f>
        <v>1729.8599850000001</v>
      </c>
      <c r="Q262">
        <f>VLOOKUP($A262,'Niteesh''s data'!$A$2:$I$313,5,FALSE)</f>
        <v>1633.410034</v>
      </c>
      <c r="R262">
        <f>VLOOKUP($A262,'Niteesh''s data'!$A$2:$I$313,6,FALSE)</f>
        <v>1681.5500489999999</v>
      </c>
      <c r="S262">
        <f>VLOOKUP($A262,'Niteesh''s data'!$A$2:$I$313,7,FALSE)</f>
        <v>1681.5500489999999</v>
      </c>
      <c r="T262">
        <f>VLOOKUP($A262,'Niteesh''s data'!$A$2:$I$313,8,FALSE)</f>
        <v>66174410000</v>
      </c>
      <c r="U262" s="61">
        <f>VLOOKUP($A262,'Niteesh''s data'!$A$2:$I$313,9,FALSE)</f>
        <v>7.1999999999999998E-3</v>
      </c>
      <c r="V262">
        <f>VLOOKUP(A262,'Existing home Sales'!$A$2:$C$324,3,FALSE)</f>
        <v>5.48</v>
      </c>
      <c r="W262" s="8">
        <v>3</v>
      </c>
      <c r="X262">
        <f>IFERROR(VLOOKUP(A262,'Home Depot Gross Profit'!$A$1:$B$105,2,FALSE)/3,IF(W262=2,X261,X261))</f>
        <v>2573.6666666666665</v>
      </c>
      <c r="Y262">
        <f>IFERROR(VLOOKUP(A262,'LOWE''S GROSS PROFIT'!$A$1:$B$105,2,FALSE)/3,IF(X262=2,Y261/3,Y261))</f>
        <v>1799</v>
      </c>
      <c r="Z262" s="8">
        <v>4.5350000000000001</v>
      </c>
      <c r="AA262">
        <v>5910</v>
      </c>
      <c r="AB262">
        <f>VLOOKUP(A262,'[1]Fed_Int (1)'!$A$2:$B$316,2,FALSE)</f>
        <v>0.08</v>
      </c>
      <c r="AC262" s="8">
        <v>74.830001999999993</v>
      </c>
      <c r="AD262" s="8">
        <v>78.809997999999993</v>
      </c>
      <c r="AE262" s="8">
        <v>72.209998999999996</v>
      </c>
      <c r="AF262" s="8">
        <v>75.849997999999999</v>
      </c>
      <c r="AG262" s="8">
        <v>68.565262000000004</v>
      </c>
      <c r="AH262" s="8">
        <v>147410900</v>
      </c>
      <c r="AI262" s="8">
        <v>46.25</v>
      </c>
      <c r="AJ262" s="8">
        <v>49.169998</v>
      </c>
      <c r="AK262" s="8">
        <v>45.169998</v>
      </c>
      <c r="AL262" s="8">
        <v>47.610000999999997</v>
      </c>
      <c r="AM262" s="8">
        <v>44.138527000000003</v>
      </c>
      <c r="AN262" s="8">
        <v>128951500</v>
      </c>
    </row>
    <row r="263" spans="1:40" x14ac:dyDescent="0.35">
      <c r="A263" s="1">
        <v>41548</v>
      </c>
      <c r="B263" s="13">
        <f t="shared" si="8"/>
        <v>10</v>
      </c>
      <c r="C263" s="13">
        <f t="shared" si="9"/>
        <v>2013</v>
      </c>
      <c r="D263" s="2">
        <v>25223</v>
      </c>
      <c r="E263">
        <f>VLOOKUP(A263,PSR!$A$12:$B$721,2,FALSE)</f>
        <v>4.8</v>
      </c>
      <c r="F263">
        <f>VLOOKUP(A263,CCI_USA!$F$2:$H$317,3,FALSE)</f>
        <v>98.760729999999995</v>
      </c>
      <c r="G263">
        <f>INDEX('BLS Data Series'!$A$11:$M$39,MATCH('UI Datathon Development'!C263,'BLS Data Series'!$A$13:$A$39,0)+2,MATCH('UI Datathon Development'!B263,'BLS Data Series'!$B$11:$M$11,0)+1)</f>
        <v>7.2</v>
      </c>
      <c r="H263">
        <f>VLOOKUP(A263,'Houses for sale'!$B$10:$I$671,8,FALSE)</f>
        <v>183</v>
      </c>
      <c r="I263">
        <f>VLOOKUP(A263,'House starts'!$A$12:$B$325,2,FALSE)</f>
        <v>921</v>
      </c>
      <c r="J263">
        <f>VLOOKUP(A263,'New house sales'!$A$13:$C$324,3,FALSE)</f>
        <v>264300</v>
      </c>
      <c r="K263">
        <f>VLOOKUP($A263,'Sreenath''s data'!$A$2:$F$313,3,FALSE)</f>
        <v>159.58199999999999</v>
      </c>
      <c r="L263">
        <f>VLOOKUP($A263,'Sreenath''s data'!$A$2:$F$313,4,FALSE)</f>
        <v>6772.6</v>
      </c>
      <c r="M263">
        <f>VLOOKUP($A263,'Sreenath''s data'!$A$2:$F$313,5,FALSE)</f>
        <v>115006</v>
      </c>
      <c r="N263">
        <f>VLOOKUP($A263,'Sreenath''s data'!$A$2:$F$313,6,FALSE)</f>
        <v>106.553513404914</v>
      </c>
      <c r="O263">
        <f>VLOOKUP($A263,'Niteesh''s data'!$A$2:$I$313,3,FALSE)</f>
        <v>1682.410034</v>
      </c>
      <c r="P263">
        <f>VLOOKUP($A263,'Niteesh''s data'!$A$2:$I$313,4,FALSE)</f>
        <v>1775.219971</v>
      </c>
      <c r="Q263">
        <f>VLOOKUP($A263,'Niteesh''s data'!$A$2:$I$313,5,FALSE)</f>
        <v>1646.469971</v>
      </c>
      <c r="R263">
        <f>VLOOKUP($A263,'Niteesh''s data'!$A$2:$I$313,6,FALSE)</f>
        <v>1756.540039</v>
      </c>
      <c r="S263">
        <f>VLOOKUP($A263,'Niteesh''s data'!$A$2:$I$313,7,FALSE)</f>
        <v>1756.540039</v>
      </c>
      <c r="T263">
        <f>VLOOKUP($A263,'Niteesh''s data'!$A$2:$I$313,8,FALSE)</f>
        <v>76647400000</v>
      </c>
      <c r="U263" s="61">
        <f>VLOOKUP($A263,'Niteesh''s data'!$A$2:$I$313,9,FALSE)</f>
        <v>7.3000000000000001E-3</v>
      </c>
      <c r="V263">
        <f>VLOOKUP(A263,'Existing home Sales'!$A$2:$C$324,3,FALSE)</f>
        <v>5.29</v>
      </c>
      <c r="W263" s="8">
        <v>1</v>
      </c>
      <c r="X263">
        <f>IFERROR(VLOOKUP(A263,'Home Depot Gross Profit'!$A$1:$B$105,2,FALSE)/3,IF(W263=2,X262,X262))</f>
        <v>2266</v>
      </c>
      <c r="Y263">
        <f>IFERROR(VLOOKUP(A263,'LOWE''S GROSS PROFIT'!$A$1:$B$105,2,FALSE)/3,IF(X263=2,Y262/3,Y262))</f>
        <v>1493.6666666666667</v>
      </c>
      <c r="Z263" s="8">
        <v>4.22</v>
      </c>
      <c r="AA263">
        <v>5931</v>
      </c>
      <c r="AB263">
        <f>VLOOKUP(A263,'[1]Fed_Int (1)'!$A$2:$B$316,2,FALSE)</f>
        <v>0.09</v>
      </c>
      <c r="AC263" s="8">
        <v>75.879997000000003</v>
      </c>
      <c r="AD263" s="8">
        <v>78.599997999999999</v>
      </c>
      <c r="AE263" s="8">
        <v>73.739998</v>
      </c>
      <c r="AF263" s="8">
        <v>77.889999000000003</v>
      </c>
      <c r="AG263" s="8">
        <v>70.779899999999998</v>
      </c>
      <c r="AH263" s="8">
        <v>164100100</v>
      </c>
      <c r="AI263" s="8">
        <v>47.639999000000003</v>
      </c>
      <c r="AJ263" s="8">
        <v>50.740001999999997</v>
      </c>
      <c r="AK263" s="8">
        <v>46.099997999999999</v>
      </c>
      <c r="AL263" s="8">
        <v>49.779998999999997</v>
      </c>
      <c r="AM263" s="8">
        <v>46.150303000000001</v>
      </c>
      <c r="AN263" s="8">
        <v>166894000</v>
      </c>
    </row>
    <row r="264" spans="1:40" x14ac:dyDescent="0.35">
      <c r="A264" s="1">
        <v>41579</v>
      </c>
      <c r="B264" s="13">
        <f t="shared" si="8"/>
        <v>11</v>
      </c>
      <c r="C264" s="13">
        <f t="shared" si="9"/>
        <v>2013</v>
      </c>
      <c r="D264" s="2">
        <v>25115</v>
      </c>
      <c r="E264">
        <f>VLOOKUP(A264,PSR!$A$12:$B$721,2,FALSE)</f>
        <v>4.5999999999999996</v>
      </c>
      <c r="F264">
        <f>VLOOKUP(A264,CCI_USA!$F$2:$H$317,3,FALSE)</f>
        <v>98.86121</v>
      </c>
      <c r="G264">
        <f>INDEX('BLS Data Series'!$A$11:$M$39,MATCH('UI Datathon Development'!C264,'BLS Data Series'!$A$13:$A$39,0)+2,MATCH('UI Datathon Development'!B264,'BLS Data Series'!$B$11:$M$11,0)+1)</f>
        <v>6.9</v>
      </c>
      <c r="H264">
        <f>VLOOKUP(A264,'Houses for sale'!$B$10:$I$671,8,FALSE)</f>
        <v>184</v>
      </c>
      <c r="I264">
        <f>VLOOKUP(A264,'House starts'!$A$12:$B$325,2,FALSE)</f>
        <v>1104</v>
      </c>
      <c r="J264">
        <f>VLOOKUP(A264,'New house sales'!$A$13:$C$324,3,FALSE)</f>
        <v>277100</v>
      </c>
      <c r="K264">
        <f>VLOOKUP($A264,'Sreenath''s data'!$A$2:$F$313,3,FALSE)</f>
        <v>159.39400000000001</v>
      </c>
      <c r="L264">
        <f>VLOOKUP($A264,'Sreenath''s data'!$A$2:$F$313,4,FALSE)</f>
        <v>6791.6</v>
      </c>
      <c r="M264">
        <f>VLOOKUP($A264,'Sreenath''s data'!$A$2:$F$313,5,FALSE)</f>
        <v>115056</v>
      </c>
      <c r="N264">
        <f>VLOOKUP($A264,'Sreenath''s data'!$A$2:$F$313,6,FALSE)</f>
        <v>106.789195705173</v>
      </c>
      <c r="O264">
        <f>VLOOKUP($A264,'Niteesh''s data'!$A$2:$I$313,3,FALSE)</f>
        <v>1758.6999510000001</v>
      </c>
      <c r="P264">
        <f>VLOOKUP($A264,'Niteesh''s data'!$A$2:$I$313,4,FALSE)</f>
        <v>1813.5500489999999</v>
      </c>
      <c r="Q264">
        <f>VLOOKUP($A264,'Niteesh''s data'!$A$2:$I$313,5,FALSE)</f>
        <v>1746.1999510000001</v>
      </c>
      <c r="R264">
        <f>VLOOKUP($A264,'Niteesh''s data'!$A$2:$I$313,6,FALSE)</f>
        <v>1805.8100589999999</v>
      </c>
      <c r="S264">
        <f>VLOOKUP($A264,'Niteesh''s data'!$A$2:$I$313,7,FALSE)</f>
        <v>1805.8100589999999</v>
      </c>
      <c r="T264">
        <f>VLOOKUP($A264,'Niteesh''s data'!$A$2:$I$313,8,FALSE)</f>
        <v>63628190000</v>
      </c>
      <c r="U264" s="61">
        <f>VLOOKUP($A264,'Niteesh''s data'!$A$2:$I$313,9,FALSE)</f>
        <v>7.4000000000000003E-3</v>
      </c>
      <c r="V264">
        <f>VLOOKUP(A264,'Existing home Sales'!$A$2:$C$324,3,FALSE)</f>
        <v>5.12</v>
      </c>
      <c r="W264" s="8">
        <v>2</v>
      </c>
      <c r="X264">
        <f>IFERROR(VLOOKUP(A264,'Home Depot Gross Profit'!$A$1:$B$105,2,FALSE)/3,IF(W264=2,X263,X263))</f>
        <v>2266</v>
      </c>
      <c r="Y264">
        <f>IFERROR(VLOOKUP(A264,'LOWE''S GROSS PROFIT'!$A$1:$B$105,2,FALSE)/3,IF(X264=2,Y263/3,Y263))</f>
        <v>1493.6666666666667</v>
      </c>
      <c r="Z264" s="8">
        <v>4.2549999999999999</v>
      </c>
      <c r="AA264">
        <v>5963</v>
      </c>
      <c r="AB264">
        <f>VLOOKUP(A264,'[1]Fed_Int (1)'!$A$2:$B$316,2,FALSE)</f>
        <v>0.08</v>
      </c>
      <c r="AC264" s="8">
        <v>77.980002999999996</v>
      </c>
      <c r="AD264" s="8">
        <v>82.269997000000004</v>
      </c>
      <c r="AE264" s="8">
        <v>74.779999000000004</v>
      </c>
      <c r="AF264" s="8">
        <v>80.669998000000007</v>
      </c>
      <c r="AG264" s="8">
        <v>73.306128999999999</v>
      </c>
      <c r="AH264" s="8">
        <v>138731300</v>
      </c>
      <c r="AI264" s="8">
        <v>49.830002</v>
      </c>
      <c r="AJ264" s="8">
        <v>52.080002</v>
      </c>
      <c r="AK264" s="8">
        <v>47.16</v>
      </c>
      <c r="AL264" s="8">
        <v>47.48</v>
      </c>
      <c r="AM264" s="8">
        <v>44.184874999999998</v>
      </c>
      <c r="AN264" s="8">
        <v>167618100</v>
      </c>
    </row>
    <row r="265" spans="1:40" x14ac:dyDescent="0.35">
      <c r="A265" s="1">
        <v>41609</v>
      </c>
      <c r="B265" s="13">
        <f t="shared" si="8"/>
        <v>12</v>
      </c>
      <c r="C265" s="13">
        <f t="shared" si="9"/>
        <v>2013</v>
      </c>
      <c r="D265" s="2">
        <v>25301</v>
      </c>
      <c r="E265">
        <f>VLOOKUP(A265,PSR!$A$12:$B$721,2,FALSE)</f>
        <v>4.7</v>
      </c>
      <c r="F265">
        <f>VLOOKUP(A265,CCI_USA!$F$2:$H$317,3,FALSE)</f>
        <v>99.164929999999998</v>
      </c>
      <c r="G265">
        <f>INDEX('BLS Data Series'!$A$11:$M$39,MATCH('UI Datathon Development'!C265,'BLS Data Series'!$A$13:$A$39,0)+2,MATCH('UI Datathon Development'!B265,'BLS Data Series'!$B$11:$M$11,0)+1)</f>
        <v>6.7</v>
      </c>
      <c r="H265">
        <f>VLOOKUP(A265,'Houses for sale'!$B$10:$I$671,8,FALSE)</f>
        <v>187</v>
      </c>
      <c r="I265">
        <f>VLOOKUP(A265,'House starts'!$A$12:$B$325,2,FALSE)</f>
        <v>1010</v>
      </c>
      <c r="J265">
        <f>VLOOKUP(A265,'New house sales'!$A$13:$C$324,3,FALSE)</f>
        <v>275500</v>
      </c>
      <c r="K265">
        <f>VLOOKUP($A265,'Sreenath''s data'!$A$2:$F$313,3,FALSE)</f>
        <v>159.315</v>
      </c>
      <c r="L265">
        <f>VLOOKUP($A265,'Sreenath''s data'!$A$2:$F$313,4,FALSE)</f>
        <v>7023.2</v>
      </c>
      <c r="M265">
        <f>VLOOKUP($A265,'Sreenath''s data'!$A$2:$F$313,5,FALSE)</f>
        <v>114826</v>
      </c>
      <c r="N265">
        <f>VLOOKUP($A265,'Sreenath''s data'!$A$2:$F$313,6,FALSE)</f>
        <v>107.014446165913</v>
      </c>
      <c r="O265">
        <f>VLOOKUP($A265,'Niteesh''s data'!$A$2:$I$313,3,FALSE)</f>
        <v>1806.5500489999999</v>
      </c>
      <c r="P265">
        <f>VLOOKUP($A265,'Niteesh''s data'!$A$2:$I$313,4,FALSE)</f>
        <v>1849.4399410000001</v>
      </c>
      <c r="Q265">
        <f>VLOOKUP($A265,'Niteesh''s data'!$A$2:$I$313,5,FALSE)</f>
        <v>1767.98999</v>
      </c>
      <c r="R265">
        <f>VLOOKUP($A265,'Niteesh''s data'!$A$2:$I$313,6,FALSE)</f>
        <v>1848.3599850000001</v>
      </c>
      <c r="S265">
        <f>VLOOKUP($A265,'Niteesh''s data'!$A$2:$I$313,7,FALSE)</f>
        <v>1848.3599850000001</v>
      </c>
      <c r="T265">
        <f>VLOOKUP($A265,'Niteesh''s data'!$A$2:$I$313,8,FALSE)</f>
        <v>64958820000</v>
      </c>
      <c r="U265" s="61">
        <f>VLOOKUP($A265,'Niteesh''s data'!$A$2:$I$313,9,FALSE)</f>
        <v>7.4000000000000003E-3</v>
      </c>
      <c r="V265">
        <f>VLOOKUP(A265,'Existing home Sales'!$A$2:$C$324,3,FALSE)</f>
        <v>4.9000000000000004</v>
      </c>
      <c r="W265" s="8">
        <v>3</v>
      </c>
      <c r="X265">
        <f>IFERROR(VLOOKUP(A265,'Home Depot Gross Profit'!$A$1:$B$105,2,FALSE)/3,IF(W265=2,X264,X264))</f>
        <v>2266</v>
      </c>
      <c r="Y265">
        <f>IFERROR(VLOOKUP(A265,'LOWE''S GROSS PROFIT'!$A$1:$B$105,2,FALSE)/3,IF(X265=2,Y264/3,Y264))</f>
        <v>1493.6666666666667</v>
      </c>
      <c r="Z265" s="8">
        <v>4.4649999999999999</v>
      </c>
      <c r="AA265">
        <v>5932</v>
      </c>
      <c r="AB265">
        <f>VLOOKUP(A265,'[1]Fed_Int (1)'!$A$2:$B$316,2,FALSE)</f>
        <v>0.09</v>
      </c>
      <c r="AC265" s="8">
        <v>80.449996999999996</v>
      </c>
      <c r="AD265" s="8">
        <v>82.470000999999996</v>
      </c>
      <c r="AE265" s="8">
        <v>77.699996999999996</v>
      </c>
      <c r="AF265" s="8">
        <v>82.339995999999999</v>
      </c>
      <c r="AG265" s="8">
        <v>74.823691999999994</v>
      </c>
      <c r="AH265" s="8">
        <v>128287300</v>
      </c>
      <c r="AI265" s="8">
        <v>47.580002</v>
      </c>
      <c r="AJ265" s="8">
        <v>49.610000999999997</v>
      </c>
      <c r="AK265" s="8">
        <v>45.75</v>
      </c>
      <c r="AL265" s="8">
        <v>49.549999</v>
      </c>
      <c r="AM265" s="8">
        <v>46.111213999999997</v>
      </c>
      <c r="AN265" s="8">
        <v>121741000</v>
      </c>
    </row>
    <row r="266" spans="1:40" x14ac:dyDescent="0.35">
      <c r="A266" s="1">
        <v>41640</v>
      </c>
      <c r="B266" s="13">
        <f t="shared" si="8"/>
        <v>1</v>
      </c>
      <c r="C266" s="13">
        <f t="shared" si="9"/>
        <v>2014</v>
      </c>
      <c r="D266" s="2">
        <v>25234</v>
      </c>
      <c r="E266">
        <f>VLOOKUP(A266,PSR!$A$12:$B$721,2,FALSE)</f>
        <v>5.0999999999999996</v>
      </c>
      <c r="F266">
        <f>VLOOKUP(A266,CCI_USA!$F$2:$H$317,3,FALSE)</f>
        <v>99.337819999999994</v>
      </c>
      <c r="G266">
        <f>INDEX('BLS Data Series'!$A$11:$M$39,MATCH('UI Datathon Development'!C266,'BLS Data Series'!$A$13:$A$39,0)+2,MATCH('UI Datathon Development'!B266,'BLS Data Series'!$B$11:$M$11,0)+1)</f>
        <v>6.6</v>
      </c>
      <c r="H266">
        <f>VLOOKUP(A266,'Houses for sale'!$B$10:$I$671,8,FALSE)</f>
        <v>190</v>
      </c>
      <c r="I266">
        <f>VLOOKUP(A266,'House starts'!$A$12:$B$325,2,FALSE)</f>
        <v>902</v>
      </c>
      <c r="J266">
        <f>VLOOKUP(A266,'New house sales'!$A$13:$C$324,3,FALSE)</f>
        <v>269800</v>
      </c>
      <c r="K266">
        <f>VLOOKUP($A266,'Sreenath''s data'!$A$2:$F$313,3,FALSE)</f>
        <v>159.40799999999999</v>
      </c>
      <c r="L266">
        <f>VLOOKUP($A266,'Sreenath''s data'!$A$2:$F$313,4,FALSE)</f>
        <v>6892.9</v>
      </c>
      <c r="M266">
        <f>VLOOKUP($A266,'Sreenath''s data'!$A$2:$F$313,5,FALSE)</f>
        <v>114764</v>
      </c>
      <c r="N266">
        <f>VLOOKUP($A266,'Sreenath''s data'!$A$2:$F$313,6,FALSE)</f>
        <v>107.362174149902</v>
      </c>
      <c r="O266">
        <f>VLOOKUP($A266,'Niteesh''s data'!$A$2:$I$313,3,FALSE)</f>
        <v>1845.8599850000001</v>
      </c>
      <c r="P266">
        <f>VLOOKUP($A266,'Niteesh''s data'!$A$2:$I$313,4,FALSE)</f>
        <v>1850.839966</v>
      </c>
      <c r="Q266">
        <f>VLOOKUP($A266,'Niteesh''s data'!$A$2:$I$313,5,FALSE)</f>
        <v>1770.4499510000001</v>
      </c>
      <c r="R266">
        <f>VLOOKUP($A266,'Niteesh''s data'!$A$2:$I$313,6,FALSE)</f>
        <v>1782.589966</v>
      </c>
      <c r="S266">
        <f>VLOOKUP($A266,'Niteesh''s data'!$A$2:$I$313,7,FALSE)</f>
        <v>1782.589966</v>
      </c>
      <c r="T266">
        <f>VLOOKUP($A266,'Niteesh''s data'!$A$2:$I$313,8,FALSE)</f>
        <v>75871910000</v>
      </c>
      <c r="U266" s="61">
        <f>VLOOKUP($A266,'Niteesh''s data'!$A$2:$I$313,9,FALSE)</f>
        <v>7.4000000000000003E-3</v>
      </c>
      <c r="V266">
        <f>VLOOKUP(A266,'Existing home Sales'!$A$2:$C$324,3,FALSE)</f>
        <v>4.87</v>
      </c>
      <c r="W266" s="8">
        <v>1</v>
      </c>
      <c r="X266">
        <f>IFERROR(VLOOKUP(A266,'Home Depot Gross Profit'!$A$1:$B$105,2,FALSE)/3,IF(W266=2,X265,X265))</f>
        <v>1905.6666666666667</v>
      </c>
      <c r="Y266">
        <f>IFERROR(VLOOKUP(A266,'LOWE''S GROSS PROFIT'!$A$1:$B$105,2,FALSE)/3,IF(X266=2,Y265/3,Y265))</f>
        <v>1347.3333333333333</v>
      </c>
      <c r="Z266" s="8">
        <v>4.41</v>
      </c>
      <c r="AA266">
        <v>5981</v>
      </c>
      <c r="AB266">
        <f>VLOOKUP(A266,'[1]Fed_Int (1)'!$A$2:$B$316,2,FALSE)</f>
        <v>7.0000000000000007E-2</v>
      </c>
      <c r="AC266" s="8">
        <v>82.110000999999997</v>
      </c>
      <c r="AD266" s="8">
        <v>82.57</v>
      </c>
      <c r="AE266" s="8">
        <v>75.849997999999999</v>
      </c>
      <c r="AF266" s="8">
        <v>76.849997999999999</v>
      </c>
      <c r="AG266" s="8">
        <v>70.177948000000001</v>
      </c>
      <c r="AH266" s="8">
        <v>137041800</v>
      </c>
      <c r="AI266" s="8">
        <v>49.549999</v>
      </c>
      <c r="AJ266" s="8">
        <v>49.91</v>
      </c>
      <c r="AK266" s="8">
        <v>45.619999</v>
      </c>
      <c r="AL266" s="8">
        <v>46.290000999999997</v>
      </c>
      <c r="AM266" s="8">
        <v>43.077461</v>
      </c>
      <c r="AN266" s="8">
        <v>139020000</v>
      </c>
    </row>
    <row r="267" spans="1:40" x14ac:dyDescent="0.35">
      <c r="A267" s="1">
        <v>41671</v>
      </c>
      <c r="B267" s="13">
        <f t="shared" si="8"/>
        <v>2</v>
      </c>
      <c r="C267" s="13">
        <f t="shared" si="9"/>
        <v>2014</v>
      </c>
      <c r="D267" s="2">
        <v>25163</v>
      </c>
      <c r="E267">
        <f>VLOOKUP(A267,PSR!$A$12:$B$721,2,FALSE)</f>
        <v>5.4</v>
      </c>
      <c r="F267">
        <f>VLOOKUP(A267,CCI_USA!$F$2:$H$317,3,FALSE)</f>
        <v>99.407920000000004</v>
      </c>
      <c r="G267">
        <f>INDEX('BLS Data Series'!$A$11:$M$39,MATCH('UI Datathon Development'!C267,'BLS Data Series'!$A$13:$A$39,0)+2,MATCH('UI Datathon Development'!B267,'BLS Data Series'!$B$11:$M$11,0)+1)</f>
        <v>6.7</v>
      </c>
      <c r="H267">
        <f>VLOOKUP(A267,'Houses for sale'!$B$10:$I$671,8,FALSE)</f>
        <v>188</v>
      </c>
      <c r="I267">
        <f>VLOOKUP(A267,'House starts'!$A$12:$B$325,2,FALSE)</f>
        <v>948</v>
      </c>
      <c r="J267">
        <f>VLOOKUP(A267,'New house sales'!$A$13:$C$324,3,FALSE)</f>
        <v>268400</v>
      </c>
      <c r="K267">
        <f>VLOOKUP($A267,'Sreenath''s data'!$A$2:$F$313,3,FALSE)</f>
        <v>159.91399999999999</v>
      </c>
      <c r="L267">
        <f>VLOOKUP($A267,'Sreenath''s data'!$A$2:$F$313,4,FALSE)</f>
        <v>6908.4</v>
      </c>
      <c r="M267">
        <f>VLOOKUP($A267,'Sreenath''s data'!$A$2:$F$313,5,FALSE)</f>
        <v>114728</v>
      </c>
      <c r="N267">
        <f>VLOOKUP($A267,'Sreenath''s data'!$A$2:$F$313,6,FALSE)</f>
        <v>107.62722014658701</v>
      </c>
      <c r="O267">
        <f>VLOOKUP($A267,'Niteesh''s data'!$A$2:$I$313,3,FALSE)</f>
        <v>1782.6800539999999</v>
      </c>
      <c r="P267">
        <f>VLOOKUP($A267,'Niteesh''s data'!$A$2:$I$313,4,FALSE)</f>
        <v>1867.920044</v>
      </c>
      <c r="Q267">
        <f>VLOOKUP($A267,'Niteesh''s data'!$A$2:$I$313,5,FALSE)</f>
        <v>1737.920044</v>
      </c>
      <c r="R267">
        <f>VLOOKUP($A267,'Niteesh''s data'!$A$2:$I$313,6,FALSE)</f>
        <v>1859.4499510000001</v>
      </c>
      <c r="S267">
        <f>VLOOKUP($A267,'Niteesh''s data'!$A$2:$I$313,7,FALSE)</f>
        <v>1859.4499510000001</v>
      </c>
      <c r="T267">
        <f>VLOOKUP($A267,'Niteesh''s data'!$A$2:$I$313,8,FALSE)</f>
        <v>69725590000</v>
      </c>
      <c r="U267" s="61">
        <f>VLOOKUP($A267,'Niteesh''s data'!$A$2:$I$313,9,FALSE)</f>
        <v>7.6E-3</v>
      </c>
      <c r="V267">
        <f>VLOOKUP(A267,'Existing home Sales'!$A$2:$C$324,3,FALSE)</f>
        <v>4.62</v>
      </c>
      <c r="W267" s="8">
        <v>2</v>
      </c>
      <c r="X267">
        <f>IFERROR(VLOOKUP(A267,'Home Depot Gross Profit'!$A$1:$B$105,2,FALSE)/3,IF(W267=2,X266,X266))</f>
        <v>1905.6666666666667</v>
      </c>
      <c r="Y267">
        <f>IFERROR(VLOOKUP(A267,'LOWE''S GROSS PROFIT'!$A$1:$B$105,2,FALSE)/3,IF(X267=2,Y266/3,Y266))</f>
        <v>1347.3333333333333</v>
      </c>
      <c r="Z267" s="8">
        <v>4.3049999999999997</v>
      </c>
      <c r="AA267">
        <v>6007</v>
      </c>
      <c r="AB267">
        <f>VLOOKUP(A267,'[1]Fed_Int (1)'!$A$2:$B$316,2,FALSE)</f>
        <v>7.0000000000000007E-2</v>
      </c>
      <c r="AC267" s="8">
        <v>76.639999000000003</v>
      </c>
      <c r="AD267" s="8">
        <v>83.099997999999999</v>
      </c>
      <c r="AE267" s="8">
        <v>73.959998999999996</v>
      </c>
      <c r="AF267" s="8">
        <v>82.029999000000004</v>
      </c>
      <c r="AG267" s="8">
        <v>74.908233999999993</v>
      </c>
      <c r="AH267" s="8">
        <v>147322300</v>
      </c>
      <c r="AI267" s="8">
        <v>46.259998000000003</v>
      </c>
      <c r="AJ267" s="8">
        <v>51.279998999999997</v>
      </c>
      <c r="AK267" s="8">
        <v>44.450001</v>
      </c>
      <c r="AL267" s="8">
        <v>50.029998999999997</v>
      </c>
      <c r="AM267" s="8">
        <v>46.732498</v>
      </c>
      <c r="AN267" s="8">
        <v>149539600</v>
      </c>
    </row>
    <row r="268" spans="1:40" x14ac:dyDescent="0.35">
      <c r="A268" s="1">
        <v>41699</v>
      </c>
      <c r="B268" s="13">
        <f t="shared" si="8"/>
        <v>3</v>
      </c>
      <c r="C268" s="13">
        <f t="shared" si="9"/>
        <v>2014</v>
      </c>
      <c r="D268" s="2">
        <v>25481</v>
      </c>
      <c r="E268">
        <f>VLOOKUP(A268,PSR!$A$12:$B$721,2,FALSE)</f>
        <v>5.4</v>
      </c>
      <c r="F268">
        <f>VLOOKUP(A268,CCI_USA!$F$2:$H$317,3,FALSE)</f>
        <v>99.440179999999998</v>
      </c>
      <c r="G268">
        <f>INDEX('BLS Data Series'!$A$11:$M$39,MATCH('UI Datathon Development'!C268,'BLS Data Series'!$A$13:$A$39,0)+2,MATCH('UI Datathon Development'!B268,'BLS Data Series'!$B$11:$M$11,0)+1)</f>
        <v>6.7</v>
      </c>
      <c r="H268">
        <f>VLOOKUP(A268,'Houses for sale'!$B$10:$I$671,8,FALSE)</f>
        <v>192</v>
      </c>
      <c r="I268">
        <f>VLOOKUP(A268,'House starts'!$A$12:$B$325,2,FALSE)</f>
        <v>973</v>
      </c>
      <c r="J268">
        <f>VLOOKUP(A268,'New house sales'!$A$13:$C$324,3,FALSE)</f>
        <v>282300</v>
      </c>
      <c r="K268">
        <f>VLOOKUP($A268,'Sreenath''s data'!$A$2:$F$313,3,FALSE)</f>
        <v>161.232</v>
      </c>
      <c r="L268">
        <f>VLOOKUP($A268,'Sreenath''s data'!$A$2:$F$313,4,FALSE)</f>
        <v>6930.4</v>
      </c>
      <c r="M268">
        <f>VLOOKUP($A268,'Sreenath''s data'!$A$2:$F$313,5,FALSE)</f>
        <v>114627</v>
      </c>
      <c r="N268">
        <f>VLOOKUP($A268,'Sreenath''s data'!$A$2:$F$313,6,FALSE)</f>
        <v>108.026720963747</v>
      </c>
      <c r="O268">
        <f>VLOOKUP($A268,'Niteesh''s data'!$A$2:$I$313,3,FALSE)</f>
        <v>1857.6800539999999</v>
      </c>
      <c r="P268">
        <f>VLOOKUP($A268,'Niteesh''s data'!$A$2:$I$313,4,FALSE)</f>
        <v>1883.969971</v>
      </c>
      <c r="Q268">
        <f>VLOOKUP($A268,'Niteesh''s data'!$A$2:$I$313,5,FALSE)</f>
        <v>1834.4399410000001</v>
      </c>
      <c r="R268">
        <f>VLOOKUP($A268,'Niteesh''s data'!$A$2:$I$313,6,FALSE)</f>
        <v>1872.339966</v>
      </c>
      <c r="S268">
        <f>VLOOKUP($A268,'Niteesh''s data'!$A$2:$I$313,7,FALSE)</f>
        <v>1872.339966</v>
      </c>
      <c r="T268">
        <f>VLOOKUP($A268,'Niteesh''s data'!$A$2:$I$313,8,FALSE)</f>
        <v>71885030000</v>
      </c>
      <c r="U268" s="61">
        <f>VLOOKUP($A268,'Niteesh''s data'!$A$2:$I$313,9,FALSE)</f>
        <v>7.4999999999999997E-3</v>
      </c>
      <c r="V268">
        <f>VLOOKUP(A268,'Existing home Sales'!$A$2:$C$324,3,FALSE)</f>
        <v>4.5999999999999996</v>
      </c>
      <c r="W268" s="8">
        <v>3</v>
      </c>
      <c r="X268">
        <f>IFERROR(VLOOKUP(A268,'Home Depot Gross Profit'!$A$1:$B$105,2,FALSE)/3,IF(W268=2,X267,X267))</f>
        <v>1905.6666666666667</v>
      </c>
      <c r="Y268">
        <f>IFERROR(VLOOKUP(A268,'LOWE''S GROSS PROFIT'!$A$1:$B$105,2,FALSE)/3,IF(X268=2,Y267/3,Y267))</f>
        <v>1347.3333333333333</v>
      </c>
      <c r="Z268" s="8">
        <v>4.3449999999999998</v>
      </c>
      <c r="AA268">
        <v>6041</v>
      </c>
      <c r="AB268">
        <f>VLOOKUP(A268,'[1]Fed_Int (1)'!$A$2:$B$316,2,FALSE)</f>
        <v>0.08</v>
      </c>
      <c r="AC268" s="8">
        <v>80.730002999999996</v>
      </c>
      <c r="AD268" s="8">
        <v>83.199996999999996</v>
      </c>
      <c r="AE268" s="8">
        <v>78.370002999999997</v>
      </c>
      <c r="AF268" s="8">
        <v>79.129997000000003</v>
      </c>
      <c r="AG268" s="8">
        <v>72.259995000000004</v>
      </c>
      <c r="AH268" s="8">
        <v>129832500</v>
      </c>
      <c r="AI268" s="8">
        <v>48.599997999999999</v>
      </c>
      <c r="AJ268" s="8">
        <v>50.779998999999997</v>
      </c>
      <c r="AK268" s="8">
        <v>48.16</v>
      </c>
      <c r="AL268" s="8">
        <v>48.900002000000001</v>
      </c>
      <c r="AM268" s="8">
        <v>45.676971000000002</v>
      </c>
      <c r="AN268" s="8">
        <v>112090900</v>
      </c>
    </row>
    <row r="269" spans="1:40" x14ac:dyDescent="0.35">
      <c r="A269" s="1">
        <v>41730</v>
      </c>
      <c r="B269" s="13">
        <f t="shared" si="8"/>
        <v>4</v>
      </c>
      <c r="C269" s="13">
        <f t="shared" si="9"/>
        <v>2014</v>
      </c>
      <c r="D269" s="2">
        <v>26557</v>
      </c>
      <c r="E269">
        <f>VLOOKUP(A269,PSR!$A$12:$B$721,2,FALSE)</f>
        <v>5.5</v>
      </c>
      <c r="F269">
        <f>VLOOKUP(A269,CCI_USA!$F$2:$H$317,3,FALSE)</f>
        <v>99.513220000000004</v>
      </c>
      <c r="G269">
        <f>INDEX('BLS Data Series'!$A$11:$M$39,MATCH('UI Datathon Development'!C269,'BLS Data Series'!$A$13:$A$39,0)+2,MATCH('UI Datathon Development'!B269,'BLS Data Series'!$B$11:$M$11,0)+1)</f>
        <v>6.3</v>
      </c>
      <c r="H269">
        <f>VLOOKUP(A269,'Houses for sale'!$B$10:$I$671,8,FALSE)</f>
        <v>191</v>
      </c>
      <c r="I269">
        <f>VLOOKUP(A269,'House starts'!$A$12:$B$325,2,FALSE)</f>
        <v>1038</v>
      </c>
      <c r="J269">
        <f>VLOOKUP(A269,'New house sales'!$A$13:$C$324,3,FALSE)</f>
        <v>274500</v>
      </c>
      <c r="K269">
        <f>VLOOKUP($A269,'Sreenath''s data'!$A$2:$F$313,3,FALSE)</f>
        <v>163.01</v>
      </c>
      <c r="L269">
        <f>VLOOKUP($A269,'Sreenath''s data'!$A$2:$F$313,4,FALSE)</f>
        <v>6932.6</v>
      </c>
      <c r="M269">
        <f>VLOOKUP($A269,'Sreenath''s data'!$A$2:$F$313,5,FALSE)</f>
        <v>115011</v>
      </c>
      <c r="N269">
        <f>VLOOKUP($A269,'Sreenath''s data'!$A$2:$F$313,6,FALSE)</f>
        <v>108.218744083795</v>
      </c>
      <c r="O269">
        <f>VLOOKUP($A269,'Niteesh''s data'!$A$2:$I$313,3,FALSE)</f>
        <v>1873.959961</v>
      </c>
      <c r="P269">
        <f>VLOOKUP($A269,'Niteesh''s data'!$A$2:$I$313,4,FALSE)</f>
        <v>1897.280029</v>
      </c>
      <c r="Q269">
        <f>VLOOKUP($A269,'Niteesh''s data'!$A$2:$I$313,5,FALSE)</f>
        <v>1814.3599850000001</v>
      </c>
      <c r="R269">
        <f>VLOOKUP($A269,'Niteesh''s data'!$A$2:$I$313,6,FALSE)</f>
        <v>1883.9499510000001</v>
      </c>
      <c r="S269">
        <f>VLOOKUP($A269,'Niteesh''s data'!$A$2:$I$313,7,FALSE)</f>
        <v>1883.9499510000001</v>
      </c>
      <c r="T269">
        <f>VLOOKUP($A269,'Niteesh''s data'!$A$2:$I$313,8,FALSE)</f>
        <v>71595810000</v>
      </c>
      <c r="U269" s="61">
        <f>VLOOKUP($A269,'Niteesh''s data'!$A$2:$I$313,9,FALSE)</f>
        <v>7.6E-3</v>
      </c>
      <c r="V269">
        <f>VLOOKUP(A269,'Existing home Sales'!$A$2:$C$324,3,FALSE)</f>
        <v>4.59</v>
      </c>
      <c r="W269" s="8">
        <v>1</v>
      </c>
      <c r="X269">
        <f>IFERROR(VLOOKUP(A269,'Home Depot Gross Profit'!$A$1:$B$105,2,FALSE)/3,IF(W269=2,X268,X268))</f>
        <v>2252.3333333333335</v>
      </c>
      <c r="Y269">
        <f>IFERROR(VLOOKUP(A269,'LOWE''S GROSS PROFIT'!$A$1:$B$105,2,FALSE)/3,IF(X269=2,Y268/3,Y268))</f>
        <v>1586</v>
      </c>
      <c r="Z269" s="8">
        <v>4.335</v>
      </c>
      <c r="AA269">
        <v>6081</v>
      </c>
      <c r="AB269">
        <f>VLOOKUP(A269,'[1]Fed_Int (1)'!$A$2:$B$316,2,FALSE)</f>
        <v>0.09</v>
      </c>
      <c r="AC269" s="8">
        <v>79.239998</v>
      </c>
      <c r="AD269" s="8">
        <v>81.150002000000001</v>
      </c>
      <c r="AE269" s="8">
        <v>74.610000999999997</v>
      </c>
      <c r="AF269" s="8">
        <v>79.510002</v>
      </c>
      <c r="AG269" s="8">
        <v>73.024642999999998</v>
      </c>
      <c r="AH269" s="8">
        <v>161862300</v>
      </c>
      <c r="AI269" s="8">
        <v>49.07</v>
      </c>
      <c r="AJ269" s="8">
        <v>49.970001000000003</v>
      </c>
      <c r="AK269" s="8">
        <v>45.650002000000001</v>
      </c>
      <c r="AL269" s="8">
        <v>45.91</v>
      </c>
      <c r="AM269" s="8">
        <v>42.884051999999997</v>
      </c>
      <c r="AN269" s="8">
        <v>113172100</v>
      </c>
    </row>
    <row r="270" spans="1:40" x14ac:dyDescent="0.35">
      <c r="A270" s="1">
        <v>41760</v>
      </c>
      <c r="B270" s="13">
        <f t="shared" si="8"/>
        <v>5</v>
      </c>
      <c r="C270" s="13">
        <f t="shared" si="9"/>
        <v>2014</v>
      </c>
      <c r="D270" s="2">
        <v>26722</v>
      </c>
      <c r="E270">
        <f>VLOOKUP(A270,PSR!$A$12:$B$721,2,FALSE)</f>
        <v>5.7</v>
      </c>
      <c r="F270">
        <f>VLOOKUP(A270,CCI_USA!$F$2:$H$317,3,FALSE)</f>
        <v>99.499600000000001</v>
      </c>
      <c r="G270">
        <f>INDEX('BLS Data Series'!$A$11:$M$39,MATCH('UI Datathon Development'!C270,'BLS Data Series'!$A$13:$A$39,0)+2,MATCH('UI Datathon Development'!B270,'BLS Data Series'!$B$11:$M$11,0)+1)</f>
        <v>6.3</v>
      </c>
      <c r="H270">
        <f>VLOOKUP(A270,'Houses for sale'!$B$10:$I$671,8,FALSE)</f>
        <v>193</v>
      </c>
      <c r="I270">
        <f>VLOOKUP(A270,'House starts'!$A$12:$B$325,2,FALSE)</f>
        <v>987</v>
      </c>
      <c r="J270">
        <f>VLOOKUP(A270,'New house sales'!$A$13:$C$324,3,FALSE)</f>
        <v>285600</v>
      </c>
      <c r="K270">
        <f>VLOOKUP($A270,'Sreenath''s data'!$A$2:$F$313,3,FALSE)</f>
        <v>164.72299999999899</v>
      </c>
      <c r="L270">
        <f>VLOOKUP($A270,'Sreenath''s data'!$A$2:$F$313,4,FALSE)</f>
        <v>7016.1</v>
      </c>
      <c r="M270">
        <f>VLOOKUP($A270,'Sreenath''s data'!$A$2:$F$313,5,FALSE)</f>
        <v>115272</v>
      </c>
      <c r="N270">
        <f>VLOOKUP($A270,'Sreenath''s data'!$A$2:$F$313,6,FALSE)</f>
        <v>108.556426592691</v>
      </c>
      <c r="O270">
        <f>VLOOKUP($A270,'Niteesh''s data'!$A$2:$I$313,3,FALSE)</f>
        <v>1884.3900149999999</v>
      </c>
      <c r="P270">
        <f>VLOOKUP($A270,'Niteesh''s data'!$A$2:$I$313,4,FALSE)</f>
        <v>1924.030029</v>
      </c>
      <c r="Q270">
        <f>VLOOKUP($A270,'Niteesh''s data'!$A$2:$I$313,5,FALSE)</f>
        <v>1859.790039</v>
      </c>
      <c r="R270">
        <f>VLOOKUP($A270,'Niteesh''s data'!$A$2:$I$313,6,FALSE)</f>
        <v>1923.5699460000001</v>
      </c>
      <c r="S270">
        <f>VLOOKUP($A270,'Niteesh''s data'!$A$2:$I$313,7,FALSE)</f>
        <v>1923.5699460000001</v>
      </c>
      <c r="T270">
        <f>VLOOKUP($A270,'Niteesh''s data'!$A$2:$I$313,8,FALSE)</f>
        <v>63623630000</v>
      </c>
      <c r="U270" s="61">
        <f>VLOOKUP($A270,'Niteesh''s data'!$A$2:$I$313,9,FALSE)</f>
        <v>7.6E-3</v>
      </c>
      <c r="V270">
        <f>VLOOKUP(A270,'Existing home Sales'!$A$2:$C$324,3,FALSE)</f>
        <v>4.6500000000000004</v>
      </c>
      <c r="W270" s="8">
        <v>2</v>
      </c>
      <c r="X270">
        <f>IFERROR(VLOOKUP(A270,'Home Depot Gross Profit'!$A$1:$B$105,2,FALSE)/3,IF(W270=2,X269,X269))</f>
        <v>2252.3333333333335</v>
      </c>
      <c r="Y270">
        <f>IFERROR(VLOOKUP(A270,'LOWE''S GROSS PROFIT'!$A$1:$B$105,2,FALSE)/3,IF(X270=2,Y269/3,Y269))</f>
        <v>1586</v>
      </c>
      <c r="Z270" s="8">
        <v>4.2</v>
      </c>
      <c r="AA270">
        <v>6111</v>
      </c>
      <c r="AB270">
        <f>VLOOKUP(A270,'[1]Fed_Int (1)'!$A$2:$B$316,2,FALSE)</f>
        <v>0.09</v>
      </c>
      <c r="AC270" s="8">
        <v>79.510002</v>
      </c>
      <c r="AD270" s="8">
        <v>80.269997000000004</v>
      </c>
      <c r="AE270" s="8">
        <v>75.319999999999993</v>
      </c>
      <c r="AF270" s="8">
        <v>80.230002999999996</v>
      </c>
      <c r="AG270" s="8">
        <v>73.685920999999993</v>
      </c>
      <c r="AH270" s="8">
        <v>120703800</v>
      </c>
      <c r="AI270" s="8">
        <v>46.049999</v>
      </c>
      <c r="AJ270" s="8">
        <v>47.830002</v>
      </c>
      <c r="AK270" s="8">
        <v>44.130001</v>
      </c>
      <c r="AL270" s="8">
        <v>47.080002</v>
      </c>
      <c r="AM270" s="8">
        <v>44.146732</v>
      </c>
      <c r="AN270" s="8">
        <v>112803800</v>
      </c>
    </row>
    <row r="271" spans="1:40" x14ac:dyDescent="0.35">
      <c r="A271" s="1">
        <v>41791</v>
      </c>
      <c r="B271" s="13">
        <f t="shared" si="8"/>
        <v>6</v>
      </c>
      <c r="C271" s="13">
        <f t="shared" si="9"/>
        <v>2014</v>
      </c>
      <c r="D271" s="2">
        <v>26944</v>
      </c>
      <c r="E271">
        <f>VLOOKUP(A271,PSR!$A$12:$B$721,2,FALSE)</f>
        <v>5.9</v>
      </c>
      <c r="F271">
        <f>VLOOKUP(A271,CCI_USA!$F$2:$H$317,3,FALSE)</f>
        <v>99.473179999999999</v>
      </c>
      <c r="G271">
        <f>INDEX('BLS Data Series'!$A$11:$M$39,MATCH('UI Datathon Development'!C271,'BLS Data Series'!$A$13:$A$39,0)+2,MATCH('UI Datathon Development'!B271,'BLS Data Series'!$B$11:$M$11,0)+1)</f>
        <v>6.1</v>
      </c>
      <c r="H271">
        <f>VLOOKUP(A271,'Houses for sale'!$B$10:$I$671,8,FALSE)</f>
        <v>198</v>
      </c>
      <c r="I271">
        <f>VLOOKUP(A271,'House starts'!$A$12:$B$325,2,FALSE)</f>
        <v>928</v>
      </c>
      <c r="J271">
        <f>VLOOKUP(A271,'New house sales'!$A$13:$C$324,3,FALSE)</f>
        <v>287000</v>
      </c>
      <c r="K271">
        <f>VLOOKUP($A271,'Sreenath''s data'!$A$2:$F$313,3,FALSE)</f>
        <v>166.24700000000001</v>
      </c>
      <c r="L271">
        <f>VLOOKUP($A271,'Sreenath''s data'!$A$2:$F$313,4,FALSE)</f>
        <v>7002.8</v>
      </c>
      <c r="M271">
        <f>VLOOKUP($A271,'Sreenath''s data'!$A$2:$F$313,5,FALSE)</f>
        <v>115097</v>
      </c>
      <c r="N271">
        <f>VLOOKUP($A271,'Sreenath''s data'!$A$2:$F$313,6,FALSE)</f>
        <v>108.78167705343</v>
      </c>
      <c r="O271">
        <f>VLOOKUP($A271,'Niteesh''s data'!$A$2:$I$313,3,FALSE)</f>
        <v>1923.869995</v>
      </c>
      <c r="P271">
        <f>VLOOKUP($A271,'Niteesh''s data'!$A$2:$I$313,4,FALSE)</f>
        <v>1968.170044</v>
      </c>
      <c r="Q271">
        <f>VLOOKUP($A271,'Niteesh''s data'!$A$2:$I$313,5,FALSE)</f>
        <v>1915.9799800000001</v>
      </c>
      <c r="R271">
        <f>VLOOKUP($A271,'Niteesh''s data'!$A$2:$I$313,6,FALSE)</f>
        <v>1960.2299800000001</v>
      </c>
      <c r="S271">
        <f>VLOOKUP($A271,'Niteesh''s data'!$A$2:$I$313,7,FALSE)</f>
        <v>1960.2299800000001</v>
      </c>
      <c r="T271">
        <f>VLOOKUP($A271,'Niteesh''s data'!$A$2:$I$313,8,FALSE)</f>
        <v>63283380000</v>
      </c>
      <c r="U271" s="61">
        <f>VLOOKUP($A271,'Niteesh''s data'!$A$2:$I$313,9,FALSE)</f>
        <v>7.6E-3</v>
      </c>
      <c r="V271">
        <f>VLOOKUP(A271,'Existing home Sales'!$A$2:$C$324,3,FALSE)</f>
        <v>4.8899999999999997</v>
      </c>
      <c r="W271" s="8">
        <v>3</v>
      </c>
      <c r="X271">
        <f>IFERROR(VLOOKUP(A271,'Home Depot Gross Profit'!$A$1:$B$105,2,FALSE)/3,IF(W271=2,X270,X270))</f>
        <v>2252.3333333333335</v>
      </c>
      <c r="Y271">
        <f>IFERROR(VLOOKUP(A271,'LOWE''S GROSS PROFIT'!$A$1:$B$105,2,FALSE)/3,IF(X271=2,Y270/3,Y270))</f>
        <v>1586</v>
      </c>
      <c r="Z271" s="8">
        <v>4.1549999999999896</v>
      </c>
      <c r="AA271">
        <v>6131</v>
      </c>
      <c r="AB271">
        <f>VLOOKUP(A271,'[1]Fed_Int (1)'!$A$2:$B$316,2,FALSE)</f>
        <v>0.1</v>
      </c>
      <c r="AC271" s="8">
        <v>80.25</v>
      </c>
      <c r="AD271" s="8">
        <v>81.470000999999996</v>
      </c>
      <c r="AE271" s="8">
        <v>77.75</v>
      </c>
      <c r="AF271" s="8">
        <v>80.959998999999996</v>
      </c>
      <c r="AG271" s="8">
        <v>74.356384000000006</v>
      </c>
      <c r="AH271" s="8">
        <v>129672100</v>
      </c>
      <c r="AI271" s="8">
        <v>47.09</v>
      </c>
      <c r="AJ271" s="8">
        <v>48.25</v>
      </c>
      <c r="AK271" s="8">
        <v>45.099997999999999</v>
      </c>
      <c r="AL271" s="8">
        <v>47.990001999999997</v>
      </c>
      <c r="AM271" s="8">
        <v>45.000038000000004</v>
      </c>
      <c r="AN271" s="8">
        <v>134003400</v>
      </c>
    </row>
    <row r="272" spans="1:40" x14ac:dyDescent="0.35">
      <c r="A272" s="1">
        <v>41821</v>
      </c>
      <c r="B272" s="13">
        <f t="shared" si="8"/>
        <v>7</v>
      </c>
      <c r="C272" s="13">
        <f t="shared" si="9"/>
        <v>2014</v>
      </c>
      <c r="D272" s="2">
        <v>26525</v>
      </c>
      <c r="E272">
        <f>VLOOKUP(A272,PSR!$A$12:$B$721,2,FALSE)</f>
        <v>5.8</v>
      </c>
      <c r="F272">
        <f>VLOOKUP(A272,CCI_USA!$F$2:$H$317,3,FALSE)</f>
        <v>99.46499</v>
      </c>
      <c r="G272">
        <f>INDEX('BLS Data Series'!$A$11:$M$39,MATCH('UI Datathon Development'!C272,'BLS Data Series'!$A$13:$A$39,0)+2,MATCH('UI Datathon Development'!B272,'BLS Data Series'!$B$11:$M$11,0)+1)</f>
        <v>6.2</v>
      </c>
      <c r="H272">
        <f>VLOOKUP(A272,'Houses for sale'!$B$10:$I$671,8,FALSE)</f>
        <v>203</v>
      </c>
      <c r="I272">
        <f>VLOOKUP(A272,'House starts'!$A$12:$B$325,2,FALSE)</f>
        <v>1085</v>
      </c>
      <c r="J272">
        <f>VLOOKUP(A272,'New house sales'!$A$13:$C$324,3,FALSE)</f>
        <v>280400</v>
      </c>
      <c r="K272">
        <f>VLOOKUP($A272,'Sreenath''s data'!$A$2:$F$313,3,FALSE)</f>
        <v>167.166</v>
      </c>
      <c r="L272">
        <f>VLOOKUP($A272,'Sreenath''s data'!$A$2:$F$313,4,FALSE)</f>
        <v>7008.8</v>
      </c>
      <c r="M272">
        <f>VLOOKUP($A272,'Sreenath''s data'!$A$2:$F$313,5,FALSE)</f>
        <v>115050</v>
      </c>
      <c r="N272">
        <f>VLOOKUP($A272,'Sreenath''s data'!$A$2:$F$313,6,FALSE)</f>
        <v>109.09733679000701</v>
      </c>
      <c r="O272">
        <f>VLOOKUP($A272,'Niteesh''s data'!$A$2:$I$313,3,FALSE)</f>
        <v>1962.290039</v>
      </c>
      <c r="P272">
        <f>VLOOKUP($A272,'Niteesh''s data'!$A$2:$I$313,4,FALSE)</f>
        <v>1991.3900149999999</v>
      </c>
      <c r="Q272">
        <f>VLOOKUP($A272,'Niteesh''s data'!$A$2:$I$313,5,FALSE)</f>
        <v>1930.670044</v>
      </c>
      <c r="R272">
        <f>VLOOKUP($A272,'Niteesh''s data'!$A$2:$I$313,6,FALSE)</f>
        <v>1930.670044</v>
      </c>
      <c r="S272">
        <f>VLOOKUP($A272,'Niteesh''s data'!$A$2:$I$313,7,FALSE)</f>
        <v>1930.670044</v>
      </c>
      <c r="T272">
        <f>VLOOKUP($A272,'Niteesh''s data'!$A$2:$I$313,8,FALSE)</f>
        <v>66524690000</v>
      </c>
      <c r="U272" s="61">
        <f>VLOOKUP($A272,'Niteesh''s data'!$A$2:$I$313,9,FALSE)</f>
        <v>7.7000000000000002E-3</v>
      </c>
      <c r="V272">
        <f>VLOOKUP(A272,'Existing home Sales'!$A$2:$C$324,3,FALSE)</f>
        <v>5.04</v>
      </c>
      <c r="W272" s="8">
        <v>1</v>
      </c>
      <c r="X272">
        <f>IFERROR(VLOOKUP(A272,'Home Depot Gross Profit'!$A$1:$B$105,2,FALSE)/3,IF(W272=2,X271,X271))</f>
        <v>2669</v>
      </c>
      <c r="Y272">
        <f>IFERROR(VLOOKUP(A272,'LOWE''S GROSS PROFIT'!$A$1:$B$105,2,FALSE)/3,IF(X272=2,Y271/3,Y271))</f>
        <v>1911.6666666666667</v>
      </c>
      <c r="Z272" s="8">
        <v>4.13</v>
      </c>
      <c r="AA272">
        <v>6174</v>
      </c>
      <c r="AB272">
        <f>VLOOKUP(A272,'[1]Fed_Int (1)'!$A$2:$B$316,2,FALSE)</f>
        <v>0.09</v>
      </c>
      <c r="AC272" s="8">
        <v>81.319999999999993</v>
      </c>
      <c r="AD272" s="8">
        <v>82.349997999999999</v>
      </c>
      <c r="AE272" s="8">
        <v>77.949996999999996</v>
      </c>
      <c r="AF272" s="8">
        <v>80.849997999999999</v>
      </c>
      <c r="AG272" s="8">
        <v>74.689575000000005</v>
      </c>
      <c r="AH272" s="8">
        <v>127291500</v>
      </c>
      <c r="AI272" s="8">
        <v>48.029998999999997</v>
      </c>
      <c r="AJ272" s="8">
        <v>48.540000999999997</v>
      </c>
      <c r="AK272" s="8">
        <v>46.48</v>
      </c>
      <c r="AL272" s="8">
        <v>47.849997999999999</v>
      </c>
      <c r="AM272" s="8">
        <v>44.868752000000001</v>
      </c>
      <c r="AN272" s="8">
        <v>99933100</v>
      </c>
    </row>
    <row r="273" spans="1:40" x14ac:dyDescent="0.35">
      <c r="A273" s="1">
        <v>41852</v>
      </c>
      <c r="B273" s="13">
        <f t="shared" si="8"/>
        <v>8</v>
      </c>
      <c r="C273" s="13">
        <f t="shared" si="9"/>
        <v>2014</v>
      </c>
      <c r="D273" s="2">
        <v>27047</v>
      </c>
      <c r="E273">
        <f>VLOOKUP(A273,PSR!$A$12:$B$721,2,FALSE)</f>
        <v>5.6</v>
      </c>
      <c r="F273">
        <f>VLOOKUP(A273,CCI_USA!$F$2:$H$317,3,FALSE)</f>
        <v>99.559920000000005</v>
      </c>
      <c r="G273">
        <f>INDEX('BLS Data Series'!$A$11:$M$39,MATCH('UI Datathon Development'!C273,'BLS Data Series'!$A$13:$A$39,0)+2,MATCH('UI Datathon Development'!B273,'BLS Data Series'!$B$11:$M$11,0)+1)</f>
        <v>6.2</v>
      </c>
      <c r="H273">
        <f>VLOOKUP(A273,'Houses for sale'!$B$10:$I$671,8,FALSE)</f>
        <v>206</v>
      </c>
      <c r="I273">
        <f>VLOOKUP(A273,'House starts'!$A$12:$B$325,2,FALSE)</f>
        <v>984</v>
      </c>
      <c r="J273">
        <f>VLOOKUP(A273,'New house sales'!$A$13:$C$324,3,FALSE)</f>
        <v>291700</v>
      </c>
      <c r="K273">
        <f>VLOOKUP($A273,'Sreenath''s data'!$A$2:$F$313,3,FALSE)</f>
        <v>167.482</v>
      </c>
      <c r="L273">
        <f>VLOOKUP($A273,'Sreenath''s data'!$A$2:$F$313,4,FALSE)</f>
        <v>7019.1</v>
      </c>
      <c r="M273">
        <f>VLOOKUP($A273,'Sreenath''s data'!$A$2:$F$313,5,FALSE)</f>
        <v>115048</v>
      </c>
      <c r="N273">
        <f>VLOOKUP($A273,'Sreenath''s data'!$A$2:$F$313,6,FALSE)</f>
        <v>109.32065542861299</v>
      </c>
      <c r="O273">
        <f>VLOOKUP($A273,'Niteesh''s data'!$A$2:$I$313,3,FALSE)</f>
        <v>1929.8000489999999</v>
      </c>
      <c r="P273">
        <f>VLOOKUP($A273,'Niteesh''s data'!$A$2:$I$313,4,FALSE)</f>
        <v>2005.040039</v>
      </c>
      <c r="Q273">
        <f>VLOOKUP($A273,'Niteesh''s data'!$A$2:$I$313,5,FALSE)</f>
        <v>1904.780029</v>
      </c>
      <c r="R273">
        <f>VLOOKUP($A273,'Niteesh''s data'!$A$2:$I$313,6,FALSE)</f>
        <v>2003.369995</v>
      </c>
      <c r="S273">
        <f>VLOOKUP($A273,'Niteesh''s data'!$A$2:$I$313,7,FALSE)</f>
        <v>2003.369995</v>
      </c>
      <c r="T273">
        <f>VLOOKUP($A273,'Niteesh''s data'!$A$2:$I$313,8,FALSE)</f>
        <v>58131140000</v>
      </c>
      <c r="U273" s="61">
        <f>VLOOKUP($A273,'Niteesh''s data'!$A$2:$I$313,9,FALSE)</f>
        <v>7.7000000000000002E-3</v>
      </c>
      <c r="V273">
        <f>VLOOKUP(A273,'Existing home Sales'!$A$2:$C$324,3,FALSE)</f>
        <v>5.15</v>
      </c>
      <c r="W273" s="8">
        <v>2</v>
      </c>
      <c r="X273">
        <f>IFERROR(VLOOKUP(A273,'Home Depot Gross Profit'!$A$1:$B$105,2,FALSE)/3,IF(W273=2,X272,X272))</f>
        <v>2669</v>
      </c>
      <c r="Y273">
        <f>IFERROR(VLOOKUP(A273,'LOWE''S GROSS PROFIT'!$A$1:$B$105,2,FALSE)/3,IF(X273=2,Y272/3,Y272))</f>
        <v>1911.6666666666667</v>
      </c>
      <c r="Z273" s="8">
        <v>4.1099999999999897</v>
      </c>
      <c r="AA273">
        <v>6204</v>
      </c>
      <c r="AB273">
        <f>VLOOKUP(A273,'[1]Fed_Int (1)'!$A$2:$B$316,2,FALSE)</f>
        <v>0.09</v>
      </c>
      <c r="AC273" s="8">
        <v>80.559997999999993</v>
      </c>
      <c r="AD273" s="8">
        <v>93.519997000000004</v>
      </c>
      <c r="AE273" s="8">
        <v>79.660004000000001</v>
      </c>
      <c r="AF273" s="8">
        <v>93.5</v>
      </c>
      <c r="AG273" s="8">
        <v>86.375725000000003</v>
      </c>
      <c r="AH273" s="8">
        <v>148205800</v>
      </c>
      <c r="AI273" s="8">
        <v>47.889999000000003</v>
      </c>
      <c r="AJ273" s="8">
        <v>53.040000999999997</v>
      </c>
      <c r="AK273" s="8">
        <v>47.27</v>
      </c>
      <c r="AL273" s="8">
        <v>52.509998000000003</v>
      </c>
      <c r="AM273" s="8">
        <v>49.476439999999997</v>
      </c>
      <c r="AN273" s="8">
        <v>116345400</v>
      </c>
    </row>
    <row r="274" spans="1:40" x14ac:dyDescent="0.35">
      <c r="A274" s="1">
        <v>41883</v>
      </c>
      <c r="B274" s="13">
        <f t="shared" si="8"/>
        <v>9</v>
      </c>
      <c r="C274" s="13">
        <f t="shared" si="9"/>
        <v>2014</v>
      </c>
      <c r="D274" s="2">
        <v>26954</v>
      </c>
      <c r="E274">
        <f>VLOOKUP(A274,PSR!$A$12:$B$721,2,FALSE)</f>
        <v>5.8</v>
      </c>
      <c r="F274">
        <f>VLOOKUP(A274,CCI_USA!$F$2:$H$317,3,FALSE)</f>
        <v>99.764340000000004</v>
      </c>
      <c r="G274">
        <f>INDEX('BLS Data Series'!$A$11:$M$39,MATCH('UI Datathon Development'!C274,'BLS Data Series'!$A$13:$A$39,0)+2,MATCH('UI Datathon Development'!B274,'BLS Data Series'!$B$11:$M$11,0)+1)</f>
        <v>5.9</v>
      </c>
      <c r="H274">
        <f>VLOOKUP(A274,'Houses for sale'!$B$10:$I$671,8,FALSE)</f>
        <v>207</v>
      </c>
      <c r="I274">
        <f>VLOOKUP(A274,'House starts'!$A$12:$B$325,2,FALSE)</f>
        <v>999</v>
      </c>
      <c r="J274">
        <f>VLOOKUP(A274,'New house sales'!$A$13:$C$324,3,FALSE)</f>
        <v>261500</v>
      </c>
      <c r="K274">
        <f>VLOOKUP($A274,'Sreenath''s data'!$A$2:$F$313,3,FALSE)</f>
        <v>167.27799999999999</v>
      </c>
      <c r="L274">
        <f>VLOOKUP($A274,'Sreenath''s data'!$A$2:$F$313,4,FALSE)</f>
        <v>7048.2</v>
      </c>
      <c r="M274">
        <f>VLOOKUP($A274,'Sreenath''s data'!$A$2:$F$313,5,FALSE)</f>
        <v>115831</v>
      </c>
      <c r="N274">
        <f>VLOOKUP($A274,'Sreenath''s data'!$A$2:$F$313,6,FALSE)</f>
        <v>109.51654219292701</v>
      </c>
      <c r="O274">
        <f>VLOOKUP($A274,'Niteesh''s data'!$A$2:$I$313,3,FALSE)</f>
        <v>2004.0699460000001</v>
      </c>
      <c r="P274">
        <f>VLOOKUP($A274,'Niteesh''s data'!$A$2:$I$313,4,FALSE)</f>
        <v>2019.26001</v>
      </c>
      <c r="Q274">
        <f>VLOOKUP($A274,'Niteesh''s data'!$A$2:$I$313,5,FALSE)</f>
        <v>1964.040039</v>
      </c>
      <c r="R274">
        <f>VLOOKUP($A274,'Niteesh''s data'!$A$2:$I$313,6,FALSE)</f>
        <v>1972.290039</v>
      </c>
      <c r="S274">
        <f>VLOOKUP($A274,'Niteesh''s data'!$A$2:$I$313,7,FALSE)</f>
        <v>1972.290039</v>
      </c>
      <c r="T274">
        <f>VLOOKUP($A274,'Niteesh''s data'!$A$2:$I$313,8,FALSE)</f>
        <v>66706000000</v>
      </c>
      <c r="U274" s="61">
        <f>VLOOKUP($A274,'Niteesh''s data'!$A$2:$I$313,9,FALSE)</f>
        <v>7.7000000000000002E-3</v>
      </c>
      <c r="V274">
        <f>VLOOKUP(A274,'Existing home Sales'!$A$2:$C$324,3,FALSE)</f>
        <v>5.05</v>
      </c>
      <c r="W274" s="8">
        <v>3</v>
      </c>
      <c r="X274">
        <f>IFERROR(VLOOKUP(A274,'Home Depot Gross Profit'!$A$1:$B$105,2,FALSE)/3,IF(W274=2,X273,X273))</f>
        <v>2669</v>
      </c>
      <c r="Y274">
        <f>IFERROR(VLOOKUP(A274,'LOWE''S GROSS PROFIT'!$A$1:$B$105,2,FALSE)/3,IF(X274=2,Y273/3,Y273))</f>
        <v>1911.6666666666667</v>
      </c>
      <c r="Z274" s="8">
        <v>4.16</v>
      </c>
      <c r="AA274">
        <v>6236</v>
      </c>
      <c r="AB274">
        <f>VLOOKUP(A274,'[1]Fed_Int (1)'!$A$2:$B$316,2,FALSE)</f>
        <v>0.09</v>
      </c>
      <c r="AC274" s="8">
        <v>93.040001000000004</v>
      </c>
      <c r="AD274" s="8">
        <v>93.75</v>
      </c>
      <c r="AE274" s="8">
        <v>88.330001999999993</v>
      </c>
      <c r="AF274" s="8">
        <v>91.739998</v>
      </c>
      <c r="AG274" s="8">
        <v>84.749816999999993</v>
      </c>
      <c r="AH274" s="8">
        <v>153432100</v>
      </c>
      <c r="AI274" s="8">
        <v>52.66</v>
      </c>
      <c r="AJ274" s="8">
        <v>54.810001</v>
      </c>
      <c r="AK274" s="8">
        <v>52.029998999999997</v>
      </c>
      <c r="AL274" s="8">
        <v>52.919998</v>
      </c>
      <c r="AM274" s="8">
        <v>49.862743000000002</v>
      </c>
      <c r="AN274" s="8">
        <v>102284600</v>
      </c>
    </row>
    <row r="275" spans="1:40" x14ac:dyDescent="0.35">
      <c r="A275" s="1">
        <v>41913</v>
      </c>
      <c r="B275" s="13">
        <f t="shared" si="8"/>
        <v>10</v>
      </c>
      <c r="C275" s="13">
        <f t="shared" si="9"/>
        <v>2014</v>
      </c>
      <c r="D275" s="2">
        <v>26997</v>
      </c>
      <c r="E275">
        <f>VLOOKUP(A275,PSR!$A$12:$B$721,2,FALSE)</f>
        <v>5.8</v>
      </c>
      <c r="F275">
        <f>VLOOKUP(A275,CCI_USA!$F$2:$H$317,3,FALSE)</f>
        <v>100.0517</v>
      </c>
      <c r="G275">
        <f>INDEX('BLS Data Series'!$A$11:$M$39,MATCH('UI Datathon Development'!C275,'BLS Data Series'!$A$13:$A$39,0)+2,MATCH('UI Datathon Development'!B275,'BLS Data Series'!$B$11:$M$11,0)+1)</f>
        <v>5.7</v>
      </c>
      <c r="H275">
        <f>VLOOKUP(A275,'Houses for sale'!$B$10:$I$671,8,FALSE)</f>
        <v>209</v>
      </c>
      <c r="I275">
        <f>VLOOKUP(A275,'House starts'!$A$12:$B$325,2,FALSE)</f>
        <v>1094</v>
      </c>
      <c r="J275">
        <f>VLOOKUP(A275,'New house sales'!$A$13:$C$324,3,FALSE)</f>
        <v>297000</v>
      </c>
      <c r="K275">
        <f>VLOOKUP($A275,'Sreenath''s data'!$A$2:$F$313,3,FALSE)</f>
        <v>166.95</v>
      </c>
      <c r="L275">
        <f>VLOOKUP($A275,'Sreenath''s data'!$A$2:$F$313,4,FALSE)</f>
        <v>7113.4</v>
      </c>
      <c r="M275">
        <f>VLOOKUP($A275,'Sreenath''s data'!$A$2:$F$313,5,FALSE)</f>
        <v>116441</v>
      </c>
      <c r="N275">
        <f>VLOOKUP($A275,'Sreenath''s data'!$A$2:$F$313,6,FALSE)</f>
        <v>109.771542714519</v>
      </c>
      <c r="O275">
        <f>VLOOKUP($A275,'Niteesh''s data'!$A$2:$I$313,3,FALSE)</f>
        <v>1971.4399410000001</v>
      </c>
      <c r="P275">
        <f>VLOOKUP($A275,'Niteesh''s data'!$A$2:$I$313,4,FALSE)</f>
        <v>2018.1899410000001</v>
      </c>
      <c r="Q275">
        <f>VLOOKUP($A275,'Niteesh''s data'!$A$2:$I$313,5,FALSE)</f>
        <v>1820.660034</v>
      </c>
      <c r="R275">
        <f>VLOOKUP($A275,'Niteesh''s data'!$A$2:$I$313,6,FALSE)</f>
        <v>2018.0500489999999</v>
      </c>
      <c r="S275">
        <f>VLOOKUP($A275,'Niteesh''s data'!$A$2:$I$313,7,FALSE)</f>
        <v>2018.0500489999999</v>
      </c>
      <c r="T275">
        <f>VLOOKUP($A275,'Niteesh''s data'!$A$2:$I$313,8,FALSE)</f>
        <v>93714040000</v>
      </c>
      <c r="U275" s="61">
        <f>VLOOKUP($A275,'Niteesh''s data'!$A$2:$I$313,9,FALSE)</f>
        <v>7.7000000000000002E-3</v>
      </c>
      <c r="V275">
        <f>VLOOKUP(A275,'Existing home Sales'!$A$2:$C$324,3,FALSE)</f>
        <v>5.17</v>
      </c>
      <c r="W275" s="8">
        <v>1</v>
      </c>
      <c r="X275">
        <f>IFERROR(VLOOKUP(A275,'Home Depot Gross Profit'!$A$1:$B$105,2,FALSE)/3,IF(W275=2,X274,X274))</f>
        <v>2347.6666666666665</v>
      </c>
      <c r="Y275">
        <f>IFERROR(VLOOKUP(A275,'LOWE''S GROSS PROFIT'!$A$1:$B$105,2,FALSE)/3,IF(X275=2,Y274/3,Y274))</f>
        <v>1572.6666666666667</v>
      </c>
      <c r="Z275" s="8">
        <v>3.98</v>
      </c>
      <c r="AA275">
        <v>6254</v>
      </c>
      <c r="AB275">
        <f>VLOOKUP(A275,'[1]Fed_Int (1)'!$A$2:$B$316,2,FALSE)</f>
        <v>0.09</v>
      </c>
      <c r="AC275" s="8">
        <v>92.139999000000003</v>
      </c>
      <c r="AD275" s="8">
        <v>99.260002</v>
      </c>
      <c r="AE275" s="8">
        <v>86.349997999999999</v>
      </c>
      <c r="AF275" s="8">
        <v>97.519997000000004</v>
      </c>
      <c r="AG275" s="8">
        <v>90.544562999999997</v>
      </c>
      <c r="AH275" s="8">
        <v>145336900</v>
      </c>
      <c r="AI275" s="8">
        <v>52.759998000000003</v>
      </c>
      <c r="AJ275" s="8">
        <v>57.41</v>
      </c>
      <c r="AK275" s="8">
        <v>49.849997999999999</v>
      </c>
      <c r="AL275" s="8">
        <v>57.200001</v>
      </c>
      <c r="AM275" s="8">
        <v>53.895488999999998</v>
      </c>
      <c r="AN275" s="8">
        <v>138268200</v>
      </c>
    </row>
    <row r="276" spans="1:40" x14ac:dyDescent="0.35">
      <c r="A276" s="1">
        <v>41944</v>
      </c>
      <c r="B276" s="13">
        <f t="shared" si="8"/>
        <v>11</v>
      </c>
      <c r="C276" s="13">
        <f t="shared" si="9"/>
        <v>2014</v>
      </c>
      <c r="D276" s="2">
        <v>27190</v>
      </c>
      <c r="E276">
        <f>VLOOKUP(A276,PSR!$A$12:$B$721,2,FALSE)</f>
        <v>5.8</v>
      </c>
      <c r="F276">
        <f>VLOOKUP(A276,CCI_USA!$F$2:$H$317,3,FALSE)</f>
        <v>100.4044</v>
      </c>
      <c r="G276">
        <f>INDEX('BLS Data Series'!$A$11:$M$39,MATCH('UI Datathon Development'!C276,'BLS Data Series'!$A$13:$A$39,0)+2,MATCH('UI Datathon Development'!B276,'BLS Data Series'!$B$11:$M$11,0)+1)</f>
        <v>5.8</v>
      </c>
      <c r="H276">
        <f>VLOOKUP(A276,'Houses for sale'!$B$10:$I$671,8,FALSE)</f>
        <v>211</v>
      </c>
      <c r="I276">
        <f>VLOOKUP(A276,'House starts'!$A$12:$B$325,2,FALSE)</f>
        <v>994</v>
      </c>
      <c r="J276">
        <f>VLOOKUP(A276,'New house sales'!$A$13:$C$324,3,FALSE)</f>
        <v>298300</v>
      </c>
      <c r="K276">
        <f>VLOOKUP($A276,'Sreenath''s data'!$A$2:$F$313,3,FALSE)</f>
        <v>166.70400000000001</v>
      </c>
      <c r="L276">
        <f>VLOOKUP($A276,'Sreenath''s data'!$A$2:$F$313,4,FALSE)</f>
        <v>7111.1</v>
      </c>
      <c r="M276">
        <f>VLOOKUP($A276,'Sreenath''s data'!$A$2:$F$313,5,FALSE)</f>
        <v>116674</v>
      </c>
      <c r="N276">
        <f>VLOOKUP($A276,'Sreenath''s data'!$A$2:$F$313,6,FALSE)</f>
        <v>109.95120217291399</v>
      </c>
      <c r="O276">
        <f>VLOOKUP($A276,'Niteesh''s data'!$A$2:$I$313,3,FALSE)</f>
        <v>2018.209961</v>
      </c>
      <c r="P276">
        <f>VLOOKUP($A276,'Niteesh''s data'!$A$2:$I$313,4,FALSE)</f>
        <v>2075.76001</v>
      </c>
      <c r="Q276">
        <f>VLOOKUP($A276,'Niteesh''s data'!$A$2:$I$313,5,FALSE)</f>
        <v>2001.01001</v>
      </c>
      <c r="R276">
        <f>VLOOKUP($A276,'Niteesh''s data'!$A$2:$I$313,6,FALSE)</f>
        <v>2067.5600589999999</v>
      </c>
      <c r="S276">
        <f>VLOOKUP($A276,'Niteesh''s data'!$A$2:$I$313,7,FALSE)</f>
        <v>2067.5600589999999</v>
      </c>
      <c r="T276">
        <f>VLOOKUP($A276,'Niteesh''s data'!$A$2:$I$313,8,FALSE)</f>
        <v>63600190000</v>
      </c>
      <c r="U276" s="61">
        <f>VLOOKUP($A276,'Niteesh''s data'!$A$2:$I$313,9,FALSE)</f>
        <v>7.6E-3</v>
      </c>
      <c r="V276">
        <f>VLOOKUP(A276,'Existing home Sales'!$A$2:$C$324,3,FALSE)</f>
        <v>5.26</v>
      </c>
      <c r="W276" s="8">
        <v>2</v>
      </c>
      <c r="X276">
        <f>IFERROR(VLOOKUP(A276,'Home Depot Gross Profit'!$A$1:$B$105,2,FALSE)/3,IF(W276=2,X275,X275))</f>
        <v>2347.6666666666665</v>
      </c>
      <c r="Y276">
        <f>IFERROR(VLOOKUP(A276,'LOWE''S GROSS PROFIT'!$A$1:$B$105,2,FALSE)/3,IF(X276=2,Y275/3,Y275))</f>
        <v>1572.6666666666667</v>
      </c>
      <c r="Z276" s="8">
        <v>4</v>
      </c>
      <c r="AA276">
        <v>6270</v>
      </c>
      <c r="AB276">
        <f>VLOOKUP(A276,'[1]Fed_Int (1)'!$A$2:$B$316,2,FALSE)</f>
        <v>0.09</v>
      </c>
      <c r="AC276" s="8">
        <v>96.809997999999993</v>
      </c>
      <c r="AD276" s="8">
        <v>99.800003000000004</v>
      </c>
      <c r="AE276" s="8">
        <v>95.150002000000001</v>
      </c>
      <c r="AF276" s="8">
        <v>99.400002000000001</v>
      </c>
      <c r="AG276" s="8">
        <v>92.290092000000001</v>
      </c>
      <c r="AH276" s="8">
        <v>103033400</v>
      </c>
      <c r="AI276" s="8">
        <v>57.200001</v>
      </c>
      <c r="AJ276" s="8">
        <v>64.139999000000003</v>
      </c>
      <c r="AK276" s="8">
        <v>56.759998000000003</v>
      </c>
      <c r="AL276" s="8">
        <v>63.830002</v>
      </c>
      <c r="AM276" s="8">
        <v>60.407051000000003</v>
      </c>
      <c r="AN276" s="8">
        <v>97614000</v>
      </c>
    </row>
    <row r="277" spans="1:40" x14ac:dyDescent="0.35">
      <c r="A277" s="1">
        <v>41974</v>
      </c>
      <c r="B277" s="13">
        <f t="shared" si="8"/>
        <v>12</v>
      </c>
      <c r="C277" s="13">
        <f t="shared" si="9"/>
        <v>2014</v>
      </c>
      <c r="D277" s="2">
        <v>26905</v>
      </c>
      <c r="E277">
        <f>VLOOKUP(A277,PSR!$A$12:$B$721,2,FALSE)</f>
        <v>6.1</v>
      </c>
      <c r="F277">
        <f>VLOOKUP(A277,CCI_USA!$F$2:$H$317,3,FALSE)</f>
        <v>100.7953</v>
      </c>
      <c r="G277">
        <f>INDEX('BLS Data Series'!$A$11:$M$39,MATCH('UI Datathon Development'!C277,'BLS Data Series'!$A$13:$A$39,0)+2,MATCH('UI Datathon Development'!B277,'BLS Data Series'!$B$11:$M$11,0)+1)</f>
        <v>5.6</v>
      </c>
      <c r="H277">
        <f>VLOOKUP(A277,'Houses for sale'!$B$10:$I$671,8,FALSE)</f>
        <v>211</v>
      </c>
      <c r="I277">
        <f>VLOOKUP(A277,'House starts'!$A$12:$B$325,2,FALSE)</f>
        <v>1081</v>
      </c>
      <c r="J277">
        <f>VLOOKUP(A277,'New house sales'!$A$13:$C$324,3,FALSE)</f>
        <v>301500</v>
      </c>
      <c r="K277">
        <f>VLOOKUP($A277,'Sreenath''s data'!$A$2:$F$313,3,FALSE)</f>
        <v>166.512</v>
      </c>
      <c r="L277">
        <f>VLOOKUP($A277,'Sreenath''s data'!$A$2:$F$313,4,FALSE)</f>
        <v>7144.2</v>
      </c>
      <c r="M277">
        <f>VLOOKUP($A277,'Sreenath''s data'!$A$2:$F$313,5,FALSE)</f>
        <v>116827</v>
      </c>
      <c r="N277">
        <f>VLOOKUP($A277,'Sreenath''s data'!$A$2:$F$313,6,FALSE)</f>
        <v>110.088361544376</v>
      </c>
      <c r="O277">
        <f>VLOOKUP($A277,'Niteesh''s data'!$A$2:$I$313,3,FALSE)</f>
        <v>2065.780029</v>
      </c>
      <c r="P277">
        <f>VLOOKUP($A277,'Niteesh''s data'!$A$2:$I$313,4,FALSE)</f>
        <v>2093.5500489999999</v>
      </c>
      <c r="Q277">
        <f>VLOOKUP($A277,'Niteesh''s data'!$A$2:$I$313,5,FALSE)</f>
        <v>1972.5600589999999</v>
      </c>
      <c r="R277">
        <f>VLOOKUP($A277,'Niteesh''s data'!$A$2:$I$313,6,FALSE)</f>
        <v>2058.8999020000001</v>
      </c>
      <c r="S277">
        <f>VLOOKUP($A277,'Niteesh''s data'!$A$2:$I$313,7,FALSE)</f>
        <v>2058.8999020000001</v>
      </c>
      <c r="T277">
        <f>VLOOKUP($A277,'Niteesh''s data'!$A$2:$I$313,8,FALSE)</f>
        <v>80743820000</v>
      </c>
      <c r="U277" s="61">
        <f>VLOOKUP($A277,'Niteesh''s data'!$A$2:$I$313,9,FALSE)</f>
        <v>7.6E-3</v>
      </c>
      <c r="V277">
        <f>VLOOKUP(A277,'Existing home Sales'!$A$2:$C$324,3,FALSE)</f>
        <v>4.93</v>
      </c>
      <c r="W277" s="8">
        <v>3</v>
      </c>
      <c r="X277">
        <f>IFERROR(VLOOKUP(A277,'Home Depot Gross Profit'!$A$1:$B$105,2,FALSE)/3,IF(W277=2,X276,X276))</f>
        <v>2347.6666666666665</v>
      </c>
      <c r="Y277">
        <f>IFERROR(VLOOKUP(A277,'LOWE''S GROSS PROFIT'!$A$1:$B$105,2,FALSE)/3,IF(X277=2,Y276/3,Y276))</f>
        <v>1572.6666666666667</v>
      </c>
      <c r="Z277" s="8">
        <v>3.87</v>
      </c>
      <c r="AA277">
        <v>6295</v>
      </c>
      <c r="AB277">
        <f>VLOOKUP(A277,'[1]Fed_Int (1)'!$A$2:$B$316,2,FALSE)</f>
        <v>0.12</v>
      </c>
      <c r="AC277" s="8">
        <v>99.489998</v>
      </c>
      <c r="AD277" s="8">
        <v>106.019997</v>
      </c>
      <c r="AE277" s="8">
        <v>96.989998</v>
      </c>
      <c r="AF277" s="8">
        <v>104.970001</v>
      </c>
      <c r="AG277" s="8">
        <v>97.461685000000003</v>
      </c>
      <c r="AH277" s="8">
        <v>118058000</v>
      </c>
      <c r="AI277" s="8">
        <v>63.549999</v>
      </c>
      <c r="AJ277" s="8">
        <v>69.569999999999993</v>
      </c>
      <c r="AK277" s="8">
        <v>62.91</v>
      </c>
      <c r="AL277" s="8">
        <v>68.800003000000004</v>
      </c>
      <c r="AM277" s="8">
        <v>65.110518999999996</v>
      </c>
      <c r="AN277" s="8">
        <v>111638700</v>
      </c>
    </row>
    <row r="278" spans="1:40" x14ac:dyDescent="0.35">
      <c r="A278" s="1">
        <v>42005</v>
      </c>
      <c r="B278" s="13">
        <f t="shared" si="8"/>
        <v>1</v>
      </c>
      <c r="C278" s="13">
        <f t="shared" si="9"/>
        <v>2015</v>
      </c>
      <c r="D278" s="2">
        <v>27015</v>
      </c>
      <c r="E278">
        <f>VLOOKUP(A278,PSR!$A$12:$B$721,2,FALSE)</f>
        <v>6.1</v>
      </c>
      <c r="F278">
        <f>VLOOKUP(A278,CCI_USA!$F$2:$H$317,3,FALSE)</f>
        <v>101.05880000000001</v>
      </c>
      <c r="G278">
        <f>INDEX('BLS Data Series'!$A$11:$M$39,MATCH('UI Datathon Development'!C278,'BLS Data Series'!$A$13:$A$39,0)+2,MATCH('UI Datathon Development'!B278,'BLS Data Series'!$B$11:$M$11,0)+1)</f>
        <v>5.7</v>
      </c>
      <c r="H278">
        <f>VLOOKUP(A278,'Houses for sale'!$B$10:$I$671,8,FALSE)</f>
        <v>207</v>
      </c>
      <c r="I278">
        <f>VLOOKUP(A278,'House starts'!$A$12:$B$325,2,FALSE)</f>
        <v>1101</v>
      </c>
      <c r="J278">
        <f>VLOOKUP(A278,'New house sales'!$A$13:$C$324,3,FALSE)</f>
        <v>292000</v>
      </c>
      <c r="K278">
        <f>VLOOKUP($A278,'Sreenath''s data'!$A$2:$F$313,3,FALSE)</f>
        <v>166.30500000000001</v>
      </c>
      <c r="L278">
        <f>VLOOKUP($A278,'Sreenath''s data'!$A$2:$F$313,4,FALSE)</f>
        <v>7174.2</v>
      </c>
      <c r="M278">
        <f>VLOOKUP($A278,'Sreenath''s data'!$A$2:$F$313,5,FALSE)</f>
        <v>116350</v>
      </c>
      <c r="N278">
        <f>VLOOKUP($A278,'Sreenath''s data'!$A$2:$F$313,6,FALSE)</f>
        <v>110.48283962399</v>
      </c>
      <c r="O278">
        <f>VLOOKUP($A278,'Niteesh''s data'!$A$2:$I$313,3,FALSE)</f>
        <v>2058.8999020000001</v>
      </c>
      <c r="P278">
        <f>VLOOKUP($A278,'Niteesh''s data'!$A$2:$I$313,4,FALSE)</f>
        <v>2072.360107</v>
      </c>
      <c r="Q278">
        <f>VLOOKUP($A278,'Niteesh''s data'!$A$2:$I$313,5,FALSE)</f>
        <v>1988.119995</v>
      </c>
      <c r="R278">
        <f>VLOOKUP($A278,'Niteesh''s data'!$A$2:$I$313,6,FALSE)</f>
        <v>1994.98999</v>
      </c>
      <c r="S278">
        <f>VLOOKUP($A278,'Niteesh''s data'!$A$2:$I$313,7,FALSE)</f>
        <v>1994.98999</v>
      </c>
      <c r="T278">
        <f>VLOOKUP($A278,'Niteesh''s data'!$A$2:$I$313,8,FALSE)</f>
        <v>77330040000</v>
      </c>
      <c r="U278" s="61">
        <f>VLOOKUP($A278,'Niteesh''s data'!$A$2:$I$313,9,FALSE)</f>
        <v>7.6E-3</v>
      </c>
      <c r="V278">
        <f>VLOOKUP(A278,'Existing home Sales'!$A$2:$C$324,3,FALSE)</f>
        <v>5.04</v>
      </c>
      <c r="W278" s="8">
        <v>1</v>
      </c>
      <c r="X278">
        <f>IFERROR(VLOOKUP(A278,'Home Depot Gross Profit'!$A$1:$B$105,2,FALSE)/3,IF(W278=2,X277,X277))</f>
        <v>2194</v>
      </c>
      <c r="Y278">
        <f>IFERROR(VLOOKUP(A278,'LOWE''S GROSS PROFIT'!$A$1:$B$105,2,FALSE)/3,IF(X278=2,Y277/3,Y277))</f>
        <v>1449</v>
      </c>
      <c r="Z278" s="8">
        <v>3.66</v>
      </c>
      <c r="AA278">
        <v>6332</v>
      </c>
      <c r="AB278">
        <f>VLOOKUP(A278,'[1]Fed_Int (1)'!$A$2:$B$316,2,FALSE)</f>
        <v>0.11</v>
      </c>
      <c r="AC278" s="8">
        <v>105.160004</v>
      </c>
      <c r="AD278" s="8">
        <v>107.739998</v>
      </c>
      <c r="AE278" s="8">
        <v>100.239998</v>
      </c>
      <c r="AF278" s="8">
        <v>104.41999800000001</v>
      </c>
      <c r="AG278" s="8">
        <v>97.414046999999997</v>
      </c>
      <c r="AH278" s="8">
        <v>109803100</v>
      </c>
      <c r="AI278" s="8">
        <v>69</v>
      </c>
      <c r="AJ278" s="8">
        <v>71.110000999999997</v>
      </c>
      <c r="AK278" s="8">
        <v>65.360000999999997</v>
      </c>
      <c r="AL278" s="8">
        <v>67.760002</v>
      </c>
      <c r="AM278" s="8">
        <v>64.126320000000007</v>
      </c>
      <c r="AN278" s="8">
        <v>112937000</v>
      </c>
    </row>
    <row r="279" spans="1:40" x14ac:dyDescent="0.35">
      <c r="A279" s="1">
        <v>42036</v>
      </c>
      <c r="B279" s="13">
        <f t="shared" si="8"/>
        <v>2</v>
      </c>
      <c r="C279" s="13">
        <f t="shared" si="9"/>
        <v>2015</v>
      </c>
      <c r="D279" s="2">
        <v>26191</v>
      </c>
      <c r="E279">
        <f>VLOOKUP(A279,PSR!$A$12:$B$721,2,FALSE)</f>
        <v>6.3</v>
      </c>
      <c r="F279">
        <f>VLOOKUP(A279,CCI_USA!$F$2:$H$317,3,FALSE)</f>
        <v>101.0611</v>
      </c>
      <c r="G279">
        <f>INDEX('BLS Data Series'!$A$11:$M$39,MATCH('UI Datathon Development'!C279,'BLS Data Series'!$A$13:$A$39,0)+2,MATCH('UI Datathon Development'!B279,'BLS Data Series'!$B$11:$M$11,0)+1)</f>
        <v>5.5</v>
      </c>
      <c r="H279">
        <f>VLOOKUP(A279,'Houses for sale'!$B$10:$I$671,8,FALSE)</f>
        <v>204</v>
      </c>
      <c r="I279">
        <f>VLOOKUP(A279,'House starts'!$A$12:$B$325,2,FALSE)</f>
        <v>887</v>
      </c>
      <c r="J279">
        <f>VLOOKUP(A279,'New house sales'!$A$13:$C$324,3,FALSE)</f>
        <v>286600</v>
      </c>
      <c r="K279">
        <f>VLOOKUP($A279,'Sreenath''s data'!$A$2:$F$313,3,FALSE)</f>
        <v>166.69200000000001</v>
      </c>
      <c r="L279">
        <f>VLOOKUP($A279,'Sreenath''s data'!$A$2:$F$313,4,FALSE)</f>
        <v>7190.3</v>
      </c>
      <c r="M279">
        <f>VLOOKUP($A279,'Sreenath''s data'!$A$2:$F$313,5,FALSE)</f>
        <v>116253</v>
      </c>
      <c r="N279">
        <f>VLOOKUP($A279,'Sreenath''s data'!$A$2:$F$313,6,FALSE)</f>
        <v>110.80931756451299</v>
      </c>
      <c r="O279">
        <f>VLOOKUP($A279,'Niteesh''s data'!$A$2:$I$313,3,FALSE)</f>
        <v>1996.670044</v>
      </c>
      <c r="P279">
        <f>VLOOKUP($A279,'Niteesh''s data'!$A$2:$I$313,4,FALSE)</f>
        <v>2119.5900879999999</v>
      </c>
      <c r="Q279">
        <f>VLOOKUP($A279,'Niteesh''s data'!$A$2:$I$313,5,FALSE)</f>
        <v>1980.900024</v>
      </c>
      <c r="R279">
        <f>VLOOKUP($A279,'Niteesh''s data'!$A$2:$I$313,6,FALSE)</f>
        <v>2104.5</v>
      </c>
      <c r="S279">
        <f>VLOOKUP($A279,'Niteesh''s data'!$A$2:$I$313,7,FALSE)</f>
        <v>2104.5</v>
      </c>
      <c r="T279">
        <f>VLOOKUP($A279,'Niteesh''s data'!$A$2:$I$313,8,FALSE)</f>
        <v>68775560000</v>
      </c>
      <c r="U279" s="61">
        <f>VLOOKUP($A279,'Niteesh''s data'!$A$2:$I$313,9,FALSE)</f>
        <v>7.6E-3</v>
      </c>
      <c r="V279">
        <f>VLOOKUP(A279,'Existing home Sales'!$A$2:$C$324,3,FALSE)</f>
        <v>4.82</v>
      </c>
      <c r="W279" s="8">
        <v>2</v>
      </c>
      <c r="X279">
        <f>IFERROR(VLOOKUP(A279,'Home Depot Gross Profit'!$A$1:$B$105,2,FALSE)/3,IF(W279=2,X278,X278))</f>
        <v>2194</v>
      </c>
      <c r="Y279">
        <f>IFERROR(VLOOKUP(A279,'LOWE''S GROSS PROFIT'!$A$1:$B$105,2,FALSE)/3,IF(X279=2,Y278/3,Y278))</f>
        <v>1449</v>
      </c>
      <c r="Z279" s="8">
        <v>3.7249999999999899</v>
      </c>
      <c r="AA279">
        <v>6356</v>
      </c>
      <c r="AB279">
        <f>VLOOKUP(A279,'[1]Fed_Int (1)'!$A$2:$B$316,2,FALSE)</f>
        <v>0.11</v>
      </c>
      <c r="AC279" s="8">
        <v>104.779999</v>
      </c>
      <c r="AD279" s="8">
        <v>117.91999800000001</v>
      </c>
      <c r="AE279" s="8">
        <v>101.57</v>
      </c>
      <c r="AF279" s="8">
        <v>114.75</v>
      </c>
      <c r="AG279" s="8">
        <v>107.05096399999999</v>
      </c>
      <c r="AH279" s="8">
        <v>110356800</v>
      </c>
      <c r="AI279" s="8">
        <v>67.580001999999993</v>
      </c>
      <c r="AJ279" s="8">
        <v>75.980002999999996</v>
      </c>
      <c r="AK279" s="8">
        <v>66.169998000000007</v>
      </c>
      <c r="AL279" s="8">
        <v>74.089995999999999</v>
      </c>
      <c r="AM279" s="8">
        <v>70.360741000000004</v>
      </c>
      <c r="AN279" s="8">
        <v>93744300</v>
      </c>
    </row>
    <row r="280" spans="1:40" x14ac:dyDescent="0.35">
      <c r="A280" s="1">
        <v>42064</v>
      </c>
      <c r="B280" s="13">
        <f t="shared" si="8"/>
        <v>3</v>
      </c>
      <c r="C280" s="13">
        <f t="shared" si="9"/>
        <v>2015</v>
      </c>
      <c r="D280" s="2">
        <v>26869</v>
      </c>
      <c r="E280">
        <f>VLOOKUP(A280,PSR!$A$12:$B$721,2,FALSE)</f>
        <v>5.8</v>
      </c>
      <c r="F280">
        <f>VLOOKUP(A280,CCI_USA!$F$2:$H$317,3,FALSE)</f>
        <v>100.9648</v>
      </c>
      <c r="G280">
        <f>INDEX('BLS Data Series'!$A$11:$M$39,MATCH('UI Datathon Development'!C280,'BLS Data Series'!$A$13:$A$39,0)+2,MATCH('UI Datathon Development'!B280,'BLS Data Series'!$B$11:$M$11,0)+1)</f>
        <v>5.5</v>
      </c>
      <c r="H280">
        <f>VLOOKUP(A280,'Houses for sale'!$B$10:$I$671,8,FALSE)</f>
        <v>205</v>
      </c>
      <c r="I280">
        <f>VLOOKUP(A280,'House starts'!$A$12:$B$325,2,FALSE)</f>
        <v>974</v>
      </c>
      <c r="J280">
        <f>VLOOKUP(A280,'New house sales'!$A$13:$C$324,3,FALSE)</f>
        <v>286600</v>
      </c>
      <c r="K280">
        <f>VLOOKUP($A280,'Sreenath''s data'!$A$2:$F$313,3,FALSE)</f>
        <v>168.15299999999999</v>
      </c>
      <c r="L280">
        <f>VLOOKUP($A280,'Sreenath''s data'!$A$2:$F$313,4,FALSE)</f>
        <v>7208.3</v>
      </c>
      <c r="M280">
        <f>VLOOKUP($A280,'Sreenath''s data'!$A$2:$F$313,5,FALSE)</f>
        <v>116117</v>
      </c>
      <c r="N280">
        <f>VLOOKUP($A280,'Sreenath''s data'!$A$2:$F$313,6,FALSE)</f>
        <v>111.20534110183399</v>
      </c>
      <c r="O280">
        <f>VLOOKUP($A280,'Niteesh''s data'!$A$2:$I$313,3,FALSE)</f>
        <v>2105.2299800000001</v>
      </c>
      <c r="P280">
        <f>VLOOKUP($A280,'Niteesh''s data'!$A$2:$I$313,4,FALSE)</f>
        <v>2117.5200199999999</v>
      </c>
      <c r="Q280">
        <f>VLOOKUP($A280,'Niteesh''s data'!$A$2:$I$313,5,FALSE)</f>
        <v>2039.6899410000001</v>
      </c>
      <c r="R280">
        <f>VLOOKUP($A280,'Niteesh''s data'!$A$2:$I$313,6,FALSE)</f>
        <v>2067.889893</v>
      </c>
      <c r="S280">
        <f>VLOOKUP($A280,'Niteesh''s data'!$A$2:$I$313,7,FALSE)</f>
        <v>2067.889893</v>
      </c>
      <c r="T280">
        <f>VLOOKUP($A280,'Niteesh''s data'!$A$2:$I$313,8,FALSE)</f>
        <v>76675850000</v>
      </c>
      <c r="U280" s="61">
        <f>VLOOKUP($A280,'Niteesh''s data'!$A$2:$I$313,9,FALSE)</f>
        <v>7.6E-3</v>
      </c>
      <c r="V280">
        <f>VLOOKUP(A280,'Existing home Sales'!$A$2:$C$324,3,FALSE)</f>
        <v>4.88</v>
      </c>
      <c r="W280" s="8">
        <v>3</v>
      </c>
      <c r="X280">
        <f>IFERROR(VLOOKUP(A280,'Home Depot Gross Profit'!$A$1:$B$105,2,FALSE)/3,IF(W280=2,X279,X279))</f>
        <v>2194</v>
      </c>
      <c r="Y280">
        <f>IFERROR(VLOOKUP(A280,'LOWE''S GROSS PROFIT'!$A$1:$B$105,2,FALSE)/3,IF(X280=2,Y279/3,Y279))</f>
        <v>1449</v>
      </c>
      <c r="Z280" s="8">
        <v>3.7649999999999899</v>
      </c>
      <c r="AA280">
        <v>6340</v>
      </c>
      <c r="AB280">
        <f>VLOOKUP(A280,'[1]Fed_Int (1)'!$A$2:$B$316,2,FALSE)</f>
        <v>0.11</v>
      </c>
      <c r="AC280" s="8">
        <v>114.860001</v>
      </c>
      <c r="AD280" s="8">
        <v>117.989998</v>
      </c>
      <c r="AE280" s="8">
        <v>111.58000199999999</v>
      </c>
      <c r="AF280" s="8">
        <v>113.610001</v>
      </c>
      <c r="AG280" s="8">
        <v>105.987442</v>
      </c>
      <c r="AH280" s="8">
        <v>104068500</v>
      </c>
      <c r="AI280" s="8">
        <v>73.519997000000004</v>
      </c>
      <c r="AJ280" s="8">
        <v>76.25</v>
      </c>
      <c r="AK280" s="8">
        <v>72.480002999999996</v>
      </c>
      <c r="AL280" s="8">
        <v>74.389999000000003</v>
      </c>
      <c r="AM280" s="8">
        <v>70.645652999999996</v>
      </c>
      <c r="AN280" s="8">
        <v>103142900</v>
      </c>
    </row>
    <row r="281" spans="1:40" x14ac:dyDescent="0.35">
      <c r="A281" s="1">
        <v>42095</v>
      </c>
      <c r="B281" s="13">
        <f t="shared" si="8"/>
        <v>4</v>
      </c>
      <c r="C281" s="13">
        <f t="shared" si="9"/>
        <v>2015</v>
      </c>
      <c r="D281" s="2">
        <v>27301</v>
      </c>
      <c r="E281">
        <f>VLOOKUP(A281,PSR!$A$12:$B$721,2,FALSE)</f>
        <v>6.2</v>
      </c>
      <c r="F281">
        <f>VLOOKUP(A281,CCI_USA!$F$2:$H$317,3,FALSE)</f>
        <v>100.91030000000001</v>
      </c>
      <c r="G281">
        <f>INDEX('BLS Data Series'!$A$11:$M$39,MATCH('UI Datathon Development'!C281,'BLS Data Series'!$A$13:$A$39,0)+2,MATCH('UI Datathon Development'!B281,'BLS Data Series'!$B$11:$M$11,0)+1)</f>
        <v>5.4</v>
      </c>
      <c r="H281">
        <f>VLOOKUP(A281,'Houses for sale'!$B$10:$I$671,8,FALSE)</f>
        <v>206</v>
      </c>
      <c r="I281">
        <f>VLOOKUP(A281,'House starts'!$A$12:$B$325,2,FALSE)</f>
        <v>1200</v>
      </c>
      <c r="J281">
        <f>VLOOKUP(A281,'New house sales'!$A$13:$C$324,3,FALSE)</f>
        <v>294500</v>
      </c>
      <c r="K281">
        <f>VLOOKUP($A281,'Sreenath''s data'!$A$2:$F$313,3,FALSE)</f>
        <v>170.03599999999901</v>
      </c>
      <c r="L281">
        <f>VLOOKUP($A281,'Sreenath''s data'!$A$2:$F$313,4,FALSE)</f>
        <v>7153.1</v>
      </c>
      <c r="M281">
        <f>VLOOKUP($A281,'Sreenath''s data'!$A$2:$F$313,5,FALSE)</f>
        <v>117342</v>
      </c>
      <c r="N281">
        <f>VLOOKUP($A281,'Sreenath''s data'!$A$2:$F$313,6,FALSE)</f>
        <v>111.452227970466</v>
      </c>
      <c r="O281">
        <f>VLOOKUP($A281,'Niteesh''s data'!$A$2:$I$313,3,FALSE)</f>
        <v>2067.6298830000001</v>
      </c>
      <c r="P281">
        <f>VLOOKUP($A281,'Niteesh''s data'!$A$2:$I$313,4,FALSE)</f>
        <v>2125.919922</v>
      </c>
      <c r="Q281">
        <f>VLOOKUP($A281,'Niteesh''s data'!$A$2:$I$313,5,FALSE)</f>
        <v>2048.3798830000001</v>
      </c>
      <c r="R281">
        <f>VLOOKUP($A281,'Niteesh''s data'!$A$2:$I$313,6,FALSE)</f>
        <v>2085.51001</v>
      </c>
      <c r="S281">
        <f>VLOOKUP($A281,'Niteesh''s data'!$A$2:$I$313,7,FALSE)</f>
        <v>2085.51001</v>
      </c>
      <c r="T281">
        <f>VLOOKUP($A281,'Niteesh''s data'!$A$2:$I$313,8,FALSE)</f>
        <v>72060940000</v>
      </c>
      <c r="U281" s="61">
        <f>VLOOKUP($A281,'Niteesh''s data'!$A$2:$I$313,9,FALSE)</f>
        <v>7.6E-3</v>
      </c>
      <c r="V281">
        <f>VLOOKUP(A281,'Existing home Sales'!$A$2:$C$324,3,FALSE)</f>
        <v>5.19</v>
      </c>
      <c r="W281" s="8">
        <v>1</v>
      </c>
      <c r="X281">
        <f>IFERROR(VLOOKUP(A281,'Home Depot Gross Profit'!$A$1:$B$105,2,FALSE)/3,IF(W281=2,X280,X280))</f>
        <v>2393</v>
      </c>
      <c r="Y281">
        <f>IFERROR(VLOOKUP(A281,'LOWE''S GROSS PROFIT'!$A$1:$B$105,2,FALSE)/3,IF(X281=2,Y280/3,Y280))</f>
        <v>1670.6666666666667</v>
      </c>
      <c r="Z281" s="8">
        <v>3.67</v>
      </c>
      <c r="AA281">
        <v>6390</v>
      </c>
      <c r="AB281">
        <f>VLOOKUP(A281,'[1]Fed_Int (1)'!$A$2:$B$316,2,FALSE)</f>
        <v>0.12</v>
      </c>
      <c r="AC281" s="8">
        <v>113.879997</v>
      </c>
      <c r="AD281" s="8">
        <v>116.25</v>
      </c>
      <c r="AE281" s="8">
        <v>106.620003</v>
      </c>
      <c r="AF281" s="8">
        <v>106.980003</v>
      </c>
      <c r="AG281" s="8">
        <v>100.315849</v>
      </c>
      <c r="AH281" s="8">
        <v>95587100</v>
      </c>
      <c r="AI281" s="8">
        <v>74.319999999999993</v>
      </c>
      <c r="AJ281" s="8">
        <v>75.639999000000003</v>
      </c>
      <c r="AK281" s="8">
        <v>68.599997999999999</v>
      </c>
      <c r="AL281" s="8">
        <v>68.860000999999997</v>
      </c>
      <c r="AM281" s="8">
        <v>65.393996999999999</v>
      </c>
      <c r="AN281" s="8">
        <v>90371500</v>
      </c>
    </row>
    <row r="282" spans="1:40" x14ac:dyDescent="0.35">
      <c r="A282" s="1">
        <v>42125</v>
      </c>
      <c r="B282" s="13">
        <f t="shared" si="8"/>
        <v>5</v>
      </c>
      <c r="C282" s="13">
        <f t="shared" si="9"/>
        <v>2015</v>
      </c>
      <c r="D282" s="2">
        <v>27330</v>
      </c>
      <c r="E282">
        <f>VLOOKUP(A282,PSR!$A$12:$B$721,2,FALSE)</f>
        <v>6.2</v>
      </c>
      <c r="F282">
        <f>VLOOKUP(A282,CCI_USA!$F$2:$H$317,3,FALSE)</f>
        <v>100.8301</v>
      </c>
      <c r="G282">
        <f>INDEX('BLS Data Series'!$A$11:$M$39,MATCH('UI Datathon Development'!C282,'BLS Data Series'!$A$13:$A$39,0)+2,MATCH('UI Datathon Development'!B282,'BLS Data Series'!$B$11:$M$11,0)+1)</f>
        <v>5.5</v>
      </c>
      <c r="H282">
        <f>VLOOKUP(A282,'Houses for sale'!$B$10:$I$671,8,FALSE)</f>
        <v>210</v>
      </c>
      <c r="I282">
        <f>VLOOKUP(A282,'House starts'!$A$12:$B$325,2,FALSE)</f>
        <v>1066</v>
      </c>
      <c r="J282">
        <f>VLOOKUP(A282,'New house sales'!$A$13:$C$324,3,FALSE)</f>
        <v>287500</v>
      </c>
      <c r="K282">
        <f>VLOOKUP($A282,'Sreenath''s data'!$A$2:$F$313,3,FALSE)</f>
        <v>171.91900000000001</v>
      </c>
      <c r="L282">
        <f>VLOOKUP($A282,'Sreenath''s data'!$A$2:$F$313,4,FALSE)</f>
        <v>7223.3</v>
      </c>
      <c r="M282">
        <f>VLOOKUP($A282,'Sreenath''s data'!$A$2:$F$313,5,FALSE)</f>
        <v>117173</v>
      </c>
      <c r="N282">
        <f>VLOOKUP($A282,'Sreenath''s data'!$A$2:$F$313,6,FALSE)</f>
        <v>111.689842092859</v>
      </c>
      <c r="O282">
        <f>VLOOKUP($A282,'Niteesh''s data'!$A$2:$I$313,3,FALSE)</f>
        <v>2087.3798830000001</v>
      </c>
      <c r="P282">
        <f>VLOOKUP($A282,'Niteesh''s data'!$A$2:$I$313,4,FALSE)</f>
        <v>2134.719971</v>
      </c>
      <c r="Q282">
        <f>VLOOKUP($A282,'Niteesh''s data'!$A$2:$I$313,5,FALSE)</f>
        <v>2067.929932</v>
      </c>
      <c r="R282">
        <f>VLOOKUP($A282,'Niteesh''s data'!$A$2:$I$313,6,FALSE)</f>
        <v>2107.389893</v>
      </c>
      <c r="S282">
        <f>VLOOKUP($A282,'Niteesh''s data'!$A$2:$I$313,7,FALSE)</f>
        <v>2107.389893</v>
      </c>
      <c r="T282">
        <f>VLOOKUP($A282,'Niteesh''s data'!$A$2:$I$313,8,FALSE)</f>
        <v>65187730000</v>
      </c>
      <c r="U282" s="61">
        <f>VLOOKUP($A282,'Niteesh''s data'!$A$2:$I$313,9,FALSE)</f>
        <v>7.4999999999999997E-3</v>
      </c>
      <c r="V282">
        <f>VLOOKUP(A282,'Existing home Sales'!$A$2:$C$324,3,FALSE)</f>
        <v>5.04</v>
      </c>
      <c r="W282" s="8">
        <v>2</v>
      </c>
      <c r="X282">
        <f>IFERROR(VLOOKUP(A282,'Home Depot Gross Profit'!$A$1:$B$105,2,FALSE)/3,IF(W282=2,X281,X281))</f>
        <v>2393</v>
      </c>
      <c r="Y282">
        <f>IFERROR(VLOOKUP(A282,'LOWE''S GROSS PROFIT'!$A$1:$B$105,2,FALSE)/3,IF(X282=2,Y281/3,Y281))</f>
        <v>1670.6666666666667</v>
      </c>
      <c r="Z282" s="8">
        <v>3.84499999999999</v>
      </c>
      <c r="AA282">
        <v>6428</v>
      </c>
      <c r="AB282">
        <f>VLOOKUP(A282,'[1]Fed_Int (1)'!$A$2:$B$316,2,FALSE)</f>
        <v>0.12</v>
      </c>
      <c r="AC282" s="8">
        <v>106.980003</v>
      </c>
      <c r="AD282" s="8">
        <v>116.480003</v>
      </c>
      <c r="AE282" s="8">
        <v>106.849998</v>
      </c>
      <c r="AF282" s="8">
        <v>111.41999800000001</v>
      </c>
      <c r="AG282" s="8">
        <v>104.479248</v>
      </c>
      <c r="AH282" s="8">
        <v>100151300</v>
      </c>
      <c r="AI282" s="8">
        <v>67.669998000000007</v>
      </c>
      <c r="AJ282" s="8">
        <v>73.930000000000007</v>
      </c>
      <c r="AK282" s="8">
        <v>67.599997999999999</v>
      </c>
      <c r="AL282" s="8">
        <v>69.980002999999996</v>
      </c>
      <c r="AM282" s="8">
        <v>66.668991000000005</v>
      </c>
      <c r="AN282" s="8">
        <v>116887700</v>
      </c>
    </row>
    <row r="283" spans="1:40" x14ac:dyDescent="0.35">
      <c r="A283" s="1">
        <v>42156</v>
      </c>
      <c r="B283" s="13">
        <f t="shared" si="8"/>
        <v>6</v>
      </c>
      <c r="C283" s="13">
        <f t="shared" si="9"/>
        <v>2015</v>
      </c>
      <c r="D283" s="2">
        <v>27123</v>
      </c>
      <c r="E283">
        <f>VLOOKUP(A283,PSR!$A$12:$B$721,2,FALSE)</f>
        <v>6.3</v>
      </c>
      <c r="F283">
        <f>VLOOKUP(A283,CCI_USA!$F$2:$H$317,3,FALSE)</f>
        <v>100.8442</v>
      </c>
      <c r="G283">
        <f>INDEX('BLS Data Series'!$A$11:$M$39,MATCH('UI Datathon Development'!C283,'BLS Data Series'!$A$13:$A$39,0)+2,MATCH('UI Datathon Development'!B283,'BLS Data Series'!$B$11:$M$11,0)+1)</f>
        <v>5.3</v>
      </c>
      <c r="H283">
        <f>VLOOKUP(A283,'Houses for sale'!$B$10:$I$671,8,FALSE)</f>
        <v>216</v>
      </c>
      <c r="I283">
        <f>VLOOKUP(A283,'House starts'!$A$12:$B$325,2,FALSE)</f>
        <v>1201</v>
      </c>
      <c r="J283">
        <f>VLOOKUP(A283,'New house sales'!$A$13:$C$324,3,FALSE)</f>
        <v>285100</v>
      </c>
      <c r="K283">
        <f>VLOOKUP($A283,'Sreenath''s data'!$A$2:$F$313,3,FALSE)</f>
        <v>173.51900000000001</v>
      </c>
      <c r="L283">
        <f>VLOOKUP($A283,'Sreenath''s data'!$A$2:$F$313,4,FALSE)</f>
        <v>7245.4</v>
      </c>
      <c r="M283">
        <f>VLOOKUP($A283,'Sreenath''s data'!$A$2:$F$313,5,FALSE)</f>
        <v>117343</v>
      </c>
      <c r="N283">
        <f>VLOOKUP($A283,'Sreenath''s data'!$A$2:$F$313,6,FALSE)</f>
        <v>112.058820120314</v>
      </c>
      <c r="O283">
        <f>VLOOKUP($A283,'Niteesh''s data'!$A$2:$I$313,3,FALSE)</f>
        <v>2108.639893</v>
      </c>
      <c r="P283">
        <f>VLOOKUP($A283,'Niteesh''s data'!$A$2:$I$313,4,FALSE)</f>
        <v>2129.8701169999999</v>
      </c>
      <c r="Q283">
        <f>VLOOKUP($A283,'Niteesh''s data'!$A$2:$I$313,5,FALSE)</f>
        <v>2056.320068</v>
      </c>
      <c r="R283">
        <f>VLOOKUP($A283,'Niteesh''s data'!$A$2:$I$313,6,FALSE)</f>
        <v>2063.110107</v>
      </c>
      <c r="S283">
        <f>VLOOKUP($A283,'Niteesh''s data'!$A$2:$I$313,7,FALSE)</f>
        <v>2063.110107</v>
      </c>
      <c r="T283">
        <f>VLOOKUP($A283,'Niteesh''s data'!$A$2:$I$313,8,FALSE)</f>
        <v>73213980000</v>
      </c>
      <c r="U283" s="61">
        <f>VLOOKUP($A283,'Niteesh''s data'!$A$2:$I$313,9,FALSE)</f>
        <v>7.4999999999999997E-3</v>
      </c>
      <c r="V283">
        <f>VLOOKUP(A283,'Existing home Sales'!$A$2:$C$324,3,FALSE)</f>
        <v>5.35</v>
      </c>
      <c r="W283" s="8">
        <v>3</v>
      </c>
      <c r="X283">
        <f>IFERROR(VLOOKUP(A283,'Home Depot Gross Profit'!$A$1:$B$105,2,FALSE)/3,IF(W283=2,X282,X282))</f>
        <v>2393</v>
      </c>
      <c r="Y283">
        <f>IFERROR(VLOOKUP(A283,'LOWE''S GROSS PROFIT'!$A$1:$B$105,2,FALSE)/3,IF(X283=2,Y282/3,Y282))</f>
        <v>1670.6666666666667</v>
      </c>
      <c r="Z283" s="8">
        <v>4.01</v>
      </c>
      <c r="AA283">
        <v>6444</v>
      </c>
      <c r="AB283">
        <f>VLOOKUP(A283,'[1]Fed_Int (1)'!$A$2:$B$316,2,FALSE)</f>
        <v>0.13</v>
      </c>
      <c r="AC283" s="8">
        <v>111.970001</v>
      </c>
      <c r="AD283" s="8">
        <v>113.709999</v>
      </c>
      <c r="AE283" s="8">
        <v>109.029999</v>
      </c>
      <c r="AF283" s="8">
        <v>111.129997</v>
      </c>
      <c r="AG283" s="8">
        <v>104.20732099999999</v>
      </c>
      <c r="AH283" s="8">
        <v>104807700</v>
      </c>
      <c r="AI283" s="8">
        <v>69.959998999999996</v>
      </c>
      <c r="AJ283" s="8">
        <v>71.080001999999993</v>
      </c>
      <c r="AK283" s="8">
        <v>66.690002000000007</v>
      </c>
      <c r="AL283" s="8">
        <v>66.970000999999996</v>
      </c>
      <c r="AM283" s="8">
        <v>63.801399000000004</v>
      </c>
      <c r="AN283" s="8">
        <v>111232100</v>
      </c>
    </row>
    <row r="284" spans="1:40" x14ac:dyDescent="0.35">
      <c r="A284" s="1">
        <v>42186</v>
      </c>
      <c r="B284" s="13">
        <f t="shared" si="8"/>
        <v>7</v>
      </c>
      <c r="C284" s="13">
        <f t="shared" si="9"/>
        <v>2015</v>
      </c>
      <c r="D284" s="2">
        <v>28030</v>
      </c>
      <c r="E284">
        <f>VLOOKUP(A284,PSR!$A$12:$B$721,2,FALSE)</f>
        <v>6</v>
      </c>
      <c r="F284">
        <f>VLOOKUP(A284,CCI_USA!$F$2:$H$317,3,FALSE)</f>
        <v>100.7298</v>
      </c>
      <c r="G284">
        <f>INDEX('BLS Data Series'!$A$11:$M$39,MATCH('UI Datathon Development'!C284,'BLS Data Series'!$A$13:$A$39,0)+2,MATCH('UI Datathon Development'!B284,'BLS Data Series'!$B$11:$M$11,0)+1)</f>
        <v>5.2</v>
      </c>
      <c r="H284">
        <f>VLOOKUP(A284,'Houses for sale'!$B$10:$I$671,8,FALSE)</f>
        <v>216</v>
      </c>
      <c r="I284">
        <f>VLOOKUP(A284,'House starts'!$A$12:$B$325,2,FALSE)</f>
        <v>1140</v>
      </c>
      <c r="J284">
        <f>VLOOKUP(A284,'New house sales'!$A$13:$C$324,3,FALSE)</f>
        <v>292300</v>
      </c>
      <c r="K284">
        <f>VLOOKUP($A284,'Sreenath''s data'!$A$2:$F$313,3,FALSE)</f>
        <v>174.56299999999999</v>
      </c>
      <c r="L284">
        <f>VLOOKUP($A284,'Sreenath''s data'!$A$2:$F$313,4,FALSE)</f>
        <v>7259.9</v>
      </c>
      <c r="M284">
        <f>VLOOKUP($A284,'Sreenath''s data'!$A$2:$F$313,5,FALSE)</f>
        <v>117146</v>
      </c>
      <c r="N284">
        <f>VLOOKUP($A284,'Sreenath''s data'!$A$2:$F$313,6,FALSE)</f>
        <v>112.502366482113</v>
      </c>
      <c r="O284">
        <f>VLOOKUP($A284,'Niteesh''s data'!$A$2:$I$313,3,FALSE)</f>
        <v>2067</v>
      </c>
      <c r="P284">
        <f>VLOOKUP($A284,'Niteesh''s data'!$A$2:$I$313,4,FALSE)</f>
        <v>2132.820068</v>
      </c>
      <c r="Q284">
        <f>VLOOKUP($A284,'Niteesh''s data'!$A$2:$I$313,5,FALSE)</f>
        <v>2044.0200199999999</v>
      </c>
      <c r="R284">
        <f>VLOOKUP($A284,'Niteesh''s data'!$A$2:$I$313,6,FALSE)</f>
        <v>2103.8400879999999</v>
      </c>
      <c r="S284">
        <f>VLOOKUP($A284,'Niteesh''s data'!$A$2:$I$313,7,FALSE)</f>
        <v>2103.8400879999999</v>
      </c>
      <c r="T284">
        <f>VLOOKUP($A284,'Niteesh''s data'!$A$2:$I$313,8,FALSE)</f>
        <v>77920590000</v>
      </c>
      <c r="U284" s="61">
        <f>VLOOKUP($A284,'Niteesh''s data'!$A$2:$I$313,9,FALSE)</f>
        <v>7.4999999999999997E-3</v>
      </c>
      <c r="V284">
        <f>VLOOKUP(A284,'Existing home Sales'!$A$2:$C$324,3,FALSE)</f>
        <v>5.49</v>
      </c>
      <c r="W284" s="8">
        <v>1</v>
      </c>
      <c r="X284">
        <f>IFERROR(VLOOKUP(A284,'Home Depot Gross Profit'!$A$1:$B$105,2,FALSE)/3,IF(W284=2,X283,X283))</f>
        <v>2788.3333333333335</v>
      </c>
      <c r="Y284">
        <f>IFERROR(VLOOKUP(A284,'LOWE''S GROSS PROFIT'!$A$1:$B$105,2,FALSE)/3,IF(X284=2,Y283/3,Y283))</f>
        <v>1993.6666666666667</v>
      </c>
      <c r="Z284" s="8">
        <v>4.04</v>
      </c>
      <c r="AA284">
        <v>6466</v>
      </c>
      <c r="AB284">
        <f>VLOOKUP(A284,'[1]Fed_Int (1)'!$A$2:$B$316,2,FALSE)</f>
        <v>0.13</v>
      </c>
      <c r="AC284" s="8">
        <v>112.449997</v>
      </c>
      <c r="AD284" s="8">
        <v>118.129997</v>
      </c>
      <c r="AE284" s="8">
        <v>110.16999800000001</v>
      </c>
      <c r="AF284" s="8">
        <v>117.029999</v>
      </c>
      <c r="AG284" s="8">
        <v>110.32266199999999</v>
      </c>
      <c r="AH284" s="8">
        <v>97800100</v>
      </c>
      <c r="AI284" s="8">
        <v>67.449996999999996</v>
      </c>
      <c r="AJ284" s="8">
        <v>69.800003000000004</v>
      </c>
      <c r="AK284" s="8">
        <v>65.830001999999993</v>
      </c>
      <c r="AL284" s="8">
        <v>69.360000999999997</v>
      </c>
      <c r="AM284" s="8">
        <v>66.078316000000001</v>
      </c>
      <c r="AN284" s="8">
        <v>112697900</v>
      </c>
    </row>
    <row r="285" spans="1:40" x14ac:dyDescent="0.35">
      <c r="A285" s="1">
        <v>42217</v>
      </c>
      <c r="B285" s="13">
        <f t="shared" si="8"/>
        <v>8</v>
      </c>
      <c r="C285" s="13">
        <f t="shared" si="9"/>
        <v>2015</v>
      </c>
      <c r="D285" s="2">
        <v>28005</v>
      </c>
      <c r="E285">
        <f>VLOOKUP(A285,PSR!$A$12:$B$721,2,FALSE)</f>
        <v>6</v>
      </c>
      <c r="F285">
        <f>VLOOKUP(A285,CCI_USA!$F$2:$H$317,3,FALSE)</f>
        <v>100.541</v>
      </c>
      <c r="G285">
        <f>INDEX('BLS Data Series'!$A$11:$M$39,MATCH('UI Datathon Development'!C285,'BLS Data Series'!$A$13:$A$39,0)+2,MATCH('UI Datathon Development'!B285,'BLS Data Series'!$B$11:$M$11,0)+1)</f>
        <v>5.0999999999999996</v>
      </c>
      <c r="H285">
        <f>VLOOKUP(A285,'Houses for sale'!$B$10:$I$671,8,FALSE)</f>
        <v>217</v>
      </c>
      <c r="I285">
        <f>VLOOKUP(A285,'House starts'!$A$12:$B$325,2,FALSE)</f>
        <v>1134</v>
      </c>
      <c r="J285">
        <f>VLOOKUP(A285,'New house sales'!$A$13:$C$324,3,FALSE)</f>
        <v>293000</v>
      </c>
      <c r="K285">
        <f>VLOOKUP($A285,'Sreenath''s data'!$A$2:$F$313,3,FALSE)</f>
        <v>175.01</v>
      </c>
      <c r="L285">
        <f>VLOOKUP($A285,'Sreenath''s data'!$A$2:$F$313,4,FALSE)</f>
        <v>7265.8</v>
      </c>
      <c r="M285">
        <f>VLOOKUP($A285,'Sreenath''s data'!$A$2:$F$313,5,FALSE)</f>
        <v>117166</v>
      </c>
      <c r="N285">
        <f>VLOOKUP($A285,'Sreenath''s data'!$A$2:$F$313,6,FALSE)</f>
        <v>112.71988965432</v>
      </c>
      <c r="O285">
        <f>VLOOKUP($A285,'Niteesh''s data'!$A$2:$I$313,3,FALSE)</f>
        <v>2104.48999</v>
      </c>
      <c r="P285">
        <f>VLOOKUP($A285,'Niteesh''s data'!$A$2:$I$313,4,FALSE)</f>
        <v>2112.6599120000001</v>
      </c>
      <c r="Q285">
        <f>VLOOKUP($A285,'Niteesh''s data'!$A$2:$I$313,5,FALSE)</f>
        <v>1867.01001</v>
      </c>
      <c r="R285">
        <f>VLOOKUP($A285,'Niteesh''s data'!$A$2:$I$313,6,FALSE)</f>
        <v>1972.1800539999999</v>
      </c>
      <c r="S285">
        <f>VLOOKUP($A285,'Niteesh''s data'!$A$2:$I$313,7,FALSE)</f>
        <v>1972.1800539999999</v>
      </c>
      <c r="T285">
        <f>VLOOKUP($A285,'Niteesh''s data'!$A$2:$I$313,8,FALSE)</f>
        <v>84626790000</v>
      </c>
      <c r="U285" s="61">
        <f>VLOOKUP($A285,'Niteesh''s data'!$A$2:$I$313,9,FALSE)</f>
        <v>7.4000000000000003E-3</v>
      </c>
      <c r="V285">
        <f>VLOOKUP(A285,'Existing home Sales'!$A$2:$C$324,3,FALSE)</f>
        <v>5.59</v>
      </c>
      <c r="W285" s="8">
        <v>2</v>
      </c>
      <c r="X285">
        <f>IFERROR(VLOOKUP(A285,'Home Depot Gross Profit'!$A$1:$B$105,2,FALSE)/3,IF(W285=2,X284,X284))</f>
        <v>2788.3333333333335</v>
      </c>
      <c r="Y285">
        <f>IFERROR(VLOOKUP(A285,'LOWE''S GROSS PROFIT'!$A$1:$B$105,2,FALSE)/3,IF(X285=2,Y284/3,Y284))</f>
        <v>1993.6666666666667</v>
      </c>
      <c r="Z285" s="8">
        <v>3.92</v>
      </c>
      <c r="AA285">
        <v>6485</v>
      </c>
      <c r="AB285">
        <f>VLOOKUP(A285,'[1]Fed_Int (1)'!$A$2:$B$316,2,FALSE)</f>
        <v>0.14000000000000001</v>
      </c>
      <c r="AC285" s="8">
        <v>117.620003</v>
      </c>
      <c r="AD285" s="8">
        <v>123.800003</v>
      </c>
      <c r="AE285" s="8">
        <v>92.169998000000007</v>
      </c>
      <c r="AF285" s="8">
        <v>116.459999</v>
      </c>
      <c r="AG285" s="8">
        <v>109.785324</v>
      </c>
      <c r="AH285" s="8">
        <v>134871300</v>
      </c>
      <c r="AI285" s="8">
        <v>69.169998000000007</v>
      </c>
      <c r="AJ285" s="8">
        <v>74.779999000000004</v>
      </c>
      <c r="AK285" s="8">
        <v>64.220000999999996</v>
      </c>
      <c r="AL285" s="8">
        <v>69.169998000000007</v>
      </c>
      <c r="AM285" s="8">
        <v>66.171677000000003</v>
      </c>
      <c r="AN285" s="8">
        <v>138952600</v>
      </c>
    </row>
    <row r="286" spans="1:40" x14ac:dyDescent="0.35">
      <c r="A286" s="1">
        <v>42248</v>
      </c>
      <c r="B286" s="13">
        <f t="shared" si="8"/>
        <v>9</v>
      </c>
      <c r="C286" s="13">
        <f t="shared" si="9"/>
        <v>2015</v>
      </c>
      <c r="D286" s="2">
        <v>28005</v>
      </c>
      <c r="E286">
        <f>VLOOKUP(A286,PSR!$A$12:$B$721,2,FALSE)</f>
        <v>6</v>
      </c>
      <c r="F286">
        <f>VLOOKUP(A286,CCI_USA!$F$2:$H$317,3,FALSE)</f>
        <v>100.3708</v>
      </c>
      <c r="G286">
        <f>INDEX('BLS Data Series'!$A$11:$M$39,MATCH('UI Datathon Development'!C286,'BLS Data Series'!$A$13:$A$39,0)+2,MATCH('UI Datathon Development'!B286,'BLS Data Series'!$B$11:$M$11,0)+1)</f>
        <v>5</v>
      </c>
      <c r="H286">
        <f>VLOOKUP(A286,'Houses for sale'!$B$10:$I$671,8,FALSE)</f>
        <v>223</v>
      </c>
      <c r="I286">
        <f>VLOOKUP(A286,'House starts'!$A$12:$B$325,2,FALSE)</f>
        <v>1209</v>
      </c>
      <c r="J286">
        <f>VLOOKUP(A286,'New house sales'!$A$13:$C$324,3,FALSE)</f>
        <v>299500</v>
      </c>
      <c r="K286">
        <f>VLOOKUP($A286,'Sreenath''s data'!$A$2:$F$313,3,FALSE)</f>
        <v>175.125</v>
      </c>
      <c r="L286">
        <f>VLOOKUP($A286,'Sreenath''s data'!$A$2:$F$313,4,FALSE)</f>
        <v>7289.4</v>
      </c>
      <c r="M286">
        <f>VLOOKUP($A286,'Sreenath''s data'!$A$2:$F$313,5,FALSE)</f>
        <v>117748</v>
      </c>
      <c r="N286">
        <f>VLOOKUP($A286,'Sreenath''s data'!$A$2:$F$313,6,FALSE)</f>
        <v>113.011981160871</v>
      </c>
      <c r="O286">
        <f>VLOOKUP($A286,'Niteesh''s data'!$A$2:$I$313,3,FALSE)</f>
        <v>1970.089966</v>
      </c>
      <c r="P286">
        <f>VLOOKUP($A286,'Niteesh''s data'!$A$2:$I$313,4,FALSE)</f>
        <v>2020.8599850000001</v>
      </c>
      <c r="Q286">
        <f>VLOOKUP($A286,'Niteesh''s data'!$A$2:$I$313,5,FALSE)</f>
        <v>1871.910034</v>
      </c>
      <c r="R286">
        <f>VLOOKUP($A286,'Niteesh''s data'!$A$2:$I$313,6,FALSE)</f>
        <v>1920.030029</v>
      </c>
      <c r="S286">
        <f>VLOOKUP($A286,'Niteesh''s data'!$A$2:$I$313,7,FALSE)</f>
        <v>1920.030029</v>
      </c>
      <c r="T286">
        <f>VLOOKUP($A286,'Niteesh''s data'!$A$2:$I$313,8,FALSE)</f>
        <v>79989370000</v>
      </c>
      <c r="U286" s="61">
        <f>VLOOKUP($A286,'Niteesh''s data'!$A$2:$I$313,9,FALSE)</f>
        <v>7.4000000000000003E-3</v>
      </c>
      <c r="V286">
        <f>VLOOKUP(A286,'Existing home Sales'!$A$2:$C$324,3,FALSE)</f>
        <v>5.31</v>
      </c>
      <c r="W286" s="8">
        <v>3</v>
      </c>
      <c r="X286">
        <f>IFERROR(VLOOKUP(A286,'Home Depot Gross Profit'!$A$1:$B$105,2,FALSE)/3,IF(W286=2,X285,X285))</f>
        <v>2788.3333333333335</v>
      </c>
      <c r="Y286">
        <f>IFERROR(VLOOKUP(A286,'LOWE''S GROSS PROFIT'!$A$1:$B$105,2,FALSE)/3,IF(X286=2,Y285/3,Y285))</f>
        <v>1993.6666666666667</v>
      </c>
      <c r="Z286" s="8">
        <v>3.895</v>
      </c>
      <c r="AA286">
        <v>6498</v>
      </c>
      <c r="AB286">
        <f>VLOOKUP(A286,'[1]Fed_Int (1)'!$A$2:$B$316,2,FALSE)</f>
        <v>0.14000000000000001</v>
      </c>
      <c r="AC286" s="8">
        <v>113.989998</v>
      </c>
      <c r="AD286" s="8">
        <v>119.82</v>
      </c>
      <c r="AE286" s="8">
        <v>111.800003</v>
      </c>
      <c r="AF286" s="8">
        <v>115.489998</v>
      </c>
      <c r="AG286" s="8">
        <v>108.870926</v>
      </c>
      <c r="AH286" s="8">
        <v>121936000</v>
      </c>
      <c r="AI286" s="8">
        <v>67.879997000000003</v>
      </c>
      <c r="AJ286" s="8">
        <v>71.589995999999999</v>
      </c>
      <c r="AK286" s="8">
        <v>66.220000999999996</v>
      </c>
      <c r="AL286" s="8">
        <v>68.919998000000007</v>
      </c>
      <c r="AM286" s="8">
        <v>65.932509999999994</v>
      </c>
      <c r="AN286" s="8">
        <v>93802100</v>
      </c>
    </row>
    <row r="287" spans="1:40" x14ac:dyDescent="0.35">
      <c r="A287" s="1">
        <v>42278</v>
      </c>
      <c r="B287" s="13">
        <f t="shared" si="8"/>
        <v>10</v>
      </c>
      <c r="C287" s="13">
        <f t="shared" si="9"/>
        <v>2015</v>
      </c>
      <c r="D287" s="2">
        <v>28136</v>
      </c>
      <c r="E287">
        <f>VLOOKUP(A287,PSR!$A$12:$B$721,2,FALSE)</f>
        <v>6.3</v>
      </c>
      <c r="F287">
        <f>VLOOKUP(A287,CCI_USA!$F$2:$H$317,3,FALSE)</f>
        <v>100.3999</v>
      </c>
      <c r="G287">
        <f>INDEX('BLS Data Series'!$A$11:$M$39,MATCH('UI Datathon Development'!C287,'BLS Data Series'!$A$13:$A$39,0)+2,MATCH('UI Datathon Development'!B287,'BLS Data Series'!$B$11:$M$11,0)+1)</f>
        <v>5</v>
      </c>
      <c r="H287">
        <f>VLOOKUP(A287,'Houses for sale'!$B$10:$I$671,8,FALSE)</f>
        <v>225</v>
      </c>
      <c r="I287">
        <f>VLOOKUP(A287,'House starts'!$A$12:$B$325,2,FALSE)</f>
        <v>1059</v>
      </c>
      <c r="J287">
        <f>VLOOKUP(A287,'New house sales'!$A$13:$C$324,3,FALSE)</f>
        <v>298000</v>
      </c>
      <c r="K287">
        <f>VLOOKUP($A287,'Sreenath''s data'!$A$2:$F$313,3,FALSE)</f>
        <v>175.137</v>
      </c>
      <c r="L287">
        <f>VLOOKUP($A287,'Sreenath''s data'!$A$2:$F$313,4,FALSE)</f>
        <v>7297.7</v>
      </c>
      <c r="M287">
        <f>VLOOKUP($A287,'Sreenath''s data'!$A$2:$F$313,5,FALSE)</f>
        <v>117816</v>
      </c>
      <c r="N287">
        <f>VLOOKUP($A287,'Sreenath''s data'!$A$2:$F$313,6,FALSE)</f>
        <v>113.290163548062</v>
      </c>
      <c r="O287">
        <f>VLOOKUP($A287,'Niteesh''s data'!$A$2:$I$313,3,FALSE)</f>
        <v>1919.650024</v>
      </c>
      <c r="P287">
        <f>VLOOKUP($A287,'Niteesh''s data'!$A$2:$I$313,4,FALSE)</f>
        <v>2094.320068</v>
      </c>
      <c r="Q287">
        <f>VLOOKUP($A287,'Niteesh''s data'!$A$2:$I$313,5,FALSE)</f>
        <v>1893.6999510000001</v>
      </c>
      <c r="R287">
        <f>VLOOKUP($A287,'Niteesh''s data'!$A$2:$I$313,6,FALSE)</f>
        <v>2079.360107</v>
      </c>
      <c r="S287">
        <f>VLOOKUP($A287,'Niteesh''s data'!$A$2:$I$313,7,FALSE)</f>
        <v>2079.360107</v>
      </c>
      <c r="T287">
        <f>VLOOKUP($A287,'Niteesh''s data'!$A$2:$I$313,8,FALSE)</f>
        <v>85844900000</v>
      </c>
      <c r="U287" s="61">
        <f>VLOOKUP($A287,'Niteesh''s data'!$A$2:$I$313,9,FALSE)</f>
        <v>7.4000000000000003E-3</v>
      </c>
      <c r="V287">
        <f>VLOOKUP(A287,'Existing home Sales'!$A$2:$C$324,3,FALSE)</f>
        <v>5.55</v>
      </c>
      <c r="W287" s="8">
        <v>1</v>
      </c>
      <c r="X287">
        <f>IFERROR(VLOOKUP(A287,'Home Depot Gross Profit'!$A$1:$B$105,2,FALSE)/3,IF(W287=2,X286,X286))</f>
        <v>2521.6666666666665</v>
      </c>
      <c r="Y287">
        <f>IFERROR(VLOOKUP(A287,'LOWE''S GROSS PROFIT'!$A$1:$B$105,2,FALSE)/3,IF(X287=2,Y286/3,Y286))</f>
        <v>1663.3333333333333</v>
      </c>
      <c r="Z287" s="8">
        <v>3.79</v>
      </c>
      <c r="AA287">
        <v>6540</v>
      </c>
      <c r="AB287">
        <f>VLOOKUP(A287,'[1]Fed_Int (1)'!$A$2:$B$316,2,FALSE)</f>
        <v>0.12</v>
      </c>
      <c r="AC287" s="8">
        <v>116.230003</v>
      </c>
      <c r="AD287" s="8">
        <v>125.75</v>
      </c>
      <c r="AE287" s="8">
        <v>114.709999</v>
      </c>
      <c r="AF287" s="8">
        <v>123.639999</v>
      </c>
      <c r="AG287" s="8">
        <v>117.147308</v>
      </c>
      <c r="AH287" s="8">
        <v>97068500</v>
      </c>
      <c r="AI287" s="8">
        <v>69.040001000000004</v>
      </c>
      <c r="AJ287" s="8">
        <v>74.569999999999993</v>
      </c>
      <c r="AK287" s="8">
        <v>68.160004000000001</v>
      </c>
      <c r="AL287" s="8">
        <v>73.830001999999993</v>
      </c>
      <c r="AM287" s="8">
        <v>70.629677000000001</v>
      </c>
      <c r="AN287" s="8">
        <v>85311900</v>
      </c>
    </row>
    <row r="288" spans="1:40" x14ac:dyDescent="0.35">
      <c r="A288" s="1">
        <v>42309</v>
      </c>
      <c r="B288" s="13">
        <f t="shared" si="8"/>
        <v>11</v>
      </c>
      <c r="C288" s="13">
        <f t="shared" si="9"/>
        <v>2015</v>
      </c>
      <c r="D288" s="2">
        <v>28432</v>
      </c>
      <c r="E288">
        <f>VLOOKUP(A288,PSR!$A$12:$B$721,2,FALSE)</f>
        <v>6.1</v>
      </c>
      <c r="F288">
        <f>VLOOKUP(A288,CCI_USA!$F$2:$H$317,3,FALSE)</f>
        <v>100.51609999999999</v>
      </c>
      <c r="G288">
        <f>INDEX('BLS Data Series'!$A$11:$M$39,MATCH('UI Datathon Development'!C288,'BLS Data Series'!$A$13:$A$39,0)+2,MATCH('UI Datathon Development'!B288,'BLS Data Series'!$B$11:$M$11,0)+1)</f>
        <v>5</v>
      </c>
      <c r="H288">
        <f>VLOOKUP(A288,'Houses for sale'!$B$10:$I$671,8,FALSE)</f>
        <v>229</v>
      </c>
      <c r="I288">
        <f>VLOOKUP(A288,'House starts'!$A$12:$B$325,2,FALSE)</f>
        <v>1176</v>
      </c>
      <c r="J288">
        <f>VLOOKUP(A288,'New house sales'!$A$13:$C$324,3,FALSE)</f>
        <v>312600</v>
      </c>
      <c r="K288">
        <f>VLOOKUP($A288,'Sreenath''s data'!$A$2:$F$313,3,FALSE)</f>
        <v>175.238</v>
      </c>
      <c r="L288">
        <f>VLOOKUP($A288,'Sreenath''s data'!$A$2:$F$313,4,FALSE)</f>
        <v>7317.5</v>
      </c>
      <c r="M288">
        <f>VLOOKUP($A288,'Sreenath''s data'!$A$2:$F$313,5,FALSE)</f>
        <v>117801</v>
      </c>
      <c r="N288">
        <f>VLOOKUP($A288,'Sreenath''s data'!$A$2:$F$313,6,FALSE)</f>
        <v>113.46248208234999</v>
      </c>
      <c r="O288">
        <f>VLOOKUP($A288,'Niteesh''s data'!$A$2:$I$313,3,FALSE)</f>
        <v>2080.76001</v>
      </c>
      <c r="P288">
        <f>VLOOKUP($A288,'Niteesh''s data'!$A$2:$I$313,4,FALSE)</f>
        <v>2116.4799800000001</v>
      </c>
      <c r="Q288">
        <f>VLOOKUP($A288,'Niteesh''s data'!$A$2:$I$313,5,FALSE)</f>
        <v>2019.3900149999999</v>
      </c>
      <c r="R288">
        <f>VLOOKUP($A288,'Niteesh''s data'!$A$2:$I$313,6,FALSE)</f>
        <v>2080.4099120000001</v>
      </c>
      <c r="S288">
        <f>VLOOKUP($A288,'Niteesh''s data'!$A$2:$I$313,7,FALSE)</f>
        <v>2080.4099120000001</v>
      </c>
      <c r="T288">
        <f>VLOOKUP($A288,'Niteesh''s data'!$A$2:$I$313,8,FALSE)</f>
        <v>75943590000</v>
      </c>
      <c r="U288" s="61">
        <f>VLOOKUP($A288,'Niteesh''s data'!$A$2:$I$313,9,FALSE)</f>
        <v>7.4000000000000003E-3</v>
      </c>
      <c r="V288">
        <f>VLOOKUP(A288,'Existing home Sales'!$A$2:$C$324,3,FALSE)</f>
        <v>5.36</v>
      </c>
      <c r="W288" s="8">
        <v>2</v>
      </c>
      <c r="X288">
        <f>IFERROR(VLOOKUP(A288,'Home Depot Gross Profit'!$A$1:$B$105,2,FALSE)/3,IF(W288=2,X287,X287))</f>
        <v>2521.6666666666665</v>
      </c>
      <c r="Y288">
        <f>IFERROR(VLOOKUP(A288,'LOWE''S GROSS PROFIT'!$A$1:$B$105,2,FALSE)/3,IF(X288=2,Y287/3,Y287))</f>
        <v>1663.3333333333333</v>
      </c>
      <c r="Z288" s="8">
        <v>3.96</v>
      </c>
      <c r="AA288">
        <v>6592</v>
      </c>
      <c r="AB288">
        <f>VLOOKUP(A288,'[1]Fed_Int (1)'!$A$2:$B$316,2,FALSE)</f>
        <v>0.12</v>
      </c>
      <c r="AC288" s="8">
        <v>124.239998</v>
      </c>
      <c r="AD288" s="8">
        <v>135.470001</v>
      </c>
      <c r="AE288" s="8">
        <v>118.610001</v>
      </c>
      <c r="AF288" s="8">
        <v>133.88000500000001</v>
      </c>
      <c r="AG288" s="8">
        <v>126.849586</v>
      </c>
      <c r="AH288" s="8">
        <v>111416100</v>
      </c>
      <c r="AI288" s="8">
        <v>73.900002000000001</v>
      </c>
      <c r="AJ288" s="8">
        <v>78.129997000000003</v>
      </c>
      <c r="AK288" s="8">
        <v>69.75</v>
      </c>
      <c r="AL288" s="8">
        <v>76.599997999999999</v>
      </c>
      <c r="AM288" s="8">
        <v>73.562622000000005</v>
      </c>
      <c r="AN288" s="8">
        <v>109613600</v>
      </c>
    </row>
    <row r="289" spans="1:40" x14ac:dyDescent="0.35">
      <c r="A289" s="1">
        <v>42339</v>
      </c>
      <c r="B289" s="13">
        <f t="shared" si="8"/>
        <v>12</v>
      </c>
      <c r="C289" s="13">
        <f t="shared" si="9"/>
        <v>2015</v>
      </c>
      <c r="D289" s="2">
        <v>29237</v>
      </c>
      <c r="E289">
        <f>VLOOKUP(A289,PSR!$A$12:$B$721,2,FALSE)</f>
        <v>5.8</v>
      </c>
      <c r="F289">
        <f>VLOOKUP(A289,CCI_USA!$F$2:$H$317,3,FALSE)</f>
        <v>100.61279999999999</v>
      </c>
      <c r="G289">
        <f>INDEX('BLS Data Series'!$A$11:$M$39,MATCH('UI Datathon Development'!C289,'BLS Data Series'!$A$13:$A$39,0)+2,MATCH('UI Datathon Development'!B289,'BLS Data Series'!$B$11:$M$11,0)+1)</f>
        <v>5</v>
      </c>
      <c r="H289">
        <f>VLOOKUP(A289,'Houses for sale'!$B$10:$I$671,8,FALSE)</f>
        <v>234</v>
      </c>
      <c r="I289">
        <f>VLOOKUP(A289,'House starts'!$A$12:$B$325,2,FALSE)</f>
        <v>1138</v>
      </c>
      <c r="J289">
        <f>VLOOKUP(A289,'New house sales'!$A$13:$C$324,3,FALSE)</f>
        <v>297100</v>
      </c>
      <c r="K289">
        <f>VLOOKUP($A289,'Sreenath''s data'!$A$2:$F$313,3,FALSE)</f>
        <v>175.21799999999999</v>
      </c>
      <c r="L289">
        <f>VLOOKUP($A289,'Sreenath''s data'!$A$2:$F$313,4,FALSE)</f>
        <v>7326.1</v>
      </c>
      <c r="M289">
        <f>VLOOKUP($A289,'Sreenath''s data'!$A$2:$F$313,5,FALSE)</f>
        <v>117707</v>
      </c>
      <c r="N289">
        <f>VLOOKUP($A289,'Sreenath''s data'!$A$2:$F$313,6,FALSE)</f>
        <v>113.64407336287699</v>
      </c>
      <c r="O289">
        <f>VLOOKUP($A289,'Niteesh''s data'!$A$2:$I$313,3,FALSE)</f>
        <v>2082.929932</v>
      </c>
      <c r="P289">
        <f>VLOOKUP($A289,'Niteesh''s data'!$A$2:$I$313,4,FALSE)</f>
        <v>2104.2700199999999</v>
      </c>
      <c r="Q289">
        <f>VLOOKUP($A289,'Niteesh''s data'!$A$2:$I$313,5,FALSE)</f>
        <v>1993.26001</v>
      </c>
      <c r="R289">
        <f>VLOOKUP($A289,'Niteesh''s data'!$A$2:$I$313,6,FALSE)</f>
        <v>2043.9399410000001</v>
      </c>
      <c r="S289">
        <f>VLOOKUP($A289,'Niteesh''s data'!$A$2:$I$313,7,FALSE)</f>
        <v>2043.9399410000001</v>
      </c>
      <c r="T289">
        <f>VLOOKUP($A289,'Niteesh''s data'!$A$2:$I$313,8,FALSE)</f>
        <v>83649260000</v>
      </c>
      <c r="U289" s="61">
        <f>VLOOKUP($A289,'Niteesh''s data'!$A$2:$I$313,9,FALSE)</f>
        <v>7.4000000000000003E-3</v>
      </c>
      <c r="V289">
        <f>VLOOKUP(A289,'Existing home Sales'!$A$2:$C$324,3,FALSE)</f>
        <v>4.76</v>
      </c>
      <c r="W289" s="8">
        <v>3</v>
      </c>
      <c r="X289">
        <f>IFERROR(VLOOKUP(A289,'Home Depot Gross Profit'!$A$1:$B$105,2,FALSE)/3,IF(W289=2,X288,X288))</f>
        <v>2521.6666666666665</v>
      </c>
      <c r="Y289">
        <f>IFERROR(VLOOKUP(A289,'LOWE''S GROSS PROFIT'!$A$1:$B$105,2,FALSE)/3,IF(X289=2,Y288/3,Y288))</f>
        <v>1663.3333333333333</v>
      </c>
      <c r="Z289" s="8">
        <v>3.96</v>
      </c>
      <c r="AA289">
        <v>6632</v>
      </c>
      <c r="AB289">
        <f>VLOOKUP(A289,'[1]Fed_Int (1)'!$A$2:$B$316,2,FALSE)</f>
        <v>0.24</v>
      </c>
      <c r="AC289" s="8">
        <v>133.520004</v>
      </c>
      <c r="AD289" s="8">
        <v>134.83000200000001</v>
      </c>
      <c r="AE289" s="8">
        <v>130.009995</v>
      </c>
      <c r="AF289" s="8">
        <v>132.25</v>
      </c>
      <c r="AG289" s="8">
        <v>125.305183</v>
      </c>
      <c r="AH289" s="8">
        <v>99684500</v>
      </c>
      <c r="AI289" s="8">
        <v>76.910004000000001</v>
      </c>
      <c r="AJ289" s="8">
        <v>77.669998000000007</v>
      </c>
      <c r="AK289" s="8">
        <v>73.870002999999997</v>
      </c>
      <c r="AL289" s="8">
        <v>76.040001000000004</v>
      </c>
      <c r="AM289" s="8">
        <v>73.024833999999998</v>
      </c>
      <c r="AN289" s="8">
        <v>84455400</v>
      </c>
    </row>
    <row r="290" spans="1:40" x14ac:dyDescent="0.35">
      <c r="E290" s="8">
        <f t="shared" ref="E290:U290" si="10">CORREL($D$2:$D$289,E$2:E$289)</f>
        <v>-0.55912199320482059</v>
      </c>
      <c r="F290" s="8">
        <f t="shared" si="10"/>
        <v>-0.24735436358254262</v>
      </c>
      <c r="G290" s="8">
        <f t="shared" si="10"/>
        <v>-3.1222739672612559E-2</v>
      </c>
      <c r="H290" s="8">
        <f t="shared" si="10"/>
        <v>0.19840459528332391</v>
      </c>
      <c r="I290" s="8">
        <f t="shared" si="10"/>
        <v>-5.8214636794761257E-2</v>
      </c>
      <c r="J290" s="8">
        <f t="shared" si="10"/>
        <v>0.93742987800496014</v>
      </c>
      <c r="K290" s="8">
        <f t="shared" si="10"/>
        <v>0.96810492449234564</v>
      </c>
      <c r="L290" s="8">
        <f t="shared" si="10"/>
        <v>0.15847539556141779</v>
      </c>
      <c r="M290" s="8">
        <f t="shared" si="10"/>
        <v>0.87607488505857611</v>
      </c>
      <c r="N290" s="8">
        <f t="shared" si="10"/>
        <v>0.8954754757486727</v>
      </c>
      <c r="O290" s="8">
        <f t="shared" si="10"/>
        <v>0.82471866130002613</v>
      </c>
      <c r="P290" s="8">
        <f t="shared" si="10"/>
        <v>0.82294679599646703</v>
      </c>
      <c r="Q290" s="8">
        <f t="shared" si="10"/>
        <v>0.8216347707757311</v>
      </c>
      <c r="R290" s="8">
        <f t="shared" si="10"/>
        <v>0.82166690952370813</v>
      </c>
      <c r="S290" s="8">
        <f t="shared" si="10"/>
        <v>0.82166690952370813</v>
      </c>
      <c r="T290" s="8">
        <f t="shared" si="10"/>
        <v>0.68020706353152061</v>
      </c>
      <c r="U290" s="8">
        <f t="shared" si="10"/>
        <v>-0.70256502010884281</v>
      </c>
      <c r="V290">
        <f>CORREL($D$2:$D$289,V$2:V$289)</f>
        <v>0.71365090764534456</v>
      </c>
      <c r="X290" s="8">
        <f>CORREL($D$2:$D$289,X$2:X$289)</f>
        <v>0.95689073262108937</v>
      </c>
      <c r="Y290" s="8">
        <f>CORREL($D$2:$D$289,Y$2:Y$289)</f>
        <v>0.8910797281274645</v>
      </c>
      <c r="Z290" s="8">
        <f>CORREL($D$2:$D$289,Z$2:Z$289)</f>
        <v>-0.7308145263083512</v>
      </c>
      <c r="AA290" s="8">
        <f t="shared" ref="AA290:AN290" si="11">CORREL($D$2:$D$289,AA$2:AA$289)</f>
        <v>0.73701630040768729</v>
      </c>
      <c r="AB290" s="8">
        <f t="shared" si="11"/>
        <v>-0.47371607574733676</v>
      </c>
      <c r="AC290" s="8">
        <f t="shared" si="11"/>
        <v>0.68879307732877915</v>
      </c>
      <c r="AD290" s="8">
        <f t="shared" si="11"/>
        <v>0.68102869034754443</v>
      </c>
      <c r="AE290" s="8">
        <f t="shared" si="11"/>
        <v>0.68836607526019478</v>
      </c>
      <c r="AF290" s="8">
        <f t="shared" si="11"/>
        <v>0.68156202778460462</v>
      </c>
      <c r="AG290" s="8">
        <f t="shared" si="11"/>
        <v>0.65722689285372649</v>
      </c>
      <c r="AH290" s="8">
        <f t="shared" si="11"/>
        <v>0.32515605691756094</v>
      </c>
      <c r="AI290" s="8">
        <f t="shared" si="11"/>
        <v>0.84613384682282855</v>
      </c>
      <c r="AJ290" s="8">
        <f t="shared" si="11"/>
        <v>0.84812693404240258</v>
      </c>
      <c r="AK290" s="8">
        <f t="shared" si="11"/>
        <v>0.8356929482475931</v>
      </c>
      <c r="AL290" s="8">
        <f t="shared" si="11"/>
        <v>0.83946092733449929</v>
      </c>
      <c r="AM290" s="8">
        <f t="shared" si="11"/>
        <v>0.80562334443697803</v>
      </c>
      <c r="AN290" s="8">
        <f t="shared" si="11"/>
        <v>0.32529375386458287</v>
      </c>
    </row>
    <row r="291" spans="1:40" x14ac:dyDescent="0.35">
      <c r="A291" s="8"/>
      <c r="B291" s="8"/>
      <c r="C291" s="8"/>
      <c r="D291" s="8"/>
      <c r="E291" s="8">
        <f t="shared" ref="E291:U291" si="12">CORREL($D$3:$D$289,E$2:E$288)</f>
        <v>-0.56393301148014174</v>
      </c>
      <c r="F291" s="8">
        <f t="shared" si="12"/>
        <v>-0.24200614094688774</v>
      </c>
      <c r="G291" s="8">
        <f t="shared" si="12"/>
        <v>-2.9052116926367558E-2</v>
      </c>
      <c r="H291" s="8">
        <f t="shared" si="12"/>
        <v>0.19615743740492977</v>
      </c>
      <c r="I291" s="8">
        <f t="shared" si="12"/>
        <v>-4.910771452782766E-2</v>
      </c>
      <c r="J291" s="8">
        <f t="shared" si="12"/>
        <v>0.9376888498592002</v>
      </c>
      <c r="K291" s="8">
        <f t="shared" si="12"/>
        <v>0.96510363209844929</v>
      </c>
      <c r="L291" s="8">
        <f t="shared" si="12"/>
        <v>0.15399777488199573</v>
      </c>
      <c r="M291" s="8">
        <f t="shared" si="12"/>
        <v>0.87414636505026955</v>
      </c>
      <c r="N291" s="8">
        <f t="shared" si="12"/>
        <v>0.89305125456018741</v>
      </c>
      <c r="O291" s="8">
        <f t="shared" si="12"/>
        <v>0.82519359434778949</v>
      </c>
      <c r="P291" s="8">
        <f t="shared" si="12"/>
        <v>0.82323987593587078</v>
      </c>
      <c r="Q291" s="8">
        <f t="shared" si="12"/>
        <v>0.82351342575497055</v>
      </c>
      <c r="R291" s="8">
        <f t="shared" si="12"/>
        <v>0.8229149704819263</v>
      </c>
      <c r="S291" s="8">
        <f t="shared" si="12"/>
        <v>0.8229149704819263</v>
      </c>
      <c r="T291" s="8">
        <f t="shared" si="12"/>
        <v>0.66645860089659015</v>
      </c>
      <c r="U291" s="8">
        <f t="shared" si="12"/>
        <v>-0.70419296866146808</v>
      </c>
      <c r="V291">
        <f>CORREL($D$3:$D$289,V$2:V$288)</f>
        <v>0.72192434083311963</v>
      </c>
      <c r="X291" s="8">
        <f>CORREL($D$3:$D$289,X$2:X$288)</f>
        <v>0.95504598774232619</v>
      </c>
      <c r="Y291" s="8">
        <f>CORREL($D$3:$D$289,Y$2:Y$288)</f>
        <v>0.88597832739643467</v>
      </c>
      <c r="Z291" s="8">
        <f>CORREL($D$3:$D$289,Z$2:Z$288)</f>
        <v>-0.73332027754349505</v>
      </c>
      <c r="AA291" s="8">
        <f>CORREL($D$3:$D$289,AA$2:AA$288)</f>
        <v>0.7341531864150902</v>
      </c>
      <c r="AB291" s="8">
        <f t="shared" ref="AB291:AN291" si="13">CORREL($D$3:$D$289,AB$2:AB$288)</f>
        <v>-0.47378120517912664</v>
      </c>
      <c r="AC291" s="8">
        <f t="shared" si="13"/>
        <v>0.69353137353874361</v>
      </c>
      <c r="AD291" s="8">
        <f t="shared" si="13"/>
        <v>0.68507355092518285</v>
      </c>
      <c r="AE291" s="8">
        <f t="shared" si="13"/>
        <v>0.6949557590478449</v>
      </c>
      <c r="AF291" s="8">
        <f t="shared" si="13"/>
        <v>0.68680890233790226</v>
      </c>
      <c r="AG291" s="8">
        <f t="shared" si="13"/>
        <v>0.66226363684688716</v>
      </c>
      <c r="AH291" s="8">
        <f t="shared" si="13"/>
        <v>0.31387069808128853</v>
      </c>
      <c r="AI291" s="8">
        <f t="shared" si="13"/>
        <v>0.85153403662044447</v>
      </c>
      <c r="AJ291" s="8">
        <f t="shared" si="13"/>
        <v>0.85252511308842582</v>
      </c>
      <c r="AK291" s="8">
        <f t="shared" si="13"/>
        <v>0.84212667223176185</v>
      </c>
      <c r="AL291" s="8">
        <f t="shared" si="13"/>
        <v>0.84452775419355897</v>
      </c>
      <c r="AM291" s="8">
        <f t="shared" si="13"/>
        <v>0.81073678434162277</v>
      </c>
      <c r="AN291" s="8">
        <f t="shared" si="13"/>
        <v>0.31902120954878271</v>
      </c>
    </row>
    <row r="292" spans="1:40" s="8" customFormat="1" x14ac:dyDescent="0.35">
      <c r="E292" s="8">
        <f>CORREL($D$4:$D$289,E$2:E$287)</f>
        <v>-0.56825810029325075</v>
      </c>
      <c r="F292" s="8">
        <f t="shared" ref="F292:AN292" si="14">CORREL($D$4:$D$289,F$2:F$287)</f>
        <v>-0.2369830423639491</v>
      </c>
      <c r="G292" s="8">
        <f t="shared" si="14"/>
        <v>-2.6649510950459834E-2</v>
      </c>
      <c r="H292" s="8">
        <f t="shared" si="14"/>
        <v>0.19377539543786693</v>
      </c>
      <c r="I292" s="8">
        <f t="shared" si="14"/>
        <v>-4.0826390125928279E-2</v>
      </c>
      <c r="J292" s="8">
        <f t="shared" si="14"/>
        <v>0.93719555579791303</v>
      </c>
      <c r="K292" s="8">
        <f t="shared" si="14"/>
        <v>0.96182103238988803</v>
      </c>
      <c r="L292" s="8">
        <f t="shared" si="14"/>
        <v>0.14625527397742946</v>
      </c>
      <c r="M292" s="8">
        <f t="shared" si="14"/>
        <v>0.87185686780043203</v>
      </c>
      <c r="N292" s="8">
        <f t="shared" si="14"/>
        <v>0.89061753076236749</v>
      </c>
      <c r="O292" s="8">
        <f t="shared" si="14"/>
        <v>0.8248103504097154</v>
      </c>
      <c r="P292" s="8">
        <f t="shared" si="14"/>
        <v>0.82318481770466945</v>
      </c>
      <c r="Q292" s="8">
        <f t="shared" si="14"/>
        <v>0.82386011679650017</v>
      </c>
      <c r="R292" s="8">
        <f t="shared" si="14"/>
        <v>0.82339180419758373</v>
      </c>
      <c r="S292" s="8">
        <f t="shared" si="14"/>
        <v>0.82339180419758373</v>
      </c>
      <c r="T292" s="8">
        <f t="shared" si="14"/>
        <v>0.65590583433834304</v>
      </c>
      <c r="U292" s="8">
        <f t="shared" si="14"/>
        <v>-0.70398048881895314</v>
      </c>
      <c r="V292" s="8">
        <f t="shared" si="14"/>
        <v>0.72818991478485762</v>
      </c>
      <c r="X292" s="8">
        <f t="shared" si="14"/>
        <v>0.95349354723197854</v>
      </c>
      <c r="Y292" s="8">
        <f t="shared" si="14"/>
        <v>0.88089336934626006</v>
      </c>
      <c r="Z292" s="8">
        <f t="shared" si="14"/>
        <v>-0.73615519008624131</v>
      </c>
      <c r="AA292" s="8">
        <f t="shared" si="14"/>
        <v>0.73113627191877406</v>
      </c>
      <c r="AB292" s="8">
        <f t="shared" si="14"/>
        <v>-0.47449668110638776</v>
      </c>
      <c r="AC292" s="8">
        <f t="shared" si="14"/>
        <v>0.69802035745653768</v>
      </c>
      <c r="AD292" s="8">
        <f t="shared" si="14"/>
        <v>0.68942651028622126</v>
      </c>
      <c r="AE292" s="8">
        <f t="shared" si="14"/>
        <v>0.69932291337675478</v>
      </c>
      <c r="AF292" s="8">
        <f t="shared" si="14"/>
        <v>0.69151753594582976</v>
      </c>
      <c r="AG292" s="8">
        <f t="shared" si="14"/>
        <v>0.6671695855980222</v>
      </c>
      <c r="AH292" s="8">
        <f t="shared" si="14"/>
        <v>0.30819713677260652</v>
      </c>
      <c r="AI292" s="8">
        <f t="shared" si="14"/>
        <v>0.85608988395050922</v>
      </c>
      <c r="AJ292" s="8">
        <f t="shared" si="14"/>
        <v>0.85708249696357119</v>
      </c>
      <c r="AK292" s="8">
        <f t="shared" si="14"/>
        <v>0.84664380950993079</v>
      </c>
      <c r="AL292" s="8">
        <f t="shared" si="14"/>
        <v>0.84979037836766269</v>
      </c>
      <c r="AM292" s="8">
        <f t="shared" si="14"/>
        <v>0.81616656503975138</v>
      </c>
      <c r="AN292" s="8">
        <f t="shared" si="14"/>
        <v>0.31986848832047476</v>
      </c>
    </row>
    <row r="293" spans="1:40" x14ac:dyDescent="0.35">
      <c r="A293" s="8"/>
      <c r="B293" s="8"/>
      <c r="C293" s="8"/>
      <c r="D293" s="8"/>
      <c r="E293" s="8"/>
      <c r="F293" s="8"/>
      <c r="G293" s="8"/>
      <c r="H293" s="8"/>
      <c r="I293" s="8"/>
      <c r="J293" s="8"/>
      <c r="Z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</row>
    <row r="294" spans="1:40" x14ac:dyDescent="0.35">
      <c r="A294" s="1">
        <v>42370</v>
      </c>
      <c r="B294" s="7">
        <f t="shared" si="8"/>
        <v>1</v>
      </c>
      <c r="C294" s="7">
        <f t="shared" ref="C294:C317" si="15">YEAR(A294)</f>
        <v>2016</v>
      </c>
      <c r="D294" s="2">
        <v>28938</v>
      </c>
      <c r="E294">
        <f>VLOOKUP(A294,PSR!$A$12:$B$721,2,FALSE)</f>
        <v>5.9</v>
      </c>
      <c r="F294">
        <f>VLOOKUP(A294,CCI_USA!$F$2:$H$317,3,FALSE)</f>
        <v>100.6259</v>
      </c>
      <c r="G294">
        <f>INDEX('BLS Data Series'!$A$11:$M$39,MATCH('UI Datathon Development'!C294,'BLS Data Series'!$A$13:$A$39,0)+2,MATCH('UI Datathon Development'!B294,'BLS Data Series'!$B$11:$M$11,0)+1)</f>
        <v>4.9000000000000004</v>
      </c>
      <c r="H294">
        <f>VLOOKUP(A294,'Houses for sale'!$B$10:$I$671,8,FALSE)</f>
        <v>237</v>
      </c>
      <c r="I294">
        <f>VLOOKUP(A294,'House starts'!$A$12:$B$325,2,FALSE)</f>
        <v>1123</v>
      </c>
      <c r="J294">
        <f>VLOOKUP(A294,'New house sales'!$A$13:$C$324,3,FALSE)</f>
        <v>288400</v>
      </c>
      <c r="K294" s="8">
        <f>VLOOKUP($A294,'Sreenath''s data'!$A$2:$F$313,3,FALSE)</f>
        <v>175.13900000000001</v>
      </c>
      <c r="L294" s="8">
        <f>VLOOKUP($A294,'Sreenath''s data'!$A$2:$F$313,4,FALSE)</f>
        <v>12563.9</v>
      </c>
      <c r="M294" s="8">
        <f>VLOOKUP($A294,'Sreenath''s data'!$A$2:$F$313,5,FALSE)</f>
        <v>117608</v>
      </c>
      <c r="N294" s="8">
        <f>VLOOKUP($A294,'Sreenath''s data'!$A$2:$F$313,6,FALSE)</f>
        <v>114.091483368943</v>
      </c>
      <c r="O294" s="8">
        <f>VLOOKUP($A294,'Niteesh''s data'!$A$2:$I$313,3,FALSE)</f>
        <v>2038.1999510000001</v>
      </c>
      <c r="P294" s="8">
        <f>VLOOKUP($A294,'Niteesh''s data'!$A$2:$I$313,4,FALSE)</f>
        <v>2038.1999510000001</v>
      </c>
      <c r="Q294" s="8">
        <f>VLOOKUP($A294,'Niteesh''s data'!$A$2:$I$313,5,FALSE)</f>
        <v>1812.290039</v>
      </c>
      <c r="R294" s="8">
        <f>VLOOKUP($A294,'Niteesh''s data'!$A$2:$I$313,6,FALSE)</f>
        <v>1940.23999</v>
      </c>
      <c r="S294" s="8">
        <f>VLOOKUP($A294,'Niteesh''s data'!$A$2:$I$313,7,FALSE)</f>
        <v>1940.23999</v>
      </c>
      <c r="T294" s="8">
        <f>VLOOKUP($A294,'Niteesh''s data'!$A$2:$I$313,8,FALSE)</f>
        <v>92409770000</v>
      </c>
      <c r="U294" s="8">
        <f>VLOOKUP($A294,'Niteesh''s data'!$A$2:$I$313,9,FALSE)</f>
        <v>7.4000000000000003E-3</v>
      </c>
      <c r="V294" s="8">
        <f>VLOOKUP(A294,'Existing home Sales'!$A$2:$C$324,3,FALSE)</f>
        <v>5.46</v>
      </c>
      <c r="W294" s="8">
        <v>1</v>
      </c>
      <c r="X294" s="8">
        <f>IFERROR(VLOOKUP(A294,'Home Depot Gross Profit'!$A$1:$B$105,2,FALSE)/3,IF(W294=2,X293/3,X293))</f>
        <v>2385.3333333333335</v>
      </c>
      <c r="Y294" s="8">
        <f>IFERROR(VLOOKUP(A294,'LOWE''S GROSS PROFIT'!$A$1:$B$105,2,FALSE)/3,IF(X294=2,Y293/3,Y293))</f>
        <v>1529.3333333333333</v>
      </c>
      <c r="Z294" s="8">
        <v>3.8650000000000002</v>
      </c>
      <c r="AA294" s="8">
        <v>6636</v>
      </c>
      <c r="AB294" s="8">
        <f>VLOOKUP(A294,'[1]Fed_Int (1)'!$A$2:$B$316,2,FALSE)</f>
        <v>0.34</v>
      </c>
      <c r="AC294" s="8">
        <v>130.11000100000001</v>
      </c>
      <c r="AD294" s="8">
        <v>131.94000199999999</v>
      </c>
      <c r="AE294" s="8">
        <v>113.589996</v>
      </c>
      <c r="AF294" s="8">
        <v>125.760002</v>
      </c>
      <c r="AG294" s="8">
        <v>119.683426</v>
      </c>
      <c r="AH294" s="8">
        <v>147003300</v>
      </c>
      <c r="AI294" s="8">
        <v>74.690002000000007</v>
      </c>
      <c r="AJ294" s="8">
        <v>76.470000999999996</v>
      </c>
      <c r="AK294" s="8">
        <v>66.930000000000007</v>
      </c>
      <c r="AL294" s="8">
        <v>71.660004000000001</v>
      </c>
      <c r="AM294" s="8">
        <v>68.818504000000004</v>
      </c>
      <c r="AN294" s="8">
        <v>119573700</v>
      </c>
    </row>
    <row r="295" spans="1:40" x14ac:dyDescent="0.35">
      <c r="A295" s="1">
        <v>42401</v>
      </c>
      <c r="B295" s="7">
        <f t="shared" si="8"/>
        <v>2</v>
      </c>
      <c r="C295" s="7">
        <f t="shared" si="15"/>
        <v>2016</v>
      </c>
      <c r="D295" s="2">
        <v>29117</v>
      </c>
      <c r="E295">
        <f>VLOOKUP(A295,PSR!$A$12:$B$721,2,FALSE)</f>
        <v>5.5</v>
      </c>
      <c r="F295">
        <f>VLOOKUP(A295,CCI_USA!$F$2:$H$317,3,FALSE)</f>
        <v>100.5886</v>
      </c>
      <c r="G295">
        <f>INDEX('BLS Data Series'!$A$11:$M$39,MATCH('UI Datathon Development'!C295,'BLS Data Series'!$A$13:$A$39,0)+2,MATCH('UI Datathon Development'!B295,'BLS Data Series'!$B$11:$M$11,0)+1)</f>
        <v>4.9000000000000004</v>
      </c>
      <c r="H295">
        <f>VLOOKUP(A295,'Houses for sale'!$B$10:$I$671,8,FALSE)</f>
        <v>240</v>
      </c>
      <c r="I295">
        <f>VLOOKUP(A295,'House starts'!$A$12:$B$325,2,FALSE)</f>
        <v>1209</v>
      </c>
      <c r="J295">
        <f>VLOOKUP(A295,'New house sales'!$A$13:$C$324,3,FALSE)</f>
        <v>305800</v>
      </c>
      <c r="K295">
        <f>VLOOKUP($A295,'Sreenath''s data'!$A$2:$F$313,3,FALSE)</f>
        <v>175.38399999999999</v>
      </c>
      <c r="L295">
        <f>VLOOKUP($A295,'Sreenath''s data'!$A$2:$F$313,4,FALSE)</f>
        <v>12555.7</v>
      </c>
      <c r="M295">
        <f>VLOOKUP($A295,'Sreenath''s data'!$A$2:$F$313,5,FALSE)</f>
        <v>117514</v>
      </c>
      <c r="N295">
        <f>VLOOKUP($A295,'Sreenath''s data'!$A$2:$F$313,6,FALSE)</f>
        <v>114.470120507065</v>
      </c>
      <c r="O295">
        <f>VLOOKUP($A295,'Niteesh''s data'!$A$2:$I$313,3,FALSE)</f>
        <v>1936.9399410000001</v>
      </c>
      <c r="P295">
        <f>VLOOKUP($A295,'Niteesh''s data'!$A$2:$I$313,4,FALSE)</f>
        <v>1962.959961</v>
      </c>
      <c r="Q295">
        <f>VLOOKUP($A295,'Niteesh''s data'!$A$2:$I$313,5,FALSE)</f>
        <v>1810.099976</v>
      </c>
      <c r="R295">
        <f>VLOOKUP($A295,'Niteesh''s data'!$A$2:$I$313,6,FALSE)</f>
        <v>1932.2299800000001</v>
      </c>
      <c r="S295">
        <f>VLOOKUP($A295,'Niteesh''s data'!$A$2:$I$313,7,FALSE)</f>
        <v>1932.2299800000001</v>
      </c>
      <c r="T295">
        <f>VLOOKUP($A295,'Niteesh''s data'!$A$2:$I$313,8,FALSE)</f>
        <v>93049560000</v>
      </c>
      <c r="U295">
        <f>VLOOKUP($A295,'Niteesh''s data'!$A$2:$I$313,9,FALSE)</f>
        <v>7.4000000000000003E-3</v>
      </c>
      <c r="V295" s="8">
        <f>VLOOKUP(A295,'Existing home Sales'!$A$2:$C$324,3,FALSE)</f>
        <v>5.47</v>
      </c>
      <c r="W295" s="8">
        <v>1</v>
      </c>
      <c r="X295" s="8">
        <f>IFERROR(VLOOKUP(A295,'Home Depot Gross Profit'!$A$1:$B$105,2,FALSE)/3,IF(W295=2,X294/3,X294))</f>
        <v>2385.3333333333335</v>
      </c>
      <c r="Y295" s="8">
        <f>IFERROR(VLOOKUP(A295,'LOWE''S GROSS PROFIT'!$A$1:$B$105,2,FALSE)/3,IF(X295=2,Y294/3,Y294))</f>
        <v>1529.3333333333333</v>
      </c>
      <c r="Z295" s="8">
        <v>3.65</v>
      </c>
      <c r="AA295" s="8">
        <v>6649</v>
      </c>
      <c r="AB295" s="8">
        <f>VLOOKUP(A295,'[1]Fed_Int (1)'!$A$2:$B$316,2,FALSE)</f>
        <v>0.38</v>
      </c>
      <c r="AC295" s="8">
        <v>124.91999800000001</v>
      </c>
      <c r="AD295" s="8">
        <v>127.75</v>
      </c>
      <c r="AE295" s="8">
        <v>109.620003</v>
      </c>
      <c r="AF295" s="8">
        <v>124.120003</v>
      </c>
      <c r="AG295" s="8">
        <v>118.12267300000001</v>
      </c>
      <c r="AH295" s="8">
        <v>135746500</v>
      </c>
      <c r="AI295" s="8">
        <v>70.540001000000004</v>
      </c>
      <c r="AJ295" s="8">
        <v>72.889999000000003</v>
      </c>
      <c r="AK295" s="8">
        <v>62.619999</v>
      </c>
      <c r="AL295" s="8">
        <v>67.529999000000004</v>
      </c>
      <c r="AM295" s="8">
        <v>65.113045</v>
      </c>
      <c r="AN295" s="8">
        <v>144092900</v>
      </c>
    </row>
    <row r="296" spans="1:40" x14ac:dyDescent="0.35">
      <c r="A296" s="1">
        <v>42430</v>
      </c>
      <c r="B296" s="7">
        <f t="shared" si="8"/>
        <v>3</v>
      </c>
      <c r="C296" s="7">
        <f t="shared" si="15"/>
        <v>2016</v>
      </c>
      <c r="D296" s="2">
        <v>29628</v>
      </c>
      <c r="E296">
        <f>VLOOKUP(A296,PSR!$A$12:$B$721,2,FALSE)</f>
        <v>5.7</v>
      </c>
      <c r="F296">
        <f>VLOOKUP(A296,CCI_USA!$F$2:$H$317,3,FALSE)</f>
        <v>100.5489</v>
      </c>
      <c r="G296">
        <f>INDEX('BLS Data Series'!$A$11:$M$39,MATCH('UI Datathon Development'!C296,'BLS Data Series'!$A$13:$A$39,0)+2,MATCH('UI Datathon Development'!B296,'BLS Data Series'!$B$11:$M$11,0)+1)</f>
        <v>5</v>
      </c>
      <c r="H296">
        <f>VLOOKUP(A296,'Houses for sale'!$B$10:$I$671,8,FALSE)</f>
        <v>243</v>
      </c>
      <c r="I296">
        <f>VLOOKUP(A296,'House starts'!$A$12:$B$325,2,FALSE)</f>
        <v>1128</v>
      </c>
      <c r="J296">
        <f>VLOOKUP(A296,'New house sales'!$A$13:$C$324,3,FALSE)</f>
        <v>303200</v>
      </c>
      <c r="K296">
        <f>VLOOKUP($A296,'Sreenath''s data'!$A$2:$F$313,3,FALSE)</f>
        <v>176.70500000000001</v>
      </c>
      <c r="L296">
        <f>VLOOKUP($A296,'Sreenath''s data'!$A$2:$F$313,4,FALSE)</f>
        <v>12583.5</v>
      </c>
      <c r="M296">
        <f>VLOOKUP($A296,'Sreenath''s data'!$A$2:$F$313,5,FALSE)</f>
        <v>117401</v>
      </c>
      <c r="N296">
        <f>VLOOKUP($A296,'Sreenath''s data'!$A$2:$F$313,6,FALSE)</f>
        <v>114.782302963802</v>
      </c>
      <c r="O296">
        <f>VLOOKUP($A296,'Niteesh''s data'!$A$2:$I$313,3,FALSE)</f>
        <v>1937.089966</v>
      </c>
      <c r="P296">
        <f>VLOOKUP($A296,'Niteesh''s data'!$A$2:$I$313,4,FALSE)</f>
        <v>2072.209961</v>
      </c>
      <c r="Q296">
        <f>VLOOKUP($A296,'Niteesh''s data'!$A$2:$I$313,5,FALSE)</f>
        <v>1937.089966</v>
      </c>
      <c r="R296">
        <f>VLOOKUP($A296,'Niteesh''s data'!$A$2:$I$313,6,FALSE)</f>
        <v>2059.73999</v>
      </c>
      <c r="S296">
        <f>VLOOKUP($A296,'Niteesh''s data'!$A$2:$I$313,7,FALSE)</f>
        <v>2059.73999</v>
      </c>
      <c r="T296">
        <f>VLOOKUP($A296,'Niteesh''s data'!$A$2:$I$313,8,FALSE)</f>
        <v>92639420000</v>
      </c>
      <c r="U296">
        <f>VLOOKUP($A296,'Niteesh''s data'!$A$2:$I$313,9,FALSE)</f>
        <v>7.4000000000000003E-3</v>
      </c>
      <c r="V296" s="8">
        <f>VLOOKUP(A296,'Existing home Sales'!$A$2:$C$324,3,FALSE)</f>
        <v>5.08</v>
      </c>
      <c r="W296" s="8">
        <v>1</v>
      </c>
      <c r="X296" s="8">
        <f>IFERROR(VLOOKUP(A296,'Home Depot Gross Profit'!$A$1:$B$105,2,FALSE)/3,IF(W296=2,X295/3,X295))</f>
        <v>2385.3333333333335</v>
      </c>
      <c r="Y296" s="8">
        <f>IFERROR(VLOOKUP(A296,'LOWE''S GROSS PROFIT'!$A$1:$B$105,2,FALSE)/3,IF(X296=2,Y295/3,Y295))</f>
        <v>1529.3333333333333</v>
      </c>
      <c r="Z296" s="8">
        <v>3.71</v>
      </c>
      <c r="AA296" s="8">
        <v>6690</v>
      </c>
      <c r="AB296" s="8">
        <f>VLOOKUP(A296,'[1]Fed_Int (1)'!$A$2:$B$316,2,FALSE)</f>
        <v>0.36</v>
      </c>
      <c r="AC296" s="8">
        <v>124.779999</v>
      </c>
      <c r="AD296" s="8">
        <v>134.28999300000001</v>
      </c>
      <c r="AE296" s="8">
        <v>123.980003</v>
      </c>
      <c r="AF296" s="8">
        <v>133.429993</v>
      </c>
      <c r="AG296" s="8">
        <v>126.982811</v>
      </c>
      <c r="AH296" s="8">
        <v>94094800</v>
      </c>
      <c r="AI296" s="8">
        <v>68.180000000000007</v>
      </c>
      <c r="AJ296" s="8">
        <v>76.379997000000003</v>
      </c>
      <c r="AK296" s="8">
        <v>66.919998000000007</v>
      </c>
      <c r="AL296" s="8">
        <v>75.75</v>
      </c>
      <c r="AM296" s="8">
        <v>73.038856999999993</v>
      </c>
      <c r="AN296" s="8">
        <v>97873900</v>
      </c>
    </row>
    <row r="297" spans="1:40" x14ac:dyDescent="0.35">
      <c r="A297" s="1">
        <v>42461</v>
      </c>
      <c r="B297" s="7">
        <f t="shared" si="8"/>
        <v>4</v>
      </c>
      <c r="C297" s="7">
        <f t="shared" si="15"/>
        <v>2016</v>
      </c>
      <c r="D297" s="2">
        <v>28621</v>
      </c>
      <c r="E297">
        <f>VLOOKUP(A297,PSR!$A$12:$B$721,2,FALSE)</f>
        <v>5.5</v>
      </c>
      <c r="F297">
        <f>VLOOKUP(A297,CCI_USA!$F$2:$H$317,3,FALSE)</f>
        <v>100.57089999999999</v>
      </c>
      <c r="G297">
        <f>INDEX('BLS Data Series'!$A$11:$M$39,MATCH('UI Datathon Development'!C297,'BLS Data Series'!$A$13:$A$39,0)+2,MATCH('UI Datathon Development'!B297,'BLS Data Series'!$B$11:$M$11,0)+1)</f>
        <v>5</v>
      </c>
      <c r="H297">
        <f>VLOOKUP(A297,'Houses for sale'!$B$10:$I$671,8,FALSE)</f>
        <v>241</v>
      </c>
      <c r="I297">
        <f>VLOOKUP(A297,'House starts'!$A$12:$B$325,2,FALSE)</f>
        <v>1164</v>
      </c>
      <c r="J297">
        <f>VLOOKUP(A297,'New house sales'!$A$13:$C$324,3,FALSE)</f>
        <v>318300</v>
      </c>
      <c r="K297">
        <f>VLOOKUP($A297,'Sreenath''s data'!$A$2:$F$313,3,FALSE)</f>
        <v>178.59599999999901</v>
      </c>
      <c r="L297">
        <f>VLOOKUP($A297,'Sreenath''s data'!$A$2:$F$313,4,FALSE)</f>
        <v>12611.9</v>
      </c>
      <c r="M297">
        <f>VLOOKUP($A297,'Sreenath''s data'!$A$2:$F$313,5,FALSE)</f>
        <v>118252</v>
      </c>
      <c r="N297">
        <f>VLOOKUP($A297,'Sreenath''s data'!$A$2:$F$313,6,FALSE)</f>
        <v>115.04580350278</v>
      </c>
      <c r="O297">
        <f>VLOOKUP($A297,'Niteesh''s data'!$A$2:$I$313,3,FALSE)</f>
        <v>2056.6201169999999</v>
      </c>
      <c r="P297">
        <f>VLOOKUP($A297,'Niteesh''s data'!$A$2:$I$313,4,FALSE)</f>
        <v>2111.0500489999999</v>
      </c>
      <c r="Q297">
        <f>VLOOKUP($A297,'Niteesh''s data'!$A$2:$I$313,5,FALSE)</f>
        <v>2033.8000489999999</v>
      </c>
      <c r="R297">
        <f>VLOOKUP($A297,'Niteesh''s data'!$A$2:$I$313,6,FALSE)</f>
        <v>2065.3000489999999</v>
      </c>
      <c r="S297">
        <f>VLOOKUP($A297,'Niteesh''s data'!$A$2:$I$313,7,FALSE)</f>
        <v>2065.3000489999999</v>
      </c>
      <c r="T297">
        <f>VLOOKUP($A297,'Niteesh''s data'!$A$2:$I$313,8,FALSE)</f>
        <v>81124990000</v>
      </c>
      <c r="U297">
        <f>VLOOKUP($A297,'Niteesh''s data'!$A$2:$I$313,9,FALSE)</f>
        <v>7.4000000000000003E-3</v>
      </c>
      <c r="V297" s="8">
        <f>VLOOKUP(A297,'Existing home Sales'!$A$2:$C$324,3,FALSE)</f>
        <v>5.33</v>
      </c>
      <c r="W297" s="8">
        <v>1</v>
      </c>
      <c r="X297" s="8">
        <f>IFERROR(VLOOKUP(A297,'Home Depot Gross Profit'!$A$1:$B$105,2,FALSE)/3,IF(W297=2,X296/3,X296))</f>
        <v>2597</v>
      </c>
      <c r="Y297" s="8">
        <f>IFERROR(VLOOKUP(A297,'LOWE''S GROSS PROFIT'!$A$1:$B$105,2,FALSE)/3,IF(X297=2,Y296/3,Y296))</f>
        <v>1779</v>
      </c>
      <c r="Z297" s="8">
        <v>3.59</v>
      </c>
      <c r="AA297" s="8">
        <v>6699</v>
      </c>
      <c r="AB297" s="8">
        <f>VLOOKUP(A297,'[1]Fed_Int (1)'!$A$2:$B$316,2,FALSE)</f>
        <v>0.37</v>
      </c>
      <c r="AC297" s="8">
        <v>133.10000600000001</v>
      </c>
      <c r="AD297" s="8">
        <v>137</v>
      </c>
      <c r="AE297" s="8">
        <v>131.75</v>
      </c>
      <c r="AF297" s="8">
        <v>133.88999899999999</v>
      </c>
      <c r="AG297" s="8">
        <v>128.121262</v>
      </c>
      <c r="AH297" s="8">
        <v>82895000</v>
      </c>
      <c r="AI297" s="8">
        <v>75.629997000000003</v>
      </c>
      <c r="AJ297" s="8">
        <v>77.629997000000003</v>
      </c>
      <c r="AK297" s="8">
        <v>74.669998000000007</v>
      </c>
      <c r="AL297" s="8">
        <v>76.019997000000004</v>
      </c>
      <c r="AM297" s="8">
        <v>73.299187000000003</v>
      </c>
      <c r="AN297" s="8">
        <v>83756400</v>
      </c>
    </row>
    <row r="298" spans="1:40" x14ac:dyDescent="0.35">
      <c r="A298" s="1">
        <v>42491</v>
      </c>
      <c r="B298" s="7">
        <f t="shared" si="8"/>
        <v>5</v>
      </c>
      <c r="C298" s="7">
        <f t="shared" si="15"/>
        <v>2016</v>
      </c>
      <c r="D298" s="2">
        <v>28090</v>
      </c>
      <c r="E298">
        <f>VLOOKUP(A298,PSR!$A$12:$B$721,2,FALSE)</f>
        <v>5.4</v>
      </c>
      <c r="F298">
        <f>VLOOKUP(A298,CCI_USA!$F$2:$H$317,3,FALSE)</f>
        <v>100.69289999999999</v>
      </c>
      <c r="G298">
        <f>INDEX('BLS Data Series'!$A$11:$M$39,MATCH('UI Datathon Development'!C298,'BLS Data Series'!$A$13:$A$39,0)+2,MATCH('UI Datathon Development'!B298,'BLS Data Series'!$B$11:$M$11,0)+1)</f>
        <v>4.7</v>
      </c>
      <c r="H298">
        <f>VLOOKUP(A298,'Houses for sale'!$B$10:$I$671,8,FALSE)</f>
        <v>241</v>
      </c>
      <c r="I298">
        <f>VLOOKUP(A298,'House starts'!$A$12:$B$325,2,FALSE)</f>
        <v>1119</v>
      </c>
      <c r="J298">
        <f>VLOOKUP(A298,'New house sales'!$A$13:$C$324,3,FALSE)</f>
        <v>295200</v>
      </c>
      <c r="K298">
        <f>VLOOKUP($A298,'Sreenath''s data'!$A$2:$F$313,3,FALSE)</f>
        <v>180.45500000000001</v>
      </c>
      <c r="L298">
        <f>VLOOKUP($A298,'Sreenath''s data'!$A$2:$F$313,4,FALSE)</f>
        <v>12626.8</v>
      </c>
      <c r="M298">
        <f>VLOOKUP($A298,'Sreenath''s data'!$A$2:$F$313,5,FALSE)</f>
        <v>118369</v>
      </c>
      <c r="N298">
        <f>VLOOKUP($A298,'Sreenath''s data'!$A$2:$F$313,6,FALSE)</f>
        <v>115.48703167801899</v>
      </c>
      <c r="O298">
        <f>VLOOKUP($A298,'Niteesh''s data'!$A$2:$I$313,3,FALSE)</f>
        <v>2067.169922</v>
      </c>
      <c r="P298">
        <f>VLOOKUP($A298,'Niteesh''s data'!$A$2:$I$313,4,FALSE)</f>
        <v>2103.4799800000001</v>
      </c>
      <c r="Q298">
        <f>VLOOKUP($A298,'Niteesh''s data'!$A$2:$I$313,5,FALSE)</f>
        <v>2025.910034</v>
      </c>
      <c r="R298">
        <f>VLOOKUP($A298,'Niteesh''s data'!$A$2:$I$313,6,FALSE)</f>
        <v>2096.9499510000001</v>
      </c>
      <c r="S298">
        <f>VLOOKUP($A298,'Niteesh''s data'!$A$2:$I$313,7,FALSE)</f>
        <v>2096.9499510000001</v>
      </c>
      <c r="T298">
        <f>VLOOKUP($A298,'Niteesh''s data'!$A$2:$I$313,8,FALSE)</f>
        <v>78883600000</v>
      </c>
      <c r="U298">
        <f>VLOOKUP($A298,'Niteesh''s data'!$A$2:$I$313,9,FALSE)</f>
        <v>7.4000000000000003E-3</v>
      </c>
      <c r="V298" s="8">
        <f>VLOOKUP(A298,'Existing home Sales'!$A$2:$C$324,3,FALSE)</f>
        <v>5.45</v>
      </c>
      <c r="W298" s="8">
        <v>1</v>
      </c>
      <c r="X298" s="8">
        <f>IFERROR(VLOOKUP(A298,'Home Depot Gross Profit'!$A$1:$B$105,2,FALSE)/3,IF(W298=2,X297/3,X297))</f>
        <v>2597</v>
      </c>
      <c r="Y298" s="8">
        <f>IFERROR(VLOOKUP(A298,'LOWE''S GROSS PROFIT'!$A$1:$B$105,2,FALSE)/3,IF(X298=2,Y297/3,Y297))</f>
        <v>1779</v>
      </c>
      <c r="Z298" s="8">
        <v>3.59499999999999</v>
      </c>
      <c r="AA298" s="8">
        <v>6693</v>
      </c>
      <c r="AB298" s="8">
        <f>VLOOKUP(A298,'[1]Fed_Int (1)'!$A$2:$B$316,2,FALSE)</f>
        <v>0.37</v>
      </c>
      <c r="AC298" s="8">
        <v>134.36999499999999</v>
      </c>
      <c r="AD298" s="8">
        <v>137.820007</v>
      </c>
      <c r="AE298" s="8">
        <v>130.020004</v>
      </c>
      <c r="AF298" s="8">
        <v>132.11999499999999</v>
      </c>
      <c r="AG298" s="8">
        <v>126.427521</v>
      </c>
      <c r="AH298" s="8">
        <v>112324000</v>
      </c>
      <c r="AI298" s="8">
        <v>75.330001999999993</v>
      </c>
      <c r="AJ298" s="8">
        <v>80.690002000000007</v>
      </c>
      <c r="AK298" s="8">
        <v>74.559997999999993</v>
      </c>
      <c r="AL298" s="8">
        <v>80.129997000000003</v>
      </c>
      <c r="AM298" s="8">
        <v>77.542914999999994</v>
      </c>
      <c r="AN298" s="8">
        <v>107373600</v>
      </c>
    </row>
    <row r="299" spans="1:40" x14ac:dyDescent="0.35">
      <c r="A299" s="1">
        <v>42522</v>
      </c>
      <c r="B299" s="7">
        <f t="shared" si="8"/>
        <v>6</v>
      </c>
      <c r="C299" s="7">
        <f t="shared" si="15"/>
        <v>2016</v>
      </c>
      <c r="D299" s="2">
        <v>29284</v>
      </c>
      <c r="E299">
        <f>VLOOKUP(A299,PSR!$A$12:$B$721,2,FALSE)</f>
        <v>5.0999999999999996</v>
      </c>
      <c r="F299">
        <f>VLOOKUP(A299,CCI_USA!$F$2:$H$317,3,FALSE)</f>
        <v>100.6709</v>
      </c>
      <c r="G299">
        <f>INDEX('BLS Data Series'!$A$11:$M$39,MATCH('UI Datathon Development'!C299,'BLS Data Series'!$A$13:$A$39,0)+2,MATCH('UI Datathon Development'!B299,'BLS Data Series'!$B$11:$M$11,0)+1)</f>
        <v>4.9000000000000004</v>
      </c>
      <c r="H299">
        <f>VLOOKUP(A299,'Houses for sale'!$B$10:$I$671,8,FALSE)</f>
        <v>243</v>
      </c>
      <c r="I299">
        <f>VLOOKUP(A299,'House starts'!$A$12:$B$325,2,FALSE)</f>
        <v>1190</v>
      </c>
      <c r="J299">
        <f>VLOOKUP(A299,'New house sales'!$A$13:$C$324,3,FALSE)</f>
        <v>311200</v>
      </c>
      <c r="K299">
        <f>VLOOKUP($A299,'Sreenath''s data'!$A$2:$F$313,3,FALSE)</f>
        <v>182.05099999999999</v>
      </c>
      <c r="L299">
        <f>VLOOKUP($A299,'Sreenath''s data'!$A$2:$F$313,4,FALSE)</f>
        <v>12643</v>
      </c>
      <c r="M299">
        <f>VLOOKUP($A299,'Sreenath''s data'!$A$2:$F$313,5,FALSE)</f>
        <v>118215</v>
      </c>
      <c r="N299">
        <f>VLOOKUP($A299,'Sreenath''s data'!$A$2:$F$313,6,FALSE)</f>
        <v>115.952987176565</v>
      </c>
      <c r="O299">
        <f>VLOOKUP($A299,'Niteesh''s data'!$A$2:$I$313,3,FALSE)</f>
        <v>2093.9399410000001</v>
      </c>
      <c r="P299">
        <f>VLOOKUP($A299,'Niteesh''s data'!$A$2:$I$313,4,FALSE)</f>
        <v>2120.5500489999999</v>
      </c>
      <c r="Q299">
        <f>VLOOKUP($A299,'Niteesh''s data'!$A$2:$I$313,5,FALSE)</f>
        <v>1991.6800539999999</v>
      </c>
      <c r="R299">
        <f>VLOOKUP($A299,'Niteesh''s data'!$A$2:$I$313,6,FALSE)</f>
        <v>2098.860107</v>
      </c>
      <c r="S299">
        <f>VLOOKUP($A299,'Niteesh''s data'!$A$2:$I$313,7,FALSE)</f>
        <v>2098.860107</v>
      </c>
      <c r="T299">
        <f>VLOOKUP($A299,'Niteesh''s data'!$A$2:$I$313,8,FALSE)</f>
        <v>86852700000</v>
      </c>
      <c r="U299">
        <f>VLOOKUP($A299,'Niteesh''s data'!$A$2:$I$313,9,FALSE)</f>
        <v>7.4000000000000003E-3</v>
      </c>
      <c r="V299" s="8">
        <f>VLOOKUP(A299,'Existing home Sales'!$A$2:$C$324,3,FALSE)</f>
        <v>5.53</v>
      </c>
      <c r="W299" s="8">
        <v>1</v>
      </c>
      <c r="X299" s="8">
        <f>IFERROR(VLOOKUP(A299,'Home Depot Gross Profit'!$A$1:$B$105,2,FALSE)/3,IF(W299=2,X298/3,X298))</f>
        <v>2597</v>
      </c>
      <c r="Y299" s="8">
        <f>IFERROR(VLOOKUP(A299,'LOWE''S GROSS PROFIT'!$A$1:$B$105,2,FALSE)/3,IF(X299=2,Y298/3,Y298))</f>
        <v>1779</v>
      </c>
      <c r="Z299" s="8">
        <v>3.56</v>
      </c>
      <c r="AA299" s="8">
        <v>6698</v>
      </c>
      <c r="AB299" s="8">
        <f>VLOOKUP(A299,'[1]Fed_Int (1)'!$A$2:$B$316,2,FALSE)</f>
        <v>0.38</v>
      </c>
      <c r="AC299" s="8">
        <v>132.11999499999999</v>
      </c>
      <c r="AD299" s="8">
        <v>132.729996</v>
      </c>
      <c r="AE299" s="8">
        <v>123.620003</v>
      </c>
      <c r="AF299" s="8">
        <v>127.69000200000001</v>
      </c>
      <c r="AG299" s="8">
        <v>122.821106</v>
      </c>
      <c r="AH299" s="8">
        <v>114043800</v>
      </c>
      <c r="AI299" s="8">
        <v>80.129997000000003</v>
      </c>
      <c r="AJ299" s="8">
        <v>80.760002</v>
      </c>
      <c r="AK299" s="8">
        <v>75.349997999999999</v>
      </c>
      <c r="AL299" s="8">
        <v>79.169998000000007</v>
      </c>
      <c r="AM299" s="8">
        <v>76.613913999999994</v>
      </c>
      <c r="AN299" s="8">
        <v>113898500</v>
      </c>
    </row>
    <row r="300" spans="1:40" x14ac:dyDescent="0.35">
      <c r="A300" s="1">
        <v>42552</v>
      </c>
      <c r="B300" s="7">
        <f t="shared" si="8"/>
        <v>7</v>
      </c>
      <c r="C300" s="7">
        <f t="shared" si="15"/>
        <v>2016</v>
      </c>
      <c r="D300" s="2">
        <v>29026</v>
      </c>
      <c r="E300">
        <f>VLOOKUP(A300,PSR!$A$12:$B$721,2,FALSE)</f>
        <v>5.0999999999999996</v>
      </c>
      <c r="F300">
        <f>VLOOKUP(A300,CCI_USA!$F$2:$H$317,3,FALSE)</f>
        <v>100.5247</v>
      </c>
      <c r="G300">
        <f>INDEX('BLS Data Series'!$A$11:$M$39,MATCH('UI Datathon Development'!C300,'BLS Data Series'!$A$13:$A$39,0)+2,MATCH('UI Datathon Development'!B300,'BLS Data Series'!$B$11:$M$11,0)+1)</f>
        <v>4.9000000000000004</v>
      </c>
      <c r="H300">
        <f>VLOOKUP(A300,'Houses for sale'!$B$10:$I$671,8,FALSE)</f>
        <v>237</v>
      </c>
      <c r="I300">
        <f>VLOOKUP(A300,'House starts'!$A$12:$B$325,2,FALSE)</f>
        <v>1223</v>
      </c>
      <c r="J300">
        <f>VLOOKUP(A300,'New house sales'!$A$13:$C$324,3,FALSE)</f>
        <v>297400</v>
      </c>
      <c r="K300">
        <f>VLOOKUP($A300,'Sreenath''s data'!$A$2:$F$313,3,FALSE)</f>
        <v>183.17699999999999</v>
      </c>
      <c r="L300">
        <f>VLOOKUP($A300,'Sreenath''s data'!$A$2:$F$313,4,FALSE)</f>
        <v>12663.5</v>
      </c>
      <c r="M300">
        <f>VLOOKUP($A300,'Sreenath''s data'!$A$2:$F$313,5,FALSE)</f>
        <v>118467</v>
      </c>
      <c r="N300">
        <f>VLOOKUP($A300,'Sreenath''s data'!$A$2:$F$313,6,FALSE)</f>
        <v>116.24121503884901</v>
      </c>
      <c r="O300">
        <f>VLOOKUP($A300,'Niteesh''s data'!$A$2:$I$313,3,FALSE)</f>
        <v>2099.3400879999999</v>
      </c>
      <c r="P300">
        <f>VLOOKUP($A300,'Niteesh''s data'!$A$2:$I$313,4,FALSE)</f>
        <v>2177.0900879999999</v>
      </c>
      <c r="Q300">
        <f>VLOOKUP($A300,'Niteesh''s data'!$A$2:$I$313,5,FALSE)</f>
        <v>2074.0200199999999</v>
      </c>
      <c r="R300">
        <f>VLOOKUP($A300,'Niteesh''s data'!$A$2:$I$313,6,FALSE)</f>
        <v>2173.6000979999999</v>
      </c>
      <c r="S300">
        <f>VLOOKUP($A300,'Niteesh''s data'!$A$2:$I$313,7,FALSE)</f>
        <v>2173.6000979999999</v>
      </c>
      <c r="T300">
        <f>VLOOKUP($A300,'Niteesh''s data'!$A$2:$I$313,8,FALSE)</f>
        <v>69530250000</v>
      </c>
      <c r="U300">
        <f>VLOOKUP($A300,'Niteesh''s data'!$A$2:$I$313,9,FALSE)</f>
        <v>7.4000000000000003E-3</v>
      </c>
      <c r="V300" s="8">
        <f>VLOOKUP(A300,'Existing home Sales'!$A$2:$C$324,3,FALSE)</f>
        <v>5.57</v>
      </c>
      <c r="W300" s="8">
        <v>1</v>
      </c>
      <c r="X300" s="8">
        <f>IFERROR(VLOOKUP(A300,'Home Depot Gross Profit'!$A$1:$B$105,2,FALSE)/3,IF(W300=2,X299/3,X299))</f>
        <v>2975.6666666666665</v>
      </c>
      <c r="Y300" s="8">
        <f>IFERROR(VLOOKUP(A300,'LOWE''S GROSS PROFIT'!$A$1:$B$105,2,FALSE)/3,IF(X300=2,Y299/3,Y299))</f>
        <v>2096</v>
      </c>
      <c r="Z300" s="8">
        <v>3.4350000000000001</v>
      </c>
      <c r="AA300" s="8">
        <v>6728</v>
      </c>
      <c r="AB300" s="8">
        <f>VLOOKUP(A300,'[1]Fed_Int (1)'!$A$2:$B$316,2,FALSE)</f>
        <v>0.39</v>
      </c>
      <c r="AC300" s="8">
        <v>128.28999300000001</v>
      </c>
      <c r="AD300" s="8">
        <v>138.720001</v>
      </c>
      <c r="AE300" s="8">
        <v>128.11999499999999</v>
      </c>
      <c r="AF300" s="8">
        <v>138.240005</v>
      </c>
      <c r="AG300" s="8">
        <v>132.968842</v>
      </c>
      <c r="AH300" s="8">
        <v>78385200</v>
      </c>
      <c r="AI300" s="8">
        <v>79.339995999999999</v>
      </c>
      <c r="AJ300" s="8">
        <v>83.650002000000001</v>
      </c>
      <c r="AK300" s="8">
        <v>78.819999999999993</v>
      </c>
      <c r="AL300" s="8">
        <v>82.279999000000004</v>
      </c>
      <c r="AM300" s="8">
        <v>79.623519999999999</v>
      </c>
      <c r="AN300" s="8">
        <v>86479200</v>
      </c>
    </row>
    <row r="301" spans="1:40" x14ac:dyDescent="0.35">
      <c r="A301" s="1">
        <v>42583</v>
      </c>
      <c r="B301" s="7">
        <f t="shared" si="8"/>
        <v>8</v>
      </c>
      <c r="C301" s="7">
        <f t="shared" si="15"/>
        <v>2016</v>
      </c>
      <c r="D301" s="2">
        <v>28986</v>
      </c>
      <c r="E301">
        <f>VLOOKUP(A301,PSR!$A$12:$B$721,2,FALSE)</f>
        <v>4.9000000000000004</v>
      </c>
      <c r="F301">
        <f>VLOOKUP(A301,CCI_USA!$F$2:$H$317,3,FALSE)</f>
        <v>100.4191</v>
      </c>
      <c r="G301">
        <f>INDEX('BLS Data Series'!$A$11:$M$39,MATCH('UI Datathon Development'!C301,'BLS Data Series'!$A$13:$A$39,0)+2,MATCH('UI Datathon Development'!B301,'BLS Data Series'!$B$11:$M$11,0)+1)</f>
        <v>4.9000000000000004</v>
      </c>
      <c r="H301">
        <f>VLOOKUP(A301,'Houses for sale'!$B$10:$I$671,8,FALSE)</f>
        <v>241</v>
      </c>
      <c r="I301">
        <f>VLOOKUP(A301,'House starts'!$A$12:$B$325,2,FALSE)</f>
        <v>1164</v>
      </c>
      <c r="J301">
        <f>VLOOKUP(A301,'New house sales'!$A$13:$C$324,3,FALSE)</f>
        <v>298900</v>
      </c>
      <c r="K301">
        <f>VLOOKUP($A301,'Sreenath''s data'!$A$2:$F$313,3,FALSE)</f>
        <v>183.83099999999999</v>
      </c>
      <c r="L301">
        <f>VLOOKUP($A301,'Sreenath''s data'!$A$2:$F$313,4,FALSE)</f>
        <v>12646</v>
      </c>
      <c r="M301">
        <f>VLOOKUP($A301,'Sreenath''s data'!$A$2:$F$313,5,FALSE)</f>
        <v>118294</v>
      </c>
      <c r="N301">
        <f>VLOOKUP($A301,'Sreenath''s data'!$A$2:$F$313,6,FALSE)</f>
        <v>116.576965725612</v>
      </c>
      <c r="O301">
        <f>VLOOKUP($A301,'Niteesh''s data'!$A$2:$I$313,3,FALSE)</f>
        <v>2173.1499020000001</v>
      </c>
      <c r="P301">
        <f>VLOOKUP($A301,'Niteesh''s data'!$A$2:$I$313,4,FALSE)</f>
        <v>2193.8100589999999</v>
      </c>
      <c r="Q301">
        <f>VLOOKUP($A301,'Niteesh''s data'!$A$2:$I$313,5,FALSE)</f>
        <v>2147.580078</v>
      </c>
      <c r="R301">
        <f>VLOOKUP($A301,'Niteesh''s data'!$A$2:$I$313,6,FALSE)</f>
        <v>2170.9499510000001</v>
      </c>
      <c r="S301">
        <f>VLOOKUP($A301,'Niteesh''s data'!$A$2:$I$313,7,FALSE)</f>
        <v>2170.9499510000001</v>
      </c>
      <c r="T301">
        <f>VLOOKUP($A301,'Niteesh''s data'!$A$2:$I$313,8,FALSE)</f>
        <v>75610310000</v>
      </c>
      <c r="U301">
        <f>VLOOKUP($A301,'Niteesh''s data'!$A$2:$I$313,9,FALSE)</f>
        <v>7.3000000000000001E-3</v>
      </c>
      <c r="V301" s="8">
        <f>VLOOKUP(A301,'Existing home Sales'!$A$2:$C$324,3,FALSE)</f>
        <v>5.39</v>
      </c>
      <c r="W301" s="8">
        <v>1</v>
      </c>
      <c r="X301" s="8">
        <f>IFERROR(VLOOKUP(A301,'Home Depot Gross Profit'!$A$1:$B$105,2,FALSE)/3,IF(W301=2,X300/3,X300))</f>
        <v>2975.6666666666665</v>
      </c>
      <c r="Y301" s="8">
        <f>IFERROR(VLOOKUP(A301,'LOWE''S GROSS PROFIT'!$A$1:$B$105,2,FALSE)/3,IF(X301=2,Y300/3,Y300))</f>
        <v>2096</v>
      </c>
      <c r="Z301" s="8">
        <v>3.43</v>
      </c>
      <c r="AA301" s="8">
        <v>6731</v>
      </c>
      <c r="AB301" s="8">
        <f>VLOOKUP(A301,'[1]Fed_Int (1)'!$A$2:$B$316,2,FALSE)</f>
        <v>0.4</v>
      </c>
      <c r="AC301" s="8">
        <v>138.05999800000001</v>
      </c>
      <c r="AD301" s="8">
        <v>139</v>
      </c>
      <c r="AE301" s="8">
        <v>133.60000600000001</v>
      </c>
      <c r="AF301" s="8">
        <v>134.11999499999999</v>
      </c>
      <c r="AG301" s="8">
        <v>129.00593599999999</v>
      </c>
      <c r="AH301" s="8">
        <v>91252700</v>
      </c>
      <c r="AI301" s="8">
        <v>81.910004000000001</v>
      </c>
      <c r="AJ301" s="8">
        <v>82.68</v>
      </c>
      <c r="AK301" s="8">
        <v>75.809997999999993</v>
      </c>
      <c r="AL301" s="8">
        <v>76.559997999999993</v>
      </c>
      <c r="AM301" s="8">
        <v>74.407066</v>
      </c>
      <c r="AN301" s="8">
        <v>114156900</v>
      </c>
    </row>
    <row r="302" spans="1:40" x14ac:dyDescent="0.35">
      <c r="A302" s="1">
        <v>42614</v>
      </c>
      <c r="B302" s="7">
        <f t="shared" si="8"/>
        <v>9</v>
      </c>
      <c r="C302" s="7">
        <f t="shared" si="15"/>
        <v>2016</v>
      </c>
      <c r="D302" s="2">
        <v>29186</v>
      </c>
      <c r="E302">
        <f>VLOOKUP(A302,PSR!$A$12:$B$721,2,FALSE)</f>
        <v>4.5</v>
      </c>
      <c r="F302">
        <f>VLOOKUP(A302,CCI_USA!$F$2:$H$317,3,FALSE)</f>
        <v>100.4</v>
      </c>
      <c r="G302">
        <f>INDEX('BLS Data Series'!$A$11:$M$39,MATCH('UI Datathon Development'!C302,'BLS Data Series'!$A$13:$A$39,0)+2,MATCH('UI Datathon Development'!B302,'BLS Data Series'!$B$11:$M$11,0)+1)</f>
        <v>5</v>
      </c>
      <c r="H302">
        <f>VLOOKUP(A302,'Houses for sale'!$B$10:$I$671,8,FALSE)</f>
        <v>242</v>
      </c>
      <c r="I302">
        <f>VLOOKUP(A302,'House starts'!$A$12:$B$325,2,FALSE)</f>
        <v>1062</v>
      </c>
      <c r="J302">
        <f>VLOOKUP(A302,'New house sales'!$A$13:$C$324,3,FALSE)</f>
        <v>314800</v>
      </c>
      <c r="K302">
        <f>VLOOKUP($A302,'Sreenath''s data'!$A$2:$F$313,3,FALSE)</f>
        <v>184.13200000000001</v>
      </c>
      <c r="L302">
        <f>VLOOKUP($A302,'Sreenath''s data'!$A$2:$F$313,4,FALSE)</f>
        <v>12638.3</v>
      </c>
      <c r="M302">
        <f>VLOOKUP($A302,'Sreenath''s data'!$A$2:$F$313,5,FALSE)</f>
        <v>119026</v>
      </c>
      <c r="N302">
        <f>VLOOKUP($A302,'Sreenath''s data'!$A$2:$F$313,6,FALSE)</f>
        <v>116.92005733648099</v>
      </c>
      <c r="O302">
        <f>VLOOKUP($A302,'Niteesh''s data'!$A$2:$I$313,3,FALSE)</f>
        <v>2171.330078</v>
      </c>
      <c r="P302">
        <f>VLOOKUP($A302,'Niteesh''s data'!$A$2:$I$313,4,FALSE)</f>
        <v>2187.8701169999999</v>
      </c>
      <c r="Q302">
        <f>VLOOKUP($A302,'Niteesh''s data'!$A$2:$I$313,5,FALSE)</f>
        <v>2119.1201169999999</v>
      </c>
      <c r="R302">
        <f>VLOOKUP($A302,'Niteesh''s data'!$A$2:$I$313,6,FALSE)</f>
        <v>2168.2700199999999</v>
      </c>
      <c r="S302">
        <f>VLOOKUP($A302,'Niteesh''s data'!$A$2:$I$313,7,FALSE)</f>
        <v>2168.2700199999999</v>
      </c>
      <c r="T302">
        <f>VLOOKUP($A302,'Niteesh''s data'!$A$2:$I$313,8,FALSE)</f>
        <v>77270240000</v>
      </c>
      <c r="U302">
        <f>VLOOKUP($A302,'Niteesh''s data'!$A$2:$I$313,9,FALSE)</f>
        <v>7.3000000000000001E-3</v>
      </c>
      <c r="V302" s="8">
        <f>VLOOKUP(A302,'Existing home Sales'!$A$2:$C$324,3,FALSE)</f>
        <v>5.33</v>
      </c>
      <c r="W302" s="8">
        <v>1</v>
      </c>
      <c r="X302" s="8">
        <f>IFERROR(VLOOKUP(A302,'Home Depot Gross Profit'!$A$1:$B$105,2,FALSE)/3,IF(W302=2,X301/3,X301))</f>
        <v>2975.6666666666665</v>
      </c>
      <c r="Y302" s="8">
        <f>IFERROR(VLOOKUP(A302,'LOWE''S GROSS PROFIT'!$A$1:$B$105,2,FALSE)/3,IF(X302=2,Y301/3,Y301))</f>
        <v>2096</v>
      </c>
      <c r="Z302" s="8">
        <v>3.46</v>
      </c>
      <c r="AA302" s="8">
        <v>6763</v>
      </c>
      <c r="AB302" s="8">
        <f>VLOOKUP(A302,'[1]Fed_Int (1)'!$A$2:$B$316,2,FALSE)</f>
        <v>0.4</v>
      </c>
      <c r="AC302" s="8">
        <v>134.479996</v>
      </c>
      <c r="AD302" s="8">
        <v>135.88000500000001</v>
      </c>
      <c r="AE302" s="8">
        <v>125.349998</v>
      </c>
      <c r="AF302" s="8">
        <v>128.679993</v>
      </c>
      <c r="AG302" s="8">
        <v>124.408089</v>
      </c>
      <c r="AH302" s="8">
        <v>107663500</v>
      </c>
      <c r="AI302" s="8">
        <v>76.690002000000007</v>
      </c>
      <c r="AJ302" s="8">
        <v>77.080001999999993</v>
      </c>
      <c r="AK302" s="8">
        <v>70.410004000000001</v>
      </c>
      <c r="AL302" s="8">
        <v>72.209998999999996</v>
      </c>
      <c r="AM302" s="8">
        <v>70.179389999999998</v>
      </c>
      <c r="AN302" s="8">
        <v>118306400</v>
      </c>
    </row>
    <row r="303" spans="1:40" x14ac:dyDescent="0.35">
      <c r="A303" s="1">
        <v>42644</v>
      </c>
      <c r="B303" s="7">
        <f t="shared" si="8"/>
        <v>10</v>
      </c>
      <c r="C303" s="7">
        <f t="shared" si="15"/>
        <v>2016</v>
      </c>
      <c r="D303" s="2">
        <v>29651</v>
      </c>
      <c r="E303">
        <f>VLOOKUP(A303,PSR!$A$12:$B$721,2,FALSE)</f>
        <v>4.0999999999999996</v>
      </c>
      <c r="F303">
        <f>VLOOKUP(A303,CCI_USA!$F$2:$H$317,3,FALSE)</f>
        <v>100.47669999999999</v>
      </c>
      <c r="G303">
        <f>INDEX('BLS Data Series'!$A$11:$M$39,MATCH('UI Datathon Development'!C303,'BLS Data Series'!$A$13:$A$39,0)+2,MATCH('UI Datathon Development'!B303,'BLS Data Series'!$B$11:$M$11,0)+1)</f>
        <v>4.9000000000000004</v>
      </c>
      <c r="H303">
        <f>VLOOKUP(A303,'Houses for sale'!$B$10:$I$671,8,FALSE)</f>
        <v>248</v>
      </c>
      <c r="I303">
        <f>VLOOKUP(A303,'House starts'!$A$12:$B$325,2,FALSE)</f>
        <v>1328</v>
      </c>
      <c r="J303">
        <f>VLOOKUP(A303,'New house sales'!$A$13:$C$324,3,FALSE)</f>
        <v>302800</v>
      </c>
      <c r="K303">
        <f>VLOOKUP($A303,'Sreenath''s data'!$A$2:$F$313,3,FALSE)</f>
        <v>184.21299999999999</v>
      </c>
      <c r="L303">
        <f>VLOOKUP($A303,'Sreenath''s data'!$A$2:$F$313,4,FALSE)</f>
        <v>12613.4</v>
      </c>
      <c r="M303">
        <f>VLOOKUP($A303,'Sreenath''s data'!$A$2:$F$313,5,FALSE)</f>
        <v>118796</v>
      </c>
      <c r="N303">
        <f>VLOOKUP($A303,'Sreenath''s data'!$A$2:$F$313,6,FALSE)</f>
        <v>117.312603593962</v>
      </c>
      <c r="O303">
        <f>VLOOKUP($A303,'Niteesh''s data'!$A$2:$I$313,3,FALSE)</f>
        <v>2164.330078</v>
      </c>
      <c r="P303">
        <f>VLOOKUP($A303,'Niteesh''s data'!$A$2:$I$313,4,FALSE)</f>
        <v>2169.6000979999999</v>
      </c>
      <c r="Q303">
        <f>VLOOKUP($A303,'Niteesh''s data'!$A$2:$I$313,5,FALSE)</f>
        <v>2114.719971</v>
      </c>
      <c r="R303">
        <f>VLOOKUP($A303,'Niteesh''s data'!$A$2:$I$313,6,FALSE)</f>
        <v>2126.1499020000001</v>
      </c>
      <c r="S303">
        <f>VLOOKUP($A303,'Niteesh''s data'!$A$2:$I$313,7,FALSE)</f>
        <v>2126.1499020000001</v>
      </c>
      <c r="T303">
        <f>VLOOKUP($A303,'Niteesh''s data'!$A$2:$I$313,8,FALSE)</f>
        <v>73196630000</v>
      </c>
      <c r="U303">
        <f>VLOOKUP($A303,'Niteesh''s data'!$A$2:$I$313,9,FALSE)</f>
        <v>7.3000000000000001E-3</v>
      </c>
      <c r="V303" s="8">
        <f>VLOOKUP(A303,'Existing home Sales'!$A$2:$C$324,3,FALSE)</f>
        <v>5.47</v>
      </c>
      <c r="W303" s="8">
        <v>1</v>
      </c>
      <c r="X303" s="8">
        <f>IFERROR(VLOOKUP(A303,'Home Depot Gross Profit'!$A$1:$B$105,2,FALSE)/3,IF(W303=2,X302/3,X302))</f>
        <v>2680.6666666666665</v>
      </c>
      <c r="Y303" s="8">
        <f>IFERROR(VLOOKUP(A303,'LOWE''S GROSS PROFIT'!$A$1:$B$105,2,FALSE)/3,IF(X303=2,Y302/3,Y302))</f>
        <v>1802.3333333333333</v>
      </c>
      <c r="Z303" s="8">
        <v>3.47</v>
      </c>
      <c r="AA303" s="8">
        <v>6787</v>
      </c>
      <c r="AB303" s="8">
        <f>VLOOKUP(A303,'[1]Fed_Int (1)'!$A$2:$B$316,2,FALSE)</f>
        <v>0.4</v>
      </c>
      <c r="AC303" s="8">
        <v>128.199997</v>
      </c>
      <c r="AD303" s="8">
        <v>130.449997</v>
      </c>
      <c r="AE303" s="8">
        <v>121.620003</v>
      </c>
      <c r="AF303" s="8">
        <v>122.010002</v>
      </c>
      <c r="AG303" s="8">
        <v>117.959518</v>
      </c>
      <c r="AH303" s="8">
        <v>97281100</v>
      </c>
      <c r="AI303" s="8">
        <v>72.059997999999993</v>
      </c>
      <c r="AJ303" s="8">
        <v>73.220000999999996</v>
      </c>
      <c r="AK303" s="8">
        <v>66.379997000000003</v>
      </c>
      <c r="AL303" s="8">
        <v>66.650002000000001</v>
      </c>
      <c r="AM303" s="8">
        <v>64.775734</v>
      </c>
      <c r="AN303" s="8">
        <v>125702700</v>
      </c>
    </row>
    <row r="304" spans="1:40" x14ac:dyDescent="0.35">
      <c r="A304" s="1">
        <v>42675</v>
      </c>
      <c r="B304" s="7">
        <f t="shared" si="8"/>
        <v>11</v>
      </c>
      <c r="C304" s="7">
        <f t="shared" si="15"/>
        <v>2016</v>
      </c>
      <c r="D304" s="2">
        <v>29797</v>
      </c>
      <c r="E304">
        <f>VLOOKUP(A304,PSR!$A$12:$B$721,2,FALSE)</f>
        <v>3.7</v>
      </c>
      <c r="F304">
        <f>VLOOKUP(A304,CCI_USA!$F$2:$H$317,3,FALSE)</f>
        <v>100.8048</v>
      </c>
      <c r="G304">
        <f>INDEX('BLS Data Series'!$A$11:$M$39,MATCH('UI Datathon Development'!C304,'BLS Data Series'!$A$13:$A$39,0)+2,MATCH('UI Datathon Development'!B304,'BLS Data Series'!$B$11:$M$11,0)+1)</f>
        <v>4.5999999999999996</v>
      </c>
      <c r="H304">
        <f>VLOOKUP(A304,'Houses for sale'!$B$10:$I$671,8,FALSE)</f>
        <v>248</v>
      </c>
      <c r="I304">
        <f>VLOOKUP(A304,'House starts'!$A$12:$B$325,2,FALSE)</f>
        <v>1149</v>
      </c>
      <c r="J304">
        <f>VLOOKUP(A304,'New house sales'!$A$13:$C$324,3,FALSE)</f>
        <v>315000</v>
      </c>
      <c r="K304">
        <f>VLOOKUP($A304,'Sreenath''s data'!$A$2:$F$313,3,FALSE)</f>
        <v>184.43799999999999</v>
      </c>
      <c r="L304">
        <f>VLOOKUP($A304,'Sreenath''s data'!$A$2:$F$313,4,FALSE)</f>
        <v>12589.4</v>
      </c>
      <c r="M304">
        <f>VLOOKUP($A304,'Sreenath''s data'!$A$2:$F$313,5,FALSE)</f>
        <v>118654</v>
      </c>
      <c r="N304">
        <f>VLOOKUP($A304,'Sreenath''s data'!$A$2:$F$313,6,FALSE)</f>
        <v>117.532831317155</v>
      </c>
      <c r="O304">
        <f>VLOOKUP($A304,'Niteesh''s data'!$A$2:$I$313,3,FALSE)</f>
        <v>2128.679932</v>
      </c>
      <c r="P304">
        <f>VLOOKUP($A304,'Niteesh''s data'!$A$2:$I$313,4,FALSE)</f>
        <v>2214.1000979999999</v>
      </c>
      <c r="Q304">
        <f>VLOOKUP($A304,'Niteesh''s data'!$A$2:$I$313,5,FALSE)</f>
        <v>2083.790039</v>
      </c>
      <c r="R304">
        <f>VLOOKUP($A304,'Niteesh''s data'!$A$2:$I$313,6,FALSE)</f>
        <v>2198.8100589999999</v>
      </c>
      <c r="S304">
        <f>VLOOKUP($A304,'Niteesh''s data'!$A$2:$I$313,7,FALSE)</f>
        <v>2198.8100589999999</v>
      </c>
      <c r="T304">
        <f>VLOOKUP($A304,'Niteesh''s data'!$A$2:$I$313,8,FALSE)</f>
        <v>88299760000</v>
      </c>
      <c r="U304">
        <f>VLOOKUP($A304,'Niteesh''s data'!$A$2:$I$313,9,FALSE)</f>
        <v>7.3000000000000001E-3</v>
      </c>
      <c r="V304" s="8">
        <f>VLOOKUP(A304,'Existing home Sales'!$A$2:$C$324,3,FALSE)</f>
        <v>5.6</v>
      </c>
      <c r="W304" s="8">
        <v>1</v>
      </c>
      <c r="X304" s="8">
        <f>IFERROR(VLOOKUP(A304,'Home Depot Gross Profit'!$A$1:$B$105,2,FALSE)/3,IF(W304=2,X303/3,X303))</f>
        <v>2680.6666666666665</v>
      </c>
      <c r="Y304" s="8">
        <f>IFERROR(VLOOKUP(A304,'LOWE''S GROSS PROFIT'!$A$1:$B$105,2,FALSE)/3,IF(X304=2,Y303/3,Y303))</f>
        <v>1802.3333333333333</v>
      </c>
      <c r="Z304" s="8">
        <v>3.7549999999999999</v>
      </c>
      <c r="AA304" s="8">
        <v>6811</v>
      </c>
      <c r="AB304" s="8">
        <f>VLOOKUP(A304,'[1]Fed_Int (1)'!$A$2:$B$316,2,FALSE)</f>
        <v>0.41</v>
      </c>
      <c r="AC304" s="8">
        <v>121.69000200000001</v>
      </c>
      <c r="AD304" s="8">
        <v>132.13999899999999</v>
      </c>
      <c r="AE304" s="8">
        <v>119.199997</v>
      </c>
      <c r="AF304" s="8">
        <v>129.39999399999999</v>
      </c>
      <c r="AG304" s="8">
        <v>125.104187</v>
      </c>
      <c r="AH304" s="8">
        <v>133494900</v>
      </c>
      <c r="AI304" s="8">
        <v>66.440002000000007</v>
      </c>
      <c r="AJ304" s="8">
        <v>72.370002999999997</v>
      </c>
      <c r="AK304" s="8">
        <v>64.870002999999997</v>
      </c>
      <c r="AL304" s="8">
        <v>70.550003000000004</v>
      </c>
      <c r="AM304" s="8">
        <v>68.904076000000003</v>
      </c>
      <c r="AN304" s="8">
        <v>156044200</v>
      </c>
    </row>
    <row r="305" spans="1:40" x14ac:dyDescent="0.35">
      <c r="A305" s="1">
        <v>42705</v>
      </c>
      <c r="B305" s="7">
        <f t="shared" si="8"/>
        <v>12</v>
      </c>
      <c r="C305" s="7">
        <f t="shared" si="15"/>
        <v>2016</v>
      </c>
      <c r="D305" s="2">
        <v>29760</v>
      </c>
      <c r="E305">
        <f>VLOOKUP(A305,PSR!$A$12:$B$721,2,FALSE)</f>
        <v>3.2</v>
      </c>
      <c r="F305">
        <f>VLOOKUP(A305,CCI_USA!$F$2:$H$317,3,FALSE)</f>
        <v>101.14109999999999</v>
      </c>
      <c r="G305">
        <f>INDEX('BLS Data Series'!$A$11:$M$39,MATCH('UI Datathon Development'!C305,'BLS Data Series'!$A$13:$A$39,0)+2,MATCH('UI Datathon Development'!B305,'BLS Data Series'!$B$11:$M$11,0)+1)</f>
        <v>4.7</v>
      </c>
      <c r="H305">
        <f>VLOOKUP(A305,'Houses for sale'!$B$10:$I$671,8,FALSE)</f>
        <v>256</v>
      </c>
      <c r="I305">
        <f>VLOOKUP(A305,'House starts'!$A$12:$B$325,2,FALSE)</f>
        <v>1268</v>
      </c>
      <c r="J305">
        <f>VLOOKUP(A305,'New house sales'!$A$13:$C$324,3,FALSE)</f>
        <v>327000</v>
      </c>
      <c r="K305">
        <f>VLOOKUP($A305,'Sreenath''s data'!$A$2:$F$313,3,FALSE)</f>
        <v>184.62899999999999</v>
      </c>
      <c r="L305">
        <f>VLOOKUP($A305,'Sreenath''s data'!$A$2:$F$313,4,FALSE)</f>
        <v>12569.9</v>
      </c>
      <c r="M305">
        <f>VLOOKUP($A305,'Sreenath''s data'!$A$2:$F$313,5,FALSE)</f>
        <v>118478</v>
      </c>
      <c r="N305">
        <f>VLOOKUP($A305,'Sreenath''s data'!$A$2:$F$313,6,FALSE)</f>
        <v>117.799422771547</v>
      </c>
      <c r="O305">
        <f>VLOOKUP($A305,'Niteesh''s data'!$A$2:$I$313,3,FALSE)</f>
        <v>2200.169922</v>
      </c>
      <c r="P305">
        <f>VLOOKUP($A305,'Niteesh''s data'!$A$2:$I$313,4,FALSE)</f>
        <v>2277.530029</v>
      </c>
      <c r="Q305">
        <f>VLOOKUP($A305,'Niteesh''s data'!$A$2:$I$313,5,FALSE)</f>
        <v>2187.4399410000001</v>
      </c>
      <c r="R305">
        <f>VLOOKUP($A305,'Niteesh''s data'!$A$2:$I$313,6,FALSE)</f>
        <v>2238.830078</v>
      </c>
      <c r="S305">
        <f>VLOOKUP($A305,'Niteesh''s data'!$A$2:$I$313,7,FALSE)</f>
        <v>2238.830078</v>
      </c>
      <c r="T305">
        <f>VLOOKUP($A305,'Niteesh''s data'!$A$2:$I$313,8,FALSE)</f>
        <v>75251240000</v>
      </c>
      <c r="U305">
        <f>VLOOKUP($A305,'Niteesh''s data'!$A$2:$I$313,9,FALSE)</f>
        <v>7.1999999999999998E-3</v>
      </c>
      <c r="V305" s="8">
        <f>VLOOKUP(A305,'Existing home Sales'!$A$2:$C$324,3,FALSE)</f>
        <v>5.61</v>
      </c>
      <c r="W305" s="8">
        <v>1</v>
      </c>
      <c r="X305" s="8">
        <f>IFERROR(VLOOKUP(A305,'Home Depot Gross Profit'!$A$1:$B$105,2,FALSE)/3,IF(W305=2,X304/3,X304))</f>
        <v>2680.6666666666665</v>
      </c>
      <c r="Y305" s="8">
        <f>IFERROR(VLOOKUP(A305,'LOWE''S GROSS PROFIT'!$A$1:$B$105,2,FALSE)/3,IF(X305=2,Y304/3,Y304))</f>
        <v>1802.3333333333333</v>
      </c>
      <c r="Z305" s="8">
        <v>4.16</v>
      </c>
      <c r="AA305" s="8">
        <v>6822</v>
      </c>
      <c r="AB305" s="8">
        <f>VLOOKUP(A305,'[1]Fed_Int (1)'!$A$2:$B$316,2,FALSE)</f>
        <v>0.54</v>
      </c>
      <c r="AC305" s="8">
        <v>129.33999600000001</v>
      </c>
      <c r="AD305" s="8">
        <v>137.320007</v>
      </c>
      <c r="AE305" s="8">
        <v>128.679993</v>
      </c>
      <c r="AF305" s="8">
        <v>134.08000200000001</v>
      </c>
      <c r="AG305" s="8">
        <v>130.317139</v>
      </c>
      <c r="AH305" s="8">
        <v>99351900</v>
      </c>
      <c r="AI305" s="8">
        <v>70.339995999999999</v>
      </c>
      <c r="AJ305" s="8">
        <v>76.470000999999996</v>
      </c>
      <c r="AK305" s="8">
        <v>69.919998000000007</v>
      </c>
      <c r="AL305" s="8">
        <v>74.690002000000007</v>
      </c>
      <c r="AM305" s="8">
        <v>72.947486999999995</v>
      </c>
      <c r="AN305" s="8">
        <v>133965600</v>
      </c>
    </row>
    <row r="306" spans="1:40" x14ac:dyDescent="0.35">
      <c r="A306" s="1">
        <v>42736</v>
      </c>
      <c r="B306" s="7">
        <f t="shared" si="8"/>
        <v>1</v>
      </c>
      <c r="C306" s="7">
        <f t="shared" si="15"/>
        <v>2017</v>
      </c>
      <c r="D306" s="2">
        <v>30820</v>
      </c>
      <c r="E306">
        <f>VLOOKUP(A306,PSR!$A$12:$B$721,2,FALSE)</f>
        <v>3.7</v>
      </c>
      <c r="F306">
        <f>VLOOKUP(A306,CCI_USA!$F$2:$H$317,3,FALSE)</f>
        <v>101.28879999999999</v>
      </c>
      <c r="G306">
        <f>INDEX('BLS Data Series'!$A$11:$M$39,MATCH('UI Datathon Development'!C306,'BLS Data Series'!$A$13:$A$39,0)+2,MATCH('UI Datathon Development'!B306,'BLS Data Series'!$B$11:$M$11,0)+1)</f>
        <v>4.8</v>
      </c>
      <c r="H306">
        <f>VLOOKUP(A306,'Houses for sale'!$B$10:$I$671,8,FALSE)</f>
        <v>261</v>
      </c>
      <c r="I306">
        <f>VLOOKUP(A306,'House starts'!$A$12:$B$325,2,FALSE)</f>
        <v>1236</v>
      </c>
      <c r="J306">
        <f>VLOOKUP(A306,'New house sales'!$A$13:$C$324,3,FALSE)</f>
        <v>315200</v>
      </c>
      <c r="K306">
        <f>VLOOKUP($A306,'Sreenath''s data'!$A$2:$F$313,3,FALSE)</f>
        <v>184.88499999999999</v>
      </c>
      <c r="L306">
        <f>VLOOKUP($A306,'Sreenath''s data'!$A$2:$F$313,4,FALSE)</f>
        <v>12627.4</v>
      </c>
      <c r="M306">
        <f>VLOOKUP($A306,'Sreenath''s data'!$A$2:$F$313,5,FALSE)</f>
        <v>118799</v>
      </c>
      <c r="N306">
        <f>VLOOKUP($A306,'Sreenath''s data'!$A$2:$F$313,6,FALSE)</f>
        <v>118.185400833774</v>
      </c>
      <c r="O306">
        <f>VLOOKUP($A306,'Niteesh''s data'!$A$2:$I$313,3,FALSE)</f>
        <v>2251.570068</v>
      </c>
      <c r="P306">
        <f>VLOOKUP($A306,'Niteesh''s data'!$A$2:$I$313,4,FALSE)</f>
        <v>2300.98999</v>
      </c>
      <c r="Q306">
        <f>VLOOKUP($A306,'Niteesh''s data'!$A$2:$I$313,5,FALSE)</f>
        <v>2245.1298830000001</v>
      </c>
      <c r="R306">
        <f>VLOOKUP($A306,'Niteesh''s data'!$A$2:$I$313,6,FALSE)</f>
        <v>2278.8701169999999</v>
      </c>
      <c r="S306">
        <f>VLOOKUP($A306,'Niteesh''s data'!$A$2:$I$313,7,FALSE)</f>
        <v>2278.8701169999999</v>
      </c>
      <c r="T306">
        <f>VLOOKUP($A306,'Niteesh''s data'!$A$2:$I$313,8,FALSE)</f>
        <v>70483180000</v>
      </c>
      <c r="U306">
        <f>VLOOKUP($A306,'Niteesh''s data'!$A$2:$I$313,9,FALSE)</f>
        <v>7.3000000000000001E-3</v>
      </c>
      <c r="V306" s="8">
        <f>VLOOKUP(A306,'Existing home Sales'!$A$2:$C$324,3,FALSE)</f>
        <v>5.49</v>
      </c>
      <c r="W306" s="8">
        <v>1</v>
      </c>
      <c r="X306" s="8">
        <f>IFERROR(VLOOKUP(A306,'Home Depot Gross Profit'!$A$1:$B$105,2,FALSE)/3,IF(W306=2,X305/3,X305))</f>
        <v>2517.6666666666665</v>
      </c>
      <c r="Y306" s="8">
        <f>IFERROR(VLOOKUP(A306,'LOWE''S GROSS PROFIT'!$A$1:$B$105,2,FALSE)/3,IF(X306=2,Y305/3,Y305))</f>
        <v>1810.6666666666667</v>
      </c>
      <c r="Z306" s="8">
        <v>4.1550000000000002</v>
      </c>
      <c r="AA306" s="8">
        <v>6873</v>
      </c>
      <c r="AB306" s="8">
        <f>VLOOKUP(A306,'[1]Fed_Int (1)'!$A$2:$B$316,2,FALSE)</f>
        <v>0.65</v>
      </c>
      <c r="AC306" s="8">
        <v>135.10000600000001</v>
      </c>
      <c r="AD306" s="8">
        <v>139.36999499999999</v>
      </c>
      <c r="AE306" s="8">
        <v>133.050003</v>
      </c>
      <c r="AF306" s="8">
        <v>137.58000200000001</v>
      </c>
      <c r="AG306" s="8">
        <v>133.718887</v>
      </c>
      <c r="AH306" s="8">
        <v>83133300</v>
      </c>
      <c r="AI306" s="8">
        <v>71.709998999999996</v>
      </c>
      <c r="AJ306" s="8">
        <v>74.75</v>
      </c>
      <c r="AK306" s="8">
        <v>70.489998</v>
      </c>
      <c r="AL306" s="8">
        <v>73.080001999999993</v>
      </c>
      <c r="AM306" s="8">
        <v>71.375052999999994</v>
      </c>
      <c r="AN306" s="8">
        <v>104185600</v>
      </c>
    </row>
    <row r="307" spans="1:40" x14ac:dyDescent="0.35">
      <c r="A307" s="1">
        <v>42767</v>
      </c>
      <c r="B307" s="7">
        <f t="shared" si="8"/>
        <v>2</v>
      </c>
      <c r="C307" s="7">
        <f t="shared" si="15"/>
        <v>2017</v>
      </c>
      <c r="D307" s="2">
        <v>31359</v>
      </c>
      <c r="E307">
        <f>VLOOKUP(A307,PSR!$A$12:$B$721,2,FALSE)</f>
        <v>4.0999999999999996</v>
      </c>
      <c r="F307">
        <f>VLOOKUP(A307,CCI_USA!$F$2:$H$317,3,FALSE)</f>
        <v>101.2766</v>
      </c>
      <c r="G307">
        <f>INDEX('BLS Data Series'!$A$11:$M$39,MATCH('UI Datathon Development'!C307,'BLS Data Series'!$A$13:$A$39,0)+2,MATCH('UI Datathon Development'!B307,'BLS Data Series'!$B$11:$M$11,0)+1)</f>
        <v>4.7</v>
      </c>
      <c r="H307">
        <f>VLOOKUP(A307,'Houses for sale'!$B$10:$I$671,8,FALSE)</f>
        <v>263</v>
      </c>
      <c r="I307">
        <f>VLOOKUP(A307,'House starts'!$A$12:$B$325,2,FALSE)</f>
        <v>1288</v>
      </c>
      <c r="J307">
        <f>VLOOKUP(A307,'New house sales'!$A$13:$C$324,3,FALSE)</f>
        <v>298000</v>
      </c>
      <c r="K307">
        <f>VLOOKUP($A307,'Sreenath''s data'!$A$2:$F$313,3,FALSE)</f>
        <v>185.279</v>
      </c>
      <c r="L307">
        <f>VLOOKUP($A307,'Sreenath''s data'!$A$2:$F$313,4,FALSE)</f>
        <v>12672.3</v>
      </c>
      <c r="M307">
        <f>VLOOKUP($A307,'Sreenath''s data'!$A$2:$F$313,5,FALSE)</f>
        <v>119038</v>
      </c>
      <c r="N307">
        <f>VLOOKUP($A307,'Sreenath''s data'!$A$2:$F$313,6,FALSE)</f>
        <v>118.544719750563</v>
      </c>
      <c r="O307">
        <f>VLOOKUP($A307,'Niteesh''s data'!$A$2:$I$313,3,FALSE)</f>
        <v>2285.5900879999999</v>
      </c>
      <c r="P307">
        <f>VLOOKUP($A307,'Niteesh''s data'!$A$2:$I$313,4,FALSE)</f>
        <v>2371.540039</v>
      </c>
      <c r="Q307">
        <f>VLOOKUP($A307,'Niteesh''s data'!$A$2:$I$313,5,FALSE)</f>
        <v>2271.6499020000001</v>
      </c>
      <c r="R307">
        <f>VLOOKUP($A307,'Niteesh''s data'!$A$2:$I$313,6,FALSE)</f>
        <v>2363.639893</v>
      </c>
      <c r="S307">
        <f>VLOOKUP($A307,'Niteesh''s data'!$A$2:$I$313,7,FALSE)</f>
        <v>2363.639893</v>
      </c>
      <c r="T307">
        <f>VLOOKUP($A307,'Niteesh''s data'!$A$2:$I$313,8,FALSE)</f>
        <v>69162420000</v>
      </c>
      <c r="U307">
        <f>VLOOKUP($A307,'Niteesh''s data'!$A$2:$I$313,9,FALSE)</f>
        <v>7.3000000000000001E-3</v>
      </c>
      <c r="V307" s="8">
        <f>VLOOKUP(A307,'Existing home Sales'!$A$2:$C$324,3,FALSE)</f>
        <v>5.69</v>
      </c>
      <c r="W307" s="8">
        <v>1</v>
      </c>
      <c r="X307" s="8">
        <f>IFERROR(VLOOKUP(A307,'Home Depot Gross Profit'!$A$1:$B$105,2,FALSE)/3,IF(W307=2,X306/3,X306))</f>
        <v>2517.6666666666665</v>
      </c>
      <c r="Y307" s="8">
        <f>IFERROR(VLOOKUP(A307,'LOWE''S GROSS PROFIT'!$A$1:$B$105,2,FALSE)/3,IF(X307=2,Y306/3,Y306))</f>
        <v>1810.6666666666667</v>
      </c>
      <c r="Z307" s="8">
        <v>4.165</v>
      </c>
      <c r="AA307" s="8">
        <v>6919</v>
      </c>
      <c r="AB307" s="8">
        <f>VLOOKUP(A307,'[1]Fed_Int (1)'!$A$2:$B$316,2,FALSE)</f>
        <v>0.66</v>
      </c>
      <c r="AC307" s="8">
        <v>137.66000399999999</v>
      </c>
      <c r="AD307" s="8">
        <v>146.33000200000001</v>
      </c>
      <c r="AE307" s="8">
        <v>136.33000200000001</v>
      </c>
      <c r="AF307" s="8">
        <v>144.91000399999999</v>
      </c>
      <c r="AG307" s="8">
        <v>140.84318500000001</v>
      </c>
      <c r="AH307" s="8">
        <v>75915500</v>
      </c>
      <c r="AI307" s="8">
        <v>72.910004000000001</v>
      </c>
      <c r="AJ307" s="8">
        <v>77.519997000000004</v>
      </c>
      <c r="AK307" s="8">
        <v>71.790001000000004</v>
      </c>
      <c r="AL307" s="8">
        <v>74.370002999999997</v>
      </c>
      <c r="AM307" s="8">
        <v>72.990959000000004</v>
      </c>
      <c r="AN307" s="8">
        <v>106682500</v>
      </c>
    </row>
    <row r="308" spans="1:40" x14ac:dyDescent="0.35">
      <c r="A308" s="1">
        <v>42795</v>
      </c>
      <c r="B308" s="7">
        <f t="shared" si="8"/>
        <v>3</v>
      </c>
      <c r="C308" s="7">
        <f t="shared" si="15"/>
        <v>2017</v>
      </c>
      <c r="D308" s="2">
        <v>30835</v>
      </c>
      <c r="E308">
        <f>VLOOKUP(A308,PSR!$A$12:$B$721,2,FALSE)</f>
        <v>3.9</v>
      </c>
      <c r="F308">
        <f>VLOOKUP(A308,CCI_USA!$F$2:$H$317,3,FALSE)</f>
        <v>101.2461</v>
      </c>
      <c r="G308">
        <f>INDEX('BLS Data Series'!$A$11:$M$39,MATCH('UI Datathon Development'!C308,'BLS Data Series'!$A$13:$A$39,0)+2,MATCH('UI Datathon Development'!B308,'BLS Data Series'!$B$11:$M$11,0)+1)</f>
        <v>4.5</v>
      </c>
      <c r="H308">
        <f>VLOOKUP(A308,'Houses for sale'!$B$10:$I$671,8,FALSE)</f>
        <v>266</v>
      </c>
      <c r="I308">
        <f>VLOOKUP(A308,'House starts'!$A$12:$B$325,2,FALSE)</f>
        <v>1189</v>
      </c>
      <c r="J308">
        <f>VLOOKUP(A308,'New house sales'!$A$13:$C$324,3,FALSE)</f>
        <v>321700</v>
      </c>
      <c r="K308">
        <f>VLOOKUP($A308,'Sreenath''s data'!$A$2:$F$313,3,FALSE)</f>
        <v>186.797</v>
      </c>
      <c r="L308">
        <f>VLOOKUP($A308,'Sreenath''s data'!$A$2:$F$313,4,FALSE)</f>
        <v>12741.5</v>
      </c>
      <c r="M308">
        <f>VLOOKUP($A308,'Sreenath''s data'!$A$2:$F$313,5,FALSE)</f>
        <v>118562</v>
      </c>
      <c r="N308">
        <f>VLOOKUP($A308,'Sreenath''s data'!$A$2:$F$313,6,FALSE)</f>
        <v>118.78619751722201</v>
      </c>
      <c r="O308">
        <f>VLOOKUP($A308,'Niteesh''s data'!$A$2:$I$313,3,FALSE)</f>
        <v>2380.1298830000001</v>
      </c>
      <c r="P308">
        <f>VLOOKUP($A308,'Niteesh''s data'!$A$2:$I$313,4,FALSE)</f>
        <v>2400.9799800000001</v>
      </c>
      <c r="Q308">
        <f>VLOOKUP($A308,'Niteesh''s data'!$A$2:$I$313,5,FALSE)</f>
        <v>2322.25</v>
      </c>
      <c r="R308">
        <f>VLOOKUP($A308,'Niteesh''s data'!$A$2:$I$313,6,FALSE)</f>
        <v>2362.719971</v>
      </c>
      <c r="S308">
        <f>VLOOKUP($A308,'Niteesh''s data'!$A$2:$I$313,7,FALSE)</f>
        <v>2362.719971</v>
      </c>
      <c r="T308">
        <f>VLOOKUP($A308,'Niteesh''s data'!$A$2:$I$313,8,FALSE)</f>
        <v>81547770000</v>
      </c>
      <c r="U308">
        <f>VLOOKUP($A308,'Niteesh''s data'!$A$2:$I$313,9,FALSE)</f>
        <v>7.1999999999999998E-3</v>
      </c>
      <c r="V308" s="8">
        <f>VLOOKUP(A308,'Existing home Sales'!$A$2:$C$324,3,FALSE)</f>
        <v>5.48</v>
      </c>
      <c r="W308" s="8">
        <v>1</v>
      </c>
      <c r="X308" s="8">
        <f>IFERROR(VLOOKUP(A308,'Home Depot Gross Profit'!$A$1:$B$105,2,FALSE)/3,IF(W308=2,X307/3,X307))</f>
        <v>2517.6666666666665</v>
      </c>
      <c r="Y308" s="8">
        <f>IFERROR(VLOOKUP(A308,'LOWE''S GROSS PROFIT'!$A$1:$B$105,2,FALSE)/3,IF(X308=2,Y307/3,Y307))</f>
        <v>1810.6666666666667</v>
      </c>
      <c r="Z308" s="8">
        <v>4.21</v>
      </c>
      <c r="AA308" s="8">
        <v>6922</v>
      </c>
      <c r="AB308" s="8">
        <f>VLOOKUP(A308,'[1]Fed_Int (1)'!$A$2:$B$316,2,FALSE)</f>
        <v>0.79</v>
      </c>
      <c r="AC308" s="8">
        <v>146.720001</v>
      </c>
      <c r="AD308" s="8">
        <v>150.14999399999999</v>
      </c>
      <c r="AE308" s="8">
        <v>145.83000200000001</v>
      </c>
      <c r="AF308" s="8">
        <v>146.83000200000001</v>
      </c>
      <c r="AG308" s="8">
        <v>142.70929000000001</v>
      </c>
      <c r="AH308" s="8">
        <v>92996000</v>
      </c>
      <c r="AI308" s="8">
        <v>81.279999000000004</v>
      </c>
      <c r="AJ308" s="8">
        <v>84</v>
      </c>
      <c r="AK308" s="8">
        <v>80.279999000000004</v>
      </c>
      <c r="AL308" s="8">
        <v>82.209998999999996</v>
      </c>
      <c r="AM308" s="8">
        <v>80.685569999999998</v>
      </c>
      <c r="AN308" s="8">
        <v>128273700</v>
      </c>
    </row>
    <row r="309" spans="1:40" x14ac:dyDescent="0.35">
      <c r="A309" s="1">
        <v>42826</v>
      </c>
      <c r="B309" s="7">
        <f t="shared" si="8"/>
        <v>4</v>
      </c>
      <c r="C309" s="7">
        <f t="shared" si="15"/>
        <v>2017</v>
      </c>
      <c r="D309" s="2">
        <v>30817</v>
      </c>
      <c r="E309">
        <f>VLOOKUP(A309,PSR!$A$12:$B$721,2,FALSE)</f>
        <v>3.7</v>
      </c>
      <c r="F309">
        <f>VLOOKUP(A309,CCI_USA!$F$2:$H$317,3,FALSE)</f>
        <v>101.20659999999999</v>
      </c>
      <c r="G309">
        <f>INDEX('BLS Data Series'!$A$11:$M$39,MATCH('UI Datathon Development'!C309,'BLS Data Series'!$A$13:$A$39,0)+2,MATCH('UI Datathon Development'!B309,'BLS Data Series'!$B$11:$M$11,0)+1)</f>
        <v>4.4000000000000004</v>
      </c>
      <c r="H309">
        <f>VLOOKUP(A309,'Houses for sale'!$B$10:$I$671,8,FALSE)</f>
        <v>266</v>
      </c>
      <c r="I309">
        <f>VLOOKUP(A309,'House starts'!$A$12:$B$325,2,FALSE)</f>
        <v>1154</v>
      </c>
      <c r="J309">
        <f>VLOOKUP(A309,'New house sales'!$A$13:$C$324,3,FALSE)</f>
        <v>311100</v>
      </c>
      <c r="K309">
        <f>VLOOKUP($A309,'Sreenath''s data'!$A$2:$F$313,3,FALSE)</f>
        <v>188.81799999999899</v>
      </c>
      <c r="L309">
        <f>VLOOKUP($A309,'Sreenath''s data'!$A$2:$F$313,4,FALSE)</f>
        <v>12732.6</v>
      </c>
      <c r="M309">
        <f>VLOOKUP($A309,'Sreenath''s data'!$A$2:$F$313,5,FALSE)</f>
        <v>119110</v>
      </c>
      <c r="N309">
        <f>VLOOKUP($A309,'Sreenath''s data'!$A$2:$F$313,6,FALSE)</f>
        <v>119.046993505214</v>
      </c>
      <c r="O309">
        <f>VLOOKUP($A309,'Niteesh''s data'!$A$2:$I$313,3,FALSE)</f>
        <v>2362.3400879999999</v>
      </c>
      <c r="P309">
        <f>VLOOKUP($A309,'Niteesh''s data'!$A$2:$I$313,4,FALSE)</f>
        <v>2398.1599120000001</v>
      </c>
      <c r="Q309">
        <f>VLOOKUP($A309,'Niteesh''s data'!$A$2:$I$313,5,FALSE)</f>
        <v>2328.9499510000001</v>
      </c>
      <c r="R309">
        <f>VLOOKUP($A309,'Niteesh''s data'!$A$2:$I$313,6,FALSE)</f>
        <v>2384.1999510000001</v>
      </c>
      <c r="S309">
        <f>VLOOKUP($A309,'Niteesh''s data'!$A$2:$I$313,7,FALSE)</f>
        <v>2384.1999510000001</v>
      </c>
      <c r="T309">
        <f>VLOOKUP($A309,'Niteesh''s data'!$A$2:$I$313,8,FALSE)</f>
        <v>65265670000</v>
      </c>
      <c r="U309">
        <f>VLOOKUP($A309,'Niteesh''s data'!$A$2:$I$313,9,FALSE)</f>
        <v>7.1999999999999998E-3</v>
      </c>
      <c r="V309" s="8">
        <f>VLOOKUP(A309,'Existing home Sales'!$A$2:$C$324,3,FALSE)</f>
        <v>5.71</v>
      </c>
      <c r="W309" s="8">
        <v>1</v>
      </c>
      <c r="X309" s="8">
        <f>IFERROR(VLOOKUP(A309,'Home Depot Gross Profit'!$A$1:$B$105,2,FALSE)/3,IF(W309=2,X308/3,X308))</f>
        <v>2718</v>
      </c>
      <c r="Y309" s="8">
        <f>IFERROR(VLOOKUP(A309,'LOWE''S GROSS PROFIT'!$A$1:$B$105,2,FALSE)/3,IF(X309=2,Y308/3,Y308))</f>
        <v>1933.3333333333333</v>
      </c>
      <c r="Z309" s="8">
        <v>4.0549999999999997</v>
      </c>
      <c r="AA309" s="8">
        <v>6917</v>
      </c>
      <c r="AB309" s="8">
        <f>VLOOKUP(A309,'[1]Fed_Int (1)'!$A$2:$B$316,2,FALSE)</f>
        <v>0.9</v>
      </c>
      <c r="AC309" s="8">
        <v>146.94000199999999</v>
      </c>
      <c r="AD309" s="8">
        <v>156.270004</v>
      </c>
      <c r="AE309" s="8">
        <v>145.759995</v>
      </c>
      <c r="AF309" s="8">
        <v>156.10000600000001</v>
      </c>
      <c r="AG309" s="8">
        <v>152.64248699999999</v>
      </c>
      <c r="AH309" s="8">
        <v>75693300</v>
      </c>
      <c r="AI309" s="8">
        <v>83.110000999999997</v>
      </c>
      <c r="AJ309" s="8">
        <v>85.760002</v>
      </c>
      <c r="AK309" s="8">
        <v>81.050003000000004</v>
      </c>
      <c r="AL309" s="8">
        <v>84.879997000000003</v>
      </c>
      <c r="AM309" s="8">
        <v>83.306067999999996</v>
      </c>
      <c r="AN309" s="8">
        <v>81093500</v>
      </c>
    </row>
    <row r="310" spans="1:40" x14ac:dyDescent="0.35">
      <c r="A310" s="1">
        <v>42856</v>
      </c>
      <c r="B310" s="7">
        <f t="shared" si="8"/>
        <v>5</v>
      </c>
      <c r="C310" s="7">
        <f t="shared" si="15"/>
        <v>2017</v>
      </c>
      <c r="D310" s="2">
        <v>30742</v>
      </c>
      <c r="E310">
        <f>VLOOKUP(A310,PSR!$A$12:$B$721,2,FALSE)</f>
        <v>3.8</v>
      </c>
      <c r="F310">
        <f>VLOOKUP(A310,CCI_USA!$F$2:$H$317,3,FALSE)</f>
        <v>101.1356</v>
      </c>
      <c r="G310">
        <f>INDEX('BLS Data Series'!$A$11:$M$39,MATCH('UI Datathon Development'!C310,'BLS Data Series'!$A$13:$A$39,0)+2,MATCH('UI Datathon Development'!B310,'BLS Data Series'!$B$11:$M$11,0)+1)</f>
        <v>4.3</v>
      </c>
      <c r="H310">
        <f>VLOOKUP(A310,'Houses for sale'!$B$10:$I$671,8,FALSE)</f>
        <v>271</v>
      </c>
      <c r="I310">
        <f>VLOOKUP(A310,'House starts'!$A$12:$B$325,2,FALSE)</f>
        <v>1129</v>
      </c>
      <c r="J310">
        <f>VLOOKUP(A310,'New house sales'!$A$13:$C$324,3,FALSE)</f>
        <v>323600</v>
      </c>
      <c r="K310">
        <f>VLOOKUP($A310,'Sreenath''s data'!$A$2:$F$313,3,FALSE)</f>
        <v>190.82400000000001</v>
      </c>
      <c r="L310">
        <f>VLOOKUP($A310,'Sreenath''s data'!$A$2:$F$313,4,FALSE)</f>
        <v>12786.2</v>
      </c>
      <c r="M310">
        <f>VLOOKUP($A310,'Sreenath''s data'!$A$2:$F$313,5,FALSE)</f>
        <v>119203</v>
      </c>
      <c r="N310">
        <f>VLOOKUP($A310,'Sreenath''s data'!$A$2:$F$313,6,FALSE)</f>
        <v>119.37115325917701</v>
      </c>
      <c r="O310">
        <f>VLOOKUP($A310,'Niteesh''s data'!$A$2:$I$313,3,FALSE)</f>
        <v>2388.5</v>
      </c>
      <c r="P310">
        <f>VLOOKUP($A310,'Niteesh''s data'!$A$2:$I$313,4,FALSE)</f>
        <v>2418.709961</v>
      </c>
      <c r="Q310">
        <f>VLOOKUP($A310,'Niteesh''s data'!$A$2:$I$313,5,FALSE)</f>
        <v>2352.719971</v>
      </c>
      <c r="R310">
        <f>VLOOKUP($A310,'Niteesh''s data'!$A$2:$I$313,6,FALSE)</f>
        <v>2411.8000489999999</v>
      </c>
      <c r="S310">
        <f>VLOOKUP($A310,'Niteesh''s data'!$A$2:$I$313,7,FALSE)</f>
        <v>2411.8000489999999</v>
      </c>
      <c r="T310">
        <f>VLOOKUP($A310,'Niteesh''s data'!$A$2:$I$313,8,FALSE)</f>
        <v>79607170000</v>
      </c>
      <c r="U310">
        <f>VLOOKUP($A310,'Niteesh''s data'!$A$2:$I$313,9,FALSE)</f>
        <v>7.1999999999999998E-3</v>
      </c>
      <c r="V310" s="8">
        <f>VLOOKUP(A310,'Existing home Sales'!$A$2:$C$324,3,FALSE)</f>
        <v>5.57</v>
      </c>
      <c r="W310" s="8">
        <v>1</v>
      </c>
      <c r="X310" s="8">
        <f>IFERROR(VLOOKUP(A310,'Home Depot Gross Profit'!$A$1:$B$105,2,FALSE)/3,IF(W310=2,X309/3,X309))</f>
        <v>2718</v>
      </c>
      <c r="Y310" s="8">
        <f>IFERROR(VLOOKUP(A310,'LOWE''S GROSS PROFIT'!$A$1:$B$105,2,FALSE)/3,IF(X310=2,Y309/3,Y309))</f>
        <v>1933.3333333333333</v>
      </c>
      <c r="Z310" s="8">
        <v>4.0199999999999996</v>
      </c>
      <c r="AA310" s="8">
        <v>6924</v>
      </c>
      <c r="AB310" s="8">
        <f>VLOOKUP(A310,'[1]Fed_Int (1)'!$A$2:$B$316,2,FALSE)</f>
        <v>0.91</v>
      </c>
      <c r="AC310" s="8">
        <v>156.220001</v>
      </c>
      <c r="AD310" s="8">
        <v>160.86000100000001</v>
      </c>
      <c r="AE310" s="8">
        <v>153.279999</v>
      </c>
      <c r="AF310" s="8">
        <v>153.509995</v>
      </c>
      <c r="AG310" s="8">
        <v>150.109848</v>
      </c>
      <c r="AH310" s="8">
        <v>93676400</v>
      </c>
      <c r="AI310" s="8">
        <v>84.839995999999999</v>
      </c>
      <c r="AJ310" s="8">
        <v>86.25</v>
      </c>
      <c r="AK310" s="8">
        <v>78.099997999999999</v>
      </c>
      <c r="AL310" s="8">
        <v>78.769997000000004</v>
      </c>
      <c r="AM310" s="8">
        <v>77.634895</v>
      </c>
      <c r="AN310" s="8">
        <v>136012800</v>
      </c>
    </row>
    <row r="311" spans="1:40" x14ac:dyDescent="0.35">
      <c r="A311" s="1">
        <v>42887</v>
      </c>
      <c r="B311" s="7">
        <f t="shared" si="8"/>
        <v>6</v>
      </c>
      <c r="C311" s="7">
        <f t="shared" si="15"/>
        <v>2017</v>
      </c>
      <c r="D311" s="2">
        <v>30986</v>
      </c>
      <c r="E311">
        <f>VLOOKUP(A311,PSR!$A$12:$B$721,2,FALSE)</f>
        <v>3.6</v>
      </c>
      <c r="F311">
        <f>VLOOKUP(A311,CCI_USA!$F$2:$H$317,3,FALSE)</f>
        <v>101.0303</v>
      </c>
      <c r="G311">
        <f>INDEX('BLS Data Series'!$A$11:$M$39,MATCH('UI Datathon Development'!C311,'BLS Data Series'!$A$13:$A$39,0)+2,MATCH('UI Datathon Development'!B311,'BLS Data Series'!$B$11:$M$11,0)+1)</f>
        <v>4.3</v>
      </c>
      <c r="H311">
        <f>VLOOKUP(A311,'Houses for sale'!$B$10:$I$671,8,FALSE)</f>
        <v>272</v>
      </c>
      <c r="I311">
        <f>VLOOKUP(A311,'House starts'!$A$12:$B$325,2,FALSE)</f>
        <v>1217</v>
      </c>
      <c r="J311">
        <f>VLOOKUP(A311,'New house sales'!$A$13:$C$324,3,FALSE)</f>
        <v>315200</v>
      </c>
      <c r="K311">
        <f>VLOOKUP($A311,'Sreenath''s data'!$A$2:$F$313,3,FALSE)</f>
        <v>192.56899999999999</v>
      </c>
      <c r="L311">
        <f>VLOOKUP($A311,'Sreenath''s data'!$A$2:$F$313,4,FALSE)</f>
        <v>12778.1</v>
      </c>
      <c r="M311">
        <f>VLOOKUP($A311,'Sreenath''s data'!$A$2:$F$313,5,FALSE)</f>
        <v>118385</v>
      </c>
      <c r="N311">
        <f>VLOOKUP($A311,'Sreenath''s data'!$A$2:$F$313,6,FALSE)</f>
        <v>119.753267677138</v>
      </c>
      <c r="O311">
        <f>VLOOKUP($A311,'Niteesh''s data'!$A$2:$I$313,3,FALSE)</f>
        <v>2415.6499020000001</v>
      </c>
      <c r="P311">
        <f>VLOOKUP($A311,'Niteesh''s data'!$A$2:$I$313,4,FALSE)</f>
        <v>2453.820068</v>
      </c>
      <c r="Q311">
        <f>VLOOKUP($A311,'Niteesh''s data'!$A$2:$I$313,5,FALSE)</f>
        <v>2405.6999510000001</v>
      </c>
      <c r="R311">
        <f>VLOOKUP($A311,'Niteesh''s data'!$A$2:$I$313,6,FALSE)</f>
        <v>2423.4099120000001</v>
      </c>
      <c r="S311">
        <f>VLOOKUP($A311,'Niteesh''s data'!$A$2:$I$313,7,FALSE)</f>
        <v>2423.4099120000001</v>
      </c>
      <c r="T311">
        <f>VLOOKUP($A311,'Niteesh''s data'!$A$2:$I$313,8,FALSE)</f>
        <v>81002490000</v>
      </c>
      <c r="U311">
        <f>VLOOKUP($A311,'Niteesh''s data'!$A$2:$I$313,9,FALSE)</f>
        <v>7.1999999999999998E-3</v>
      </c>
      <c r="V311" s="8">
        <f>VLOOKUP(A311,'Existing home Sales'!$A$2:$C$324,3,FALSE)</f>
        <v>5.62</v>
      </c>
      <c r="W311" s="8">
        <v>1</v>
      </c>
      <c r="X311" s="8">
        <f>IFERROR(VLOOKUP(A311,'Home Depot Gross Profit'!$A$1:$B$105,2,FALSE)/3,IF(W311=2,X310/3,X310))</f>
        <v>2718</v>
      </c>
      <c r="Y311" s="8">
        <f>IFERROR(VLOOKUP(A311,'LOWE''S GROSS PROFIT'!$A$1:$B$105,2,FALSE)/3,IF(X311=2,Y310/3,Y310))</f>
        <v>1933.3333333333333</v>
      </c>
      <c r="Z311" s="8">
        <v>3.9</v>
      </c>
      <c r="AA311" s="8">
        <v>6940</v>
      </c>
      <c r="AB311" s="8">
        <f>VLOOKUP(A311,'[1]Fed_Int (1)'!$A$2:$B$316,2,FALSE)</f>
        <v>1.04</v>
      </c>
      <c r="AC311" s="8">
        <v>153.520004</v>
      </c>
      <c r="AD311" s="8">
        <v>159.220001</v>
      </c>
      <c r="AE311" s="8">
        <v>150.75</v>
      </c>
      <c r="AF311" s="8">
        <v>153.39999399999999</v>
      </c>
      <c r="AG311" s="8">
        <v>150.86914100000001</v>
      </c>
      <c r="AH311" s="8">
        <v>100483000</v>
      </c>
      <c r="AI311" s="8">
        <v>78.769997000000004</v>
      </c>
      <c r="AJ311" s="8">
        <v>81.449996999999996</v>
      </c>
      <c r="AK311" s="8">
        <v>75.790001000000004</v>
      </c>
      <c r="AL311" s="8">
        <v>77.529999000000004</v>
      </c>
      <c r="AM311" s="8">
        <v>76.412766000000005</v>
      </c>
      <c r="AN311" s="8">
        <v>131674300</v>
      </c>
    </row>
    <row r="312" spans="1:40" x14ac:dyDescent="0.35">
      <c r="A312" s="1">
        <v>42917</v>
      </c>
      <c r="B312" s="7">
        <f t="shared" si="8"/>
        <v>7</v>
      </c>
      <c r="C312" s="7">
        <f t="shared" si="15"/>
        <v>2017</v>
      </c>
      <c r="D312" s="2">
        <v>31458</v>
      </c>
      <c r="E312">
        <f>VLOOKUP(A312,PSR!$A$12:$B$721,2,FALSE)</f>
        <v>3.5</v>
      </c>
      <c r="F312">
        <f>VLOOKUP(A312,CCI_USA!$F$2:$H$317,3,FALSE)</f>
        <v>100.9897</v>
      </c>
      <c r="G312">
        <f>INDEX('BLS Data Series'!$A$11:$M$39,MATCH('UI Datathon Development'!C312,'BLS Data Series'!$A$13:$A$39,0)+2,MATCH('UI Datathon Development'!B312,'BLS Data Series'!$B$11:$M$11,0)+1)</f>
        <v>4.3</v>
      </c>
      <c r="H312">
        <f>VLOOKUP(A312,'Houses for sale'!$B$10:$I$671,8,FALSE)</f>
        <v>275</v>
      </c>
      <c r="I312">
        <f>VLOOKUP(A312,'House starts'!$A$12:$B$325,2,FALSE)</f>
        <v>1185</v>
      </c>
      <c r="J312">
        <f>VLOOKUP(A312,'New house sales'!$A$13:$C$324,3,FALSE)</f>
        <v>322900</v>
      </c>
      <c r="K312">
        <f>VLOOKUP($A312,'Sreenath''s data'!$A$2:$F$313,3,FALSE)</f>
        <v>193.83799999999999</v>
      </c>
      <c r="L312">
        <f>VLOOKUP($A312,'Sreenath''s data'!$A$2:$F$313,4,FALSE)</f>
        <v>12791.1</v>
      </c>
      <c r="M312">
        <f>VLOOKUP($A312,'Sreenath''s data'!$A$2:$F$313,5,FALSE)</f>
        <v>118490</v>
      </c>
      <c r="N312">
        <f>VLOOKUP($A312,'Sreenath''s data'!$A$2:$F$313,6,FALSE)</f>
        <v>119.944518068332</v>
      </c>
      <c r="O312">
        <f>VLOOKUP($A312,'Niteesh''s data'!$A$2:$I$313,3,FALSE)</f>
        <v>2431.389893</v>
      </c>
      <c r="P312">
        <f>VLOOKUP($A312,'Niteesh''s data'!$A$2:$I$313,4,FALSE)</f>
        <v>2484.040039</v>
      </c>
      <c r="Q312">
        <f>VLOOKUP($A312,'Niteesh''s data'!$A$2:$I$313,5,FALSE)</f>
        <v>2407.6999510000001</v>
      </c>
      <c r="R312">
        <f>VLOOKUP($A312,'Niteesh''s data'!$A$2:$I$313,6,FALSE)</f>
        <v>2470.3000489999999</v>
      </c>
      <c r="S312">
        <f>VLOOKUP($A312,'Niteesh''s data'!$A$2:$I$313,7,FALSE)</f>
        <v>2470.3000489999999</v>
      </c>
      <c r="T312">
        <f>VLOOKUP($A312,'Niteesh''s data'!$A$2:$I$313,8,FALSE)</f>
        <v>63169400000</v>
      </c>
      <c r="U312">
        <f>VLOOKUP($A312,'Niteesh''s data'!$A$2:$I$313,9,FALSE)</f>
        <v>7.1999999999999998E-3</v>
      </c>
      <c r="V312" s="8">
        <f>VLOOKUP(A312,'Existing home Sales'!$A$2:$C$324,3,FALSE)</f>
        <v>5.52</v>
      </c>
      <c r="W312" s="8">
        <v>1</v>
      </c>
      <c r="X312" s="8">
        <f>IFERROR(VLOOKUP(A312,'Home Depot Gross Profit'!$A$1:$B$105,2,FALSE)/3,IF(W312=2,X311/3,X311))</f>
        <v>3153.6666666666665</v>
      </c>
      <c r="Y312" s="8">
        <f>IFERROR(VLOOKUP(A312,'LOWE''S GROSS PROFIT'!$A$1:$B$105,2,FALSE)/3,IF(X312=2,Y311/3,Y311))</f>
        <v>2223.3333333333335</v>
      </c>
      <c r="Z312" s="8">
        <v>3.96</v>
      </c>
      <c r="AA312" s="8">
        <v>6934</v>
      </c>
      <c r="AB312" s="8">
        <f>VLOOKUP(A312,'[1]Fed_Int (1)'!$A$2:$B$316,2,FALSE)</f>
        <v>1.1499999999999999</v>
      </c>
      <c r="AC312" s="8">
        <v>154.38999899999999</v>
      </c>
      <c r="AD312" s="8">
        <v>154.78999300000001</v>
      </c>
      <c r="AE312" s="8">
        <v>144.25</v>
      </c>
      <c r="AF312" s="8">
        <v>149.60000600000001</v>
      </c>
      <c r="AG312" s="8">
        <v>147.131821</v>
      </c>
      <c r="AH312" s="8">
        <v>102500900</v>
      </c>
      <c r="AI312" s="8">
        <v>78</v>
      </c>
      <c r="AJ312" s="8">
        <v>78.449996999999996</v>
      </c>
      <c r="AK312" s="8">
        <v>71.580001999999993</v>
      </c>
      <c r="AL312" s="8">
        <v>77.400002000000001</v>
      </c>
      <c r="AM312" s="8">
        <v>76.284644999999998</v>
      </c>
      <c r="AN312" s="8">
        <v>122500900</v>
      </c>
    </row>
    <row r="313" spans="1:40" x14ac:dyDescent="0.35">
      <c r="A313" s="1">
        <v>42948</v>
      </c>
      <c r="B313" s="7">
        <f t="shared" si="8"/>
        <v>8</v>
      </c>
      <c r="C313" s="7">
        <f t="shared" si="15"/>
        <v>2017</v>
      </c>
      <c r="D313" s="2">
        <v>31584</v>
      </c>
      <c r="E313">
        <f>VLOOKUP(A313,PSR!$A$12:$B$721,2,FALSE)</f>
        <v>3.5</v>
      </c>
      <c r="F313">
        <f>VLOOKUP(A313,CCI_USA!$F$2:$H$317,3,FALSE)</f>
        <v>101.08629999999999</v>
      </c>
      <c r="G313">
        <f>INDEX('BLS Data Series'!$A$11:$M$39,MATCH('UI Datathon Development'!C313,'BLS Data Series'!$A$13:$A$39,0)+2,MATCH('UI Datathon Development'!B313,'BLS Data Series'!$B$11:$M$11,0)+1)</f>
        <v>4.4000000000000004</v>
      </c>
      <c r="H313">
        <f>VLOOKUP(A313,'Houses for sale'!$B$10:$I$671,8,FALSE)</f>
        <v>280</v>
      </c>
      <c r="I313">
        <f>VLOOKUP(A313,'House starts'!$A$12:$B$325,2,FALSE)</f>
        <v>1172</v>
      </c>
      <c r="J313">
        <f>VLOOKUP(A313,'New house sales'!$A$13:$C$324,3,FALSE)</f>
        <v>314200</v>
      </c>
      <c r="K313">
        <f>VLOOKUP($A313,'Sreenath''s data'!$A$2:$F$313,3,FALSE)</f>
        <v>194.684</v>
      </c>
      <c r="L313">
        <f>VLOOKUP($A313,'Sreenath''s data'!$A$2:$F$313,4,FALSE)</f>
        <v>12785.4</v>
      </c>
      <c r="M313">
        <f>VLOOKUP($A313,'Sreenath''s data'!$A$2:$F$313,5,FALSE)</f>
        <v>119118</v>
      </c>
      <c r="N313">
        <f>VLOOKUP($A313,'Sreenath''s data'!$A$2:$F$313,6,FALSE)</f>
        <v>120.448723645117</v>
      </c>
      <c r="O313">
        <f>VLOOKUP($A313,'Niteesh''s data'!$A$2:$I$313,3,FALSE)</f>
        <v>2477.1000979999999</v>
      </c>
      <c r="P313">
        <f>VLOOKUP($A313,'Niteesh''s data'!$A$2:$I$313,4,FALSE)</f>
        <v>2490.8701169999999</v>
      </c>
      <c r="Q313">
        <f>VLOOKUP($A313,'Niteesh''s data'!$A$2:$I$313,5,FALSE)</f>
        <v>2417.3500979999999</v>
      </c>
      <c r="R313">
        <f>VLOOKUP($A313,'Niteesh''s data'!$A$2:$I$313,6,FALSE)</f>
        <v>2471.6499020000001</v>
      </c>
      <c r="S313">
        <f>VLOOKUP($A313,'Niteesh''s data'!$A$2:$I$313,7,FALSE)</f>
        <v>2471.6499020000001</v>
      </c>
      <c r="T313">
        <f>VLOOKUP($A313,'Niteesh''s data'!$A$2:$I$313,8,FALSE)</f>
        <v>70616030000</v>
      </c>
      <c r="U313">
        <f>VLOOKUP($A313,'Niteesh''s data'!$A$2:$I$313,9,FALSE)</f>
        <v>7.1999999999999998E-3</v>
      </c>
      <c r="V313" s="8">
        <f>VLOOKUP(A313,'Existing home Sales'!$A$2:$C$324,3,FALSE)</f>
        <v>5.44</v>
      </c>
      <c r="W313" s="8">
        <v>1</v>
      </c>
      <c r="X313" s="8">
        <f>IFERROR(VLOOKUP(A313,'Home Depot Gross Profit'!$A$1:$B$105,2,FALSE)/3,IF(W313=2,X312/3,X312))</f>
        <v>3153.6666666666665</v>
      </c>
      <c r="Y313" s="8">
        <f>IFERROR(VLOOKUP(A313,'LOWE''S GROSS PROFIT'!$A$1:$B$105,2,FALSE)/3,IF(X313=2,Y312/3,Y312))</f>
        <v>2223.3333333333335</v>
      </c>
      <c r="Z313" s="8">
        <v>3.89</v>
      </c>
      <c r="AA313" s="8">
        <v>6962</v>
      </c>
      <c r="AB313" s="8">
        <f>VLOOKUP(A313,'[1]Fed_Int (1)'!$A$2:$B$316,2,FALSE)</f>
        <v>1.1599999999999999</v>
      </c>
      <c r="AC313" s="8">
        <v>150.240005</v>
      </c>
      <c r="AD313" s="8">
        <v>156.050003</v>
      </c>
      <c r="AE313" s="8">
        <v>146.88999899999999</v>
      </c>
      <c r="AF313" s="8">
        <v>149.86999499999999</v>
      </c>
      <c r="AG313" s="8">
        <v>147.397369</v>
      </c>
      <c r="AH313" s="8">
        <v>114177100</v>
      </c>
      <c r="AI313" s="8">
        <v>77.269997000000004</v>
      </c>
      <c r="AJ313" s="8">
        <v>78.910004000000001</v>
      </c>
      <c r="AK313" s="8">
        <v>70.760002</v>
      </c>
      <c r="AL313" s="8">
        <v>73.889999000000003</v>
      </c>
      <c r="AM313" s="8">
        <v>73.231842</v>
      </c>
      <c r="AN313" s="8">
        <v>149917600</v>
      </c>
    </row>
    <row r="314" spans="1:40" x14ac:dyDescent="0.35">
      <c r="A314" s="1">
        <v>42979</v>
      </c>
      <c r="B314" s="7">
        <f t="shared" si="8"/>
        <v>9</v>
      </c>
      <c r="C314" s="7">
        <f t="shared" si="15"/>
        <v>2017</v>
      </c>
      <c r="D314" s="2">
        <v>32549</v>
      </c>
      <c r="E314">
        <f>VLOOKUP(A314,PSR!$A$12:$B$721,2,FALSE)</f>
        <v>3</v>
      </c>
      <c r="F314">
        <f>VLOOKUP(A314,CCI_USA!$F$2:$H$317,3,FALSE)</f>
        <v>101.2071</v>
      </c>
      <c r="G314">
        <f>INDEX('BLS Data Series'!$A$11:$M$39,MATCH('UI Datathon Development'!C314,'BLS Data Series'!$A$13:$A$39,0)+2,MATCH('UI Datathon Development'!B314,'BLS Data Series'!$B$11:$M$11,0)+1)</f>
        <v>4.2</v>
      </c>
      <c r="H314">
        <f>VLOOKUP(A314,'Houses for sale'!$B$10:$I$671,8,FALSE)</f>
        <v>280</v>
      </c>
      <c r="I314">
        <f>VLOOKUP(A314,'House starts'!$A$12:$B$325,2,FALSE)</f>
        <v>1159</v>
      </c>
      <c r="J314">
        <f>VLOOKUP(A314,'New house sales'!$A$13:$C$324,3,FALSE)</f>
        <v>331500</v>
      </c>
      <c r="K314">
        <f>VLOOKUP($A314,'Sreenath''s data'!$A$2:$F$313,3,FALSE)</f>
        <v>195.155</v>
      </c>
      <c r="L314">
        <f>VLOOKUP($A314,'Sreenath''s data'!$A$2:$F$313,4,FALSE)</f>
        <v>12786.9</v>
      </c>
      <c r="M314">
        <f>VLOOKUP($A314,'Sreenath''s data'!$A$2:$F$313,5,FALSE)</f>
        <v>119646</v>
      </c>
      <c r="N314">
        <f>VLOOKUP($A314,'Sreenath''s data'!$A$2:$F$313,6,FALSE)</f>
        <v>120.728451490014</v>
      </c>
      <c r="O314">
        <f>VLOOKUP($A314,'Niteesh''s data'!$A$2:$I$313,3,FALSE)</f>
        <v>2474.419922</v>
      </c>
      <c r="P314">
        <f>VLOOKUP($A314,'Niteesh''s data'!$A$2:$I$313,4,FALSE)</f>
        <v>2519.4399410000001</v>
      </c>
      <c r="Q314">
        <f>VLOOKUP($A314,'Niteesh''s data'!$A$2:$I$313,5,FALSE)</f>
        <v>2446.5500489999999</v>
      </c>
      <c r="R314">
        <f>VLOOKUP($A314,'Niteesh''s data'!$A$2:$I$313,6,FALSE)</f>
        <v>2519.360107</v>
      </c>
      <c r="S314">
        <f>VLOOKUP($A314,'Niteesh''s data'!$A$2:$I$313,7,FALSE)</f>
        <v>2519.360107</v>
      </c>
      <c r="T314">
        <f>VLOOKUP($A314,'Niteesh''s data'!$A$2:$I$313,8,FALSE)</f>
        <v>66337980000</v>
      </c>
      <c r="U314">
        <f>VLOOKUP($A314,'Niteesh''s data'!$A$2:$I$313,9,FALSE)</f>
        <v>7.1999999999999998E-3</v>
      </c>
      <c r="V314" s="8">
        <f>VLOOKUP(A314,'Existing home Sales'!$A$2:$C$324,3,FALSE)</f>
        <v>5.35</v>
      </c>
      <c r="W314" s="8">
        <v>1</v>
      </c>
      <c r="X314" s="8">
        <f>IFERROR(VLOOKUP(A314,'Home Depot Gross Profit'!$A$1:$B$105,2,FALSE)/3,IF(W314=2,X313/3,X313))</f>
        <v>3153.6666666666665</v>
      </c>
      <c r="Y314" s="8">
        <f>IFERROR(VLOOKUP(A314,'LOWE''S GROSS PROFIT'!$A$1:$B$105,2,FALSE)/3,IF(X314=2,Y313/3,Y313))</f>
        <v>2223.3333333333335</v>
      </c>
      <c r="Z314" s="8">
        <v>3.8049999999999899</v>
      </c>
      <c r="AA314" s="8">
        <v>6971</v>
      </c>
      <c r="AB314" s="8">
        <f>VLOOKUP(A314,'[1]Fed_Int (1)'!$A$2:$B$316,2,FALSE)</f>
        <v>1.1499999999999999</v>
      </c>
      <c r="AC314" s="8">
        <v>150.259995</v>
      </c>
      <c r="AD314" s="8">
        <v>163.61000100000001</v>
      </c>
      <c r="AE314" s="8">
        <v>149.759995</v>
      </c>
      <c r="AF314" s="8">
        <v>163.55999800000001</v>
      </c>
      <c r="AG314" s="8">
        <v>161.81277499999999</v>
      </c>
      <c r="AH314" s="8">
        <v>110280500</v>
      </c>
      <c r="AI314" s="8">
        <v>74.190002000000007</v>
      </c>
      <c r="AJ314" s="8">
        <v>80.150002000000001</v>
      </c>
      <c r="AK314" s="8">
        <v>73.720000999999996</v>
      </c>
      <c r="AL314" s="8">
        <v>79.940002000000007</v>
      </c>
      <c r="AM314" s="8">
        <v>79.227951000000004</v>
      </c>
      <c r="AN314" s="8">
        <v>145099700</v>
      </c>
    </row>
    <row r="315" spans="1:40" x14ac:dyDescent="0.35">
      <c r="A315" s="1">
        <v>43009</v>
      </c>
      <c r="B315" s="7">
        <f t="shared" si="8"/>
        <v>10</v>
      </c>
      <c r="C315" s="7">
        <f t="shared" si="15"/>
        <v>2017</v>
      </c>
      <c r="D315" s="2">
        <v>32436</v>
      </c>
      <c r="E315">
        <f>VLOOKUP(A315,PSR!$A$12:$B$721,2,FALSE)</f>
        <v>2.9</v>
      </c>
      <c r="F315">
        <f>VLOOKUP(A315,CCI_USA!$F$2:$H$317,3,FALSE)</f>
        <v>101.3554</v>
      </c>
      <c r="G315">
        <f>INDEX('BLS Data Series'!$A$11:$M$39,MATCH('UI Datathon Development'!C315,'BLS Data Series'!$A$13:$A$39,0)+2,MATCH('UI Datathon Development'!B315,'BLS Data Series'!$B$11:$M$11,0)+1)</f>
        <v>4.0999999999999996</v>
      </c>
      <c r="H315">
        <f>VLOOKUP(A315,'Houses for sale'!$B$10:$I$671,8,FALSE)</f>
        <v>286</v>
      </c>
      <c r="I315">
        <f>VLOOKUP(A315,'House starts'!$A$12:$B$325,2,FALSE)</f>
        <v>1261</v>
      </c>
      <c r="J315">
        <f>VLOOKUP(A315,'New house sales'!$A$13:$C$324,3,FALSE)</f>
        <v>319500</v>
      </c>
      <c r="K315">
        <f>VLOOKUP($A315,'Sreenath''s data'!$A$2:$F$313,3,FALSE)</f>
        <v>195.43</v>
      </c>
      <c r="L315">
        <f>VLOOKUP($A315,'Sreenath''s data'!$A$2:$F$313,4,FALSE)</f>
        <v>12805.3</v>
      </c>
      <c r="M315">
        <f>VLOOKUP($A315,'Sreenath''s data'!$A$2:$F$313,5,FALSE)</f>
        <v>118928</v>
      </c>
      <c r="N315">
        <f>VLOOKUP($A315,'Sreenath''s data'!$A$2:$F$313,6,FALSE)</f>
        <v>121.139929604401</v>
      </c>
      <c r="O315">
        <f>VLOOKUP($A315,'Niteesh''s data'!$A$2:$I$313,3,FALSE)</f>
        <v>2521.1999510000001</v>
      </c>
      <c r="P315">
        <f>VLOOKUP($A315,'Niteesh''s data'!$A$2:$I$313,4,FALSE)</f>
        <v>2582.9799800000001</v>
      </c>
      <c r="Q315">
        <f>VLOOKUP($A315,'Niteesh''s data'!$A$2:$I$313,5,FALSE)</f>
        <v>2520.3999020000001</v>
      </c>
      <c r="R315">
        <f>VLOOKUP($A315,'Niteesh''s data'!$A$2:$I$313,6,FALSE)</f>
        <v>2575.26001</v>
      </c>
      <c r="S315">
        <f>VLOOKUP($A315,'Niteesh''s data'!$A$2:$I$313,7,FALSE)</f>
        <v>2575.26001</v>
      </c>
      <c r="T315">
        <f>VLOOKUP($A315,'Niteesh''s data'!$A$2:$I$313,8,FALSE)</f>
        <v>70871570000</v>
      </c>
      <c r="U315">
        <f>VLOOKUP($A315,'Niteesh''s data'!$A$2:$I$313,9,FALSE)</f>
        <v>7.1000000000000004E-3</v>
      </c>
      <c r="V315" s="8">
        <f>VLOOKUP(A315,'Existing home Sales'!$A$2:$C$324,3,FALSE)</f>
        <v>5.39</v>
      </c>
      <c r="W315" s="8">
        <v>1</v>
      </c>
      <c r="X315" s="8">
        <f>IFERROR(VLOOKUP(A315,'Home Depot Gross Profit'!$A$1:$B$105,2,FALSE)/3,IF(W315=2,X314/3,X314))</f>
        <v>2882.6666666666665</v>
      </c>
      <c r="Y315" s="8">
        <f>IFERROR(VLOOKUP(A315,'LOWE''S GROSS PROFIT'!$A$1:$B$105,2,FALSE)/3,IF(X315=2,Y314/3,Y314))</f>
        <v>1904.3333333333333</v>
      </c>
      <c r="Z315" s="8">
        <v>3.895</v>
      </c>
      <c r="AA315" s="8">
        <v>6988</v>
      </c>
      <c r="AB315" s="8">
        <f>VLOOKUP(A315,'[1]Fed_Int (1)'!$A$2:$B$316,2,FALSE)</f>
        <v>1.1499999999999999</v>
      </c>
      <c r="AC315" s="8">
        <v>164.199997</v>
      </c>
      <c r="AD315" s="8">
        <v>167.94000199999999</v>
      </c>
      <c r="AE315" s="8">
        <v>161.509995</v>
      </c>
      <c r="AF315" s="8">
        <v>165.779999</v>
      </c>
      <c r="AG315" s="8">
        <v>164.009064</v>
      </c>
      <c r="AH315" s="8">
        <v>71346000</v>
      </c>
      <c r="AI315" s="8">
        <v>80.040001000000004</v>
      </c>
      <c r="AJ315" s="8">
        <v>82.739998</v>
      </c>
      <c r="AK315" s="8">
        <v>79.400002000000001</v>
      </c>
      <c r="AL315" s="8">
        <v>79.949996999999996</v>
      </c>
      <c r="AM315" s="8">
        <v>79.237862000000007</v>
      </c>
      <c r="AN315" s="8">
        <v>110493800</v>
      </c>
    </row>
    <row r="316" spans="1:40" x14ac:dyDescent="0.35">
      <c r="A316" s="1">
        <v>43040</v>
      </c>
      <c r="B316" s="7">
        <f t="shared" si="8"/>
        <v>11</v>
      </c>
      <c r="C316" s="7">
        <f t="shared" si="15"/>
        <v>2017</v>
      </c>
      <c r="D316" s="2">
        <v>32438</v>
      </c>
      <c r="E316">
        <f>VLOOKUP(A316,PSR!$A$12:$B$721,2,FALSE)</f>
        <v>2.5</v>
      </c>
      <c r="F316">
        <f>VLOOKUP(A316,CCI_USA!$F$2:$H$317,3,FALSE)</f>
        <v>101.3308</v>
      </c>
      <c r="G316">
        <f>INDEX('BLS Data Series'!$A$11:$M$39,MATCH('UI Datathon Development'!C316,'BLS Data Series'!$A$13:$A$39,0)+2,MATCH('UI Datathon Development'!B316,'BLS Data Series'!$B$11:$M$11,0)+1)</f>
        <v>4.0999999999999996</v>
      </c>
      <c r="H316">
        <f>VLOOKUP(A316,'Houses for sale'!$B$10:$I$671,8,FALSE)</f>
        <v>287</v>
      </c>
      <c r="I316">
        <f>VLOOKUP(A316,'House starts'!$A$12:$B$325,2,FALSE)</f>
        <v>1299</v>
      </c>
      <c r="J316">
        <f>VLOOKUP(A316,'New house sales'!$A$13:$C$324,3,FALSE)</f>
        <v>343400</v>
      </c>
      <c r="K316">
        <f>VLOOKUP($A316,'Sreenath''s data'!$A$2:$F$313,3,FALSE)</f>
        <v>195.815</v>
      </c>
      <c r="L316">
        <f>VLOOKUP($A316,'Sreenath''s data'!$A$2:$F$313,4,FALSE)</f>
        <v>12814.8</v>
      </c>
      <c r="M316">
        <f>VLOOKUP($A316,'Sreenath''s data'!$A$2:$F$313,5,FALSE)</f>
        <v>118928</v>
      </c>
      <c r="N316">
        <f>VLOOKUP($A316,'Sreenath''s data'!$A$2:$F$313,6,FALSE)</f>
        <v>121.27940716242399</v>
      </c>
      <c r="O316">
        <f>VLOOKUP($A316,'Niteesh''s data'!$A$2:$I$313,3,FALSE)</f>
        <v>2583.209961</v>
      </c>
      <c r="P316">
        <f>VLOOKUP($A316,'Niteesh''s data'!$A$2:$I$313,4,FALSE)</f>
        <v>2657.73999</v>
      </c>
      <c r="Q316">
        <f>VLOOKUP($A316,'Niteesh''s data'!$A$2:$I$313,5,FALSE)</f>
        <v>2557.4499510000001</v>
      </c>
      <c r="R316">
        <f>VLOOKUP($A316,'Niteesh''s data'!$A$2:$I$313,6,FALSE)</f>
        <v>2647.580078</v>
      </c>
      <c r="S316">
        <f>VLOOKUP($A316,'Niteesh''s data'!$A$2:$I$313,7,FALSE)</f>
        <v>2647.580078</v>
      </c>
      <c r="T316">
        <f>VLOOKUP($A316,'Niteesh''s data'!$A$2:$I$313,8,FALSE)</f>
        <v>73173260000</v>
      </c>
      <c r="U316">
        <f>VLOOKUP($A316,'Niteesh''s data'!$A$2:$I$313,9,FALSE)</f>
        <v>7.1999999999999998E-3</v>
      </c>
      <c r="V316" s="8">
        <f>VLOOKUP(A316,'Existing home Sales'!$A$2:$C$324,3,FALSE)</f>
        <v>5.48</v>
      </c>
      <c r="W316" s="8">
        <v>1</v>
      </c>
      <c r="X316" s="8">
        <f>IFERROR(VLOOKUP(A316,'Home Depot Gross Profit'!$A$1:$B$105,2,FALSE)/3,IF(W316=2,X315/3,X315))</f>
        <v>2882.6666666666665</v>
      </c>
      <c r="Y316" s="8">
        <f>IFERROR(VLOOKUP(A316,'LOWE''S GROSS PROFIT'!$A$1:$B$105,2,FALSE)/3,IF(X316=2,Y315/3,Y315))</f>
        <v>1904.3333333333333</v>
      </c>
      <c r="Z316" s="8">
        <v>3.92</v>
      </c>
      <c r="AA316" s="8">
        <v>7030</v>
      </c>
      <c r="AB316" s="8">
        <f>VLOOKUP(A316,'[1]Fed_Int (1)'!$A$2:$B$316,2,FALSE)</f>
        <v>1.1599999999999999</v>
      </c>
      <c r="AC316" s="8">
        <v>166.41999799999999</v>
      </c>
      <c r="AD316" s="8">
        <v>180.66999799999999</v>
      </c>
      <c r="AE316" s="8">
        <v>160.529999</v>
      </c>
      <c r="AF316" s="8">
        <v>179.820007</v>
      </c>
      <c r="AG316" s="8">
        <v>177.89909399999999</v>
      </c>
      <c r="AH316" s="8">
        <v>103227500</v>
      </c>
      <c r="AI316" s="8">
        <v>79.620002999999997</v>
      </c>
      <c r="AJ316" s="8">
        <v>84.68</v>
      </c>
      <c r="AK316" s="8">
        <v>75.360000999999997</v>
      </c>
      <c r="AL316" s="8">
        <v>83.370002999999997</v>
      </c>
      <c r="AM316" s="8">
        <v>83.050872999999996</v>
      </c>
      <c r="AN316" s="8">
        <v>142241900</v>
      </c>
    </row>
    <row r="317" spans="1:40" x14ac:dyDescent="0.35">
      <c r="A317" s="1">
        <v>43070</v>
      </c>
      <c r="B317" s="7">
        <f t="shared" si="8"/>
        <v>12</v>
      </c>
      <c r="C317" s="7">
        <f t="shared" si="15"/>
        <v>2017</v>
      </c>
      <c r="D317" s="2">
        <v>32777</v>
      </c>
      <c r="E317">
        <f>VLOOKUP(A317,PSR!$A$12:$B$721,2,FALSE)</f>
        <v>2.4</v>
      </c>
      <c r="F317">
        <f>VLOOKUP(A317,CCI_USA!$F$2:$H$317,3,FALSE)</f>
        <v>101.2372</v>
      </c>
      <c r="G317">
        <f>INDEX('BLS Data Series'!$A$11:$M$39,MATCH('UI Datathon Development'!C317,'BLS Data Series'!$A$13:$A$39,0)+2,MATCH('UI Datathon Development'!B317,'BLS Data Series'!$B$11:$M$11,0)+1)</f>
        <v>4.0999999999999996</v>
      </c>
      <c r="H317">
        <f>VLOOKUP(A317,'Houses for sale'!$B$10:$I$671,8,FALSE)</f>
        <v>295</v>
      </c>
      <c r="I317">
        <f>VLOOKUP(A317,'House starts'!$A$12:$B$325,2,FALSE)</f>
        <v>1207</v>
      </c>
      <c r="J317">
        <f>VLOOKUP(A317,'New house sales'!$A$13:$C$324,3,FALSE)</f>
        <v>340100</v>
      </c>
      <c r="K317">
        <f>VLOOKUP($A317,'Sreenath''s data'!$A$2:$F$313,3,FALSE)</f>
        <v>196.21599999999901</v>
      </c>
      <c r="L317">
        <f>VLOOKUP($A317,'Sreenath''s data'!$A$2:$F$313,4,FALSE)</f>
        <v>12846.3</v>
      </c>
      <c r="M317">
        <f>VLOOKUP($A317,'Sreenath''s data'!$A$2:$F$313,5,FALSE)</f>
        <v>118928</v>
      </c>
      <c r="N317">
        <f>VLOOKUP($A317,'Sreenath''s data'!$A$2:$F$313,6,FALSE)</f>
        <v>121.60433964524</v>
      </c>
      <c r="O317">
        <f>VLOOKUP($A317,'Niteesh''s data'!$A$2:$I$313,3,FALSE)</f>
        <v>2645.1000979999999</v>
      </c>
      <c r="P317">
        <f>VLOOKUP($A317,'Niteesh''s data'!$A$2:$I$313,4,FALSE)</f>
        <v>2694.969971</v>
      </c>
      <c r="Q317">
        <f>VLOOKUP($A317,'Niteesh''s data'!$A$2:$I$313,5,FALSE)</f>
        <v>2605.5200199999999</v>
      </c>
      <c r="R317">
        <f>VLOOKUP($A317,'Niteesh''s data'!$A$2:$I$313,6,FALSE)</f>
        <v>2673.610107</v>
      </c>
      <c r="S317">
        <f>VLOOKUP($A317,'Niteesh''s data'!$A$2:$I$313,7,FALSE)</f>
        <v>2673.610107</v>
      </c>
      <c r="T317">
        <f>VLOOKUP($A317,'Niteesh''s data'!$A$2:$I$313,8,FALSE)</f>
        <v>65251190000</v>
      </c>
      <c r="U317">
        <f>VLOOKUP($A317,'Niteesh''s data'!$A$2:$I$313,9,FALSE)</f>
        <v>7.1999999999999998E-3</v>
      </c>
      <c r="V317" s="8">
        <f>VLOOKUP(A317,'Existing home Sales'!$A$2:$C$324,3,FALSE)</f>
        <v>5.81</v>
      </c>
      <c r="W317" s="8">
        <v>1</v>
      </c>
      <c r="X317" s="8">
        <f>IFERROR(VLOOKUP(A317,'Home Depot Gross Profit'!$A$1:$B$105,2,FALSE)/3,IF(W317=2,X316/3,X316))</f>
        <v>2882.6666666666665</v>
      </c>
      <c r="Y317" s="8">
        <f>IFERROR(VLOOKUP(A317,'LOWE''S GROSS PROFIT'!$A$1:$B$105,2,FALSE)/3,IF(X317=2,Y316/3,Y316))</f>
        <v>1904.3333333333333</v>
      </c>
      <c r="Z317" s="8">
        <v>3.94</v>
      </c>
      <c r="AA317" s="8">
        <v>7072</v>
      </c>
      <c r="AB317" s="8">
        <f>VLOOKUP(A317,'[1]Fed_Int (1)'!$A$2:$B$316,2,FALSE)</f>
        <v>1.3</v>
      </c>
      <c r="AC317" s="8">
        <v>180.320007</v>
      </c>
      <c r="AD317" s="8">
        <v>191.490005</v>
      </c>
      <c r="AE317" s="8">
        <v>176.699997</v>
      </c>
      <c r="AF317" s="8">
        <v>189.529999</v>
      </c>
      <c r="AG317" s="8">
        <v>188.45526100000001</v>
      </c>
      <c r="AH317" s="8">
        <v>103713100</v>
      </c>
      <c r="AI317" s="8">
        <v>83.239998</v>
      </c>
      <c r="AJ317" s="8">
        <v>93.550003000000004</v>
      </c>
      <c r="AK317" s="8">
        <v>82.120002999999997</v>
      </c>
      <c r="AL317" s="8">
        <v>92.940002000000007</v>
      </c>
      <c r="AM317" s="8">
        <v>92.584243999999998</v>
      </c>
      <c r="AN317" s="8">
        <v>131002100</v>
      </c>
    </row>
    <row r="318" spans="1:40" x14ac:dyDescent="0.35"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</row>
    <row r="319" spans="1:40" x14ac:dyDescent="0.35"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</row>
    <row r="320" spans="1:40" x14ac:dyDescent="0.35"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</row>
    <row r="321" spans="29:40" x14ac:dyDescent="0.35"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</row>
    <row r="322" spans="29:40" x14ac:dyDescent="0.35"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</row>
  </sheetData>
  <autoFilter ref="A1:D289" xr:uid="{76E4024E-96E0-41C9-8FA8-B2764E27E797}"/>
  <conditionalFormatting sqref="E290:V29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90:X29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9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91:Y29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0:Y29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9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91:Z29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90:Z29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90:AN29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90:AN29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91:AN29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91:AN29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5FBF2-3A81-41EF-BA3F-21BD0EEDA80F}">
  <dimension ref="A1:Q317"/>
  <sheetViews>
    <sheetView workbookViewId="0">
      <selection activeCell="H1" sqref="H1"/>
    </sheetView>
  </sheetViews>
  <sheetFormatPr defaultRowHeight="14.5" x14ac:dyDescent="0.35"/>
  <cols>
    <col min="1" max="1" width="9.453125" bestFit="1" customWidth="1"/>
    <col min="2" max="2" width="7.90625" bestFit="1" customWidth="1"/>
    <col min="3" max="8" width="11.81640625" bestFit="1" customWidth="1"/>
    <col min="9" max="9" width="8.6328125" bestFit="1" customWidth="1"/>
    <col min="11" max="11" width="14.36328125" bestFit="1" customWidth="1"/>
    <col min="12" max="12" width="20.81640625" bestFit="1" customWidth="1"/>
  </cols>
  <sheetData>
    <row r="1" spans="1:17" x14ac:dyDescent="0.35">
      <c r="A1" s="7" t="s">
        <v>454</v>
      </c>
      <c r="B1" s="7" t="s">
        <v>455</v>
      </c>
      <c r="C1" s="7" t="s">
        <v>456</v>
      </c>
      <c r="D1" s="7" t="s">
        <v>457</v>
      </c>
      <c r="E1" s="7" t="s">
        <v>458</v>
      </c>
      <c r="F1" s="7" t="s">
        <v>459</v>
      </c>
      <c r="G1" s="7" t="s">
        <v>460</v>
      </c>
      <c r="H1" s="7" t="s">
        <v>461</v>
      </c>
      <c r="I1" s="7" t="s">
        <v>462</v>
      </c>
    </row>
    <row r="2" spans="1:17" x14ac:dyDescent="0.35">
      <c r="A2" s="1">
        <v>33604</v>
      </c>
      <c r="B2" s="13">
        <v>10845</v>
      </c>
      <c r="C2" s="8">
        <v>417.02999899999998</v>
      </c>
      <c r="D2" s="8">
        <v>421.17999300000002</v>
      </c>
      <c r="E2" s="8">
        <v>408.64001500000001</v>
      </c>
      <c r="F2" s="8">
        <v>408.77999899999998</v>
      </c>
      <c r="G2" s="8">
        <v>408.77999899999998</v>
      </c>
      <c r="H2" s="8">
        <v>5286280000</v>
      </c>
      <c r="I2" s="54">
        <v>1.4200000000000001E-2</v>
      </c>
      <c r="K2" s="1"/>
      <c r="L2" s="8"/>
      <c r="M2" s="8"/>
      <c r="N2" s="8"/>
      <c r="O2" s="8"/>
      <c r="P2" s="8"/>
      <c r="Q2" s="8"/>
    </row>
    <row r="3" spans="1:17" x14ac:dyDescent="0.35">
      <c r="A3" s="1">
        <v>33635</v>
      </c>
      <c r="B3" s="13">
        <v>10904</v>
      </c>
      <c r="C3" s="8">
        <v>408.790009</v>
      </c>
      <c r="D3" s="8">
        <v>418.07998700000002</v>
      </c>
      <c r="E3" s="8">
        <v>406.33999599999999</v>
      </c>
      <c r="F3" s="8">
        <v>412.70001200000002</v>
      </c>
      <c r="G3" s="8">
        <v>412.70001200000002</v>
      </c>
      <c r="H3" s="8">
        <v>4267610000</v>
      </c>
      <c r="I3" s="54">
        <v>1.4200000000000001E-2</v>
      </c>
      <c r="K3" s="1"/>
      <c r="L3" s="8"/>
      <c r="M3" s="8"/>
      <c r="N3" s="8"/>
      <c r="O3" s="8"/>
      <c r="P3" s="8"/>
      <c r="Q3" s="8"/>
    </row>
    <row r="4" spans="1:17" x14ac:dyDescent="0.35">
      <c r="A4" s="1">
        <v>33664</v>
      </c>
      <c r="B4" s="13">
        <v>10986</v>
      </c>
      <c r="C4" s="8">
        <v>412.67999300000002</v>
      </c>
      <c r="D4" s="8">
        <v>413.77999899999998</v>
      </c>
      <c r="E4" s="8">
        <v>401.94000199999999</v>
      </c>
      <c r="F4" s="8">
        <v>403.69000199999999</v>
      </c>
      <c r="G4" s="8">
        <v>403.69000199999999</v>
      </c>
      <c r="H4" s="8">
        <v>4066240000</v>
      </c>
      <c r="I4" s="54">
        <v>1.43E-2</v>
      </c>
      <c r="K4" s="1"/>
      <c r="L4" s="8"/>
      <c r="M4" s="8"/>
      <c r="N4" s="8"/>
      <c r="O4" s="8"/>
      <c r="P4" s="8"/>
      <c r="Q4" s="8"/>
    </row>
    <row r="5" spans="1:17" x14ac:dyDescent="0.35">
      <c r="A5" s="1">
        <v>33695</v>
      </c>
      <c r="B5" s="13">
        <v>10738</v>
      </c>
      <c r="C5" s="8">
        <v>403.67001299999998</v>
      </c>
      <c r="D5" s="8">
        <v>416.27999899999998</v>
      </c>
      <c r="E5" s="8">
        <v>392.41000400000001</v>
      </c>
      <c r="F5" s="8">
        <v>414.95001200000002</v>
      </c>
      <c r="G5" s="8">
        <v>414.95001200000002</v>
      </c>
      <c r="H5" s="8">
        <v>4315840000</v>
      </c>
      <c r="I5" s="54">
        <v>1.44E-2</v>
      </c>
      <c r="K5" s="1"/>
      <c r="L5" s="8"/>
      <c r="M5" s="8"/>
      <c r="N5" s="8"/>
      <c r="O5" s="8"/>
      <c r="P5" s="8"/>
      <c r="Q5" s="8"/>
    </row>
    <row r="6" spans="1:17" x14ac:dyDescent="0.35">
      <c r="A6" s="1">
        <v>33725</v>
      </c>
      <c r="B6" s="13">
        <v>10777</v>
      </c>
      <c r="C6" s="8">
        <v>414.95001200000002</v>
      </c>
      <c r="D6" s="8">
        <v>418.75</v>
      </c>
      <c r="E6" s="8">
        <v>409.85000600000001</v>
      </c>
      <c r="F6" s="8">
        <v>415.35000600000001</v>
      </c>
      <c r="G6" s="8">
        <v>415.35000600000001</v>
      </c>
      <c r="H6" s="8">
        <v>3643980000</v>
      </c>
      <c r="I6" s="54">
        <v>1.43E-2</v>
      </c>
      <c r="K6" s="1"/>
      <c r="L6" s="8"/>
      <c r="M6" s="8"/>
      <c r="N6" s="8"/>
      <c r="O6" s="8"/>
      <c r="P6" s="8"/>
      <c r="Q6" s="8"/>
    </row>
    <row r="7" spans="1:17" x14ac:dyDescent="0.35">
      <c r="A7" s="1">
        <v>33756</v>
      </c>
      <c r="B7" s="13">
        <v>10790</v>
      </c>
      <c r="C7" s="8">
        <v>415.35000600000001</v>
      </c>
      <c r="D7" s="8">
        <v>417.29998799999998</v>
      </c>
      <c r="E7" s="8">
        <v>399.92001299999998</v>
      </c>
      <c r="F7" s="8">
        <v>408.14001500000001</v>
      </c>
      <c r="G7" s="8">
        <v>408.14001500000001</v>
      </c>
      <c r="H7" s="8">
        <v>4259830000</v>
      </c>
      <c r="I7" s="54">
        <v>1.3899999999999999E-2</v>
      </c>
      <c r="K7" s="1"/>
      <c r="L7" s="8"/>
      <c r="M7" s="8"/>
      <c r="N7" s="8"/>
      <c r="O7" s="8"/>
      <c r="P7" s="8"/>
      <c r="Q7" s="8"/>
    </row>
    <row r="8" spans="1:17" x14ac:dyDescent="0.35">
      <c r="A8" s="1">
        <v>33786</v>
      </c>
      <c r="B8" s="13">
        <v>10785</v>
      </c>
      <c r="C8" s="8">
        <v>408.20001200000002</v>
      </c>
      <c r="D8" s="8">
        <v>424.79998799999998</v>
      </c>
      <c r="E8" s="8">
        <v>407.20001200000002</v>
      </c>
      <c r="F8" s="8">
        <v>424.209991</v>
      </c>
      <c r="G8" s="8">
        <v>424.209991</v>
      </c>
      <c r="H8" s="8">
        <v>4265220000</v>
      </c>
      <c r="I8" s="54">
        <v>1.4E-2</v>
      </c>
      <c r="K8" s="1"/>
      <c r="L8" s="8"/>
      <c r="M8" s="8"/>
      <c r="N8" s="8"/>
      <c r="O8" s="8"/>
      <c r="P8" s="8"/>
      <c r="Q8" s="8"/>
    </row>
    <row r="9" spans="1:17" x14ac:dyDescent="0.35">
      <c r="A9" s="1">
        <v>33817</v>
      </c>
      <c r="B9" s="13">
        <v>10915</v>
      </c>
      <c r="C9" s="8">
        <v>424.19000199999999</v>
      </c>
      <c r="D9" s="8">
        <v>425.14001500000001</v>
      </c>
      <c r="E9" s="8">
        <v>408.29998799999998</v>
      </c>
      <c r="F9" s="8">
        <v>414.02999899999998</v>
      </c>
      <c r="G9" s="8">
        <v>414.02999899999998</v>
      </c>
      <c r="H9" s="8">
        <v>3653820000</v>
      </c>
      <c r="I9" s="54">
        <v>1.4E-2</v>
      </c>
      <c r="K9" s="1"/>
      <c r="L9" s="8"/>
      <c r="M9" s="8"/>
      <c r="N9" s="8"/>
      <c r="O9" s="8"/>
      <c r="P9" s="8"/>
      <c r="Q9" s="8"/>
    </row>
    <row r="10" spans="1:17" x14ac:dyDescent="0.35">
      <c r="A10" s="1">
        <v>33848</v>
      </c>
      <c r="B10" s="13">
        <v>10980</v>
      </c>
      <c r="C10" s="8">
        <v>414.02999899999998</v>
      </c>
      <c r="D10" s="8">
        <v>425.26998900000001</v>
      </c>
      <c r="E10" s="8">
        <v>412.709991</v>
      </c>
      <c r="F10" s="8">
        <v>417.79998799999998</v>
      </c>
      <c r="G10" s="8">
        <v>417.79998799999998</v>
      </c>
      <c r="H10" s="8">
        <v>4023850000</v>
      </c>
      <c r="I10" s="54">
        <v>1.4E-2</v>
      </c>
      <c r="K10" s="1"/>
      <c r="L10" s="8"/>
      <c r="M10" s="8"/>
      <c r="N10" s="8"/>
      <c r="O10" s="8"/>
      <c r="P10" s="8"/>
      <c r="Q10" s="8"/>
    </row>
    <row r="11" spans="1:17" x14ac:dyDescent="0.35">
      <c r="A11" s="1">
        <v>33878</v>
      </c>
      <c r="B11" s="13">
        <v>10971</v>
      </c>
      <c r="C11" s="8">
        <v>417.79998799999998</v>
      </c>
      <c r="D11" s="8">
        <v>421.16000400000001</v>
      </c>
      <c r="E11" s="8">
        <v>396.79998799999998</v>
      </c>
      <c r="F11" s="8">
        <v>418.67999300000002</v>
      </c>
      <c r="G11" s="8">
        <v>418.67999300000002</v>
      </c>
      <c r="H11" s="8">
        <v>4507010000</v>
      </c>
      <c r="I11" s="54">
        <v>1.3899999999999999E-2</v>
      </c>
      <c r="K11" s="1"/>
      <c r="L11" s="8"/>
      <c r="M11" s="8"/>
      <c r="N11" s="8"/>
      <c r="O11" s="8"/>
      <c r="P11" s="8"/>
      <c r="Q11" s="8"/>
    </row>
    <row r="12" spans="1:17" x14ac:dyDescent="0.35">
      <c r="A12" s="1">
        <v>33909</v>
      </c>
      <c r="B12" s="13">
        <v>10873</v>
      </c>
      <c r="C12" s="8">
        <v>418.66000400000001</v>
      </c>
      <c r="D12" s="8">
        <v>431.92999300000002</v>
      </c>
      <c r="E12" s="8">
        <v>415.57998700000002</v>
      </c>
      <c r="F12" s="8">
        <v>431.35000600000001</v>
      </c>
      <c r="G12" s="8">
        <v>431.35000600000001</v>
      </c>
      <c r="H12" s="8">
        <v>4148770000</v>
      </c>
      <c r="I12" s="54">
        <v>1.3899999999999999E-2</v>
      </c>
      <c r="K12" s="1"/>
      <c r="L12" s="8"/>
      <c r="M12" s="8"/>
      <c r="N12" s="8"/>
      <c r="O12" s="8"/>
      <c r="P12" s="8"/>
      <c r="Q12" s="8"/>
    </row>
    <row r="13" spans="1:17" x14ac:dyDescent="0.35">
      <c r="A13" s="1">
        <v>33939</v>
      </c>
      <c r="B13" s="13">
        <v>11082</v>
      </c>
      <c r="C13" s="8">
        <v>431.35000600000001</v>
      </c>
      <c r="D13" s="8">
        <v>442.64999399999999</v>
      </c>
      <c r="E13" s="8">
        <v>428.60998499999999</v>
      </c>
      <c r="F13" s="8">
        <v>435.709991</v>
      </c>
      <c r="G13" s="8">
        <v>435.709991</v>
      </c>
      <c r="H13" s="8">
        <v>4876150000</v>
      </c>
      <c r="I13" s="54">
        <v>1.3899999999999999E-2</v>
      </c>
      <c r="K13" s="1"/>
      <c r="L13" s="8"/>
      <c r="M13" s="8"/>
      <c r="N13" s="8"/>
      <c r="O13" s="8"/>
      <c r="P13" s="8"/>
      <c r="Q13" s="8"/>
    </row>
    <row r="14" spans="1:17" x14ac:dyDescent="0.35">
      <c r="A14" s="1">
        <v>33970</v>
      </c>
      <c r="B14" s="13">
        <v>11333</v>
      </c>
      <c r="C14" s="8">
        <v>435.70001200000002</v>
      </c>
      <c r="D14" s="8">
        <v>442.66000400000001</v>
      </c>
      <c r="E14" s="8">
        <v>426.88000499999998</v>
      </c>
      <c r="F14" s="8">
        <v>438.77999899999998</v>
      </c>
      <c r="G14" s="8">
        <v>438.77999899999998</v>
      </c>
      <c r="H14" s="8">
        <v>5280850000</v>
      </c>
      <c r="I14" s="54">
        <v>1.3899999999999999E-2</v>
      </c>
      <c r="K14" s="1"/>
      <c r="L14" s="8"/>
      <c r="M14" s="8"/>
      <c r="N14" s="8"/>
      <c r="O14" s="8"/>
      <c r="P14" s="8"/>
      <c r="Q14" s="8"/>
    </row>
    <row r="15" spans="1:17" x14ac:dyDescent="0.35">
      <c r="A15" s="1">
        <v>34001</v>
      </c>
      <c r="B15" s="13">
        <v>11410</v>
      </c>
      <c r="C15" s="8">
        <v>438.77999899999998</v>
      </c>
      <c r="D15" s="8">
        <v>450.040009</v>
      </c>
      <c r="E15" s="8">
        <v>428.25</v>
      </c>
      <c r="F15" s="8">
        <v>443.38000499999998</v>
      </c>
      <c r="G15" s="8">
        <v>443.38000499999998</v>
      </c>
      <c r="H15" s="8">
        <v>5442450000</v>
      </c>
      <c r="I15" s="54">
        <v>1.3899999999999999E-2</v>
      </c>
      <c r="K15" s="1"/>
      <c r="L15" s="8"/>
      <c r="M15" s="8"/>
      <c r="N15" s="8"/>
      <c r="O15" s="8"/>
      <c r="P15" s="8"/>
      <c r="Q15" s="8"/>
    </row>
    <row r="16" spans="1:17" x14ac:dyDescent="0.35">
      <c r="A16" s="1">
        <v>34029</v>
      </c>
      <c r="B16" s="13">
        <v>11184</v>
      </c>
      <c r="C16" s="8">
        <v>443.38000499999998</v>
      </c>
      <c r="D16" s="8">
        <v>456.76001000000002</v>
      </c>
      <c r="E16" s="8">
        <v>441.07000699999998</v>
      </c>
      <c r="F16" s="8">
        <v>451.67001299999998</v>
      </c>
      <c r="G16" s="8">
        <v>451.67001299999998</v>
      </c>
      <c r="H16" s="8">
        <v>5766950000</v>
      </c>
      <c r="I16" s="54">
        <v>1.38E-2</v>
      </c>
      <c r="K16" s="1"/>
      <c r="L16" s="8"/>
      <c r="M16" s="8"/>
      <c r="N16" s="8"/>
      <c r="O16" s="8"/>
      <c r="P16" s="8"/>
      <c r="Q16" s="8"/>
    </row>
    <row r="17" spans="1:17" x14ac:dyDescent="0.35">
      <c r="A17" s="1">
        <v>34060</v>
      </c>
      <c r="B17" s="13">
        <v>11417</v>
      </c>
      <c r="C17" s="8">
        <v>451.67001299999998</v>
      </c>
      <c r="D17" s="8">
        <v>452.63000499999998</v>
      </c>
      <c r="E17" s="8">
        <v>432.29998799999998</v>
      </c>
      <c r="F17" s="8">
        <v>440.19000199999999</v>
      </c>
      <c r="G17" s="8">
        <v>440.19000199999999</v>
      </c>
      <c r="H17" s="8">
        <v>5853170000</v>
      </c>
      <c r="I17" s="54">
        <v>1.3599999999999999E-2</v>
      </c>
      <c r="K17" s="1"/>
      <c r="L17" s="8"/>
      <c r="M17" s="8"/>
      <c r="N17" s="8"/>
      <c r="O17" s="8"/>
      <c r="P17" s="8"/>
      <c r="Q17" s="8"/>
    </row>
    <row r="18" spans="1:17" x14ac:dyDescent="0.35">
      <c r="A18" s="1">
        <v>34090</v>
      </c>
      <c r="B18" s="13">
        <v>11720</v>
      </c>
      <c r="C18" s="8">
        <v>440.19000199999999</v>
      </c>
      <c r="D18" s="8">
        <v>454.54998799999998</v>
      </c>
      <c r="E18" s="8">
        <v>436.85998499999999</v>
      </c>
      <c r="F18" s="8">
        <v>450.19000199999999</v>
      </c>
      <c r="G18" s="8">
        <v>450.19000199999999</v>
      </c>
      <c r="H18" s="8">
        <v>5108640000</v>
      </c>
      <c r="I18" s="54">
        <v>1.35E-2</v>
      </c>
      <c r="K18" s="1"/>
      <c r="L18" s="8"/>
      <c r="M18" s="8"/>
      <c r="N18" s="8"/>
      <c r="O18" s="8"/>
      <c r="P18" s="8"/>
      <c r="Q18" s="8"/>
    </row>
    <row r="19" spans="1:17" x14ac:dyDescent="0.35">
      <c r="A19" s="1">
        <v>34121</v>
      </c>
      <c r="B19" s="13">
        <v>11669</v>
      </c>
      <c r="C19" s="8">
        <v>450.23001099999999</v>
      </c>
      <c r="D19" s="8">
        <v>455.63000499999998</v>
      </c>
      <c r="E19" s="8">
        <v>442.5</v>
      </c>
      <c r="F19" s="8">
        <v>450.52999899999998</v>
      </c>
      <c r="G19" s="8">
        <v>450.52999899999998</v>
      </c>
      <c r="H19" s="8">
        <v>5544400000</v>
      </c>
      <c r="I19" s="54">
        <v>1.34E-2</v>
      </c>
      <c r="K19" s="1"/>
      <c r="L19" s="8"/>
      <c r="M19" s="8"/>
      <c r="N19" s="8"/>
      <c r="O19" s="8"/>
      <c r="P19" s="8"/>
      <c r="Q19" s="8"/>
    </row>
    <row r="20" spans="1:17" x14ac:dyDescent="0.35">
      <c r="A20" s="1">
        <v>34151</v>
      </c>
      <c r="B20" s="13">
        <v>11781</v>
      </c>
      <c r="C20" s="8">
        <v>450.540009</v>
      </c>
      <c r="D20" s="8">
        <v>451.14999399999999</v>
      </c>
      <c r="E20" s="8">
        <v>441.39999399999999</v>
      </c>
      <c r="F20" s="8">
        <v>448.13000499999998</v>
      </c>
      <c r="G20" s="8">
        <v>448.13000499999998</v>
      </c>
      <c r="H20" s="8">
        <v>5308530000</v>
      </c>
      <c r="I20" s="54">
        <v>1.3299999999999999E-2</v>
      </c>
      <c r="K20" s="1"/>
      <c r="L20" s="8"/>
      <c r="M20" s="8"/>
      <c r="N20" s="8"/>
      <c r="O20" s="8"/>
      <c r="P20" s="8"/>
      <c r="Q20" s="8"/>
    </row>
    <row r="21" spans="1:17" x14ac:dyDescent="0.35">
      <c r="A21" s="1">
        <v>34182</v>
      </c>
      <c r="B21" s="13">
        <v>11875</v>
      </c>
      <c r="C21" s="8">
        <v>448.13000499999998</v>
      </c>
      <c r="D21" s="8">
        <v>463.55999800000001</v>
      </c>
      <c r="E21" s="8">
        <v>446.94000199999999</v>
      </c>
      <c r="F21" s="8">
        <v>463.55999800000001</v>
      </c>
      <c r="G21" s="8">
        <v>463.55999800000001</v>
      </c>
      <c r="H21" s="8">
        <v>5506200000</v>
      </c>
      <c r="I21" s="54">
        <v>1.3100000000000001E-2</v>
      </c>
      <c r="K21" s="1"/>
      <c r="L21" s="8"/>
      <c r="M21" s="8"/>
      <c r="N21" s="8"/>
      <c r="O21" s="8"/>
      <c r="P21" s="8"/>
      <c r="Q21" s="8"/>
    </row>
    <row r="22" spans="1:17" x14ac:dyDescent="0.35">
      <c r="A22" s="1">
        <v>34213</v>
      </c>
      <c r="B22" s="13">
        <v>11786</v>
      </c>
      <c r="C22" s="8">
        <v>463.54998799999998</v>
      </c>
      <c r="D22" s="8">
        <v>463.79998799999998</v>
      </c>
      <c r="E22" s="8">
        <v>449.64001500000001</v>
      </c>
      <c r="F22" s="8">
        <v>458.92999300000002</v>
      </c>
      <c r="G22" s="8">
        <v>458.92999300000002</v>
      </c>
      <c r="H22" s="8">
        <v>5552720000</v>
      </c>
      <c r="I22" s="54">
        <v>1.2999999999999999E-2</v>
      </c>
      <c r="K22" s="1"/>
      <c r="L22" s="8"/>
      <c r="M22" s="8"/>
      <c r="N22" s="8"/>
      <c r="O22" s="8"/>
      <c r="P22" s="8"/>
      <c r="Q22" s="8"/>
    </row>
    <row r="23" spans="1:17" x14ac:dyDescent="0.35">
      <c r="A23" s="1">
        <v>34243</v>
      </c>
      <c r="B23" s="13">
        <v>11908</v>
      </c>
      <c r="C23" s="8">
        <v>458.92999300000002</v>
      </c>
      <c r="D23" s="8">
        <v>471.10000600000001</v>
      </c>
      <c r="E23" s="8">
        <v>456.39999399999999</v>
      </c>
      <c r="F23" s="8">
        <v>467.82998700000002</v>
      </c>
      <c r="G23" s="8">
        <v>467.82998700000002</v>
      </c>
      <c r="H23" s="8">
        <v>5940460000</v>
      </c>
      <c r="I23" s="54">
        <v>1.29E-2</v>
      </c>
      <c r="K23" s="1"/>
      <c r="L23" s="8"/>
      <c r="M23" s="8"/>
      <c r="N23" s="8"/>
      <c r="O23" s="8"/>
      <c r="P23" s="8"/>
      <c r="Q23" s="8"/>
    </row>
    <row r="24" spans="1:17" x14ac:dyDescent="0.35">
      <c r="A24" s="1">
        <v>34274</v>
      </c>
      <c r="B24" s="13">
        <v>12297</v>
      </c>
      <c r="C24" s="8">
        <v>467.82998700000002</v>
      </c>
      <c r="D24" s="8">
        <v>469.10998499999999</v>
      </c>
      <c r="E24" s="8">
        <v>454.35998499999999</v>
      </c>
      <c r="F24" s="8">
        <v>461.790009</v>
      </c>
      <c r="G24" s="8">
        <v>461.790009</v>
      </c>
      <c r="H24" s="8">
        <v>5876610000</v>
      </c>
      <c r="I24" s="54">
        <v>1.2800000000000001E-2</v>
      </c>
      <c r="K24" s="1"/>
      <c r="L24" s="8"/>
      <c r="M24" s="8"/>
      <c r="N24" s="8"/>
      <c r="O24" s="8"/>
      <c r="P24" s="8"/>
      <c r="Q24" s="8"/>
    </row>
    <row r="25" spans="1:17" x14ac:dyDescent="0.35">
      <c r="A25" s="1">
        <v>34304</v>
      </c>
      <c r="B25" s="13">
        <v>12583</v>
      </c>
      <c r="C25" s="8">
        <v>461.92999300000002</v>
      </c>
      <c r="D25" s="8">
        <v>471.290009</v>
      </c>
      <c r="E25" s="8">
        <v>461.45001200000002</v>
      </c>
      <c r="F25" s="8">
        <v>466.45001200000002</v>
      </c>
      <c r="G25" s="8">
        <v>466.45001200000002</v>
      </c>
      <c r="H25" s="8">
        <v>5791210000</v>
      </c>
      <c r="I25" s="54">
        <v>1.2699999999999999E-2</v>
      </c>
      <c r="K25" s="1"/>
      <c r="L25" s="8"/>
      <c r="M25" s="8"/>
      <c r="N25" s="8"/>
      <c r="O25" s="8"/>
      <c r="P25" s="8"/>
      <c r="Q25" s="8"/>
    </row>
    <row r="26" spans="1:17" x14ac:dyDescent="0.35">
      <c r="A26" s="1">
        <v>34335</v>
      </c>
      <c r="B26" s="13">
        <v>12316</v>
      </c>
      <c r="C26" s="8">
        <v>466.51001000000002</v>
      </c>
      <c r="D26" s="8">
        <v>482.85000600000001</v>
      </c>
      <c r="E26" s="8">
        <v>464.35998499999999</v>
      </c>
      <c r="F26" s="8">
        <v>481.60998499999999</v>
      </c>
      <c r="G26" s="8">
        <v>481.60998499999999</v>
      </c>
      <c r="H26" s="8">
        <v>6627390000</v>
      </c>
      <c r="I26" s="54">
        <v>1.2699999999999999E-2</v>
      </c>
      <c r="K26" s="1"/>
      <c r="L26" s="8"/>
      <c r="M26" s="8"/>
      <c r="N26" s="8"/>
      <c r="O26" s="8"/>
      <c r="P26" s="8"/>
      <c r="Q26" s="8"/>
    </row>
    <row r="27" spans="1:17" x14ac:dyDescent="0.35">
      <c r="A27" s="1">
        <v>34366</v>
      </c>
      <c r="B27" s="13">
        <v>12233</v>
      </c>
      <c r="C27" s="8">
        <v>481.60000600000001</v>
      </c>
      <c r="D27" s="8">
        <v>482.23001099999999</v>
      </c>
      <c r="E27" s="8">
        <v>464.26001000000002</v>
      </c>
      <c r="F27" s="8">
        <v>467.14001500000001</v>
      </c>
      <c r="G27" s="8">
        <v>467.14001500000001</v>
      </c>
      <c r="H27" s="8">
        <v>5853100000</v>
      </c>
      <c r="I27" s="54">
        <v>1.2500000000000001E-2</v>
      </c>
      <c r="K27" s="1"/>
      <c r="L27" s="8"/>
      <c r="M27" s="8"/>
      <c r="N27" s="8"/>
      <c r="O27" s="8"/>
      <c r="P27" s="8"/>
      <c r="Q27" s="8"/>
    </row>
    <row r="28" spans="1:17" x14ac:dyDescent="0.35">
      <c r="A28" s="1">
        <v>34394</v>
      </c>
      <c r="B28" s="13">
        <v>12767</v>
      </c>
      <c r="C28" s="8">
        <v>467.19000199999999</v>
      </c>
      <c r="D28" s="8">
        <v>471.08999599999999</v>
      </c>
      <c r="E28" s="8">
        <v>436.16000400000001</v>
      </c>
      <c r="F28" s="8">
        <v>445.76998900000001</v>
      </c>
      <c r="G28" s="8">
        <v>445.76998900000001</v>
      </c>
      <c r="H28" s="8">
        <v>7225010000</v>
      </c>
      <c r="I28" s="54">
        <v>1.2500000000000001E-2</v>
      </c>
      <c r="K28" s="1"/>
      <c r="L28" s="8"/>
      <c r="M28" s="8"/>
      <c r="N28" s="8"/>
      <c r="O28" s="8"/>
      <c r="P28" s="8"/>
      <c r="Q28" s="8"/>
    </row>
    <row r="29" spans="1:17" x14ac:dyDescent="0.35">
      <c r="A29" s="1">
        <v>34425</v>
      </c>
      <c r="B29" s="13">
        <v>13076</v>
      </c>
      <c r="C29" s="8">
        <v>445.66000400000001</v>
      </c>
      <c r="D29" s="8">
        <v>452.790009</v>
      </c>
      <c r="E29" s="8">
        <v>435.85998499999999</v>
      </c>
      <c r="F29" s="8">
        <v>450.91000400000001</v>
      </c>
      <c r="G29" s="8">
        <v>450.91000400000001</v>
      </c>
      <c r="H29" s="8">
        <v>5735010000</v>
      </c>
      <c r="I29" s="54">
        <v>1.2500000000000001E-2</v>
      </c>
      <c r="K29" s="1"/>
      <c r="L29" s="8"/>
      <c r="M29" s="8"/>
      <c r="N29" s="8"/>
      <c r="O29" s="8"/>
      <c r="P29" s="8"/>
      <c r="Q29" s="8"/>
    </row>
    <row r="30" spans="1:17" x14ac:dyDescent="0.35">
      <c r="A30" s="1">
        <v>34455</v>
      </c>
      <c r="B30" s="13">
        <v>13033</v>
      </c>
      <c r="C30" s="8">
        <v>450.91000400000001</v>
      </c>
      <c r="D30" s="8">
        <v>457.76998900000001</v>
      </c>
      <c r="E30" s="8">
        <v>440.77999899999998</v>
      </c>
      <c r="F30" s="8">
        <v>456.5</v>
      </c>
      <c r="G30" s="8">
        <v>456.5</v>
      </c>
      <c r="H30" s="8">
        <v>5675970000</v>
      </c>
      <c r="I30" s="54">
        <v>1.24E-2</v>
      </c>
      <c r="K30" s="1"/>
      <c r="L30" s="8"/>
      <c r="M30" s="8"/>
      <c r="N30" s="8"/>
      <c r="O30" s="8"/>
      <c r="P30" s="8"/>
      <c r="Q30" s="8"/>
    </row>
    <row r="31" spans="1:17" x14ac:dyDescent="0.35">
      <c r="A31" s="1">
        <v>34486</v>
      </c>
      <c r="B31" s="13">
        <v>12987</v>
      </c>
      <c r="C31" s="8">
        <v>456.5</v>
      </c>
      <c r="D31" s="8">
        <v>463.23001099999999</v>
      </c>
      <c r="E31" s="8">
        <v>439.82998700000002</v>
      </c>
      <c r="F31" s="8">
        <v>444.26998900000001</v>
      </c>
      <c r="G31" s="8">
        <v>444.26998900000001</v>
      </c>
      <c r="H31" s="8">
        <v>5852670000</v>
      </c>
      <c r="I31" s="54">
        <v>1.24E-2</v>
      </c>
      <c r="K31" s="1"/>
      <c r="L31" s="8"/>
      <c r="M31" s="8"/>
      <c r="N31" s="8"/>
      <c r="O31" s="8"/>
      <c r="P31" s="8"/>
      <c r="Q31" s="8"/>
    </row>
    <row r="32" spans="1:17" x14ac:dyDescent="0.35">
      <c r="A32" s="1">
        <v>34516</v>
      </c>
      <c r="B32" s="13">
        <v>13130</v>
      </c>
      <c r="C32" s="8">
        <v>444.26998900000001</v>
      </c>
      <c r="D32" s="8">
        <v>459.32998700000002</v>
      </c>
      <c r="E32" s="8">
        <v>443.57998700000002</v>
      </c>
      <c r="F32" s="8">
        <v>458.26001000000002</v>
      </c>
      <c r="G32" s="8">
        <v>458.26001000000002</v>
      </c>
      <c r="H32" s="8">
        <v>4980100000</v>
      </c>
      <c r="I32" s="54">
        <v>1.23E-2</v>
      </c>
      <c r="K32" s="1"/>
      <c r="L32" s="8"/>
      <c r="M32" s="8"/>
      <c r="N32" s="8"/>
      <c r="O32" s="8"/>
      <c r="P32" s="8"/>
      <c r="Q32" s="8"/>
    </row>
    <row r="33" spans="1:17" x14ac:dyDescent="0.35">
      <c r="A33" s="1">
        <v>34547</v>
      </c>
      <c r="B33" s="13">
        <v>13224</v>
      </c>
      <c r="C33" s="8">
        <v>458.27999899999998</v>
      </c>
      <c r="D33" s="8">
        <v>477.58999599999999</v>
      </c>
      <c r="E33" s="8">
        <v>456.07998700000002</v>
      </c>
      <c r="F33" s="8">
        <v>475.48998999999998</v>
      </c>
      <c r="G33" s="8">
        <v>475.48998999999998</v>
      </c>
      <c r="H33" s="8">
        <v>6398750000</v>
      </c>
      <c r="I33" s="54">
        <v>1.2200000000000001E-2</v>
      </c>
      <c r="K33" s="1"/>
      <c r="L33" s="8"/>
      <c r="M33" s="8"/>
      <c r="N33" s="8"/>
      <c r="O33" s="8"/>
      <c r="P33" s="8"/>
      <c r="Q33" s="8"/>
    </row>
    <row r="34" spans="1:17" x14ac:dyDescent="0.35">
      <c r="A34" s="1">
        <v>34578</v>
      </c>
      <c r="B34" s="13">
        <v>13375</v>
      </c>
      <c r="C34" s="8">
        <v>475.48998999999998</v>
      </c>
      <c r="D34" s="8">
        <v>475.48998999999998</v>
      </c>
      <c r="E34" s="8">
        <v>458.47000100000002</v>
      </c>
      <c r="F34" s="8">
        <v>462.709991</v>
      </c>
      <c r="G34" s="8">
        <v>462.709991</v>
      </c>
      <c r="H34" s="8">
        <v>6152870000</v>
      </c>
      <c r="I34" s="54">
        <v>1.2200000000000001E-2</v>
      </c>
      <c r="K34" s="1"/>
      <c r="L34" s="8"/>
      <c r="M34" s="8"/>
      <c r="N34" s="8"/>
      <c r="O34" s="8"/>
      <c r="P34" s="8"/>
      <c r="Q34" s="8"/>
    </row>
    <row r="35" spans="1:17" x14ac:dyDescent="0.35">
      <c r="A35" s="1">
        <v>34608</v>
      </c>
      <c r="B35" s="13">
        <v>13550</v>
      </c>
      <c r="C35" s="8">
        <v>462.69000199999999</v>
      </c>
      <c r="D35" s="8">
        <v>474.73998999999998</v>
      </c>
      <c r="E35" s="8">
        <v>449.26998900000001</v>
      </c>
      <c r="F35" s="8">
        <v>472.35000600000001</v>
      </c>
      <c r="G35" s="8">
        <v>472.35000600000001</v>
      </c>
      <c r="H35" s="8">
        <v>6344700000</v>
      </c>
      <c r="I35" s="54">
        <v>1.21E-2</v>
      </c>
      <c r="K35" s="1"/>
      <c r="L35" s="8"/>
      <c r="M35" s="8"/>
      <c r="N35" s="8"/>
      <c r="O35" s="8"/>
      <c r="P35" s="8"/>
      <c r="Q35" s="8"/>
    </row>
    <row r="36" spans="1:17" x14ac:dyDescent="0.35">
      <c r="A36" s="1">
        <v>34639</v>
      </c>
      <c r="B36" s="13">
        <v>13384</v>
      </c>
      <c r="C36" s="8">
        <v>472.26001000000002</v>
      </c>
      <c r="D36" s="8">
        <v>472.26001000000002</v>
      </c>
      <c r="E36" s="8">
        <v>444.17999300000002</v>
      </c>
      <c r="F36" s="8">
        <v>453.69000199999999</v>
      </c>
      <c r="G36" s="8">
        <v>453.69000199999999</v>
      </c>
      <c r="H36" s="8">
        <v>6251240000</v>
      </c>
      <c r="I36" s="54">
        <v>1.21E-2</v>
      </c>
      <c r="K36" s="1"/>
      <c r="L36" s="8"/>
      <c r="M36" s="8"/>
      <c r="N36" s="8"/>
      <c r="O36" s="8"/>
      <c r="P36" s="8"/>
      <c r="Q36" s="8"/>
    </row>
    <row r="37" spans="1:17" x14ac:dyDescent="0.35">
      <c r="A37" s="1">
        <v>34669</v>
      </c>
      <c r="B37" s="13">
        <v>13981</v>
      </c>
      <c r="C37" s="8">
        <v>453.54998799999998</v>
      </c>
      <c r="D37" s="8">
        <v>462.73001099999999</v>
      </c>
      <c r="E37" s="8">
        <v>442.88000499999998</v>
      </c>
      <c r="F37" s="8">
        <v>459.26998900000001</v>
      </c>
      <c r="G37" s="8">
        <v>459.26998900000001</v>
      </c>
      <c r="H37" s="8">
        <v>6351530000</v>
      </c>
      <c r="I37" s="54">
        <v>1.21E-2</v>
      </c>
      <c r="K37" s="1"/>
      <c r="L37" s="8"/>
      <c r="M37" s="8"/>
      <c r="N37" s="8"/>
      <c r="O37" s="8"/>
      <c r="P37" s="8"/>
      <c r="Q37" s="8"/>
    </row>
    <row r="38" spans="1:17" x14ac:dyDescent="0.35">
      <c r="A38" s="1">
        <v>34700</v>
      </c>
      <c r="B38" s="13">
        <v>13738</v>
      </c>
      <c r="C38" s="8">
        <v>459.209991</v>
      </c>
      <c r="D38" s="8">
        <v>471.35998499999999</v>
      </c>
      <c r="E38" s="8">
        <v>457.20001200000002</v>
      </c>
      <c r="F38" s="8">
        <v>470.42001299999998</v>
      </c>
      <c r="G38" s="8">
        <v>470.42001299999998</v>
      </c>
      <c r="H38" s="8">
        <v>6852060000</v>
      </c>
      <c r="I38" s="54">
        <v>1.21E-2</v>
      </c>
      <c r="K38" s="1"/>
      <c r="L38" s="8"/>
      <c r="M38" s="8"/>
      <c r="N38" s="8"/>
      <c r="O38" s="8"/>
      <c r="P38" s="8"/>
      <c r="Q38" s="8"/>
    </row>
    <row r="39" spans="1:17" x14ac:dyDescent="0.35">
      <c r="A39" s="1">
        <v>34731</v>
      </c>
      <c r="B39" s="13">
        <v>13613</v>
      </c>
      <c r="C39" s="8">
        <v>470.42001299999998</v>
      </c>
      <c r="D39" s="8">
        <v>489.19000199999999</v>
      </c>
      <c r="E39" s="8">
        <v>469.290009</v>
      </c>
      <c r="F39" s="8">
        <v>487.39001500000001</v>
      </c>
      <c r="G39" s="8">
        <v>487.39001500000001</v>
      </c>
      <c r="H39" s="8">
        <v>6330100000</v>
      </c>
      <c r="I39" s="54">
        <v>1.21E-2</v>
      </c>
      <c r="K39" s="1"/>
      <c r="L39" s="8"/>
      <c r="M39" s="8"/>
      <c r="N39" s="8"/>
      <c r="O39" s="8"/>
      <c r="P39" s="8"/>
      <c r="Q39" s="8"/>
    </row>
    <row r="40" spans="1:17" x14ac:dyDescent="0.35">
      <c r="A40" s="1">
        <v>34759</v>
      </c>
      <c r="B40" s="13">
        <v>13587</v>
      </c>
      <c r="C40" s="8">
        <v>487.39001500000001</v>
      </c>
      <c r="D40" s="8">
        <v>508.14999399999999</v>
      </c>
      <c r="E40" s="8">
        <v>479.70001200000002</v>
      </c>
      <c r="F40" s="8">
        <v>500.709991</v>
      </c>
      <c r="G40" s="8">
        <v>500.709991</v>
      </c>
      <c r="H40" s="8">
        <v>7792400000</v>
      </c>
      <c r="I40" s="54">
        <v>1.21E-2</v>
      </c>
      <c r="K40" s="1"/>
      <c r="L40" s="8"/>
      <c r="M40" s="8"/>
      <c r="N40" s="8"/>
      <c r="O40" s="8"/>
      <c r="P40" s="8"/>
      <c r="Q40" s="8"/>
    </row>
    <row r="41" spans="1:17" x14ac:dyDescent="0.35">
      <c r="A41" s="1">
        <v>34790</v>
      </c>
      <c r="B41" s="13">
        <v>13415</v>
      </c>
      <c r="C41" s="8">
        <v>500.70001200000002</v>
      </c>
      <c r="D41" s="8">
        <v>515.28997800000002</v>
      </c>
      <c r="E41" s="8">
        <v>500.20001200000002</v>
      </c>
      <c r="F41" s="8">
        <v>514.71002199999998</v>
      </c>
      <c r="G41" s="8">
        <v>514.71002199999998</v>
      </c>
      <c r="H41" s="8">
        <v>6307030000</v>
      </c>
      <c r="I41" s="54">
        <v>1.2E-2</v>
      </c>
      <c r="K41" s="1"/>
      <c r="L41" s="8"/>
      <c r="M41" s="8"/>
      <c r="N41" s="8"/>
      <c r="O41" s="8"/>
      <c r="P41" s="8"/>
      <c r="Q41" s="8"/>
    </row>
    <row r="42" spans="1:17" x14ac:dyDescent="0.35">
      <c r="A42" s="1">
        <v>34820</v>
      </c>
      <c r="B42" s="13">
        <v>13370</v>
      </c>
      <c r="C42" s="8">
        <v>514.76000999999997</v>
      </c>
      <c r="D42" s="8">
        <v>533.40997300000004</v>
      </c>
      <c r="E42" s="8">
        <v>513.03002900000001</v>
      </c>
      <c r="F42" s="8">
        <v>533.40002400000003</v>
      </c>
      <c r="G42" s="8">
        <v>533.40002400000003</v>
      </c>
      <c r="H42" s="8">
        <v>7555690000</v>
      </c>
      <c r="I42" s="54">
        <v>1.2E-2</v>
      </c>
      <c r="K42" s="1"/>
      <c r="L42" s="8"/>
      <c r="M42" s="8"/>
      <c r="N42" s="8"/>
      <c r="O42" s="8"/>
      <c r="P42" s="8"/>
      <c r="Q42" s="8"/>
    </row>
    <row r="43" spans="1:17" x14ac:dyDescent="0.35">
      <c r="A43" s="1">
        <v>34851</v>
      </c>
      <c r="B43" s="13">
        <v>13548</v>
      </c>
      <c r="C43" s="8">
        <v>533.40002400000003</v>
      </c>
      <c r="D43" s="8">
        <v>551.07000700000003</v>
      </c>
      <c r="E43" s="8">
        <v>526</v>
      </c>
      <c r="F43" s="8">
        <v>544.75</v>
      </c>
      <c r="G43" s="8">
        <v>544.75</v>
      </c>
      <c r="H43" s="8">
        <v>7555650000</v>
      </c>
      <c r="I43" s="54">
        <v>1.2E-2</v>
      </c>
      <c r="K43" s="1"/>
      <c r="L43" s="8"/>
      <c r="M43" s="8"/>
      <c r="N43" s="8"/>
      <c r="O43" s="8"/>
      <c r="P43" s="8"/>
      <c r="Q43" s="8"/>
    </row>
    <row r="44" spans="1:17" x14ac:dyDescent="0.35">
      <c r="A44" s="1">
        <v>34881</v>
      </c>
      <c r="B44" s="13">
        <v>13645</v>
      </c>
      <c r="C44" s="8">
        <v>544.75</v>
      </c>
      <c r="D44" s="8">
        <v>565.40002400000003</v>
      </c>
      <c r="E44" s="8">
        <v>542.51000999999997</v>
      </c>
      <c r="F44" s="8">
        <v>562.05999799999995</v>
      </c>
      <c r="G44" s="8">
        <v>562.05999799999995</v>
      </c>
      <c r="H44" s="8">
        <v>7307960000</v>
      </c>
      <c r="I44" s="54">
        <v>1.2E-2</v>
      </c>
      <c r="K44" s="1"/>
      <c r="L44" s="8"/>
      <c r="M44" s="8"/>
      <c r="N44" s="8"/>
      <c r="O44" s="8"/>
      <c r="P44" s="8"/>
      <c r="Q44" s="8"/>
    </row>
    <row r="45" spans="1:17" x14ac:dyDescent="0.35">
      <c r="A45" s="1">
        <v>34912</v>
      </c>
      <c r="B45" s="13">
        <v>13683</v>
      </c>
      <c r="C45" s="8">
        <v>562.05999799999995</v>
      </c>
      <c r="D45" s="8">
        <v>565.61999500000002</v>
      </c>
      <c r="E45" s="8">
        <v>553.03997800000002</v>
      </c>
      <c r="F45" s="8">
        <v>561.88000499999998</v>
      </c>
      <c r="G45" s="8">
        <v>561.88000499999998</v>
      </c>
      <c r="H45" s="8">
        <v>7146620000</v>
      </c>
      <c r="I45" s="54">
        <v>1.2E-2</v>
      </c>
      <c r="K45" s="1"/>
      <c r="L45" s="8"/>
      <c r="M45" s="8"/>
      <c r="N45" s="8"/>
      <c r="O45" s="8"/>
      <c r="P45" s="8"/>
      <c r="Q45" s="8"/>
    </row>
    <row r="46" spans="1:17" x14ac:dyDescent="0.35">
      <c r="A46" s="1">
        <v>34943</v>
      </c>
      <c r="B46" s="13">
        <v>13837</v>
      </c>
      <c r="C46" s="8">
        <v>561.88000499999998</v>
      </c>
      <c r="D46" s="8">
        <v>587.60998500000005</v>
      </c>
      <c r="E46" s="8">
        <v>561.01000999999997</v>
      </c>
      <c r="F46" s="8">
        <v>584.40997300000004</v>
      </c>
      <c r="G46" s="8">
        <v>584.40997300000004</v>
      </c>
      <c r="H46" s="8">
        <v>7052830000</v>
      </c>
      <c r="I46" s="54">
        <v>1.2E-2</v>
      </c>
      <c r="K46" s="1"/>
      <c r="L46" s="8"/>
      <c r="M46" s="8"/>
      <c r="N46" s="8"/>
      <c r="O46" s="8"/>
      <c r="P46" s="8"/>
      <c r="Q46" s="8"/>
    </row>
    <row r="47" spans="1:17" x14ac:dyDescent="0.35">
      <c r="A47" s="1">
        <v>34973</v>
      </c>
      <c r="B47" s="13">
        <v>13932</v>
      </c>
      <c r="C47" s="8">
        <v>584.40997300000004</v>
      </c>
      <c r="D47" s="8">
        <v>590.65997300000004</v>
      </c>
      <c r="E47" s="8">
        <v>571.54998799999998</v>
      </c>
      <c r="F47" s="8">
        <v>581.5</v>
      </c>
      <c r="G47" s="8">
        <v>581.5</v>
      </c>
      <c r="H47" s="8">
        <v>8043320000</v>
      </c>
      <c r="I47" s="54">
        <v>1.2E-2</v>
      </c>
      <c r="K47" s="1"/>
      <c r="L47" s="8"/>
      <c r="M47" s="8"/>
      <c r="N47" s="8"/>
      <c r="O47" s="8"/>
      <c r="P47" s="8"/>
      <c r="Q47" s="8"/>
    </row>
    <row r="48" spans="1:17" x14ac:dyDescent="0.35">
      <c r="A48" s="1">
        <v>35004</v>
      </c>
      <c r="B48" s="13">
        <v>14092</v>
      </c>
      <c r="C48" s="8">
        <v>581.5</v>
      </c>
      <c r="D48" s="8">
        <v>608.69000200000005</v>
      </c>
      <c r="E48" s="8">
        <v>581.03997800000002</v>
      </c>
      <c r="F48" s="8">
        <v>605.36999500000002</v>
      </c>
      <c r="G48" s="8">
        <v>605.36999500000002</v>
      </c>
      <c r="H48" s="8">
        <v>7602150000</v>
      </c>
      <c r="I48" s="54">
        <v>1.2E-2</v>
      </c>
      <c r="K48" s="1"/>
      <c r="L48" s="8"/>
      <c r="M48" s="8"/>
      <c r="N48" s="8"/>
      <c r="O48" s="8"/>
      <c r="P48" s="8"/>
      <c r="Q48" s="8"/>
    </row>
    <row r="49" spans="1:17" x14ac:dyDescent="0.35">
      <c r="A49" s="1">
        <v>35034</v>
      </c>
      <c r="B49" s="13">
        <v>14683</v>
      </c>
      <c r="C49" s="8">
        <v>605.36999500000002</v>
      </c>
      <c r="D49" s="8">
        <v>622.88000499999998</v>
      </c>
      <c r="E49" s="8">
        <v>605.04998799999998</v>
      </c>
      <c r="F49" s="8">
        <v>615.92999299999997</v>
      </c>
      <c r="G49" s="8">
        <v>615.92999299999997</v>
      </c>
      <c r="H49" s="8">
        <v>7697540000</v>
      </c>
      <c r="I49" s="54">
        <v>1.1900000000000001E-2</v>
      </c>
      <c r="K49" s="1"/>
      <c r="L49" s="8"/>
      <c r="M49" s="8"/>
      <c r="N49" s="8"/>
      <c r="O49" s="8"/>
      <c r="P49" s="8"/>
      <c r="Q49" s="8"/>
    </row>
    <row r="50" spans="1:17" x14ac:dyDescent="0.35">
      <c r="A50" s="1">
        <v>35065</v>
      </c>
      <c r="B50" s="13">
        <v>14023</v>
      </c>
      <c r="C50" s="8">
        <v>615.92999299999997</v>
      </c>
      <c r="D50" s="8">
        <v>636.17999299999997</v>
      </c>
      <c r="E50" s="8">
        <v>597.28997800000002</v>
      </c>
      <c r="F50" s="8">
        <v>636.02002000000005</v>
      </c>
      <c r="G50" s="8">
        <v>636.02002000000005</v>
      </c>
      <c r="H50" s="8">
        <v>9188050000</v>
      </c>
      <c r="I50" s="54">
        <v>1.18E-2</v>
      </c>
      <c r="K50" s="1"/>
      <c r="L50" s="8"/>
      <c r="M50" s="8"/>
      <c r="N50" s="8"/>
      <c r="O50" s="8"/>
      <c r="P50" s="8"/>
      <c r="Q50" s="8"/>
    </row>
    <row r="51" spans="1:17" x14ac:dyDescent="0.35">
      <c r="A51" s="1">
        <v>35096</v>
      </c>
      <c r="B51" s="13">
        <v>14036</v>
      </c>
      <c r="C51" s="8">
        <v>636.02002000000005</v>
      </c>
      <c r="D51" s="8">
        <v>664.22997999999995</v>
      </c>
      <c r="E51" s="8">
        <v>633.71002199999998</v>
      </c>
      <c r="F51" s="8">
        <v>640.42999299999997</v>
      </c>
      <c r="G51" s="8">
        <v>640.42999299999997</v>
      </c>
      <c r="H51" s="8">
        <v>8749960000</v>
      </c>
      <c r="I51" s="54">
        <v>1.17E-2</v>
      </c>
      <c r="K51" s="1"/>
      <c r="L51" s="8"/>
      <c r="M51" s="8"/>
      <c r="N51" s="8"/>
      <c r="O51" s="8"/>
      <c r="P51" s="8"/>
      <c r="Q51" s="8"/>
    </row>
    <row r="52" spans="1:17" x14ac:dyDescent="0.35">
      <c r="A52" s="1">
        <v>35125</v>
      </c>
      <c r="B52" s="13">
        <v>14153</v>
      </c>
      <c r="C52" s="8">
        <v>640.42999299999997</v>
      </c>
      <c r="D52" s="8">
        <v>656.96997099999999</v>
      </c>
      <c r="E52" s="8">
        <v>627.63000499999998</v>
      </c>
      <c r="F52" s="8">
        <v>645.5</v>
      </c>
      <c r="G52" s="8">
        <v>645.5</v>
      </c>
      <c r="H52" s="8">
        <v>8984200000</v>
      </c>
      <c r="I52" s="54">
        <v>1.17E-2</v>
      </c>
      <c r="K52" s="1"/>
      <c r="L52" s="8"/>
      <c r="M52" s="8"/>
      <c r="N52" s="8"/>
      <c r="O52" s="8"/>
      <c r="P52" s="8"/>
      <c r="Q52" s="8"/>
    </row>
    <row r="53" spans="1:17" x14ac:dyDescent="0.35">
      <c r="A53" s="1">
        <v>35156</v>
      </c>
      <c r="B53" s="13">
        <v>14340</v>
      </c>
      <c r="C53" s="8">
        <v>645.5</v>
      </c>
      <c r="D53" s="8">
        <v>656.67999299999997</v>
      </c>
      <c r="E53" s="8">
        <v>624.14001499999995</v>
      </c>
      <c r="F53" s="8">
        <v>654.169983</v>
      </c>
      <c r="G53" s="8">
        <v>654.169983</v>
      </c>
      <c r="H53" s="8">
        <v>8875580000</v>
      </c>
      <c r="I53" s="54">
        <v>1.17E-2</v>
      </c>
      <c r="K53" s="1"/>
      <c r="L53" s="8"/>
      <c r="M53" s="8"/>
      <c r="N53" s="8"/>
      <c r="O53" s="8"/>
      <c r="P53" s="8"/>
      <c r="Q53" s="8"/>
    </row>
    <row r="54" spans="1:17" x14ac:dyDescent="0.35">
      <c r="A54" s="1">
        <v>35186</v>
      </c>
      <c r="B54" s="13">
        <v>14450</v>
      </c>
      <c r="C54" s="8">
        <v>654.169983</v>
      </c>
      <c r="D54" s="8">
        <v>681.09997599999997</v>
      </c>
      <c r="E54" s="8">
        <v>630.07000700000003</v>
      </c>
      <c r="F54" s="8">
        <v>669.11999500000002</v>
      </c>
      <c r="G54" s="8">
        <v>669.11999500000002</v>
      </c>
      <c r="H54" s="8">
        <v>8921140000</v>
      </c>
      <c r="I54" s="54">
        <v>1.17E-2</v>
      </c>
      <c r="K54" s="1"/>
      <c r="L54" s="8"/>
      <c r="M54" s="8"/>
      <c r="N54" s="8"/>
      <c r="O54" s="8"/>
      <c r="P54" s="8"/>
      <c r="Q54" s="8"/>
    </row>
    <row r="55" spans="1:17" x14ac:dyDescent="0.35">
      <c r="A55" s="1">
        <v>35217</v>
      </c>
      <c r="B55" s="13">
        <v>14902</v>
      </c>
      <c r="C55" s="8">
        <v>669.11999500000002</v>
      </c>
      <c r="D55" s="8">
        <v>680.32000700000003</v>
      </c>
      <c r="E55" s="8">
        <v>658.75</v>
      </c>
      <c r="F55" s="8">
        <v>670.63000499999998</v>
      </c>
      <c r="G55" s="8">
        <v>670.63000499999998</v>
      </c>
      <c r="H55" s="8">
        <v>7930840000</v>
      </c>
      <c r="I55" s="54">
        <v>1.17E-2</v>
      </c>
      <c r="K55" s="1"/>
      <c r="L55" s="8"/>
      <c r="M55" s="8"/>
      <c r="N55" s="8"/>
      <c r="O55" s="8"/>
      <c r="P55" s="8"/>
      <c r="Q55" s="8"/>
    </row>
    <row r="56" spans="1:17" x14ac:dyDescent="0.35">
      <c r="A56" s="1">
        <v>35247</v>
      </c>
      <c r="B56" s="13">
        <v>14826</v>
      </c>
      <c r="C56" s="8">
        <v>670.63000499999998</v>
      </c>
      <c r="D56" s="8">
        <v>675.88000499999998</v>
      </c>
      <c r="E56" s="8">
        <v>605.88000499999998</v>
      </c>
      <c r="F56" s="8">
        <v>639.95001200000002</v>
      </c>
      <c r="G56" s="8">
        <v>639.95001200000002</v>
      </c>
      <c r="H56" s="8">
        <v>8849860000</v>
      </c>
      <c r="I56" s="54">
        <v>1.17E-2</v>
      </c>
      <c r="K56" s="1"/>
      <c r="L56" s="8"/>
      <c r="M56" s="8"/>
      <c r="N56" s="8"/>
      <c r="O56" s="8"/>
      <c r="P56" s="8"/>
      <c r="Q56" s="8"/>
    </row>
    <row r="57" spans="1:17" x14ac:dyDescent="0.35">
      <c r="A57" s="1">
        <v>35278</v>
      </c>
      <c r="B57" s="13">
        <v>14981</v>
      </c>
      <c r="C57" s="8">
        <v>639.95001200000002</v>
      </c>
      <c r="D57" s="8">
        <v>670.67999299999997</v>
      </c>
      <c r="E57" s="8">
        <v>639.48999000000003</v>
      </c>
      <c r="F57" s="8">
        <v>651.98999000000003</v>
      </c>
      <c r="G57" s="8">
        <v>651.98999000000003</v>
      </c>
      <c r="H57" s="8">
        <v>7380320000</v>
      </c>
      <c r="I57" s="54">
        <v>1.18E-2</v>
      </c>
      <c r="K57" s="1"/>
      <c r="L57" s="8"/>
      <c r="M57" s="8"/>
      <c r="N57" s="8"/>
      <c r="O57" s="8"/>
      <c r="P57" s="8"/>
      <c r="Q57" s="8"/>
    </row>
    <row r="58" spans="1:17" x14ac:dyDescent="0.35">
      <c r="A58" s="1">
        <v>35309</v>
      </c>
      <c r="B58" s="13">
        <v>14989</v>
      </c>
      <c r="C58" s="8">
        <v>651.98999000000003</v>
      </c>
      <c r="D58" s="8">
        <v>690.88000499999998</v>
      </c>
      <c r="E58" s="8">
        <v>643.96997099999999</v>
      </c>
      <c r="F58" s="8">
        <v>687.330017</v>
      </c>
      <c r="G58" s="8">
        <v>687.330017</v>
      </c>
      <c r="H58" s="8">
        <v>8064070000</v>
      </c>
      <c r="I58" s="54">
        <v>1.18E-2</v>
      </c>
      <c r="K58" s="1"/>
      <c r="L58" s="8"/>
      <c r="M58" s="8"/>
      <c r="N58" s="8"/>
      <c r="O58" s="8"/>
      <c r="P58" s="8"/>
      <c r="Q58" s="8"/>
    </row>
    <row r="59" spans="1:17" x14ac:dyDescent="0.35">
      <c r="A59" s="1">
        <v>35339</v>
      </c>
      <c r="B59" s="13">
        <v>15040</v>
      </c>
      <c r="C59" s="8">
        <v>687.30999799999995</v>
      </c>
      <c r="D59" s="8">
        <v>714.09997599999997</v>
      </c>
      <c r="E59" s="8">
        <v>684.44000200000005</v>
      </c>
      <c r="F59" s="8">
        <v>705.27002000000005</v>
      </c>
      <c r="G59" s="8">
        <v>705.27002000000005</v>
      </c>
      <c r="H59" s="8">
        <v>9703670000</v>
      </c>
      <c r="I59" s="54">
        <v>1.17E-2</v>
      </c>
      <c r="K59" s="1"/>
      <c r="L59" s="8"/>
      <c r="M59" s="8"/>
      <c r="N59" s="8"/>
      <c r="O59" s="8"/>
      <c r="P59" s="8"/>
      <c r="Q59" s="8"/>
    </row>
    <row r="60" spans="1:17" x14ac:dyDescent="0.35">
      <c r="A60" s="1">
        <v>35370</v>
      </c>
      <c r="B60" s="13">
        <v>15264</v>
      </c>
      <c r="C60" s="8">
        <v>705.27002000000005</v>
      </c>
      <c r="D60" s="8">
        <v>762.11999500000002</v>
      </c>
      <c r="E60" s="8">
        <v>701.29998799999998</v>
      </c>
      <c r="F60" s="8">
        <v>757.02002000000005</v>
      </c>
      <c r="G60" s="8">
        <v>757.02002000000005</v>
      </c>
      <c r="H60" s="8">
        <v>8763850000</v>
      </c>
      <c r="I60" s="54">
        <v>1.18E-2</v>
      </c>
      <c r="K60" s="1"/>
      <c r="L60" s="8"/>
      <c r="M60" s="8"/>
      <c r="N60" s="8"/>
      <c r="O60" s="8"/>
      <c r="P60" s="8"/>
      <c r="Q60" s="8"/>
    </row>
    <row r="61" spans="1:17" x14ac:dyDescent="0.35">
      <c r="A61" s="1">
        <v>35400</v>
      </c>
      <c r="B61" s="13">
        <v>14980</v>
      </c>
      <c r="C61" s="8">
        <v>757.02002000000005</v>
      </c>
      <c r="D61" s="8">
        <v>761.75</v>
      </c>
      <c r="E61" s="8">
        <v>716.69000200000005</v>
      </c>
      <c r="F61" s="8">
        <v>740.73999000000003</v>
      </c>
      <c r="G61" s="8">
        <v>740.73999000000003</v>
      </c>
      <c r="H61" s="8">
        <v>9089170000</v>
      </c>
      <c r="I61" s="54">
        <v>1.1900000000000001E-2</v>
      </c>
      <c r="K61" s="1"/>
      <c r="L61" s="8"/>
      <c r="M61" s="8"/>
      <c r="N61" s="8"/>
      <c r="O61" s="8"/>
      <c r="P61" s="8"/>
      <c r="Q61" s="8"/>
    </row>
    <row r="62" spans="1:17" x14ac:dyDescent="0.35">
      <c r="A62" s="1">
        <v>35431</v>
      </c>
      <c r="B62" s="13">
        <v>15197</v>
      </c>
      <c r="C62" s="8">
        <v>740.73999000000003</v>
      </c>
      <c r="D62" s="8">
        <v>794.669983</v>
      </c>
      <c r="E62" s="8">
        <v>729.54998799999998</v>
      </c>
      <c r="F62" s="8">
        <v>786.15997300000004</v>
      </c>
      <c r="G62" s="8">
        <v>786.15997300000004</v>
      </c>
      <c r="H62" s="8">
        <v>11635830000</v>
      </c>
      <c r="I62" s="54">
        <v>1.2E-2</v>
      </c>
      <c r="K62" s="1"/>
      <c r="L62" s="8"/>
      <c r="M62" s="8"/>
      <c r="N62" s="8"/>
      <c r="O62" s="8"/>
      <c r="P62" s="8"/>
      <c r="Q62" s="8"/>
    </row>
    <row r="63" spans="1:17" x14ac:dyDescent="0.35">
      <c r="A63" s="1">
        <v>35462</v>
      </c>
      <c r="B63" s="13">
        <v>15561</v>
      </c>
      <c r="C63" s="8">
        <v>786.15997300000004</v>
      </c>
      <c r="D63" s="8">
        <v>817.67999299999997</v>
      </c>
      <c r="E63" s="8">
        <v>773.42999299999997</v>
      </c>
      <c r="F63" s="8">
        <v>790.82000700000003</v>
      </c>
      <c r="G63" s="8">
        <v>790.82000700000003</v>
      </c>
      <c r="H63" s="8">
        <v>9715930000</v>
      </c>
      <c r="I63" s="54">
        <v>1.2E-2</v>
      </c>
      <c r="K63" s="1"/>
      <c r="L63" s="8"/>
      <c r="M63" s="8"/>
      <c r="N63" s="8"/>
      <c r="O63" s="8"/>
      <c r="P63" s="8"/>
      <c r="Q63" s="8"/>
    </row>
    <row r="64" spans="1:17" x14ac:dyDescent="0.35">
      <c r="A64" s="1">
        <v>35490</v>
      </c>
      <c r="B64" s="13">
        <v>15862</v>
      </c>
      <c r="C64" s="8">
        <v>790.82000700000003</v>
      </c>
      <c r="D64" s="8">
        <v>814.90002400000003</v>
      </c>
      <c r="E64" s="8">
        <v>756.13000499999998</v>
      </c>
      <c r="F64" s="8">
        <v>757.11999500000002</v>
      </c>
      <c r="G64" s="8">
        <v>757.11999500000002</v>
      </c>
      <c r="H64" s="8">
        <v>10120760000</v>
      </c>
      <c r="I64" s="54">
        <v>1.2E-2</v>
      </c>
      <c r="K64" s="1"/>
      <c r="L64" s="8"/>
      <c r="M64" s="8"/>
      <c r="N64" s="8"/>
      <c r="O64" s="8"/>
      <c r="P64" s="8"/>
      <c r="Q64" s="8"/>
    </row>
    <row r="65" spans="1:17" x14ac:dyDescent="0.35">
      <c r="A65" s="1">
        <v>35521</v>
      </c>
      <c r="B65" s="13">
        <v>15709</v>
      </c>
      <c r="C65" s="8">
        <v>757.11999500000002</v>
      </c>
      <c r="D65" s="8">
        <v>804.13000499999998</v>
      </c>
      <c r="E65" s="8">
        <v>733.53997800000002</v>
      </c>
      <c r="F65" s="8">
        <v>801.34002699999996</v>
      </c>
      <c r="G65" s="8">
        <v>801.34002699999996</v>
      </c>
      <c r="H65" s="8">
        <v>10454880000</v>
      </c>
      <c r="I65" s="54">
        <v>1.21E-2</v>
      </c>
      <c r="K65" s="1"/>
      <c r="L65" s="8"/>
      <c r="M65" s="8"/>
      <c r="N65" s="8"/>
      <c r="O65" s="8"/>
      <c r="P65" s="8"/>
      <c r="Q65" s="8"/>
    </row>
    <row r="66" spans="1:17" x14ac:dyDescent="0.35">
      <c r="A66" s="1">
        <v>35551</v>
      </c>
      <c r="B66" s="13">
        <v>15805</v>
      </c>
      <c r="C66" s="8">
        <v>801.34002699999996</v>
      </c>
      <c r="D66" s="8">
        <v>851.86999500000002</v>
      </c>
      <c r="E66" s="8">
        <v>793.21002199999998</v>
      </c>
      <c r="F66" s="8">
        <v>848.28002900000001</v>
      </c>
      <c r="G66" s="8">
        <v>848.28002900000001</v>
      </c>
      <c r="H66" s="8">
        <v>10106650000</v>
      </c>
      <c r="I66" s="54">
        <v>1.21E-2</v>
      </c>
      <c r="K66" s="1"/>
      <c r="L66" s="8"/>
      <c r="M66" s="8"/>
      <c r="N66" s="8"/>
      <c r="O66" s="8"/>
      <c r="P66" s="8"/>
      <c r="Q66" s="8"/>
    </row>
    <row r="67" spans="1:17" x14ac:dyDescent="0.35">
      <c r="A67" s="1">
        <v>35582</v>
      </c>
      <c r="B67" s="13">
        <v>15918</v>
      </c>
      <c r="C67" s="8">
        <v>848.28002900000001</v>
      </c>
      <c r="D67" s="8">
        <v>902.09002699999996</v>
      </c>
      <c r="E67" s="8">
        <v>838.82000700000003</v>
      </c>
      <c r="F67" s="8">
        <v>885.14001499999995</v>
      </c>
      <c r="G67" s="8">
        <v>885.14001499999995</v>
      </c>
      <c r="H67" s="8">
        <v>10857950000</v>
      </c>
      <c r="I67" s="54">
        <v>1.21E-2</v>
      </c>
      <c r="K67" s="1"/>
      <c r="L67" s="8"/>
      <c r="M67" s="8"/>
      <c r="N67" s="8"/>
      <c r="O67" s="8"/>
      <c r="P67" s="8"/>
      <c r="Q67" s="8"/>
    </row>
    <row r="68" spans="1:17" x14ac:dyDescent="0.35">
      <c r="A68" s="1">
        <v>35612</v>
      </c>
      <c r="B68" s="13">
        <v>15973</v>
      </c>
      <c r="C68" s="8">
        <v>885.14001499999995</v>
      </c>
      <c r="D68" s="8">
        <v>957.72997999999995</v>
      </c>
      <c r="E68" s="8">
        <v>884.53997800000002</v>
      </c>
      <c r="F68" s="8">
        <v>954.30999799999995</v>
      </c>
      <c r="G68" s="8">
        <v>954.30999799999995</v>
      </c>
      <c r="H68" s="8">
        <v>11958120000</v>
      </c>
      <c r="I68" s="54">
        <v>1.21E-2</v>
      </c>
      <c r="K68" s="1"/>
      <c r="L68" s="8"/>
      <c r="M68" s="8"/>
      <c r="N68" s="8"/>
      <c r="O68" s="8"/>
      <c r="P68" s="8"/>
      <c r="Q68" s="8"/>
    </row>
    <row r="69" spans="1:17" x14ac:dyDescent="0.35">
      <c r="A69" s="1">
        <v>35643</v>
      </c>
      <c r="B69" s="13">
        <v>16027</v>
      </c>
      <c r="C69" s="8">
        <v>954.28997800000002</v>
      </c>
      <c r="D69" s="8">
        <v>964.169983</v>
      </c>
      <c r="E69" s="8">
        <v>893.34002699999996</v>
      </c>
      <c r="F69" s="8">
        <v>899.46997099999999</v>
      </c>
      <c r="G69" s="8">
        <v>899.46997099999999</v>
      </c>
      <c r="H69" s="8">
        <v>10606100000</v>
      </c>
      <c r="I69" s="54">
        <v>1.21E-2</v>
      </c>
      <c r="K69" s="1"/>
      <c r="L69" s="8"/>
      <c r="M69" s="8"/>
      <c r="N69" s="8"/>
      <c r="O69" s="8"/>
      <c r="P69" s="8"/>
      <c r="Q69" s="8"/>
    </row>
    <row r="70" spans="1:17" x14ac:dyDescent="0.35">
      <c r="A70" s="1">
        <v>35674</v>
      </c>
      <c r="B70" s="13">
        <v>16283</v>
      </c>
      <c r="C70" s="8">
        <v>899.46997099999999</v>
      </c>
      <c r="D70" s="8">
        <v>960.59002699999996</v>
      </c>
      <c r="E70" s="8">
        <v>899.46997099999999</v>
      </c>
      <c r="F70" s="8">
        <v>947.28002900000001</v>
      </c>
      <c r="G70" s="8">
        <v>947.28002900000001</v>
      </c>
      <c r="H70" s="8">
        <v>11383000000</v>
      </c>
      <c r="I70" s="54">
        <v>1.21E-2</v>
      </c>
      <c r="K70" s="1"/>
      <c r="L70" s="8"/>
      <c r="M70" s="8"/>
      <c r="N70" s="8"/>
      <c r="O70" s="8"/>
      <c r="P70" s="8"/>
      <c r="Q70" s="8"/>
    </row>
    <row r="71" spans="1:17" x14ac:dyDescent="0.35">
      <c r="A71" s="1">
        <v>35704</v>
      </c>
      <c r="B71" s="13">
        <v>16232</v>
      </c>
      <c r="C71" s="8">
        <v>947.28002900000001</v>
      </c>
      <c r="D71" s="8">
        <v>983.11999500000002</v>
      </c>
      <c r="E71" s="8">
        <v>855.27002000000005</v>
      </c>
      <c r="F71" s="8">
        <v>914.61999500000002</v>
      </c>
      <c r="G71" s="8">
        <v>914.61999500000002</v>
      </c>
      <c r="H71" s="8">
        <v>14017260000</v>
      </c>
      <c r="I71" s="54">
        <v>1.21E-2</v>
      </c>
      <c r="K71" s="1"/>
      <c r="L71" s="8"/>
      <c r="M71" s="8"/>
      <c r="N71" s="8"/>
      <c r="O71" s="8"/>
      <c r="P71" s="8"/>
      <c r="Q71" s="8"/>
    </row>
    <row r="72" spans="1:17" x14ac:dyDescent="0.35">
      <c r="A72" s="1">
        <v>35735</v>
      </c>
      <c r="B72" s="13">
        <v>16158</v>
      </c>
      <c r="C72" s="8">
        <v>914.61999500000002</v>
      </c>
      <c r="D72" s="8">
        <v>964.54998799999998</v>
      </c>
      <c r="E72" s="8">
        <v>900.60998500000005</v>
      </c>
      <c r="F72" s="8">
        <v>955.40002400000003</v>
      </c>
      <c r="G72" s="8">
        <v>955.40002400000003</v>
      </c>
      <c r="H72" s="8">
        <v>10173620000</v>
      </c>
      <c r="I72" s="54">
        <v>1.2E-2</v>
      </c>
      <c r="K72" s="1"/>
      <c r="L72" s="8"/>
      <c r="M72" s="8"/>
      <c r="N72" s="8"/>
      <c r="O72" s="8"/>
      <c r="P72" s="8"/>
      <c r="Q72" s="8"/>
    </row>
    <row r="73" spans="1:17" x14ac:dyDescent="0.35">
      <c r="A73" s="1">
        <v>35765</v>
      </c>
      <c r="B73" s="13">
        <v>16356</v>
      </c>
      <c r="C73" s="8">
        <v>955.40002400000003</v>
      </c>
      <c r="D73" s="8">
        <v>986.25</v>
      </c>
      <c r="E73" s="8">
        <v>924.919983</v>
      </c>
      <c r="F73" s="8">
        <v>970.42999299999997</v>
      </c>
      <c r="G73" s="8">
        <v>970.42999299999997</v>
      </c>
      <c r="H73" s="8">
        <v>11958880000</v>
      </c>
      <c r="I73" s="54">
        <v>1.2E-2</v>
      </c>
      <c r="K73" s="1"/>
      <c r="L73" s="8"/>
      <c r="M73" s="8"/>
      <c r="N73" s="8"/>
      <c r="O73" s="8"/>
      <c r="P73" s="8"/>
      <c r="Q73" s="8"/>
    </row>
    <row r="74" spans="1:17" x14ac:dyDescent="0.35">
      <c r="A74" s="1">
        <v>35796</v>
      </c>
      <c r="B74" s="13">
        <v>16436</v>
      </c>
      <c r="C74" s="8">
        <v>970.42999299999997</v>
      </c>
      <c r="D74" s="8">
        <v>992.65002400000003</v>
      </c>
      <c r="E74" s="8">
        <v>912.830017</v>
      </c>
      <c r="F74" s="8">
        <v>980.28002900000001</v>
      </c>
      <c r="G74" s="8">
        <v>980.28002900000001</v>
      </c>
      <c r="H74" s="8">
        <v>12733830000</v>
      </c>
      <c r="I74" s="54">
        <v>1.21E-2</v>
      </c>
      <c r="K74" s="1"/>
      <c r="L74" s="8"/>
      <c r="M74" s="8"/>
      <c r="N74" s="8"/>
      <c r="O74" s="8"/>
      <c r="P74" s="8"/>
      <c r="Q74" s="8"/>
    </row>
    <row r="75" spans="1:17" x14ac:dyDescent="0.35">
      <c r="A75" s="1">
        <v>35827</v>
      </c>
      <c r="B75" s="13">
        <v>16462</v>
      </c>
      <c r="C75" s="8">
        <v>980.28002900000001</v>
      </c>
      <c r="D75" s="8">
        <v>1051.660034</v>
      </c>
      <c r="E75" s="8">
        <v>980.28002900000001</v>
      </c>
      <c r="F75" s="8">
        <v>1049.339966</v>
      </c>
      <c r="G75" s="8">
        <v>1049.339966</v>
      </c>
      <c r="H75" s="8">
        <v>11656550000</v>
      </c>
      <c r="I75" s="54">
        <v>1.2E-2</v>
      </c>
      <c r="K75" s="1"/>
      <c r="L75" s="8"/>
      <c r="M75" s="8"/>
      <c r="N75" s="8"/>
      <c r="O75" s="8"/>
      <c r="P75" s="8"/>
      <c r="Q75" s="8"/>
    </row>
    <row r="76" spans="1:17" x14ac:dyDescent="0.35">
      <c r="A76" s="1">
        <v>35855</v>
      </c>
      <c r="B76" s="13">
        <v>16511</v>
      </c>
      <c r="C76" s="8">
        <v>1049.339966</v>
      </c>
      <c r="D76" s="8">
        <v>1113.0699460000001</v>
      </c>
      <c r="E76" s="8">
        <v>1030.869995</v>
      </c>
      <c r="F76" s="8">
        <v>1101.75</v>
      </c>
      <c r="G76" s="8">
        <v>1101.75</v>
      </c>
      <c r="H76" s="8">
        <v>13719590000</v>
      </c>
      <c r="I76" s="54">
        <v>1.1900000000000001E-2</v>
      </c>
      <c r="K76" s="1"/>
      <c r="L76" s="8"/>
      <c r="M76" s="8"/>
      <c r="N76" s="8"/>
      <c r="O76" s="8"/>
      <c r="P76" s="8"/>
      <c r="Q76" s="8"/>
    </row>
    <row r="77" spans="1:17" x14ac:dyDescent="0.35">
      <c r="A77" s="1">
        <v>35886</v>
      </c>
      <c r="B77" s="13">
        <v>16716</v>
      </c>
      <c r="C77" s="8">
        <v>1101.75</v>
      </c>
      <c r="D77" s="8">
        <v>1132.9799800000001</v>
      </c>
      <c r="E77" s="8">
        <v>1076.6999510000001</v>
      </c>
      <c r="F77" s="8">
        <v>1111.75</v>
      </c>
      <c r="G77" s="8">
        <v>1111.75</v>
      </c>
      <c r="H77" s="8">
        <v>13656060000</v>
      </c>
      <c r="I77" s="54">
        <v>1.1900000000000001E-2</v>
      </c>
      <c r="K77" s="1"/>
      <c r="L77" s="8"/>
      <c r="M77" s="8"/>
      <c r="N77" s="8"/>
      <c r="O77" s="8"/>
      <c r="P77" s="8"/>
      <c r="Q77" s="8"/>
    </row>
    <row r="78" spans="1:17" x14ac:dyDescent="0.35">
      <c r="A78" s="1">
        <v>35916</v>
      </c>
      <c r="B78" s="13">
        <v>16741</v>
      </c>
      <c r="C78" s="8">
        <v>1111.75</v>
      </c>
      <c r="D78" s="8">
        <v>1130.5200199999999</v>
      </c>
      <c r="E78" s="8">
        <v>1074.3900149999999</v>
      </c>
      <c r="F78" s="8">
        <v>1090.8199460000001</v>
      </c>
      <c r="G78" s="8">
        <v>1090.8199460000001</v>
      </c>
      <c r="H78" s="8">
        <v>11477140000</v>
      </c>
      <c r="I78" s="54">
        <v>1.18E-2</v>
      </c>
      <c r="K78" s="1"/>
      <c r="L78" s="8"/>
      <c r="M78" s="8"/>
      <c r="N78" s="8"/>
      <c r="O78" s="8"/>
      <c r="P78" s="8"/>
      <c r="Q78" s="8"/>
    </row>
    <row r="79" spans="1:17" x14ac:dyDescent="0.35">
      <c r="A79" s="1">
        <v>35947</v>
      </c>
      <c r="B79" s="13">
        <v>16662</v>
      </c>
      <c r="C79" s="8">
        <v>1090.8199460000001</v>
      </c>
      <c r="D79" s="8">
        <v>1145.150024</v>
      </c>
      <c r="E79" s="8">
        <v>1074.670044</v>
      </c>
      <c r="F79" s="8">
        <v>1133.839966</v>
      </c>
      <c r="G79" s="8">
        <v>1133.839966</v>
      </c>
      <c r="H79" s="8">
        <v>13551970000</v>
      </c>
      <c r="I79" s="54">
        <v>1.18E-2</v>
      </c>
      <c r="K79" s="1"/>
      <c r="L79" s="8"/>
      <c r="M79" s="8"/>
      <c r="N79" s="8"/>
      <c r="O79" s="8"/>
      <c r="P79" s="8"/>
      <c r="Q79" s="8"/>
    </row>
    <row r="80" spans="1:17" x14ac:dyDescent="0.35">
      <c r="A80" s="1">
        <v>35977</v>
      </c>
      <c r="B80" s="13">
        <v>16819</v>
      </c>
      <c r="C80" s="8">
        <v>1133.839966</v>
      </c>
      <c r="D80" s="8">
        <v>1190.579956</v>
      </c>
      <c r="E80" s="8">
        <v>1114.3000489999999</v>
      </c>
      <c r="F80" s="8">
        <v>1120.670044</v>
      </c>
      <c r="G80" s="8">
        <v>1120.670044</v>
      </c>
      <c r="H80" s="8">
        <v>14194800000</v>
      </c>
      <c r="I80" s="54">
        <v>1.18E-2</v>
      </c>
      <c r="K80" s="1"/>
      <c r="L80" s="8"/>
      <c r="M80" s="8"/>
      <c r="N80" s="8"/>
      <c r="O80" s="8"/>
      <c r="P80" s="8"/>
      <c r="Q80" s="8"/>
    </row>
    <row r="81" spans="1:17" x14ac:dyDescent="0.35">
      <c r="A81" s="1">
        <v>36008</v>
      </c>
      <c r="B81" s="13">
        <v>16828</v>
      </c>
      <c r="C81" s="8">
        <v>1120.670044</v>
      </c>
      <c r="D81" s="8">
        <v>1121.790039</v>
      </c>
      <c r="E81" s="8">
        <v>957.28002900000001</v>
      </c>
      <c r="F81" s="8">
        <v>957.28002900000001</v>
      </c>
      <c r="G81" s="8">
        <v>957.28002900000001</v>
      </c>
      <c r="H81" s="8">
        <v>15071550000</v>
      </c>
      <c r="I81" s="54">
        <v>1.17E-2</v>
      </c>
      <c r="K81" s="1"/>
      <c r="L81" s="8"/>
      <c r="M81" s="8"/>
      <c r="N81" s="8"/>
      <c r="O81" s="8"/>
      <c r="P81" s="8"/>
      <c r="Q81" s="8"/>
    </row>
    <row r="82" spans="1:17" x14ac:dyDescent="0.35">
      <c r="A82" s="1">
        <v>36039</v>
      </c>
      <c r="B82" s="13">
        <v>16972</v>
      </c>
      <c r="C82" s="8">
        <v>957.28002900000001</v>
      </c>
      <c r="D82" s="8">
        <v>1066.1099850000001</v>
      </c>
      <c r="E82" s="8">
        <v>939.97997999999995</v>
      </c>
      <c r="F82" s="8">
        <v>1017.01001</v>
      </c>
      <c r="G82" s="8">
        <v>1017.01001</v>
      </c>
      <c r="H82" s="8">
        <v>16714080000</v>
      </c>
      <c r="I82" s="54">
        <v>1.1599999999999999E-2</v>
      </c>
      <c r="K82" s="1"/>
      <c r="L82" s="8"/>
      <c r="M82" s="8"/>
      <c r="N82" s="8"/>
      <c r="O82" s="8"/>
      <c r="P82" s="8"/>
      <c r="Q82" s="8"/>
    </row>
    <row r="83" spans="1:17" x14ac:dyDescent="0.35">
      <c r="A83" s="1">
        <v>36069</v>
      </c>
      <c r="B83" s="13">
        <v>17209</v>
      </c>
      <c r="C83" s="8">
        <v>1017.01001</v>
      </c>
      <c r="D83" s="8">
        <v>1103.780029</v>
      </c>
      <c r="E83" s="8">
        <v>923.32000700000003</v>
      </c>
      <c r="F83" s="8">
        <v>1098.670044</v>
      </c>
      <c r="G83" s="8">
        <v>1098.670044</v>
      </c>
      <c r="H83" s="8">
        <v>18001650000</v>
      </c>
      <c r="I83" s="54">
        <v>1.15E-2</v>
      </c>
      <c r="K83" s="1"/>
      <c r="L83" s="8"/>
      <c r="M83" s="8"/>
      <c r="N83" s="8"/>
      <c r="O83" s="8"/>
      <c r="P83" s="8"/>
      <c r="Q83" s="8"/>
    </row>
    <row r="84" spans="1:17" x14ac:dyDescent="0.35">
      <c r="A84" s="1">
        <v>36100</v>
      </c>
      <c r="B84" s="13">
        <v>17341</v>
      </c>
      <c r="C84" s="8">
        <v>1098.670044</v>
      </c>
      <c r="D84" s="8">
        <v>1192.969971</v>
      </c>
      <c r="E84" s="8">
        <v>1098.670044</v>
      </c>
      <c r="F84" s="8">
        <v>1163.630005</v>
      </c>
      <c r="G84" s="8">
        <v>1163.630005</v>
      </c>
      <c r="H84" s="8">
        <v>13451280000</v>
      </c>
      <c r="I84" s="54">
        <v>1.15E-2</v>
      </c>
      <c r="K84" s="1"/>
      <c r="L84" s="8"/>
      <c r="M84" s="8"/>
      <c r="N84" s="8"/>
      <c r="O84" s="8"/>
      <c r="P84" s="8"/>
      <c r="Q84" s="8"/>
    </row>
    <row r="85" spans="1:17" x14ac:dyDescent="0.35">
      <c r="A85" s="1">
        <v>36130</v>
      </c>
      <c r="B85" s="13">
        <v>17702</v>
      </c>
      <c r="C85" s="8">
        <v>1163.630005</v>
      </c>
      <c r="D85" s="8">
        <v>1244.9300539999999</v>
      </c>
      <c r="E85" s="8">
        <v>1136.8900149999999</v>
      </c>
      <c r="F85" s="8">
        <v>1229.2299800000001</v>
      </c>
      <c r="G85" s="8">
        <v>1229.2299800000001</v>
      </c>
      <c r="H85" s="8">
        <v>15181450000</v>
      </c>
      <c r="I85" s="54">
        <v>1.15E-2</v>
      </c>
      <c r="K85" s="1"/>
      <c r="L85" s="8"/>
      <c r="M85" s="8"/>
      <c r="N85" s="8"/>
      <c r="O85" s="8"/>
      <c r="P85" s="8"/>
      <c r="Q85" s="8"/>
    </row>
    <row r="86" spans="1:17" x14ac:dyDescent="0.35">
      <c r="A86" s="1">
        <v>36161</v>
      </c>
      <c r="B86" s="13">
        <v>17732</v>
      </c>
      <c r="C86" s="8">
        <v>1229.2299800000001</v>
      </c>
      <c r="D86" s="8">
        <v>1280.369995</v>
      </c>
      <c r="E86" s="8">
        <v>1205.459961</v>
      </c>
      <c r="F86" s="8">
        <v>1279.6400149999999</v>
      </c>
      <c r="G86" s="8">
        <v>1279.6400149999999</v>
      </c>
      <c r="H86" s="8">
        <v>16213500000</v>
      </c>
      <c r="I86" s="54">
        <v>1.15E-2</v>
      </c>
      <c r="K86" s="1"/>
      <c r="L86" s="8"/>
      <c r="M86" s="8"/>
      <c r="N86" s="8"/>
      <c r="O86" s="8"/>
      <c r="P86" s="8"/>
      <c r="Q86" s="8"/>
    </row>
    <row r="87" spans="1:17" x14ac:dyDescent="0.35">
      <c r="A87" s="1">
        <v>36192</v>
      </c>
      <c r="B87" s="13">
        <v>17943</v>
      </c>
      <c r="C87" s="8">
        <v>1279.6400149999999</v>
      </c>
      <c r="D87" s="8">
        <v>1283.839966</v>
      </c>
      <c r="E87" s="8">
        <v>1211.8900149999999</v>
      </c>
      <c r="F87" s="8">
        <v>1238.329956</v>
      </c>
      <c r="G87" s="8">
        <v>1238.329956</v>
      </c>
      <c r="H87" s="8">
        <v>14555860000</v>
      </c>
      <c r="I87" s="54">
        <v>1.15E-2</v>
      </c>
      <c r="K87" s="1"/>
      <c r="L87" s="8"/>
      <c r="M87" s="8"/>
      <c r="N87" s="8"/>
      <c r="O87" s="8"/>
      <c r="P87" s="8"/>
      <c r="Q87" s="8"/>
    </row>
    <row r="88" spans="1:17" x14ac:dyDescent="0.35">
      <c r="A88" s="1">
        <v>36220</v>
      </c>
      <c r="B88" s="13">
        <v>17760</v>
      </c>
      <c r="C88" s="8">
        <v>1238.329956</v>
      </c>
      <c r="D88" s="8">
        <v>1323.8199460000001</v>
      </c>
      <c r="E88" s="8">
        <v>1216.030029</v>
      </c>
      <c r="F88" s="8">
        <v>1286.369995</v>
      </c>
      <c r="G88" s="8">
        <v>1286.369995</v>
      </c>
      <c r="H88" s="8">
        <v>18002500000</v>
      </c>
      <c r="I88" s="54">
        <v>1.15E-2</v>
      </c>
      <c r="K88" s="1"/>
      <c r="L88" s="8"/>
      <c r="M88" s="8"/>
      <c r="N88" s="8"/>
      <c r="O88" s="8"/>
      <c r="P88" s="8"/>
      <c r="Q88" s="8"/>
    </row>
    <row r="89" spans="1:17" x14ac:dyDescent="0.35">
      <c r="A89" s="1">
        <v>36251</v>
      </c>
      <c r="B89" s="13">
        <v>17791</v>
      </c>
      <c r="C89" s="8">
        <v>1286.369995</v>
      </c>
      <c r="D89" s="8">
        <v>1371.5600589999999</v>
      </c>
      <c r="E89" s="8">
        <v>1282.5600589999999</v>
      </c>
      <c r="F89" s="8">
        <v>1335.1800539999999</v>
      </c>
      <c r="G89" s="8">
        <v>1335.1800539999999</v>
      </c>
      <c r="H89" s="8">
        <v>18523200000</v>
      </c>
      <c r="I89" s="54">
        <v>1.15E-2</v>
      </c>
      <c r="K89" s="1"/>
      <c r="L89" s="8"/>
      <c r="M89" s="8"/>
      <c r="N89" s="8"/>
      <c r="O89" s="8"/>
      <c r="P89" s="8"/>
      <c r="Q89" s="8"/>
    </row>
    <row r="90" spans="1:17" x14ac:dyDescent="0.35">
      <c r="A90" s="1">
        <v>36281</v>
      </c>
      <c r="B90" s="13">
        <v>17914</v>
      </c>
      <c r="C90" s="8">
        <v>1335.1800539999999</v>
      </c>
      <c r="D90" s="8">
        <v>1375.9799800000001</v>
      </c>
      <c r="E90" s="8">
        <v>1277.3100589999999</v>
      </c>
      <c r="F90" s="8">
        <v>1301.839966</v>
      </c>
      <c r="G90" s="8">
        <v>1301.839966</v>
      </c>
      <c r="H90" s="8">
        <v>15880260000</v>
      </c>
      <c r="I90" s="54">
        <v>1.15E-2</v>
      </c>
      <c r="K90" s="1"/>
      <c r="L90" s="8"/>
      <c r="M90" s="8"/>
      <c r="N90" s="8"/>
      <c r="O90" s="8"/>
      <c r="P90" s="8"/>
      <c r="Q90" s="8"/>
    </row>
    <row r="91" spans="1:17" x14ac:dyDescent="0.35">
      <c r="A91" s="1">
        <v>36312</v>
      </c>
      <c r="B91" s="13">
        <v>17969</v>
      </c>
      <c r="C91" s="8">
        <v>1301.839966</v>
      </c>
      <c r="D91" s="8">
        <v>1372.9300539999999</v>
      </c>
      <c r="E91" s="8">
        <v>1277.469971</v>
      </c>
      <c r="F91" s="8">
        <v>1372.709961</v>
      </c>
      <c r="G91" s="8">
        <v>1372.709961</v>
      </c>
      <c r="H91" s="8">
        <v>16079170000</v>
      </c>
      <c r="I91" s="54">
        <v>1.15E-2</v>
      </c>
      <c r="K91" s="1"/>
      <c r="L91" s="8"/>
      <c r="M91" s="8"/>
      <c r="N91" s="8"/>
      <c r="O91" s="8"/>
      <c r="P91" s="8"/>
      <c r="Q91" s="8"/>
    </row>
    <row r="92" spans="1:17" x14ac:dyDescent="0.35">
      <c r="A92" s="1">
        <v>36342</v>
      </c>
      <c r="B92" s="13">
        <v>18183</v>
      </c>
      <c r="C92" s="8">
        <v>1372.709961</v>
      </c>
      <c r="D92" s="8">
        <v>1420.329956</v>
      </c>
      <c r="E92" s="8">
        <v>1328.48999</v>
      </c>
      <c r="F92" s="8">
        <v>1328.719971</v>
      </c>
      <c r="G92" s="8">
        <v>1328.719971</v>
      </c>
      <c r="H92" s="8">
        <v>15332930000</v>
      </c>
      <c r="I92" s="54">
        <v>1.15E-2</v>
      </c>
      <c r="K92" s="1"/>
      <c r="L92" s="8"/>
      <c r="M92" s="8"/>
      <c r="N92" s="8"/>
      <c r="O92" s="8"/>
      <c r="P92" s="8"/>
      <c r="Q92" s="8"/>
    </row>
    <row r="93" spans="1:17" x14ac:dyDescent="0.35">
      <c r="A93" s="1">
        <v>36373</v>
      </c>
      <c r="B93" s="13">
        <v>18341</v>
      </c>
      <c r="C93" s="8">
        <v>1328.719971</v>
      </c>
      <c r="D93" s="8">
        <v>1382.839966</v>
      </c>
      <c r="E93" s="8">
        <v>1267.7299800000001</v>
      </c>
      <c r="F93" s="8">
        <v>1320.410034</v>
      </c>
      <c r="G93" s="8">
        <v>1320.410034</v>
      </c>
      <c r="H93" s="8">
        <v>15818550000</v>
      </c>
      <c r="I93" s="54">
        <v>1.1599999999999999E-2</v>
      </c>
      <c r="K93" s="1"/>
      <c r="L93" s="8"/>
      <c r="M93" s="8"/>
      <c r="N93" s="8"/>
      <c r="O93" s="8"/>
      <c r="P93" s="8"/>
      <c r="Q93" s="8"/>
    </row>
    <row r="94" spans="1:17" x14ac:dyDescent="0.35">
      <c r="A94" s="1">
        <v>36404</v>
      </c>
      <c r="B94" s="13">
        <v>18175</v>
      </c>
      <c r="C94" s="8">
        <v>1320.410034</v>
      </c>
      <c r="D94" s="8">
        <v>1361.3900149999999</v>
      </c>
      <c r="E94" s="8">
        <v>1256.26001</v>
      </c>
      <c r="F94" s="8">
        <v>1282.709961</v>
      </c>
      <c r="G94" s="8">
        <v>1282.709961</v>
      </c>
      <c r="H94" s="8">
        <v>16438700000</v>
      </c>
      <c r="I94" s="54">
        <v>1.1599999999999999E-2</v>
      </c>
      <c r="K94" s="1"/>
      <c r="L94" s="8"/>
      <c r="M94" s="8"/>
      <c r="N94" s="8"/>
      <c r="O94" s="8"/>
      <c r="P94" s="8"/>
      <c r="Q94" s="8"/>
    </row>
    <row r="95" spans="1:17" x14ac:dyDescent="0.35">
      <c r="A95" s="1">
        <v>36434</v>
      </c>
      <c r="B95" s="13">
        <v>18606</v>
      </c>
      <c r="C95" s="8">
        <v>1282.709961</v>
      </c>
      <c r="D95" s="8">
        <v>1373.170044</v>
      </c>
      <c r="E95" s="8">
        <v>1233.6999510000001</v>
      </c>
      <c r="F95" s="8">
        <v>1362.9300539999999</v>
      </c>
      <c r="G95" s="8">
        <v>1362.9300539999999</v>
      </c>
      <c r="H95" s="8">
        <v>18832000000</v>
      </c>
      <c r="I95" s="54">
        <v>1.1599999999999999E-2</v>
      </c>
      <c r="K95" s="1"/>
      <c r="L95" s="8"/>
      <c r="M95" s="8"/>
      <c r="N95" s="8"/>
      <c r="O95" s="8"/>
      <c r="P95" s="8"/>
      <c r="Q95" s="8"/>
    </row>
    <row r="96" spans="1:17" x14ac:dyDescent="0.35">
      <c r="A96" s="1">
        <v>36465</v>
      </c>
      <c r="B96" s="13">
        <v>18944</v>
      </c>
      <c r="C96" s="8">
        <v>1362.9300539999999</v>
      </c>
      <c r="D96" s="8">
        <v>1425.3100589999999</v>
      </c>
      <c r="E96" s="8">
        <v>1346.410034</v>
      </c>
      <c r="F96" s="8">
        <v>1388.910034</v>
      </c>
      <c r="G96" s="8">
        <v>1388.910034</v>
      </c>
      <c r="H96" s="8">
        <v>18384820000</v>
      </c>
      <c r="I96" s="54">
        <v>1.1599999999999999E-2</v>
      </c>
      <c r="K96" s="1"/>
      <c r="L96" s="8"/>
      <c r="M96" s="8"/>
      <c r="N96" s="8"/>
      <c r="O96" s="8"/>
      <c r="P96" s="8"/>
      <c r="Q96" s="8"/>
    </row>
    <row r="97" spans="1:17" x14ac:dyDescent="0.35">
      <c r="A97" s="1">
        <v>36495</v>
      </c>
      <c r="B97" s="13">
        <v>19125</v>
      </c>
      <c r="C97" s="8">
        <v>1388.910034</v>
      </c>
      <c r="D97" s="8">
        <v>1473.099976</v>
      </c>
      <c r="E97" s="8">
        <v>1387.380005</v>
      </c>
      <c r="F97" s="8">
        <v>1469.25</v>
      </c>
      <c r="G97" s="8">
        <v>1469.25</v>
      </c>
      <c r="H97" s="8">
        <v>19640690000</v>
      </c>
      <c r="I97" s="54">
        <v>1.15E-2</v>
      </c>
      <c r="K97" s="1"/>
      <c r="L97" s="8"/>
      <c r="M97" s="8"/>
      <c r="N97" s="8"/>
      <c r="O97" s="8"/>
      <c r="P97" s="8"/>
      <c r="Q97" s="8"/>
    </row>
    <row r="98" spans="1:17" x14ac:dyDescent="0.35">
      <c r="A98" s="1">
        <v>36526</v>
      </c>
      <c r="B98" s="13">
        <v>19613</v>
      </c>
      <c r="C98" s="8">
        <v>1469.25</v>
      </c>
      <c r="D98" s="8">
        <v>1478</v>
      </c>
      <c r="E98" s="8">
        <v>1350.1400149999999</v>
      </c>
      <c r="F98" s="8">
        <v>1394.459961</v>
      </c>
      <c r="G98" s="8">
        <v>1394.459961</v>
      </c>
      <c r="H98" s="8">
        <v>21494400000</v>
      </c>
      <c r="I98" s="54">
        <v>1.1599999999999999E-2</v>
      </c>
      <c r="K98" s="1"/>
      <c r="L98" s="8"/>
      <c r="M98" s="8"/>
      <c r="N98" s="8"/>
      <c r="O98" s="8"/>
      <c r="P98" s="8"/>
      <c r="Q98" s="8"/>
    </row>
    <row r="99" spans="1:17" x14ac:dyDescent="0.35">
      <c r="A99" s="1">
        <v>36557</v>
      </c>
      <c r="B99" s="13">
        <v>19193</v>
      </c>
      <c r="C99" s="8">
        <v>1394.459961</v>
      </c>
      <c r="D99" s="8">
        <v>1444.5500489999999</v>
      </c>
      <c r="E99" s="8">
        <v>1325.0699460000001</v>
      </c>
      <c r="F99" s="8">
        <v>1366.420044</v>
      </c>
      <c r="G99" s="8">
        <v>1366.420044</v>
      </c>
      <c r="H99" s="8">
        <v>20912000000</v>
      </c>
      <c r="I99" s="54">
        <v>1.14E-2</v>
      </c>
      <c r="K99" s="1"/>
      <c r="L99" s="8"/>
      <c r="M99" s="8"/>
      <c r="N99" s="8"/>
      <c r="O99" s="8"/>
      <c r="P99" s="8"/>
      <c r="Q99" s="8"/>
    </row>
    <row r="100" spans="1:17" x14ac:dyDescent="0.35">
      <c r="A100" s="1">
        <v>36586</v>
      </c>
      <c r="B100" s="13">
        <v>20175</v>
      </c>
      <c r="C100" s="8">
        <v>1366.420044</v>
      </c>
      <c r="D100" s="8">
        <v>1552.869995</v>
      </c>
      <c r="E100" s="8">
        <v>1346.619995</v>
      </c>
      <c r="F100" s="8">
        <v>1498.579956</v>
      </c>
      <c r="G100" s="8">
        <v>1498.579956</v>
      </c>
      <c r="H100" s="8">
        <v>26156200000</v>
      </c>
      <c r="I100" s="54">
        <v>1.1299999999999999E-2</v>
      </c>
      <c r="K100" s="1"/>
      <c r="L100" s="8"/>
      <c r="M100" s="8"/>
      <c r="N100" s="8"/>
      <c r="O100" s="8"/>
      <c r="P100" s="8"/>
      <c r="Q100" s="8"/>
    </row>
    <row r="101" spans="1:17" x14ac:dyDescent="0.35">
      <c r="A101" s="1">
        <v>36617</v>
      </c>
      <c r="B101" s="13">
        <v>18986</v>
      </c>
      <c r="C101" s="8">
        <v>1498.579956</v>
      </c>
      <c r="D101" s="8">
        <v>1527.1899410000001</v>
      </c>
      <c r="E101" s="8">
        <v>1339.400024</v>
      </c>
      <c r="F101" s="8">
        <v>1452.4300539999999</v>
      </c>
      <c r="G101" s="8">
        <v>1452.4300539999999</v>
      </c>
      <c r="H101" s="8">
        <v>20106460000</v>
      </c>
      <c r="I101" s="54">
        <v>1.12E-2</v>
      </c>
      <c r="K101" s="1"/>
      <c r="L101" s="8"/>
      <c r="M101" s="8"/>
      <c r="N101" s="8"/>
      <c r="O101" s="8"/>
      <c r="P101" s="8"/>
      <c r="Q101" s="8"/>
    </row>
    <row r="102" spans="1:17" x14ac:dyDescent="0.35">
      <c r="A102" s="1">
        <v>36647</v>
      </c>
      <c r="B102" s="13">
        <v>18941</v>
      </c>
      <c r="C102" s="8">
        <v>1452.4300539999999</v>
      </c>
      <c r="D102" s="8">
        <v>1481.51001</v>
      </c>
      <c r="E102" s="8">
        <v>1361.089966</v>
      </c>
      <c r="F102" s="8">
        <v>1420.599976</v>
      </c>
      <c r="G102" s="8">
        <v>1420.599976</v>
      </c>
      <c r="H102" s="8">
        <v>19898300000</v>
      </c>
      <c r="I102" s="54">
        <v>1.0999999999999999E-2</v>
      </c>
      <c r="K102" s="1"/>
      <c r="L102" s="8"/>
      <c r="M102" s="8"/>
      <c r="N102" s="8"/>
      <c r="O102" s="8"/>
      <c r="P102" s="8"/>
      <c r="Q102" s="8"/>
    </row>
    <row r="103" spans="1:17" x14ac:dyDescent="0.35">
      <c r="A103" s="1">
        <v>36678</v>
      </c>
      <c r="B103" s="13">
        <v>18878</v>
      </c>
      <c r="C103" s="8">
        <v>1420.599976</v>
      </c>
      <c r="D103" s="8">
        <v>1488.9300539999999</v>
      </c>
      <c r="E103" s="8">
        <v>1420.599976</v>
      </c>
      <c r="F103" s="8">
        <v>1454.599976</v>
      </c>
      <c r="G103" s="8">
        <v>1454.599976</v>
      </c>
      <c r="H103" s="8">
        <v>21738300000</v>
      </c>
      <c r="I103" s="54">
        <v>1.09E-2</v>
      </c>
      <c r="K103" s="1"/>
      <c r="L103" s="8"/>
      <c r="M103" s="8"/>
      <c r="N103" s="8"/>
      <c r="O103" s="8"/>
      <c r="P103" s="8"/>
      <c r="Q103" s="8"/>
    </row>
    <row r="104" spans="1:17" x14ac:dyDescent="0.35">
      <c r="A104" s="1">
        <v>36708</v>
      </c>
      <c r="B104" s="13">
        <v>18982</v>
      </c>
      <c r="C104" s="8">
        <v>1454.599976</v>
      </c>
      <c r="D104" s="8">
        <v>1517.3199460000001</v>
      </c>
      <c r="E104" s="8">
        <v>1413.8900149999999</v>
      </c>
      <c r="F104" s="8">
        <v>1430.829956</v>
      </c>
      <c r="G104" s="8">
        <v>1430.829956</v>
      </c>
      <c r="H104" s="8">
        <v>19089100000</v>
      </c>
      <c r="I104" s="54">
        <v>1.0699999999999999E-2</v>
      </c>
      <c r="K104" s="1"/>
      <c r="L104" s="8"/>
      <c r="M104" s="8"/>
      <c r="N104" s="8"/>
      <c r="O104" s="8"/>
      <c r="P104" s="8"/>
      <c r="Q104" s="8"/>
    </row>
    <row r="105" spans="1:17" x14ac:dyDescent="0.35">
      <c r="A105" s="1">
        <v>36739</v>
      </c>
      <c r="B105" s="13">
        <v>18951</v>
      </c>
      <c r="C105" s="8">
        <v>1430.829956</v>
      </c>
      <c r="D105" s="8">
        <v>1525.209961</v>
      </c>
      <c r="E105" s="8">
        <v>1425.4300539999999</v>
      </c>
      <c r="F105" s="8">
        <v>1517.6800539999999</v>
      </c>
      <c r="G105" s="8">
        <v>1517.6800539999999</v>
      </c>
      <c r="H105" s="8">
        <v>20363700000</v>
      </c>
      <c r="I105" s="54">
        <v>1.06E-2</v>
      </c>
      <c r="K105" s="1"/>
      <c r="L105" s="8"/>
      <c r="M105" s="8"/>
      <c r="N105" s="8"/>
      <c r="O105" s="8"/>
      <c r="P105" s="8"/>
      <c r="Q105" s="8"/>
    </row>
    <row r="106" spans="1:17" x14ac:dyDescent="0.35">
      <c r="A106" s="1">
        <v>36770</v>
      </c>
      <c r="B106" s="13">
        <v>18926</v>
      </c>
      <c r="C106" s="8">
        <v>1517.6800539999999</v>
      </c>
      <c r="D106" s="8">
        <v>1530.089966</v>
      </c>
      <c r="E106" s="8">
        <v>1419.4399410000001</v>
      </c>
      <c r="F106" s="8">
        <v>1436.51001</v>
      </c>
      <c r="G106" s="8">
        <v>1436.51001</v>
      </c>
      <c r="H106" s="8">
        <v>20838300000</v>
      </c>
      <c r="I106" s="54">
        <v>1.06E-2</v>
      </c>
      <c r="K106" s="1"/>
      <c r="L106" s="8"/>
      <c r="M106" s="8"/>
      <c r="N106" s="8"/>
      <c r="O106" s="8"/>
      <c r="P106" s="8"/>
      <c r="Q106" s="8"/>
    </row>
    <row r="107" spans="1:17" x14ac:dyDescent="0.35">
      <c r="A107" s="1">
        <v>36800</v>
      </c>
      <c r="B107" s="13">
        <v>18965</v>
      </c>
      <c r="C107" s="8">
        <v>1436.5200199999999</v>
      </c>
      <c r="D107" s="8">
        <v>1454.8199460000001</v>
      </c>
      <c r="E107" s="8">
        <v>1305.790039</v>
      </c>
      <c r="F107" s="8">
        <v>1429.400024</v>
      </c>
      <c r="G107" s="8">
        <v>1429.400024</v>
      </c>
      <c r="H107" s="8">
        <v>25951400000</v>
      </c>
      <c r="I107" s="54">
        <v>2.1999999999999999E-2</v>
      </c>
      <c r="K107" s="1"/>
      <c r="L107" s="8"/>
      <c r="M107" s="8"/>
      <c r="N107" s="8"/>
      <c r="O107" s="8"/>
      <c r="P107" s="8"/>
      <c r="Q107" s="8"/>
    </row>
    <row r="108" spans="1:17" x14ac:dyDescent="0.35">
      <c r="A108" s="1">
        <v>36831</v>
      </c>
      <c r="B108" s="13">
        <v>18689</v>
      </c>
      <c r="C108" s="8">
        <v>1429.400024</v>
      </c>
      <c r="D108" s="8">
        <v>1438.459961</v>
      </c>
      <c r="E108" s="8">
        <v>1294.900024</v>
      </c>
      <c r="F108" s="8">
        <v>1314.9499510000001</v>
      </c>
      <c r="G108" s="8">
        <v>1314.9499510000001</v>
      </c>
      <c r="H108" s="8">
        <v>20532300000</v>
      </c>
      <c r="I108" s="54">
        <v>2.1999999999999999E-2</v>
      </c>
      <c r="K108" s="1"/>
      <c r="L108" s="8"/>
      <c r="M108" s="8"/>
      <c r="N108" s="8"/>
      <c r="O108" s="8"/>
      <c r="P108" s="8"/>
      <c r="Q108" s="8"/>
    </row>
    <row r="109" spans="1:17" x14ac:dyDescent="0.35">
      <c r="A109" s="1">
        <v>36861</v>
      </c>
      <c r="B109" s="13">
        <v>19356</v>
      </c>
      <c r="C109" s="8">
        <v>1314.9499510000001</v>
      </c>
      <c r="D109" s="8">
        <v>1389.0500489999999</v>
      </c>
      <c r="E109" s="8">
        <v>1254.0699460000001</v>
      </c>
      <c r="F109" s="8">
        <v>1320.280029</v>
      </c>
      <c r="G109" s="8">
        <v>1320.280029</v>
      </c>
      <c r="H109" s="8">
        <v>23610800000</v>
      </c>
      <c r="I109" s="54">
        <v>2.1999999999999999E-2</v>
      </c>
      <c r="K109" s="1"/>
      <c r="L109" s="8"/>
      <c r="M109" s="8"/>
      <c r="N109" s="8"/>
      <c r="O109" s="8"/>
      <c r="P109" s="8"/>
      <c r="Q109" s="8"/>
    </row>
    <row r="110" spans="1:17" x14ac:dyDescent="0.35">
      <c r="A110" s="1">
        <v>36892</v>
      </c>
      <c r="B110" s="13">
        <v>19248</v>
      </c>
      <c r="C110" s="8">
        <v>1320.280029</v>
      </c>
      <c r="D110" s="8">
        <v>1383.369995</v>
      </c>
      <c r="E110" s="8">
        <v>1274.619995</v>
      </c>
      <c r="F110" s="8">
        <v>1366.01001</v>
      </c>
      <c r="G110" s="8">
        <v>1366.01001</v>
      </c>
      <c r="H110" s="8">
        <v>27829800000</v>
      </c>
      <c r="I110" s="54">
        <v>1.01E-2</v>
      </c>
      <c r="K110" s="1"/>
      <c r="L110" s="8"/>
      <c r="M110" s="8"/>
      <c r="N110" s="8"/>
      <c r="O110" s="8"/>
      <c r="P110" s="8"/>
      <c r="Q110" s="8"/>
    </row>
    <row r="111" spans="1:17" x14ac:dyDescent="0.35">
      <c r="A111" s="1">
        <v>36923</v>
      </c>
      <c r="B111" s="13">
        <v>19698</v>
      </c>
      <c r="C111" s="8">
        <v>1366.01001</v>
      </c>
      <c r="D111" s="8">
        <v>1376.380005</v>
      </c>
      <c r="E111" s="8">
        <v>1215.4399410000001</v>
      </c>
      <c r="F111" s="8">
        <v>1239.9399410000001</v>
      </c>
      <c r="G111" s="8">
        <v>1239.9399410000001</v>
      </c>
      <c r="H111" s="8">
        <v>21644400000</v>
      </c>
      <c r="I111" s="54">
        <v>1.01E-2</v>
      </c>
      <c r="K111" s="1"/>
      <c r="L111" s="8"/>
      <c r="M111" s="8"/>
      <c r="N111" s="8"/>
      <c r="O111" s="8"/>
      <c r="P111" s="8"/>
      <c r="Q111" s="8"/>
    </row>
    <row r="112" spans="1:17" x14ac:dyDescent="0.35">
      <c r="A112" s="1">
        <v>36951</v>
      </c>
      <c r="B112" s="13">
        <v>19562</v>
      </c>
      <c r="C112" s="8">
        <v>1239.9399410000001</v>
      </c>
      <c r="D112" s="8">
        <v>1267.420044</v>
      </c>
      <c r="E112" s="8">
        <v>1081.1899410000001</v>
      </c>
      <c r="F112" s="8">
        <v>1160.329956</v>
      </c>
      <c r="G112" s="8">
        <v>1160.329956</v>
      </c>
      <c r="H112" s="8">
        <v>27806610000</v>
      </c>
      <c r="I112" s="54">
        <v>1.01E-2</v>
      </c>
      <c r="K112" s="1"/>
      <c r="L112" s="8"/>
      <c r="M112" s="8"/>
      <c r="N112" s="8"/>
      <c r="O112" s="8"/>
      <c r="P112" s="8"/>
      <c r="Q112" s="8"/>
    </row>
    <row r="113" spans="1:17" x14ac:dyDescent="0.35">
      <c r="A113" s="1">
        <v>36982</v>
      </c>
      <c r="B113" s="13">
        <v>20373</v>
      </c>
      <c r="C113" s="8">
        <v>1160.329956</v>
      </c>
      <c r="D113" s="8">
        <v>1269.3000489999999</v>
      </c>
      <c r="E113" s="8">
        <v>1091.98999</v>
      </c>
      <c r="F113" s="8">
        <v>1249.459961</v>
      </c>
      <c r="G113" s="8">
        <v>1249.459961</v>
      </c>
      <c r="H113" s="8">
        <v>25409990000</v>
      </c>
      <c r="I113" s="54">
        <v>9.9000000000000008E-3</v>
      </c>
      <c r="K113" s="1"/>
      <c r="L113" s="8"/>
      <c r="M113" s="8"/>
      <c r="N113" s="8"/>
      <c r="O113" s="8"/>
      <c r="P113" s="8"/>
      <c r="Q113" s="8"/>
    </row>
    <row r="114" spans="1:17" x14ac:dyDescent="0.35">
      <c r="A114" s="1">
        <v>37012</v>
      </c>
      <c r="B114" s="13">
        <v>20147</v>
      </c>
      <c r="C114" s="8">
        <v>1249.459961</v>
      </c>
      <c r="D114" s="8">
        <v>1315.9300539999999</v>
      </c>
      <c r="E114" s="8">
        <v>1232</v>
      </c>
      <c r="F114" s="8">
        <v>1255.8199460000001</v>
      </c>
      <c r="G114" s="8">
        <v>1255.8199460000001</v>
      </c>
      <c r="H114" s="8">
        <v>24525900000</v>
      </c>
      <c r="I114" s="54">
        <v>9.9000000000000008E-3</v>
      </c>
      <c r="K114" s="1"/>
      <c r="L114" s="8"/>
      <c r="M114" s="8"/>
      <c r="N114" s="8"/>
      <c r="O114" s="8"/>
      <c r="P114" s="8"/>
      <c r="Q114" s="8"/>
    </row>
    <row r="115" spans="1:17" x14ac:dyDescent="0.35">
      <c r="A115" s="1">
        <v>37043</v>
      </c>
      <c r="B115" s="13">
        <v>19900</v>
      </c>
      <c r="C115" s="8">
        <v>1255.8199460000001</v>
      </c>
      <c r="D115" s="8">
        <v>1286.619995</v>
      </c>
      <c r="E115" s="8">
        <v>1203.030029</v>
      </c>
      <c r="F115" s="8">
        <v>1224.380005</v>
      </c>
      <c r="G115" s="8">
        <v>1224.380005</v>
      </c>
      <c r="H115" s="8">
        <v>24748030000</v>
      </c>
      <c r="I115" s="54">
        <v>9.9000000000000008E-3</v>
      </c>
      <c r="K115" s="1"/>
      <c r="L115" s="8"/>
      <c r="M115" s="8"/>
      <c r="N115" s="8"/>
      <c r="O115" s="8"/>
      <c r="P115" s="8"/>
      <c r="Q115" s="8"/>
    </row>
    <row r="116" spans="1:17" x14ac:dyDescent="0.35">
      <c r="A116" s="1">
        <v>37073</v>
      </c>
      <c r="B116" s="13">
        <v>19838</v>
      </c>
      <c r="C116" s="8">
        <v>1224.420044</v>
      </c>
      <c r="D116" s="8">
        <v>1239.780029</v>
      </c>
      <c r="E116" s="8">
        <v>1165.540039</v>
      </c>
      <c r="F116" s="8">
        <v>1211.2299800000001</v>
      </c>
      <c r="G116" s="8">
        <v>1211.2299800000001</v>
      </c>
      <c r="H116" s="8">
        <v>23793710000</v>
      </c>
      <c r="I116" s="54">
        <v>9.7000000000000003E-3</v>
      </c>
      <c r="K116" s="1"/>
      <c r="L116" s="8"/>
      <c r="M116" s="8"/>
      <c r="N116" s="8"/>
      <c r="O116" s="8"/>
      <c r="P116" s="8"/>
      <c r="Q116" s="8"/>
    </row>
    <row r="117" spans="1:17" x14ac:dyDescent="0.35">
      <c r="A117" s="1">
        <v>37104</v>
      </c>
      <c r="B117" s="13">
        <v>19920</v>
      </c>
      <c r="C117" s="8">
        <v>1211.2299800000001</v>
      </c>
      <c r="D117" s="8">
        <v>1226.2700199999999</v>
      </c>
      <c r="E117" s="8">
        <v>1124.869995</v>
      </c>
      <c r="F117" s="8">
        <v>1133.579956</v>
      </c>
      <c r="G117" s="8">
        <v>1133.579956</v>
      </c>
      <c r="H117" s="8">
        <v>23359200000</v>
      </c>
      <c r="I117" s="54">
        <v>9.5999999999999992E-3</v>
      </c>
      <c r="K117" s="1"/>
      <c r="L117" s="8"/>
      <c r="M117" s="8"/>
      <c r="N117" s="8"/>
      <c r="O117" s="8"/>
      <c r="P117" s="8"/>
      <c r="Q117" s="8"/>
    </row>
    <row r="118" spans="1:17" x14ac:dyDescent="0.35">
      <c r="A118" s="1">
        <v>37135</v>
      </c>
      <c r="B118" s="13">
        <v>19664</v>
      </c>
      <c r="C118" s="8">
        <v>1133.579956</v>
      </c>
      <c r="D118" s="8">
        <v>1155.400024</v>
      </c>
      <c r="E118" s="8">
        <v>944.75</v>
      </c>
      <c r="F118" s="8">
        <v>1040.9399410000001</v>
      </c>
      <c r="G118" s="8">
        <v>1040.9399410000001</v>
      </c>
      <c r="H118" s="8">
        <v>25025290000</v>
      </c>
      <c r="I118" s="54">
        <v>9.4999999999999998E-3</v>
      </c>
      <c r="K118" s="1"/>
      <c r="L118" s="8"/>
      <c r="M118" s="8"/>
      <c r="N118" s="8"/>
      <c r="O118" s="8"/>
      <c r="P118" s="8"/>
      <c r="Q118" s="8"/>
    </row>
    <row r="119" spans="1:17" x14ac:dyDescent="0.35">
      <c r="A119" s="1">
        <v>37165</v>
      </c>
      <c r="B119" s="13">
        <v>20054</v>
      </c>
      <c r="C119" s="8">
        <v>1040.9399410000001</v>
      </c>
      <c r="D119" s="8">
        <v>1110.6099850000001</v>
      </c>
      <c r="E119" s="8">
        <v>1026.76001</v>
      </c>
      <c r="F119" s="8">
        <v>1059.780029</v>
      </c>
      <c r="G119" s="8">
        <v>1059.780029</v>
      </c>
      <c r="H119" s="8">
        <v>29951280000</v>
      </c>
      <c r="I119" s="54">
        <v>9.4999999999999998E-3</v>
      </c>
      <c r="K119" s="1"/>
      <c r="L119" s="8"/>
      <c r="M119" s="8"/>
      <c r="N119" s="8"/>
      <c r="O119" s="8"/>
      <c r="P119" s="8"/>
      <c r="Q119" s="8"/>
    </row>
    <row r="120" spans="1:17" x14ac:dyDescent="0.35">
      <c r="A120" s="1">
        <v>37196</v>
      </c>
      <c r="B120" s="13">
        <v>19982</v>
      </c>
      <c r="C120" s="8">
        <v>1059.780029</v>
      </c>
      <c r="D120" s="8">
        <v>1163.380005</v>
      </c>
      <c r="E120" s="8">
        <v>1054.3100589999999</v>
      </c>
      <c r="F120" s="8">
        <v>1139.4499510000001</v>
      </c>
      <c r="G120" s="8">
        <v>1139.4499510000001</v>
      </c>
      <c r="H120" s="8">
        <v>26330000000</v>
      </c>
      <c r="I120" s="54">
        <v>9.4999999999999998E-3</v>
      </c>
      <c r="K120" s="1"/>
      <c r="L120" s="8"/>
      <c r="M120" s="8"/>
      <c r="N120" s="8"/>
      <c r="O120" s="8"/>
      <c r="P120" s="8"/>
      <c r="Q120" s="8"/>
    </row>
    <row r="121" spans="1:17" x14ac:dyDescent="0.35">
      <c r="A121" s="1">
        <v>37226</v>
      </c>
      <c r="B121" s="13">
        <v>20120</v>
      </c>
      <c r="C121" s="8">
        <v>1139.4499510000001</v>
      </c>
      <c r="D121" s="8">
        <v>1173.619995</v>
      </c>
      <c r="E121" s="8">
        <v>1114.530029</v>
      </c>
      <c r="F121" s="8">
        <v>1148.079956</v>
      </c>
      <c r="G121" s="8">
        <v>1148.079956</v>
      </c>
      <c r="H121" s="8">
        <v>25128570000</v>
      </c>
      <c r="I121" s="54">
        <v>9.4000000000000004E-3</v>
      </c>
      <c r="K121" s="1"/>
      <c r="L121" s="8"/>
      <c r="M121" s="8"/>
      <c r="N121" s="8"/>
      <c r="O121" s="8"/>
      <c r="P121" s="8"/>
      <c r="Q121" s="8"/>
    </row>
    <row r="122" spans="1:17" x14ac:dyDescent="0.35">
      <c r="A122" s="1">
        <v>37257</v>
      </c>
      <c r="B122" s="13">
        <v>20359</v>
      </c>
      <c r="C122" s="8">
        <v>1148.079956</v>
      </c>
      <c r="D122" s="8">
        <v>1176.969971</v>
      </c>
      <c r="E122" s="8">
        <v>1081.660034</v>
      </c>
      <c r="F122" s="8">
        <v>1130.1999510000001</v>
      </c>
      <c r="G122" s="8">
        <v>1130.1999510000001</v>
      </c>
      <c r="H122" s="8">
        <v>29746200000</v>
      </c>
      <c r="I122" s="54">
        <v>9.4000000000000004E-3</v>
      </c>
      <c r="K122" s="1"/>
      <c r="L122" s="8"/>
      <c r="M122" s="8"/>
      <c r="N122" s="8"/>
      <c r="O122" s="8"/>
      <c r="P122" s="8"/>
      <c r="Q122" s="8"/>
    </row>
    <row r="123" spans="1:17" x14ac:dyDescent="0.35">
      <c r="A123" s="1">
        <v>37288</v>
      </c>
      <c r="B123" s="13">
        <v>20515</v>
      </c>
      <c r="C123" s="8">
        <v>1130.1999510000001</v>
      </c>
      <c r="D123" s="8">
        <v>1130.1999510000001</v>
      </c>
      <c r="E123" s="8">
        <v>1074.3599850000001</v>
      </c>
      <c r="F123" s="8">
        <v>1106.7299800000001</v>
      </c>
      <c r="G123" s="8">
        <v>1106.7299800000001</v>
      </c>
      <c r="H123" s="8">
        <v>26047600000</v>
      </c>
      <c r="I123" s="54">
        <v>9.4000000000000004E-3</v>
      </c>
      <c r="K123" s="1"/>
      <c r="L123" s="8"/>
      <c r="M123" s="8"/>
      <c r="N123" s="8"/>
      <c r="O123" s="8"/>
      <c r="P123" s="8"/>
      <c r="Q123" s="8"/>
    </row>
    <row r="124" spans="1:17" x14ac:dyDescent="0.35">
      <c r="A124" s="1">
        <v>37316</v>
      </c>
      <c r="B124" s="13">
        <v>20370</v>
      </c>
      <c r="C124" s="8">
        <v>1106.7299800000001</v>
      </c>
      <c r="D124" s="8">
        <v>1173.9399410000001</v>
      </c>
      <c r="E124" s="8">
        <v>1106.7299800000001</v>
      </c>
      <c r="F124" s="8">
        <v>1147.3900149999999</v>
      </c>
      <c r="G124" s="8">
        <v>1147.3900149999999</v>
      </c>
      <c r="H124" s="8">
        <v>26563200000</v>
      </c>
      <c r="I124" s="54">
        <v>9.4000000000000004E-3</v>
      </c>
      <c r="K124" s="1"/>
      <c r="L124" s="8"/>
      <c r="M124" s="8"/>
      <c r="N124" s="8"/>
      <c r="O124" s="8"/>
      <c r="P124" s="8"/>
      <c r="Q124" s="8"/>
    </row>
    <row r="125" spans="1:17" x14ac:dyDescent="0.35">
      <c r="A125" s="1">
        <v>37347</v>
      </c>
      <c r="B125" s="13">
        <v>21274</v>
      </c>
      <c r="C125" s="8">
        <v>1147.3900149999999</v>
      </c>
      <c r="D125" s="8">
        <v>1147.839966</v>
      </c>
      <c r="E125" s="8">
        <v>1063.459961</v>
      </c>
      <c r="F125" s="8">
        <v>1076.920044</v>
      </c>
      <c r="G125" s="8">
        <v>1076.920044</v>
      </c>
      <c r="H125" s="8">
        <v>28568900000</v>
      </c>
      <c r="I125" s="54">
        <v>9.2999999999999992E-3</v>
      </c>
      <c r="K125" s="1"/>
      <c r="L125" s="8"/>
      <c r="M125" s="8"/>
      <c r="N125" s="8"/>
      <c r="O125" s="8"/>
      <c r="P125" s="8"/>
      <c r="Q125" s="8"/>
    </row>
    <row r="126" spans="1:17" x14ac:dyDescent="0.35">
      <c r="A126" s="1">
        <v>37377</v>
      </c>
      <c r="B126" s="13">
        <v>20874</v>
      </c>
      <c r="C126" s="8">
        <v>1076.920044</v>
      </c>
      <c r="D126" s="8">
        <v>1106.589966</v>
      </c>
      <c r="E126" s="8">
        <v>1048.959961</v>
      </c>
      <c r="F126" s="8">
        <v>1067.1400149999999</v>
      </c>
      <c r="G126" s="8">
        <v>1067.1400149999999</v>
      </c>
      <c r="H126" s="8">
        <v>26905500000</v>
      </c>
      <c r="I126" s="54">
        <v>9.2999999999999992E-3</v>
      </c>
      <c r="K126" s="1"/>
      <c r="L126" s="8"/>
      <c r="M126" s="8"/>
      <c r="N126" s="8"/>
      <c r="O126" s="8"/>
      <c r="P126" s="8"/>
      <c r="Q126" s="8"/>
    </row>
    <row r="127" spans="1:17" x14ac:dyDescent="0.35">
      <c r="A127" s="1">
        <v>37408</v>
      </c>
      <c r="B127" s="13">
        <v>20725</v>
      </c>
      <c r="C127" s="8">
        <v>1067.1400149999999</v>
      </c>
      <c r="D127" s="8">
        <v>1070.73999</v>
      </c>
      <c r="E127" s="8">
        <v>952.919983</v>
      </c>
      <c r="F127" s="8">
        <v>989.82000700000003</v>
      </c>
      <c r="G127" s="8">
        <v>989.82000700000003</v>
      </c>
      <c r="H127" s="8">
        <v>29981510000</v>
      </c>
      <c r="I127" s="54">
        <v>9.1999999999999998E-3</v>
      </c>
      <c r="K127" s="1"/>
      <c r="L127" s="8"/>
      <c r="M127" s="8"/>
      <c r="N127" s="8"/>
      <c r="O127" s="8"/>
      <c r="P127" s="8"/>
      <c r="Q127" s="8"/>
    </row>
    <row r="128" spans="1:17" x14ac:dyDescent="0.35">
      <c r="A128" s="1">
        <v>37438</v>
      </c>
      <c r="B128" s="13">
        <v>20674</v>
      </c>
      <c r="C128" s="8">
        <v>989.82000700000003</v>
      </c>
      <c r="D128" s="8">
        <v>994.46002199999998</v>
      </c>
      <c r="E128" s="8">
        <v>775.67999299999997</v>
      </c>
      <c r="F128" s="8">
        <v>911.61999500000002</v>
      </c>
      <c r="G128" s="8">
        <v>911.61999500000002</v>
      </c>
      <c r="H128" s="8">
        <v>42228720000</v>
      </c>
      <c r="I128" s="54">
        <v>9.4000000000000004E-3</v>
      </c>
      <c r="K128" s="1"/>
      <c r="L128" s="8"/>
      <c r="M128" s="8"/>
      <c r="N128" s="8"/>
      <c r="O128" s="8"/>
      <c r="P128" s="8"/>
      <c r="Q128" s="8"/>
    </row>
    <row r="129" spans="1:17" x14ac:dyDescent="0.35">
      <c r="A129" s="1">
        <v>37469</v>
      </c>
      <c r="B129" s="13">
        <v>20683</v>
      </c>
      <c r="C129" s="8">
        <v>911.61999500000002</v>
      </c>
      <c r="D129" s="8">
        <v>965</v>
      </c>
      <c r="E129" s="8">
        <v>833.44000200000005</v>
      </c>
      <c r="F129" s="8">
        <v>916.07000700000003</v>
      </c>
      <c r="G129" s="8">
        <v>916.07000700000003</v>
      </c>
      <c r="H129" s="8">
        <v>29298400000</v>
      </c>
      <c r="I129" s="54">
        <v>9.4000000000000004E-3</v>
      </c>
      <c r="K129" s="1"/>
      <c r="L129" s="8"/>
      <c r="M129" s="8"/>
      <c r="N129" s="8"/>
      <c r="O129" s="8"/>
      <c r="P129" s="8"/>
      <c r="Q129" s="8"/>
    </row>
    <row r="130" spans="1:17" x14ac:dyDescent="0.35">
      <c r="A130" s="1">
        <v>37500</v>
      </c>
      <c r="B130" s="13">
        <v>20732</v>
      </c>
      <c r="C130" s="8">
        <v>916.07000700000003</v>
      </c>
      <c r="D130" s="8">
        <v>924.02002000000005</v>
      </c>
      <c r="E130" s="8">
        <v>800.20001200000002</v>
      </c>
      <c r="F130" s="8">
        <v>815.28002900000001</v>
      </c>
      <c r="G130" s="8">
        <v>815.28002900000001</v>
      </c>
      <c r="H130" s="8">
        <v>27723710000</v>
      </c>
      <c r="I130" s="54">
        <v>9.2999999999999992E-3</v>
      </c>
      <c r="K130" s="1"/>
      <c r="L130" s="8"/>
      <c r="M130" s="8"/>
      <c r="N130" s="8"/>
      <c r="O130" s="8"/>
      <c r="P130" s="8"/>
      <c r="Q130" s="8"/>
    </row>
    <row r="131" spans="1:17" x14ac:dyDescent="0.35">
      <c r="A131" s="1">
        <v>37530</v>
      </c>
      <c r="B131" s="13">
        <v>20603</v>
      </c>
      <c r="C131" s="8">
        <v>815.28002900000001</v>
      </c>
      <c r="D131" s="8">
        <v>907.44000200000005</v>
      </c>
      <c r="E131" s="8">
        <v>768.63000499999998</v>
      </c>
      <c r="F131" s="8">
        <v>885.76000999999997</v>
      </c>
      <c r="G131" s="8">
        <v>885.76000999999997</v>
      </c>
      <c r="H131" s="8">
        <v>37856310000</v>
      </c>
      <c r="I131" s="54">
        <v>9.2999999999999992E-3</v>
      </c>
      <c r="K131" s="1"/>
      <c r="L131" s="8"/>
      <c r="M131" s="8"/>
      <c r="N131" s="8"/>
      <c r="O131" s="8"/>
      <c r="P131" s="8"/>
      <c r="Q131" s="8"/>
    </row>
    <row r="132" spans="1:17" x14ac:dyDescent="0.35">
      <c r="A132" s="1">
        <v>37561</v>
      </c>
      <c r="B132" s="13">
        <v>20969</v>
      </c>
      <c r="C132" s="8">
        <v>885.76000999999997</v>
      </c>
      <c r="D132" s="8">
        <v>941.82000700000003</v>
      </c>
      <c r="E132" s="8">
        <v>872.04998799999998</v>
      </c>
      <c r="F132" s="8">
        <v>936.30999799999995</v>
      </c>
      <c r="G132" s="8">
        <v>936.30999799999995</v>
      </c>
      <c r="H132" s="8">
        <v>29200960000</v>
      </c>
      <c r="I132" s="54">
        <v>8.9999999999999993E-3</v>
      </c>
      <c r="K132" s="1"/>
      <c r="L132" s="8"/>
      <c r="M132" s="8"/>
      <c r="N132" s="8"/>
      <c r="O132" s="8"/>
      <c r="P132" s="8"/>
      <c r="Q132" s="8"/>
    </row>
    <row r="133" spans="1:17" x14ac:dyDescent="0.35">
      <c r="A133" s="1">
        <v>37591</v>
      </c>
      <c r="B133" s="13">
        <v>20415</v>
      </c>
      <c r="C133" s="8">
        <v>936.30999799999995</v>
      </c>
      <c r="D133" s="8">
        <v>954.28002900000001</v>
      </c>
      <c r="E133" s="8">
        <v>869.45001200000002</v>
      </c>
      <c r="F133" s="8">
        <v>879.82000700000003</v>
      </c>
      <c r="G133" s="8">
        <v>879.82000700000003</v>
      </c>
      <c r="H133" s="8">
        <v>25993640000</v>
      </c>
      <c r="I133" s="54">
        <v>8.8000000000000005E-3</v>
      </c>
      <c r="K133" s="1"/>
      <c r="L133" s="8"/>
      <c r="M133" s="8"/>
      <c r="N133" s="8"/>
      <c r="O133" s="8"/>
      <c r="P133" s="8"/>
      <c r="Q133" s="8"/>
    </row>
    <row r="134" spans="1:17" x14ac:dyDescent="0.35">
      <c r="A134" s="1">
        <v>37622</v>
      </c>
      <c r="B134" s="13">
        <v>21270</v>
      </c>
      <c r="C134" s="8">
        <v>879.82000700000003</v>
      </c>
      <c r="D134" s="8">
        <v>935.04998799999998</v>
      </c>
      <c r="E134" s="8">
        <v>840.34002699999996</v>
      </c>
      <c r="F134" s="8">
        <v>855.70001200000002</v>
      </c>
      <c r="G134" s="8">
        <v>855.70001200000002</v>
      </c>
      <c r="H134" s="8">
        <v>30749580000</v>
      </c>
      <c r="I134" s="54">
        <v>8.6E-3</v>
      </c>
      <c r="K134" s="1"/>
      <c r="L134" s="8"/>
      <c r="M134" s="8"/>
      <c r="N134" s="8"/>
      <c r="O134" s="8"/>
      <c r="P134" s="8"/>
      <c r="Q134" s="8"/>
    </row>
    <row r="135" spans="1:17" x14ac:dyDescent="0.35">
      <c r="A135" s="1">
        <v>37653</v>
      </c>
      <c r="B135" s="13">
        <v>20041</v>
      </c>
      <c r="C135" s="8">
        <v>855.70001200000002</v>
      </c>
      <c r="D135" s="8">
        <v>864.64001499999995</v>
      </c>
      <c r="E135" s="8">
        <v>806.28997800000002</v>
      </c>
      <c r="F135" s="8">
        <v>841.15002400000003</v>
      </c>
      <c r="G135" s="8">
        <v>841.15002400000003</v>
      </c>
      <c r="H135" s="8">
        <v>25235300000</v>
      </c>
      <c r="I135" s="54">
        <v>8.3999999999999995E-3</v>
      </c>
      <c r="K135" s="1"/>
      <c r="L135" s="8"/>
      <c r="M135" s="8"/>
      <c r="N135" s="8"/>
      <c r="O135" s="8"/>
      <c r="P135" s="8"/>
      <c r="Q135" s="8"/>
    </row>
    <row r="136" spans="1:17" x14ac:dyDescent="0.35">
      <c r="A136" s="1">
        <v>37681</v>
      </c>
      <c r="B136" s="13">
        <v>21326</v>
      </c>
      <c r="C136" s="8">
        <v>841.15002400000003</v>
      </c>
      <c r="D136" s="8">
        <v>895.90002400000003</v>
      </c>
      <c r="E136" s="8">
        <v>788.90002400000003</v>
      </c>
      <c r="F136" s="8">
        <v>848.17999299999997</v>
      </c>
      <c r="G136" s="8">
        <v>848.17999299999997</v>
      </c>
      <c r="H136" s="8">
        <v>30080030000</v>
      </c>
      <c r="I136" s="54">
        <v>8.3999999999999995E-3</v>
      </c>
      <c r="K136" s="1"/>
      <c r="L136" s="8"/>
      <c r="M136" s="8"/>
      <c r="N136" s="8"/>
      <c r="O136" s="8"/>
      <c r="P136" s="8"/>
      <c r="Q136" s="8"/>
    </row>
    <row r="137" spans="1:17" x14ac:dyDescent="0.35">
      <c r="A137" s="1">
        <v>37712</v>
      </c>
      <c r="B137" s="13">
        <v>21139</v>
      </c>
      <c r="C137" s="8">
        <v>848.17999299999997</v>
      </c>
      <c r="D137" s="8">
        <v>924.23999000000003</v>
      </c>
      <c r="E137" s="8">
        <v>847.84997599999997</v>
      </c>
      <c r="F137" s="8">
        <v>916.919983</v>
      </c>
      <c r="G137" s="8">
        <v>916.919983</v>
      </c>
      <c r="H137" s="8">
        <v>29669610000</v>
      </c>
      <c r="I137" s="54">
        <v>8.6E-3</v>
      </c>
      <c r="K137" s="1"/>
      <c r="L137" s="8"/>
      <c r="M137" s="8"/>
      <c r="N137" s="8"/>
      <c r="O137" s="8"/>
      <c r="P137" s="8"/>
      <c r="Q137" s="8"/>
    </row>
    <row r="138" spans="1:17" x14ac:dyDescent="0.35">
      <c r="A138" s="1">
        <v>37742</v>
      </c>
      <c r="B138" s="13">
        <v>21328</v>
      </c>
      <c r="C138" s="8">
        <v>916.919983</v>
      </c>
      <c r="D138" s="8">
        <v>965.38000499999998</v>
      </c>
      <c r="E138" s="8">
        <v>902.830017</v>
      </c>
      <c r="F138" s="8">
        <v>963.59002699999996</v>
      </c>
      <c r="G138" s="8">
        <v>963.59002699999996</v>
      </c>
      <c r="H138" s="8">
        <v>30952100000</v>
      </c>
      <c r="I138" s="54">
        <v>8.8000000000000005E-3</v>
      </c>
      <c r="K138" s="1"/>
      <c r="L138" s="8"/>
      <c r="M138" s="8"/>
      <c r="N138" s="8"/>
      <c r="O138" s="8"/>
      <c r="P138" s="8"/>
      <c r="Q138" s="8"/>
    </row>
    <row r="139" spans="1:17" x14ac:dyDescent="0.35">
      <c r="A139" s="1">
        <v>37773</v>
      </c>
      <c r="B139" s="13">
        <v>22003</v>
      </c>
      <c r="C139" s="8">
        <v>963.59002699999996</v>
      </c>
      <c r="D139" s="8">
        <v>1015.330017</v>
      </c>
      <c r="E139" s="8">
        <v>963.59002699999996</v>
      </c>
      <c r="F139" s="8">
        <v>974.5</v>
      </c>
      <c r="G139" s="8">
        <v>974.5</v>
      </c>
      <c r="H139" s="8">
        <v>31219400000</v>
      </c>
      <c r="I139" s="54">
        <v>8.8000000000000005E-3</v>
      </c>
      <c r="K139" s="1"/>
      <c r="L139" s="8"/>
      <c r="M139" s="8"/>
      <c r="N139" s="8"/>
      <c r="O139" s="8"/>
      <c r="P139" s="8"/>
      <c r="Q139" s="8"/>
    </row>
    <row r="140" spans="1:17" x14ac:dyDescent="0.35">
      <c r="A140" s="1">
        <v>37803</v>
      </c>
      <c r="B140" s="13">
        <v>22372</v>
      </c>
      <c r="C140" s="8">
        <v>974.5</v>
      </c>
      <c r="D140" s="8">
        <v>1015.409973</v>
      </c>
      <c r="E140" s="8">
        <v>962.09997599999997</v>
      </c>
      <c r="F140" s="8">
        <v>990.30999799999995</v>
      </c>
      <c r="G140" s="8">
        <v>990.30999799999995</v>
      </c>
      <c r="H140" s="8">
        <v>31553200000</v>
      </c>
      <c r="I140" s="54">
        <v>8.8000000000000005E-3</v>
      </c>
      <c r="K140" s="1"/>
      <c r="L140" s="8"/>
      <c r="M140" s="8"/>
      <c r="N140" s="8"/>
      <c r="O140" s="8"/>
      <c r="P140" s="8"/>
      <c r="Q140" s="8"/>
    </row>
    <row r="141" spans="1:17" x14ac:dyDescent="0.35">
      <c r="A141" s="1">
        <v>37834</v>
      </c>
      <c r="B141" s="13">
        <v>22489</v>
      </c>
      <c r="C141" s="8">
        <v>990.30999799999995</v>
      </c>
      <c r="D141" s="8">
        <v>1011.01001</v>
      </c>
      <c r="E141" s="8">
        <v>960.84002699999996</v>
      </c>
      <c r="F141" s="8">
        <v>1008.01001</v>
      </c>
      <c r="G141" s="8">
        <v>1008.01001</v>
      </c>
      <c r="H141" s="8">
        <v>24881470000</v>
      </c>
      <c r="I141" s="54">
        <v>8.8000000000000005E-3</v>
      </c>
      <c r="K141" s="1"/>
      <c r="L141" s="8"/>
      <c r="M141" s="8"/>
      <c r="N141" s="8"/>
      <c r="O141" s="8"/>
      <c r="P141" s="8"/>
      <c r="Q141" s="8"/>
    </row>
    <row r="142" spans="1:17" x14ac:dyDescent="0.35">
      <c r="A142" s="1">
        <v>37865</v>
      </c>
      <c r="B142" s="13">
        <v>22630</v>
      </c>
      <c r="C142" s="8">
        <v>1008.01001</v>
      </c>
      <c r="D142" s="8">
        <v>1040.290039</v>
      </c>
      <c r="E142" s="8">
        <v>990.35998500000005</v>
      </c>
      <c r="F142" s="8">
        <v>995.96997099999999</v>
      </c>
      <c r="G142" s="8">
        <v>995.96997099999999</v>
      </c>
      <c r="H142" s="8">
        <v>29940110000</v>
      </c>
      <c r="I142" s="54">
        <v>8.8999999999999999E-3</v>
      </c>
      <c r="K142" s="1"/>
      <c r="L142" s="8"/>
      <c r="M142" s="8"/>
      <c r="N142" s="8"/>
      <c r="O142" s="8"/>
      <c r="P142" s="8"/>
      <c r="Q142" s="8"/>
    </row>
    <row r="143" spans="1:17" x14ac:dyDescent="0.35">
      <c r="A143" s="1">
        <v>37895</v>
      </c>
      <c r="B143" s="13">
        <v>22869</v>
      </c>
      <c r="C143" s="8">
        <v>995.96997099999999</v>
      </c>
      <c r="D143" s="8">
        <v>1053.790039</v>
      </c>
      <c r="E143" s="8">
        <v>995.96997099999999</v>
      </c>
      <c r="F143" s="8">
        <v>1050.709961</v>
      </c>
      <c r="G143" s="8">
        <v>1050.709961</v>
      </c>
      <c r="H143" s="8">
        <v>32298500000</v>
      </c>
      <c r="I143" s="54">
        <v>8.8000000000000005E-3</v>
      </c>
      <c r="K143" s="1"/>
      <c r="L143" s="8"/>
      <c r="M143" s="8"/>
      <c r="N143" s="8"/>
      <c r="O143" s="8"/>
      <c r="P143" s="8"/>
      <c r="Q143" s="8"/>
    </row>
    <row r="144" spans="1:17" x14ac:dyDescent="0.35">
      <c r="A144" s="1">
        <v>37926</v>
      </c>
      <c r="B144" s="13">
        <v>22864</v>
      </c>
      <c r="C144" s="8">
        <v>1050.709961</v>
      </c>
      <c r="D144" s="8">
        <v>1063.650024</v>
      </c>
      <c r="E144" s="8">
        <v>1031.1999510000001</v>
      </c>
      <c r="F144" s="8">
        <v>1058.1999510000001</v>
      </c>
      <c r="G144" s="8">
        <v>1058.1999510000001</v>
      </c>
      <c r="H144" s="8">
        <v>24463220000</v>
      </c>
      <c r="I144" s="54">
        <v>8.8999999999999999E-3</v>
      </c>
      <c r="K144" s="1"/>
      <c r="L144" s="8"/>
      <c r="M144" s="8"/>
      <c r="N144" s="8"/>
      <c r="O144" s="8"/>
      <c r="P144" s="8"/>
      <c r="Q144" s="8"/>
    </row>
    <row r="145" spans="1:17" x14ac:dyDescent="0.35">
      <c r="A145" s="1">
        <v>37956</v>
      </c>
      <c r="B145" s="13">
        <v>22748</v>
      </c>
      <c r="C145" s="8">
        <v>1058.1999510000001</v>
      </c>
      <c r="D145" s="8">
        <v>1112.5600589999999</v>
      </c>
      <c r="E145" s="8">
        <v>1053.410034</v>
      </c>
      <c r="F145" s="8">
        <v>1111.920044</v>
      </c>
      <c r="G145" s="8">
        <v>1111.920044</v>
      </c>
      <c r="H145" s="8">
        <v>27839130000</v>
      </c>
      <c r="I145" s="54">
        <v>9.1000000000000004E-3</v>
      </c>
      <c r="K145" s="1"/>
      <c r="L145" s="8"/>
      <c r="M145" s="8"/>
      <c r="N145" s="8"/>
      <c r="O145" s="8"/>
      <c r="P145" s="8"/>
      <c r="Q145" s="8"/>
    </row>
    <row r="146" spans="1:17" x14ac:dyDescent="0.35">
      <c r="A146" s="1">
        <v>37987</v>
      </c>
      <c r="B146" s="13">
        <v>22637</v>
      </c>
      <c r="C146" s="8">
        <v>1111.920044</v>
      </c>
      <c r="D146" s="8">
        <v>1155.380005</v>
      </c>
      <c r="E146" s="8">
        <v>1105.079956</v>
      </c>
      <c r="F146" s="8">
        <v>1131.130005</v>
      </c>
      <c r="G146" s="8">
        <v>1131.130005</v>
      </c>
      <c r="H146" s="8">
        <v>32820000000</v>
      </c>
      <c r="I146" s="54">
        <v>9.4000000000000004E-3</v>
      </c>
      <c r="K146" s="1"/>
      <c r="L146" s="8"/>
      <c r="M146" s="8"/>
      <c r="N146" s="8"/>
      <c r="O146" s="8"/>
      <c r="P146" s="8"/>
      <c r="Q146" s="8"/>
    </row>
    <row r="147" spans="1:17" x14ac:dyDescent="0.35">
      <c r="A147" s="1">
        <v>38018</v>
      </c>
      <c r="B147" s="13">
        <v>22727</v>
      </c>
      <c r="C147" s="8">
        <v>1131.130005</v>
      </c>
      <c r="D147" s="8">
        <v>1158.9799800000001</v>
      </c>
      <c r="E147" s="8">
        <v>1124.4399410000001</v>
      </c>
      <c r="F147" s="8">
        <v>1144.9399410000001</v>
      </c>
      <c r="G147" s="8">
        <v>1144.9399410000001</v>
      </c>
      <c r="H147" s="8">
        <v>27985600000</v>
      </c>
      <c r="I147" s="54">
        <v>9.7000000000000003E-3</v>
      </c>
      <c r="K147" s="1"/>
      <c r="L147" s="8"/>
      <c r="M147" s="8"/>
      <c r="N147" s="8"/>
      <c r="O147" s="8"/>
      <c r="P147" s="8"/>
      <c r="Q147" s="8"/>
    </row>
    <row r="148" spans="1:17" x14ac:dyDescent="0.35">
      <c r="A148" s="1">
        <v>38047</v>
      </c>
      <c r="B148" s="13">
        <v>24992</v>
      </c>
      <c r="C148" s="8">
        <v>1144.9399410000001</v>
      </c>
      <c r="D148" s="8">
        <v>1163.2299800000001</v>
      </c>
      <c r="E148" s="8">
        <v>1087.160034</v>
      </c>
      <c r="F148" s="8">
        <v>1126.209961</v>
      </c>
      <c r="G148" s="8">
        <v>1126.209961</v>
      </c>
      <c r="H148" s="8">
        <v>33597900000</v>
      </c>
      <c r="I148" s="54">
        <v>9.4999999999999998E-3</v>
      </c>
      <c r="K148" s="1"/>
      <c r="L148" s="8"/>
      <c r="M148" s="8"/>
      <c r="N148" s="8"/>
      <c r="O148" s="8"/>
      <c r="P148" s="8"/>
      <c r="Q148" s="8"/>
    </row>
    <row r="149" spans="1:17" x14ac:dyDescent="0.35">
      <c r="A149" s="1">
        <v>38078</v>
      </c>
      <c r="B149" s="13">
        <v>24565</v>
      </c>
      <c r="C149" s="8">
        <v>1126.209961</v>
      </c>
      <c r="D149" s="8">
        <v>1150.5699460000001</v>
      </c>
      <c r="E149" s="8">
        <v>1107.2299800000001</v>
      </c>
      <c r="F149" s="8">
        <v>1107.3000489999999</v>
      </c>
      <c r="G149" s="8">
        <v>1107.3000489999999</v>
      </c>
      <c r="H149" s="8">
        <v>31611900000</v>
      </c>
      <c r="I149" s="54">
        <v>9.2999999999999992E-3</v>
      </c>
      <c r="K149" s="1"/>
      <c r="L149" s="8"/>
      <c r="M149" s="8"/>
      <c r="N149" s="8"/>
      <c r="O149" s="8"/>
      <c r="P149" s="8"/>
      <c r="Q149" s="8"/>
    </row>
    <row r="150" spans="1:17" x14ac:dyDescent="0.35">
      <c r="A150" s="1">
        <v>38108</v>
      </c>
      <c r="B150" s="13">
        <v>24420</v>
      </c>
      <c r="C150" s="8">
        <v>1107.3000489999999</v>
      </c>
      <c r="D150" s="8">
        <v>1127.73999</v>
      </c>
      <c r="E150" s="8">
        <v>1076.3199460000001</v>
      </c>
      <c r="F150" s="8">
        <v>1120.6800539999999</v>
      </c>
      <c r="G150" s="8">
        <v>1120.6800539999999</v>
      </c>
      <c r="H150" s="8">
        <v>29326400000</v>
      </c>
      <c r="I150" s="54">
        <v>9.1999999999999998E-3</v>
      </c>
      <c r="K150" s="1"/>
      <c r="L150" s="8"/>
      <c r="M150" s="8"/>
      <c r="N150" s="8"/>
      <c r="O150" s="8"/>
      <c r="P150" s="8"/>
      <c r="Q150" s="8"/>
    </row>
    <row r="151" spans="1:17" x14ac:dyDescent="0.35">
      <c r="A151" s="1">
        <v>38139</v>
      </c>
      <c r="B151" s="13">
        <v>24622</v>
      </c>
      <c r="C151" s="8">
        <v>1120.6800539999999</v>
      </c>
      <c r="D151" s="8">
        <v>1146.339966</v>
      </c>
      <c r="E151" s="8">
        <v>1113.3199460000001</v>
      </c>
      <c r="F151" s="8">
        <v>1140.839966</v>
      </c>
      <c r="G151" s="8">
        <v>1140.839966</v>
      </c>
      <c r="H151" s="8">
        <v>27529500000</v>
      </c>
      <c r="I151" s="54">
        <v>9.1000000000000004E-3</v>
      </c>
      <c r="K151" s="1"/>
      <c r="L151" s="8"/>
      <c r="M151" s="8"/>
      <c r="N151" s="8"/>
      <c r="O151" s="8"/>
      <c r="P151" s="8"/>
      <c r="Q151" s="8"/>
    </row>
    <row r="152" spans="1:17" x14ac:dyDescent="0.35">
      <c r="A152" s="1">
        <v>38169</v>
      </c>
      <c r="B152" s="13">
        <v>24538</v>
      </c>
      <c r="C152" s="8">
        <v>1140.839966</v>
      </c>
      <c r="D152" s="8">
        <v>1140.839966</v>
      </c>
      <c r="E152" s="8">
        <v>1078.780029</v>
      </c>
      <c r="F152" s="8">
        <v>1101.719971</v>
      </c>
      <c r="G152" s="8">
        <v>1101.719971</v>
      </c>
      <c r="H152" s="8">
        <v>29285600000</v>
      </c>
      <c r="I152" s="54">
        <v>9.1000000000000004E-3</v>
      </c>
      <c r="K152" s="1"/>
      <c r="L152" s="8"/>
      <c r="M152" s="8"/>
      <c r="N152" s="8"/>
      <c r="O152" s="8"/>
      <c r="P152" s="8"/>
      <c r="Q152" s="8"/>
    </row>
    <row r="153" spans="1:17" x14ac:dyDescent="0.35">
      <c r="A153" s="1">
        <v>38200</v>
      </c>
      <c r="B153" s="13">
        <v>24713</v>
      </c>
      <c r="C153" s="8">
        <v>1101.719971</v>
      </c>
      <c r="D153" s="8">
        <v>1109.6800539999999</v>
      </c>
      <c r="E153" s="8">
        <v>1060.719971</v>
      </c>
      <c r="F153" s="8">
        <v>1104.23999</v>
      </c>
      <c r="G153" s="8">
        <v>1104.23999</v>
      </c>
      <c r="H153" s="8">
        <v>26586800000</v>
      </c>
      <c r="I153" s="54">
        <v>9.1000000000000004E-3</v>
      </c>
      <c r="K153" s="1"/>
      <c r="L153" s="8"/>
      <c r="M153" s="8"/>
      <c r="N153" s="8"/>
      <c r="O153" s="8"/>
      <c r="P153" s="8"/>
      <c r="Q153" s="8"/>
    </row>
    <row r="154" spans="1:17" x14ac:dyDescent="0.35">
      <c r="A154" s="1">
        <v>38231</v>
      </c>
      <c r="B154" s="13">
        <v>25045</v>
      </c>
      <c r="C154" s="8">
        <v>1104.23999</v>
      </c>
      <c r="D154" s="8">
        <v>1131.540039</v>
      </c>
      <c r="E154" s="8">
        <v>1099.1800539999999</v>
      </c>
      <c r="F154" s="8">
        <v>1114.579956</v>
      </c>
      <c r="G154" s="8">
        <v>1114.579956</v>
      </c>
      <c r="H154" s="8">
        <v>26829870000</v>
      </c>
      <c r="I154" s="54">
        <v>9.1000000000000004E-3</v>
      </c>
      <c r="K154" s="1"/>
      <c r="L154" s="8"/>
      <c r="M154" s="8"/>
      <c r="N154" s="8"/>
      <c r="O154" s="8"/>
      <c r="P154" s="8"/>
      <c r="Q154" s="8"/>
    </row>
    <row r="155" spans="1:17" x14ac:dyDescent="0.35">
      <c r="A155" s="1">
        <v>38261</v>
      </c>
      <c r="B155" s="13">
        <v>24842</v>
      </c>
      <c r="C155" s="8">
        <v>1114.579956</v>
      </c>
      <c r="D155" s="8">
        <v>1142.0500489999999</v>
      </c>
      <c r="E155" s="8">
        <v>1090.290039</v>
      </c>
      <c r="F155" s="8">
        <v>1130.1999510000001</v>
      </c>
      <c r="G155" s="8">
        <v>1130.1999510000001</v>
      </c>
      <c r="H155" s="8">
        <v>31511000000</v>
      </c>
      <c r="I155" s="54">
        <v>9.1999999999999998E-3</v>
      </c>
      <c r="K155" s="1"/>
      <c r="L155" s="8"/>
      <c r="M155" s="8"/>
      <c r="N155" s="8"/>
      <c r="O155" s="8"/>
      <c r="P155" s="8"/>
      <c r="Q155" s="8"/>
    </row>
    <row r="156" spans="1:17" x14ac:dyDescent="0.35">
      <c r="A156" s="1">
        <v>38292</v>
      </c>
      <c r="B156" s="13">
        <v>24974</v>
      </c>
      <c r="C156" s="8">
        <v>1130.1999510000001</v>
      </c>
      <c r="D156" s="8">
        <v>1188.459961</v>
      </c>
      <c r="E156" s="8">
        <v>1127.599976</v>
      </c>
      <c r="F156" s="8">
        <v>1173.8199460000001</v>
      </c>
      <c r="G156" s="8">
        <v>1173.8199460000001</v>
      </c>
      <c r="H156" s="8">
        <v>30460280000</v>
      </c>
      <c r="I156" s="54">
        <v>9.1000000000000004E-3</v>
      </c>
      <c r="K156" s="1"/>
      <c r="L156" s="8"/>
      <c r="M156" s="8"/>
      <c r="N156" s="8"/>
      <c r="O156" s="8"/>
      <c r="P156" s="8"/>
      <c r="Q156" s="8"/>
    </row>
    <row r="157" spans="1:17" x14ac:dyDescent="0.35">
      <c r="A157" s="1">
        <v>38322</v>
      </c>
      <c r="B157" s="13">
        <v>25679</v>
      </c>
      <c r="C157" s="8">
        <v>1173.780029</v>
      </c>
      <c r="D157" s="8">
        <v>1217.329956</v>
      </c>
      <c r="E157" s="8">
        <v>1173.780029</v>
      </c>
      <c r="F157" s="8">
        <v>1211.920044</v>
      </c>
      <c r="G157" s="8">
        <v>1211.920044</v>
      </c>
      <c r="H157" s="8">
        <v>31102500000</v>
      </c>
      <c r="I157" s="54">
        <v>9.1000000000000004E-3</v>
      </c>
      <c r="K157" s="1"/>
      <c r="L157" s="8"/>
      <c r="M157" s="8"/>
      <c r="N157" s="8"/>
      <c r="O157" s="8"/>
      <c r="P157" s="8"/>
      <c r="Q157" s="8"/>
    </row>
    <row r="158" spans="1:17" x14ac:dyDescent="0.35">
      <c r="A158" s="1">
        <v>38353</v>
      </c>
      <c r="B158" s="13">
        <v>26009</v>
      </c>
      <c r="C158" s="8">
        <v>1211.920044</v>
      </c>
      <c r="D158" s="8">
        <v>1217.8000489999999</v>
      </c>
      <c r="E158" s="8">
        <v>1163.75</v>
      </c>
      <c r="F158" s="8">
        <v>1181.2700199999999</v>
      </c>
      <c r="G158" s="8">
        <v>1181.2700199999999</v>
      </c>
      <c r="H158" s="8">
        <v>31498800000</v>
      </c>
      <c r="I158" s="54">
        <v>9.1999999999999998E-3</v>
      </c>
      <c r="K158" s="1"/>
      <c r="L158" s="8"/>
      <c r="M158" s="8"/>
      <c r="N158" s="8"/>
      <c r="O158" s="8"/>
      <c r="P158" s="8"/>
      <c r="Q158" s="8"/>
    </row>
    <row r="159" spans="1:17" x14ac:dyDescent="0.35">
      <c r="A159" s="1">
        <v>38384</v>
      </c>
      <c r="B159" s="13">
        <v>25793</v>
      </c>
      <c r="C159" s="8">
        <v>1181.2700199999999</v>
      </c>
      <c r="D159" s="8">
        <v>1212.4399410000001</v>
      </c>
      <c r="E159" s="8">
        <v>1180.9499510000001</v>
      </c>
      <c r="F159" s="8">
        <v>1203.599976</v>
      </c>
      <c r="G159" s="8">
        <v>1203.599976</v>
      </c>
      <c r="H159" s="8">
        <v>29297410000</v>
      </c>
      <c r="I159" s="54">
        <v>9.1999999999999998E-3</v>
      </c>
      <c r="K159" s="1"/>
      <c r="L159" s="8"/>
      <c r="M159" s="8"/>
      <c r="N159" s="8"/>
      <c r="O159" s="8"/>
      <c r="P159" s="8"/>
      <c r="Q159" s="8"/>
    </row>
    <row r="160" spans="1:17" x14ac:dyDescent="0.35">
      <c r="A160" s="1">
        <v>38412</v>
      </c>
      <c r="B160" s="13">
        <v>26253</v>
      </c>
      <c r="C160" s="8">
        <v>1203.599976</v>
      </c>
      <c r="D160" s="8">
        <v>1229.1099850000001</v>
      </c>
      <c r="E160" s="8">
        <v>1163.6899410000001</v>
      </c>
      <c r="F160" s="8">
        <v>1180.589966</v>
      </c>
      <c r="G160" s="8">
        <v>1180.589966</v>
      </c>
      <c r="H160" s="8">
        <v>39014150000</v>
      </c>
      <c r="I160" s="54">
        <v>9.1999999999999998E-3</v>
      </c>
      <c r="K160" s="1"/>
      <c r="L160" s="8"/>
      <c r="M160" s="8"/>
      <c r="N160" s="8"/>
      <c r="O160" s="8"/>
      <c r="P160" s="8"/>
      <c r="Q160" s="8"/>
    </row>
    <row r="161" spans="1:17" x14ac:dyDescent="0.35">
      <c r="A161" s="1">
        <v>38443</v>
      </c>
      <c r="B161" s="13">
        <v>26551</v>
      </c>
      <c r="C161" s="8">
        <v>1180.589966</v>
      </c>
      <c r="D161" s="8">
        <v>1191.880005</v>
      </c>
      <c r="E161" s="8">
        <v>1136.150024</v>
      </c>
      <c r="F161" s="8">
        <v>1156.849976</v>
      </c>
      <c r="G161" s="8">
        <v>1156.849976</v>
      </c>
      <c r="H161" s="8">
        <v>43424270000</v>
      </c>
      <c r="I161" s="54">
        <v>9.2999999999999992E-3</v>
      </c>
      <c r="K161" s="1"/>
      <c r="L161" s="8"/>
      <c r="M161" s="8"/>
      <c r="N161" s="8"/>
      <c r="O161" s="8"/>
      <c r="P161" s="8"/>
      <c r="Q161" s="8"/>
    </row>
    <row r="162" spans="1:17" x14ac:dyDescent="0.35">
      <c r="A162" s="1">
        <v>38473</v>
      </c>
      <c r="B162" s="13">
        <v>26463</v>
      </c>
      <c r="C162" s="8">
        <v>1156.849976</v>
      </c>
      <c r="D162" s="8">
        <v>1199.5600589999999</v>
      </c>
      <c r="E162" s="8">
        <v>1146.1800539999999</v>
      </c>
      <c r="F162" s="8">
        <v>1191.5</v>
      </c>
      <c r="G162" s="8">
        <v>1191.5</v>
      </c>
      <c r="H162" s="8">
        <v>39321990000</v>
      </c>
      <c r="I162" s="54">
        <v>9.2999999999999992E-3</v>
      </c>
      <c r="K162" s="1"/>
      <c r="L162" s="8"/>
      <c r="M162" s="8"/>
      <c r="N162" s="8"/>
      <c r="O162" s="8"/>
      <c r="P162" s="8"/>
      <c r="Q162" s="8"/>
    </row>
    <row r="163" spans="1:17" x14ac:dyDescent="0.35">
      <c r="A163" s="1">
        <v>38504</v>
      </c>
      <c r="B163" s="13">
        <v>26653</v>
      </c>
      <c r="C163" s="8">
        <v>1191.5</v>
      </c>
      <c r="D163" s="8">
        <v>1219.589966</v>
      </c>
      <c r="E163" s="8">
        <v>1188.3000489999999</v>
      </c>
      <c r="F163" s="8">
        <v>1191.329956</v>
      </c>
      <c r="G163" s="8">
        <v>1191.329956</v>
      </c>
      <c r="H163" s="8">
        <v>40334040000</v>
      </c>
      <c r="I163" s="54">
        <v>9.2999999999999992E-3</v>
      </c>
      <c r="K163" s="1"/>
      <c r="L163" s="8"/>
      <c r="M163" s="8"/>
      <c r="N163" s="8"/>
      <c r="O163" s="8"/>
      <c r="P163" s="8"/>
      <c r="Q163" s="8"/>
    </row>
    <row r="164" spans="1:17" x14ac:dyDescent="0.35">
      <c r="A164" s="1">
        <v>38534</v>
      </c>
      <c r="B164" s="13">
        <v>26578</v>
      </c>
      <c r="C164" s="8">
        <v>1191.329956</v>
      </c>
      <c r="D164" s="8">
        <v>1245.150024</v>
      </c>
      <c r="E164" s="8">
        <v>1183.5500489999999</v>
      </c>
      <c r="F164" s="8">
        <v>1234.1800539999999</v>
      </c>
      <c r="G164" s="8">
        <v>1234.1800539999999</v>
      </c>
      <c r="H164" s="8">
        <v>37464670000</v>
      </c>
      <c r="I164" s="54">
        <v>9.2999999999999992E-3</v>
      </c>
      <c r="K164" s="1"/>
      <c r="L164" s="8"/>
      <c r="M164" s="8"/>
      <c r="N164" s="8"/>
      <c r="O164" s="8"/>
      <c r="P164" s="8"/>
      <c r="Q164" s="8"/>
    </row>
    <row r="165" spans="1:17" x14ac:dyDescent="0.35">
      <c r="A165" s="1">
        <v>38565</v>
      </c>
      <c r="B165" s="13">
        <v>26745</v>
      </c>
      <c r="C165" s="8">
        <v>1234.1800539999999</v>
      </c>
      <c r="D165" s="8">
        <v>1245.8599850000001</v>
      </c>
      <c r="E165" s="8">
        <v>1201.0699460000001</v>
      </c>
      <c r="F165" s="8">
        <v>1220.329956</v>
      </c>
      <c r="G165" s="8">
        <v>1220.329956</v>
      </c>
      <c r="H165" s="8">
        <v>42030090000</v>
      </c>
      <c r="I165" s="54">
        <v>9.1999999999999998E-3</v>
      </c>
      <c r="K165" s="1"/>
      <c r="L165" s="8"/>
      <c r="M165" s="8"/>
      <c r="N165" s="8"/>
      <c r="O165" s="8"/>
      <c r="P165" s="8"/>
      <c r="Q165" s="8"/>
    </row>
    <row r="166" spans="1:17" x14ac:dyDescent="0.35">
      <c r="A166" s="1">
        <v>38596</v>
      </c>
      <c r="B166" s="13">
        <v>27123</v>
      </c>
      <c r="C166" s="8">
        <v>1220.329956</v>
      </c>
      <c r="D166" s="8">
        <v>1243.130005</v>
      </c>
      <c r="E166" s="8">
        <v>1205.349976</v>
      </c>
      <c r="F166" s="8">
        <v>1228.8100589999999</v>
      </c>
      <c r="G166" s="8">
        <v>1228.8100589999999</v>
      </c>
      <c r="H166" s="8">
        <v>44777510000</v>
      </c>
      <c r="I166" s="54">
        <v>9.2999999999999992E-3</v>
      </c>
      <c r="K166" s="1"/>
      <c r="L166" s="8"/>
      <c r="M166" s="8"/>
      <c r="N166" s="8"/>
      <c r="O166" s="8"/>
      <c r="P166" s="8"/>
      <c r="Q166" s="8"/>
    </row>
    <row r="167" spans="1:17" x14ac:dyDescent="0.35">
      <c r="A167" s="1">
        <v>38626</v>
      </c>
      <c r="B167" s="13">
        <v>27640</v>
      </c>
      <c r="C167" s="8">
        <v>1228.8100589999999</v>
      </c>
      <c r="D167" s="8">
        <v>1233.339966</v>
      </c>
      <c r="E167" s="8">
        <v>1168.1999510000001</v>
      </c>
      <c r="F167" s="8">
        <v>1207.01001</v>
      </c>
      <c r="G167" s="8">
        <v>1207.01001</v>
      </c>
      <c r="H167" s="8">
        <v>49793790000</v>
      </c>
      <c r="I167" s="54">
        <v>9.4000000000000004E-3</v>
      </c>
      <c r="K167" s="1"/>
      <c r="L167" s="8"/>
      <c r="M167" s="8"/>
      <c r="N167" s="8"/>
      <c r="O167" s="8"/>
      <c r="P167" s="8"/>
      <c r="Q167" s="8"/>
    </row>
    <row r="168" spans="1:17" x14ac:dyDescent="0.35">
      <c r="A168" s="1">
        <v>38657</v>
      </c>
      <c r="B168" s="13">
        <v>27725</v>
      </c>
      <c r="C168" s="8">
        <v>1207.01001</v>
      </c>
      <c r="D168" s="8">
        <v>1270.6400149999999</v>
      </c>
      <c r="E168" s="8">
        <v>1201.0699460000001</v>
      </c>
      <c r="F168" s="8">
        <v>1249.4799800000001</v>
      </c>
      <c r="G168" s="8">
        <v>1249.4799800000001</v>
      </c>
      <c r="H168" s="8">
        <v>45102870000</v>
      </c>
      <c r="I168" s="54">
        <v>9.5999999999999992E-3</v>
      </c>
      <c r="K168" s="1"/>
      <c r="L168" s="8"/>
      <c r="M168" s="8"/>
      <c r="N168" s="8"/>
      <c r="O168" s="8"/>
      <c r="P168" s="8"/>
      <c r="Q168" s="8"/>
    </row>
    <row r="169" spans="1:17" x14ac:dyDescent="0.35">
      <c r="A169" s="1">
        <v>38687</v>
      </c>
      <c r="B169" s="13">
        <v>27308</v>
      </c>
      <c r="C169" s="8">
        <v>1249.4799800000001</v>
      </c>
      <c r="D169" s="8">
        <v>1275.8000489999999</v>
      </c>
      <c r="E169" s="8">
        <v>1246.589966</v>
      </c>
      <c r="F169" s="8">
        <v>1248.290039</v>
      </c>
      <c r="G169" s="8">
        <v>1248.290039</v>
      </c>
      <c r="H169" s="8">
        <v>41756130000</v>
      </c>
      <c r="I169" s="54">
        <v>9.7000000000000003E-3</v>
      </c>
      <c r="K169" s="1"/>
      <c r="L169" s="8"/>
      <c r="M169" s="8"/>
      <c r="N169" s="8"/>
      <c r="O169" s="8"/>
      <c r="P169" s="8"/>
      <c r="Q169" s="8"/>
    </row>
    <row r="170" spans="1:17" x14ac:dyDescent="0.35">
      <c r="A170" s="1">
        <v>38718</v>
      </c>
      <c r="B170" s="13">
        <v>29549</v>
      </c>
      <c r="C170" s="8">
        <v>1248.290039</v>
      </c>
      <c r="D170" s="8">
        <v>1294.900024</v>
      </c>
      <c r="E170" s="8">
        <v>1245.73999</v>
      </c>
      <c r="F170" s="8">
        <v>1280.079956</v>
      </c>
      <c r="G170" s="8">
        <v>1280.079956</v>
      </c>
      <c r="H170" s="8">
        <v>49211650000</v>
      </c>
      <c r="I170" s="54">
        <v>9.7000000000000003E-3</v>
      </c>
      <c r="K170" s="1"/>
      <c r="L170" s="8"/>
      <c r="M170" s="8"/>
      <c r="N170" s="8"/>
      <c r="O170" s="8"/>
      <c r="P170" s="8"/>
      <c r="Q170" s="8"/>
    </row>
    <row r="171" spans="1:17" x14ac:dyDescent="0.35">
      <c r="A171" s="1">
        <v>38749</v>
      </c>
      <c r="B171" s="13">
        <v>29508</v>
      </c>
      <c r="C171" s="8">
        <v>1280.079956</v>
      </c>
      <c r="D171" s="8">
        <v>1297.5699460000001</v>
      </c>
      <c r="E171" s="8">
        <v>1253.6099850000001</v>
      </c>
      <c r="F171" s="8">
        <v>1280.660034</v>
      </c>
      <c r="G171" s="8">
        <v>1280.660034</v>
      </c>
      <c r="H171" s="8">
        <v>42859940000</v>
      </c>
      <c r="I171" s="54">
        <v>9.5999999999999992E-3</v>
      </c>
      <c r="K171" s="1"/>
      <c r="L171" s="8"/>
      <c r="M171" s="8"/>
      <c r="N171" s="8"/>
      <c r="O171" s="8"/>
      <c r="P171" s="8"/>
      <c r="Q171" s="8"/>
    </row>
    <row r="172" spans="1:17" x14ac:dyDescent="0.35">
      <c r="A172" s="1">
        <v>38777</v>
      </c>
      <c r="B172" s="13">
        <v>29443</v>
      </c>
      <c r="C172" s="8">
        <v>1280.660034</v>
      </c>
      <c r="D172" s="8">
        <v>1310.880005</v>
      </c>
      <c r="E172" s="8">
        <v>1268.420044</v>
      </c>
      <c r="F172" s="8">
        <v>1294.869995</v>
      </c>
      <c r="G172" s="8">
        <v>1294.869995</v>
      </c>
      <c r="H172" s="8">
        <v>50905040000</v>
      </c>
      <c r="I172" s="54">
        <v>9.7000000000000003E-3</v>
      </c>
      <c r="K172" s="1"/>
      <c r="L172" s="8"/>
      <c r="M172" s="8"/>
      <c r="N172" s="8"/>
      <c r="O172" s="8"/>
      <c r="P172" s="8"/>
      <c r="Q172" s="8"/>
    </row>
    <row r="173" spans="1:17" x14ac:dyDescent="0.35">
      <c r="A173" s="1">
        <v>38808</v>
      </c>
      <c r="B173" s="13">
        <v>28900</v>
      </c>
      <c r="C173" s="8">
        <v>1302.880005</v>
      </c>
      <c r="D173" s="8">
        <v>1318.160034</v>
      </c>
      <c r="E173" s="8">
        <v>1280.73999</v>
      </c>
      <c r="F173" s="8">
        <v>1310.6099850000001</v>
      </c>
      <c r="G173" s="8">
        <v>1310.6099850000001</v>
      </c>
      <c r="H173" s="8">
        <v>43308430000</v>
      </c>
      <c r="I173" s="54">
        <v>9.7000000000000003E-3</v>
      </c>
      <c r="K173" s="1"/>
      <c r="L173" s="8"/>
      <c r="M173" s="8"/>
      <c r="N173" s="8"/>
      <c r="O173" s="8"/>
      <c r="P173" s="8"/>
      <c r="Q173" s="8"/>
    </row>
    <row r="174" spans="1:17" x14ac:dyDescent="0.35">
      <c r="A174" s="1">
        <v>38838</v>
      </c>
      <c r="B174" s="13">
        <v>27793</v>
      </c>
      <c r="C174" s="8">
        <v>1310.6099850000001</v>
      </c>
      <c r="D174" s="8">
        <v>1326.6999510000001</v>
      </c>
      <c r="E174" s="8">
        <v>1245.339966</v>
      </c>
      <c r="F174" s="8">
        <v>1270.089966</v>
      </c>
      <c r="G174" s="8">
        <v>1270.089966</v>
      </c>
      <c r="H174" s="8">
        <v>54312830000</v>
      </c>
      <c r="I174" s="54">
        <v>9.7000000000000003E-3</v>
      </c>
      <c r="K174" s="1"/>
      <c r="L174" s="8"/>
      <c r="M174" s="8"/>
      <c r="N174" s="8"/>
      <c r="O174" s="8"/>
      <c r="P174" s="8"/>
      <c r="Q174" s="8"/>
    </row>
    <row r="175" spans="1:17" x14ac:dyDescent="0.35">
      <c r="A175" s="1">
        <v>38869</v>
      </c>
      <c r="B175" s="13">
        <v>27391</v>
      </c>
      <c r="C175" s="8">
        <v>1270.0500489999999</v>
      </c>
      <c r="D175" s="8">
        <v>1290.6800539999999</v>
      </c>
      <c r="E175" s="8">
        <v>1219.290039</v>
      </c>
      <c r="F175" s="8">
        <v>1270.1999510000001</v>
      </c>
      <c r="G175" s="8">
        <v>1270.1999510000001</v>
      </c>
      <c r="H175" s="8">
        <v>54873260000</v>
      </c>
      <c r="I175" s="54">
        <v>9.7000000000000003E-3</v>
      </c>
      <c r="K175" s="1"/>
      <c r="L175" s="8"/>
      <c r="M175" s="8"/>
      <c r="N175" s="8"/>
      <c r="O175" s="8"/>
      <c r="P175" s="8"/>
      <c r="Q175" s="8"/>
    </row>
    <row r="176" spans="1:17" x14ac:dyDescent="0.35">
      <c r="A176" s="1">
        <v>38899</v>
      </c>
      <c r="B176" s="13">
        <v>27306</v>
      </c>
      <c r="C176" s="8">
        <v>1270.0600589999999</v>
      </c>
      <c r="D176" s="8">
        <v>1280.420044</v>
      </c>
      <c r="E176" s="8">
        <v>1224.540039</v>
      </c>
      <c r="F176" s="8">
        <v>1276.660034</v>
      </c>
      <c r="G176" s="8">
        <v>1276.660034</v>
      </c>
      <c r="H176" s="8">
        <v>46348220000</v>
      </c>
      <c r="I176" s="54">
        <v>9.5999999999999992E-3</v>
      </c>
      <c r="K176" s="1"/>
      <c r="L176" s="8"/>
      <c r="M176" s="8"/>
      <c r="N176" s="8"/>
      <c r="O176" s="8"/>
      <c r="P176" s="8"/>
      <c r="Q176" s="8"/>
    </row>
    <row r="177" spans="1:17" x14ac:dyDescent="0.35">
      <c r="A177" s="1">
        <v>38930</v>
      </c>
      <c r="B177" s="13">
        <v>27380</v>
      </c>
      <c r="C177" s="8">
        <v>1278.530029</v>
      </c>
      <c r="D177" s="8">
        <v>1306.73999</v>
      </c>
      <c r="E177" s="8">
        <v>1261.3000489999999</v>
      </c>
      <c r="F177" s="8">
        <v>1303.8199460000001</v>
      </c>
      <c r="G177" s="8">
        <v>1303.8199460000001</v>
      </c>
      <c r="H177" s="8">
        <v>50485620000</v>
      </c>
      <c r="I177" s="54">
        <v>9.7000000000000003E-3</v>
      </c>
      <c r="K177" s="1"/>
      <c r="L177" s="8"/>
      <c r="M177" s="8"/>
      <c r="N177" s="8"/>
      <c r="O177" s="8"/>
      <c r="P177" s="8"/>
      <c r="Q177" s="8"/>
    </row>
    <row r="178" spans="1:17" x14ac:dyDescent="0.35">
      <c r="A178" s="1">
        <v>38961</v>
      </c>
      <c r="B178" s="13">
        <v>26963</v>
      </c>
      <c r="C178" s="8">
        <v>1303.8000489999999</v>
      </c>
      <c r="D178" s="8">
        <v>1340.280029</v>
      </c>
      <c r="E178" s="8">
        <v>1290.9300539999999</v>
      </c>
      <c r="F178" s="8">
        <v>1335.849976</v>
      </c>
      <c r="G178" s="8">
        <v>1335.849976</v>
      </c>
      <c r="H178" s="8">
        <v>49001440000</v>
      </c>
      <c r="I178" s="54">
        <v>9.7999999999999997E-3</v>
      </c>
      <c r="K178" s="1"/>
      <c r="L178" s="8"/>
      <c r="M178" s="8"/>
      <c r="N178" s="8"/>
      <c r="O178" s="8"/>
      <c r="P178" s="8"/>
      <c r="Q178" s="8"/>
    </row>
    <row r="179" spans="1:17" x14ac:dyDescent="0.35">
      <c r="A179" s="1">
        <v>38991</v>
      </c>
      <c r="B179" s="13">
        <v>27158</v>
      </c>
      <c r="C179" s="8">
        <v>1335.8199460000001</v>
      </c>
      <c r="D179" s="8">
        <v>1389.4499510000001</v>
      </c>
      <c r="E179" s="8">
        <v>1327.099976</v>
      </c>
      <c r="F179" s="8">
        <v>1377.9399410000001</v>
      </c>
      <c r="G179" s="8">
        <v>1377.9399410000001</v>
      </c>
      <c r="H179" s="8">
        <v>56793620000</v>
      </c>
      <c r="I179" s="54">
        <v>9.7999999999999997E-3</v>
      </c>
      <c r="K179" s="1"/>
      <c r="L179" s="8"/>
      <c r="M179" s="8"/>
      <c r="N179" s="8"/>
      <c r="O179" s="8"/>
      <c r="P179" s="8"/>
      <c r="Q179" s="8"/>
    </row>
    <row r="180" spans="1:17" x14ac:dyDescent="0.35">
      <c r="A180" s="1">
        <v>39022</v>
      </c>
      <c r="B180" s="13">
        <v>26696</v>
      </c>
      <c r="C180" s="8">
        <v>1377.76001</v>
      </c>
      <c r="D180" s="8">
        <v>1407.8900149999999</v>
      </c>
      <c r="E180" s="8">
        <v>1360.9799800000001</v>
      </c>
      <c r="F180" s="8">
        <v>1400.630005</v>
      </c>
      <c r="G180" s="8">
        <v>1400.630005</v>
      </c>
      <c r="H180" s="8">
        <v>55343930000</v>
      </c>
      <c r="I180" s="54">
        <v>9.7000000000000003E-3</v>
      </c>
      <c r="K180" s="1"/>
      <c r="L180" s="8"/>
      <c r="M180" s="8"/>
      <c r="N180" s="8"/>
      <c r="O180" s="8"/>
      <c r="P180" s="8"/>
      <c r="Q180" s="8"/>
    </row>
    <row r="181" spans="1:17" x14ac:dyDescent="0.35">
      <c r="A181" s="1">
        <v>39052</v>
      </c>
      <c r="B181" s="13">
        <v>27151</v>
      </c>
      <c r="C181" s="8">
        <v>1400.630005</v>
      </c>
      <c r="D181" s="8">
        <v>1431.8100589999999</v>
      </c>
      <c r="E181" s="8">
        <v>1385.9300539999999</v>
      </c>
      <c r="F181" s="8">
        <v>1418.3000489999999</v>
      </c>
      <c r="G181" s="8">
        <v>1418.3000489999999</v>
      </c>
      <c r="H181" s="8">
        <v>47578780000</v>
      </c>
      <c r="I181" s="54">
        <v>9.5999999999999992E-3</v>
      </c>
      <c r="K181" s="1"/>
      <c r="L181" s="8"/>
      <c r="M181" s="8"/>
      <c r="N181" s="8"/>
      <c r="O181" s="8"/>
      <c r="P181" s="8"/>
      <c r="Q181" s="8"/>
    </row>
    <row r="182" spans="1:17" x14ac:dyDescent="0.35">
      <c r="A182" s="1">
        <v>39083</v>
      </c>
      <c r="B182" s="13">
        <v>27380</v>
      </c>
      <c r="C182" s="8">
        <v>1418.030029</v>
      </c>
      <c r="D182" s="8">
        <v>1441.6099850000001</v>
      </c>
      <c r="E182" s="8">
        <v>1403.969971</v>
      </c>
      <c r="F182" s="8">
        <v>1438.23999</v>
      </c>
      <c r="G182" s="8">
        <v>1438.23999</v>
      </c>
      <c r="H182" s="8">
        <v>56686200000</v>
      </c>
      <c r="I182" s="54">
        <v>9.5999999999999992E-3</v>
      </c>
      <c r="K182" s="1"/>
      <c r="L182" s="8"/>
      <c r="M182" s="8"/>
      <c r="N182" s="8"/>
      <c r="O182" s="8"/>
      <c r="P182" s="8"/>
      <c r="Q182" s="8"/>
    </row>
    <row r="183" spans="1:17" x14ac:dyDescent="0.35">
      <c r="A183" s="1">
        <v>39114</v>
      </c>
      <c r="B183" s="13">
        <v>27083</v>
      </c>
      <c r="C183" s="8">
        <v>1437.900024</v>
      </c>
      <c r="D183" s="8">
        <v>1461.5699460000001</v>
      </c>
      <c r="E183" s="8">
        <v>1389.420044</v>
      </c>
      <c r="F183" s="8">
        <v>1406.8199460000001</v>
      </c>
      <c r="G183" s="8">
        <v>1406.8199460000001</v>
      </c>
      <c r="H183" s="8">
        <v>51844990000</v>
      </c>
      <c r="I183" s="54">
        <v>9.5999999999999992E-3</v>
      </c>
      <c r="K183" s="1"/>
      <c r="L183" s="8"/>
      <c r="M183" s="8"/>
      <c r="N183" s="8"/>
      <c r="O183" s="8"/>
      <c r="P183" s="8"/>
      <c r="Q183" s="8"/>
    </row>
    <row r="184" spans="1:17" x14ac:dyDescent="0.35">
      <c r="A184" s="1">
        <v>39142</v>
      </c>
      <c r="B184" s="13">
        <v>27583</v>
      </c>
      <c r="C184" s="8">
        <v>1406.8000489999999</v>
      </c>
      <c r="D184" s="8">
        <v>1438.8900149999999</v>
      </c>
      <c r="E184" s="8">
        <v>1363.9799800000001</v>
      </c>
      <c r="F184" s="8">
        <v>1420.8599850000001</v>
      </c>
      <c r="G184" s="8">
        <v>1420.8599850000001</v>
      </c>
      <c r="H184" s="8">
        <v>67622250000</v>
      </c>
      <c r="I184" s="54">
        <v>9.5999999999999992E-3</v>
      </c>
      <c r="K184" s="1"/>
      <c r="L184" s="8"/>
      <c r="M184" s="8"/>
      <c r="N184" s="8"/>
      <c r="O184" s="8"/>
      <c r="P184" s="8"/>
      <c r="Q184" s="8"/>
    </row>
    <row r="185" spans="1:17" x14ac:dyDescent="0.35">
      <c r="A185" s="1">
        <v>39173</v>
      </c>
      <c r="B185" s="13">
        <v>26569</v>
      </c>
      <c r="C185" s="8">
        <v>1420.829956</v>
      </c>
      <c r="D185" s="8">
        <v>1498.0200199999999</v>
      </c>
      <c r="E185" s="8">
        <v>1416.369995</v>
      </c>
      <c r="F185" s="8">
        <v>1482.369995</v>
      </c>
      <c r="G185" s="8">
        <v>1482.369995</v>
      </c>
      <c r="H185" s="8">
        <v>57032470000</v>
      </c>
      <c r="I185" s="54">
        <v>9.5999999999999992E-3</v>
      </c>
      <c r="K185" s="1"/>
      <c r="L185" s="8"/>
      <c r="M185" s="8"/>
      <c r="N185" s="8"/>
      <c r="O185" s="8"/>
      <c r="P185" s="8"/>
      <c r="Q185" s="8"/>
    </row>
    <row r="186" spans="1:17" x14ac:dyDescent="0.35">
      <c r="A186" s="1">
        <v>39203</v>
      </c>
      <c r="B186" s="13">
        <v>27164</v>
      </c>
      <c r="C186" s="8">
        <v>1482.369995</v>
      </c>
      <c r="D186" s="8">
        <v>1535.5600589999999</v>
      </c>
      <c r="E186" s="8">
        <v>1476.6999510000001</v>
      </c>
      <c r="F186" s="8">
        <v>1530.619995</v>
      </c>
      <c r="G186" s="8">
        <v>1530.619995</v>
      </c>
      <c r="H186" s="8">
        <v>64958050000</v>
      </c>
      <c r="I186" s="54">
        <v>9.5999999999999992E-3</v>
      </c>
      <c r="K186" s="1"/>
      <c r="L186" s="8"/>
      <c r="M186" s="8"/>
      <c r="N186" s="8"/>
      <c r="O186" s="8"/>
      <c r="P186" s="8"/>
      <c r="Q186" s="8"/>
    </row>
    <row r="187" spans="1:17" x14ac:dyDescent="0.35">
      <c r="A187" s="1">
        <v>39234</v>
      </c>
      <c r="B187" s="13">
        <v>26656</v>
      </c>
      <c r="C187" s="8">
        <v>1530.619995</v>
      </c>
      <c r="D187" s="8">
        <v>1540.5600589999999</v>
      </c>
      <c r="E187" s="8">
        <v>1484.1800539999999</v>
      </c>
      <c r="F187" s="8">
        <v>1503.349976</v>
      </c>
      <c r="G187" s="8">
        <v>1503.349976</v>
      </c>
      <c r="H187" s="8">
        <v>65322800000</v>
      </c>
      <c r="I187" s="54">
        <v>9.5999999999999992E-3</v>
      </c>
      <c r="K187" s="1"/>
      <c r="L187" s="8"/>
      <c r="M187" s="8"/>
      <c r="N187" s="8"/>
      <c r="O187" s="8"/>
      <c r="P187" s="8"/>
      <c r="Q187" s="8"/>
    </row>
    <row r="188" spans="1:17" x14ac:dyDescent="0.35">
      <c r="A188" s="1">
        <v>39264</v>
      </c>
      <c r="B188" s="13">
        <v>26842</v>
      </c>
      <c r="C188" s="8">
        <v>1504.660034</v>
      </c>
      <c r="D188" s="8">
        <v>1555.900024</v>
      </c>
      <c r="E188" s="8">
        <v>1454.25</v>
      </c>
      <c r="F188" s="8">
        <v>1455.2700199999999</v>
      </c>
      <c r="G188" s="8">
        <v>1455.2700199999999</v>
      </c>
      <c r="H188" s="8">
        <v>70337430000</v>
      </c>
      <c r="I188" s="54">
        <v>9.5999999999999992E-3</v>
      </c>
      <c r="K188" s="1"/>
      <c r="L188" s="8"/>
      <c r="M188" s="8"/>
      <c r="N188" s="8"/>
      <c r="O188" s="8"/>
      <c r="P188" s="8"/>
      <c r="Q188" s="8"/>
    </row>
    <row r="189" spans="1:17" x14ac:dyDescent="0.35">
      <c r="A189" s="1">
        <v>39295</v>
      </c>
      <c r="B189" s="13">
        <v>26654</v>
      </c>
      <c r="C189" s="8">
        <v>1455.1800539999999</v>
      </c>
      <c r="D189" s="8">
        <v>1503.8900149999999</v>
      </c>
      <c r="E189" s="8">
        <v>1370.599976</v>
      </c>
      <c r="F189" s="8">
        <v>1473.98999</v>
      </c>
      <c r="G189" s="8">
        <v>1473.98999</v>
      </c>
      <c r="H189" s="8">
        <v>91381760000</v>
      </c>
      <c r="I189" s="54">
        <v>9.7000000000000003E-3</v>
      </c>
      <c r="K189" s="1"/>
      <c r="L189" s="8"/>
      <c r="M189" s="8"/>
      <c r="N189" s="8"/>
      <c r="O189" s="8"/>
      <c r="P189" s="8"/>
      <c r="Q189" s="8"/>
    </row>
    <row r="190" spans="1:17" x14ac:dyDescent="0.35">
      <c r="A190" s="1">
        <v>39326</v>
      </c>
      <c r="B190" s="13">
        <v>26455</v>
      </c>
      <c r="C190" s="8">
        <v>1473.959961</v>
      </c>
      <c r="D190" s="8">
        <v>1538.73999</v>
      </c>
      <c r="E190" s="8">
        <v>1439.290039</v>
      </c>
      <c r="F190" s="8">
        <v>1526.75</v>
      </c>
      <c r="G190" s="8">
        <v>1526.75</v>
      </c>
      <c r="H190" s="8">
        <v>57809700000</v>
      </c>
      <c r="I190" s="54">
        <v>9.5999999999999992E-3</v>
      </c>
      <c r="K190" s="1"/>
      <c r="L190" s="8"/>
      <c r="M190" s="8"/>
      <c r="N190" s="8"/>
      <c r="O190" s="8"/>
      <c r="P190" s="8"/>
      <c r="Q190" s="8"/>
    </row>
    <row r="191" spans="1:17" x14ac:dyDescent="0.35">
      <c r="A191" s="1">
        <v>39356</v>
      </c>
      <c r="B191" s="13">
        <v>26194</v>
      </c>
      <c r="C191" s="8">
        <v>1527.290039</v>
      </c>
      <c r="D191" s="8">
        <v>1576.089966</v>
      </c>
      <c r="E191" s="8">
        <v>1489.5600589999999</v>
      </c>
      <c r="F191" s="8">
        <v>1549.380005</v>
      </c>
      <c r="G191" s="8">
        <v>1549.380005</v>
      </c>
      <c r="H191" s="8">
        <v>76022580000</v>
      </c>
      <c r="I191" s="54">
        <v>9.4999999999999998E-3</v>
      </c>
      <c r="K191" s="1"/>
      <c r="L191" s="8"/>
      <c r="M191" s="8"/>
      <c r="N191" s="8"/>
      <c r="O191" s="8"/>
      <c r="P191" s="8"/>
      <c r="Q191" s="8"/>
    </row>
    <row r="192" spans="1:17" x14ac:dyDescent="0.35">
      <c r="A192" s="1">
        <v>39387</v>
      </c>
      <c r="B192" s="13">
        <v>26581</v>
      </c>
      <c r="C192" s="8">
        <v>1545.790039</v>
      </c>
      <c r="D192" s="8">
        <v>1545.790039</v>
      </c>
      <c r="E192" s="8">
        <v>1406.099976</v>
      </c>
      <c r="F192" s="8">
        <v>1481.1400149999999</v>
      </c>
      <c r="G192" s="8">
        <v>1481.1400149999999</v>
      </c>
      <c r="H192" s="8">
        <v>86246950000</v>
      </c>
      <c r="I192" s="54">
        <v>9.5999999999999992E-3</v>
      </c>
      <c r="K192" s="1"/>
      <c r="L192" s="8"/>
      <c r="M192" s="8"/>
      <c r="N192" s="8"/>
      <c r="O192" s="8"/>
      <c r="P192" s="8"/>
      <c r="Q192" s="8"/>
    </row>
    <row r="193" spans="1:17" x14ac:dyDescent="0.35">
      <c r="A193" s="1">
        <v>39417</v>
      </c>
      <c r="B193" s="13">
        <v>25653</v>
      </c>
      <c r="C193" s="8">
        <v>1479.630005</v>
      </c>
      <c r="D193" s="8">
        <v>1523.5699460000001</v>
      </c>
      <c r="E193" s="8">
        <v>1435.650024</v>
      </c>
      <c r="F193" s="8">
        <v>1468.3599850000001</v>
      </c>
      <c r="G193" s="8">
        <v>1468.3599850000001</v>
      </c>
      <c r="H193" s="8">
        <v>64821670000</v>
      </c>
      <c r="I193" s="54">
        <v>9.5999999999999992E-3</v>
      </c>
      <c r="K193" s="1"/>
      <c r="L193" s="8"/>
      <c r="M193" s="8"/>
      <c r="N193" s="8"/>
      <c r="O193" s="8"/>
      <c r="P193" s="8"/>
      <c r="Q193" s="8"/>
    </row>
    <row r="194" spans="1:17" x14ac:dyDescent="0.35">
      <c r="A194" s="1">
        <v>39448</v>
      </c>
      <c r="B194" s="13">
        <v>25665</v>
      </c>
      <c r="C194" s="8">
        <v>1467.969971</v>
      </c>
      <c r="D194" s="8">
        <v>1471.7700199999999</v>
      </c>
      <c r="E194" s="8">
        <v>1270.0500489999999</v>
      </c>
      <c r="F194" s="8">
        <v>1378.5500489999999</v>
      </c>
      <c r="G194" s="8">
        <v>1378.5500489999999</v>
      </c>
      <c r="H194" s="8">
        <v>98475340000</v>
      </c>
      <c r="I194" s="54">
        <v>9.5999999999999992E-3</v>
      </c>
      <c r="K194" s="1"/>
      <c r="L194" s="8"/>
      <c r="M194" s="8"/>
      <c r="N194" s="8"/>
      <c r="O194" s="8"/>
      <c r="P194" s="8"/>
      <c r="Q194" s="8"/>
    </row>
    <row r="195" spans="1:17" x14ac:dyDescent="0.35">
      <c r="A195" s="1">
        <v>39479</v>
      </c>
      <c r="B195" s="13">
        <v>25649</v>
      </c>
      <c r="C195" s="8">
        <v>1378.599976</v>
      </c>
      <c r="D195" s="8">
        <v>1396.0200199999999</v>
      </c>
      <c r="E195" s="8">
        <v>1316.75</v>
      </c>
      <c r="F195" s="8">
        <v>1330.630005</v>
      </c>
      <c r="G195" s="8">
        <v>1330.630005</v>
      </c>
      <c r="H195" s="8">
        <v>78536130000</v>
      </c>
      <c r="I195" s="54">
        <v>9.5999999999999992E-3</v>
      </c>
      <c r="K195" s="1"/>
      <c r="L195" s="8"/>
      <c r="M195" s="8"/>
      <c r="N195" s="8"/>
      <c r="O195" s="8"/>
      <c r="P195" s="8"/>
      <c r="Q195" s="8"/>
    </row>
    <row r="196" spans="1:17" x14ac:dyDescent="0.35">
      <c r="A196" s="1">
        <v>39508</v>
      </c>
      <c r="B196" s="13">
        <v>25385</v>
      </c>
      <c r="C196" s="8">
        <v>1330.4499510000001</v>
      </c>
      <c r="D196" s="8">
        <v>1359.6800539999999</v>
      </c>
      <c r="E196" s="8">
        <v>1256.9799800000001</v>
      </c>
      <c r="F196" s="8">
        <v>1322.6999510000001</v>
      </c>
      <c r="G196" s="8">
        <v>1322.6999510000001</v>
      </c>
      <c r="H196" s="8">
        <v>93189170000</v>
      </c>
      <c r="I196" s="54">
        <v>9.5999999999999992E-3</v>
      </c>
      <c r="K196" s="1"/>
      <c r="L196" s="8"/>
      <c r="M196" s="8"/>
      <c r="N196" s="8"/>
      <c r="O196" s="8"/>
      <c r="P196" s="8"/>
      <c r="Q196" s="8"/>
    </row>
    <row r="197" spans="1:17" x14ac:dyDescent="0.35">
      <c r="A197" s="1">
        <v>39539</v>
      </c>
      <c r="B197" s="13">
        <v>25358</v>
      </c>
      <c r="C197" s="8">
        <v>1326.410034</v>
      </c>
      <c r="D197" s="8">
        <v>1404.5699460000001</v>
      </c>
      <c r="E197" s="8">
        <v>1324.349976</v>
      </c>
      <c r="F197" s="8">
        <v>1385.589966</v>
      </c>
      <c r="G197" s="8">
        <v>1385.589966</v>
      </c>
      <c r="H197" s="8">
        <v>85978630000</v>
      </c>
      <c r="I197" s="54">
        <v>9.4999999999999998E-3</v>
      </c>
      <c r="K197" s="1"/>
      <c r="L197" s="8"/>
      <c r="M197" s="8"/>
      <c r="N197" s="8"/>
      <c r="O197" s="8"/>
      <c r="P197" s="8"/>
      <c r="Q197" s="8"/>
    </row>
    <row r="198" spans="1:17" x14ac:dyDescent="0.35">
      <c r="A198" s="1">
        <v>39569</v>
      </c>
      <c r="B198" s="13">
        <v>25622</v>
      </c>
      <c r="C198" s="8">
        <v>1385.969971</v>
      </c>
      <c r="D198" s="8">
        <v>1440.23999</v>
      </c>
      <c r="E198" s="8">
        <v>1373.0699460000001</v>
      </c>
      <c r="F198" s="8">
        <v>1400.380005</v>
      </c>
      <c r="G198" s="8">
        <v>1400.380005</v>
      </c>
      <c r="H198" s="8">
        <v>80990480000</v>
      </c>
      <c r="I198" s="54">
        <v>9.4999999999999998E-3</v>
      </c>
      <c r="K198" s="1"/>
      <c r="L198" s="8"/>
      <c r="M198" s="8"/>
      <c r="N198" s="8"/>
      <c r="O198" s="8"/>
      <c r="P198" s="8"/>
      <c r="Q198" s="8"/>
    </row>
    <row r="199" spans="1:17" x14ac:dyDescent="0.35">
      <c r="A199" s="1">
        <v>39600</v>
      </c>
      <c r="B199" s="13">
        <v>25728</v>
      </c>
      <c r="C199" s="8">
        <v>1399.619995</v>
      </c>
      <c r="D199" s="8">
        <v>1404.0500489999999</v>
      </c>
      <c r="E199" s="8">
        <v>1272</v>
      </c>
      <c r="F199" s="8">
        <v>1280</v>
      </c>
      <c r="G199" s="8">
        <v>1280</v>
      </c>
      <c r="H199" s="8">
        <v>96614040000</v>
      </c>
      <c r="I199" s="54">
        <v>9.4000000000000004E-3</v>
      </c>
      <c r="K199" s="1"/>
      <c r="L199" s="8"/>
      <c r="M199" s="8"/>
      <c r="N199" s="8"/>
      <c r="O199" s="8"/>
      <c r="P199" s="8"/>
      <c r="Q199" s="8"/>
    </row>
    <row r="200" spans="1:17" x14ac:dyDescent="0.35">
      <c r="A200" s="1">
        <v>39630</v>
      </c>
      <c r="B200" s="13">
        <v>25943</v>
      </c>
      <c r="C200" s="8">
        <v>1276.6899410000001</v>
      </c>
      <c r="D200" s="8">
        <v>1292.170044</v>
      </c>
      <c r="E200" s="8">
        <v>1200.4399410000001</v>
      </c>
      <c r="F200" s="8">
        <v>1267.380005</v>
      </c>
      <c r="G200" s="8">
        <v>1267.380005</v>
      </c>
      <c r="H200" s="55">
        <v>125000000000</v>
      </c>
      <c r="I200" s="54">
        <v>9.4000000000000004E-3</v>
      </c>
      <c r="K200" s="1"/>
      <c r="L200" s="8"/>
      <c r="M200" s="8"/>
      <c r="N200" s="8"/>
      <c r="O200" s="8"/>
      <c r="P200" s="8"/>
      <c r="Q200" s="55"/>
    </row>
    <row r="201" spans="1:17" x14ac:dyDescent="0.35">
      <c r="A201" s="1">
        <v>39661</v>
      </c>
      <c r="B201" s="13">
        <v>25343</v>
      </c>
      <c r="C201" s="8">
        <v>1269.420044</v>
      </c>
      <c r="D201" s="8">
        <v>1313.150024</v>
      </c>
      <c r="E201" s="8">
        <v>1247.4499510000001</v>
      </c>
      <c r="F201" s="8">
        <v>1282.829956</v>
      </c>
      <c r="G201" s="8">
        <v>1282.829956</v>
      </c>
      <c r="H201" s="8">
        <v>86266010000</v>
      </c>
      <c r="I201" s="54">
        <v>9.2999999999999992E-3</v>
      </c>
      <c r="K201" s="1"/>
      <c r="L201" s="8"/>
      <c r="M201" s="8"/>
      <c r="N201" s="8"/>
      <c r="O201" s="8"/>
      <c r="P201" s="8"/>
      <c r="Q201" s="8"/>
    </row>
    <row r="202" spans="1:17" x14ac:dyDescent="0.35">
      <c r="A202" s="1">
        <v>39692</v>
      </c>
      <c r="B202" s="13">
        <v>25187</v>
      </c>
      <c r="C202" s="8">
        <v>1287.829956</v>
      </c>
      <c r="D202" s="8">
        <v>1303.040039</v>
      </c>
      <c r="E202" s="8">
        <v>1106.420044</v>
      </c>
      <c r="F202" s="8">
        <v>1166.3599850000001</v>
      </c>
      <c r="G202" s="8">
        <v>1166.3599850000001</v>
      </c>
      <c r="H202" s="55">
        <v>140000000000</v>
      </c>
      <c r="I202" s="54">
        <v>9.1000000000000004E-3</v>
      </c>
      <c r="K202" s="1"/>
      <c r="L202" s="8"/>
      <c r="M202" s="8"/>
      <c r="N202" s="8"/>
      <c r="O202" s="8"/>
      <c r="P202" s="8"/>
      <c r="Q202" s="55"/>
    </row>
    <row r="203" spans="1:17" x14ac:dyDescent="0.35">
      <c r="A203" s="1">
        <v>39722</v>
      </c>
      <c r="B203" s="13">
        <v>24592</v>
      </c>
      <c r="C203" s="8">
        <v>1164.170044</v>
      </c>
      <c r="D203" s="8">
        <v>1167.030029</v>
      </c>
      <c r="E203" s="8">
        <v>839.79998799999998</v>
      </c>
      <c r="F203" s="8">
        <v>968.75</v>
      </c>
      <c r="G203" s="8">
        <v>968.75</v>
      </c>
      <c r="H203" s="55">
        <v>160000000000</v>
      </c>
      <c r="I203" s="54">
        <v>9.1000000000000004E-3</v>
      </c>
      <c r="K203" s="1"/>
      <c r="L203" s="8"/>
      <c r="M203" s="8"/>
      <c r="N203" s="8"/>
      <c r="O203" s="8"/>
      <c r="P203" s="8"/>
      <c r="Q203" s="55"/>
    </row>
    <row r="204" spans="1:17" x14ac:dyDescent="0.35">
      <c r="A204" s="1">
        <v>39753</v>
      </c>
      <c r="B204" s="13">
        <v>23225</v>
      </c>
      <c r="C204" s="8">
        <v>968.669983</v>
      </c>
      <c r="D204" s="8">
        <v>1007.51001</v>
      </c>
      <c r="E204" s="8">
        <v>741.02002000000005</v>
      </c>
      <c r="F204" s="8">
        <v>896.23999000000003</v>
      </c>
      <c r="G204" s="8">
        <v>896.23999000000003</v>
      </c>
      <c r="H204" s="55">
        <v>116000000000</v>
      </c>
      <c r="I204" s="54">
        <v>9.1000000000000004E-3</v>
      </c>
      <c r="K204" s="1"/>
      <c r="L204" s="8"/>
      <c r="M204" s="8"/>
      <c r="N204" s="8"/>
      <c r="O204" s="8"/>
      <c r="P204" s="8"/>
      <c r="Q204" s="55"/>
    </row>
    <row r="205" spans="1:17" x14ac:dyDescent="0.35">
      <c r="A205" s="1">
        <v>39783</v>
      </c>
      <c r="B205" s="13">
        <v>22911</v>
      </c>
      <c r="C205" s="8">
        <v>888.60998500000005</v>
      </c>
      <c r="D205" s="8">
        <v>918.84997599999997</v>
      </c>
      <c r="E205" s="8">
        <v>815.69000200000005</v>
      </c>
      <c r="F205" s="8">
        <v>903.25</v>
      </c>
      <c r="G205" s="8">
        <v>903.25</v>
      </c>
      <c r="H205" s="55">
        <v>113000000000</v>
      </c>
      <c r="I205" s="54">
        <v>8.9999999999999993E-3</v>
      </c>
      <c r="K205" s="1"/>
      <c r="L205" s="8"/>
      <c r="M205" s="8"/>
      <c r="N205" s="8"/>
      <c r="O205" s="8"/>
      <c r="P205" s="8"/>
      <c r="Q205" s="55"/>
    </row>
    <row r="206" spans="1:17" x14ac:dyDescent="0.35">
      <c r="A206" s="1">
        <v>39814</v>
      </c>
      <c r="B206" s="13">
        <v>22705</v>
      </c>
      <c r="C206" s="8">
        <v>902.98999000000003</v>
      </c>
      <c r="D206" s="8">
        <v>943.84997599999997</v>
      </c>
      <c r="E206" s="8">
        <v>804.29998799999998</v>
      </c>
      <c r="F206" s="8">
        <v>825.88000499999998</v>
      </c>
      <c r="G206" s="8">
        <v>825.88000499999998</v>
      </c>
      <c r="H206" s="55">
        <v>112000000000</v>
      </c>
      <c r="I206" s="54">
        <v>8.9999999999999993E-3</v>
      </c>
      <c r="K206" s="1"/>
      <c r="L206" s="8"/>
      <c r="M206" s="8"/>
      <c r="N206" s="8"/>
      <c r="O206" s="8"/>
      <c r="P206" s="8"/>
      <c r="Q206" s="55"/>
    </row>
    <row r="207" spans="1:17" x14ac:dyDescent="0.35">
      <c r="A207" s="1">
        <v>39845</v>
      </c>
      <c r="B207" s="13">
        <v>22495</v>
      </c>
      <c r="C207" s="8">
        <v>823.09002699999996</v>
      </c>
      <c r="D207" s="8">
        <v>875.01000999999997</v>
      </c>
      <c r="E207" s="8">
        <v>734.52002000000005</v>
      </c>
      <c r="F207" s="8">
        <v>735.09002699999996</v>
      </c>
      <c r="G207" s="8">
        <v>735.09002699999996</v>
      </c>
      <c r="H207" s="55">
        <v>124000000000</v>
      </c>
      <c r="I207" s="54">
        <v>8.8999999999999999E-3</v>
      </c>
      <c r="K207" s="1"/>
      <c r="L207" s="8"/>
      <c r="M207" s="8"/>
      <c r="N207" s="8"/>
      <c r="O207" s="8"/>
      <c r="P207" s="8"/>
      <c r="Q207" s="55"/>
    </row>
    <row r="208" spans="1:17" x14ac:dyDescent="0.35">
      <c r="A208" s="1">
        <v>39873</v>
      </c>
      <c r="B208" s="13">
        <v>22167</v>
      </c>
      <c r="C208" s="8">
        <v>729.57000700000003</v>
      </c>
      <c r="D208" s="8">
        <v>832.97997999999995</v>
      </c>
      <c r="E208" s="8">
        <v>666.78997800000002</v>
      </c>
      <c r="F208" s="8">
        <v>797.86999500000002</v>
      </c>
      <c r="G208" s="8">
        <v>797.86999500000002</v>
      </c>
      <c r="H208" s="55">
        <v>162000000000</v>
      </c>
      <c r="I208" s="54">
        <v>8.8999999999999999E-3</v>
      </c>
      <c r="K208" s="1"/>
      <c r="L208" s="8"/>
      <c r="M208" s="8"/>
      <c r="N208" s="8"/>
      <c r="O208" s="8"/>
      <c r="P208" s="8"/>
      <c r="Q208" s="55"/>
    </row>
    <row r="209" spans="1:17" x14ac:dyDescent="0.35">
      <c r="A209" s="1">
        <v>39904</v>
      </c>
      <c r="B209" s="13">
        <v>22106</v>
      </c>
      <c r="C209" s="8">
        <v>793.59002699999996</v>
      </c>
      <c r="D209" s="8">
        <v>888.70001200000002</v>
      </c>
      <c r="E209" s="8">
        <v>783.32000700000003</v>
      </c>
      <c r="F209" s="8">
        <v>872.80999799999995</v>
      </c>
      <c r="G209" s="8">
        <v>872.80999799999995</v>
      </c>
      <c r="H209" s="55">
        <v>139000000000</v>
      </c>
      <c r="I209" s="54">
        <v>8.8000000000000005E-3</v>
      </c>
      <c r="K209" s="1"/>
      <c r="L209" s="8"/>
      <c r="M209" s="8"/>
      <c r="N209" s="8"/>
      <c r="O209" s="8"/>
      <c r="P209" s="8"/>
      <c r="Q209" s="55"/>
    </row>
    <row r="210" spans="1:17" x14ac:dyDescent="0.35">
      <c r="A210" s="1">
        <v>39934</v>
      </c>
      <c r="B210" s="13">
        <v>22321</v>
      </c>
      <c r="C210" s="8">
        <v>872.73999000000003</v>
      </c>
      <c r="D210" s="8">
        <v>930.169983</v>
      </c>
      <c r="E210" s="8">
        <v>866.09997599999997</v>
      </c>
      <c r="F210" s="8">
        <v>919.14001499999995</v>
      </c>
      <c r="G210" s="8">
        <v>919.14001499999995</v>
      </c>
      <c r="H210" s="55">
        <v>132000000000</v>
      </c>
      <c r="I210" s="54">
        <v>8.6999999999999994E-3</v>
      </c>
      <c r="K210" s="1"/>
      <c r="L210" s="8"/>
      <c r="M210" s="8"/>
      <c r="N210" s="8"/>
      <c r="O210" s="8"/>
      <c r="P210" s="8"/>
      <c r="Q210" s="55"/>
    </row>
    <row r="211" spans="1:17" x14ac:dyDescent="0.35">
      <c r="A211" s="1">
        <v>39965</v>
      </c>
      <c r="B211" s="13">
        <v>22294</v>
      </c>
      <c r="C211" s="8">
        <v>923.26000999999997</v>
      </c>
      <c r="D211" s="8">
        <v>956.22997999999995</v>
      </c>
      <c r="E211" s="8">
        <v>888.85998500000005</v>
      </c>
      <c r="F211" s="8">
        <v>919.32000700000003</v>
      </c>
      <c r="G211" s="8">
        <v>919.32000700000003</v>
      </c>
      <c r="H211" s="55">
        <v>113000000000</v>
      </c>
      <c r="I211" s="54">
        <v>8.6999999999999994E-3</v>
      </c>
      <c r="K211" s="1"/>
      <c r="L211" s="8"/>
      <c r="M211" s="8"/>
      <c r="N211" s="8"/>
      <c r="O211" s="8"/>
      <c r="P211" s="8"/>
      <c r="Q211" s="55"/>
    </row>
    <row r="212" spans="1:17" x14ac:dyDescent="0.35">
      <c r="A212" s="1">
        <v>39995</v>
      </c>
      <c r="B212" s="13">
        <v>21904</v>
      </c>
      <c r="C212" s="8">
        <v>920.82000700000003</v>
      </c>
      <c r="D212" s="8">
        <v>996.67999299999997</v>
      </c>
      <c r="E212" s="8">
        <v>869.32000700000003</v>
      </c>
      <c r="F212" s="8">
        <v>987.47997999999995</v>
      </c>
      <c r="G212" s="8">
        <v>987.47997999999995</v>
      </c>
      <c r="H212" s="55">
        <v>107000000000</v>
      </c>
      <c r="I212" s="54">
        <v>8.6999999999999994E-3</v>
      </c>
      <c r="K212" s="1"/>
      <c r="L212" s="8"/>
      <c r="M212" s="8"/>
      <c r="N212" s="8"/>
      <c r="O212" s="8"/>
      <c r="P212" s="8"/>
      <c r="Q212" s="55"/>
    </row>
    <row r="213" spans="1:17" x14ac:dyDescent="0.35">
      <c r="A213" s="1">
        <v>40026</v>
      </c>
      <c r="B213" s="13">
        <v>21439</v>
      </c>
      <c r="C213" s="8">
        <v>990.21997099999999</v>
      </c>
      <c r="D213" s="8">
        <v>1039.469971</v>
      </c>
      <c r="E213" s="8">
        <v>978.51000999999997</v>
      </c>
      <c r="F213" s="8">
        <v>1020.619995</v>
      </c>
      <c r="G213" s="8">
        <v>1020.619995</v>
      </c>
      <c r="H213" s="55">
        <v>116000000000</v>
      </c>
      <c r="I213" s="54">
        <v>8.6999999999999994E-3</v>
      </c>
      <c r="K213" s="1"/>
      <c r="L213" s="8"/>
      <c r="M213" s="8"/>
      <c r="N213" s="8"/>
      <c r="O213" s="8"/>
      <c r="P213" s="8"/>
      <c r="Q213" s="55"/>
    </row>
    <row r="214" spans="1:17" x14ac:dyDescent="0.35">
      <c r="A214" s="1">
        <v>40057</v>
      </c>
      <c r="B214" s="13">
        <v>21401</v>
      </c>
      <c r="C214" s="8">
        <v>1019.52002</v>
      </c>
      <c r="D214" s="8">
        <v>1080.150024</v>
      </c>
      <c r="E214" s="8">
        <v>991.96997099999999</v>
      </c>
      <c r="F214" s="8">
        <v>1057.079956</v>
      </c>
      <c r="G214" s="8">
        <v>1057.079956</v>
      </c>
      <c r="H214" s="55">
        <v>112000000000</v>
      </c>
      <c r="I214" s="54">
        <v>8.6999999999999994E-3</v>
      </c>
      <c r="K214" s="1"/>
      <c r="L214" s="8"/>
      <c r="M214" s="8"/>
      <c r="N214" s="8"/>
      <c r="O214" s="8"/>
      <c r="P214" s="8"/>
      <c r="Q214" s="55"/>
    </row>
    <row r="215" spans="1:17" x14ac:dyDescent="0.35">
      <c r="A215" s="1">
        <v>40087</v>
      </c>
      <c r="B215" s="13">
        <v>20626</v>
      </c>
      <c r="C215" s="8">
        <v>1054.910034</v>
      </c>
      <c r="D215" s="8">
        <v>1101.3599850000001</v>
      </c>
      <c r="E215" s="8">
        <v>1019.950012</v>
      </c>
      <c r="F215" s="8">
        <v>1036.1899410000001</v>
      </c>
      <c r="G215" s="8">
        <v>1036.1899410000001</v>
      </c>
      <c r="H215" s="55">
        <v>113000000000</v>
      </c>
      <c r="I215" s="54">
        <v>8.6999999999999994E-3</v>
      </c>
      <c r="K215" s="1"/>
      <c r="L215" s="8"/>
      <c r="M215" s="8"/>
      <c r="N215" s="8"/>
      <c r="O215" s="8"/>
      <c r="P215" s="8"/>
      <c r="Q215" s="55"/>
    </row>
    <row r="216" spans="1:17" x14ac:dyDescent="0.35">
      <c r="A216" s="1">
        <v>40118</v>
      </c>
      <c r="B216" s="13">
        <v>20927</v>
      </c>
      <c r="C216" s="8">
        <v>1036.1800539999999</v>
      </c>
      <c r="D216" s="8">
        <v>1113.6899410000001</v>
      </c>
      <c r="E216" s="8">
        <v>1029.380005</v>
      </c>
      <c r="F216" s="8">
        <v>1095.630005</v>
      </c>
      <c r="G216" s="8">
        <v>1095.630005</v>
      </c>
      <c r="H216" s="8">
        <v>84981530000</v>
      </c>
      <c r="I216" s="54">
        <v>8.6999999999999994E-3</v>
      </c>
      <c r="K216" s="1"/>
      <c r="L216" s="8"/>
      <c r="M216" s="8"/>
      <c r="N216" s="8"/>
      <c r="O216" s="8"/>
      <c r="P216" s="8"/>
      <c r="Q216" s="8"/>
    </row>
    <row r="217" spans="1:17" x14ac:dyDescent="0.35">
      <c r="A217" s="1">
        <v>40148</v>
      </c>
      <c r="B217" s="13">
        <v>20904</v>
      </c>
      <c r="C217" s="8">
        <v>1098.8900149999999</v>
      </c>
      <c r="D217" s="8">
        <v>1130.380005</v>
      </c>
      <c r="E217" s="8">
        <v>1085.8900149999999</v>
      </c>
      <c r="F217" s="8">
        <v>1115.099976</v>
      </c>
      <c r="G217" s="8">
        <v>1115.099976</v>
      </c>
      <c r="H217" s="8">
        <v>89515330000</v>
      </c>
      <c r="I217" s="54">
        <v>8.6E-3</v>
      </c>
      <c r="K217" s="1"/>
      <c r="L217" s="8"/>
      <c r="M217" s="8"/>
      <c r="N217" s="8"/>
      <c r="O217" s="8"/>
      <c r="P217" s="8"/>
      <c r="Q217" s="8"/>
    </row>
    <row r="218" spans="1:17" x14ac:dyDescent="0.35">
      <c r="A218" s="1">
        <v>40179</v>
      </c>
      <c r="B218" s="13">
        <v>20561</v>
      </c>
      <c r="C218" s="8">
        <v>1116.5600589999999</v>
      </c>
      <c r="D218" s="8">
        <v>1150.4499510000001</v>
      </c>
      <c r="E218" s="8">
        <v>1071.589966</v>
      </c>
      <c r="F218" s="8">
        <v>1073.869995</v>
      </c>
      <c r="G218" s="8">
        <v>1073.869995</v>
      </c>
      <c r="H218" s="8">
        <v>90947580000</v>
      </c>
      <c r="I218" s="54">
        <v>8.6E-3</v>
      </c>
      <c r="K218" s="1"/>
      <c r="L218" s="8"/>
      <c r="M218" s="8"/>
      <c r="N218" s="8"/>
      <c r="O218" s="8"/>
      <c r="P218" s="8"/>
      <c r="Q218" s="8"/>
    </row>
    <row r="219" spans="1:17" x14ac:dyDescent="0.35">
      <c r="A219" s="1">
        <v>40210</v>
      </c>
      <c r="B219" s="13">
        <v>20448</v>
      </c>
      <c r="C219" s="8">
        <v>1073.8900149999999</v>
      </c>
      <c r="D219" s="8">
        <v>1112.420044</v>
      </c>
      <c r="E219" s="8">
        <v>1044.5</v>
      </c>
      <c r="F219" s="8">
        <v>1104.48999</v>
      </c>
      <c r="G219" s="8">
        <v>1104.48999</v>
      </c>
      <c r="H219" s="8">
        <v>84561340000</v>
      </c>
      <c r="I219" s="54">
        <v>8.6E-3</v>
      </c>
      <c r="K219" s="1"/>
      <c r="L219" s="8"/>
      <c r="M219" s="8"/>
      <c r="N219" s="8"/>
      <c r="O219" s="8"/>
      <c r="P219" s="8"/>
      <c r="Q219" s="8"/>
    </row>
    <row r="220" spans="1:17" x14ac:dyDescent="0.35">
      <c r="A220" s="1">
        <v>40238</v>
      </c>
      <c r="B220" s="13">
        <v>21862</v>
      </c>
      <c r="C220" s="8">
        <v>1105.3599850000001</v>
      </c>
      <c r="D220" s="8">
        <v>1180.6899410000001</v>
      </c>
      <c r="E220" s="8">
        <v>1105.3599850000001</v>
      </c>
      <c r="F220" s="8">
        <v>1169.4300539999999</v>
      </c>
      <c r="G220" s="8">
        <v>1169.4300539999999</v>
      </c>
      <c r="H220" s="55">
        <v>104000000000</v>
      </c>
      <c r="I220" s="54">
        <v>8.5000000000000006E-3</v>
      </c>
      <c r="K220" s="1"/>
      <c r="L220" s="8"/>
      <c r="M220" s="8"/>
      <c r="N220" s="8"/>
      <c r="O220" s="8"/>
      <c r="P220" s="8"/>
      <c r="Q220" s="55"/>
    </row>
    <row r="221" spans="1:17" x14ac:dyDescent="0.35">
      <c r="A221" s="1">
        <v>40269</v>
      </c>
      <c r="B221" s="13">
        <v>23489</v>
      </c>
      <c r="C221" s="8">
        <v>1171.2299800000001</v>
      </c>
      <c r="D221" s="8">
        <v>1219.8000489999999</v>
      </c>
      <c r="E221" s="8">
        <v>1170.6899410000001</v>
      </c>
      <c r="F221" s="8">
        <v>1186.6899410000001</v>
      </c>
      <c r="G221" s="8">
        <v>1186.6899410000001</v>
      </c>
      <c r="H221" s="55">
        <v>117000000000</v>
      </c>
      <c r="I221" s="54">
        <v>8.3999999999999995E-3</v>
      </c>
      <c r="K221" s="1"/>
      <c r="L221" s="8"/>
      <c r="M221" s="8"/>
      <c r="N221" s="8"/>
      <c r="O221" s="8"/>
      <c r="P221" s="8"/>
      <c r="Q221" s="55"/>
    </row>
    <row r="222" spans="1:17" x14ac:dyDescent="0.35">
      <c r="A222" s="1">
        <v>40299</v>
      </c>
      <c r="B222" s="13">
        <v>21728</v>
      </c>
      <c r="C222" s="8">
        <v>1188.579956</v>
      </c>
      <c r="D222" s="8">
        <v>1205.130005</v>
      </c>
      <c r="E222" s="8">
        <v>1040.780029</v>
      </c>
      <c r="F222" s="8">
        <v>1089.410034</v>
      </c>
      <c r="G222" s="8">
        <v>1089.410034</v>
      </c>
      <c r="H222" s="55">
        <v>128000000000</v>
      </c>
      <c r="I222" s="54">
        <v>8.3000000000000001E-3</v>
      </c>
      <c r="K222" s="1"/>
      <c r="L222" s="8"/>
      <c r="M222" s="8"/>
      <c r="N222" s="8"/>
      <c r="O222" s="8"/>
      <c r="P222" s="8"/>
      <c r="Q222" s="55"/>
    </row>
    <row r="223" spans="1:17" x14ac:dyDescent="0.35">
      <c r="A223" s="1">
        <v>40330</v>
      </c>
      <c r="B223" s="13">
        <v>21575</v>
      </c>
      <c r="C223" s="8">
        <v>1087.3000489999999</v>
      </c>
      <c r="D223" s="8">
        <v>1131.2299800000001</v>
      </c>
      <c r="E223" s="8">
        <v>1028.329956</v>
      </c>
      <c r="F223" s="8">
        <v>1030.709961</v>
      </c>
      <c r="G223" s="8">
        <v>1030.709961</v>
      </c>
      <c r="H223" s="55">
        <v>110000000000</v>
      </c>
      <c r="I223" s="54">
        <v>8.2000000000000007E-3</v>
      </c>
      <c r="K223" s="1"/>
      <c r="L223" s="8"/>
      <c r="M223" s="8"/>
      <c r="N223" s="8"/>
      <c r="O223" s="8"/>
      <c r="P223" s="8"/>
      <c r="Q223" s="55"/>
    </row>
    <row r="224" spans="1:17" x14ac:dyDescent="0.35">
      <c r="A224" s="1">
        <v>40360</v>
      </c>
      <c r="B224" s="13">
        <v>21476</v>
      </c>
      <c r="C224" s="8">
        <v>1031.099976</v>
      </c>
      <c r="D224" s="8">
        <v>1120.9499510000001</v>
      </c>
      <c r="E224" s="8">
        <v>1010.909973</v>
      </c>
      <c r="F224" s="8">
        <v>1101.599976</v>
      </c>
      <c r="G224" s="8">
        <v>1101.599976</v>
      </c>
      <c r="H224" s="8">
        <v>94778110000</v>
      </c>
      <c r="I224" s="54">
        <v>8.0999999999999996E-3</v>
      </c>
      <c r="K224" s="1"/>
      <c r="L224" s="8"/>
      <c r="M224" s="8"/>
      <c r="N224" s="8"/>
      <c r="O224" s="8"/>
      <c r="P224" s="8"/>
      <c r="Q224" s="8"/>
    </row>
    <row r="225" spans="1:17" x14ac:dyDescent="0.35">
      <c r="A225" s="1">
        <v>40391</v>
      </c>
      <c r="B225" s="13">
        <v>21252</v>
      </c>
      <c r="C225" s="8">
        <v>1107.530029</v>
      </c>
      <c r="D225" s="8">
        <v>1129.23999</v>
      </c>
      <c r="E225" s="8">
        <v>1039.6999510000001</v>
      </c>
      <c r="F225" s="8">
        <v>1049.329956</v>
      </c>
      <c r="G225" s="8">
        <v>1049.329956</v>
      </c>
      <c r="H225" s="8">
        <v>85738250000</v>
      </c>
      <c r="I225" s="54">
        <v>8.0000000000000002E-3</v>
      </c>
      <c r="K225" s="1"/>
      <c r="L225" s="8"/>
      <c r="M225" s="8"/>
      <c r="N225" s="8"/>
      <c r="O225" s="8"/>
      <c r="P225" s="8"/>
      <c r="Q225" s="8"/>
    </row>
    <row r="226" spans="1:17" x14ac:dyDescent="0.35">
      <c r="A226" s="1">
        <v>40422</v>
      </c>
      <c r="B226" s="13">
        <v>21389</v>
      </c>
      <c r="C226" s="8">
        <v>1049.719971</v>
      </c>
      <c r="D226" s="8">
        <v>1157.160034</v>
      </c>
      <c r="E226" s="8">
        <v>1049.719971</v>
      </c>
      <c r="F226" s="8">
        <v>1141.1999510000001</v>
      </c>
      <c r="G226" s="8">
        <v>1141.1999510000001</v>
      </c>
      <c r="H226" s="8">
        <v>79589450000</v>
      </c>
      <c r="I226" s="54">
        <v>7.9000000000000008E-3</v>
      </c>
      <c r="K226" s="1"/>
      <c r="L226" s="8"/>
      <c r="M226" s="8"/>
      <c r="N226" s="8"/>
      <c r="O226" s="8"/>
      <c r="P226" s="8"/>
      <c r="Q226" s="8"/>
    </row>
    <row r="227" spans="1:17" x14ac:dyDescent="0.35">
      <c r="A227" s="1">
        <v>40452</v>
      </c>
      <c r="B227" s="13">
        <v>22062</v>
      </c>
      <c r="C227" s="8">
        <v>1143.48999</v>
      </c>
      <c r="D227" s="8">
        <v>1196.1400149999999</v>
      </c>
      <c r="E227" s="8">
        <v>1131.869995</v>
      </c>
      <c r="F227" s="8">
        <v>1183.26001</v>
      </c>
      <c r="G227" s="8">
        <v>1183.26001</v>
      </c>
      <c r="H227" s="8">
        <v>89536270000</v>
      </c>
      <c r="I227" s="54">
        <v>1.66E-2</v>
      </c>
      <c r="K227" s="1"/>
      <c r="L227" s="8"/>
      <c r="M227" s="8"/>
      <c r="N227" s="8"/>
      <c r="O227" s="8"/>
      <c r="P227" s="8"/>
      <c r="Q227" s="8"/>
    </row>
    <row r="228" spans="1:17" x14ac:dyDescent="0.35">
      <c r="A228" s="1">
        <v>40483</v>
      </c>
      <c r="B228" s="13">
        <v>21906</v>
      </c>
      <c r="C228" s="8">
        <v>1185.709961</v>
      </c>
      <c r="D228" s="8">
        <v>1227.079956</v>
      </c>
      <c r="E228" s="8">
        <v>1173</v>
      </c>
      <c r="F228" s="8">
        <v>1180.5500489999999</v>
      </c>
      <c r="G228" s="8">
        <v>1180.5500489999999</v>
      </c>
      <c r="H228" s="8">
        <v>87151070000</v>
      </c>
      <c r="I228" s="54">
        <v>1.6500000000000001E-2</v>
      </c>
      <c r="K228" s="1"/>
      <c r="L228" s="8"/>
      <c r="M228" s="8"/>
      <c r="N228" s="8"/>
      <c r="O228" s="8"/>
      <c r="P228" s="8"/>
      <c r="Q228" s="8"/>
    </row>
    <row r="229" spans="1:17" x14ac:dyDescent="0.35">
      <c r="A229" s="1">
        <v>40513</v>
      </c>
      <c r="B229" s="13">
        <v>22155</v>
      </c>
      <c r="C229" s="8">
        <v>1186.599976</v>
      </c>
      <c r="D229" s="8">
        <v>1262.599976</v>
      </c>
      <c r="E229" s="8">
        <v>1186.599976</v>
      </c>
      <c r="F229" s="8">
        <v>1257.6400149999999</v>
      </c>
      <c r="G229" s="8">
        <v>1257.6400149999999</v>
      </c>
      <c r="H229" s="8">
        <v>80984530000</v>
      </c>
      <c r="I229" s="54">
        <v>1.6299999999999999E-2</v>
      </c>
      <c r="K229" s="1"/>
      <c r="L229" s="8"/>
      <c r="M229" s="8"/>
      <c r="N229" s="8"/>
      <c r="O229" s="8"/>
      <c r="P229" s="8"/>
      <c r="Q229" s="8"/>
    </row>
    <row r="230" spans="1:17" x14ac:dyDescent="0.35">
      <c r="A230" s="1">
        <v>40544</v>
      </c>
      <c r="B230" s="13">
        <v>21469</v>
      </c>
      <c r="C230" s="8">
        <v>1257.619995</v>
      </c>
      <c r="D230" s="8">
        <v>1302.670044</v>
      </c>
      <c r="E230" s="8">
        <v>1257.619995</v>
      </c>
      <c r="F230" s="8">
        <v>1286.119995</v>
      </c>
      <c r="G230" s="8">
        <v>1286.119995</v>
      </c>
      <c r="H230" s="8">
        <v>92164940000</v>
      </c>
      <c r="I230" s="54">
        <v>7.4999999999999997E-3</v>
      </c>
      <c r="K230" s="1"/>
      <c r="L230" s="8"/>
      <c r="M230" s="8"/>
      <c r="N230" s="8"/>
      <c r="O230" s="8"/>
      <c r="P230" s="8"/>
      <c r="Q230" s="8"/>
    </row>
    <row r="231" spans="1:17" x14ac:dyDescent="0.35">
      <c r="A231" s="1">
        <v>40575</v>
      </c>
      <c r="B231" s="13">
        <v>21196</v>
      </c>
      <c r="C231" s="8">
        <v>1289.1400149999999</v>
      </c>
      <c r="D231" s="8">
        <v>1344.0699460000001</v>
      </c>
      <c r="E231" s="8">
        <v>1289.1400149999999</v>
      </c>
      <c r="F231" s="8">
        <v>1327.219971</v>
      </c>
      <c r="G231" s="8">
        <v>1327.219971</v>
      </c>
      <c r="H231" s="8">
        <v>59223660000</v>
      </c>
      <c r="I231" s="54">
        <v>7.4999999999999997E-3</v>
      </c>
      <c r="K231" s="1"/>
      <c r="L231" s="8"/>
      <c r="M231" s="8"/>
      <c r="N231" s="8"/>
      <c r="O231" s="8"/>
      <c r="P231" s="8"/>
      <c r="Q231" s="8"/>
    </row>
    <row r="232" spans="1:17" x14ac:dyDescent="0.35">
      <c r="A232" s="1">
        <v>40603</v>
      </c>
      <c r="B232" s="13">
        <v>21880</v>
      </c>
      <c r="C232" s="8">
        <v>1328.6400149999999</v>
      </c>
      <c r="D232" s="8">
        <v>1332.280029</v>
      </c>
      <c r="E232" s="8">
        <v>1249.0500489999999</v>
      </c>
      <c r="F232" s="8">
        <v>1325.829956</v>
      </c>
      <c r="G232" s="8">
        <v>1325.829956</v>
      </c>
      <c r="H232" s="8">
        <v>89507640000</v>
      </c>
      <c r="I232" s="54">
        <v>7.4000000000000003E-3</v>
      </c>
      <c r="K232" s="1"/>
      <c r="L232" s="8"/>
      <c r="M232" s="8"/>
      <c r="N232" s="8"/>
      <c r="O232" s="8"/>
      <c r="P232" s="8"/>
      <c r="Q232" s="8"/>
    </row>
    <row r="233" spans="1:17" x14ac:dyDescent="0.35">
      <c r="A233" s="1">
        <v>40634</v>
      </c>
      <c r="B233" s="13">
        <v>22050</v>
      </c>
      <c r="C233" s="8">
        <v>1329.4799800000001</v>
      </c>
      <c r="D233" s="8">
        <v>1364.5600589999999</v>
      </c>
      <c r="E233" s="8">
        <v>1294.6999510000001</v>
      </c>
      <c r="F233" s="8">
        <v>1363.6099850000001</v>
      </c>
      <c r="G233" s="8">
        <v>1363.6099850000001</v>
      </c>
      <c r="H233" s="8">
        <v>77364810000</v>
      </c>
      <c r="I233" s="54">
        <v>7.4999999999999997E-3</v>
      </c>
      <c r="K233" s="1"/>
      <c r="L233" s="8"/>
      <c r="M233" s="8"/>
      <c r="N233" s="8"/>
      <c r="O233" s="8"/>
      <c r="P233" s="8"/>
      <c r="Q233" s="8"/>
    </row>
    <row r="234" spans="1:17" x14ac:dyDescent="0.35">
      <c r="A234" s="1">
        <v>40664</v>
      </c>
      <c r="B234" s="13">
        <v>22311</v>
      </c>
      <c r="C234" s="8">
        <v>1365.209961</v>
      </c>
      <c r="D234" s="8">
        <v>1370.579956</v>
      </c>
      <c r="E234" s="8">
        <v>1311.8000489999999</v>
      </c>
      <c r="F234" s="8">
        <v>1345.1999510000001</v>
      </c>
      <c r="G234" s="8">
        <v>1345.1999510000001</v>
      </c>
      <c r="H234" s="8">
        <v>81708980000</v>
      </c>
      <c r="I234" s="54">
        <v>7.4000000000000003E-3</v>
      </c>
      <c r="K234" s="1"/>
      <c r="L234" s="8"/>
      <c r="M234" s="8"/>
      <c r="N234" s="8"/>
      <c r="O234" s="8"/>
      <c r="P234" s="8"/>
      <c r="Q234" s="8"/>
    </row>
    <row r="235" spans="1:17" x14ac:dyDescent="0.35">
      <c r="A235" s="1">
        <v>40695</v>
      </c>
      <c r="B235" s="13">
        <v>22745</v>
      </c>
      <c r="C235" s="8">
        <v>1345.1999510000001</v>
      </c>
      <c r="D235" s="8">
        <v>1345.1999510000001</v>
      </c>
      <c r="E235" s="8">
        <v>1258.0699460000001</v>
      </c>
      <c r="F235" s="8">
        <v>1320.6400149999999</v>
      </c>
      <c r="G235" s="8">
        <v>1320.6400149999999</v>
      </c>
      <c r="H235" s="8">
        <v>86122730000</v>
      </c>
      <c r="I235" s="54">
        <v>7.4000000000000003E-3</v>
      </c>
      <c r="K235" s="1"/>
      <c r="L235" s="8"/>
      <c r="M235" s="8"/>
      <c r="N235" s="8"/>
      <c r="O235" s="8"/>
      <c r="P235" s="8"/>
      <c r="Q235" s="8"/>
    </row>
    <row r="236" spans="1:17" x14ac:dyDescent="0.35">
      <c r="A236" s="1">
        <v>40725</v>
      </c>
      <c r="B236" s="13">
        <v>22762</v>
      </c>
      <c r="C236" s="8">
        <v>1320.6400149999999</v>
      </c>
      <c r="D236" s="8">
        <v>1356.4799800000001</v>
      </c>
      <c r="E236" s="8">
        <v>1282.8599850000001</v>
      </c>
      <c r="F236" s="8">
        <v>1292.280029</v>
      </c>
      <c r="G236" s="8">
        <v>1292.280029</v>
      </c>
      <c r="H236" s="8">
        <v>81102170000</v>
      </c>
      <c r="I236" s="54">
        <v>7.4000000000000003E-3</v>
      </c>
      <c r="K236" s="1"/>
      <c r="L236" s="8"/>
      <c r="M236" s="8"/>
      <c r="N236" s="8"/>
      <c r="O236" s="8"/>
      <c r="P236" s="8"/>
      <c r="Q236" s="8"/>
    </row>
    <row r="237" spans="1:17" x14ac:dyDescent="0.35">
      <c r="A237" s="1">
        <v>40756</v>
      </c>
      <c r="B237" s="13">
        <v>22752</v>
      </c>
      <c r="C237" s="8">
        <v>1292.589966</v>
      </c>
      <c r="D237" s="8">
        <v>1307.380005</v>
      </c>
      <c r="E237" s="8">
        <v>1101.540039</v>
      </c>
      <c r="F237" s="8">
        <v>1218.8900149999999</v>
      </c>
      <c r="G237" s="8">
        <v>1218.8900149999999</v>
      </c>
      <c r="H237" s="55">
        <v>108000000000</v>
      </c>
      <c r="I237" s="54">
        <v>7.4000000000000003E-3</v>
      </c>
      <c r="K237" s="1"/>
      <c r="L237" s="8"/>
      <c r="M237" s="8"/>
      <c r="N237" s="8"/>
      <c r="O237" s="8"/>
      <c r="P237" s="8"/>
      <c r="Q237" s="55"/>
    </row>
    <row r="238" spans="1:17" x14ac:dyDescent="0.35">
      <c r="A238" s="1">
        <v>40787</v>
      </c>
      <c r="B238" s="13">
        <v>22640</v>
      </c>
      <c r="C238" s="8">
        <v>1219.119995</v>
      </c>
      <c r="D238" s="8">
        <v>1229.290039</v>
      </c>
      <c r="E238" s="8">
        <v>1114.219971</v>
      </c>
      <c r="F238" s="8">
        <v>1131.420044</v>
      </c>
      <c r="G238" s="8">
        <v>1131.420044</v>
      </c>
      <c r="H238" s="55">
        <v>103000000000</v>
      </c>
      <c r="I238" s="54">
        <v>7.4000000000000003E-3</v>
      </c>
      <c r="K238" s="1"/>
      <c r="L238" s="8"/>
      <c r="M238" s="8"/>
      <c r="N238" s="8"/>
      <c r="O238" s="8"/>
      <c r="P238" s="8"/>
      <c r="Q238" s="55"/>
    </row>
    <row r="239" spans="1:17" x14ac:dyDescent="0.35">
      <c r="A239" s="1">
        <v>40817</v>
      </c>
      <c r="B239" s="13">
        <v>23228</v>
      </c>
      <c r="C239" s="8">
        <v>1131.209961</v>
      </c>
      <c r="D239" s="8">
        <v>1292.660034</v>
      </c>
      <c r="E239" s="8">
        <v>1074.7700199999999</v>
      </c>
      <c r="F239" s="8">
        <v>1253.3000489999999</v>
      </c>
      <c r="G239" s="8">
        <v>1253.3000489999999</v>
      </c>
      <c r="H239" s="8">
        <v>98063670000</v>
      </c>
      <c r="I239" s="54">
        <v>7.4999999999999997E-3</v>
      </c>
      <c r="K239" s="1"/>
      <c r="L239" s="8"/>
      <c r="M239" s="8"/>
      <c r="N239" s="8"/>
      <c r="O239" s="8"/>
      <c r="P239" s="8"/>
      <c r="Q239" s="8"/>
    </row>
    <row r="240" spans="1:17" x14ac:dyDescent="0.35">
      <c r="A240" s="1">
        <v>40848</v>
      </c>
      <c r="B240" s="13">
        <v>22953</v>
      </c>
      <c r="C240" s="8">
        <v>1251</v>
      </c>
      <c r="D240" s="8">
        <v>1277.5500489999999</v>
      </c>
      <c r="E240" s="8">
        <v>1158.660034</v>
      </c>
      <c r="F240" s="8">
        <v>1246.959961</v>
      </c>
      <c r="G240" s="8">
        <v>1246.959961</v>
      </c>
      <c r="H240" s="8">
        <v>84275050000</v>
      </c>
      <c r="I240" s="54">
        <v>7.4000000000000003E-3</v>
      </c>
      <c r="K240" s="1"/>
      <c r="L240" s="8"/>
      <c r="M240" s="8"/>
      <c r="N240" s="8"/>
      <c r="O240" s="8"/>
      <c r="P240" s="8"/>
      <c r="Q240" s="8"/>
    </row>
    <row r="241" spans="1:17" x14ac:dyDescent="0.35">
      <c r="A241" s="1">
        <v>40878</v>
      </c>
      <c r="B241" s="13">
        <v>23450</v>
      </c>
      <c r="C241" s="8">
        <v>1246.910034</v>
      </c>
      <c r="D241" s="8">
        <v>1269.369995</v>
      </c>
      <c r="E241" s="8">
        <v>1202.369995</v>
      </c>
      <c r="F241" s="8">
        <v>1257.599976</v>
      </c>
      <c r="G241" s="8">
        <v>1257.599976</v>
      </c>
      <c r="H241" s="8">
        <v>74742430000</v>
      </c>
      <c r="I241" s="54">
        <v>7.6E-3</v>
      </c>
      <c r="K241" s="1"/>
      <c r="L241" s="8"/>
      <c r="M241" s="8"/>
      <c r="N241" s="8"/>
      <c r="O241" s="8"/>
      <c r="P241" s="8"/>
      <c r="Q241" s="8"/>
    </row>
    <row r="242" spans="1:17" x14ac:dyDescent="0.35">
      <c r="A242" s="1">
        <v>40909</v>
      </c>
      <c r="B242" s="13">
        <v>23590</v>
      </c>
      <c r="C242" s="8">
        <v>1258.8599850000001</v>
      </c>
      <c r="D242" s="8">
        <v>1333.469971</v>
      </c>
      <c r="E242" s="8">
        <v>1258.8599850000001</v>
      </c>
      <c r="F242" s="8">
        <v>1312.410034</v>
      </c>
      <c r="G242" s="8">
        <v>1312.410034</v>
      </c>
      <c r="H242" s="8">
        <v>79567560000</v>
      </c>
      <c r="I242" s="54">
        <v>7.4999999999999997E-3</v>
      </c>
      <c r="K242" s="1"/>
      <c r="L242" s="8"/>
      <c r="M242" s="8"/>
      <c r="N242" s="8"/>
      <c r="O242" s="8"/>
      <c r="P242" s="8"/>
      <c r="Q242" s="8"/>
    </row>
    <row r="243" spans="1:17" x14ac:dyDescent="0.35">
      <c r="A243" s="1">
        <v>40940</v>
      </c>
      <c r="B243" s="13">
        <v>23599</v>
      </c>
      <c r="C243" s="8">
        <v>1312.4499510000001</v>
      </c>
      <c r="D243" s="8">
        <v>1378.040039</v>
      </c>
      <c r="E243" s="8">
        <v>1312.4499510000001</v>
      </c>
      <c r="F243" s="8">
        <v>1365.6800539999999</v>
      </c>
      <c r="G243" s="8">
        <v>1365.6800539999999</v>
      </c>
      <c r="H243" s="8">
        <v>78385710000</v>
      </c>
      <c r="I243" s="54">
        <v>7.4999999999999997E-3</v>
      </c>
      <c r="K243" s="1"/>
      <c r="L243" s="8"/>
      <c r="M243" s="8"/>
      <c r="N243" s="8"/>
      <c r="O243" s="8"/>
      <c r="P243" s="8"/>
      <c r="Q243" s="8"/>
    </row>
    <row r="244" spans="1:17" x14ac:dyDescent="0.35">
      <c r="A244" s="1">
        <v>40969</v>
      </c>
      <c r="B244" s="13">
        <v>24561</v>
      </c>
      <c r="C244" s="8">
        <v>1365.900024</v>
      </c>
      <c r="D244" s="8">
        <v>1419.150024</v>
      </c>
      <c r="E244" s="8">
        <v>1340.030029</v>
      </c>
      <c r="F244" s="8">
        <v>1408.469971</v>
      </c>
      <c r="G244" s="8">
        <v>1408.469971</v>
      </c>
      <c r="H244" s="8">
        <v>83899660000</v>
      </c>
      <c r="I244" s="54">
        <v>7.6E-3</v>
      </c>
      <c r="K244" s="1"/>
      <c r="L244" s="8"/>
      <c r="M244" s="8"/>
      <c r="N244" s="8"/>
      <c r="O244" s="8"/>
      <c r="P244" s="8"/>
      <c r="Q244" s="8"/>
    </row>
    <row r="245" spans="1:17" x14ac:dyDescent="0.35">
      <c r="A245" s="1">
        <v>41000</v>
      </c>
      <c r="B245" s="13">
        <v>23395</v>
      </c>
      <c r="C245" s="8">
        <v>1408.469971</v>
      </c>
      <c r="D245" s="8">
        <v>1422.380005</v>
      </c>
      <c r="E245" s="8">
        <v>1357.380005</v>
      </c>
      <c r="F245" s="8">
        <v>1397.910034</v>
      </c>
      <c r="G245" s="8">
        <v>1397.910034</v>
      </c>
      <c r="H245" s="8">
        <v>74761710000</v>
      </c>
      <c r="I245" s="54">
        <v>7.4999999999999997E-3</v>
      </c>
      <c r="K245" s="1"/>
      <c r="L245" s="8"/>
      <c r="M245" s="8"/>
      <c r="N245" s="8"/>
      <c r="O245" s="8"/>
      <c r="P245" s="8"/>
      <c r="Q245" s="8"/>
    </row>
    <row r="246" spans="1:17" x14ac:dyDescent="0.35">
      <c r="A246" s="1">
        <v>41030</v>
      </c>
      <c r="B246" s="13">
        <v>22771</v>
      </c>
      <c r="C246" s="8">
        <v>1397.8599850000001</v>
      </c>
      <c r="D246" s="8">
        <v>1415.3199460000001</v>
      </c>
      <c r="E246" s="8">
        <v>1291.9799800000001</v>
      </c>
      <c r="F246" s="8">
        <v>1310.329956</v>
      </c>
      <c r="G246" s="8">
        <v>1310.329956</v>
      </c>
      <c r="H246" s="8">
        <v>86920490000</v>
      </c>
      <c r="I246" s="54">
        <v>7.6E-3</v>
      </c>
      <c r="K246" s="1"/>
      <c r="L246" s="8"/>
      <c r="M246" s="8"/>
      <c r="N246" s="8"/>
      <c r="O246" s="8"/>
      <c r="P246" s="8"/>
      <c r="Q246" s="8"/>
    </row>
    <row r="247" spans="1:17" x14ac:dyDescent="0.35">
      <c r="A247" s="1">
        <v>41061</v>
      </c>
      <c r="B247" s="13">
        <v>22503</v>
      </c>
      <c r="C247" s="8">
        <v>1309.869995</v>
      </c>
      <c r="D247" s="8">
        <v>1363.459961</v>
      </c>
      <c r="E247" s="8">
        <v>1266.73999</v>
      </c>
      <c r="F247" s="8">
        <v>1362.160034</v>
      </c>
      <c r="G247" s="8">
        <v>1362.160034</v>
      </c>
      <c r="H247" s="8">
        <v>81582440000</v>
      </c>
      <c r="I247" s="54">
        <v>7.6E-3</v>
      </c>
      <c r="K247" s="1"/>
      <c r="L247" s="8"/>
      <c r="M247" s="8"/>
      <c r="N247" s="8"/>
      <c r="O247" s="8"/>
      <c r="P247" s="8"/>
      <c r="Q247" s="8"/>
    </row>
    <row r="248" spans="1:17" x14ac:dyDescent="0.35">
      <c r="A248" s="1">
        <v>41091</v>
      </c>
      <c r="B248" s="13">
        <v>22663</v>
      </c>
      <c r="C248" s="8">
        <v>1362.329956</v>
      </c>
      <c r="D248" s="8">
        <v>1391.73999</v>
      </c>
      <c r="E248" s="8">
        <v>1325.410034</v>
      </c>
      <c r="F248" s="8">
        <v>1379.3199460000001</v>
      </c>
      <c r="G248" s="8">
        <v>1379.3199460000001</v>
      </c>
      <c r="H248" s="8">
        <v>73103810000</v>
      </c>
      <c r="I248" s="54">
        <v>7.6E-3</v>
      </c>
      <c r="K248" s="1"/>
      <c r="L248" s="8"/>
      <c r="M248" s="8"/>
      <c r="N248" s="8"/>
      <c r="O248" s="8"/>
      <c r="P248" s="8"/>
      <c r="Q248" s="8"/>
    </row>
    <row r="249" spans="1:17" x14ac:dyDescent="0.35">
      <c r="A249" s="1">
        <v>41122</v>
      </c>
      <c r="B249" s="13">
        <v>23106</v>
      </c>
      <c r="C249" s="8">
        <v>1379.3199460000001</v>
      </c>
      <c r="D249" s="8">
        <v>1426.6800539999999</v>
      </c>
      <c r="E249" s="8">
        <v>1354.650024</v>
      </c>
      <c r="F249" s="8">
        <v>1406.579956</v>
      </c>
      <c r="G249" s="8">
        <v>1406.579956</v>
      </c>
      <c r="H249" s="8">
        <v>70283810000</v>
      </c>
      <c r="I249" s="54">
        <v>7.6E-3</v>
      </c>
      <c r="K249" s="1"/>
      <c r="L249" s="8"/>
      <c r="M249" s="8"/>
      <c r="N249" s="8"/>
      <c r="O249" s="8"/>
      <c r="P249" s="8"/>
      <c r="Q249" s="8"/>
    </row>
    <row r="250" spans="1:17" x14ac:dyDescent="0.35">
      <c r="A250" s="1">
        <v>41153</v>
      </c>
      <c r="B250" s="13">
        <v>23719</v>
      </c>
      <c r="C250" s="8">
        <v>1406.540039</v>
      </c>
      <c r="D250" s="8">
        <v>1474.51001</v>
      </c>
      <c r="E250" s="8">
        <v>1396.5600589999999</v>
      </c>
      <c r="F250" s="8">
        <v>1440.670044</v>
      </c>
      <c r="G250" s="8">
        <v>1440.670044</v>
      </c>
      <c r="H250" s="8">
        <v>69784280000</v>
      </c>
      <c r="I250" s="54">
        <v>7.4999999999999997E-3</v>
      </c>
      <c r="K250" s="1"/>
      <c r="L250" s="8"/>
      <c r="M250" s="8"/>
      <c r="N250" s="8"/>
      <c r="O250" s="8"/>
      <c r="P250" s="8"/>
      <c r="Q250" s="8"/>
    </row>
    <row r="251" spans="1:17" x14ac:dyDescent="0.35">
      <c r="A251" s="1">
        <v>41183</v>
      </c>
      <c r="B251" s="13">
        <v>23790</v>
      </c>
      <c r="C251" s="8">
        <v>1440.900024</v>
      </c>
      <c r="D251" s="8">
        <v>1470.959961</v>
      </c>
      <c r="E251" s="8">
        <v>1403.280029</v>
      </c>
      <c r="F251" s="8">
        <v>1412.160034</v>
      </c>
      <c r="G251" s="8">
        <v>1412.160034</v>
      </c>
      <c r="H251" s="8">
        <v>71752320000</v>
      </c>
      <c r="I251" s="54">
        <v>7.4000000000000003E-3</v>
      </c>
      <c r="K251" s="1"/>
      <c r="L251" s="8"/>
      <c r="M251" s="8"/>
      <c r="N251" s="8"/>
      <c r="O251" s="8"/>
      <c r="P251" s="8"/>
      <c r="Q251" s="8"/>
    </row>
    <row r="252" spans="1:17" x14ac:dyDescent="0.35">
      <c r="A252" s="1">
        <v>41214</v>
      </c>
      <c r="B252" s="13">
        <v>24126</v>
      </c>
      <c r="C252" s="8">
        <v>1412.1999510000001</v>
      </c>
      <c r="D252" s="8">
        <v>1434.2700199999999</v>
      </c>
      <c r="E252" s="8">
        <v>1343.349976</v>
      </c>
      <c r="F252" s="8">
        <v>1416.1800539999999</v>
      </c>
      <c r="G252" s="8">
        <v>1416.1800539999999</v>
      </c>
      <c r="H252" s="8">
        <v>71489310000</v>
      </c>
      <c r="I252" s="54">
        <v>7.4000000000000003E-3</v>
      </c>
      <c r="K252" s="1"/>
      <c r="L252" s="8"/>
      <c r="M252" s="8"/>
      <c r="N252" s="8"/>
      <c r="O252" s="8"/>
      <c r="P252" s="8"/>
      <c r="Q252" s="8"/>
    </row>
    <row r="253" spans="1:17" x14ac:dyDescent="0.35">
      <c r="A253" s="1">
        <v>41244</v>
      </c>
      <c r="B253" s="13">
        <v>24135</v>
      </c>
      <c r="C253" s="8">
        <v>1416.339966</v>
      </c>
      <c r="D253" s="8">
        <v>1448</v>
      </c>
      <c r="E253" s="8">
        <v>1398.1099850000001</v>
      </c>
      <c r="F253" s="8">
        <v>1426.1899410000001</v>
      </c>
      <c r="G253" s="8">
        <v>1426.1899410000001</v>
      </c>
      <c r="H253" s="8">
        <v>66388180000</v>
      </c>
      <c r="I253" s="54">
        <v>7.1999999999999998E-3</v>
      </c>
      <c r="K253" s="1"/>
      <c r="L253" s="8"/>
      <c r="M253" s="8"/>
      <c r="N253" s="8"/>
      <c r="O253" s="8"/>
      <c r="P253" s="8"/>
      <c r="Q253" s="8"/>
    </row>
    <row r="254" spans="1:17" x14ac:dyDescent="0.35">
      <c r="A254" s="1">
        <v>41275</v>
      </c>
      <c r="B254" s="13">
        <v>24431</v>
      </c>
      <c r="C254" s="8">
        <v>1426.1899410000001</v>
      </c>
      <c r="D254" s="8">
        <v>1509.9399410000001</v>
      </c>
      <c r="E254" s="8">
        <v>1426.1899410000001</v>
      </c>
      <c r="F254" s="8">
        <v>1498.1099850000001</v>
      </c>
      <c r="G254" s="8">
        <v>1498.1099850000001</v>
      </c>
      <c r="H254" s="8">
        <v>75848510000</v>
      </c>
      <c r="I254" s="54">
        <v>7.1999999999999998E-3</v>
      </c>
      <c r="K254" s="1"/>
      <c r="L254" s="8"/>
      <c r="M254" s="8"/>
      <c r="N254" s="8"/>
      <c r="O254" s="8"/>
      <c r="P254" s="8"/>
      <c r="Q254" s="8"/>
    </row>
    <row r="255" spans="1:17" x14ac:dyDescent="0.35">
      <c r="A255" s="1">
        <v>41306</v>
      </c>
      <c r="B255" s="13">
        <v>24818</v>
      </c>
      <c r="C255" s="8">
        <v>1498.1099850000001</v>
      </c>
      <c r="D255" s="8">
        <v>1530.9399410000001</v>
      </c>
      <c r="E255" s="8">
        <v>1485.01001</v>
      </c>
      <c r="F255" s="8">
        <v>1514.6800539999999</v>
      </c>
      <c r="G255" s="8">
        <v>1514.6800539999999</v>
      </c>
      <c r="H255" s="8">
        <v>69273480000</v>
      </c>
      <c r="I255" s="54">
        <v>7.1000000000000004E-3</v>
      </c>
      <c r="K255" s="1"/>
      <c r="L255" s="8"/>
      <c r="M255" s="8"/>
      <c r="N255" s="8"/>
      <c r="O255" s="8"/>
      <c r="P255" s="8"/>
      <c r="Q255" s="8"/>
    </row>
    <row r="256" spans="1:17" x14ac:dyDescent="0.35">
      <c r="A256" s="1">
        <v>41334</v>
      </c>
      <c r="B256" s="13">
        <v>24709</v>
      </c>
      <c r="C256" s="8">
        <v>1514.6800539999999</v>
      </c>
      <c r="D256" s="8">
        <v>1570.280029</v>
      </c>
      <c r="E256" s="8">
        <v>1501.4799800000001</v>
      </c>
      <c r="F256" s="8">
        <v>1569.1899410000001</v>
      </c>
      <c r="G256" s="8">
        <v>1569.1899410000001</v>
      </c>
      <c r="H256" s="8">
        <v>68527110000</v>
      </c>
      <c r="I256" s="54">
        <v>7.1999999999999998E-3</v>
      </c>
      <c r="K256" s="1"/>
      <c r="L256" s="8"/>
      <c r="M256" s="8"/>
      <c r="N256" s="8"/>
      <c r="O256" s="8"/>
      <c r="P256" s="8"/>
      <c r="Q256" s="8"/>
    </row>
    <row r="257" spans="1:17" x14ac:dyDescent="0.35">
      <c r="A257" s="1">
        <v>41365</v>
      </c>
      <c r="B257" s="13">
        <v>24984</v>
      </c>
      <c r="C257" s="8">
        <v>1569.1800539999999</v>
      </c>
      <c r="D257" s="8">
        <v>1597.5699460000001</v>
      </c>
      <c r="E257" s="8">
        <v>1536.030029</v>
      </c>
      <c r="F257" s="8">
        <v>1597.5699460000001</v>
      </c>
      <c r="G257" s="8">
        <v>1597.5699460000001</v>
      </c>
      <c r="H257" s="8">
        <v>77098000000</v>
      </c>
      <c r="I257" s="54">
        <v>7.1000000000000004E-3</v>
      </c>
      <c r="K257" s="1"/>
      <c r="L257" s="8"/>
      <c r="M257" s="8"/>
      <c r="N257" s="8"/>
      <c r="O257" s="8"/>
      <c r="P257" s="8"/>
      <c r="Q257" s="8"/>
    </row>
    <row r="258" spans="1:17" x14ac:dyDescent="0.35">
      <c r="A258" s="1">
        <v>41395</v>
      </c>
      <c r="B258" s="13">
        <v>25470</v>
      </c>
      <c r="C258" s="8">
        <v>1597.5500489999999</v>
      </c>
      <c r="D258" s="8">
        <v>1687.1800539999999</v>
      </c>
      <c r="E258" s="8">
        <v>1581.280029</v>
      </c>
      <c r="F258" s="8">
        <v>1630.73999</v>
      </c>
      <c r="G258" s="8">
        <v>1630.73999</v>
      </c>
      <c r="H258" s="8">
        <v>76447250000</v>
      </c>
      <c r="I258" s="54">
        <v>7.1000000000000004E-3</v>
      </c>
      <c r="K258" s="1"/>
      <c r="L258" s="8"/>
      <c r="M258" s="8"/>
      <c r="N258" s="8"/>
      <c r="O258" s="8"/>
      <c r="P258" s="8"/>
      <c r="Q258" s="8"/>
    </row>
    <row r="259" spans="1:17" x14ac:dyDescent="0.35">
      <c r="A259" s="1">
        <v>41426</v>
      </c>
      <c r="B259" s="13">
        <v>24998</v>
      </c>
      <c r="C259" s="8">
        <v>1631.709961</v>
      </c>
      <c r="D259" s="8">
        <v>1654.1899410000001</v>
      </c>
      <c r="E259" s="8">
        <v>1560.329956</v>
      </c>
      <c r="F259" s="8">
        <v>1606.280029</v>
      </c>
      <c r="G259" s="8">
        <v>1606.280029</v>
      </c>
      <c r="H259" s="8">
        <v>74946790000</v>
      </c>
      <c r="I259" s="54">
        <v>7.1000000000000004E-3</v>
      </c>
      <c r="K259" s="1"/>
      <c r="L259" s="8"/>
      <c r="M259" s="8"/>
      <c r="N259" s="8"/>
      <c r="O259" s="8"/>
      <c r="P259" s="8"/>
      <c r="Q259" s="8"/>
    </row>
    <row r="260" spans="1:17" x14ac:dyDescent="0.35">
      <c r="A260" s="1">
        <v>41456</v>
      </c>
      <c r="B260" s="13">
        <v>25534</v>
      </c>
      <c r="C260" s="8">
        <v>1609.780029</v>
      </c>
      <c r="D260" s="8">
        <v>1698.780029</v>
      </c>
      <c r="E260" s="8">
        <v>1604.5699460000001</v>
      </c>
      <c r="F260" s="8">
        <v>1685.7299800000001</v>
      </c>
      <c r="G260" s="8">
        <v>1685.7299800000001</v>
      </c>
      <c r="H260" s="8">
        <v>68106820000</v>
      </c>
      <c r="I260" s="54">
        <v>7.1000000000000004E-3</v>
      </c>
      <c r="K260" s="1"/>
      <c r="L260" s="8"/>
      <c r="M260" s="8"/>
      <c r="N260" s="8"/>
      <c r="O260" s="8"/>
      <c r="P260" s="8"/>
      <c r="Q260" s="8"/>
    </row>
    <row r="261" spans="1:17" x14ac:dyDescent="0.35">
      <c r="A261" s="1">
        <v>41487</v>
      </c>
      <c r="B261" s="13">
        <v>25504</v>
      </c>
      <c r="C261" s="8">
        <v>1689.420044</v>
      </c>
      <c r="D261" s="8">
        <v>1709.670044</v>
      </c>
      <c r="E261" s="8">
        <v>1627.469971</v>
      </c>
      <c r="F261" s="8">
        <v>1632.969971</v>
      </c>
      <c r="G261" s="8">
        <v>1632.969971</v>
      </c>
      <c r="H261" s="8">
        <v>64802810000</v>
      </c>
      <c r="I261" s="54">
        <v>7.1999999999999998E-3</v>
      </c>
      <c r="K261" s="1"/>
      <c r="L261" s="8"/>
      <c r="M261" s="8"/>
      <c r="N261" s="8"/>
      <c r="O261" s="8"/>
      <c r="P261" s="8"/>
      <c r="Q261" s="8"/>
    </row>
    <row r="262" spans="1:17" x14ac:dyDescent="0.35">
      <c r="A262" s="1">
        <v>41518</v>
      </c>
      <c r="B262" s="13">
        <v>25525</v>
      </c>
      <c r="C262" s="8">
        <v>1635.9499510000001</v>
      </c>
      <c r="D262" s="8">
        <v>1729.8599850000001</v>
      </c>
      <c r="E262" s="8">
        <v>1633.410034</v>
      </c>
      <c r="F262" s="8">
        <v>1681.5500489999999</v>
      </c>
      <c r="G262" s="8">
        <v>1681.5500489999999</v>
      </c>
      <c r="H262" s="8">
        <v>66174410000</v>
      </c>
      <c r="I262" s="54">
        <v>7.1999999999999998E-3</v>
      </c>
      <c r="K262" s="1"/>
      <c r="L262" s="8"/>
      <c r="M262" s="8"/>
      <c r="N262" s="8"/>
      <c r="O262" s="8"/>
      <c r="P262" s="8"/>
      <c r="Q262" s="8"/>
    </row>
    <row r="263" spans="1:17" x14ac:dyDescent="0.35">
      <c r="A263" s="1">
        <v>41548</v>
      </c>
      <c r="B263" s="13">
        <v>25223</v>
      </c>
      <c r="C263" s="8">
        <v>1682.410034</v>
      </c>
      <c r="D263" s="8">
        <v>1775.219971</v>
      </c>
      <c r="E263" s="8">
        <v>1646.469971</v>
      </c>
      <c r="F263" s="8">
        <v>1756.540039</v>
      </c>
      <c r="G263" s="8">
        <v>1756.540039</v>
      </c>
      <c r="H263" s="8">
        <v>76647400000</v>
      </c>
      <c r="I263" s="54">
        <v>7.3000000000000001E-3</v>
      </c>
      <c r="K263" s="1"/>
      <c r="L263" s="8"/>
      <c r="M263" s="8"/>
      <c r="N263" s="8"/>
      <c r="O263" s="8"/>
      <c r="P263" s="8"/>
      <c r="Q263" s="8"/>
    </row>
    <row r="264" spans="1:17" x14ac:dyDescent="0.35">
      <c r="A264" s="1">
        <v>41579</v>
      </c>
      <c r="B264" s="13">
        <v>25115</v>
      </c>
      <c r="C264" s="8">
        <v>1758.6999510000001</v>
      </c>
      <c r="D264" s="8">
        <v>1813.5500489999999</v>
      </c>
      <c r="E264" s="8">
        <v>1746.1999510000001</v>
      </c>
      <c r="F264" s="8">
        <v>1805.8100589999999</v>
      </c>
      <c r="G264" s="8">
        <v>1805.8100589999999</v>
      </c>
      <c r="H264" s="8">
        <v>63628190000</v>
      </c>
      <c r="I264" s="54">
        <v>7.4000000000000003E-3</v>
      </c>
      <c r="K264" s="1"/>
      <c r="L264" s="8"/>
      <c r="M264" s="8"/>
      <c r="N264" s="8"/>
      <c r="O264" s="8"/>
      <c r="P264" s="8"/>
      <c r="Q264" s="8"/>
    </row>
    <row r="265" spans="1:17" x14ac:dyDescent="0.35">
      <c r="A265" s="1">
        <v>41609</v>
      </c>
      <c r="B265" s="13">
        <v>25301</v>
      </c>
      <c r="C265" s="8">
        <v>1806.5500489999999</v>
      </c>
      <c r="D265" s="8">
        <v>1849.4399410000001</v>
      </c>
      <c r="E265" s="8">
        <v>1767.98999</v>
      </c>
      <c r="F265" s="8">
        <v>1848.3599850000001</v>
      </c>
      <c r="G265" s="8">
        <v>1848.3599850000001</v>
      </c>
      <c r="H265" s="8">
        <v>64958820000</v>
      </c>
      <c r="I265" s="54">
        <v>7.4000000000000003E-3</v>
      </c>
      <c r="K265" s="1"/>
      <c r="L265" s="8"/>
      <c r="M265" s="8"/>
      <c r="N265" s="8"/>
      <c r="O265" s="8"/>
      <c r="P265" s="8"/>
      <c r="Q265" s="8"/>
    </row>
    <row r="266" spans="1:17" x14ac:dyDescent="0.35">
      <c r="A266" s="1">
        <v>41640</v>
      </c>
      <c r="B266" s="13">
        <v>25234</v>
      </c>
      <c r="C266" s="8">
        <v>1845.8599850000001</v>
      </c>
      <c r="D266" s="8">
        <v>1850.839966</v>
      </c>
      <c r="E266" s="8">
        <v>1770.4499510000001</v>
      </c>
      <c r="F266" s="8">
        <v>1782.589966</v>
      </c>
      <c r="G266" s="8">
        <v>1782.589966</v>
      </c>
      <c r="H266" s="8">
        <v>75871910000</v>
      </c>
      <c r="I266" s="54">
        <v>7.4000000000000003E-3</v>
      </c>
      <c r="K266" s="1"/>
      <c r="L266" s="8"/>
      <c r="M266" s="8"/>
      <c r="N266" s="8"/>
      <c r="O266" s="8"/>
      <c r="P266" s="8"/>
      <c r="Q266" s="8"/>
    </row>
    <row r="267" spans="1:17" x14ac:dyDescent="0.35">
      <c r="A267" s="1">
        <v>41671</v>
      </c>
      <c r="B267" s="13">
        <v>25163</v>
      </c>
      <c r="C267" s="8">
        <v>1782.6800539999999</v>
      </c>
      <c r="D267" s="8">
        <v>1867.920044</v>
      </c>
      <c r="E267" s="8">
        <v>1737.920044</v>
      </c>
      <c r="F267" s="8">
        <v>1859.4499510000001</v>
      </c>
      <c r="G267" s="8">
        <v>1859.4499510000001</v>
      </c>
      <c r="H267" s="8">
        <v>69725590000</v>
      </c>
      <c r="I267" s="54">
        <v>7.6E-3</v>
      </c>
      <c r="K267" s="1"/>
      <c r="L267" s="8"/>
      <c r="M267" s="8"/>
      <c r="N267" s="8"/>
      <c r="O267" s="8"/>
      <c r="P267" s="8"/>
      <c r="Q267" s="8"/>
    </row>
    <row r="268" spans="1:17" x14ac:dyDescent="0.35">
      <c r="A268" s="1">
        <v>41699</v>
      </c>
      <c r="B268" s="13">
        <v>25481</v>
      </c>
      <c r="C268" s="8">
        <v>1857.6800539999999</v>
      </c>
      <c r="D268" s="8">
        <v>1883.969971</v>
      </c>
      <c r="E268" s="8">
        <v>1834.4399410000001</v>
      </c>
      <c r="F268" s="8">
        <v>1872.339966</v>
      </c>
      <c r="G268" s="8">
        <v>1872.339966</v>
      </c>
      <c r="H268" s="8">
        <v>71885030000</v>
      </c>
      <c r="I268" s="54">
        <v>7.4999999999999997E-3</v>
      </c>
      <c r="K268" s="1"/>
      <c r="L268" s="8"/>
      <c r="M268" s="8"/>
      <c r="N268" s="8"/>
      <c r="O268" s="8"/>
      <c r="P268" s="8"/>
      <c r="Q268" s="8"/>
    </row>
    <row r="269" spans="1:17" x14ac:dyDescent="0.35">
      <c r="A269" s="1">
        <v>41730</v>
      </c>
      <c r="B269" s="13">
        <v>26557</v>
      </c>
      <c r="C269" s="8">
        <v>1873.959961</v>
      </c>
      <c r="D269" s="8">
        <v>1897.280029</v>
      </c>
      <c r="E269" s="8">
        <v>1814.3599850000001</v>
      </c>
      <c r="F269" s="8">
        <v>1883.9499510000001</v>
      </c>
      <c r="G269" s="8">
        <v>1883.9499510000001</v>
      </c>
      <c r="H269" s="8">
        <v>71595810000</v>
      </c>
      <c r="I269" s="54">
        <v>7.6E-3</v>
      </c>
      <c r="K269" s="1"/>
      <c r="L269" s="8"/>
      <c r="M269" s="8"/>
      <c r="N269" s="8"/>
      <c r="O269" s="8"/>
      <c r="P269" s="8"/>
      <c r="Q269" s="8"/>
    </row>
    <row r="270" spans="1:17" x14ac:dyDescent="0.35">
      <c r="A270" s="1">
        <v>41760</v>
      </c>
      <c r="B270" s="13">
        <v>26722</v>
      </c>
      <c r="C270" s="8">
        <v>1884.3900149999999</v>
      </c>
      <c r="D270" s="8">
        <v>1924.030029</v>
      </c>
      <c r="E270" s="8">
        <v>1859.790039</v>
      </c>
      <c r="F270" s="8">
        <v>1923.5699460000001</v>
      </c>
      <c r="G270" s="8">
        <v>1923.5699460000001</v>
      </c>
      <c r="H270" s="8">
        <v>63623630000</v>
      </c>
      <c r="I270" s="54">
        <v>7.6E-3</v>
      </c>
      <c r="K270" s="1"/>
      <c r="L270" s="8"/>
      <c r="M270" s="8"/>
      <c r="N270" s="8"/>
      <c r="O270" s="8"/>
      <c r="P270" s="8"/>
      <c r="Q270" s="8"/>
    </row>
    <row r="271" spans="1:17" x14ac:dyDescent="0.35">
      <c r="A271" s="1">
        <v>41791</v>
      </c>
      <c r="B271" s="13">
        <v>26944</v>
      </c>
      <c r="C271" s="8">
        <v>1923.869995</v>
      </c>
      <c r="D271" s="8">
        <v>1968.170044</v>
      </c>
      <c r="E271" s="8">
        <v>1915.9799800000001</v>
      </c>
      <c r="F271" s="8">
        <v>1960.2299800000001</v>
      </c>
      <c r="G271" s="8">
        <v>1960.2299800000001</v>
      </c>
      <c r="H271" s="8">
        <v>63283380000</v>
      </c>
      <c r="I271" s="54">
        <v>7.6E-3</v>
      </c>
      <c r="K271" s="1"/>
      <c r="L271" s="8"/>
      <c r="M271" s="8"/>
      <c r="N271" s="8"/>
      <c r="O271" s="8"/>
      <c r="P271" s="8"/>
      <c r="Q271" s="8"/>
    </row>
    <row r="272" spans="1:17" x14ac:dyDescent="0.35">
      <c r="A272" s="1">
        <v>41821</v>
      </c>
      <c r="B272" s="13">
        <v>26525</v>
      </c>
      <c r="C272" s="8">
        <v>1962.290039</v>
      </c>
      <c r="D272" s="8">
        <v>1991.3900149999999</v>
      </c>
      <c r="E272" s="8">
        <v>1930.670044</v>
      </c>
      <c r="F272" s="8">
        <v>1930.670044</v>
      </c>
      <c r="G272" s="8">
        <v>1930.670044</v>
      </c>
      <c r="H272" s="8">
        <v>66524690000</v>
      </c>
      <c r="I272" s="54">
        <v>7.7000000000000002E-3</v>
      </c>
      <c r="K272" s="1"/>
      <c r="L272" s="8"/>
      <c r="M272" s="8"/>
      <c r="N272" s="8"/>
      <c r="O272" s="8"/>
      <c r="P272" s="8"/>
      <c r="Q272" s="8"/>
    </row>
    <row r="273" spans="1:17" x14ac:dyDescent="0.35">
      <c r="A273" s="1">
        <v>41852</v>
      </c>
      <c r="B273" s="13">
        <v>27047</v>
      </c>
      <c r="C273" s="8">
        <v>1929.8000489999999</v>
      </c>
      <c r="D273" s="8">
        <v>2005.040039</v>
      </c>
      <c r="E273" s="8">
        <v>1904.780029</v>
      </c>
      <c r="F273" s="8">
        <v>2003.369995</v>
      </c>
      <c r="G273" s="8">
        <v>2003.369995</v>
      </c>
      <c r="H273" s="8">
        <v>58131140000</v>
      </c>
      <c r="I273" s="54">
        <v>7.7000000000000002E-3</v>
      </c>
      <c r="K273" s="1"/>
      <c r="L273" s="8"/>
      <c r="M273" s="8"/>
      <c r="N273" s="8"/>
      <c r="O273" s="8"/>
      <c r="P273" s="8"/>
      <c r="Q273" s="8"/>
    </row>
    <row r="274" spans="1:17" x14ac:dyDescent="0.35">
      <c r="A274" s="1">
        <v>41883</v>
      </c>
      <c r="B274" s="13">
        <v>26954</v>
      </c>
      <c r="C274" s="8">
        <v>2004.0699460000001</v>
      </c>
      <c r="D274" s="8">
        <v>2019.26001</v>
      </c>
      <c r="E274" s="8">
        <v>1964.040039</v>
      </c>
      <c r="F274" s="8">
        <v>1972.290039</v>
      </c>
      <c r="G274" s="8">
        <v>1972.290039</v>
      </c>
      <c r="H274" s="8">
        <v>66706000000</v>
      </c>
      <c r="I274" s="54">
        <v>7.7000000000000002E-3</v>
      </c>
      <c r="K274" s="1"/>
      <c r="L274" s="8"/>
      <c r="M274" s="8"/>
      <c r="N274" s="8"/>
      <c r="O274" s="8"/>
      <c r="P274" s="8"/>
      <c r="Q274" s="8"/>
    </row>
    <row r="275" spans="1:17" x14ac:dyDescent="0.35">
      <c r="A275" s="1">
        <v>41913</v>
      </c>
      <c r="B275" s="13">
        <v>26997</v>
      </c>
      <c r="C275" s="8">
        <v>1971.4399410000001</v>
      </c>
      <c r="D275" s="8">
        <v>2018.1899410000001</v>
      </c>
      <c r="E275" s="8">
        <v>1820.660034</v>
      </c>
      <c r="F275" s="8">
        <v>2018.0500489999999</v>
      </c>
      <c r="G275" s="8">
        <v>2018.0500489999999</v>
      </c>
      <c r="H275" s="8">
        <v>93714040000</v>
      </c>
      <c r="I275" s="54">
        <v>7.7000000000000002E-3</v>
      </c>
      <c r="K275" s="1"/>
      <c r="L275" s="8"/>
      <c r="M275" s="8"/>
      <c r="N275" s="8"/>
      <c r="O275" s="8"/>
      <c r="P275" s="8"/>
      <c r="Q275" s="8"/>
    </row>
    <row r="276" spans="1:17" x14ac:dyDescent="0.35">
      <c r="A276" s="1">
        <v>41944</v>
      </c>
      <c r="B276" s="13">
        <v>27190</v>
      </c>
      <c r="C276" s="8">
        <v>2018.209961</v>
      </c>
      <c r="D276" s="8">
        <v>2075.76001</v>
      </c>
      <c r="E276" s="8">
        <v>2001.01001</v>
      </c>
      <c r="F276" s="8">
        <v>2067.5600589999999</v>
      </c>
      <c r="G276" s="8">
        <v>2067.5600589999999</v>
      </c>
      <c r="H276" s="8">
        <v>63600190000</v>
      </c>
      <c r="I276" s="54">
        <v>7.6E-3</v>
      </c>
      <c r="K276" s="1"/>
      <c r="L276" s="8"/>
      <c r="M276" s="8"/>
      <c r="N276" s="8"/>
      <c r="O276" s="8"/>
      <c r="P276" s="8"/>
      <c r="Q276" s="8"/>
    </row>
    <row r="277" spans="1:17" x14ac:dyDescent="0.35">
      <c r="A277" s="1">
        <v>41974</v>
      </c>
      <c r="B277" s="13">
        <v>26905</v>
      </c>
      <c r="C277" s="8">
        <v>2065.780029</v>
      </c>
      <c r="D277" s="8">
        <v>2093.5500489999999</v>
      </c>
      <c r="E277" s="8">
        <v>1972.5600589999999</v>
      </c>
      <c r="F277" s="8">
        <v>2058.8999020000001</v>
      </c>
      <c r="G277" s="8">
        <v>2058.8999020000001</v>
      </c>
      <c r="H277" s="8">
        <v>80743820000</v>
      </c>
      <c r="I277" s="54">
        <v>7.6E-3</v>
      </c>
      <c r="K277" s="1"/>
      <c r="L277" s="8"/>
      <c r="M277" s="8"/>
      <c r="N277" s="8"/>
      <c r="O277" s="8"/>
      <c r="P277" s="8"/>
      <c r="Q277" s="8"/>
    </row>
    <row r="278" spans="1:17" x14ac:dyDescent="0.35">
      <c r="A278" s="1">
        <v>42005</v>
      </c>
      <c r="B278" s="13">
        <v>27015</v>
      </c>
      <c r="C278" s="8">
        <v>2058.8999020000001</v>
      </c>
      <c r="D278" s="8">
        <v>2072.360107</v>
      </c>
      <c r="E278" s="8">
        <v>1988.119995</v>
      </c>
      <c r="F278" s="8">
        <v>1994.98999</v>
      </c>
      <c r="G278" s="8">
        <v>1994.98999</v>
      </c>
      <c r="H278" s="8">
        <v>77330040000</v>
      </c>
      <c r="I278" s="54">
        <v>7.6E-3</v>
      </c>
      <c r="K278" s="1"/>
      <c r="L278" s="8"/>
      <c r="M278" s="8"/>
      <c r="N278" s="8"/>
      <c r="O278" s="8"/>
      <c r="P278" s="8"/>
      <c r="Q278" s="8"/>
    </row>
    <row r="279" spans="1:17" x14ac:dyDescent="0.35">
      <c r="A279" s="1">
        <v>42036</v>
      </c>
      <c r="B279" s="13">
        <v>26191</v>
      </c>
      <c r="C279" s="8">
        <v>1996.670044</v>
      </c>
      <c r="D279" s="8">
        <v>2119.5900879999999</v>
      </c>
      <c r="E279" s="8">
        <v>1980.900024</v>
      </c>
      <c r="F279" s="8">
        <v>2104.5</v>
      </c>
      <c r="G279" s="8">
        <v>2104.5</v>
      </c>
      <c r="H279" s="8">
        <v>68775560000</v>
      </c>
      <c r="I279" s="54">
        <v>7.6E-3</v>
      </c>
      <c r="K279" s="1"/>
      <c r="L279" s="8"/>
      <c r="M279" s="8"/>
      <c r="N279" s="8"/>
      <c r="O279" s="8"/>
      <c r="P279" s="8"/>
      <c r="Q279" s="8"/>
    </row>
    <row r="280" spans="1:17" x14ac:dyDescent="0.35">
      <c r="A280" s="1">
        <v>42064</v>
      </c>
      <c r="B280" s="13">
        <v>26869</v>
      </c>
      <c r="C280" s="8">
        <v>2105.2299800000001</v>
      </c>
      <c r="D280" s="8">
        <v>2117.5200199999999</v>
      </c>
      <c r="E280" s="8">
        <v>2039.6899410000001</v>
      </c>
      <c r="F280" s="8">
        <v>2067.889893</v>
      </c>
      <c r="G280" s="8">
        <v>2067.889893</v>
      </c>
      <c r="H280" s="8">
        <v>76675850000</v>
      </c>
      <c r="I280" s="54">
        <v>7.6E-3</v>
      </c>
      <c r="K280" s="1"/>
      <c r="L280" s="8"/>
      <c r="M280" s="8"/>
      <c r="N280" s="8"/>
      <c r="O280" s="8"/>
      <c r="P280" s="8"/>
      <c r="Q280" s="8"/>
    </row>
    <row r="281" spans="1:17" x14ac:dyDescent="0.35">
      <c r="A281" s="1">
        <v>42095</v>
      </c>
      <c r="B281" s="13">
        <v>27301</v>
      </c>
      <c r="C281" s="8">
        <v>2067.6298830000001</v>
      </c>
      <c r="D281" s="8">
        <v>2125.919922</v>
      </c>
      <c r="E281" s="8">
        <v>2048.3798830000001</v>
      </c>
      <c r="F281" s="8">
        <v>2085.51001</v>
      </c>
      <c r="G281" s="8">
        <v>2085.51001</v>
      </c>
      <c r="H281" s="8">
        <v>72060940000</v>
      </c>
      <c r="I281" s="54">
        <v>7.6E-3</v>
      </c>
      <c r="K281" s="1"/>
      <c r="L281" s="8"/>
      <c r="M281" s="8"/>
      <c r="N281" s="8"/>
      <c r="O281" s="8"/>
      <c r="P281" s="8"/>
      <c r="Q281" s="8"/>
    </row>
    <row r="282" spans="1:17" x14ac:dyDescent="0.35">
      <c r="A282" s="1">
        <v>42125</v>
      </c>
      <c r="B282" s="13">
        <v>27330</v>
      </c>
      <c r="C282" s="8">
        <v>2087.3798830000001</v>
      </c>
      <c r="D282" s="8">
        <v>2134.719971</v>
      </c>
      <c r="E282" s="8">
        <v>2067.929932</v>
      </c>
      <c r="F282" s="8">
        <v>2107.389893</v>
      </c>
      <c r="G282" s="8">
        <v>2107.389893</v>
      </c>
      <c r="H282" s="8">
        <v>65187730000</v>
      </c>
      <c r="I282" s="54">
        <v>7.4999999999999997E-3</v>
      </c>
      <c r="K282" s="1"/>
      <c r="L282" s="8"/>
      <c r="M282" s="8"/>
      <c r="N282" s="8"/>
      <c r="O282" s="8"/>
      <c r="P282" s="8"/>
      <c r="Q282" s="8"/>
    </row>
    <row r="283" spans="1:17" x14ac:dyDescent="0.35">
      <c r="A283" s="1">
        <v>42156</v>
      </c>
      <c r="B283" s="13">
        <v>27123</v>
      </c>
      <c r="C283" s="8">
        <v>2108.639893</v>
      </c>
      <c r="D283" s="8">
        <v>2129.8701169999999</v>
      </c>
      <c r="E283" s="8">
        <v>2056.320068</v>
      </c>
      <c r="F283" s="8">
        <v>2063.110107</v>
      </c>
      <c r="G283" s="8">
        <v>2063.110107</v>
      </c>
      <c r="H283" s="8">
        <v>73213980000</v>
      </c>
      <c r="I283" s="54">
        <v>7.4999999999999997E-3</v>
      </c>
      <c r="K283" s="1"/>
      <c r="L283" s="8"/>
      <c r="M283" s="8"/>
      <c r="N283" s="8"/>
      <c r="O283" s="8"/>
      <c r="P283" s="8"/>
      <c r="Q283" s="8"/>
    </row>
    <row r="284" spans="1:17" x14ac:dyDescent="0.35">
      <c r="A284" s="1">
        <v>42186</v>
      </c>
      <c r="B284" s="13">
        <v>28030</v>
      </c>
      <c r="C284" s="8">
        <v>2067</v>
      </c>
      <c r="D284" s="8">
        <v>2132.820068</v>
      </c>
      <c r="E284" s="8">
        <v>2044.0200199999999</v>
      </c>
      <c r="F284" s="8">
        <v>2103.8400879999999</v>
      </c>
      <c r="G284" s="8">
        <v>2103.8400879999999</v>
      </c>
      <c r="H284" s="8">
        <v>77920590000</v>
      </c>
      <c r="I284" s="54">
        <v>7.4999999999999997E-3</v>
      </c>
      <c r="K284" s="1"/>
      <c r="L284" s="8"/>
      <c r="M284" s="8"/>
      <c r="N284" s="8"/>
      <c r="O284" s="8"/>
      <c r="P284" s="8"/>
      <c r="Q284" s="8"/>
    </row>
    <row r="285" spans="1:17" x14ac:dyDescent="0.35">
      <c r="A285" s="1">
        <v>42217</v>
      </c>
      <c r="B285" s="13">
        <v>28005</v>
      </c>
      <c r="C285" s="8">
        <v>2104.48999</v>
      </c>
      <c r="D285" s="8">
        <v>2112.6599120000001</v>
      </c>
      <c r="E285" s="8">
        <v>1867.01001</v>
      </c>
      <c r="F285" s="8">
        <v>1972.1800539999999</v>
      </c>
      <c r="G285" s="8">
        <v>1972.1800539999999</v>
      </c>
      <c r="H285" s="8">
        <v>84626790000</v>
      </c>
      <c r="I285" s="54">
        <v>7.4000000000000003E-3</v>
      </c>
      <c r="K285" s="1"/>
      <c r="L285" s="8"/>
      <c r="M285" s="8"/>
      <c r="N285" s="8"/>
      <c r="O285" s="8"/>
      <c r="P285" s="8"/>
      <c r="Q285" s="8"/>
    </row>
    <row r="286" spans="1:17" x14ac:dyDescent="0.35">
      <c r="A286" s="1">
        <v>42248</v>
      </c>
      <c r="B286" s="13">
        <v>28005</v>
      </c>
      <c r="C286" s="8">
        <v>1970.089966</v>
      </c>
      <c r="D286" s="8">
        <v>2020.8599850000001</v>
      </c>
      <c r="E286" s="8">
        <v>1871.910034</v>
      </c>
      <c r="F286" s="8">
        <v>1920.030029</v>
      </c>
      <c r="G286" s="8">
        <v>1920.030029</v>
      </c>
      <c r="H286" s="8">
        <v>79989370000</v>
      </c>
      <c r="I286" s="54">
        <v>7.4000000000000003E-3</v>
      </c>
      <c r="K286" s="1"/>
      <c r="L286" s="8"/>
      <c r="M286" s="8"/>
      <c r="N286" s="8"/>
      <c r="O286" s="8"/>
      <c r="P286" s="8"/>
      <c r="Q286" s="8"/>
    </row>
    <row r="287" spans="1:17" x14ac:dyDescent="0.35">
      <c r="A287" s="1">
        <v>42278</v>
      </c>
      <c r="B287" s="13">
        <v>28136</v>
      </c>
      <c r="C287" s="8">
        <v>1919.650024</v>
      </c>
      <c r="D287" s="8">
        <v>2094.320068</v>
      </c>
      <c r="E287" s="8">
        <v>1893.6999510000001</v>
      </c>
      <c r="F287" s="8">
        <v>2079.360107</v>
      </c>
      <c r="G287" s="8">
        <v>2079.360107</v>
      </c>
      <c r="H287" s="8">
        <v>85844900000</v>
      </c>
      <c r="I287" s="54">
        <v>7.4000000000000003E-3</v>
      </c>
      <c r="K287" s="1"/>
      <c r="L287" s="8"/>
      <c r="M287" s="8"/>
      <c r="N287" s="8"/>
      <c r="O287" s="8"/>
      <c r="P287" s="8"/>
      <c r="Q287" s="8"/>
    </row>
    <row r="288" spans="1:17" x14ac:dyDescent="0.35">
      <c r="A288" s="1">
        <v>42309</v>
      </c>
      <c r="B288" s="13">
        <v>28432</v>
      </c>
      <c r="C288" s="8">
        <v>2080.76001</v>
      </c>
      <c r="D288" s="8">
        <v>2116.4799800000001</v>
      </c>
      <c r="E288" s="8">
        <v>2019.3900149999999</v>
      </c>
      <c r="F288" s="8">
        <v>2080.4099120000001</v>
      </c>
      <c r="G288" s="8">
        <v>2080.4099120000001</v>
      </c>
      <c r="H288" s="8">
        <v>75943590000</v>
      </c>
      <c r="I288" s="54">
        <v>7.4000000000000003E-3</v>
      </c>
      <c r="K288" s="1"/>
      <c r="L288" s="8"/>
      <c r="M288" s="8"/>
      <c r="N288" s="8"/>
      <c r="O288" s="8"/>
      <c r="P288" s="8"/>
      <c r="Q288" s="8"/>
    </row>
    <row r="289" spans="1:17" x14ac:dyDescent="0.35">
      <c r="A289" s="1">
        <v>42339</v>
      </c>
      <c r="B289" s="13">
        <v>29237</v>
      </c>
      <c r="C289" s="8">
        <v>2082.929932</v>
      </c>
      <c r="D289" s="8">
        <v>2104.2700199999999</v>
      </c>
      <c r="E289" s="8">
        <v>1993.26001</v>
      </c>
      <c r="F289" s="8">
        <v>2043.9399410000001</v>
      </c>
      <c r="G289" s="8">
        <v>2043.9399410000001</v>
      </c>
      <c r="H289" s="8">
        <v>83649260000</v>
      </c>
      <c r="I289" s="54">
        <v>7.4000000000000003E-3</v>
      </c>
      <c r="K289" s="1"/>
      <c r="L289" s="8"/>
      <c r="M289" s="8"/>
      <c r="N289" s="8"/>
      <c r="O289" s="8"/>
      <c r="P289" s="8"/>
      <c r="Q289" s="8"/>
    </row>
    <row r="290" spans="1:17" x14ac:dyDescent="0.35">
      <c r="A290" s="1">
        <v>42370</v>
      </c>
      <c r="B290" s="13">
        <v>28938</v>
      </c>
      <c r="C290" s="8">
        <v>2038.1999510000001</v>
      </c>
      <c r="D290" s="8">
        <v>2038.1999510000001</v>
      </c>
      <c r="E290" s="8">
        <v>1812.290039</v>
      </c>
      <c r="F290" s="8">
        <v>1940.23999</v>
      </c>
      <c r="G290" s="8">
        <v>1940.23999</v>
      </c>
      <c r="H290" s="8">
        <v>92409770000</v>
      </c>
      <c r="I290" s="54">
        <v>7.4000000000000003E-3</v>
      </c>
      <c r="J290" s="14"/>
      <c r="K290" s="1"/>
      <c r="L290" s="8"/>
      <c r="M290" s="8"/>
      <c r="N290" s="8"/>
      <c r="O290" s="8"/>
      <c r="P290" s="8"/>
      <c r="Q290" s="8"/>
    </row>
    <row r="291" spans="1:17" x14ac:dyDescent="0.35">
      <c r="A291" s="1">
        <v>42401</v>
      </c>
      <c r="B291" s="13">
        <v>29117</v>
      </c>
      <c r="C291" s="8">
        <v>1936.9399410000001</v>
      </c>
      <c r="D291" s="8">
        <v>1962.959961</v>
      </c>
      <c r="E291" s="8">
        <v>1810.099976</v>
      </c>
      <c r="F291" s="8">
        <v>1932.2299800000001</v>
      </c>
      <c r="G291" s="8">
        <v>1932.2299800000001</v>
      </c>
      <c r="H291" s="8">
        <v>93049560000</v>
      </c>
      <c r="I291" s="54">
        <v>7.4000000000000003E-3</v>
      </c>
      <c r="J291" s="14"/>
      <c r="K291" s="1"/>
      <c r="L291" s="8"/>
      <c r="M291" s="8"/>
      <c r="N291" s="8"/>
      <c r="O291" s="8"/>
      <c r="P291" s="8"/>
      <c r="Q291" s="8"/>
    </row>
    <row r="292" spans="1:17" x14ac:dyDescent="0.35">
      <c r="A292" s="1">
        <v>42430</v>
      </c>
      <c r="B292" s="13">
        <v>29628</v>
      </c>
      <c r="C292" s="8">
        <v>1937.089966</v>
      </c>
      <c r="D292" s="8">
        <v>2072.209961</v>
      </c>
      <c r="E292" s="8">
        <v>1937.089966</v>
      </c>
      <c r="F292" s="8">
        <v>2059.73999</v>
      </c>
      <c r="G292" s="8">
        <v>2059.73999</v>
      </c>
      <c r="H292" s="8">
        <v>92639420000</v>
      </c>
      <c r="I292" s="54">
        <v>7.4000000000000003E-3</v>
      </c>
      <c r="J292" s="14"/>
      <c r="K292" s="1"/>
      <c r="L292" s="8"/>
      <c r="M292" s="8"/>
      <c r="N292" s="8"/>
      <c r="O292" s="8"/>
      <c r="P292" s="8"/>
      <c r="Q292" s="8"/>
    </row>
    <row r="293" spans="1:17" x14ac:dyDescent="0.35">
      <c r="A293" s="1">
        <v>42461</v>
      </c>
      <c r="B293" s="13">
        <v>28621</v>
      </c>
      <c r="C293" s="8">
        <v>2056.6201169999999</v>
      </c>
      <c r="D293" s="8">
        <v>2111.0500489999999</v>
      </c>
      <c r="E293" s="8">
        <v>2033.8000489999999</v>
      </c>
      <c r="F293" s="8">
        <v>2065.3000489999999</v>
      </c>
      <c r="G293" s="8">
        <v>2065.3000489999999</v>
      </c>
      <c r="H293" s="8">
        <v>81124990000</v>
      </c>
      <c r="I293" s="54">
        <v>7.4000000000000003E-3</v>
      </c>
      <c r="J293" s="14"/>
      <c r="K293" s="1"/>
      <c r="L293" s="8"/>
      <c r="M293" s="8"/>
      <c r="N293" s="8"/>
      <c r="O293" s="8"/>
      <c r="P293" s="8"/>
      <c r="Q293" s="8"/>
    </row>
    <row r="294" spans="1:17" x14ac:dyDescent="0.35">
      <c r="A294" s="1">
        <v>42491</v>
      </c>
      <c r="B294" s="13">
        <v>28090</v>
      </c>
      <c r="C294" s="8">
        <v>2067.169922</v>
      </c>
      <c r="D294" s="8">
        <v>2103.4799800000001</v>
      </c>
      <c r="E294" s="8">
        <v>2025.910034</v>
      </c>
      <c r="F294" s="8">
        <v>2096.9499510000001</v>
      </c>
      <c r="G294" s="8">
        <v>2096.9499510000001</v>
      </c>
      <c r="H294" s="8">
        <v>78883600000</v>
      </c>
      <c r="I294" s="54">
        <v>7.4000000000000003E-3</v>
      </c>
      <c r="J294" s="14"/>
      <c r="K294" s="1"/>
      <c r="L294" s="8"/>
      <c r="M294" s="8"/>
      <c r="N294" s="8"/>
      <c r="O294" s="8"/>
      <c r="P294" s="8"/>
      <c r="Q294" s="8"/>
    </row>
    <row r="295" spans="1:17" x14ac:dyDescent="0.35">
      <c r="A295" s="1">
        <v>42522</v>
      </c>
      <c r="B295" s="13">
        <v>29284</v>
      </c>
      <c r="C295" s="8">
        <v>2093.9399410000001</v>
      </c>
      <c r="D295" s="8">
        <v>2120.5500489999999</v>
      </c>
      <c r="E295" s="8">
        <v>1991.6800539999999</v>
      </c>
      <c r="F295" s="8">
        <v>2098.860107</v>
      </c>
      <c r="G295" s="8">
        <v>2098.860107</v>
      </c>
      <c r="H295" s="8">
        <v>86852700000</v>
      </c>
      <c r="I295" s="54">
        <v>7.4000000000000003E-3</v>
      </c>
      <c r="J295" s="14"/>
      <c r="K295" s="1"/>
      <c r="L295" s="8"/>
      <c r="M295" s="8"/>
      <c r="N295" s="8"/>
      <c r="O295" s="8"/>
      <c r="P295" s="8"/>
      <c r="Q295" s="8"/>
    </row>
    <row r="296" spans="1:17" x14ac:dyDescent="0.35">
      <c r="A296" s="1">
        <v>42552</v>
      </c>
      <c r="B296" s="13">
        <v>29026</v>
      </c>
      <c r="C296" s="8">
        <v>2099.3400879999999</v>
      </c>
      <c r="D296" s="8">
        <v>2177.0900879999999</v>
      </c>
      <c r="E296" s="8">
        <v>2074.0200199999999</v>
      </c>
      <c r="F296" s="8">
        <v>2173.6000979999999</v>
      </c>
      <c r="G296" s="8">
        <v>2173.6000979999999</v>
      </c>
      <c r="H296" s="8">
        <v>69530250000</v>
      </c>
      <c r="I296" s="54">
        <v>7.4000000000000003E-3</v>
      </c>
      <c r="J296" s="14"/>
      <c r="K296" s="1"/>
      <c r="L296" s="8"/>
      <c r="M296" s="8"/>
      <c r="N296" s="8"/>
      <c r="O296" s="8"/>
      <c r="P296" s="8"/>
      <c r="Q296" s="8"/>
    </row>
    <row r="297" spans="1:17" x14ac:dyDescent="0.35">
      <c r="A297" s="1">
        <v>42583</v>
      </c>
      <c r="B297" s="13">
        <v>28986</v>
      </c>
      <c r="C297" s="8">
        <v>2173.1499020000001</v>
      </c>
      <c r="D297" s="8">
        <v>2193.8100589999999</v>
      </c>
      <c r="E297" s="8">
        <v>2147.580078</v>
      </c>
      <c r="F297" s="8">
        <v>2170.9499510000001</v>
      </c>
      <c r="G297" s="8">
        <v>2170.9499510000001</v>
      </c>
      <c r="H297" s="8">
        <v>75610310000</v>
      </c>
      <c r="I297" s="54">
        <v>7.3000000000000001E-3</v>
      </c>
      <c r="J297" s="14"/>
      <c r="K297" s="1"/>
      <c r="L297" s="8"/>
      <c r="M297" s="8"/>
      <c r="N297" s="8"/>
      <c r="O297" s="8"/>
      <c r="P297" s="8"/>
      <c r="Q297" s="8"/>
    </row>
    <row r="298" spans="1:17" x14ac:dyDescent="0.35">
      <c r="A298" s="1">
        <v>42614</v>
      </c>
      <c r="B298" s="13">
        <v>29186</v>
      </c>
      <c r="C298" s="8">
        <v>2171.330078</v>
      </c>
      <c r="D298" s="8">
        <v>2187.8701169999999</v>
      </c>
      <c r="E298" s="8">
        <v>2119.1201169999999</v>
      </c>
      <c r="F298" s="8">
        <v>2168.2700199999999</v>
      </c>
      <c r="G298" s="8">
        <v>2168.2700199999999</v>
      </c>
      <c r="H298" s="8">
        <v>77270240000</v>
      </c>
      <c r="I298" s="54">
        <v>7.3000000000000001E-3</v>
      </c>
      <c r="J298" s="14"/>
      <c r="K298" s="1"/>
      <c r="L298" s="8"/>
      <c r="M298" s="8"/>
      <c r="N298" s="8"/>
      <c r="O298" s="8"/>
      <c r="P298" s="8"/>
      <c r="Q298" s="8"/>
    </row>
    <row r="299" spans="1:17" x14ac:dyDescent="0.35">
      <c r="A299" s="1">
        <v>42644</v>
      </c>
      <c r="B299" s="13">
        <v>29651</v>
      </c>
      <c r="C299" s="8">
        <v>2164.330078</v>
      </c>
      <c r="D299" s="8">
        <v>2169.6000979999999</v>
      </c>
      <c r="E299" s="8">
        <v>2114.719971</v>
      </c>
      <c r="F299" s="8">
        <v>2126.1499020000001</v>
      </c>
      <c r="G299" s="8">
        <v>2126.1499020000001</v>
      </c>
      <c r="H299" s="8">
        <v>73196630000</v>
      </c>
      <c r="I299" s="54">
        <v>7.3000000000000001E-3</v>
      </c>
      <c r="J299" s="14"/>
      <c r="K299" s="1"/>
      <c r="L299" s="8"/>
      <c r="M299" s="8"/>
      <c r="N299" s="8"/>
      <c r="O299" s="8"/>
      <c r="P299" s="8"/>
      <c r="Q299" s="8"/>
    </row>
    <row r="300" spans="1:17" x14ac:dyDescent="0.35">
      <c r="A300" s="1">
        <v>42675</v>
      </c>
      <c r="B300" s="13">
        <v>29797</v>
      </c>
      <c r="C300" s="8">
        <v>2128.679932</v>
      </c>
      <c r="D300" s="8">
        <v>2214.1000979999999</v>
      </c>
      <c r="E300" s="8">
        <v>2083.790039</v>
      </c>
      <c r="F300" s="8">
        <v>2198.8100589999999</v>
      </c>
      <c r="G300" s="8">
        <v>2198.8100589999999</v>
      </c>
      <c r="H300" s="8">
        <v>88299760000</v>
      </c>
      <c r="I300" s="54">
        <v>7.3000000000000001E-3</v>
      </c>
      <c r="J300" s="14"/>
      <c r="K300" s="1"/>
      <c r="L300" s="8"/>
      <c r="M300" s="8"/>
      <c r="N300" s="8"/>
      <c r="O300" s="8"/>
      <c r="P300" s="8"/>
      <c r="Q300" s="8"/>
    </row>
    <row r="301" spans="1:17" x14ac:dyDescent="0.35">
      <c r="A301" s="1">
        <v>42705</v>
      </c>
      <c r="B301" s="13">
        <v>29760</v>
      </c>
      <c r="C301" s="8">
        <v>2200.169922</v>
      </c>
      <c r="D301" s="8">
        <v>2277.530029</v>
      </c>
      <c r="E301" s="8">
        <v>2187.4399410000001</v>
      </c>
      <c r="F301" s="8">
        <v>2238.830078</v>
      </c>
      <c r="G301" s="8">
        <v>2238.830078</v>
      </c>
      <c r="H301" s="8">
        <v>75251240000</v>
      </c>
      <c r="I301" s="54">
        <v>7.1999999999999998E-3</v>
      </c>
      <c r="J301" s="14"/>
      <c r="K301" s="1"/>
      <c r="L301" s="8"/>
      <c r="M301" s="8"/>
      <c r="N301" s="8"/>
      <c r="O301" s="8"/>
      <c r="P301" s="8"/>
      <c r="Q301" s="8"/>
    </row>
    <row r="302" spans="1:17" x14ac:dyDescent="0.35">
      <c r="A302" s="1">
        <v>42736</v>
      </c>
      <c r="B302" s="13">
        <v>30820</v>
      </c>
      <c r="C302" s="8">
        <v>2251.570068</v>
      </c>
      <c r="D302" s="8">
        <v>2300.98999</v>
      </c>
      <c r="E302" s="8">
        <v>2245.1298830000001</v>
      </c>
      <c r="F302" s="8">
        <v>2278.8701169999999</v>
      </c>
      <c r="G302" s="8">
        <v>2278.8701169999999</v>
      </c>
      <c r="H302" s="8">
        <v>70483180000</v>
      </c>
      <c r="I302" s="54">
        <v>7.3000000000000001E-3</v>
      </c>
      <c r="J302" s="14"/>
      <c r="K302" s="1"/>
      <c r="L302" s="8"/>
      <c r="M302" s="8"/>
      <c r="N302" s="8"/>
      <c r="O302" s="8"/>
      <c r="P302" s="8"/>
      <c r="Q302" s="8"/>
    </row>
    <row r="303" spans="1:17" x14ac:dyDescent="0.35">
      <c r="A303" s="1">
        <v>42767</v>
      </c>
      <c r="B303" s="13">
        <v>31359</v>
      </c>
      <c r="C303" s="8">
        <v>2285.5900879999999</v>
      </c>
      <c r="D303" s="8">
        <v>2371.540039</v>
      </c>
      <c r="E303" s="8">
        <v>2271.6499020000001</v>
      </c>
      <c r="F303" s="8">
        <v>2363.639893</v>
      </c>
      <c r="G303" s="8">
        <v>2363.639893</v>
      </c>
      <c r="H303" s="8">
        <v>69162420000</v>
      </c>
      <c r="I303" s="54">
        <v>7.3000000000000001E-3</v>
      </c>
      <c r="J303" s="14"/>
      <c r="K303" s="1"/>
      <c r="L303" s="8"/>
      <c r="M303" s="8"/>
      <c r="N303" s="8"/>
      <c r="O303" s="8"/>
      <c r="P303" s="8"/>
      <c r="Q303" s="8"/>
    </row>
    <row r="304" spans="1:17" x14ac:dyDescent="0.35">
      <c r="A304" s="1">
        <v>42795</v>
      </c>
      <c r="B304" s="13">
        <v>30835</v>
      </c>
      <c r="C304" s="8">
        <v>2380.1298830000001</v>
      </c>
      <c r="D304" s="8">
        <v>2400.9799800000001</v>
      </c>
      <c r="E304" s="8">
        <v>2322.25</v>
      </c>
      <c r="F304" s="8">
        <v>2362.719971</v>
      </c>
      <c r="G304" s="8">
        <v>2362.719971</v>
      </c>
      <c r="H304" s="8">
        <v>81547770000</v>
      </c>
      <c r="I304" s="54">
        <v>7.1999999999999998E-3</v>
      </c>
      <c r="J304" s="14"/>
      <c r="K304" s="1"/>
      <c r="L304" s="8"/>
      <c r="M304" s="8"/>
      <c r="N304" s="8"/>
      <c r="O304" s="8"/>
      <c r="P304" s="8"/>
      <c r="Q304" s="8"/>
    </row>
    <row r="305" spans="1:17" x14ac:dyDescent="0.35">
      <c r="A305" s="1">
        <v>42826</v>
      </c>
      <c r="B305" s="13">
        <v>30817</v>
      </c>
      <c r="C305" s="8">
        <v>2362.3400879999999</v>
      </c>
      <c r="D305" s="8">
        <v>2398.1599120000001</v>
      </c>
      <c r="E305" s="8">
        <v>2328.9499510000001</v>
      </c>
      <c r="F305" s="8">
        <v>2384.1999510000001</v>
      </c>
      <c r="G305" s="8">
        <v>2384.1999510000001</v>
      </c>
      <c r="H305" s="8">
        <v>65265670000</v>
      </c>
      <c r="I305" s="54">
        <v>7.1999999999999998E-3</v>
      </c>
      <c r="J305" s="14"/>
      <c r="K305" s="1"/>
      <c r="L305" s="8"/>
      <c r="M305" s="8"/>
      <c r="N305" s="8"/>
      <c r="O305" s="8"/>
      <c r="P305" s="8"/>
      <c r="Q305" s="8"/>
    </row>
    <row r="306" spans="1:17" x14ac:dyDescent="0.35">
      <c r="A306" s="1">
        <v>42856</v>
      </c>
      <c r="B306" s="13">
        <v>30742</v>
      </c>
      <c r="C306" s="8">
        <v>2388.5</v>
      </c>
      <c r="D306" s="8">
        <v>2418.709961</v>
      </c>
      <c r="E306" s="8">
        <v>2352.719971</v>
      </c>
      <c r="F306" s="8">
        <v>2411.8000489999999</v>
      </c>
      <c r="G306" s="8">
        <v>2411.8000489999999</v>
      </c>
      <c r="H306" s="8">
        <v>79607170000</v>
      </c>
      <c r="I306" s="54">
        <v>7.1999999999999998E-3</v>
      </c>
      <c r="J306" s="14"/>
      <c r="K306" s="1"/>
      <c r="L306" s="8"/>
      <c r="M306" s="8"/>
      <c r="N306" s="8"/>
      <c r="O306" s="8"/>
      <c r="P306" s="8"/>
      <c r="Q306" s="8"/>
    </row>
    <row r="307" spans="1:17" x14ac:dyDescent="0.35">
      <c r="A307" s="1">
        <v>42887</v>
      </c>
      <c r="B307" s="13">
        <v>30986</v>
      </c>
      <c r="C307" s="8">
        <v>2415.6499020000001</v>
      </c>
      <c r="D307" s="8">
        <v>2453.820068</v>
      </c>
      <c r="E307" s="8">
        <v>2405.6999510000001</v>
      </c>
      <c r="F307" s="8">
        <v>2423.4099120000001</v>
      </c>
      <c r="G307" s="8">
        <v>2423.4099120000001</v>
      </c>
      <c r="H307" s="8">
        <v>81002490000</v>
      </c>
      <c r="I307" s="54">
        <v>7.1999999999999998E-3</v>
      </c>
      <c r="J307" s="14"/>
      <c r="K307" s="1"/>
      <c r="L307" s="8"/>
      <c r="M307" s="8"/>
      <c r="N307" s="8"/>
      <c r="O307" s="8"/>
      <c r="P307" s="8"/>
      <c r="Q307" s="8"/>
    </row>
    <row r="308" spans="1:17" x14ac:dyDescent="0.35">
      <c r="A308" s="1">
        <v>42917</v>
      </c>
      <c r="B308" s="13">
        <v>31458</v>
      </c>
      <c r="C308" s="8">
        <v>2431.389893</v>
      </c>
      <c r="D308" s="8">
        <v>2484.040039</v>
      </c>
      <c r="E308" s="8">
        <v>2407.6999510000001</v>
      </c>
      <c r="F308" s="8">
        <v>2470.3000489999999</v>
      </c>
      <c r="G308" s="8">
        <v>2470.3000489999999</v>
      </c>
      <c r="H308" s="8">
        <v>63169400000</v>
      </c>
      <c r="I308" s="54">
        <v>7.1999999999999998E-3</v>
      </c>
      <c r="J308" s="14"/>
      <c r="K308" s="1"/>
      <c r="L308" s="8"/>
      <c r="M308" s="8"/>
      <c r="N308" s="8"/>
      <c r="O308" s="8"/>
      <c r="P308" s="8"/>
      <c r="Q308" s="8"/>
    </row>
    <row r="309" spans="1:17" x14ac:dyDescent="0.35">
      <c r="A309" s="1">
        <v>42948</v>
      </c>
      <c r="B309" s="13">
        <v>31584</v>
      </c>
      <c r="C309" s="8">
        <v>2477.1000979999999</v>
      </c>
      <c r="D309" s="8">
        <v>2490.8701169999999</v>
      </c>
      <c r="E309" s="8">
        <v>2417.3500979999999</v>
      </c>
      <c r="F309" s="8">
        <v>2471.6499020000001</v>
      </c>
      <c r="G309" s="8">
        <v>2471.6499020000001</v>
      </c>
      <c r="H309" s="8">
        <v>70616030000</v>
      </c>
      <c r="I309" s="54">
        <v>7.1999999999999998E-3</v>
      </c>
      <c r="J309" s="14"/>
      <c r="K309" s="1"/>
      <c r="L309" s="8"/>
      <c r="M309" s="8"/>
      <c r="N309" s="8"/>
      <c r="O309" s="8"/>
      <c r="P309" s="8"/>
      <c r="Q309" s="8"/>
    </row>
    <row r="310" spans="1:17" x14ac:dyDescent="0.35">
      <c r="A310" s="1">
        <v>42979</v>
      </c>
      <c r="B310" s="13">
        <v>32549</v>
      </c>
      <c r="C310" s="8">
        <v>2474.419922</v>
      </c>
      <c r="D310" s="8">
        <v>2519.4399410000001</v>
      </c>
      <c r="E310" s="8">
        <v>2446.5500489999999</v>
      </c>
      <c r="F310" s="8">
        <v>2519.360107</v>
      </c>
      <c r="G310" s="8">
        <v>2519.360107</v>
      </c>
      <c r="H310" s="8">
        <v>66337980000</v>
      </c>
      <c r="I310" s="54">
        <v>7.1999999999999998E-3</v>
      </c>
      <c r="J310" s="14"/>
      <c r="K310" s="1"/>
      <c r="L310" s="8"/>
      <c r="M310" s="8"/>
      <c r="N310" s="8"/>
      <c r="O310" s="8"/>
      <c r="P310" s="8"/>
      <c r="Q310" s="8"/>
    </row>
    <row r="311" spans="1:17" x14ac:dyDescent="0.35">
      <c r="A311" s="1">
        <v>43009</v>
      </c>
      <c r="B311" s="13">
        <v>32436</v>
      </c>
      <c r="C311" s="8">
        <v>2521.1999510000001</v>
      </c>
      <c r="D311" s="8">
        <v>2582.9799800000001</v>
      </c>
      <c r="E311" s="8">
        <v>2520.3999020000001</v>
      </c>
      <c r="F311" s="8">
        <v>2575.26001</v>
      </c>
      <c r="G311" s="8">
        <v>2575.26001</v>
      </c>
      <c r="H311" s="8">
        <v>70871570000</v>
      </c>
      <c r="I311" s="54">
        <v>7.1000000000000004E-3</v>
      </c>
      <c r="J311" s="14"/>
      <c r="K311" s="1"/>
      <c r="L311" s="8"/>
      <c r="M311" s="8"/>
      <c r="N311" s="8"/>
      <c r="O311" s="8"/>
      <c r="P311" s="8"/>
      <c r="Q311" s="8"/>
    </row>
    <row r="312" spans="1:17" x14ac:dyDescent="0.35">
      <c r="A312" s="1">
        <v>43040</v>
      </c>
      <c r="B312" s="13">
        <v>32438</v>
      </c>
      <c r="C312" s="8">
        <v>2583.209961</v>
      </c>
      <c r="D312" s="8">
        <v>2657.73999</v>
      </c>
      <c r="E312" s="8">
        <v>2557.4499510000001</v>
      </c>
      <c r="F312" s="8">
        <v>2647.580078</v>
      </c>
      <c r="G312" s="8">
        <v>2647.580078</v>
      </c>
      <c r="H312" s="8">
        <v>73173260000</v>
      </c>
      <c r="I312" s="54">
        <v>7.1999999999999998E-3</v>
      </c>
      <c r="J312" s="14"/>
      <c r="K312" s="1"/>
      <c r="L312" s="8"/>
      <c r="M312" s="8"/>
      <c r="N312" s="8"/>
      <c r="O312" s="8"/>
      <c r="P312" s="8"/>
      <c r="Q312" s="8"/>
    </row>
    <row r="313" spans="1:17" x14ac:dyDescent="0.35">
      <c r="A313" s="1">
        <v>43070</v>
      </c>
      <c r="B313" s="13">
        <v>32777</v>
      </c>
      <c r="C313" s="8">
        <v>2645.1000979999999</v>
      </c>
      <c r="D313" s="8">
        <v>2694.969971</v>
      </c>
      <c r="E313" s="8">
        <v>2605.5200199999999</v>
      </c>
      <c r="F313" s="8">
        <v>2673.610107</v>
      </c>
      <c r="G313" s="8">
        <v>2673.610107</v>
      </c>
      <c r="H313" s="8">
        <v>65251190000</v>
      </c>
      <c r="I313" s="54">
        <v>7.1999999999999998E-3</v>
      </c>
      <c r="J313" s="14"/>
      <c r="K313" s="1"/>
      <c r="L313" s="8"/>
      <c r="M313" s="8"/>
      <c r="N313" s="8"/>
      <c r="O313" s="8"/>
      <c r="P313" s="8"/>
      <c r="Q313" s="8"/>
    </row>
    <row r="314" spans="1:17" x14ac:dyDescent="0.35">
      <c r="A314" s="1"/>
      <c r="C314" s="8"/>
      <c r="D314" s="8"/>
      <c r="E314" s="8"/>
      <c r="F314" s="8"/>
      <c r="G314" s="8"/>
      <c r="H314" s="8"/>
      <c r="I314" s="54"/>
      <c r="J314" s="14"/>
      <c r="K314" s="1"/>
      <c r="L314" s="8"/>
      <c r="M314" s="8"/>
      <c r="N314" s="8"/>
      <c r="O314" s="8"/>
      <c r="P314" s="8"/>
      <c r="Q314" s="8"/>
    </row>
    <row r="315" spans="1:17" x14ac:dyDescent="0.35">
      <c r="A315" s="1"/>
      <c r="C315" s="8"/>
      <c r="D315" s="8"/>
      <c r="E315" s="8"/>
      <c r="F315" s="8"/>
      <c r="G315" s="8"/>
      <c r="H315" s="8"/>
      <c r="I315" s="54"/>
      <c r="K315" s="1"/>
      <c r="L315" s="8"/>
      <c r="M315" s="8"/>
      <c r="N315" s="8"/>
      <c r="O315" s="8"/>
      <c r="P315" s="8"/>
      <c r="Q315" s="8"/>
    </row>
    <row r="316" spans="1:17" x14ac:dyDescent="0.35">
      <c r="A316" s="1"/>
      <c r="C316" s="8"/>
      <c r="D316" s="8"/>
      <c r="E316" s="8"/>
      <c r="F316" s="8"/>
      <c r="G316" s="8"/>
      <c r="H316" s="8"/>
      <c r="I316" s="54"/>
      <c r="K316" s="1"/>
      <c r="L316" s="8"/>
      <c r="M316" s="8"/>
      <c r="N316" s="8"/>
      <c r="O316" s="8"/>
      <c r="P316" s="8"/>
      <c r="Q316" s="8"/>
    </row>
    <row r="317" spans="1:17" x14ac:dyDescent="0.35">
      <c r="A317" s="1"/>
      <c r="C317" s="8"/>
      <c r="D317" s="8"/>
      <c r="E317" s="8"/>
      <c r="F317" s="8"/>
      <c r="G317" s="8"/>
      <c r="H317" s="8"/>
      <c r="I317" s="54"/>
      <c r="K317" s="1"/>
      <c r="L317" s="8"/>
      <c r="M317" s="8"/>
      <c r="N317" s="8"/>
      <c r="O317" s="8"/>
      <c r="P317" s="8"/>
      <c r="Q317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E8AF7-4239-4819-AABD-871B27E31B30}">
  <dimension ref="A1:F313"/>
  <sheetViews>
    <sheetView topLeftCell="A293" workbookViewId="0">
      <selection activeCell="C1" sqref="C1"/>
    </sheetView>
  </sheetViews>
  <sheetFormatPr defaultRowHeight="14.5" x14ac:dyDescent="0.35"/>
  <cols>
    <col min="1" max="1" width="9.453125" bestFit="1" customWidth="1"/>
    <col min="2" max="2" width="11.90625" bestFit="1" customWidth="1"/>
    <col min="3" max="3" width="19" bestFit="1" customWidth="1"/>
    <col min="4" max="4" width="8.08984375" bestFit="1" customWidth="1"/>
    <col min="5" max="5" width="25.90625" bestFit="1" customWidth="1"/>
    <col min="6" max="6" width="11.81640625" bestFit="1" customWidth="1"/>
  </cols>
  <sheetData>
    <row r="1" spans="1:6" x14ac:dyDescent="0.35">
      <c r="A1" s="7" t="s">
        <v>0</v>
      </c>
      <c r="B1" s="7" t="s">
        <v>1</v>
      </c>
      <c r="C1" s="56" t="s">
        <v>463</v>
      </c>
      <c r="D1" s="56" t="s">
        <v>464</v>
      </c>
      <c r="E1" s="56" t="s">
        <v>465</v>
      </c>
      <c r="F1" s="7" t="s">
        <v>466</v>
      </c>
    </row>
    <row r="2" spans="1:6" x14ac:dyDescent="0.35">
      <c r="A2" s="1">
        <v>33604</v>
      </c>
      <c r="B2" s="2">
        <v>10845</v>
      </c>
      <c r="C2" s="7">
        <v>75.697000000000003</v>
      </c>
      <c r="D2" s="7">
        <v>6616.3</v>
      </c>
      <c r="E2" s="7">
        <v>95776</v>
      </c>
      <c r="F2" s="7">
        <v>59.963759016779797</v>
      </c>
    </row>
    <row r="3" spans="1:6" x14ac:dyDescent="0.35">
      <c r="A3" s="1">
        <v>33635</v>
      </c>
      <c r="B3" s="2">
        <v>10904</v>
      </c>
      <c r="C3" s="7">
        <v>75.652000000000001</v>
      </c>
      <c r="D3" s="7">
        <v>6649.9</v>
      </c>
      <c r="E3" s="7">
        <v>95888</v>
      </c>
      <c r="F3" s="7">
        <v>60.195577672772501</v>
      </c>
    </row>
    <row r="4" spans="1:6" x14ac:dyDescent="0.35">
      <c r="A4" s="1">
        <v>33664</v>
      </c>
      <c r="B4" s="2">
        <v>10986</v>
      </c>
      <c r="C4" s="7">
        <v>75.811999999999998</v>
      </c>
      <c r="D4" s="7">
        <v>6659.6</v>
      </c>
      <c r="E4" s="7">
        <v>95984</v>
      </c>
      <c r="F4" s="7">
        <v>60.466032771430598</v>
      </c>
    </row>
    <row r="5" spans="1:6" x14ac:dyDescent="0.35">
      <c r="A5" s="1">
        <v>33695</v>
      </c>
      <c r="B5" s="2">
        <v>10738</v>
      </c>
      <c r="C5" s="7">
        <v>76.078999999999994</v>
      </c>
      <c r="D5" s="7">
        <v>6679.4</v>
      </c>
      <c r="E5" s="7">
        <v>96309</v>
      </c>
      <c r="F5" s="7">
        <v>60.388759886099798</v>
      </c>
    </row>
    <row r="6" spans="1:6" x14ac:dyDescent="0.35">
      <c r="A6" s="1">
        <v>33725</v>
      </c>
      <c r="B6" s="2">
        <v>10777</v>
      </c>
      <c r="C6" s="7">
        <v>76.397999999999996</v>
      </c>
      <c r="D6" s="7">
        <v>6712.9</v>
      </c>
      <c r="E6" s="7">
        <v>96456</v>
      </c>
      <c r="F6" s="7">
        <v>60.350123443434299</v>
      </c>
    </row>
    <row r="7" spans="1:6" x14ac:dyDescent="0.35">
      <c r="A7" s="1">
        <v>33756</v>
      </c>
      <c r="B7" s="2">
        <v>10790</v>
      </c>
      <c r="C7" s="7">
        <v>76.602999999999994</v>
      </c>
      <c r="D7" s="7">
        <v>6741.7</v>
      </c>
      <c r="E7" s="7">
        <v>96586</v>
      </c>
      <c r="F7" s="7">
        <v>60.697851427423402</v>
      </c>
    </row>
    <row r="8" spans="1:6" x14ac:dyDescent="0.35">
      <c r="A8" s="1">
        <v>33786</v>
      </c>
      <c r="B8" s="2">
        <v>10785</v>
      </c>
      <c r="C8" s="7">
        <v>76.712999999999994</v>
      </c>
      <c r="D8" s="7">
        <v>6736.8</v>
      </c>
      <c r="E8" s="7">
        <v>96426</v>
      </c>
      <c r="F8" s="7">
        <v>61.045579411412398</v>
      </c>
    </row>
    <row r="9" spans="1:6" x14ac:dyDescent="0.35">
      <c r="A9" s="1">
        <v>33817</v>
      </c>
      <c r="B9" s="2">
        <v>10915</v>
      </c>
      <c r="C9" s="7">
        <v>76.733999999999995</v>
      </c>
      <c r="D9" s="7">
        <v>6759.6</v>
      </c>
      <c r="E9" s="7">
        <v>96383</v>
      </c>
      <c r="F9" s="7">
        <v>61.238761624739702</v>
      </c>
    </row>
    <row r="10" spans="1:6" x14ac:dyDescent="0.35">
      <c r="A10" s="1">
        <v>33848</v>
      </c>
      <c r="B10" s="2">
        <v>10980</v>
      </c>
      <c r="C10" s="7">
        <v>76.632000000000005</v>
      </c>
      <c r="D10" s="7">
        <v>6725.8</v>
      </c>
      <c r="E10" s="7">
        <v>96469</v>
      </c>
      <c r="F10" s="7">
        <v>61.045579411412398</v>
      </c>
    </row>
    <row r="11" spans="1:6" x14ac:dyDescent="0.35">
      <c r="A11" s="1">
        <v>33878</v>
      </c>
      <c r="B11" s="2">
        <v>10971</v>
      </c>
      <c r="C11" s="7">
        <v>76.602000000000004</v>
      </c>
      <c r="D11" s="7">
        <v>6682.5</v>
      </c>
      <c r="E11" s="7">
        <v>96674</v>
      </c>
      <c r="F11" s="7">
        <v>61.277398067405102</v>
      </c>
    </row>
    <row r="12" spans="1:6" x14ac:dyDescent="0.35">
      <c r="A12" s="1">
        <v>33909</v>
      </c>
      <c r="B12" s="2">
        <v>10873</v>
      </c>
      <c r="C12" s="7">
        <v>76.584000000000003</v>
      </c>
      <c r="D12" s="7">
        <v>6685.9</v>
      </c>
      <c r="E12" s="7">
        <v>96766</v>
      </c>
      <c r="F12" s="7">
        <v>61.277398067405102</v>
      </c>
    </row>
    <row r="13" spans="1:6" x14ac:dyDescent="0.35">
      <c r="A13" s="1">
        <v>33939</v>
      </c>
      <c r="B13" s="2">
        <v>11082</v>
      </c>
      <c r="C13" s="7">
        <v>76.468999999999994</v>
      </c>
      <c r="D13" s="7">
        <v>6922.8</v>
      </c>
      <c r="E13" s="7">
        <v>96665</v>
      </c>
      <c r="F13" s="7">
        <v>61.316034510070601</v>
      </c>
    </row>
    <row r="14" spans="1:6" x14ac:dyDescent="0.35">
      <c r="A14" s="1">
        <v>33970</v>
      </c>
      <c r="B14" s="2">
        <v>11333</v>
      </c>
      <c r="C14" s="7">
        <v>76.400000000000006</v>
      </c>
      <c r="D14" s="7">
        <v>6793.6</v>
      </c>
      <c r="E14" s="7">
        <v>97001</v>
      </c>
      <c r="F14" s="7">
        <v>61.779671822056002</v>
      </c>
    </row>
    <row r="15" spans="1:6" x14ac:dyDescent="0.35">
      <c r="A15" s="1">
        <v>34001</v>
      </c>
      <c r="B15" s="2">
        <v>11410</v>
      </c>
      <c r="C15" s="7">
        <v>76.331999999999994</v>
      </c>
      <c r="D15" s="7">
        <v>6817.1</v>
      </c>
      <c r="E15" s="7">
        <v>97063</v>
      </c>
      <c r="F15" s="7">
        <v>62.050126920714099</v>
      </c>
    </row>
    <row r="16" spans="1:6" x14ac:dyDescent="0.35">
      <c r="A16" s="1">
        <v>34029</v>
      </c>
      <c r="B16" s="2">
        <v>11184</v>
      </c>
      <c r="C16" s="7">
        <v>76.387</v>
      </c>
      <c r="D16" s="7">
        <v>6794.6</v>
      </c>
      <c r="E16" s="7">
        <v>97090</v>
      </c>
      <c r="F16" s="7">
        <v>62.204672691375997</v>
      </c>
    </row>
    <row r="17" spans="1:6" x14ac:dyDescent="0.35">
      <c r="A17" s="1">
        <v>34060</v>
      </c>
      <c r="B17" s="2">
        <v>11417</v>
      </c>
      <c r="C17" s="7">
        <v>76.665000000000006</v>
      </c>
      <c r="D17" s="7">
        <v>6825.9</v>
      </c>
      <c r="E17" s="7">
        <v>97142</v>
      </c>
      <c r="F17" s="7">
        <v>62.281945576706804</v>
      </c>
    </row>
    <row r="18" spans="1:6" x14ac:dyDescent="0.35">
      <c r="A18" s="1">
        <v>34090</v>
      </c>
      <c r="B18" s="2">
        <v>11720</v>
      </c>
      <c r="C18" s="7">
        <v>77.033999999999907</v>
      </c>
      <c r="D18" s="7">
        <v>6814.5</v>
      </c>
      <c r="E18" s="7">
        <v>97195</v>
      </c>
      <c r="F18" s="7">
        <v>62.281945576706804</v>
      </c>
    </row>
    <row r="19" spans="1:6" x14ac:dyDescent="0.35">
      <c r="A19" s="1">
        <v>34121</v>
      </c>
      <c r="B19" s="2">
        <v>11669</v>
      </c>
      <c r="C19" s="7">
        <v>77.518999999999906</v>
      </c>
      <c r="D19" s="7">
        <v>6800.8</v>
      </c>
      <c r="E19" s="7">
        <v>97409</v>
      </c>
      <c r="F19" s="7">
        <v>62.591037118030499</v>
      </c>
    </row>
    <row r="20" spans="1:6" x14ac:dyDescent="0.35">
      <c r="A20" s="1">
        <v>34151</v>
      </c>
      <c r="B20" s="2">
        <v>11781</v>
      </c>
      <c r="C20" s="7">
        <v>77.888000000000005</v>
      </c>
      <c r="D20" s="7">
        <v>6817.1</v>
      </c>
      <c r="E20" s="7">
        <v>97703</v>
      </c>
      <c r="F20" s="7">
        <v>62.822855774023203</v>
      </c>
    </row>
    <row r="21" spans="1:6" x14ac:dyDescent="0.35">
      <c r="A21" s="1">
        <v>34182</v>
      </c>
      <c r="B21" s="2">
        <v>11875</v>
      </c>
      <c r="C21" s="7">
        <v>78.134</v>
      </c>
      <c r="D21" s="7">
        <v>6826.9</v>
      </c>
      <c r="E21" s="7">
        <v>98203</v>
      </c>
      <c r="F21" s="7">
        <v>63.016037987350401</v>
      </c>
    </row>
    <row r="22" spans="1:6" x14ac:dyDescent="0.35">
      <c r="A22" s="1">
        <v>34213</v>
      </c>
      <c r="B22" s="2">
        <v>11786</v>
      </c>
      <c r="C22" s="7">
        <v>78.203000000000003</v>
      </c>
      <c r="D22" s="7">
        <v>6809.3</v>
      </c>
      <c r="E22" s="7">
        <v>98359</v>
      </c>
      <c r="F22" s="7">
        <v>62.938765102019502</v>
      </c>
    </row>
    <row r="23" spans="1:6" x14ac:dyDescent="0.35">
      <c r="A23" s="1">
        <v>34243</v>
      </c>
      <c r="B23" s="2">
        <v>11908</v>
      </c>
      <c r="C23" s="7">
        <v>78.177999999999997</v>
      </c>
      <c r="D23" s="7">
        <v>6772.6</v>
      </c>
      <c r="E23" s="7">
        <v>98472</v>
      </c>
      <c r="F23" s="7">
        <v>63.016037987350401</v>
      </c>
    </row>
    <row r="24" spans="1:6" x14ac:dyDescent="0.35">
      <c r="A24" s="1">
        <v>34274</v>
      </c>
      <c r="B24" s="2">
        <v>12297</v>
      </c>
      <c r="C24" s="7">
        <v>78.177999999999997</v>
      </c>
      <c r="D24" s="7">
        <v>6791.6</v>
      </c>
      <c r="E24" s="7">
        <v>98579</v>
      </c>
      <c r="F24" s="7">
        <v>63.016037987350401</v>
      </c>
    </row>
    <row r="25" spans="1:6" x14ac:dyDescent="0.35">
      <c r="A25" s="1">
        <v>34304</v>
      </c>
      <c r="B25" s="2">
        <v>12583</v>
      </c>
      <c r="C25" s="7">
        <v>78.122</v>
      </c>
      <c r="D25" s="7">
        <v>7023.2</v>
      </c>
      <c r="E25" s="7">
        <v>98395</v>
      </c>
      <c r="F25" s="7">
        <v>63.170583758012199</v>
      </c>
    </row>
    <row r="26" spans="1:6" x14ac:dyDescent="0.35">
      <c r="A26" s="1">
        <v>34335</v>
      </c>
      <c r="B26" s="2">
        <v>12316</v>
      </c>
      <c r="C26" s="7">
        <v>78.206000000000003</v>
      </c>
      <c r="D26" s="7">
        <v>6892.9</v>
      </c>
      <c r="E26" s="7">
        <v>97962</v>
      </c>
      <c r="F26" s="7">
        <v>63.556948184666702</v>
      </c>
    </row>
    <row r="27" spans="1:6" x14ac:dyDescent="0.35">
      <c r="A27" s="1">
        <v>34366</v>
      </c>
      <c r="B27" s="2">
        <v>12233</v>
      </c>
      <c r="C27" s="7">
        <v>78.212999999999994</v>
      </c>
      <c r="D27" s="7">
        <v>6908.4</v>
      </c>
      <c r="E27" s="7">
        <v>98033</v>
      </c>
      <c r="F27" s="7">
        <v>63.981949053986703</v>
      </c>
    </row>
    <row r="28" spans="1:6" x14ac:dyDescent="0.35">
      <c r="A28" s="1">
        <v>34394</v>
      </c>
      <c r="B28" s="2">
        <v>12767</v>
      </c>
      <c r="C28" s="7">
        <v>78.358000000000004</v>
      </c>
      <c r="D28" s="7">
        <v>6930.4</v>
      </c>
      <c r="E28" s="7">
        <v>97950</v>
      </c>
      <c r="F28" s="7">
        <v>64.2524041526449</v>
      </c>
    </row>
    <row r="29" spans="1:6" x14ac:dyDescent="0.35">
      <c r="A29" s="1">
        <v>34425</v>
      </c>
      <c r="B29" s="2">
        <v>13076</v>
      </c>
      <c r="C29" s="7">
        <v>78.712999999999994</v>
      </c>
      <c r="D29" s="7">
        <v>6932.6</v>
      </c>
      <c r="E29" s="7">
        <v>98142</v>
      </c>
      <c r="F29" s="7">
        <v>64.175131267314001</v>
      </c>
    </row>
    <row r="30" spans="1:6" x14ac:dyDescent="0.35">
      <c r="A30" s="1">
        <v>34455</v>
      </c>
      <c r="B30" s="2">
        <v>13033</v>
      </c>
      <c r="C30" s="7">
        <v>79.221000000000004</v>
      </c>
      <c r="D30" s="7">
        <v>7016.1</v>
      </c>
      <c r="E30" s="7">
        <v>98214</v>
      </c>
      <c r="F30" s="7">
        <v>64.136494824648494</v>
      </c>
    </row>
    <row r="31" spans="1:6" x14ac:dyDescent="0.35">
      <c r="A31" s="1">
        <v>34486</v>
      </c>
      <c r="B31" s="2">
        <v>12987</v>
      </c>
      <c r="C31" s="7">
        <v>79.713999999999999</v>
      </c>
      <c r="D31" s="7">
        <v>7002.8</v>
      </c>
      <c r="E31" s="7">
        <v>98446</v>
      </c>
      <c r="F31" s="7">
        <v>64.368313480641206</v>
      </c>
    </row>
    <row r="32" spans="1:6" x14ac:dyDescent="0.35">
      <c r="A32" s="1">
        <v>34516</v>
      </c>
      <c r="B32" s="2">
        <v>13130</v>
      </c>
      <c r="C32" s="7">
        <v>80.075000000000003</v>
      </c>
      <c r="D32" s="7">
        <v>7008.8</v>
      </c>
      <c r="E32" s="7">
        <v>98508</v>
      </c>
      <c r="F32" s="7">
        <v>64.638768579299395</v>
      </c>
    </row>
    <row r="33" spans="1:6" x14ac:dyDescent="0.35">
      <c r="A33" s="1">
        <v>34547</v>
      </c>
      <c r="B33" s="2">
        <v>13224</v>
      </c>
      <c r="C33" s="7">
        <v>80.328000000000003</v>
      </c>
      <c r="D33" s="7">
        <v>7019.1</v>
      </c>
      <c r="E33" s="7">
        <v>98956</v>
      </c>
      <c r="F33" s="7">
        <v>64.986496563288398</v>
      </c>
    </row>
    <row r="34" spans="1:6" x14ac:dyDescent="0.35">
      <c r="A34" s="1">
        <v>34578</v>
      </c>
      <c r="B34" s="2">
        <v>13375</v>
      </c>
      <c r="C34" s="7">
        <v>80.348999999999904</v>
      </c>
      <c r="D34" s="7">
        <v>7048.2</v>
      </c>
      <c r="E34" s="7">
        <v>99316</v>
      </c>
      <c r="F34" s="7">
        <v>64.986496563288398</v>
      </c>
    </row>
    <row r="35" spans="1:6" x14ac:dyDescent="0.35">
      <c r="A35" s="1">
        <v>34608</v>
      </c>
      <c r="B35" s="2">
        <v>13550</v>
      </c>
      <c r="C35" s="7">
        <v>80.311999999999998</v>
      </c>
      <c r="D35" s="7">
        <v>7113.4</v>
      </c>
      <c r="E35" s="7">
        <v>99432</v>
      </c>
      <c r="F35" s="7">
        <v>65.141042333950196</v>
      </c>
    </row>
    <row r="36" spans="1:6" x14ac:dyDescent="0.35">
      <c r="A36" s="1">
        <v>34639</v>
      </c>
      <c r="B36" s="2">
        <v>13384</v>
      </c>
      <c r="C36" s="7">
        <v>80.176999999999893</v>
      </c>
      <c r="D36" s="7">
        <v>7111.1</v>
      </c>
      <c r="E36" s="7">
        <v>99708</v>
      </c>
      <c r="F36" s="7">
        <v>65.141042333950196</v>
      </c>
    </row>
    <row r="37" spans="1:6" x14ac:dyDescent="0.35">
      <c r="A37" s="1">
        <v>34669</v>
      </c>
      <c r="B37" s="2">
        <v>13981</v>
      </c>
      <c r="C37" s="7">
        <v>80.087000000000003</v>
      </c>
      <c r="D37" s="7">
        <v>7144.2</v>
      </c>
      <c r="E37" s="7">
        <v>99640</v>
      </c>
      <c r="F37" s="7">
        <v>65.025133005953904</v>
      </c>
    </row>
    <row r="38" spans="1:6" x14ac:dyDescent="0.35">
      <c r="A38" s="1">
        <v>34700</v>
      </c>
      <c r="B38" s="2">
        <v>13738</v>
      </c>
      <c r="C38" s="7">
        <v>80.037999999999997</v>
      </c>
      <c r="D38" s="7">
        <v>7174.2</v>
      </c>
      <c r="E38" s="7">
        <v>99889</v>
      </c>
      <c r="F38" s="7">
        <v>65.450133875273806</v>
      </c>
    </row>
    <row r="39" spans="1:6" x14ac:dyDescent="0.35">
      <c r="A39" s="1">
        <v>34731</v>
      </c>
      <c r="B39" s="2">
        <v>13613</v>
      </c>
      <c r="C39" s="7">
        <v>80.007999999999996</v>
      </c>
      <c r="D39" s="7">
        <v>7190.3</v>
      </c>
      <c r="E39" s="7">
        <v>99652</v>
      </c>
      <c r="F39" s="7">
        <v>65.836498301928401</v>
      </c>
    </row>
    <row r="40" spans="1:6" x14ac:dyDescent="0.35">
      <c r="A40" s="1">
        <v>34759</v>
      </c>
      <c r="B40" s="2">
        <v>13587</v>
      </c>
      <c r="C40" s="7">
        <v>80.096999999999994</v>
      </c>
      <c r="D40" s="7">
        <v>7208.3</v>
      </c>
      <c r="E40" s="7">
        <v>99776</v>
      </c>
      <c r="F40" s="7">
        <v>66.145589843251898</v>
      </c>
    </row>
    <row r="41" spans="1:6" x14ac:dyDescent="0.35">
      <c r="A41" s="1">
        <v>34790</v>
      </c>
      <c r="B41" s="2">
        <v>13415</v>
      </c>
      <c r="C41" s="7">
        <v>80.39</v>
      </c>
      <c r="D41" s="7">
        <v>7153.1</v>
      </c>
      <c r="E41" s="7">
        <v>99743</v>
      </c>
      <c r="F41" s="7">
        <v>66.184226285917404</v>
      </c>
    </row>
    <row r="42" spans="1:6" x14ac:dyDescent="0.35">
      <c r="A42" s="1">
        <v>34820</v>
      </c>
      <c r="B42" s="2">
        <v>13370</v>
      </c>
      <c r="C42" s="7">
        <v>80.712000000000003</v>
      </c>
      <c r="D42" s="7">
        <v>7223.3</v>
      </c>
      <c r="E42" s="7">
        <v>100013</v>
      </c>
      <c r="F42" s="7">
        <v>66.261499171248303</v>
      </c>
    </row>
    <row r="43" spans="1:6" x14ac:dyDescent="0.35">
      <c r="A43" s="1">
        <v>34851</v>
      </c>
      <c r="B43" s="2">
        <v>13548</v>
      </c>
      <c r="C43" s="7">
        <v>81.088999999999999</v>
      </c>
      <c r="D43" s="7">
        <v>7245.4</v>
      </c>
      <c r="E43" s="7">
        <v>100041</v>
      </c>
      <c r="F43" s="7">
        <v>66.531954269906507</v>
      </c>
    </row>
    <row r="44" spans="1:6" x14ac:dyDescent="0.35">
      <c r="A44" s="1">
        <v>34881</v>
      </c>
      <c r="B44" s="2">
        <v>13645</v>
      </c>
      <c r="C44" s="7">
        <v>81.430999999999997</v>
      </c>
      <c r="D44" s="7">
        <v>7259.9</v>
      </c>
      <c r="E44" s="7">
        <v>99910</v>
      </c>
      <c r="F44" s="7">
        <v>66.918318696561002</v>
      </c>
    </row>
    <row r="45" spans="1:6" x14ac:dyDescent="0.35">
      <c r="A45" s="1">
        <v>34912</v>
      </c>
      <c r="B45" s="2">
        <v>13683</v>
      </c>
      <c r="C45" s="7">
        <v>81.673000000000002</v>
      </c>
      <c r="D45" s="7">
        <v>7265.8</v>
      </c>
      <c r="E45" s="7">
        <v>99910</v>
      </c>
      <c r="F45" s="7">
        <v>67.0728644672228</v>
      </c>
    </row>
    <row r="46" spans="1:6" x14ac:dyDescent="0.35">
      <c r="A46" s="1">
        <v>34943</v>
      </c>
      <c r="B46" s="2">
        <v>13837</v>
      </c>
      <c r="C46" s="7">
        <v>81.759</v>
      </c>
      <c r="D46" s="7">
        <v>7289.4</v>
      </c>
      <c r="E46" s="7">
        <v>99802</v>
      </c>
      <c r="F46" s="7">
        <v>67.0728644672228</v>
      </c>
    </row>
    <row r="47" spans="1:6" x14ac:dyDescent="0.35">
      <c r="A47" s="1">
        <v>34973</v>
      </c>
      <c r="B47" s="2">
        <v>13932</v>
      </c>
      <c r="C47" s="7">
        <v>81.748999999999995</v>
      </c>
      <c r="D47" s="7">
        <v>7297.7</v>
      </c>
      <c r="E47" s="7">
        <v>100363</v>
      </c>
      <c r="F47" s="7">
        <v>67.266046680550005</v>
      </c>
    </row>
    <row r="48" spans="1:6" x14ac:dyDescent="0.35">
      <c r="A48" s="1">
        <v>35004</v>
      </c>
      <c r="B48" s="2">
        <v>14092</v>
      </c>
      <c r="C48" s="7">
        <v>81.653999999999996</v>
      </c>
      <c r="D48" s="7">
        <v>7317.5</v>
      </c>
      <c r="E48" s="7">
        <v>100308</v>
      </c>
      <c r="F48" s="7">
        <v>67.266046680550005</v>
      </c>
    </row>
    <row r="49" spans="1:6" x14ac:dyDescent="0.35">
      <c r="A49" s="1">
        <v>35034</v>
      </c>
      <c r="B49" s="2">
        <v>14683</v>
      </c>
      <c r="C49" s="7">
        <v>81.536999999999907</v>
      </c>
      <c r="D49" s="7">
        <v>7326.1</v>
      </c>
      <c r="E49" s="7">
        <v>100417</v>
      </c>
      <c r="F49" s="7">
        <v>67.304683123215497</v>
      </c>
    </row>
    <row r="50" spans="1:6" x14ac:dyDescent="0.35">
      <c r="A50" s="1">
        <v>35065</v>
      </c>
      <c r="B50" s="2">
        <v>14023</v>
      </c>
      <c r="C50" s="7">
        <v>81.450999999999993</v>
      </c>
      <c r="D50" s="7">
        <v>6616.3</v>
      </c>
      <c r="E50" s="7">
        <v>100415</v>
      </c>
      <c r="F50" s="7">
        <v>67.806956877866398</v>
      </c>
    </row>
    <row r="51" spans="1:6" x14ac:dyDescent="0.35">
      <c r="A51" s="1">
        <v>35096</v>
      </c>
      <c r="B51" s="2">
        <v>14036</v>
      </c>
      <c r="C51" s="7">
        <v>81.423999999999893</v>
      </c>
      <c r="D51" s="7">
        <v>6649.9</v>
      </c>
      <c r="E51" s="7">
        <v>100417</v>
      </c>
      <c r="F51" s="7">
        <v>68.116048419189994</v>
      </c>
    </row>
    <row r="52" spans="1:6" x14ac:dyDescent="0.35">
      <c r="A52" s="1">
        <v>35125</v>
      </c>
      <c r="B52" s="2">
        <v>14153</v>
      </c>
      <c r="C52" s="7">
        <v>81.69</v>
      </c>
      <c r="D52" s="7">
        <v>6659.6</v>
      </c>
      <c r="E52" s="7">
        <v>100585</v>
      </c>
      <c r="F52" s="7">
        <v>68.386503517848098</v>
      </c>
    </row>
    <row r="53" spans="1:6" x14ac:dyDescent="0.35">
      <c r="A53" s="1">
        <v>35156</v>
      </c>
      <c r="B53" s="2">
        <v>14340</v>
      </c>
      <c r="C53" s="7">
        <v>82.149000000000001</v>
      </c>
      <c r="D53" s="7">
        <v>6679.4</v>
      </c>
      <c r="E53" s="7">
        <v>100826</v>
      </c>
      <c r="F53" s="7">
        <v>68.386503517848098</v>
      </c>
    </row>
    <row r="54" spans="1:6" x14ac:dyDescent="0.35">
      <c r="A54" s="1">
        <v>35186</v>
      </c>
      <c r="B54" s="2">
        <v>14450</v>
      </c>
      <c r="C54" s="7">
        <v>82.626000000000005</v>
      </c>
      <c r="D54" s="7">
        <v>6712.9</v>
      </c>
      <c r="E54" s="7">
        <v>101157</v>
      </c>
      <c r="F54" s="7">
        <v>68.386503517848098</v>
      </c>
    </row>
    <row r="55" spans="1:6" x14ac:dyDescent="0.35">
      <c r="A55" s="1">
        <v>35217</v>
      </c>
      <c r="B55" s="2">
        <v>14902</v>
      </c>
      <c r="C55" s="7">
        <v>83.075000000000003</v>
      </c>
      <c r="D55" s="7">
        <v>6741.7</v>
      </c>
      <c r="E55" s="7">
        <v>101264</v>
      </c>
      <c r="F55" s="7">
        <v>68.618322173840795</v>
      </c>
    </row>
    <row r="56" spans="1:6" x14ac:dyDescent="0.35">
      <c r="A56" s="1">
        <v>35247</v>
      </c>
      <c r="B56" s="2">
        <v>14826</v>
      </c>
      <c r="C56" s="7">
        <v>83.447000000000003</v>
      </c>
      <c r="D56" s="7">
        <v>6736.8</v>
      </c>
      <c r="E56" s="7">
        <v>101153</v>
      </c>
      <c r="F56" s="7">
        <v>69.120595928491696</v>
      </c>
    </row>
    <row r="57" spans="1:6" x14ac:dyDescent="0.35">
      <c r="A57" s="1">
        <v>35278</v>
      </c>
      <c r="B57" s="2">
        <v>14981</v>
      </c>
      <c r="C57" s="7">
        <v>83.674999999999997</v>
      </c>
      <c r="D57" s="7">
        <v>6759.6</v>
      </c>
      <c r="E57" s="7">
        <v>101076</v>
      </c>
      <c r="F57" s="7">
        <v>69.275141699153494</v>
      </c>
    </row>
    <row r="58" spans="1:6" x14ac:dyDescent="0.35">
      <c r="A58" s="1">
        <v>35309</v>
      </c>
      <c r="B58" s="2">
        <v>14989</v>
      </c>
      <c r="C58" s="7">
        <v>83.731999999999999</v>
      </c>
      <c r="D58" s="7">
        <v>6725.8</v>
      </c>
      <c r="E58" s="7">
        <v>101131</v>
      </c>
      <c r="F58" s="7">
        <v>69.159232371157103</v>
      </c>
    </row>
    <row r="59" spans="1:6" x14ac:dyDescent="0.35">
      <c r="A59" s="1">
        <v>35339</v>
      </c>
      <c r="B59" s="2">
        <v>15040</v>
      </c>
      <c r="C59" s="7">
        <v>83.657999999999902</v>
      </c>
      <c r="D59" s="7">
        <v>6682.5</v>
      </c>
      <c r="E59" s="7">
        <v>101230</v>
      </c>
      <c r="F59" s="7">
        <v>69.313778141818901</v>
      </c>
    </row>
    <row r="60" spans="1:6" x14ac:dyDescent="0.35">
      <c r="A60" s="1">
        <v>35370</v>
      </c>
      <c r="B60" s="2">
        <v>15264</v>
      </c>
      <c r="C60" s="7">
        <v>83.584999999999994</v>
      </c>
      <c r="D60" s="7">
        <v>6685.9</v>
      </c>
      <c r="E60" s="7">
        <v>101201</v>
      </c>
      <c r="F60" s="7">
        <v>69.313778141818901</v>
      </c>
    </row>
    <row r="61" spans="1:6" x14ac:dyDescent="0.35">
      <c r="A61" s="1">
        <v>35400</v>
      </c>
      <c r="B61" s="2">
        <v>14980</v>
      </c>
      <c r="C61" s="7">
        <v>83.517999999999901</v>
      </c>
      <c r="D61" s="7">
        <v>6922.8</v>
      </c>
      <c r="E61" s="7">
        <v>101361</v>
      </c>
      <c r="F61" s="7">
        <v>69.275141699153494</v>
      </c>
    </row>
    <row r="62" spans="1:6" x14ac:dyDescent="0.35">
      <c r="A62" s="1">
        <v>35431</v>
      </c>
      <c r="B62" s="2">
        <v>15197</v>
      </c>
      <c r="C62" s="7">
        <v>83.557000000000002</v>
      </c>
      <c r="D62" s="7">
        <v>6793.6</v>
      </c>
      <c r="E62" s="7">
        <v>101374</v>
      </c>
      <c r="F62" s="7">
        <v>69.777415453804295</v>
      </c>
    </row>
    <row r="63" spans="1:6" x14ac:dyDescent="0.35">
      <c r="A63" s="1">
        <v>35462</v>
      </c>
      <c r="B63" s="2">
        <v>15561</v>
      </c>
      <c r="C63" s="7">
        <v>83.620999999999995</v>
      </c>
      <c r="D63" s="7">
        <v>6817.1</v>
      </c>
      <c r="E63" s="7">
        <v>101825</v>
      </c>
      <c r="F63" s="7">
        <v>70.163779880458804</v>
      </c>
    </row>
    <row r="64" spans="1:6" x14ac:dyDescent="0.35">
      <c r="A64" s="1">
        <v>35490</v>
      </c>
      <c r="B64" s="2">
        <v>15862</v>
      </c>
      <c r="C64" s="7">
        <v>83.936999999999998</v>
      </c>
      <c r="D64" s="7">
        <v>6794.6</v>
      </c>
      <c r="E64" s="7">
        <v>101905</v>
      </c>
      <c r="F64" s="7">
        <v>70.434234979116994</v>
      </c>
    </row>
    <row r="65" spans="1:6" x14ac:dyDescent="0.35">
      <c r="A65" s="1">
        <v>35521</v>
      </c>
      <c r="B65" s="2">
        <v>15709</v>
      </c>
      <c r="C65" s="7">
        <v>84.352000000000004</v>
      </c>
      <c r="D65" s="7">
        <v>6825.9</v>
      </c>
      <c r="E65" s="7">
        <v>101886</v>
      </c>
      <c r="F65" s="7">
        <v>70.472871421782401</v>
      </c>
    </row>
    <row r="66" spans="1:6" x14ac:dyDescent="0.35">
      <c r="A66" s="1">
        <v>35551</v>
      </c>
      <c r="B66" s="2">
        <v>15805</v>
      </c>
      <c r="C66" s="7">
        <v>84.899000000000001</v>
      </c>
      <c r="D66" s="7">
        <v>6814.5</v>
      </c>
      <c r="E66" s="7">
        <v>102090</v>
      </c>
      <c r="F66" s="7">
        <v>70.472871421782401</v>
      </c>
    </row>
    <row r="67" spans="1:6" x14ac:dyDescent="0.35">
      <c r="A67" s="1">
        <v>35582</v>
      </c>
      <c r="B67" s="2">
        <v>15918</v>
      </c>
      <c r="C67" s="7">
        <v>85.432000000000002</v>
      </c>
      <c r="D67" s="7">
        <v>6800.8</v>
      </c>
      <c r="E67" s="7">
        <v>102162</v>
      </c>
      <c r="F67" s="7">
        <v>70.743326520440604</v>
      </c>
    </row>
    <row r="68" spans="1:6" x14ac:dyDescent="0.35">
      <c r="A68" s="1">
        <v>35612</v>
      </c>
      <c r="B68" s="2">
        <v>15973</v>
      </c>
      <c r="C68" s="7">
        <v>85.875</v>
      </c>
      <c r="D68" s="7">
        <v>6817.1</v>
      </c>
      <c r="E68" s="7">
        <v>102249</v>
      </c>
      <c r="F68" s="7">
        <v>71.129690947095099</v>
      </c>
    </row>
    <row r="69" spans="1:6" x14ac:dyDescent="0.35">
      <c r="A69" s="1">
        <v>35643</v>
      </c>
      <c r="B69" s="2">
        <v>16027</v>
      </c>
      <c r="C69" s="7">
        <v>86.182999999999893</v>
      </c>
      <c r="D69" s="7">
        <v>6826.9</v>
      </c>
      <c r="E69" s="7">
        <v>102371</v>
      </c>
      <c r="F69" s="7">
        <v>71.361509603087796</v>
      </c>
    </row>
    <row r="70" spans="1:6" x14ac:dyDescent="0.35">
      <c r="A70" s="1">
        <v>35674</v>
      </c>
      <c r="B70" s="2">
        <v>16283</v>
      </c>
      <c r="C70" s="7">
        <v>86.342999999999904</v>
      </c>
      <c r="D70" s="7">
        <v>6809.3</v>
      </c>
      <c r="E70" s="7">
        <v>102680</v>
      </c>
      <c r="F70" s="7">
        <v>71.245600275091505</v>
      </c>
    </row>
    <row r="71" spans="1:6" x14ac:dyDescent="0.35">
      <c r="A71" s="1">
        <v>35704</v>
      </c>
      <c r="B71" s="2">
        <v>16232</v>
      </c>
      <c r="C71" s="7">
        <v>86.44</v>
      </c>
      <c r="D71" s="7">
        <v>6772.6</v>
      </c>
      <c r="E71" s="7">
        <v>102742</v>
      </c>
      <c r="F71" s="7">
        <v>71.477418931084202</v>
      </c>
    </row>
    <row r="72" spans="1:6" x14ac:dyDescent="0.35">
      <c r="A72" s="1">
        <v>35735</v>
      </c>
      <c r="B72" s="2">
        <v>16158</v>
      </c>
      <c r="C72" s="7">
        <v>86.664000000000001</v>
      </c>
      <c r="D72" s="7">
        <v>6791.6</v>
      </c>
      <c r="E72" s="7">
        <v>102739</v>
      </c>
      <c r="F72" s="7">
        <v>71.477418931084202</v>
      </c>
    </row>
    <row r="73" spans="1:6" x14ac:dyDescent="0.35">
      <c r="A73" s="1">
        <v>35765</v>
      </c>
      <c r="B73" s="2">
        <v>16356</v>
      </c>
      <c r="C73" s="7">
        <v>86.88</v>
      </c>
      <c r="D73" s="7">
        <v>7023.2</v>
      </c>
      <c r="E73" s="7">
        <v>102392</v>
      </c>
      <c r="F73" s="7">
        <v>71.593328259080494</v>
      </c>
    </row>
    <row r="74" spans="1:6" x14ac:dyDescent="0.35">
      <c r="A74" s="1">
        <v>35796</v>
      </c>
      <c r="B74" s="2">
        <v>16436</v>
      </c>
      <c r="C74" s="7">
        <v>87.195999999999998</v>
      </c>
      <c r="D74" s="7">
        <v>6892.9</v>
      </c>
      <c r="E74" s="7">
        <v>102875</v>
      </c>
      <c r="F74" s="7">
        <v>72.056965571065902</v>
      </c>
    </row>
    <row r="75" spans="1:6" x14ac:dyDescent="0.35">
      <c r="A75" s="1">
        <v>35827</v>
      </c>
      <c r="B75" s="2">
        <v>16462</v>
      </c>
      <c r="C75" s="7">
        <v>87.406999999999996</v>
      </c>
      <c r="D75" s="7">
        <v>6908.4</v>
      </c>
      <c r="E75" s="7">
        <v>103014</v>
      </c>
      <c r="F75" s="7">
        <v>72.443329997720397</v>
      </c>
    </row>
    <row r="76" spans="1:6" x14ac:dyDescent="0.35">
      <c r="A76" s="1">
        <v>35855</v>
      </c>
      <c r="B76" s="2">
        <v>16511</v>
      </c>
      <c r="C76" s="7">
        <v>87.91</v>
      </c>
      <c r="D76" s="7">
        <v>6930.4</v>
      </c>
      <c r="E76" s="7">
        <v>103370</v>
      </c>
      <c r="F76" s="7">
        <v>72.675148653713194</v>
      </c>
    </row>
    <row r="77" spans="1:6" x14ac:dyDescent="0.35">
      <c r="A77" s="1">
        <v>35886</v>
      </c>
      <c r="B77" s="2">
        <v>16716</v>
      </c>
      <c r="C77" s="7">
        <v>88.59</v>
      </c>
      <c r="D77" s="7">
        <v>6932.6</v>
      </c>
      <c r="E77" s="7">
        <v>103530</v>
      </c>
      <c r="F77" s="7">
        <v>72.7910579817095</v>
      </c>
    </row>
    <row r="78" spans="1:6" x14ac:dyDescent="0.35">
      <c r="A78" s="1">
        <v>35916</v>
      </c>
      <c r="B78" s="2">
        <v>16741</v>
      </c>
      <c r="C78" s="7">
        <v>89.406000000000006</v>
      </c>
      <c r="D78" s="7">
        <v>7016.1</v>
      </c>
      <c r="E78" s="7">
        <v>103417</v>
      </c>
      <c r="F78" s="7">
        <v>72.868330867040399</v>
      </c>
    </row>
    <row r="79" spans="1:6" x14ac:dyDescent="0.35">
      <c r="A79" s="1">
        <v>35947</v>
      </c>
      <c r="B79" s="2">
        <v>16662</v>
      </c>
      <c r="C79" s="7">
        <v>90.225999999999999</v>
      </c>
      <c r="D79" s="7">
        <v>7002.8</v>
      </c>
      <c r="E79" s="7">
        <v>103617</v>
      </c>
      <c r="F79" s="7">
        <v>73.138785965698602</v>
      </c>
    </row>
    <row r="80" spans="1:6" x14ac:dyDescent="0.35">
      <c r="A80" s="1">
        <v>35977</v>
      </c>
      <c r="B80" s="2">
        <v>16819</v>
      </c>
      <c r="C80" s="7">
        <v>90.891000000000005</v>
      </c>
      <c r="D80" s="7">
        <v>7008.8</v>
      </c>
      <c r="E80" s="7">
        <v>103396</v>
      </c>
      <c r="F80" s="7">
        <v>73.447877507022199</v>
      </c>
    </row>
    <row r="81" spans="1:6" x14ac:dyDescent="0.35">
      <c r="A81" s="1">
        <v>36008</v>
      </c>
      <c r="B81" s="2">
        <v>16828</v>
      </c>
      <c r="C81" s="7">
        <v>91.437999999999903</v>
      </c>
      <c r="D81" s="7">
        <v>7019.1</v>
      </c>
      <c r="E81" s="7">
        <v>103346</v>
      </c>
      <c r="F81" s="7">
        <v>73.718332605680303</v>
      </c>
    </row>
    <row r="82" spans="1:6" x14ac:dyDescent="0.35">
      <c r="A82" s="1">
        <v>36039</v>
      </c>
      <c r="B82" s="2">
        <v>16972</v>
      </c>
      <c r="C82" s="7">
        <v>91.782999999999902</v>
      </c>
      <c r="D82" s="7">
        <v>7048.2</v>
      </c>
      <c r="E82" s="7">
        <v>103735</v>
      </c>
      <c r="F82" s="7">
        <v>73.795605491011202</v>
      </c>
    </row>
    <row r="83" spans="1:6" x14ac:dyDescent="0.35">
      <c r="A83" s="1">
        <v>36069</v>
      </c>
      <c r="B83" s="2">
        <v>17209</v>
      </c>
      <c r="C83" s="7">
        <v>92.03</v>
      </c>
      <c r="D83" s="7">
        <v>7113.4</v>
      </c>
      <c r="E83" s="7">
        <v>103910</v>
      </c>
      <c r="F83" s="7">
        <v>73.988787704338506</v>
      </c>
    </row>
    <row r="84" spans="1:6" x14ac:dyDescent="0.35">
      <c r="A84" s="1">
        <v>36100</v>
      </c>
      <c r="B84" s="2">
        <v>17341</v>
      </c>
      <c r="C84" s="7">
        <v>92.227000000000004</v>
      </c>
      <c r="D84" s="7">
        <v>7111.1</v>
      </c>
      <c r="E84" s="7">
        <v>104022</v>
      </c>
      <c r="F84" s="7">
        <v>73.988787704338506</v>
      </c>
    </row>
    <row r="85" spans="1:6" x14ac:dyDescent="0.35">
      <c r="A85" s="1">
        <v>36130</v>
      </c>
      <c r="B85" s="2">
        <v>17702</v>
      </c>
      <c r="C85" s="7">
        <v>92.473999999999904</v>
      </c>
      <c r="D85" s="7">
        <v>7144.2</v>
      </c>
      <c r="E85" s="7">
        <v>104175</v>
      </c>
      <c r="F85" s="7">
        <v>73.988787704338506</v>
      </c>
    </row>
    <row r="86" spans="1:6" x14ac:dyDescent="0.35">
      <c r="A86" s="1">
        <v>36161</v>
      </c>
      <c r="B86" s="2">
        <v>17732</v>
      </c>
      <c r="C86" s="7">
        <v>92.744</v>
      </c>
      <c r="D86" s="7">
        <v>7174.2</v>
      </c>
      <c r="E86" s="7">
        <v>104285</v>
      </c>
      <c r="F86" s="7">
        <v>74.297879245662102</v>
      </c>
    </row>
    <row r="87" spans="1:6" x14ac:dyDescent="0.35">
      <c r="A87" s="1">
        <v>36192</v>
      </c>
      <c r="B87" s="2">
        <v>17943</v>
      </c>
      <c r="C87" s="7">
        <v>93.010999999999996</v>
      </c>
      <c r="D87" s="7">
        <v>7190.3</v>
      </c>
      <c r="E87" s="7">
        <v>104436</v>
      </c>
      <c r="F87" s="7">
        <v>74.606970786985698</v>
      </c>
    </row>
    <row r="88" spans="1:6" x14ac:dyDescent="0.35">
      <c r="A88" s="1">
        <v>36220</v>
      </c>
      <c r="B88" s="2">
        <v>17760</v>
      </c>
      <c r="C88" s="7">
        <v>93.641999999999996</v>
      </c>
      <c r="D88" s="7">
        <v>7208.3</v>
      </c>
      <c r="E88" s="7">
        <v>104661</v>
      </c>
      <c r="F88" s="7">
        <v>74.916062328309295</v>
      </c>
    </row>
    <row r="89" spans="1:6" x14ac:dyDescent="0.35">
      <c r="A89" s="1">
        <v>36251</v>
      </c>
      <c r="B89" s="2">
        <v>17791</v>
      </c>
      <c r="C89" s="7">
        <v>94.467999999999904</v>
      </c>
      <c r="D89" s="7">
        <v>7153.1</v>
      </c>
      <c r="E89" s="7">
        <v>104522</v>
      </c>
      <c r="F89" s="7">
        <v>75.070608098971107</v>
      </c>
    </row>
    <row r="90" spans="1:6" x14ac:dyDescent="0.35">
      <c r="A90" s="1">
        <v>36281</v>
      </c>
      <c r="B90" s="2">
        <v>17914</v>
      </c>
      <c r="C90" s="7">
        <v>95.393999999999906</v>
      </c>
      <c r="D90" s="7">
        <v>7223.3</v>
      </c>
      <c r="E90" s="7">
        <v>104855</v>
      </c>
      <c r="F90" s="7">
        <v>75.031971656305601</v>
      </c>
    </row>
    <row r="91" spans="1:6" x14ac:dyDescent="0.35">
      <c r="A91" s="1">
        <v>36312</v>
      </c>
      <c r="B91" s="2">
        <v>17969</v>
      </c>
      <c r="C91" s="7">
        <v>96.396000000000001</v>
      </c>
      <c r="D91" s="7">
        <v>7245.4</v>
      </c>
      <c r="E91" s="7">
        <v>105070</v>
      </c>
      <c r="F91" s="7">
        <v>75.302426754963804</v>
      </c>
    </row>
    <row r="92" spans="1:6" x14ac:dyDescent="0.35">
      <c r="A92" s="1">
        <v>36342</v>
      </c>
      <c r="B92" s="2">
        <v>18183</v>
      </c>
      <c r="C92" s="7">
        <v>97.223999999999904</v>
      </c>
      <c r="D92" s="7">
        <v>7259.9</v>
      </c>
      <c r="E92" s="7">
        <v>105016</v>
      </c>
      <c r="F92" s="7">
        <v>75.6115182962874</v>
      </c>
    </row>
    <row r="93" spans="1:6" x14ac:dyDescent="0.35">
      <c r="A93" s="1">
        <v>36373</v>
      </c>
      <c r="B93" s="2">
        <v>18341</v>
      </c>
      <c r="C93" s="7">
        <v>97.93</v>
      </c>
      <c r="D93" s="7">
        <v>7265.8</v>
      </c>
      <c r="E93" s="7">
        <v>105166</v>
      </c>
      <c r="F93" s="7">
        <v>75.766064066949198</v>
      </c>
    </row>
    <row r="94" spans="1:6" x14ac:dyDescent="0.35">
      <c r="A94" s="1">
        <v>36404</v>
      </c>
      <c r="B94" s="2">
        <v>18175</v>
      </c>
      <c r="C94" s="7">
        <v>98.433999999999997</v>
      </c>
      <c r="D94" s="7">
        <v>7289.4</v>
      </c>
      <c r="E94" s="7">
        <v>105239</v>
      </c>
      <c r="F94" s="7">
        <v>75.766064066949198</v>
      </c>
    </row>
    <row r="95" spans="1:6" x14ac:dyDescent="0.35">
      <c r="A95" s="1">
        <v>36434</v>
      </c>
      <c r="B95" s="2">
        <v>18606</v>
      </c>
      <c r="C95" s="7">
        <v>98.87</v>
      </c>
      <c r="D95" s="7">
        <v>7297.7</v>
      </c>
      <c r="E95" s="7">
        <v>105335</v>
      </c>
      <c r="F95" s="7">
        <v>75.843336952280097</v>
      </c>
    </row>
    <row r="96" spans="1:6" x14ac:dyDescent="0.35">
      <c r="A96" s="1">
        <v>36465</v>
      </c>
      <c r="B96" s="2">
        <v>18944</v>
      </c>
      <c r="C96" s="7">
        <v>99.188999999999993</v>
      </c>
      <c r="D96" s="7">
        <v>7317.5</v>
      </c>
      <c r="E96" s="7">
        <v>105309</v>
      </c>
      <c r="F96" s="7">
        <v>75.843336952280097</v>
      </c>
    </row>
    <row r="97" spans="1:6" x14ac:dyDescent="0.35">
      <c r="A97" s="1">
        <v>36495</v>
      </c>
      <c r="B97" s="2">
        <v>19125</v>
      </c>
      <c r="C97" s="7">
        <v>99.582999999999998</v>
      </c>
      <c r="D97" s="7">
        <v>7326.1</v>
      </c>
      <c r="E97" s="7">
        <v>105214</v>
      </c>
      <c r="F97" s="7">
        <v>75.843336952280097</v>
      </c>
    </row>
    <row r="98" spans="1:6" x14ac:dyDescent="0.35">
      <c r="A98" s="1">
        <v>36526</v>
      </c>
      <c r="B98" s="2">
        <v>19613</v>
      </c>
      <c r="C98" s="7">
        <v>100</v>
      </c>
      <c r="D98" s="7">
        <v>6616.3</v>
      </c>
      <c r="E98" s="7">
        <v>105106</v>
      </c>
      <c r="F98" s="7">
        <v>76.500156477592796</v>
      </c>
    </row>
    <row r="99" spans="1:6" x14ac:dyDescent="0.35">
      <c r="A99" s="1">
        <v>36557</v>
      </c>
      <c r="B99" s="2">
        <v>19193</v>
      </c>
      <c r="C99" s="7">
        <v>100.57</v>
      </c>
      <c r="D99" s="7">
        <v>6649.9</v>
      </c>
      <c r="E99" s="7">
        <v>105507</v>
      </c>
      <c r="F99" s="7">
        <v>76.847884461581899</v>
      </c>
    </row>
    <row r="100" spans="1:6" x14ac:dyDescent="0.35">
      <c r="A100" s="1">
        <v>36586</v>
      </c>
      <c r="B100" s="2">
        <v>20175</v>
      </c>
      <c r="C100" s="7">
        <v>101.465</v>
      </c>
      <c r="D100" s="7">
        <v>6659.6</v>
      </c>
      <c r="E100" s="7">
        <v>105267</v>
      </c>
      <c r="F100" s="7">
        <v>77.311521773567193</v>
      </c>
    </row>
    <row r="101" spans="1:6" x14ac:dyDescent="0.35">
      <c r="A101" s="1">
        <v>36617</v>
      </c>
      <c r="B101" s="2">
        <v>18986</v>
      </c>
      <c r="C101" s="7">
        <v>102.54</v>
      </c>
      <c r="D101" s="7">
        <v>6679.4</v>
      </c>
      <c r="E101" s="7">
        <v>105224</v>
      </c>
      <c r="F101" s="7">
        <v>77.3501582162327</v>
      </c>
    </row>
    <row r="102" spans="1:6" x14ac:dyDescent="0.35">
      <c r="A102" s="1">
        <v>36647</v>
      </c>
      <c r="B102" s="2">
        <v>18941</v>
      </c>
      <c r="C102" s="7">
        <v>103.702</v>
      </c>
      <c r="D102" s="7">
        <v>6712.9</v>
      </c>
      <c r="E102" s="7">
        <v>105353</v>
      </c>
      <c r="F102" s="7">
        <v>77.388794658898206</v>
      </c>
    </row>
    <row r="103" spans="1:6" x14ac:dyDescent="0.35">
      <c r="A103" s="1">
        <v>36678</v>
      </c>
      <c r="B103" s="2">
        <v>18878</v>
      </c>
      <c r="C103" s="7">
        <v>104.855</v>
      </c>
      <c r="D103" s="7">
        <v>6741.7</v>
      </c>
      <c r="E103" s="7">
        <v>105312</v>
      </c>
      <c r="F103" s="7">
        <v>77.736522642887195</v>
      </c>
    </row>
    <row r="104" spans="1:6" x14ac:dyDescent="0.35">
      <c r="A104" s="1">
        <v>36708</v>
      </c>
      <c r="B104" s="2">
        <v>18982</v>
      </c>
      <c r="C104" s="7">
        <v>105.721</v>
      </c>
      <c r="D104" s="7">
        <v>6736.8</v>
      </c>
      <c r="E104" s="7">
        <v>105693</v>
      </c>
      <c r="F104" s="7">
        <v>78.084250626876297</v>
      </c>
    </row>
    <row r="105" spans="1:6" x14ac:dyDescent="0.35">
      <c r="A105" s="1">
        <v>36739</v>
      </c>
      <c r="B105" s="2">
        <v>18951</v>
      </c>
      <c r="C105" s="7">
        <v>106.521</v>
      </c>
      <c r="D105" s="7">
        <v>6759.6</v>
      </c>
      <c r="E105" s="7">
        <v>105647</v>
      </c>
      <c r="F105" s="7">
        <v>78.316069282868995</v>
      </c>
    </row>
    <row r="106" spans="1:6" x14ac:dyDescent="0.35">
      <c r="A106" s="1">
        <v>36770</v>
      </c>
      <c r="B106" s="2">
        <v>18926</v>
      </c>
      <c r="C106" s="7">
        <v>107.13500000000001</v>
      </c>
      <c r="D106" s="7">
        <v>6725.8</v>
      </c>
      <c r="E106" s="7">
        <v>106061</v>
      </c>
      <c r="F106" s="7">
        <v>78.277432840203502</v>
      </c>
    </row>
    <row r="107" spans="1:6" x14ac:dyDescent="0.35">
      <c r="A107" s="1">
        <v>36800</v>
      </c>
      <c r="B107" s="2">
        <v>18965</v>
      </c>
      <c r="C107" s="7">
        <v>107.72799999999999</v>
      </c>
      <c r="D107" s="7">
        <v>6682.5</v>
      </c>
      <c r="E107" s="7">
        <v>106360</v>
      </c>
      <c r="F107" s="7">
        <v>78.547887938861706</v>
      </c>
    </row>
    <row r="108" spans="1:6" x14ac:dyDescent="0.35">
      <c r="A108" s="1">
        <v>36831</v>
      </c>
      <c r="B108" s="2">
        <v>18689</v>
      </c>
      <c r="C108" s="7">
        <v>108.291</v>
      </c>
      <c r="D108" s="7">
        <v>6685.9</v>
      </c>
      <c r="E108" s="7">
        <v>106364</v>
      </c>
      <c r="F108" s="7">
        <v>78.5092514961962</v>
      </c>
    </row>
    <row r="109" spans="1:6" x14ac:dyDescent="0.35">
      <c r="A109" s="1">
        <v>36861</v>
      </c>
      <c r="B109" s="2">
        <v>19356</v>
      </c>
      <c r="C109" s="7">
        <v>108.791</v>
      </c>
      <c r="D109" s="7">
        <v>6922.8</v>
      </c>
      <c r="E109" s="7">
        <v>106754</v>
      </c>
      <c r="F109" s="7">
        <v>78.470615053530807</v>
      </c>
    </row>
    <row r="110" spans="1:6" x14ac:dyDescent="0.35">
      <c r="A110" s="1">
        <v>36892</v>
      </c>
      <c r="B110" s="2">
        <v>19248</v>
      </c>
      <c r="C110" s="7">
        <v>109.215</v>
      </c>
      <c r="D110" s="7">
        <v>6793.6</v>
      </c>
      <c r="E110" s="7">
        <v>106685</v>
      </c>
      <c r="F110" s="7">
        <v>79.0115252508471</v>
      </c>
    </row>
    <row r="111" spans="1:6" x14ac:dyDescent="0.35">
      <c r="A111" s="1">
        <v>36923</v>
      </c>
      <c r="B111" s="2">
        <v>19698</v>
      </c>
      <c r="C111" s="7">
        <v>109.64299999999901</v>
      </c>
      <c r="D111" s="7">
        <v>6817.1</v>
      </c>
      <c r="E111" s="7">
        <v>106829</v>
      </c>
      <c r="F111" s="7">
        <v>79.475162562832494</v>
      </c>
    </row>
    <row r="112" spans="1:6" x14ac:dyDescent="0.35">
      <c r="A112" s="1">
        <v>36951</v>
      </c>
      <c r="B112" s="2">
        <v>19562</v>
      </c>
      <c r="C112" s="7">
        <v>110.393999999999</v>
      </c>
      <c r="D112" s="7">
        <v>6794.6</v>
      </c>
      <c r="E112" s="7">
        <v>106866</v>
      </c>
      <c r="F112" s="7">
        <v>80.054709202814294</v>
      </c>
    </row>
    <row r="113" spans="1:6" x14ac:dyDescent="0.35">
      <c r="A113" s="1">
        <v>36982</v>
      </c>
      <c r="B113" s="2">
        <v>20373</v>
      </c>
      <c r="C113" s="7">
        <v>111.247</v>
      </c>
      <c r="D113" s="7">
        <v>6825.9</v>
      </c>
      <c r="E113" s="7">
        <v>106753</v>
      </c>
      <c r="F113" s="7">
        <v>80.131982088145193</v>
      </c>
    </row>
    <row r="114" spans="1:6" x14ac:dyDescent="0.35">
      <c r="A114" s="1">
        <v>37012</v>
      </c>
      <c r="B114" s="2">
        <v>20147</v>
      </c>
      <c r="C114" s="7">
        <v>112.202</v>
      </c>
      <c r="D114" s="7">
        <v>6814.5</v>
      </c>
      <c r="E114" s="7">
        <v>106807</v>
      </c>
      <c r="F114" s="7">
        <v>80.286527858807005</v>
      </c>
    </row>
    <row r="115" spans="1:6" x14ac:dyDescent="0.35">
      <c r="A115" s="1">
        <v>37043</v>
      </c>
      <c r="B115" s="2">
        <v>19900</v>
      </c>
      <c r="C115" s="7">
        <v>113.273</v>
      </c>
      <c r="D115" s="7">
        <v>6800.8</v>
      </c>
      <c r="E115" s="7">
        <v>106736</v>
      </c>
      <c r="F115" s="7">
        <v>80.7501651707924</v>
      </c>
    </row>
    <row r="116" spans="1:6" x14ac:dyDescent="0.35">
      <c r="A116" s="1">
        <v>37073</v>
      </c>
      <c r="B116" s="2">
        <v>19838</v>
      </c>
      <c r="C116" s="7">
        <v>114.23</v>
      </c>
      <c r="D116" s="7">
        <v>6817.1</v>
      </c>
      <c r="E116" s="7">
        <v>106685</v>
      </c>
      <c r="F116" s="7">
        <v>81.020620269450504</v>
      </c>
    </row>
    <row r="117" spans="1:6" x14ac:dyDescent="0.35">
      <c r="A117" s="1">
        <v>37104</v>
      </c>
      <c r="B117" s="2">
        <v>19920</v>
      </c>
      <c r="C117" s="7">
        <v>114.991</v>
      </c>
      <c r="D117" s="7">
        <v>6826.9</v>
      </c>
      <c r="E117" s="7">
        <v>106766</v>
      </c>
      <c r="F117" s="7">
        <v>81.445621138770505</v>
      </c>
    </row>
    <row r="118" spans="1:6" x14ac:dyDescent="0.35">
      <c r="A118" s="1">
        <v>37135</v>
      </c>
      <c r="B118" s="2">
        <v>19664</v>
      </c>
      <c r="C118" s="7">
        <v>115.467</v>
      </c>
      <c r="D118" s="7">
        <v>6809.3</v>
      </c>
      <c r="E118" s="7">
        <v>107089</v>
      </c>
      <c r="F118" s="7">
        <v>81.252438925443201</v>
      </c>
    </row>
    <row r="119" spans="1:6" x14ac:dyDescent="0.35">
      <c r="A119" s="1">
        <v>37165</v>
      </c>
      <c r="B119" s="2">
        <v>20054</v>
      </c>
      <c r="C119" s="7">
        <v>115.682</v>
      </c>
      <c r="D119" s="7">
        <v>6772.6</v>
      </c>
      <c r="E119" s="7">
        <v>107432</v>
      </c>
      <c r="F119" s="7">
        <v>81.445621138770505</v>
      </c>
    </row>
    <row r="120" spans="1:6" x14ac:dyDescent="0.35">
      <c r="A120" s="1">
        <v>37196</v>
      </c>
      <c r="B120" s="2">
        <v>19982</v>
      </c>
      <c r="C120" s="7">
        <v>115.839</v>
      </c>
      <c r="D120" s="7">
        <v>6791.6</v>
      </c>
      <c r="E120" s="7">
        <v>107669</v>
      </c>
      <c r="F120" s="7">
        <v>81.638803352097796</v>
      </c>
    </row>
    <row r="121" spans="1:6" x14ac:dyDescent="0.35">
      <c r="A121" s="1">
        <v>37226</v>
      </c>
      <c r="B121" s="2">
        <v>20120</v>
      </c>
      <c r="C121" s="7">
        <v>116.05500000000001</v>
      </c>
      <c r="D121" s="7">
        <v>7023.2</v>
      </c>
      <c r="E121" s="7">
        <v>107798</v>
      </c>
      <c r="F121" s="7">
        <v>81.793349122759594</v>
      </c>
    </row>
    <row r="122" spans="1:6" x14ac:dyDescent="0.35">
      <c r="A122" s="1">
        <v>37257</v>
      </c>
      <c r="B122" s="2">
        <v>20359</v>
      </c>
      <c r="C122" s="7">
        <v>116.437</v>
      </c>
      <c r="D122" s="7">
        <v>6892.9</v>
      </c>
      <c r="E122" s="7">
        <v>104481</v>
      </c>
      <c r="F122" s="7">
        <v>82.295622877410395</v>
      </c>
    </row>
    <row r="123" spans="1:6" x14ac:dyDescent="0.35">
      <c r="A123" s="1">
        <v>37288</v>
      </c>
      <c r="B123" s="2">
        <v>20515</v>
      </c>
      <c r="C123" s="7">
        <v>116.917</v>
      </c>
      <c r="D123" s="7">
        <v>6908.4</v>
      </c>
      <c r="E123" s="7">
        <v>104385</v>
      </c>
      <c r="F123" s="7">
        <v>82.952442402723094</v>
      </c>
    </row>
    <row r="124" spans="1:6" x14ac:dyDescent="0.35">
      <c r="A124" s="1">
        <v>37316</v>
      </c>
      <c r="B124" s="2">
        <v>20370</v>
      </c>
      <c r="C124" s="7">
        <v>117.931</v>
      </c>
      <c r="D124" s="7">
        <v>6930.4</v>
      </c>
      <c r="E124" s="7">
        <v>104396</v>
      </c>
      <c r="F124" s="7">
        <v>83.300170386712196</v>
      </c>
    </row>
    <row r="125" spans="1:6" x14ac:dyDescent="0.35">
      <c r="A125" s="1">
        <v>37347</v>
      </c>
      <c r="B125" s="2">
        <v>21274</v>
      </c>
      <c r="C125" s="7">
        <v>119.211</v>
      </c>
      <c r="D125" s="7">
        <v>6932.6</v>
      </c>
      <c r="E125" s="7">
        <v>104718</v>
      </c>
      <c r="F125" s="7">
        <v>83.493352600039401</v>
      </c>
    </row>
    <row r="126" spans="1:6" x14ac:dyDescent="0.35">
      <c r="A126" s="1">
        <v>37377</v>
      </c>
      <c r="B126" s="2">
        <v>20874</v>
      </c>
      <c r="C126" s="7">
        <v>120.79</v>
      </c>
      <c r="D126" s="7">
        <v>7016.1</v>
      </c>
      <c r="E126" s="7">
        <v>105092</v>
      </c>
      <c r="F126" s="7">
        <v>83.493352600039401</v>
      </c>
    </row>
    <row r="127" spans="1:6" x14ac:dyDescent="0.35">
      <c r="A127" s="1">
        <v>37408</v>
      </c>
      <c r="B127" s="2">
        <v>20725</v>
      </c>
      <c r="C127" s="7">
        <v>122.334</v>
      </c>
      <c r="D127" s="7">
        <v>7002.8</v>
      </c>
      <c r="E127" s="7">
        <v>105023</v>
      </c>
      <c r="F127" s="7">
        <v>83.763807698697605</v>
      </c>
    </row>
    <row r="128" spans="1:6" x14ac:dyDescent="0.35">
      <c r="A128" s="1">
        <v>37438</v>
      </c>
      <c r="B128" s="2">
        <v>20674</v>
      </c>
      <c r="C128" s="7">
        <v>123.687</v>
      </c>
      <c r="D128" s="7">
        <v>7008.8</v>
      </c>
      <c r="E128" s="7">
        <v>105100</v>
      </c>
      <c r="F128" s="7">
        <v>83.995626354690302</v>
      </c>
    </row>
    <row r="129" spans="1:6" x14ac:dyDescent="0.35">
      <c r="A129" s="1">
        <v>37469</v>
      </c>
      <c r="B129" s="2">
        <v>20683</v>
      </c>
      <c r="C129" s="7">
        <v>124.729</v>
      </c>
      <c r="D129" s="7">
        <v>7019.1</v>
      </c>
      <c r="E129" s="7">
        <v>105128</v>
      </c>
      <c r="F129" s="7">
        <v>84.343354338679305</v>
      </c>
    </row>
    <row r="130" spans="1:6" x14ac:dyDescent="0.35">
      <c r="A130" s="1">
        <v>37500</v>
      </c>
      <c r="B130" s="2">
        <v>20732</v>
      </c>
      <c r="C130" s="7">
        <v>125.492</v>
      </c>
      <c r="D130" s="7">
        <v>7048.2</v>
      </c>
      <c r="E130" s="7">
        <v>105244</v>
      </c>
      <c r="F130" s="7">
        <v>84.188808568017507</v>
      </c>
    </row>
    <row r="131" spans="1:6" x14ac:dyDescent="0.35">
      <c r="A131" s="1">
        <v>37530</v>
      </c>
      <c r="B131" s="2">
        <v>20603</v>
      </c>
      <c r="C131" s="7">
        <v>126.13500000000001</v>
      </c>
      <c r="D131" s="7">
        <v>7113.4</v>
      </c>
      <c r="E131" s="7">
        <v>105337</v>
      </c>
      <c r="F131" s="7">
        <v>84.381990781344797</v>
      </c>
    </row>
    <row r="132" spans="1:6" x14ac:dyDescent="0.35">
      <c r="A132" s="1">
        <v>37561</v>
      </c>
      <c r="B132" s="2">
        <v>20969</v>
      </c>
      <c r="C132" s="7">
        <v>126.64</v>
      </c>
      <c r="D132" s="7">
        <v>7111.1</v>
      </c>
      <c r="E132" s="7">
        <v>105296</v>
      </c>
      <c r="F132" s="7">
        <v>84.304717896013898</v>
      </c>
    </row>
    <row r="133" spans="1:6" x14ac:dyDescent="0.35">
      <c r="A133" s="1">
        <v>37591</v>
      </c>
      <c r="B133" s="2">
        <v>20415</v>
      </c>
      <c r="C133" s="7">
        <v>127.149</v>
      </c>
      <c r="D133" s="7">
        <v>7144.2</v>
      </c>
      <c r="E133" s="7">
        <v>105387</v>
      </c>
      <c r="F133" s="7">
        <v>84.266081453348406</v>
      </c>
    </row>
    <row r="134" spans="1:6" x14ac:dyDescent="0.35">
      <c r="A134" s="1">
        <v>37622</v>
      </c>
      <c r="B134" s="2">
        <v>21270</v>
      </c>
      <c r="C134" s="7">
        <v>127.652</v>
      </c>
      <c r="D134" s="7">
        <v>7174.2</v>
      </c>
      <c r="E134" s="7">
        <v>105513</v>
      </c>
      <c r="F134" s="7">
        <v>84.806991650664699</v>
      </c>
    </row>
    <row r="135" spans="1:6" x14ac:dyDescent="0.35">
      <c r="A135" s="1">
        <v>37653</v>
      </c>
      <c r="B135" s="2">
        <v>20041</v>
      </c>
      <c r="C135" s="7">
        <v>128.327</v>
      </c>
      <c r="D135" s="7">
        <v>7190.3</v>
      </c>
      <c r="E135" s="7">
        <v>105432</v>
      </c>
      <c r="F135" s="7">
        <v>85.116083191988395</v>
      </c>
    </row>
    <row r="136" spans="1:6" x14ac:dyDescent="0.35">
      <c r="A136" s="1">
        <v>37681</v>
      </c>
      <c r="B136" s="2">
        <v>21326</v>
      </c>
      <c r="C136" s="7">
        <v>129.31</v>
      </c>
      <c r="D136" s="7">
        <v>7208.3</v>
      </c>
      <c r="E136" s="7">
        <v>105277</v>
      </c>
      <c r="F136" s="7">
        <v>85.347901847981007</v>
      </c>
    </row>
    <row r="137" spans="1:6" x14ac:dyDescent="0.35">
      <c r="A137" s="1">
        <v>37712</v>
      </c>
      <c r="B137" s="2">
        <v>21139</v>
      </c>
      <c r="C137" s="7">
        <v>130.49</v>
      </c>
      <c r="D137" s="7">
        <v>7153.1</v>
      </c>
      <c r="E137" s="7">
        <v>105470</v>
      </c>
      <c r="F137" s="7">
        <v>85.3092654053156</v>
      </c>
    </row>
    <row r="138" spans="1:6" x14ac:dyDescent="0.35">
      <c r="A138" s="1">
        <v>37742</v>
      </c>
      <c r="B138" s="2">
        <v>21328</v>
      </c>
      <c r="C138" s="7">
        <v>131.84100000000001</v>
      </c>
      <c r="D138" s="7">
        <v>7223.3</v>
      </c>
      <c r="E138" s="7">
        <v>105507</v>
      </c>
      <c r="F138" s="7">
        <v>85.579720503973803</v>
      </c>
    </row>
    <row r="139" spans="1:6" x14ac:dyDescent="0.35">
      <c r="A139" s="1">
        <v>37773</v>
      </c>
      <c r="B139" s="2">
        <v>22003</v>
      </c>
      <c r="C139" s="7">
        <v>133.22499999999999</v>
      </c>
      <c r="D139" s="7">
        <v>7245.4</v>
      </c>
      <c r="E139" s="7">
        <v>105449</v>
      </c>
      <c r="F139" s="7">
        <v>85.656993389304603</v>
      </c>
    </row>
    <row r="140" spans="1:6" x14ac:dyDescent="0.35">
      <c r="A140" s="1">
        <v>37803</v>
      </c>
      <c r="B140" s="2">
        <v>22372</v>
      </c>
      <c r="C140" s="7">
        <v>134.64500000000001</v>
      </c>
      <c r="D140" s="7">
        <v>7259.9</v>
      </c>
      <c r="E140" s="7">
        <v>105314</v>
      </c>
      <c r="F140" s="7">
        <v>86.004721373293705</v>
      </c>
    </row>
    <row r="141" spans="1:6" x14ac:dyDescent="0.35">
      <c r="A141" s="1">
        <v>37834</v>
      </c>
      <c r="B141" s="2">
        <v>22489</v>
      </c>
      <c r="C141" s="7">
        <v>135.96299999999999</v>
      </c>
      <c r="D141" s="7">
        <v>7265.8</v>
      </c>
      <c r="E141" s="7">
        <v>105470</v>
      </c>
      <c r="F141" s="7">
        <v>86.197903586620995</v>
      </c>
    </row>
    <row r="142" spans="1:6" x14ac:dyDescent="0.35">
      <c r="A142" s="1">
        <v>37865</v>
      </c>
      <c r="B142" s="2">
        <v>22630</v>
      </c>
      <c r="C142" s="7">
        <v>137.07599999999999</v>
      </c>
      <c r="D142" s="7">
        <v>7289.4</v>
      </c>
      <c r="E142" s="7">
        <v>105713</v>
      </c>
      <c r="F142" s="7">
        <v>86.004721373293705</v>
      </c>
    </row>
    <row r="143" spans="1:6" x14ac:dyDescent="0.35">
      <c r="A143" s="1">
        <v>37895</v>
      </c>
      <c r="B143" s="2">
        <v>22869</v>
      </c>
      <c r="C143" s="7">
        <v>137.977</v>
      </c>
      <c r="D143" s="7">
        <v>7297.7</v>
      </c>
      <c r="E143" s="7">
        <v>105750</v>
      </c>
      <c r="F143" s="7">
        <v>86.352449357282794</v>
      </c>
    </row>
    <row r="144" spans="1:6" x14ac:dyDescent="0.35">
      <c r="A144" s="1">
        <v>37926</v>
      </c>
      <c r="B144" s="2">
        <v>22864</v>
      </c>
      <c r="C144" s="7">
        <v>138.768</v>
      </c>
      <c r="D144" s="7">
        <v>7317.5</v>
      </c>
      <c r="E144" s="7">
        <v>105810</v>
      </c>
      <c r="F144" s="7">
        <v>86.159267143955503</v>
      </c>
    </row>
    <row r="145" spans="1:6" x14ac:dyDescent="0.35">
      <c r="A145" s="1">
        <v>37956</v>
      </c>
      <c r="B145" s="2">
        <v>22748</v>
      </c>
      <c r="C145" s="7">
        <v>139.63200000000001</v>
      </c>
      <c r="D145" s="7">
        <v>7326.1</v>
      </c>
      <c r="E145" s="7">
        <v>106014</v>
      </c>
      <c r="F145" s="7">
        <v>86.120630701290096</v>
      </c>
    </row>
    <row r="146" spans="1:6" x14ac:dyDescent="0.35">
      <c r="A146" s="1">
        <v>37987</v>
      </c>
      <c r="B146" s="2">
        <v>22637</v>
      </c>
      <c r="C146" s="7">
        <v>140.71100000000001</v>
      </c>
      <c r="D146" s="7">
        <v>6616.3</v>
      </c>
      <c r="E146" s="7">
        <v>105803</v>
      </c>
      <c r="F146" s="7">
        <v>86.584268013275505</v>
      </c>
    </row>
    <row r="147" spans="1:6" x14ac:dyDescent="0.35">
      <c r="A147" s="1">
        <v>38018</v>
      </c>
      <c r="B147" s="2">
        <v>22727</v>
      </c>
      <c r="C147" s="7">
        <v>142.03399999999999</v>
      </c>
      <c r="D147" s="7">
        <v>6649.9</v>
      </c>
      <c r="E147" s="7">
        <v>106006</v>
      </c>
      <c r="F147" s="7">
        <v>86.893359554599101</v>
      </c>
    </row>
    <row r="148" spans="1:6" x14ac:dyDescent="0.35">
      <c r="A148" s="1">
        <v>38047</v>
      </c>
      <c r="B148" s="2">
        <v>24992</v>
      </c>
      <c r="C148" s="7">
        <v>144.08500000000001</v>
      </c>
      <c r="D148" s="7">
        <v>6659.6</v>
      </c>
      <c r="E148" s="7">
        <v>105802</v>
      </c>
      <c r="F148" s="7">
        <v>87.627451965242599</v>
      </c>
    </row>
    <row r="149" spans="1:6" x14ac:dyDescent="0.35">
      <c r="A149" s="1">
        <v>38078</v>
      </c>
      <c r="B149" s="2">
        <v>24565</v>
      </c>
      <c r="C149" s="7">
        <v>146.18199999999999</v>
      </c>
      <c r="D149" s="7">
        <v>6679.4</v>
      </c>
      <c r="E149" s="7">
        <v>105939</v>
      </c>
      <c r="F149" s="7">
        <v>87.859270621235396</v>
      </c>
    </row>
    <row r="150" spans="1:6" x14ac:dyDescent="0.35">
      <c r="A150" s="1">
        <v>38108</v>
      </c>
      <c r="B150" s="2">
        <v>24420</v>
      </c>
      <c r="C150" s="7">
        <v>148.33500000000001</v>
      </c>
      <c r="D150" s="7">
        <v>6712.9</v>
      </c>
      <c r="E150" s="7">
        <v>106208</v>
      </c>
      <c r="F150" s="7">
        <v>87.975179949231702</v>
      </c>
    </row>
    <row r="151" spans="1:6" x14ac:dyDescent="0.35">
      <c r="A151" s="1">
        <v>38139</v>
      </c>
      <c r="B151" s="2">
        <v>24622</v>
      </c>
      <c r="C151" s="7">
        <v>150.517</v>
      </c>
      <c r="D151" s="7">
        <v>6741.7</v>
      </c>
      <c r="E151" s="7">
        <v>106051</v>
      </c>
      <c r="F151" s="7">
        <v>88.206998605224399</v>
      </c>
    </row>
    <row r="152" spans="1:6" x14ac:dyDescent="0.35">
      <c r="A152" s="1">
        <v>38169</v>
      </c>
      <c r="B152" s="2">
        <v>24538</v>
      </c>
      <c r="C152" s="7">
        <v>152.33600000000001</v>
      </c>
      <c r="D152" s="7">
        <v>6736.8</v>
      </c>
      <c r="E152" s="7">
        <v>106379</v>
      </c>
      <c r="F152" s="7">
        <v>88.554726589213402</v>
      </c>
    </row>
    <row r="153" spans="1:6" x14ac:dyDescent="0.35">
      <c r="A153" s="1">
        <v>38200</v>
      </c>
      <c r="B153" s="2">
        <v>24713</v>
      </c>
      <c r="C153" s="7">
        <v>153.81200000000001</v>
      </c>
      <c r="D153" s="7">
        <v>6759.6</v>
      </c>
      <c r="E153" s="7">
        <v>107026</v>
      </c>
      <c r="F153" s="7">
        <v>88.631999474544401</v>
      </c>
    </row>
    <row r="154" spans="1:6" x14ac:dyDescent="0.35">
      <c r="A154" s="1">
        <v>38231</v>
      </c>
      <c r="B154" s="2">
        <v>25045</v>
      </c>
      <c r="C154" s="7">
        <v>155.108</v>
      </c>
      <c r="D154" s="7">
        <v>6725.8</v>
      </c>
      <c r="E154" s="7">
        <v>107205</v>
      </c>
      <c r="F154" s="7">
        <v>88.593363031878894</v>
      </c>
    </row>
    <row r="155" spans="1:6" x14ac:dyDescent="0.35">
      <c r="A155" s="1">
        <v>38261</v>
      </c>
      <c r="B155" s="2">
        <v>24842</v>
      </c>
      <c r="C155" s="7">
        <v>156.29900000000001</v>
      </c>
      <c r="D155" s="7">
        <v>6682.5</v>
      </c>
      <c r="E155" s="7">
        <v>107511</v>
      </c>
      <c r="F155" s="7">
        <v>88.786545245206199</v>
      </c>
    </row>
    <row r="156" spans="1:6" x14ac:dyDescent="0.35">
      <c r="A156" s="1">
        <v>38292</v>
      </c>
      <c r="B156" s="2">
        <v>24974</v>
      </c>
      <c r="C156" s="7">
        <v>157.49799999999999</v>
      </c>
      <c r="D156" s="7">
        <v>6685.9</v>
      </c>
      <c r="E156" s="7">
        <v>107636</v>
      </c>
      <c r="F156" s="7">
        <v>88.477453703882603</v>
      </c>
    </row>
    <row r="157" spans="1:6" x14ac:dyDescent="0.35">
      <c r="A157" s="1">
        <v>38322</v>
      </c>
      <c r="B157" s="2">
        <v>25679</v>
      </c>
      <c r="C157" s="7">
        <v>158.67400000000001</v>
      </c>
      <c r="D157" s="7">
        <v>6922.8</v>
      </c>
      <c r="E157" s="7">
        <v>107490</v>
      </c>
      <c r="F157" s="7">
        <v>88.438817261217096</v>
      </c>
    </row>
    <row r="158" spans="1:6" x14ac:dyDescent="0.35">
      <c r="A158" s="1">
        <v>38353</v>
      </c>
      <c r="B158" s="2">
        <v>26009</v>
      </c>
      <c r="C158" s="7">
        <v>160.136</v>
      </c>
      <c r="D158" s="7">
        <v>6793.6</v>
      </c>
      <c r="E158" s="7">
        <v>107776</v>
      </c>
      <c r="F158" s="7">
        <v>88.902454573202505</v>
      </c>
    </row>
    <row r="159" spans="1:6" x14ac:dyDescent="0.35">
      <c r="A159" s="1">
        <v>38384</v>
      </c>
      <c r="B159" s="2">
        <v>25793</v>
      </c>
      <c r="C159" s="7">
        <v>161.93199999999999</v>
      </c>
      <c r="D159" s="7">
        <v>6817.1</v>
      </c>
      <c r="E159" s="7">
        <v>108070</v>
      </c>
      <c r="F159" s="7">
        <v>89.520637655849697</v>
      </c>
    </row>
    <row r="160" spans="1:6" x14ac:dyDescent="0.35">
      <c r="A160" s="1">
        <v>38412</v>
      </c>
      <c r="B160" s="2">
        <v>26253</v>
      </c>
      <c r="C160" s="7">
        <v>164.58199999999999</v>
      </c>
      <c r="D160" s="7">
        <v>6794.6</v>
      </c>
      <c r="E160" s="7">
        <v>107420</v>
      </c>
      <c r="F160" s="7">
        <v>90.293366509158801</v>
      </c>
    </row>
    <row r="161" spans="1:6" x14ac:dyDescent="0.35">
      <c r="A161" s="1">
        <v>38443</v>
      </c>
      <c r="B161" s="2">
        <v>26551</v>
      </c>
      <c r="C161" s="7">
        <v>167</v>
      </c>
      <c r="D161" s="7">
        <v>6825.9</v>
      </c>
      <c r="E161" s="7">
        <v>107560</v>
      </c>
      <c r="F161" s="7">
        <v>90.293366509158801</v>
      </c>
    </row>
    <row r="162" spans="1:6" x14ac:dyDescent="0.35">
      <c r="A162" s="1">
        <v>38473</v>
      </c>
      <c r="B162" s="2">
        <v>26463</v>
      </c>
      <c r="C162" s="7">
        <v>169.542</v>
      </c>
      <c r="D162" s="7">
        <v>6814.5</v>
      </c>
      <c r="E162" s="7">
        <v>107872</v>
      </c>
      <c r="F162" s="7">
        <v>90.100184295831497</v>
      </c>
    </row>
    <row r="163" spans="1:6" x14ac:dyDescent="0.35">
      <c r="A163" s="1">
        <v>38504</v>
      </c>
      <c r="B163" s="2">
        <v>26653</v>
      </c>
      <c r="C163" s="7">
        <v>172.01300000000001</v>
      </c>
      <c r="D163" s="7">
        <v>6800.8</v>
      </c>
      <c r="E163" s="7">
        <v>108117</v>
      </c>
      <c r="F163" s="7">
        <v>90.332002951824194</v>
      </c>
    </row>
    <row r="164" spans="1:6" x14ac:dyDescent="0.35">
      <c r="A164" s="1">
        <v>38534</v>
      </c>
      <c r="B164" s="2">
        <v>26578</v>
      </c>
      <c r="C164" s="7">
        <v>174.09599999999901</v>
      </c>
      <c r="D164" s="7">
        <v>6817.1</v>
      </c>
      <c r="E164" s="7">
        <v>108330</v>
      </c>
      <c r="F164" s="7">
        <v>90.757003821144195</v>
      </c>
    </row>
    <row r="165" spans="1:6" x14ac:dyDescent="0.35">
      <c r="A165" s="1">
        <v>38565</v>
      </c>
      <c r="B165" s="2">
        <v>26745</v>
      </c>
      <c r="C165" s="7">
        <v>175.922</v>
      </c>
      <c r="D165" s="7">
        <v>6826.9</v>
      </c>
      <c r="E165" s="7">
        <v>108448</v>
      </c>
      <c r="F165" s="7">
        <v>90.795640263809602</v>
      </c>
    </row>
    <row r="166" spans="1:6" x14ac:dyDescent="0.35">
      <c r="A166" s="1">
        <v>38596</v>
      </c>
      <c r="B166" s="2">
        <v>27123</v>
      </c>
      <c r="C166" s="7">
        <v>177.61099999999999</v>
      </c>
      <c r="D166" s="7">
        <v>6809.3</v>
      </c>
      <c r="E166" s="7">
        <v>108517</v>
      </c>
      <c r="F166" s="7">
        <v>90.332002951824194</v>
      </c>
    </row>
    <row r="167" spans="1:6" x14ac:dyDescent="0.35">
      <c r="A167" s="1">
        <v>38626</v>
      </c>
      <c r="B167" s="2">
        <v>27640</v>
      </c>
      <c r="C167" s="7">
        <v>178.75399999999999</v>
      </c>
      <c r="D167" s="7">
        <v>6772.6</v>
      </c>
      <c r="E167" s="7">
        <v>108636</v>
      </c>
      <c r="F167" s="7">
        <v>90.834276706475094</v>
      </c>
    </row>
    <row r="168" spans="1:6" x14ac:dyDescent="0.35">
      <c r="A168" s="1">
        <v>38657</v>
      </c>
      <c r="B168" s="2">
        <v>27725</v>
      </c>
      <c r="C168" s="7">
        <v>179.67699999999999</v>
      </c>
      <c r="D168" s="7">
        <v>6791.6</v>
      </c>
      <c r="E168" s="7">
        <v>108857</v>
      </c>
      <c r="F168" s="7">
        <v>90.757003821144195</v>
      </c>
    </row>
    <row r="169" spans="1:6" x14ac:dyDescent="0.35">
      <c r="A169" s="1">
        <v>38687</v>
      </c>
      <c r="B169" s="2">
        <v>27308</v>
      </c>
      <c r="C169" s="7">
        <v>180.11099999999999</v>
      </c>
      <c r="D169" s="7">
        <v>7023.2</v>
      </c>
      <c r="E169" s="7">
        <v>109171</v>
      </c>
      <c r="F169" s="7">
        <v>90.795640263809602</v>
      </c>
    </row>
    <row r="170" spans="1:6" x14ac:dyDescent="0.35">
      <c r="A170" s="1">
        <v>38718</v>
      </c>
      <c r="B170" s="2">
        <v>29549</v>
      </c>
      <c r="C170" s="7">
        <v>180.83199999999999</v>
      </c>
      <c r="D170" s="7">
        <v>6892.9</v>
      </c>
      <c r="E170" s="7">
        <v>109402</v>
      </c>
      <c r="F170" s="7">
        <v>91.259277575794997</v>
      </c>
    </row>
    <row r="171" spans="1:6" x14ac:dyDescent="0.35">
      <c r="A171" s="1">
        <v>38749</v>
      </c>
      <c r="B171" s="2">
        <v>29508</v>
      </c>
      <c r="C171" s="7">
        <v>181.50399999999999</v>
      </c>
      <c r="D171" s="7">
        <v>6908.4</v>
      </c>
      <c r="E171" s="7">
        <v>109368</v>
      </c>
      <c r="F171" s="7">
        <v>91.877460658442303</v>
      </c>
    </row>
    <row r="172" spans="1:6" x14ac:dyDescent="0.35">
      <c r="A172" s="1">
        <v>38777</v>
      </c>
      <c r="B172" s="2">
        <v>29443</v>
      </c>
      <c r="C172" s="7">
        <v>182.75299999999999</v>
      </c>
      <c r="D172" s="7">
        <v>6930.4</v>
      </c>
      <c r="E172" s="7">
        <v>109098</v>
      </c>
      <c r="F172" s="7">
        <v>92.572916626420394</v>
      </c>
    </row>
    <row r="173" spans="1:6" x14ac:dyDescent="0.35">
      <c r="A173" s="1">
        <v>38808</v>
      </c>
      <c r="B173" s="2">
        <v>28900</v>
      </c>
      <c r="C173" s="7">
        <v>183.65</v>
      </c>
      <c r="D173" s="7">
        <v>6932.6</v>
      </c>
      <c r="E173" s="7">
        <v>109353</v>
      </c>
      <c r="F173" s="7">
        <v>92.882008167744004</v>
      </c>
    </row>
    <row r="174" spans="1:6" x14ac:dyDescent="0.35">
      <c r="A174" s="1">
        <v>38838</v>
      </c>
      <c r="B174" s="2">
        <v>27793</v>
      </c>
      <c r="C174" s="7">
        <v>184.38200000000001</v>
      </c>
      <c r="D174" s="7">
        <v>7016.1</v>
      </c>
      <c r="E174" s="7">
        <v>109623</v>
      </c>
      <c r="F174" s="7">
        <v>93.113826823736701</v>
      </c>
    </row>
    <row r="175" spans="1:6" x14ac:dyDescent="0.35">
      <c r="A175" s="1">
        <v>38869</v>
      </c>
      <c r="B175" s="2">
        <v>27391</v>
      </c>
      <c r="C175" s="7">
        <v>184.55099999999999</v>
      </c>
      <c r="D175" s="7">
        <v>7002.8</v>
      </c>
      <c r="E175" s="7">
        <v>109373</v>
      </c>
      <c r="F175" s="7">
        <v>93.500191250391197</v>
      </c>
    </row>
    <row r="176" spans="1:6" x14ac:dyDescent="0.35">
      <c r="A176" s="1">
        <v>38899</v>
      </c>
      <c r="B176" s="2">
        <v>27306</v>
      </c>
      <c r="C176" s="7">
        <v>184.61500000000001</v>
      </c>
      <c r="D176" s="7">
        <v>7008.8</v>
      </c>
      <c r="E176" s="7">
        <v>109504</v>
      </c>
      <c r="F176" s="7">
        <v>94.041101447707504</v>
      </c>
    </row>
    <row r="177" spans="1:6" x14ac:dyDescent="0.35">
      <c r="A177" s="1">
        <v>38930</v>
      </c>
      <c r="B177" s="2">
        <v>27380</v>
      </c>
      <c r="C177" s="7">
        <v>184.41399999999999</v>
      </c>
      <c r="D177" s="7">
        <v>7019.1</v>
      </c>
      <c r="E177" s="7">
        <v>109611</v>
      </c>
      <c r="F177" s="7">
        <v>94.311556546365594</v>
      </c>
    </row>
    <row r="178" spans="1:6" x14ac:dyDescent="0.35">
      <c r="A178" s="1">
        <v>38961</v>
      </c>
      <c r="B178" s="2">
        <v>26963</v>
      </c>
      <c r="C178" s="7">
        <v>184.20699999999999</v>
      </c>
      <c r="D178" s="7">
        <v>7048.2</v>
      </c>
      <c r="E178" s="7">
        <v>109773</v>
      </c>
      <c r="F178" s="7">
        <v>94.195647218369302</v>
      </c>
    </row>
    <row r="179" spans="1:6" x14ac:dyDescent="0.35">
      <c r="A179" s="1">
        <v>38991</v>
      </c>
      <c r="B179" s="2">
        <v>27158</v>
      </c>
      <c r="C179" s="7">
        <v>184.06200000000001</v>
      </c>
      <c r="D179" s="7">
        <v>7113.4</v>
      </c>
      <c r="E179" s="7">
        <v>110020</v>
      </c>
      <c r="F179" s="7">
        <v>94.543375202358405</v>
      </c>
    </row>
    <row r="180" spans="1:6" x14ac:dyDescent="0.35">
      <c r="A180" s="1">
        <v>39022</v>
      </c>
      <c r="B180" s="2">
        <v>26696</v>
      </c>
      <c r="C180" s="7">
        <v>183.63800000000001</v>
      </c>
      <c r="D180" s="7">
        <v>7111.1</v>
      </c>
      <c r="E180" s="7">
        <v>109937</v>
      </c>
      <c r="F180" s="7">
        <v>94.543375202358405</v>
      </c>
    </row>
    <row r="181" spans="1:6" x14ac:dyDescent="0.35">
      <c r="A181" s="1">
        <v>39052</v>
      </c>
      <c r="B181" s="2">
        <v>27151</v>
      </c>
      <c r="C181" s="7">
        <v>183.23599999999999</v>
      </c>
      <c r="D181" s="7">
        <v>7144.2</v>
      </c>
      <c r="E181" s="7">
        <v>109838</v>
      </c>
      <c r="F181" s="7">
        <v>94.659284530354697</v>
      </c>
    </row>
    <row r="182" spans="1:6" x14ac:dyDescent="0.35">
      <c r="A182" s="1">
        <v>39083</v>
      </c>
      <c r="B182" s="2">
        <v>27380</v>
      </c>
      <c r="C182" s="7">
        <v>182.72399999999999</v>
      </c>
      <c r="D182" s="7">
        <v>7174.2</v>
      </c>
      <c r="E182" s="7">
        <v>109807</v>
      </c>
      <c r="F182" s="7">
        <v>95.229558424096794</v>
      </c>
    </row>
    <row r="183" spans="1:6" x14ac:dyDescent="0.35">
      <c r="A183" s="1">
        <v>39114</v>
      </c>
      <c r="B183" s="2">
        <v>27083</v>
      </c>
      <c r="C183" s="7">
        <v>182.476</v>
      </c>
      <c r="D183" s="7">
        <v>7190.3</v>
      </c>
      <c r="E183" s="7">
        <v>109700</v>
      </c>
      <c r="F183" s="7">
        <v>95.827650556557998</v>
      </c>
    </row>
    <row r="184" spans="1:6" x14ac:dyDescent="0.35">
      <c r="A184" s="1">
        <v>39142</v>
      </c>
      <c r="B184" s="2">
        <v>27583</v>
      </c>
      <c r="C184" s="7">
        <v>182.19900000000001</v>
      </c>
      <c r="D184" s="7">
        <v>7208.3</v>
      </c>
      <c r="E184" s="7">
        <v>109606</v>
      </c>
      <c r="F184" s="7">
        <v>96.238355942091701</v>
      </c>
    </row>
    <row r="185" spans="1:6" x14ac:dyDescent="0.35">
      <c r="A185" s="1">
        <v>39173</v>
      </c>
      <c r="B185" s="2">
        <v>26569</v>
      </c>
      <c r="C185" s="7">
        <v>182.13800000000001</v>
      </c>
      <c r="D185" s="7">
        <v>7153.1</v>
      </c>
      <c r="E185" s="7">
        <v>110197</v>
      </c>
      <c r="F185" s="7">
        <v>96.543583839148795</v>
      </c>
    </row>
    <row r="186" spans="1:6" x14ac:dyDescent="0.35">
      <c r="A186" s="1">
        <v>39203</v>
      </c>
      <c r="B186" s="2">
        <v>27164</v>
      </c>
      <c r="C186" s="7">
        <v>181.892</v>
      </c>
      <c r="D186" s="7">
        <v>7223.3</v>
      </c>
      <c r="E186" s="7">
        <v>110541</v>
      </c>
      <c r="F186" s="7">
        <v>96.612356707093198</v>
      </c>
    </row>
    <row r="187" spans="1:6" x14ac:dyDescent="0.35">
      <c r="A187" s="1">
        <v>39234</v>
      </c>
      <c r="B187" s="2">
        <v>26656</v>
      </c>
      <c r="C187" s="7">
        <v>181.54900000000001</v>
      </c>
      <c r="D187" s="7">
        <v>7245.4</v>
      </c>
      <c r="E187" s="7">
        <v>110284</v>
      </c>
      <c r="F187" s="7">
        <v>97.054743975612695</v>
      </c>
    </row>
    <row r="188" spans="1:6" x14ac:dyDescent="0.35">
      <c r="A188" s="1">
        <v>39264</v>
      </c>
      <c r="B188" s="2">
        <v>26842</v>
      </c>
      <c r="C188" s="7">
        <v>181.00299999999999</v>
      </c>
      <c r="D188" s="7">
        <v>7259.9</v>
      </c>
      <c r="E188" s="7">
        <v>110195</v>
      </c>
      <c r="F188" s="7">
        <v>97.502153981678603</v>
      </c>
    </row>
    <row r="189" spans="1:6" x14ac:dyDescent="0.35">
      <c r="A189" s="1">
        <v>39295</v>
      </c>
      <c r="B189" s="2">
        <v>26654</v>
      </c>
      <c r="C189" s="7">
        <v>180.244</v>
      </c>
      <c r="D189" s="7">
        <v>7265.8</v>
      </c>
      <c r="E189" s="7">
        <v>110276</v>
      </c>
      <c r="F189" s="7">
        <v>97.568608663063202</v>
      </c>
    </row>
    <row r="190" spans="1:6" x14ac:dyDescent="0.35">
      <c r="A190" s="1">
        <v>39326</v>
      </c>
      <c r="B190" s="2">
        <v>26455</v>
      </c>
      <c r="C190" s="7">
        <v>179.13200000000001</v>
      </c>
      <c r="D190" s="7">
        <v>7289.4</v>
      </c>
      <c r="E190" s="7">
        <v>110425</v>
      </c>
      <c r="F190" s="7">
        <v>97.468926640986297</v>
      </c>
    </row>
    <row r="191" spans="1:6" x14ac:dyDescent="0.35">
      <c r="A191" s="1">
        <v>39356</v>
      </c>
      <c r="B191" s="2">
        <v>26194</v>
      </c>
      <c r="C191" s="7">
        <v>177.542</v>
      </c>
      <c r="D191" s="7">
        <v>7297.7</v>
      </c>
      <c r="E191" s="7">
        <v>110739</v>
      </c>
      <c r="F191" s="7">
        <v>97.639313353141006</v>
      </c>
    </row>
    <row r="192" spans="1:6" x14ac:dyDescent="0.35">
      <c r="A192" s="1">
        <v>39387</v>
      </c>
      <c r="B192" s="2">
        <v>26581</v>
      </c>
      <c r="C192" s="7">
        <v>175.17500000000001</v>
      </c>
      <c r="D192" s="7">
        <v>7317.5</v>
      </c>
      <c r="E192" s="7">
        <v>110875</v>
      </c>
      <c r="F192" s="7">
        <v>97.555085908130195</v>
      </c>
    </row>
    <row r="193" spans="1:6" x14ac:dyDescent="0.35">
      <c r="A193" s="1">
        <v>39417</v>
      </c>
      <c r="B193" s="2">
        <v>25653</v>
      </c>
      <c r="C193" s="7">
        <v>173.351</v>
      </c>
      <c r="D193" s="7">
        <v>7326.1</v>
      </c>
      <c r="E193" s="7">
        <v>111021</v>
      </c>
      <c r="F193" s="7">
        <v>97.622313318368199</v>
      </c>
    </row>
    <row r="194" spans="1:6" x14ac:dyDescent="0.35">
      <c r="A194" s="1">
        <v>39448</v>
      </c>
      <c r="B194" s="2">
        <v>25665</v>
      </c>
      <c r="C194" s="7">
        <v>171.09</v>
      </c>
      <c r="D194" s="7">
        <v>6616.3</v>
      </c>
      <c r="E194" s="7">
        <v>110924</v>
      </c>
      <c r="F194" s="7">
        <v>98.2289054682157</v>
      </c>
    </row>
    <row r="195" spans="1:6" x14ac:dyDescent="0.35">
      <c r="A195" s="1">
        <v>39479</v>
      </c>
      <c r="B195" s="2">
        <v>25649</v>
      </c>
      <c r="C195" s="7">
        <v>169.203</v>
      </c>
      <c r="D195" s="7">
        <v>6649.9</v>
      </c>
      <c r="E195" s="7">
        <v>110868</v>
      </c>
      <c r="F195" s="7">
        <v>98.599815317804101</v>
      </c>
    </row>
    <row r="196" spans="1:6" x14ac:dyDescent="0.35">
      <c r="A196" s="1">
        <v>39508</v>
      </c>
      <c r="B196" s="2">
        <v>25385</v>
      </c>
      <c r="C196" s="7">
        <v>167.91399999999999</v>
      </c>
      <c r="D196" s="7">
        <v>6659.6</v>
      </c>
      <c r="E196" s="7">
        <v>110680</v>
      </c>
      <c r="F196" s="7">
        <v>99.090884504081899</v>
      </c>
    </row>
    <row r="197" spans="1:6" x14ac:dyDescent="0.35">
      <c r="A197" s="1">
        <v>39539</v>
      </c>
      <c r="B197" s="2">
        <v>25358</v>
      </c>
      <c r="C197" s="7">
        <v>167.33199999999999</v>
      </c>
      <c r="D197" s="7">
        <v>6679.4</v>
      </c>
      <c r="E197" s="7">
        <v>111115</v>
      </c>
      <c r="F197" s="7">
        <v>99.088179953095405</v>
      </c>
    </row>
    <row r="198" spans="1:6" x14ac:dyDescent="0.35">
      <c r="A198" s="1">
        <v>39569</v>
      </c>
      <c r="B198" s="2">
        <v>25622</v>
      </c>
      <c r="C198" s="7">
        <v>167.03</v>
      </c>
      <c r="D198" s="7">
        <v>6712.9</v>
      </c>
      <c r="E198" s="7">
        <v>111150</v>
      </c>
      <c r="F198" s="7">
        <v>99.114839098534503</v>
      </c>
    </row>
    <row r="199" spans="1:6" x14ac:dyDescent="0.35">
      <c r="A199" s="1">
        <v>39600</v>
      </c>
      <c r="B199" s="2">
        <v>25728</v>
      </c>
      <c r="C199" s="7">
        <v>166.55</v>
      </c>
      <c r="D199" s="7">
        <v>6741.7</v>
      </c>
      <c r="E199" s="7">
        <v>111420</v>
      </c>
      <c r="F199" s="7">
        <v>99.521680839801704</v>
      </c>
    </row>
    <row r="200" spans="1:6" x14ac:dyDescent="0.35">
      <c r="A200" s="1">
        <v>39630</v>
      </c>
      <c r="B200" s="2">
        <v>25943</v>
      </c>
      <c r="C200" s="7">
        <v>165.72900000000001</v>
      </c>
      <c r="D200" s="7">
        <v>6736.8</v>
      </c>
      <c r="E200" s="7">
        <v>111572</v>
      </c>
      <c r="F200" s="7">
        <v>99.928136216642201</v>
      </c>
    </row>
    <row r="201" spans="1:6" x14ac:dyDescent="0.35">
      <c r="A201" s="1">
        <v>39661</v>
      </c>
      <c r="B201" s="2">
        <v>25343</v>
      </c>
      <c r="C201" s="7">
        <v>164.29400000000001</v>
      </c>
      <c r="D201" s="7">
        <v>6759.6</v>
      </c>
      <c r="E201" s="7">
        <v>111724</v>
      </c>
      <c r="F201" s="7">
        <v>99.893363418243396</v>
      </c>
    </row>
    <row r="202" spans="1:6" x14ac:dyDescent="0.35">
      <c r="A202" s="1">
        <v>39692</v>
      </c>
      <c r="B202" s="2">
        <v>25187</v>
      </c>
      <c r="C202" s="7">
        <v>161.92599999999999</v>
      </c>
      <c r="D202" s="7">
        <v>6725.8</v>
      </c>
      <c r="E202" s="7">
        <v>111893</v>
      </c>
      <c r="F202" s="7">
        <v>99.780545005660201</v>
      </c>
    </row>
    <row r="203" spans="1:6" x14ac:dyDescent="0.35">
      <c r="A203" s="1">
        <v>39722</v>
      </c>
      <c r="B203" s="2">
        <v>24592</v>
      </c>
      <c r="C203" s="7">
        <v>159.172</v>
      </c>
      <c r="D203" s="7">
        <v>6682.5</v>
      </c>
      <c r="E203" s="7">
        <v>112073</v>
      </c>
      <c r="F203" s="7">
        <v>99.824204185872205</v>
      </c>
    </row>
    <row r="204" spans="1:6" x14ac:dyDescent="0.35">
      <c r="A204" s="1">
        <v>39753</v>
      </c>
      <c r="B204" s="2">
        <v>23225</v>
      </c>
      <c r="C204" s="7">
        <v>156.07900000000001</v>
      </c>
      <c r="D204" s="7">
        <v>6685.9</v>
      </c>
      <c r="E204" s="7">
        <v>111792</v>
      </c>
      <c r="F204" s="7">
        <v>99.6669538642238</v>
      </c>
    </row>
    <row r="205" spans="1:6" x14ac:dyDescent="0.35">
      <c r="A205" s="1">
        <v>39783</v>
      </c>
      <c r="B205" s="2">
        <v>22911</v>
      </c>
      <c r="C205" s="7">
        <v>152.554</v>
      </c>
      <c r="D205" s="7">
        <v>6922.8</v>
      </c>
      <c r="E205" s="7">
        <v>111696</v>
      </c>
      <c r="F205" s="7">
        <v>99.514726280121906</v>
      </c>
    </row>
    <row r="206" spans="1:6" x14ac:dyDescent="0.35">
      <c r="A206" s="1">
        <v>39814</v>
      </c>
      <c r="B206" s="2">
        <v>22705</v>
      </c>
      <c r="C206" s="7">
        <v>149.37299999999999</v>
      </c>
      <c r="D206" s="7">
        <v>6793.6</v>
      </c>
      <c r="E206" s="7">
        <v>111079</v>
      </c>
      <c r="F206" s="7">
        <v>100.002704550987</v>
      </c>
    </row>
    <row r="207" spans="1:6" x14ac:dyDescent="0.35">
      <c r="A207" s="1">
        <v>39845</v>
      </c>
      <c r="B207" s="2">
        <v>22495</v>
      </c>
      <c r="C207" s="7">
        <v>147.63</v>
      </c>
      <c r="D207" s="7">
        <v>6817.1</v>
      </c>
      <c r="E207" s="7">
        <v>111413</v>
      </c>
      <c r="F207" s="7">
        <v>100.23838685124601</v>
      </c>
    </row>
    <row r="208" spans="1:6" x14ac:dyDescent="0.35">
      <c r="A208" s="1">
        <v>39873</v>
      </c>
      <c r="B208" s="2">
        <v>22167</v>
      </c>
      <c r="C208" s="7">
        <v>146.52799999999999</v>
      </c>
      <c r="D208" s="7">
        <v>6794.6</v>
      </c>
      <c r="E208" s="7">
        <v>111612</v>
      </c>
      <c r="F208" s="7">
        <v>100.530864722223</v>
      </c>
    </row>
    <row r="209" spans="1:6" x14ac:dyDescent="0.35">
      <c r="A209" s="1">
        <v>39904</v>
      </c>
      <c r="B209" s="2">
        <v>22106</v>
      </c>
      <c r="C209" s="7">
        <v>146.96</v>
      </c>
      <c r="D209" s="7">
        <v>6825.9</v>
      </c>
      <c r="E209" s="7">
        <v>112106</v>
      </c>
      <c r="F209" s="7">
        <v>100.63595584627301</v>
      </c>
    </row>
    <row r="210" spans="1:6" x14ac:dyDescent="0.35">
      <c r="A210" s="1">
        <v>39934</v>
      </c>
      <c r="B210" s="2">
        <v>22321</v>
      </c>
      <c r="C210" s="7">
        <v>148.18899999999999</v>
      </c>
      <c r="D210" s="7">
        <v>6814.5</v>
      </c>
      <c r="E210" s="7">
        <v>111950</v>
      </c>
      <c r="F210" s="7">
        <v>100.604660327714</v>
      </c>
    </row>
    <row r="211" spans="1:6" x14ac:dyDescent="0.35">
      <c r="A211" s="1">
        <v>39965</v>
      </c>
      <c r="B211" s="2">
        <v>22294</v>
      </c>
      <c r="C211" s="7">
        <v>149.81299999999999</v>
      </c>
      <c r="D211" s="7">
        <v>6800.8</v>
      </c>
      <c r="E211" s="7">
        <v>112302</v>
      </c>
      <c r="F211" s="7">
        <v>100.790501616935</v>
      </c>
    </row>
    <row r="212" spans="1:6" x14ac:dyDescent="0.35">
      <c r="A212" s="1">
        <v>39995</v>
      </c>
      <c r="B212" s="2">
        <v>21904</v>
      </c>
      <c r="C212" s="7">
        <v>150.75899999999999</v>
      </c>
      <c r="D212" s="7">
        <v>6817.1</v>
      </c>
      <c r="E212" s="7">
        <v>111298</v>
      </c>
      <c r="F212" s="7">
        <v>100.81600166909401</v>
      </c>
    </row>
    <row r="213" spans="1:6" x14ac:dyDescent="0.35">
      <c r="A213" s="1">
        <v>40026</v>
      </c>
      <c r="B213" s="2">
        <v>21439</v>
      </c>
      <c r="C213" s="7">
        <v>150.67500000000001</v>
      </c>
      <c r="D213" s="7">
        <v>6826.9</v>
      </c>
      <c r="E213" s="7">
        <v>111427</v>
      </c>
      <c r="F213" s="7">
        <v>100.786251608242</v>
      </c>
    </row>
    <row r="214" spans="1:6" x14ac:dyDescent="0.35">
      <c r="A214" s="1">
        <v>40057</v>
      </c>
      <c r="B214" s="2">
        <v>21401</v>
      </c>
      <c r="C214" s="7">
        <v>149.63399999999999</v>
      </c>
      <c r="D214" s="7">
        <v>6809.3</v>
      </c>
      <c r="E214" s="7">
        <v>111651</v>
      </c>
      <c r="F214" s="7">
        <v>100.47947825347801</v>
      </c>
    </row>
    <row r="215" spans="1:6" x14ac:dyDescent="0.35">
      <c r="A215" s="1">
        <v>40087</v>
      </c>
      <c r="B215" s="2">
        <v>20626</v>
      </c>
      <c r="C215" s="7">
        <v>148.595</v>
      </c>
      <c r="D215" s="7">
        <v>6772.6</v>
      </c>
      <c r="E215" s="7">
        <v>111698</v>
      </c>
      <c r="F215" s="7">
        <v>100.468273685105</v>
      </c>
    </row>
    <row r="216" spans="1:6" x14ac:dyDescent="0.35">
      <c r="A216" s="1">
        <v>40118</v>
      </c>
      <c r="B216" s="2">
        <v>20927</v>
      </c>
      <c r="C216" s="7">
        <v>147.95400000000001</v>
      </c>
      <c r="D216" s="7">
        <v>6791.6</v>
      </c>
      <c r="E216" s="7">
        <v>111797</v>
      </c>
      <c r="F216" s="7">
        <v>99.954022633228107</v>
      </c>
    </row>
    <row r="217" spans="1:6" x14ac:dyDescent="0.35">
      <c r="A217" s="1">
        <v>40148</v>
      </c>
      <c r="B217" s="2">
        <v>20904</v>
      </c>
      <c r="C217" s="7">
        <v>146.684</v>
      </c>
      <c r="D217" s="7">
        <v>7023.2</v>
      </c>
      <c r="E217" s="7">
        <v>111636</v>
      </c>
      <c r="F217" s="7">
        <v>99.799090498139606</v>
      </c>
    </row>
    <row r="218" spans="1:6" x14ac:dyDescent="0.35">
      <c r="A218" s="1">
        <v>40179</v>
      </c>
      <c r="B218" s="2">
        <v>20561</v>
      </c>
      <c r="C218" s="7">
        <v>145.00299999999999</v>
      </c>
      <c r="D218" s="7">
        <v>6892.9</v>
      </c>
      <c r="E218" s="7">
        <v>111686</v>
      </c>
      <c r="F218" s="7">
        <v>99.829613287845405</v>
      </c>
    </row>
    <row r="219" spans="1:6" x14ac:dyDescent="0.35">
      <c r="A219" s="1">
        <v>40210</v>
      </c>
      <c r="B219" s="2">
        <v>20448</v>
      </c>
      <c r="C219" s="7">
        <v>143.05699999999999</v>
      </c>
      <c r="D219" s="7">
        <v>6908.4</v>
      </c>
      <c r="E219" s="7">
        <v>111881</v>
      </c>
      <c r="F219" s="7">
        <v>99.850090602457996</v>
      </c>
    </row>
    <row r="220" spans="1:6" x14ac:dyDescent="0.35">
      <c r="A220" s="1">
        <v>40238</v>
      </c>
      <c r="B220" s="2">
        <v>21862</v>
      </c>
      <c r="C220" s="7">
        <v>143.59399999999999</v>
      </c>
      <c r="D220" s="7">
        <v>6930.4</v>
      </c>
      <c r="E220" s="7">
        <v>111983</v>
      </c>
      <c r="F220" s="7">
        <v>99.870954281497404</v>
      </c>
    </row>
    <row r="221" spans="1:6" x14ac:dyDescent="0.35">
      <c r="A221" s="1">
        <v>40269</v>
      </c>
      <c r="B221" s="2">
        <v>23489</v>
      </c>
      <c r="C221" s="7">
        <v>145.392</v>
      </c>
      <c r="D221" s="7">
        <v>6932.6</v>
      </c>
      <c r="E221" s="7">
        <v>112126</v>
      </c>
      <c r="F221" s="7">
        <v>99.858590619844406</v>
      </c>
    </row>
    <row r="222" spans="1:6" x14ac:dyDescent="0.35">
      <c r="A222" s="1">
        <v>40299</v>
      </c>
      <c r="B222" s="2">
        <v>21728</v>
      </c>
      <c r="C222" s="7">
        <v>147.023</v>
      </c>
      <c r="D222" s="7">
        <v>7016.1</v>
      </c>
      <c r="E222" s="7">
        <v>112299</v>
      </c>
      <c r="F222" s="7">
        <v>99.884863400856901</v>
      </c>
    </row>
    <row r="223" spans="1:6" x14ac:dyDescent="0.35">
      <c r="A223" s="1">
        <v>40330</v>
      </c>
      <c r="B223" s="2">
        <v>21575</v>
      </c>
      <c r="C223" s="7">
        <v>147.68600000000001</v>
      </c>
      <c r="D223" s="7">
        <v>7002.8</v>
      </c>
      <c r="E223" s="7">
        <v>112220</v>
      </c>
      <c r="F223" s="7">
        <v>100.033613705119</v>
      </c>
    </row>
    <row r="224" spans="1:6" x14ac:dyDescent="0.35">
      <c r="A224" s="1">
        <v>40360</v>
      </c>
      <c r="B224" s="2">
        <v>21476</v>
      </c>
      <c r="C224" s="7">
        <v>147.54</v>
      </c>
      <c r="D224" s="7">
        <v>7008.8</v>
      </c>
      <c r="E224" s="7">
        <v>111612</v>
      </c>
      <c r="F224" s="7">
        <v>100.112818412583</v>
      </c>
    </row>
    <row r="225" spans="1:6" x14ac:dyDescent="0.35">
      <c r="A225" s="1">
        <v>40391</v>
      </c>
      <c r="B225" s="2">
        <v>21252</v>
      </c>
      <c r="C225" s="7">
        <v>146.399</v>
      </c>
      <c r="D225" s="7">
        <v>7019.1</v>
      </c>
      <c r="E225" s="7">
        <v>111604</v>
      </c>
      <c r="F225" s="7">
        <v>100.074181969918</v>
      </c>
    </row>
    <row r="226" spans="1:6" x14ac:dyDescent="0.35">
      <c r="A226" s="1">
        <v>40422</v>
      </c>
      <c r="B226" s="2">
        <v>21389</v>
      </c>
      <c r="C226" s="7">
        <v>144.583</v>
      </c>
      <c r="D226" s="7">
        <v>7048.2</v>
      </c>
      <c r="E226" s="7">
        <v>112527</v>
      </c>
      <c r="F226" s="7">
        <v>100.042886451359</v>
      </c>
    </row>
    <row r="227" spans="1:6" x14ac:dyDescent="0.35">
      <c r="A227" s="1">
        <v>40452</v>
      </c>
      <c r="B227" s="2">
        <v>22062</v>
      </c>
      <c r="C227" s="7">
        <v>143.11500000000001</v>
      </c>
      <c r="D227" s="7">
        <v>7113.4</v>
      </c>
      <c r="E227" s="7">
        <v>112516</v>
      </c>
      <c r="F227" s="7">
        <v>100.089250182557</v>
      </c>
    </row>
    <row r="228" spans="1:6" x14ac:dyDescent="0.35">
      <c r="A228" s="1">
        <v>40483</v>
      </c>
      <c r="B228" s="2">
        <v>21906</v>
      </c>
      <c r="C228" s="7">
        <v>141.81399999999999</v>
      </c>
      <c r="D228" s="7">
        <v>7111.1</v>
      </c>
      <c r="E228" s="7">
        <v>112403</v>
      </c>
      <c r="F228" s="7">
        <v>100.12325025210301</v>
      </c>
    </row>
    <row r="229" spans="1:6" x14ac:dyDescent="0.35">
      <c r="A229" s="1">
        <v>40513</v>
      </c>
      <c r="B229" s="2">
        <v>22155</v>
      </c>
      <c r="C229" s="7">
        <v>140.63</v>
      </c>
      <c r="D229" s="7">
        <v>7144.2</v>
      </c>
      <c r="E229" s="7">
        <v>112434</v>
      </c>
      <c r="F229" s="7">
        <v>100.229886833859</v>
      </c>
    </row>
    <row r="230" spans="1:6" x14ac:dyDescent="0.35">
      <c r="A230" s="1">
        <v>40544</v>
      </c>
      <c r="B230" s="2">
        <v>21469</v>
      </c>
      <c r="C230" s="7">
        <v>139.04300000000001</v>
      </c>
      <c r="D230" s="7">
        <v>7174.2</v>
      </c>
      <c r="E230" s="7">
        <v>112327</v>
      </c>
      <c r="F230" s="7">
        <v>100.42925087801299</v>
      </c>
    </row>
    <row r="231" spans="1:6" x14ac:dyDescent="0.35">
      <c r="A231" s="1">
        <v>40575</v>
      </c>
      <c r="B231" s="2">
        <v>21196</v>
      </c>
      <c r="C231" s="7">
        <v>137.74</v>
      </c>
      <c r="D231" s="7">
        <v>7190.3</v>
      </c>
      <c r="E231" s="7">
        <v>112219</v>
      </c>
      <c r="F231" s="7">
        <v>100.598864861314</v>
      </c>
    </row>
    <row r="232" spans="1:6" x14ac:dyDescent="0.35">
      <c r="A232" s="1">
        <v>40603</v>
      </c>
      <c r="B232" s="2">
        <v>21880</v>
      </c>
      <c r="C232" s="7">
        <v>137.79</v>
      </c>
      <c r="D232" s="7">
        <v>7208.3</v>
      </c>
      <c r="E232" s="7">
        <v>111946</v>
      </c>
      <c r="F232" s="7">
        <v>100.776978862002</v>
      </c>
    </row>
    <row r="233" spans="1:6" x14ac:dyDescent="0.35">
      <c r="A233" s="1">
        <v>40634</v>
      </c>
      <c r="B233" s="2">
        <v>22050</v>
      </c>
      <c r="C233" s="7">
        <v>139.154</v>
      </c>
      <c r="D233" s="7">
        <v>7153.1</v>
      </c>
      <c r="E233" s="7">
        <v>112382</v>
      </c>
      <c r="F233" s="7">
        <v>100.826819873041</v>
      </c>
    </row>
    <row r="234" spans="1:6" x14ac:dyDescent="0.35">
      <c r="A234" s="1">
        <v>40664</v>
      </c>
      <c r="B234" s="2">
        <v>22311</v>
      </c>
      <c r="C234" s="7">
        <v>140.684</v>
      </c>
      <c r="D234" s="7">
        <v>7223.3</v>
      </c>
      <c r="E234" s="7">
        <v>112573</v>
      </c>
      <c r="F234" s="7">
        <v>100.946206480877</v>
      </c>
    </row>
    <row r="235" spans="1:6" x14ac:dyDescent="0.35">
      <c r="A235" s="1">
        <v>40695</v>
      </c>
      <c r="B235" s="2">
        <v>22745</v>
      </c>
      <c r="C235" s="7">
        <v>141.935</v>
      </c>
      <c r="D235" s="7">
        <v>7245.4</v>
      </c>
      <c r="E235" s="7">
        <v>112464</v>
      </c>
      <c r="F235" s="7">
        <v>101.218593401668</v>
      </c>
    </row>
    <row r="236" spans="1:6" x14ac:dyDescent="0.35">
      <c r="A236" s="1">
        <v>40725</v>
      </c>
      <c r="B236" s="2">
        <v>22762</v>
      </c>
      <c r="C236" s="7">
        <v>142.328</v>
      </c>
      <c r="D236" s="7">
        <v>7259.9</v>
      </c>
      <c r="E236" s="7">
        <v>113269</v>
      </c>
      <c r="F236" s="7">
        <v>101.51609401019201</v>
      </c>
    </row>
    <row r="237" spans="1:6" x14ac:dyDescent="0.35">
      <c r="A237" s="1">
        <v>40756</v>
      </c>
      <c r="B237" s="2">
        <v>22752</v>
      </c>
      <c r="C237" s="7">
        <v>141.77000000000001</v>
      </c>
      <c r="D237" s="7">
        <v>7265.8</v>
      </c>
      <c r="E237" s="7">
        <v>113529</v>
      </c>
      <c r="F237" s="7">
        <v>101.67257160298701</v>
      </c>
    </row>
    <row r="238" spans="1:6" x14ac:dyDescent="0.35">
      <c r="A238" s="1">
        <v>40787</v>
      </c>
      <c r="B238" s="2">
        <v>22640</v>
      </c>
      <c r="C238" s="7">
        <v>140.15299999999999</v>
      </c>
      <c r="D238" s="7">
        <v>7289.4</v>
      </c>
      <c r="E238" s="7">
        <v>113850</v>
      </c>
      <c r="F238" s="7">
        <v>101.71082168122599</v>
      </c>
    </row>
    <row r="239" spans="1:6" x14ac:dyDescent="0.35">
      <c r="A239" s="1">
        <v>40817</v>
      </c>
      <c r="B239" s="2">
        <v>23228</v>
      </c>
      <c r="C239" s="7">
        <v>138.39500000000001</v>
      </c>
      <c r="D239" s="7">
        <v>7297.7</v>
      </c>
      <c r="E239" s="7">
        <v>114133</v>
      </c>
      <c r="F239" s="7">
        <v>101.89086750404699</v>
      </c>
    </row>
    <row r="240" spans="1:6" x14ac:dyDescent="0.35">
      <c r="A240" s="1">
        <v>40848</v>
      </c>
      <c r="B240" s="2">
        <v>22953</v>
      </c>
      <c r="C240" s="7">
        <v>136.65199999999999</v>
      </c>
      <c r="D240" s="7">
        <v>7317.5</v>
      </c>
      <c r="E240" s="7">
        <v>114067</v>
      </c>
      <c r="F240" s="7">
        <v>101.97354949135099</v>
      </c>
    </row>
    <row r="241" spans="1:6" x14ac:dyDescent="0.35">
      <c r="A241" s="1">
        <v>40878</v>
      </c>
      <c r="B241" s="2">
        <v>23450</v>
      </c>
      <c r="C241" s="7">
        <v>135.155</v>
      </c>
      <c r="D241" s="7">
        <v>7326.1</v>
      </c>
      <c r="E241" s="7">
        <v>114058</v>
      </c>
      <c r="F241" s="7">
        <v>102.13195890628</v>
      </c>
    </row>
    <row r="242" spans="1:6" x14ac:dyDescent="0.35">
      <c r="A242" s="1">
        <v>40909</v>
      </c>
      <c r="B242" s="2">
        <v>23590</v>
      </c>
      <c r="C242" s="7">
        <v>134.16</v>
      </c>
      <c r="D242" s="7">
        <v>6616.3</v>
      </c>
      <c r="E242" s="7">
        <v>114260</v>
      </c>
      <c r="F242" s="7">
        <v>102.409754929044</v>
      </c>
    </row>
    <row r="243" spans="1:6" x14ac:dyDescent="0.35">
      <c r="A243" s="1">
        <v>40940</v>
      </c>
      <c r="B243" s="2">
        <v>23599</v>
      </c>
      <c r="C243" s="7">
        <v>133.994</v>
      </c>
      <c r="D243" s="7">
        <v>6649.9</v>
      </c>
      <c r="E243" s="7">
        <v>114167</v>
      </c>
      <c r="F243" s="7">
        <v>102.629209923384</v>
      </c>
    </row>
    <row r="244" spans="1:6" x14ac:dyDescent="0.35">
      <c r="A244" s="1">
        <v>40969</v>
      </c>
      <c r="B244" s="2">
        <v>24561</v>
      </c>
      <c r="C244" s="7">
        <v>135.87100000000001</v>
      </c>
      <c r="D244" s="7">
        <v>6659.6</v>
      </c>
      <c r="E244" s="7">
        <v>113940</v>
      </c>
      <c r="F244" s="7">
        <v>102.897733199909</v>
      </c>
    </row>
    <row r="245" spans="1:6" x14ac:dyDescent="0.35">
      <c r="A245" s="1">
        <v>41000</v>
      </c>
      <c r="B245" s="2">
        <v>23395</v>
      </c>
      <c r="C245" s="7">
        <v>138.488</v>
      </c>
      <c r="D245" s="7">
        <v>6679.4</v>
      </c>
      <c r="E245" s="7">
        <v>114055</v>
      </c>
      <c r="F245" s="7">
        <v>103.06155171681</v>
      </c>
    </row>
    <row r="246" spans="1:6" x14ac:dyDescent="0.35">
      <c r="A246" s="1">
        <v>41030</v>
      </c>
      <c r="B246" s="2">
        <v>22771</v>
      </c>
      <c r="C246" s="7">
        <v>141.06700000000001</v>
      </c>
      <c r="D246" s="7">
        <v>6712.9</v>
      </c>
      <c r="E246" s="7">
        <v>114217</v>
      </c>
      <c r="F246" s="7">
        <v>103.227302055845</v>
      </c>
    </row>
    <row r="247" spans="1:6" x14ac:dyDescent="0.35">
      <c r="A247" s="1">
        <v>41061</v>
      </c>
      <c r="B247" s="2">
        <v>22503</v>
      </c>
      <c r="C247" s="7">
        <v>143.184</v>
      </c>
      <c r="D247" s="7">
        <v>6741.7</v>
      </c>
      <c r="E247" s="7">
        <v>114328</v>
      </c>
      <c r="F247" s="7">
        <v>103.43284793082501</v>
      </c>
    </row>
    <row r="248" spans="1:6" x14ac:dyDescent="0.35">
      <c r="A248" s="1">
        <v>41091</v>
      </c>
      <c r="B248" s="2">
        <v>22663</v>
      </c>
      <c r="C248" s="7">
        <v>144.292</v>
      </c>
      <c r="D248" s="7">
        <v>6736.8</v>
      </c>
      <c r="E248" s="7">
        <v>114448</v>
      </c>
      <c r="F248" s="7">
        <v>103.61675739791301</v>
      </c>
    </row>
    <row r="249" spans="1:6" x14ac:dyDescent="0.35">
      <c r="A249" s="1">
        <v>41122</v>
      </c>
      <c r="B249" s="2">
        <v>23106</v>
      </c>
      <c r="C249" s="7">
        <v>144.714</v>
      </c>
      <c r="D249" s="7">
        <v>6759.6</v>
      </c>
      <c r="E249" s="7">
        <v>114720</v>
      </c>
      <c r="F249" s="7">
        <v>103.791780483187</v>
      </c>
    </row>
    <row r="250" spans="1:6" x14ac:dyDescent="0.35">
      <c r="A250" s="1">
        <v>41153</v>
      </c>
      <c r="B250" s="2">
        <v>23719</v>
      </c>
      <c r="C250" s="7">
        <v>144.36799999999999</v>
      </c>
      <c r="D250" s="7">
        <v>6725.8</v>
      </c>
      <c r="E250" s="7">
        <v>114916</v>
      </c>
      <c r="F250" s="7">
        <v>103.960235373209</v>
      </c>
    </row>
    <row r="251" spans="1:6" x14ac:dyDescent="0.35">
      <c r="A251" s="1">
        <v>41183</v>
      </c>
      <c r="B251" s="2">
        <v>23790</v>
      </c>
      <c r="C251" s="7">
        <v>143.97999999999999</v>
      </c>
      <c r="D251" s="7">
        <v>6682.5</v>
      </c>
      <c r="E251" s="7">
        <v>115116</v>
      </c>
      <c r="F251" s="7">
        <v>104.192440393628</v>
      </c>
    </row>
    <row r="252" spans="1:6" x14ac:dyDescent="0.35">
      <c r="A252" s="1">
        <v>41214</v>
      </c>
      <c r="B252" s="2">
        <v>24126</v>
      </c>
      <c r="C252" s="7">
        <v>143.97499999999999</v>
      </c>
      <c r="D252" s="7">
        <v>6685.9</v>
      </c>
      <c r="E252" s="7">
        <v>114953</v>
      </c>
      <c r="F252" s="7">
        <v>104.25580415959899</v>
      </c>
    </row>
    <row r="253" spans="1:6" x14ac:dyDescent="0.35">
      <c r="A253" s="1">
        <v>41244</v>
      </c>
      <c r="B253" s="2">
        <v>24135</v>
      </c>
      <c r="C253" s="7">
        <v>143.88299999999899</v>
      </c>
      <c r="D253" s="7">
        <v>6922.8</v>
      </c>
      <c r="E253" s="7">
        <v>115031</v>
      </c>
      <c r="F253" s="7">
        <v>104.36553165676899</v>
      </c>
    </row>
    <row r="254" spans="1:6" x14ac:dyDescent="0.35">
      <c r="A254" s="1">
        <v>41275</v>
      </c>
      <c r="B254" s="2">
        <v>24431</v>
      </c>
      <c r="C254" s="7">
        <v>144.32599999999999</v>
      </c>
      <c r="D254" s="7">
        <v>6793.6</v>
      </c>
      <c r="E254" s="7">
        <v>114786</v>
      </c>
      <c r="F254" s="7">
        <v>104.66612318070599</v>
      </c>
    </row>
    <row r="255" spans="1:6" x14ac:dyDescent="0.35">
      <c r="A255" s="1">
        <v>41306</v>
      </c>
      <c r="B255" s="2">
        <v>24818</v>
      </c>
      <c r="C255" s="7">
        <v>145.17400000000001</v>
      </c>
      <c r="D255" s="7">
        <v>6817.1</v>
      </c>
      <c r="E255" s="7">
        <v>114714</v>
      </c>
      <c r="F255" s="7">
        <v>104.930010084112</v>
      </c>
    </row>
    <row r="256" spans="1:6" x14ac:dyDescent="0.35">
      <c r="A256" s="1">
        <v>41334</v>
      </c>
      <c r="B256" s="2">
        <v>24709</v>
      </c>
      <c r="C256" s="7">
        <v>147.97799999999901</v>
      </c>
      <c r="D256" s="7">
        <v>6794.6</v>
      </c>
      <c r="E256" s="7">
        <v>114430</v>
      </c>
      <c r="F256" s="7">
        <v>105.178828774877</v>
      </c>
    </row>
    <row r="257" spans="1:6" x14ac:dyDescent="0.35">
      <c r="A257" s="1">
        <v>41365</v>
      </c>
      <c r="B257" s="2">
        <v>24984</v>
      </c>
      <c r="C257" s="7">
        <v>150.99299999999999</v>
      </c>
      <c r="D257" s="7">
        <v>6825.9</v>
      </c>
      <c r="E257" s="7">
        <v>114372</v>
      </c>
      <c r="F257" s="7">
        <v>105.32332907044599</v>
      </c>
    </row>
    <row r="258" spans="1:6" x14ac:dyDescent="0.35">
      <c r="A258" s="1">
        <v>41395</v>
      </c>
      <c r="B258" s="2">
        <v>25470</v>
      </c>
      <c r="C258" s="7">
        <v>153.886</v>
      </c>
      <c r="D258" s="7">
        <v>6814.5</v>
      </c>
      <c r="E258" s="7">
        <v>114998</v>
      </c>
      <c r="F258" s="7">
        <v>105.57717049875799</v>
      </c>
    </row>
    <row r="259" spans="1:6" x14ac:dyDescent="0.35">
      <c r="A259" s="1">
        <v>41426</v>
      </c>
      <c r="B259" s="2">
        <v>24998</v>
      </c>
      <c r="C259" s="7">
        <v>156.452</v>
      </c>
      <c r="D259" s="7">
        <v>6800.8</v>
      </c>
      <c r="E259" s="7">
        <v>114663</v>
      </c>
      <c r="F259" s="7">
        <v>105.82521646067001</v>
      </c>
    </row>
    <row r="260" spans="1:6" x14ac:dyDescent="0.35">
      <c r="A260" s="1">
        <v>41456</v>
      </c>
      <c r="B260" s="2">
        <v>25534</v>
      </c>
      <c r="C260" s="7">
        <v>158.31</v>
      </c>
      <c r="D260" s="7">
        <v>6817.1</v>
      </c>
      <c r="E260" s="7">
        <v>114490</v>
      </c>
      <c r="F260" s="7">
        <v>106.039262353037</v>
      </c>
    </row>
    <row r="261" spans="1:6" x14ac:dyDescent="0.35">
      <c r="A261" s="1">
        <v>41487</v>
      </c>
      <c r="B261" s="2">
        <v>25504</v>
      </c>
      <c r="C261" s="7">
        <v>159.416</v>
      </c>
      <c r="D261" s="7">
        <v>6826.9</v>
      </c>
      <c r="E261" s="7">
        <v>114799</v>
      </c>
      <c r="F261" s="7">
        <v>106.277649204282</v>
      </c>
    </row>
    <row r="262" spans="1:6" x14ac:dyDescent="0.35">
      <c r="A262" s="1">
        <v>41518</v>
      </c>
      <c r="B262" s="2">
        <v>25525</v>
      </c>
      <c r="C262" s="7">
        <v>159.696</v>
      </c>
      <c r="D262" s="7">
        <v>6809.3</v>
      </c>
      <c r="E262" s="7">
        <v>115013</v>
      </c>
      <c r="F262" s="7">
        <v>106.404763100652</v>
      </c>
    </row>
    <row r="263" spans="1:6" x14ac:dyDescent="0.35">
      <c r="A263" s="1">
        <v>41548</v>
      </c>
      <c r="B263" s="2">
        <v>25223</v>
      </c>
      <c r="C263" s="7">
        <v>159.58199999999999</v>
      </c>
      <c r="D263" s="7">
        <v>6772.6</v>
      </c>
      <c r="E263" s="7">
        <v>115006</v>
      </c>
      <c r="F263" s="7">
        <v>106.553513404914</v>
      </c>
    </row>
    <row r="264" spans="1:6" x14ac:dyDescent="0.35">
      <c r="A264" s="1">
        <v>41579</v>
      </c>
      <c r="B264" s="2">
        <v>25115</v>
      </c>
      <c r="C264" s="7">
        <v>159.39400000000001</v>
      </c>
      <c r="D264" s="7">
        <v>6791.6</v>
      </c>
      <c r="E264" s="7">
        <v>115056</v>
      </c>
      <c r="F264" s="7">
        <v>106.789195705173</v>
      </c>
    </row>
    <row r="265" spans="1:6" x14ac:dyDescent="0.35">
      <c r="A265" s="1">
        <v>41609</v>
      </c>
      <c r="B265" s="2">
        <v>25301</v>
      </c>
      <c r="C265" s="7">
        <v>159.315</v>
      </c>
      <c r="D265" s="7">
        <v>7023.2</v>
      </c>
      <c r="E265" s="7">
        <v>114826</v>
      </c>
      <c r="F265" s="7">
        <v>107.014446165913</v>
      </c>
    </row>
    <row r="266" spans="1:6" x14ac:dyDescent="0.35">
      <c r="A266" s="1">
        <v>41640</v>
      </c>
      <c r="B266" s="2">
        <v>25234</v>
      </c>
      <c r="C266" s="7">
        <v>159.40799999999999</v>
      </c>
      <c r="D266" s="7">
        <v>6892.9</v>
      </c>
      <c r="E266" s="7">
        <v>114764</v>
      </c>
      <c r="F266" s="7">
        <v>107.362174149902</v>
      </c>
    </row>
    <row r="267" spans="1:6" x14ac:dyDescent="0.35">
      <c r="A267" s="1">
        <v>41671</v>
      </c>
      <c r="B267" s="2">
        <v>25163</v>
      </c>
      <c r="C267" s="7">
        <v>159.91399999999999</v>
      </c>
      <c r="D267" s="7">
        <v>6908.4</v>
      </c>
      <c r="E267" s="7">
        <v>114728</v>
      </c>
      <c r="F267" s="7">
        <v>107.62722014658701</v>
      </c>
    </row>
    <row r="268" spans="1:6" x14ac:dyDescent="0.35">
      <c r="A268" s="1">
        <v>41699</v>
      </c>
      <c r="B268" s="2">
        <v>25481</v>
      </c>
      <c r="C268" s="7">
        <v>161.232</v>
      </c>
      <c r="D268" s="7">
        <v>6930.4</v>
      </c>
      <c r="E268" s="7">
        <v>114627</v>
      </c>
      <c r="F268" s="7">
        <v>108.026720963747</v>
      </c>
    </row>
    <row r="269" spans="1:6" x14ac:dyDescent="0.35">
      <c r="A269" s="1">
        <v>41730</v>
      </c>
      <c r="B269" s="2">
        <v>26557</v>
      </c>
      <c r="C269" s="7">
        <v>163.01</v>
      </c>
      <c r="D269" s="7">
        <v>6932.6</v>
      </c>
      <c r="E269" s="7">
        <v>115011</v>
      </c>
      <c r="F269" s="7">
        <v>108.218744083795</v>
      </c>
    </row>
    <row r="270" spans="1:6" x14ac:dyDescent="0.35">
      <c r="A270" s="1">
        <v>41760</v>
      </c>
      <c r="B270" s="2">
        <v>26722</v>
      </c>
      <c r="C270" s="7">
        <v>164.72299999999899</v>
      </c>
      <c r="D270" s="7">
        <v>7016.1</v>
      </c>
      <c r="E270" s="7">
        <v>115272</v>
      </c>
      <c r="F270" s="7">
        <v>108.556426592691</v>
      </c>
    </row>
    <row r="271" spans="1:6" x14ac:dyDescent="0.35">
      <c r="A271" s="1">
        <v>41791</v>
      </c>
      <c r="B271" s="2">
        <v>26944</v>
      </c>
      <c r="C271" s="7">
        <v>166.24700000000001</v>
      </c>
      <c r="D271" s="7">
        <v>7002.8</v>
      </c>
      <c r="E271" s="7">
        <v>115097</v>
      </c>
      <c r="F271" s="7">
        <v>108.78167705343</v>
      </c>
    </row>
    <row r="272" spans="1:6" x14ac:dyDescent="0.35">
      <c r="A272" s="1">
        <v>41821</v>
      </c>
      <c r="B272" s="2">
        <v>26525</v>
      </c>
      <c r="C272" s="7">
        <v>167.166</v>
      </c>
      <c r="D272" s="7">
        <v>7008.8</v>
      </c>
      <c r="E272" s="7">
        <v>115050</v>
      </c>
      <c r="F272" s="7">
        <v>109.09733679000701</v>
      </c>
    </row>
    <row r="273" spans="1:6" x14ac:dyDescent="0.35">
      <c r="A273" s="1">
        <v>41852</v>
      </c>
      <c r="B273" s="2">
        <v>27047</v>
      </c>
      <c r="C273" s="7">
        <v>167.482</v>
      </c>
      <c r="D273" s="7">
        <v>7019.1</v>
      </c>
      <c r="E273" s="7">
        <v>115048</v>
      </c>
      <c r="F273" s="7">
        <v>109.32065542861299</v>
      </c>
    </row>
    <row r="274" spans="1:6" x14ac:dyDescent="0.35">
      <c r="A274" s="1">
        <v>41883</v>
      </c>
      <c r="B274" s="2">
        <v>26954</v>
      </c>
      <c r="C274" s="7">
        <v>167.27799999999999</v>
      </c>
      <c r="D274" s="7">
        <v>7048.2</v>
      </c>
      <c r="E274" s="7">
        <v>115831</v>
      </c>
      <c r="F274" s="7">
        <v>109.51654219292701</v>
      </c>
    </row>
    <row r="275" spans="1:6" x14ac:dyDescent="0.35">
      <c r="A275" s="1">
        <v>41913</v>
      </c>
      <c r="B275" s="2">
        <v>26997</v>
      </c>
      <c r="C275" s="7">
        <v>166.95</v>
      </c>
      <c r="D275" s="7">
        <v>7113.4</v>
      </c>
      <c r="E275" s="7">
        <v>116441</v>
      </c>
      <c r="F275" s="7">
        <v>109.771542714519</v>
      </c>
    </row>
    <row r="276" spans="1:6" x14ac:dyDescent="0.35">
      <c r="A276" s="1">
        <v>41944</v>
      </c>
      <c r="B276" s="2">
        <v>27190</v>
      </c>
      <c r="C276" s="7">
        <v>166.70400000000001</v>
      </c>
      <c r="D276" s="7">
        <v>7111.1</v>
      </c>
      <c r="E276" s="7">
        <v>116674</v>
      </c>
      <c r="F276" s="7">
        <v>109.95120217291399</v>
      </c>
    </row>
    <row r="277" spans="1:6" x14ac:dyDescent="0.35">
      <c r="A277" s="1">
        <v>41974</v>
      </c>
      <c r="B277" s="2">
        <v>26905</v>
      </c>
      <c r="C277" s="7">
        <v>166.512</v>
      </c>
      <c r="D277" s="7">
        <v>7144.2</v>
      </c>
      <c r="E277" s="7">
        <v>116827</v>
      </c>
      <c r="F277" s="7">
        <v>110.088361544376</v>
      </c>
    </row>
    <row r="278" spans="1:6" x14ac:dyDescent="0.35">
      <c r="A278" s="1">
        <v>42005</v>
      </c>
      <c r="B278" s="2">
        <v>27015</v>
      </c>
      <c r="C278" s="7">
        <v>166.30500000000001</v>
      </c>
      <c r="D278" s="7">
        <v>7174.2</v>
      </c>
      <c r="E278" s="7">
        <v>116350</v>
      </c>
      <c r="F278" s="7">
        <v>110.48283962399</v>
      </c>
    </row>
    <row r="279" spans="1:6" x14ac:dyDescent="0.35">
      <c r="A279" s="1">
        <v>42036</v>
      </c>
      <c r="B279" s="2">
        <v>26191</v>
      </c>
      <c r="C279" s="7">
        <v>166.69200000000001</v>
      </c>
      <c r="D279" s="7">
        <v>7190.3</v>
      </c>
      <c r="E279" s="7">
        <v>116253</v>
      </c>
      <c r="F279" s="7">
        <v>110.80931756451299</v>
      </c>
    </row>
    <row r="280" spans="1:6" x14ac:dyDescent="0.35">
      <c r="A280" s="1">
        <v>42064</v>
      </c>
      <c r="B280" s="2">
        <v>26869</v>
      </c>
      <c r="C280" s="7">
        <v>168.15299999999999</v>
      </c>
      <c r="D280" s="7">
        <v>7208.3</v>
      </c>
      <c r="E280" s="7">
        <v>116117</v>
      </c>
      <c r="F280" s="7">
        <v>111.20534110183399</v>
      </c>
    </row>
    <row r="281" spans="1:6" x14ac:dyDescent="0.35">
      <c r="A281" s="1">
        <v>42095</v>
      </c>
      <c r="B281" s="2">
        <v>27301</v>
      </c>
      <c r="C281" s="7">
        <v>170.03599999999901</v>
      </c>
      <c r="D281" s="7">
        <v>7153.1</v>
      </c>
      <c r="E281" s="7">
        <v>117342</v>
      </c>
      <c r="F281" s="7">
        <v>111.452227970466</v>
      </c>
    </row>
    <row r="282" spans="1:6" x14ac:dyDescent="0.35">
      <c r="A282" s="1">
        <v>42125</v>
      </c>
      <c r="B282" s="2">
        <v>27330</v>
      </c>
      <c r="C282" s="7">
        <v>171.91900000000001</v>
      </c>
      <c r="D282" s="7">
        <v>7223.3</v>
      </c>
      <c r="E282" s="7">
        <v>117173</v>
      </c>
      <c r="F282" s="7">
        <v>111.689842092859</v>
      </c>
    </row>
    <row r="283" spans="1:6" x14ac:dyDescent="0.35">
      <c r="A283" s="1">
        <v>42156</v>
      </c>
      <c r="B283" s="2">
        <v>27123</v>
      </c>
      <c r="C283" s="7">
        <v>173.51900000000001</v>
      </c>
      <c r="D283" s="7">
        <v>7245.4</v>
      </c>
      <c r="E283" s="7">
        <v>117343</v>
      </c>
      <c r="F283" s="7">
        <v>112.058820120314</v>
      </c>
    </row>
    <row r="284" spans="1:6" x14ac:dyDescent="0.35">
      <c r="A284" s="1">
        <v>42186</v>
      </c>
      <c r="B284" s="2">
        <v>28030</v>
      </c>
      <c r="C284" s="7">
        <v>174.56299999999999</v>
      </c>
      <c r="D284" s="7">
        <v>7259.9</v>
      </c>
      <c r="E284" s="7">
        <v>117146</v>
      </c>
      <c r="F284" s="7">
        <v>112.502366482113</v>
      </c>
    </row>
    <row r="285" spans="1:6" x14ac:dyDescent="0.35">
      <c r="A285" s="1">
        <v>42217</v>
      </c>
      <c r="B285" s="2">
        <v>28005</v>
      </c>
      <c r="C285" s="7">
        <v>175.01</v>
      </c>
      <c r="D285" s="7">
        <v>7265.8</v>
      </c>
      <c r="E285" s="7">
        <v>117166</v>
      </c>
      <c r="F285" s="7">
        <v>112.71988965432</v>
      </c>
    </row>
    <row r="286" spans="1:6" x14ac:dyDescent="0.35">
      <c r="A286" s="1">
        <v>42248</v>
      </c>
      <c r="B286" s="2">
        <v>28005</v>
      </c>
      <c r="C286" s="7">
        <v>175.125</v>
      </c>
      <c r="D286" s="7">
        <v>7289.4</v>
      </c>
      <c r="E286" s="7">
        <v>117748</v>
      </c>
      <c r="F286" s="7">
        <v>113.011981160871</v>
      </c>
    </row>
    <row r="287" spans="1:6" x14ac:dyDescent="0.35">
      <c r="A287" s="1">
        <v>42278</v>
      </c>
      <c r="B287" s="2">
        <v>28136</v>
      </c>
      <c r="C287" s="7">
        <v>175.137</v>
      </c>
      <c r="D287" s="7">
        <v>7297.7</v>
      </c>
      <c r="E287" s="7">
        <v>117816</v>
      </c>
      <c r="F287" s="7">
        <v>113.290163548062</v>
      </c>
    </row>
    <row r="288" spans="1:6" x14ac:dyDescent="0.35">
      <c r="A288" s="1">
        <v>42309</v>
      </c>
      <c r="B288" s="2">
        <v>28432</v>
      </c>
      <c r="C288" s="7">
        <v>175.238</v>
      </c>
      <c r="D288" s="7">
        <v>7317.5</v>
      </c>
      <c r="E288" s="7">
        <v>117801</v>
      </c>
      <c r="F288" s="7">
        <v>113.46248208234999</v>
      </c>
    </row>
    <row r="289" spans="1:6" x14ac:dyDescent="0.35">
      <c r="A289" s="1">
        <v>42339</v>
      </c>
      <c r="B289" s="2">
        <v>29237</v>
      </c>
      <c r="C289" s="7">
        <v>175.21799999999999</v>
      </c>
      <c r="D289" s="7">
        <v>7326.1</v>
      </c>
      <c r="E289" s="7">
        <v>117707</v>
      </c>
      <c r="F289" s="7">
        <v>113.64407336287699</v>
      </c>
    </row>
    <row r="290" spans="1:6" x14ac:dyDescent="0.35">
      <c r="A290" s="1">
        <v>42370</v>
      </c>
      <c r="B290" s="2">
        <v>28938</v>
      </c>
      <c r="C290" s="8">
        <v>175.13900000000001</v>
      </c>
      <c r="D290" s="8">
        <v>12563.9</v>
      </c>
      <c r="E290" s="8">
        <v>117608</v>
      </c>
      <c r="F290" s="8">
        <v>114.091483368943</v>
      </c>
    </row>
    <row r="291" spans="1:6" x14ac:dyDescent="0.35">
      <c r="A291" s="1">
        <v>42401</v>
      </c>
      <c r="B291" s="2">
        <v>29117</v>
      </c>
      <c r="C291" s="8">
        <v>175.38399999999999</v>
      </c>
      <c r="D291" s="8">
        <v>12555.7</v>
      </c>
      <c r="E291" s="8">
        <v>117514</v>
      </c>
      <c r="F291" s="8">
        <v>114.470120507065</v>
      </c>
    </row>
    <row r="292" spans="1:6" x14ac:dyDescent="0.35">
      <c r="A292" s="1">
        <v>42430</v>
      </c>
      <c r="B292" s="2">
        <v>29628</v>
      </c>
      <c r="C292" s="8">
        <v>176.70500000000001</v>
      </c>
      <c r="D292" s="8">
        <v>12583.5</v>
      </c>
      <c r="E292" s="8">
        <v>117401</v>
      </c>
      <c r="F292" s="8">
        <v>114.782302963802</v>
      </c>
    </row>
    <row r="293" spans="1:6" x14ac:dyDescent="0.35">
      <c r="A293" s="1">
        <v>42461</v>
      </c>
      <c r="B293" s="2">
        <v>28621</v>
      </c>
      <c r="C293" s="8">
        <v>178.59599999999901</v>
      </c>
      <c r="D293" s="8">
        <v>12611.9</v>
      </c>
      <c r="E293" s="8">
        <v>118252</v>
      </c>
      <c r="F293" s="8">
        <v>115.04580350278</v>
      </c>
    </row>
    <row r="294" spans="1:6" x14ac:dyDescent="0.35">
      <c r="A294" s="1">
        <v>42491</v>
      </c>
      <c r="B294" s="2">
        <v>28090</v>
      </c>
      <c r="C294" s="8">
        <v>180.45500000000001</v>
      </c>
      <c r="D294" s="8">
        <v>12626.8</v>
      </c>
      <c r="E294" s="8">
        <v>118369</v>
      </c>
      <c r="F294" s="8">
        <v>115.48703167801899</v>
      </c>
    </row>
    <row r="295" spans="1:6" x14ac:dyDescent="0.35">
      <c r="A295" s="1">
        <v>42522</v>
      </c>
      <c r="B295" s="2">
        <v>29284</v>
      </c>
      <c r="C295" s="8">
        <v>182.05099999999999</v>
      </c>
      <c r="D295" s="8">
        <v>12643</v>
      </c>
      <c r="E295" s="8">
        <v>118215</v>
      </c>
      <c r="F295" s="8">
        <v>115.952987176565</v>
      </c>
    </row>
    <row r="296" spans="1:6" x14ac:dyDescent="0.35">
      <c r="A296" s="1">
        <v>42552</v>
      </c>
      <c r="B296" s="2">
        <v>29026</v>
      </c>
      <c r="C296" s="8">
        <v>183.17699999999999</v>
      </c>
      <c r="D296" s="8">
        <v>12663.5</v>
      </c>
      <c r="E296" s="8">
        <v>118467</v>
      </c>
      <c r="F296" s="8">
        <v>116.24121503884901</v>
      </c>
    </row>
    <row r="297" spans="1:6" x14ac:dyDescent="0.35">
      <c r="A297" s="1">
        <v>42583</v>
      </c>
      <c r="B297" s="2">
        <v>28986</v>
      </c>
      <c r="C297" s="8">
        <v>183.83099999999999</v>
      </c>
      <c r="D297" s="8">
        <v>12646</v>
      </c>
      <c r="E297" s="8">
        <v>118294</v>
      </c>
      <c r="F297" s="8">
        <v>116.576965725612</v>
      </c>
    </row>
    <row r="298" spans="1:6" x14ac:dyDescent="0.35">
      <c r="A298" s="1">
        <v>42614</v>
      </c>
      <c r="B298" s="2">
        <v>29186</v>
      </c>
      <c r="C298" s="8">
        <v>184.13200000000001</v>
      </c>
      <c r="D298" s="8">
        <v>12638.3</v>
      </c>
      <c r="E298" s="8">
        <v>119026</v>
      </c>
      <c r="F298" s="8">
        <v>116.92005733648099</v>
      </c>
    </row>
    <row r="299" spans="1:6" x14ac:dyDescent="0.35">
      <c r="A299" s="1">
        <v>42644</v>
      </c>
      <c r="B299" s="2">
        <v>29651</v>
      </c>
      <c r="C299" s="8">
        <v>184.21299999999999</v>
      </c>
      <c r="D299" s="8">
        <v>12613.4</v>
      </c>
      <c r="E299" s="8">
        <v>118796</v>
      </c>
      <c r="F299" s="8">
        <v>117.312603593962</v>
      </c>
    </row>
    <row r="300" spans="1:6" x14ac:dyDescent="0.35">
      <c r="A300" s="1">
        <v>42675</v>
      </c>
      <c r="B300" s="2">
        <v>29797</v>
      </c>
      <c r="C300" s="8">
        <v>184.43799999999999</v>
      </c>
      <c r="D300" s="8">
        <v>12589.4</v>
      </c>
      <c r="E300" s="8">
        <v>118654</v>
      </c>
      <c r="F300" s="8">
        <v>117.532831317155</v>
      </c>
    </row>
    <row r="301" spans="1:6" x14ac:dyDescent="0.35">
      <c r="A301" s="1">
        <v>42705</v>
      </c>
      <c r="B301" s="2">
        <v>29760</v>
      </c>
      <c r="C301" s="8">
        <v>184.62899999999999</v>
      </c>
      <c r="D301" s="8">
        <v>12569.9</v>
      </c>
      <c r="E301" s="8">
        <v>118478</v>
      </c>
      <c r="F301" s="8">
        <v>117.799422771547</v>
      </c>
    </row>
    <row r="302" spans="1:6" x14ac:dyDescent="0.35">
      <c r="A302" s="1">
        <v>42736</v>
      </c>
      <c r="B302" s="2">
        <v>30820</v>
      </c>
      <c r="C302" s="8">
        <v>184.88499999999999</v>
      </c>
      <c r="D302" s="8">
        <v>12627.4</v>
      </c>
      <c r="E302" s="8">
        <v>118799</v>
      </c>
      <c r="F302" s="8">
        <v>118.185400833774</v>
      </c>
    </row>
    <row r="303" spans="1:6" x14ac:dyDescent="0.35">
      <c r="A303" s="1">
        <v>42767</v>
      </c>
      <c r="B303" s="2">
        <v>31359</v>
      </c>
      <c r="C303" s="8">
        <v>185.279</v>
      </c>
      <c r="D303" s="8">
        <v>12672.3</v>
      </c>
      <c r="E303" s="8">
        <v>119038</v>
      </c>
      <c r="F303" s="8">
        <v>118.544719750563</v>
      </c>
    </row>
    <row r="304" spans="1:6" x14ac:dyDescent="0.35">
      <c r="A304" s="1">
        <v>42795</v>
      </c>
      <c r="B304" s="2">
        <v>30835</v>
      </c>
      <c r="C304" s="8">
        <v>186.797</v>
      </c>
      <c r="D304" s="8">
        <v>12741.5</v>
      </c>
      <c r="E304" s="8">
        <v>118562</v>
      </c>
      <c r="F304" s="8">
        <v>118.78619751722201</v>
      </c>
    </row>
    <row r="305" spans="1:6" x14ac:dyDescent="0.35">
      <c r="A305" s="1">
        <v>42826</v>
      </c>
      <c r="B305" s="2">
        <v>30817</v>
      </c>
      <c r="C305" s="8">
        <v>188.81799999999899</v>
      </c>
      <c r="D305" s="8">
        <v>12732.6</v>
      </c>
      <c r="E305" s="8">
        <v>119110</v>
      </c>
      <c r="F305" s="8">
        <v>119.046993505214</v>
      </c>
    </row>
    <row r="306" spans="1:6" x14ac:dyDescent="0.35">
      <c r="A306" s="1">
        <v>42856</v>
      </c>
      <c r="B306" s="2">
        <v>30742</v>
      </c>
      <c r="C306" s="8">
        <v>190.82400000000001</v>
      </c>
      <c r="D306" s="8">
        <v>12786.2</v>
      </c>
      <c r="E306" s="8">
        <v>119203</v>
      </c>
      <c r="F306" s="8">
        <v>119.37115325917701</v>
      </c>
    </row>
    <row r="307" spans="1:6" x14ac:dyDescent="0.35">
      <c r="A307" s="1">
        <v>42887</v>
      </c>
      <c r="B307" s="2">
        <v>30986</v>
      </c>
      <c r="C307" s="8">
        <v>192.56899999999999</v>
      </c>
      <c r="D307" s="8">
        <v>12778.1</v>
      </c>
      <c r="E307" s="8">
        <v>118385</v>
      </c>
      <c r="F307" s="8">
        <v>119.753267677138</v>
      </c>
    </row>
    <row r="308" spans="1:6" x14ac:dyDescent="0.35">
      <c r="A308" s="1">
        <v>42917</v>
      </c>
      <c r="B308" s="2">
        <v>31458</v>
      </c>
      <c r="C308" s="8">
        <v>193.83799999999999</v>
      </c>
      <c r="D308" s="8">
        <v>12791.1</v>
      </c>
      <c r="E308" s="8">
        <v>118490</v>
      </c>
      <c r="F308" s="8">
        <v>119.944518068332</v>
      </c>
    </row>
    <row r="309" spans="1:6" x14ac:dyDescent="0.35">
      <c r="A309" s="1">
        <v>42948</v>
      </c>
      <c r="B309" s="2">
        <v>31584</v>
      </c>
      <c r="C309" s="8">
        <v>194.684</v>
      </c>
      <c r="D309" s="8">
        <v>12785.4</v>
      </c>
      <c r="E309" s="8">
        <v>119118</v>
      </c>
      <c r="F309" s="8">
        <v>120.448723645117</v>
      </c>
    </row>
    <row r="310" spans="1:6" x14ac:dyDescent="0.35">
      <c r="A310" s="1">
        <v>42979</v>
      </c>
      <c r="B310" s="2">
        <v>32549</v>
      </c>
      <c r="C310" s="8">
        <v>195.155</v>
      </c>
      <c r="D310" s="8">
        <v>12786.9</v>
      </c>
      <c r="E310" s="8">
        <v>119646</v>
      </c>
      <c r="F310" s="8">
        <v>120.728451490014</v>
      </c>
    </row>
    <row r="311" spans="1:6" x14ac:dyDescent="0.35">
      <c r="A311" s="1">
        <v>43009</v>
      </c>
      <c r="B311" s="2">
        <v>32436</v>
      </c>
      <c r="C311" s="8">
        <v>195.43</v>
      </c>
      <c r="D311" s="8">
        <v>12805.3</v>
      </c>
      <c r="E311" s="8">
        <v>118928</v>
      </c>
      <c r="F311" s="8">
        <v>121.139929604401</v>
      </c>
    </row>
    <row r="312" spans="1:6" x14ac:dyDescent="0.35">
      <c r="A312" s="1">
        <v>43040</v>
      </c>
      <c r="B312" s="2">
        <v>32438</v>
      </c>
      <c r="C312" s="8">
        <v>195.815</v>
      </c>
      <c r="D312" s="8">
        <v>12814.8</v>
      </c>
      <c r="E312" s="8">
        <v>118928</v>
      </c>
      <c r="F312" s="8">
        <v>121.27940716242399</v>
      </c>
    </row>
    <row r="313" spans="1:6" x14ac:dyDescent="0.35">
      <c r="A313" s="1">
        <v>43070</v>
      </c>
      <c r="B313" s="2">
        <v>32777</v>
      </c>
      <c r="C313" s="8">
        <v>196.21599999999901</v>
      </c>
      <c r="D313" s="8">
        <v>12846.3</v>
      </c>
      <c r="E313" s="8">
        <v>118928</v>
      </c>
      <c r="F313" s="8">
        <v>121.60433964524</v>
      </c>
    </row>
  </sheetData>
  <hyperlinks>
    <hyperlink ref="C1" r:id="rId1" xr:uid="{7BD28CFA-CEAC-4EF8-89B7-917FE38C7E94}"/>
    <hyperlink ref="D1" r:id="rId2" display="DPI" xr:uid="{1CFE8C56-74B7-4F5C-A442-59B5063F8005}"/>
    <hyperlink ref="E1" r:id="rId3" display="US households" xr:uid="{66541442-6C8D-457F-BE83-522D1F2AE2E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6DC4-E072-4780-BBA4-9B133F82503A}">
  <dimension ref="A1:B105"/>
  <sheetViews>
    <sheetView workbookViewId="0">
      <selection activeCell="B10" sqref="B10"/>
    </sheetView>
  </sheetViews>
  <sheetFormatPr defaultRowHeight="14.5" x14ac:dyDescent="0.35"/>
  <cols>
    <col min="1" max="1" width="9.453125" bestFit="1" customWidth="1"/>
    <col min="2" max="2" width="7.36328125" bestFit="1" customWidth="1"/>
  </cols>
  <sheetData>
    <row r="1" spans="1:2" ht="15" thickBot="1" x14ac:dyDescent="0.4">
      <c r="A1" s="1">
        <v>43101</v>
      </c>
      <c r="B1" s="59">
        <v>5226</v>
      </c>
    </row>
    <row r="2" spans="1:2" ht="15" thickBot="1" x14ac:dyDescent="0.4">
      <c r="A2" s="1">
        <v>43009</v>
      </c>
      <c r="B2" s="59">
        <v>5713</v>
      </c>
    </row>
    <row r="3" spans="1:2" ht="15" thickBot="1" x14ac:dyDescent="0.4">
      <c r="A3" s="1">
        <v>42917</v>
      </c>
      <c r="B3" s="59">
        <v>6670</v>
      </c>
    </row>
    <row r="4" spans="1:2" ht="15" thickBot="1" x14ac:dyDescent="0.4">
      <c r="A4" s="1">
        <v>42826</v>
      </c>
      <c r="B4" s="59">
        <v>5800</v>
      </c>
    </row>
    <row r="5" spans="1:2" ht="15" thickBot="1" x14ac:dyDescent="0.4">
      <c r="A5" s="1">
        <v>42736</v>
      </c>
      <c r="B5" s="59">
        <v>5432</v>
      </c>
    </row>
    <row r="6" spans="1:2" ht="15" thickBot="1" x14ac:dyDescent="0.4">
      <c r="A6" s="1">
        <v>42644</v>
      </c>
      <c r="B6" s="59">
        <v>5407</v>
      </c>
    </row>
    <row r="7" spans="1:2" ht="15" thickBot="1" x14ac:dyDescent="0.4">
      <c r="A7" s="1">
        <v>42552</v>
      </c>
      <c r="B7" s="59">
        <v>6288</v>
      </c>
    </row>
    <row r="8" spans="1:2" ht="15" thickBot="1" x14ac:dyDescent="0.4">
      <c r="A8" s="1">
        <v>42461</v>
      </c>
      <c r="B8" s="59">
        <v>5337</v>
      </c>
    </row>
    <row r="9" spans="1:2" ht="15" thickBot="1" x14ac:dyDescent="0.4">
      <c r="A9" s="1">
        <v>42370</v>
      </c>
      <c r="B9" s="59">
        <v>4588</v>
      </c>
    </row>
    <row r="10" spans="1:2" ht="15" thickBot="1" x14ac:dyDescent="0.4">
      <c r="A10" s="1">
        <v>42278</v>
      </c>
      <c r="B10" s="59">
        <v>4990</v>
      </c>
    </row>
    <row r="11" spans="1:2" ht="15" thickBot="1" x14ac:dyDescent="0.4">
      <c r="A11" s="1">
        <v>42186</v>
      </c>
      <c r="B11" s="59">
        <v>5981</v>
      </c>
    </row>
    <row r="12" spans="1:2" ht="15" thickBot="1" x14ac:dyDescent="0.4">
      <c r="A12" s="1">
        <v>42095</v>
      </c>
      <c r="B12" s="59">
        <v>5012</v>
      </c>
    </row>
    <row r="13" spans="1:2" ht="15" thickBot="1" x14ac:dyDescent="0.4">
      <c r="A13" s="1">
        <v>42005</v>
      </c>
      <c r="B13" s="59">
        <v>4347</v>
      </c>
    </row>
    <row r="14" spans="1:2" ht="15" thickBot="1" x14ac:dyDescent="0.4">
      <c r="A14" s="1">
        <v>41913</v>
      </c>
      <c r="B14" s="59">
        <v>4718</v>
      </c>
    </row>
    <row r="15" spans="1:2" ht="15" thickBot="1" x14ac:dyDescent="0.4">
      <c r="A15" s="1">
        <v>41821</v>
      </c>
      <c r="B15" s="59">
        <v>5735</v>
      </c>
    </row>
    <row r="16" spans="1:2" ht="15" thickBot="1" x14ac:dyDescent="0.4">
      <c r="A16" s="1">
        <v>41730</v>
      </c>
      <c r="B16" s="59">
        <v>4758</v>
      </c>
    </row>
    <row r="17" spans="1:2" ht="15" thickBot="1" x14ac:dyDescent="0.4">
      <c r="A17" s="1">
        <v>41640</v>
      </c>
      <c r="B17" s="59">
        <v>4042</v>
      </c>
    </row>
    <row r="18" spans="1:2" ht="15" thickBot="1" x14ac:dyDescent="0.4">
      <c r="A18" s="1">
        <v>41548</v>
      </c>
      <c r="B18" s="59">
        <v>4481</v>
      </c>
    </row>
    <row r="19" spans="1:2" ht="15" thickBot="1" x14ac:dyDescent="0.4">
      <c r="A19" s="1">
        <v>41456</v>
      </c>
      <c r="B19" s="59">
        <v>5397</v>
      </c>
    </row>
    <row r="20" spans="1:2" ht="15" thickBot="1" x14ac:dyDescent="0.4">
      <c r="A20" s="1">
        <v>41365</v>
      </c>
      <c r="B20" s="59">
        <v>4555</v>
      </c>
    </row>
    <row r="21" spans="1:2" ht="15" thickBot="1" x14ac:dyDescent="0.4">
      <c r="A21" s="1">
        <v>41275</v>
      </c>
      <c r="B21" s="59">
        <v>3785</v>
      </c>
    </row>
    <row r="22" spans="1:2" ht="15" thickBot="1" x14ac:dyDescent="0.4">
      <c r="A22" s="1">
        <v>41183</v>
      </c>
      <c r="B22" s="59">
        <v>4143</v>
      </c>
    </row>
    <row r="23" spans="1:2" ht="15" thickBot="1" x14ac:dyDescent="0.4">
      <c r="A23" s="1">
        <v>41091</v>
      </c>
      <c r="B23" s="59">
        <v>4834</v>
      </c>
    </row>
    <row r="24" spans="1:2" ht="15" thickBot="1" x14ac:dyDescent="0.4">
      <c r="A24" s="1">
        <v>41000</v>
      </c>
      <c r="B24" s="59">
        <v>4564</v>
      </c>
    </row>
    <row r="25" spans="1:2" ht="15" thickBot="1" x14ac:dyDescent="0.4">
      <c r="A25" s="1">
        <v>40909</v>
      </c>
      <c r="B25" s="59">
        <v>3979</v>
      </c>
    </row>
    <row r="26" spans="1:2" ht="15" thickBot="1" x14ac:dyDescent="0.4">
      <c r="A26" s="1">
        <v>40817</v>
      </c>
      <c r="B26" s="59">
        <v>4037</v>
      </c>
    </row>
    <row r="27" spans="1:2" ht="15" thickBot="1" x14ac:dyDescent="0.4">
      <c r="A27" s="1">
        <v>40725</v>
      </c>
      <c r="B27" s="59">
        <v>5016</v>
      </c>
    </row>
    <row r="28" spans="1:2" ht="15" thickBot="1" x14ac:dyDescent="0.4">
      <c r="A28" s="1">
        <v>40634</v>
      </c>
      <c r="B28" s="59">
        <v>4319</v>
      </c>
    </row>
    <row r="29" spans="1:2" ht="15" thickBot="1" x14ac:dyDescent="0.4">
      <c r="A29" s="1">
        <v>40544</v>
      </c>
      <c r="B29" s="59">
        <v>3726</v>
      </c>
    </row>
    <row r="30" spans="1:2" ht="15" thickBot="1" x14ac:dyDescent="0.4">
      <c r="A30" s="1">
        <v>40452</v>
      </c>
      <c r="B30" s="59">
        <v>4061</v>
      </c>
    </row>
    <row r="31" spans="1:2" ht="15" thickBot="1" x14ac:dyDescent="0.4">
      <c r="A31" s="1">
        <v>40360</v>
      </c>
      <c r="B31" s="59">
        <v>5006</v>
      </c>
    </row>
    <row r="32" spans="1:2" ht="15" thickBot="1" x14ac:dyDescent="0.4">
      <c r="A32" s="1">
        <v>40269</v>
      </c>
      <c r="B32" s="59">
        <v>4358</v>
      </c>
    </row>
    <row r="33" spans="1:2" ht="15" thickBot="1" x14ac:dyDescent="0.4">
      <c r="A33" s="1">
        <v>40179</v>
      </c>
      <c r="B33" s="59">
        <v>3554</v>
      </c>
    </row>
    <row r="34" spans="1:2" ht="15" thickBot="1" x14ac:dyDescent="0.4">
      <c r="A34" s="1">
        <v>40087</v>
      </c>
      <c r="B34" s="59">
        <v>3890</v>
      </c>
    </row>
    <row r="35" spans="1:2" ht="15" thickBot="1" x14ac:dyDescent="0.4">
      <c r="A35" s="1">
        <v>39995</v>
      </c>
      <c r="B35" s="59">
        <v>4823</v>
      </c>
    </row>
    <row r="36" spans="1:2" ht="15" thickBot="1" x14ac:dyDescent="0.4">
      <c r="A36" s="1">
        <v>39904</v>
      </c>
      <c r="B36" s="59">
        <v>4196</v>
      </c>
    </row>
    <row r="37" spans="1:2" ht="15" thickBot="1" x14ac:dyDescent="0.4">
      <c r="A37" s="1">
        <v>39814</v>
      </c>
      <c r="B37" s="59">
        <v>3368</v>
      </c>
    </row>
    <row r="38" spans="1:2" ht="15" thickBot="1" x14ac:dyDescent="0.4">
      <c r="A38" s="1">
        <v>39722</v>
      </c>
      <c r="B38" s="59">
        <v>3985</v>
      </c>
    </row>
    <row r="39" spans="1:2" ht="15" thickBot="1" x14ac:dyDescent="0.4">
      <c r="A39" s="1">
        <v>39630</v>
      </c>
      <c r="B39" s="59">
        <v>4982</v>
      </c>
    </row>
    <row r="40" spans="1:2" ht="15" thickBot="1" x14ac:dyDescent="0.4">
      <c r="A40" s="1">
        <v>39539</v>
      </c>
      <c r="B40" s="59">
        <v>4166</v>
      </c>
    </row>
    <row r="41" spans="1:2" ht="15" thickBot="1" x14ac:dyDescent="0.4">
      <c r="A41" s="1">
        <v>39448</v>
      </c>
      <c r="B41" s="59">
        <v>3621</v>
      </c>
    </row>
    <row r="42" spans="1:2" ht="15" thickBot="1" x14ac:dyDescent="0.4">
      <c r="A42" s="1">
        <v>39356</v>
      </c>
      <c r="B42" s="59">
        <v>3964</v>
      </c>
    </row>
    <row r="43" spans="1:2" ht="15" thickBot="1" x14ac:dyDescent="0.4">
      <c r="A43" s="1">
        <v>39264</v>
      </c>
      <c r="B43" s="59">
        <v>4883</v>
      </c>
    </row>
    <row r="44" spans="1:2" ht="15" thickBot="1" x14ac:dyDescent="0.4">
      <c r="A44" s="1">
        <v>39173</v>
      </c>
      <c r="B44" s="59">
        <v>4259</v>
      </c>
    </row>
    <row r="45" spans="1:2" ht="15" thickBot="1" x14ac:dyDescent="0.4">
      <c r="A45" s="1">
        <v>39083</v>
      </c>
      <c r="B45" s="59">
        <v>3687</v>
      </c>
    </row>
    <row r="46" spans="1:2" ht="15" thickBot="1" x14ac:dyDescent="0.4">
      <c r="A46" s="1">
        <v>38991</v>
      </c>
      <c r="B46" s="59">
        <v>3865</v>
      </c>
    </row>
    <row r="47" spans="1:2" ht="15" thickBot="1" x14ac:dyDescent="0.4">
      <c r="A47" s="1">
        <v>38899</v>
      </c>
      <c r="B47" s="59">
        <v>4478</v>
      </c>
    </row>
    <row r="48" spans="1:2" ht="15" thickBot="1" x14ac:dyDescent="0.4">
      <c r="A48" s="1">
        <v>38808</v>
      </c>
      <c r="B48" s="59">
        <v>4169</v>
      </c>
    </row>
    <row r="49" spans="1:2" ht="15" thickBot="1" x14ac:dyDescent="0.4">
      <c r="A49" s="1">
        <v>38718</v>
      </c>
      <c r="B49" s="59">
        <v>3785</v>
      </c>
    </row>
    <row r="50" spans="1:2" ht="15" thickBot="1" x14ac:dyDescent="0.4">
      <c r="A50" s="1">
        <v>38626</v>
      </c>
      <c r="B50" s="59">
        <v>3580</v>
      </c>
    </row>
    <row r="51" spans="1:2" ht="15" thickBot="1" x14ac:dyDescent="0.4">
      <c r="A51" s="1">
        <v>38534</v>
      </c>
      <c r="B51" s="59">
        <v>4037</v>
      </c>
    </row>
    <row r="52" spans="1:2" ht="15" thickBot="1" x14ac:dyDescent="0.4">
      <c r="A52" s="1">
        <v>38443</v>
      </c>
      <c r="B52" s="59">
        <v>3398</v>
      </c>
    </row>
    <row r="53" spans="1:2" ht="15" thickBot="1" x14ac:dyDescent="0.4">
      <c r="A53" s="1">
        <v>38353</v>
      </c>
      <c r="B53" s="59">
        <v>2931</v>
      </c>
    </row>
    <row r="54" spans="1:2" ht="15" thickBot="1" x14ac:dyDescent="0.4">
      <c r="A54" s="1">
        <v>38261</v>
      </c>
      <c r="B54" s="59">
        <v>3051</v>
      </c>
    </row>
    <row r="55" spans="1:2" ht="15" thickBot="1" x14ac:dyDescent="0.4">
      <c r="A55" s="1">
        <v>38169</v>
      </c>
      <c r="B55" s="59">
        <v>3389</v>
      </c>
    </row>
    <row r="56" spans="1:2" ht="15" thickBot="1" x14ac:dyDescent="0.4">
      <c r="A56" s="1">
        <v>38078</v>
      </c>
      <c r="B56" s="59">
        <v>2870</v>
      </c>
    </row>
    <row r="57" spans="1:2" ht="15" thickBot="1" x14ac:dyDescent="0.4">
      <c r="A57" s="1">
        <v>37987</v>
      </c>
      <c r="B57" s="59">
        <v>2320</v>
      </c>
    </row>
    <row r="58" spans="1:2" ht="15" thickBot="1" x14ac:dyDescent="0.4">
      <c r="A58" s="1">
        <v>37895</v>
      </c>
      <c r="B58" s="59">
        <v>2441</v>
      </c>
    </row>
    <row r="59" spans="1:2" ht="15" thickBot="1" x14ac:dyDescent="0.4">
      <c r="A59" s="1">
        <v>37803</v>
      </c>
      <c r="B59" s="59">
        <v>2626</v>
      </c>
    </row>
    <row r="60" spans="1:2" ht="15" thickBot="1" x14ac:dyDescent="0.4">
      <c r="A60" s="1">
        <v>37712</v>
      </c>
      <c r="B60" s="59">
        <v>2219</v>
      </c>
    </row>
    <row r="61" spans="1:2" ht="15" thickBot="1" x14ac:dyDescent="0.4">
      <c r="A61" s="1">
        <v>37622</v>
      </c>
      <c r="B61" s="59">
        <v>1858</v>
      </c>
    </row>
    <row r="62" spans="1:2" ht="15" thickBot="1" x14ac:dyDescent="0.4">
      <c r="A62" s="1">
        <v>37530</v>
      </c>
      <c r="B62" s="59">
        <v>1965</v>
      </c>
    </row>
    <row r="63" spans="1:2" ht="15" thickBot="1" x14ac:dyDescent="0.4">
      <c r="A63" s="1">
        <v>37438</v>
      </c>
      <c r="B63" s="59">
        <v>2202</v>
      </c>
    </row>
    <row r="64" spans="1:2" ht="15" thickBot="1" x14ac:dyDescent="0.4">
      <c r="A64" s="1">
        <v>37347</v>
      </c>
      <c r="B64" s="59">
        <v>1923</v>
      </c>
    </row>
    <row r="65" spans="1:2" ht="15" thickBot="1" x14ac:dyDescent="0.4">
      <c r="A65" s="1">
        <v>37257</v>
      </c>
      <c r="B65" s="59">
        <v>1485</v>
      </c>
    </row>
    <row r="66" spans="1:2" ht="15" thickBot="1" x14ac:dyDescent="0.4">
      <c r="A66" s="1">
        <v>37165</v>
      </c>
      <c r="B66" s="59">
        <v>1591</v>
      </c>
    </row>
    <row r="67" spans="1:2" ht="15" thickBot="1" x14ac:dyDescent="0.4">
      <c r="A67" s="1">
        <v>37073</v>
      </c>
      <c r="B67" s="59">
        <v>1718</v>
      </c>
    </row>
    <row r="68" spans="1:2" ht="15" thickBot="1" x14ac:dyDescent="0.4">
      <c r="A68" s="1">
        <v>36982</v>
      </c>
      <c r="B68" s="59">
        <v>1494</v>
      </c>
    </row>
    <row r="69" spans="1:2" ht="15" thickBot="1" x14ac:dyDescent="0.4">
      <c r="A69" s="1">
        <v>36892</v>
      </c>
      <c r="B69" s="59">
        <v>1292</v>
      </c>
    </row>
    <row r="70" spans="1:2" ht="15" thickBot="1" x14ac:dyDescent="0.4">
      <c r="A70" s="1">
        <v>36800</v>
      </c>
      <c r="B70" s="59">
        <v>1300</v>
      </c>
    </row>
    <row r="71" spans="1:2" ht="15" thickBot="1" x14ac:dyDescent="0.4">
      <c r="A71" s="1">
        <v>36708</v>
      </c>
      <c r="B71" s="59">
        <v>1452</v>
      </c>
    </row>
    <row r="72" spans="1:2" ht="15" thickBot="1" x14ac:dyDescent="0.4">
      <c r="A72" s="1">
        <v>36617</v>
      </c>
      <c r="B72" s="59">
        <v>1248</v>
      </c>
    </row>
    <row r="73" spans="1:2" ht="15" thickBot="1" x14ac:dyDescent="0.4">
      <c r="A73" s="1">
        <v>36526</v>
      </c>
      <c r="B73" s="59">
        <v>1097</v>
      </c>
    </row>
    <row r="74" spans="1:2" ht="15" thickBot="1" x14ac:dyDescent="0.4">
      <c r="A74" s="1">
        <v>36434</v>
      </c>
      <c r="B74" s="59">
        <v>1090</v>
      </c>
    </row>
    <row r="75" spans="1:2" ht="15" thickBot="1" x14ac:dyDescent="0.4">
      <c r="A75" s="1">
        <v>36342</v>
      </c>
      <c r="B75" s="59">
        <v>1188</v>
      </c>
    </row>
    <row r="76" spans="1:2" ht="15" thickBot="1" x14ac:dyDescent="0.4">
      <c r="A76" s="1">
        <v>36251</v>
      </c>
      <c r="B76" s="59">
        <v>1006.9999999999999</v>
      </c>
    </row>
    <row r="77" spans="1:2" ht="15" thickBot="1" x14ac:dyDescent="0.4">
      <c r="A77" s="1">
        <v>36161</v>
      </c>
      <c r="B77" s="59">
        <v>874.54</v>
      </c>
    </row>
    <row r="78" spans="1:2" ht="15" thickBot="1" x14ac:dyDescent="0.4">
      <c r="A78" s="1">
        <v>36069</v>
      </c>
      <c r="B78" s="59">
        <v>882.3</v>
      </c>
    </row>
    <row r="79" spans="1:2" ht="15" thickBot="1" x14ac:dyDescent="0.4">
      <c r="A79" s="1">
        <v>35977</v>
      </c>
      <c r="B79" s="59">
        <v>985.7</v>
      </c>
    </row>
    <row r="80" spans="1:2" ht="15" thickBot="1" x14ac:dyDescent="0.4">
      <c r="A80" s="1">
        <v>35886</v>
      </c>
      <c r="B80" s="59">
        <v>830.7</v>
      </c>
    </row>
    <row r="81" spans="1:2" ht="15" thickBot="1" x14ac:dyDescent="0.4">
      <c r="A81" s="1">
        <v>35796</v>
      </c>
      <c r="B81" s="59">
        <v>927.44</v>
      </c>
    </row>
    <row r="82" spans="1:2" ht="15" thickBot="1" x14ac:dyDescent="0.4">
      <c r="A82" s="1">
        <v>35704</v>
      </c>
      <c r="B82" s="59">
        <v>670.9</v>
      </c>
    </row>
    <row r="83" spans="1:2" ht="15" thickBot="1" x14ac:dyDescent="0.4">
      <c r="A83" s="1">
        <v>35612</v>
      </c>
      <c r="B83" s="59">
        <v>731.2</v>
      </c>
    </row>
    <row r="84" spans="1:2" ht="15" thickBot="1" x14ac:dyDescent="0.4">
      <c r="A84" s="1">
        <v>35521</v>
      </c>
      <c r="B84" s="59">
        <v>623.70000000000005</v>
      </c>
    </row>
    <row r="85" spans="1:2" ht="15" thickBot="1" x14ac:dyDescent="0.4">
      <c r="A85" s="1">
        <v>35431</v>
      </c>
      <c r="B85" s="59">
        <v>552.4</v>
      </c>
    </row>
    <row r="86" spans="1:2" ht="15" thickBot="1" x14ac:dyDescent="0.4">
      <c r="A86" s="1">
        <v>35339</v>
      </c>
      <c r="B86" s="59">
        <v>566.1</v>
      </c>
    </row>
    <row r="87" spans="1:2" ht="15" thickBot="1" x14ac:dyDescent="0.4">
      <c r="A87" s="1">
        <v>35247</v>
      </c>
      <c r="B87" s="59">
        <v>629.5</v>
      </c>
    </row>
    <row r="88" spans="1:2" ht="15" thickBot="1" x14ac:dyDescent="0.4">
      <c r="A88" s="1">
        <v>35156</v>
      </c>
      <c r="B88" s="59">
        <v>477.4</v>
      </c>
    </row>
    <row r="89" spans="1:2" ht="15" thickBot="1" x14ac:dyDescent="0.4">
      <c r="A89" s="1">
        <v>35065</v>
      </c>
      <c r="B89" s="59">
        <v>419.5</v>
      </c>
    </row>
    <row r="90" spans="1:2" ht="15" thickBot="1" x14ac:dyDescent="0.4">
      <c r="A90" s="1">
        <v>34973</v>
      </c>
      <c r="B90" s="59">
        <v>429.8</v>
      </c>
    </row>
    <row r="91" spans="1:2" ht="15" thickBot="1" x14ac:dyDescent="0.4">
      <c r="A91" s="1">
        <v>34881</v>
      </c>
      <c r="B91" s="59">
        <v>494.4</v>
      </c>
    </row>
    <row r="92" spans="1:2" ht="15" thickBot="1" x14ac:dyDescent="0.4">
      <c r="A92" s="1">
        <v>34790</v>
      </c>
      <c r="B92" s="59">
        <v>423.3</v>
      </c>
    </row>
    <row r="93" spans="1:2" ht="15" thickBot="1" x14ac:dyDescent="0.4">
      <c r="A93" s="1">
        <v>34700</v>
      </c>
      <c r="B93" s="59">
        <v>391.9</v>
      </c>
    </row>
    <row r="94" spans="1:2" ht="15" thickBot="1" x14ac:dyDescent="0.4">
      <c r="A94" s="1">
        <v>34608</v>
      </c>
      <c r="B94" s="59">
        <v>381.9</v>
      </c>
    </row>
    <row r="95" spans="1:2" ht="15" thickBot="1" x14ac:dyDescent="0.4">
      <c r="A95" s="1">
        <v>34516</v>
      </c>
      <c r="B95" s="59">
        <v>404.6</v>
      </c>
    </row>
    <row r="96" spans="1:2" ht="15" thickBot="1" x14ac:dyDescent="0.4">
      <c r="A96" s="1">
        <v>34425</v>
      </c>
      <c r="B96" s="59">
        <v>336.7</v>
      </c>
    </row>
    <row r="97" spans="1:2" ht="15" thickBot="1" x14ac:dyDescent="0.4">
      <c r="A97" s="1">
        <v>34335</v>
      </c>
      <c r="B97" s="59">
        <v>279</v>
      </c>
    </row>
    <row r="98" spans="1:2" ht="15" thickBot="1" x14ac:dyDescent="0.4">
      <c r="A98" s="1">
        <v>34243</v>
      </c>
      <c r="B98" s="59">
        <v>275.60000000000002</v>
      </c>
    </row>
    <row r="99" spans="1:2" ht="15" thickBot="1" x14ac:dyDescent="0.4">
      <c r="A99" s="1">
        <v>34151</v>
      </c>
      <c r="B99" s="59">
        <v>292.5</v>
      </c>
    </row>
    <row r="100" spans="1:2" ht="15" thickBot="1" x14ac:dyDescent="0.4">
      <c r="A100" s="1">
        <v>34060</v>
      </c>
      <c r="B100" s="59">
        <v>234.2</v>
      </c>
    </row>
    <row r="101" spans="1:2" ht="15" thickBot="1" x14ac:dyDescent="0.4">
      <c r="A101" s="1">
        <v>33970</v>
      </c>
      <c r="B101" s="59">
        <v>209.3</v>
      </c>
    </row>
    <row r="102" spans="1:2" ht="15" thickBot="1" x14ac:dyDescent="0.4">
      <c r="A102" s="1">
        <v>33878</v>
      </c>
      <c r="B102" s="59">
        <v>231.4</v>
      </c>
    </row>
    <row r="103" spans="1:2" ht="15" thickBot="1" x14ac:dyDescent="0.4">
      <c r="A103" s="1">
        <v>33786</v>
      </c>
      <c r="B103" s="59">
        <v>246.7</v>
      </c>
    </row>
    <row r="104" spans="1:2" ht="15" thickBot="1" x14ac:dyDescent="0.4">
      <c r="A104" s="1">
        <v>33695</v>
      </c>
      <c r="B104" s="59">
        <v>213.2</v>
      </c>
    </row>
    <row r="105" spans="1:2" ht="15" thickBot="1" x14ac:dyDescent="0.4">
      <c r="A105" s="1">
        <v>33604</v>
      </c>
      <c r="B105" s="59">
        <v>170.5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E59F-AC79-4A5A-8545-759EEBC45DB9}">
  <dimension ref="A1:B105"/>
  <sheetViews>
    <sheetView workbookViewId="0">
      <selection activeCell="B1" sqref="B1"/>
    </sheetView>
  </sheetViews>
  <sheetFormatPr defaultRowHeight="14.5" x14ac:dyDescent="0.35"/>
  <cols>
    <col min="1" max="1" width="9.453125" bestFit="1" customWidth="1"/>
    <col min="2" max="2" width="5.81640625" bestFit="1" customWidth="1"/>
  </cols>
  <sheetData>
    <row r="1" spans="1:2" x14ac:dyDescent="0.35">
      <c r="A1" s="1">
        <v>43101</v>
      </c>
      <c r="B1" s="8">
        <v>8093</v>
      </c>
    </row>
    <row r="2" spans="1:2" x14ac:dyDescent="0.35">
      <c r="A2" s="1">
        <v>43009</v>
      </c>
      <c r="B2" s="8">
        <v>8648</v>
      </c>
    </row>
    <row r="3" spans="1:2" x14ac:dyDescent="0.35">
      <c r="A3" s="1">
        <v>42917</v>
      </c>
      <c r="B3" s="8">
        <v>9461</v>
      </c>
    </row>
    <row r="4" spans="1:2" x14ac:dyDescent="0.35">
      <c r="A4" s="1">
        <v>42826</v>
      </c>
      <c r="B4" s="8">
        <v>8154</v>
      </c>
    </row>
    <row r="5" spans="1:2" x14ac:dyDescent="0.35">
      <c r="A5" s="1">
        <v>42736</v>
      </c>
      <c r="B5" s="8">
        <v>7553</v>
      </c>
    </row>
    <row r="6" spans="1:2" x14ac:dyDescent="0.35">
      <c r="A6" s="1">
        <v>42644</v>
      </c>
      <c r="B6" s="8">
        <v>8042</v>
      </c>
    </row>
    <row r="7" spans="1:2" x14ac:dyDescent="0.35">
      <c r="A7" s="1">
        <v>42552</v>
      </c>
      <c r="B7" s="8">
        <v>8927</v>
      </c>
    </row>
    <row r="8" spans="1:2" x14ac:dyDescent="0.35">
      <c r="A8" s="1">
        <v>42461</v>
      </c>
      <c r="B8" s="8">
        <v>7791</v>
      </c>
    </row>
    <row r="9" spans="1:2" x14ac:dyDescent="0.35">
      <c r="A9" s="1">
        <v>42370</v>
      </c>
      <c r="B9" s="8">
        <v>7156</v>
      </c>
    </row>
    <row r="10" spans="1:2" x14ac:dyDescent="0.35">
      <c r="A10" s="1">
        <v>42278</v>
      </c>
      <c r="B10" s="8">
        <v>7565</v>
      </c>
    </row>
    <row r="11" spans="1:2" x14ac:dyDescent="0.35">
      <c r="A11" s="1">
        <v>42186</v>
      </c>
      <c r="B11" s="8">
        <v>8365</v>
      </c>
    </row>
    <row r="12" spans="1:2" x14ac:dyDescent="0.35">
      <c r="A12" s="1">
        <v>42095</v>
      </c>
      <c r="B12" s="8">
        <v>7179</v>
      </c>
    </row>
    <row r="13" spans="1:2" x14ac:dyDescent="0.35">
      <c r="A13" s="1">
        <v>42005</v>
      </c>
      <c r="B13" s="8">
        <v>6582</v>
      </c>
    </row>
    <row r="14" spans="1:2" x14ac:dyDescent="0.35">
      <c r="A14" s="1">
        <v>41913</v>
      </c>
      <c r="B14" s="8">
        <v>7043</v>
      </c>
    </row>
    <row r="15" spans="1:2" x14ac:dyDescent="0.35">
      <c r="A15" s="1">
        <v>41821</v>
      </c>
      <c r="B15" s="8">
        <v>8007</v>
      </c>
    </row>
    <row r="16" spans="1:2" x14ac:dyDescent="0.35">
      <c r="A16" s="1">
        <v>41730</v>
      </c>
      <c r="B16" s="8">
        <v>6757</v>
      </c>
    </row>
    <row r="17" spans="1:2" x14ac:dyDescent="0.35">
      <c r="A17" s="1">
        <v>41640</v>
      </c>
      <c r="B17" s="8">
        <v>5717</v>
      </c>
    </row>
    <row r="18" spans="1:2" x14ac:dyDescent="0.35">
      <c r="A18" s="1">
        <v>41548</v>
      </c>
      <c r="B18" s="8">
        <v>6798</v>
      </c>
    </row>
    <row r="19" spans="1:2" x14ac:dyDescent="0.35">
      <c r="A19" s="1">
        <v>41456</v>
      </c>
      <c r="B19" s="8">
        <v>7721</v>
      </c>
    </row>
    <row r="20" spans="1:2" x14ac:dyDescent="0.35">
      <c r="A20" s="1">
        <v>41365</v>
      </c>
      <c r="B20" s="8">
        <v>6679</v>
      </c>
    </row>
    <row r="21" spans="1:2" x14ac:dyDescent="0.35">
      <c r="A21" s="1">
        <v>41275</v>
      </c>
      <c r="B21" s="8">
        <v>6366</v>
      </c>
    </row>
    <row r="22" spans="1:2" x14ac:dyDescent="0.35">
      <c r="A22" s="1">
        <v>41183</v>
      </c>
      <c r="B22" s="8">
        <v>6267</v>
      </c>
    </row>
    <row r="23" spans="1:2" x14ac:dyDescent="0.35">
      <c r="A23" s="1">
        <v>41091</v>
      </c>
      <c r="B23" s="8">
        <v>7026</v>
      </c>
    </row>
    <row r="24" spans="1:2" x14ac:dyDescent="0.35">
      <c r="A24" s="1">
        <v>41000</v>
      </c>
      <c r="B24" s="8">
        <v>6183</v>
      </c>
    </row>
    <row r="25" spans="1:2" x14ac:dyDescent="0.35">
      <c r="A25" s="1">
        <v>40909</v>
      </c>
      <c r="B25" s="8">
        <v>5597</v>
      </c>
    </row>
    <row r="26" spans="1:2" x14ac:dyDescent="0.35">
      <c r="A26" s="1">
        <v>40817</v>
      </c>
      <c r="B26" s="8">
        <v>5961</v>
      </c>
    </row>
    <row r="27" spans="1:2" x14ac:dyDescent="0.35">
      <c r="A27" s="1">
        <v>40725</v>
      </c>
      <c r="B27" s="8">
        <v>6876</v>
      </c>
    </row>
    <row r="28" spans="1:2" x14ac:dyDescent="0.35">
      <c r="A28" s="1">
        <v>40634</v>
      </c>
      <c r="B28" s="8">
        <v>5828</v>
      </c>
    </row>
    <row r="29" spans="1:2" x14ac:dyDescent="0.35">
      <c r="A29" s="1">
        <v>40544</v>
      </c>
      <c r="B29" s="8">
        <v>5243</v>
      </c>
    </row>
    <row r="30" spans="1:2" x14ac:dyDescent="0.35">
      <c r="A30" s="1">
        <v>40452</v>
      </c>
      <c r="B30" s="8">
        <v>5685</v>
      </c>
    </row>
    <row r="31" spans="1:2" x14ac:dyDescent="0.35">
      <c r="A31" s="1">
        <v>40360</v>
      </c>
      <c r="B31" s="8">
        <v>6582</v>
      </c>
    </row>
    <row r="32" spans="1:2" x14ac:dyDescent="0.35">
      <c r="A32" s="1">
        <v>40269</v>
      </c>
      <c r="B32" s="8">
        <v>5794</v>
      </c>
    </row>
    <row r="33" spans="1:2" x14ac:dyDescent="0.35">
      <c r="A33" s="1">
        <v>40179</v>
      </c>
      <c r="B33" s="8">
        <v>5013</v>
      </c>
    </row>
    <row r="34" spans="1:2" x14ac:dyDescent="0.35">
      <c r="A34" s="1">
        <v>40087</v>
      </c>
      <c r="B34" s="8">
        <v>5561</v>
      </c>
    </row>
    <row r="35" spans="1:2" x14ac:dyDescent="0.35">
      <c r="A35" s="1">
        <v>39995</v>
      </c>
      <c r="B35" s="8">
        <v>6388</v>
      </c>
    </row>
    <row r="36" spans="1:2" x14ac:dyDescent="0.35">
      <c r="A36" s="1">
        <v>39904</v>
      </c>
      <c r="B36" s="8">
        <v>5450</v>
      </c>
    </row>
    <row r="37" spans="1:2" x14ac:dyDescent="0.35">
      <c r="A37" s="1">
        <v>39814</v>
      </c>
      <c r="B37" s="8">
        <v>4960</v>
      </c>
    </row>
    <row r="38" spans="1:2" x14ac:dyDescent="0.35">
      <c r="A38" s="1">
        <v>39722</v>
      </c>
      <c r="B38" s="8">
        <v>5994</v>
      </c>
    </row>
    <row r="39" spans="1:2" x14ac:dyDescent="0.35">
      <c r="A39" s="1">
        <v>39630</v>
      </c>
      <c r="B39" s="8">
        <v>6964</v>
      </c>
    </row>
    <row r="40" spans="1:2" x14ac:dyDescent="0.35">
      <c r="A40" s="1">
        <v>39539</v>
      </c>
      <c r="B40" s="8">
        <v>6072</v>
      </c>
    </row>
    <row r="41" spans="1:2" x14ac:dyDescent="0.35">
      <c r="A41" s="1">
        <v>39448</v>
      </c>
      <c r="B41" s="8">
        <v>6054</v>
      </c>
    </row>
    <row r="42" spans="1:2" x14ac:dyDescent="0.35">
      <c r="A42" s="1">
        <v>39356</v>
      </c>
      <c r="B42" s="8">
        <v>6339</v>
      </c>
    </row>
    <row r="43" spans="1:2" x14ac:dyDescent="0.35">
      <c r="A43" s="1">
        <v>39264</v>
      </c>
      <c r="B43" s="8">
        <v>7341</v>
      </c>
    </row>
    <row r="44" spans="1:2" x14ac:dyDescent="0.35">
      <c r="A44" s="1">
        <v>39173</v>
      </c>
      <c r="B44" s="8">
        <v>6263</v>
      </c>
    </row>
    <row r="45" spans="1:2" x14ac:dyDescent="0.35">
      <c r="A45" s="1">
        <v>39083</v>
      </c>
      <c r="B45" s="8">
        <v>5850</v>
      </c>
    </row>
    <row r="46" spans="1:2" x14ac:dyDescent="0.35">
      <c r="A46" s="1">
        <v>38991</v>
      </c>
      <c r="B46" s="8">
        <v>6604</v>
      </c>
    </row>
    <row r="47" spans="1:2" x14ac:dyDescent="0.35">
      <c r="A47" s="1">
        <v>38899</v>
      </c>
      <c r="B47" s="8">
        <v>7456</v>
      </c>
    </row>
    <row r="48" spans="1:2" x14ac:dyDescent="0.35">
      <c r="A48" s="1">
        <v>38808</v>
      </c>
      <c r="B48" s="8">
        <v>7228</v>
      </c>
    </row>
    <row r="49" spans="1:2" x14ac:dyDescent="0.35">
      <c r="A49" s="1">
        <v>38718</v>
      </c>
      <c r="B49" s="8">
        <v>5211</v>
      </c>
    </row>
    <row r="50" spans="1:2" x14ac:dyDescent="0.35">
      <c r="A50" s="1">
        <v>38626</v>
      </c>
      <c r="B50" s="8">
        <v>6963</v>
      </c>
    </row>
    <row r="51" spans="1:2" x14ac:dyDescent="0.35">
      <c r="A51" s="1">
        <v>38534</v>
      </c>
      <c r="B51" s="8">
        <v>7409</v>
      </c>
    </row>
    <row r="52" spans="1:2" x14ac:dyDescent="0.35">
      <c r="A52" s="1">
        <v>38443</v>
      </c>
      <c r="B52" s="8">
        <v>6355</v>
      </c>
    </row>
    <row r="53" spans="1:2" x14ac:dyDescent="0.35">
      <c r="A53" s="1">
        <v>38353</v>
      </c>
      <c r="B53" s="8">
        <v>5749</v>
      </c>
    </row>
    <row r="54" spans="1:2" x14ac:dyDescent="0.35">
      <c r="A54" s="1">
        <v>38261</v>
      </c>
      <c r="B54" s="8">
        <v>6252</v>
      </c>
    </row>
    <row r="55" spans="1:2" x14ac:dyDescent="0.35">
      <c r="A55" s="1">
        <v>38169</v>
      </c>
      <c r="B55" s="8">
        <v>6661</v>
      </c>
    </row>
    <row r="56" spans="1:2" x14ac:dyDescent="0.35">
      <c r="A56" s="1">
        <v>38078</v>
      </c>
      <c r="B56" s="8">
        <v>5768</v>
      </c>
    </row>
    <row r="57" spans="1:2" x14ac:dyDescent="0.35">
      <c r="A57" s="1">
        <v>37987</v>
      </c>
      <c r="B57" s="8">
        <v>4953</v>
      </c>
    </row>
    <row r="58" spans="1:2" x14ac:dyDescent="0.35">
      <c r="A58" s="1">
        <v>37895</v>
      </c>
      <c r="B58" s="8">
        <v>5193</v>
      </c>
    </row>
    <row r="59" spans="1:2" x14ac:dyDescent="0.35">
      <c r="A59" s="1">
        <v>37803</v>
      </c>
      <c r="B59" s="8">
        <v>5605</v>
      </c>
    </row>
    <row r="60" spans="1:2" x14ac:dyDescent="0.35">
      <c r="A60" s="1">
        <v>37712</v>
      </c>
      <c r="B60" s="8">
        <v>4829</v>
      </c>
    </row>
    <row r="61" spans="1:2" x14ac:dyDescent="0.35">
      <c r="A61" s="1">
        <v>37622</v>
      </c>
      <c r="B61" s="8">
        <v>4222</v>
      </c>
    </row>
    <row r="62" spans="1:2" x14ac:dyDescent="0.35">
      <c r="A62" s="1">
        <v>37530</v>
      </c>
      <c r="B62" s="8">
        <v>4580</v>
      </c>
    </row>
    <row r="63" spans="1:2" x14ac:dyDescent="0.35">
      <c r="A63" s="1">
        <v>37438</v>
      </c>
      <c r="B63" s="8">
        <v>4946</v>
      </c>
    </row>
    <row r="64" spans="1:2" x14ac:dyDescent="0.35">
      <c r="A64" s="1">
        <v>37347</v>
      </c>
      <c r="B64" s="8">
        <v>4360</v>
      </c>
    </row>
    <row r="65" spans="1:2" x14ac:dyDescent="0.35">
      <c r="A65" s="1">
        <v>37257</v>
      </c>
      <c r="B65" s="8">
        <v>4156</v>
      </c>
    </row>
    <row r="66" spans="1:2" x14ac:dyDescent="0.35">
      <c r="A66" s="1">
        <v>37165</v>
      </c>
      <c r="B66" s="8">
        <v>4010</v>
      </c>
    </row>
    <row r="67" spans="1:2" x14ac:dyDescent="0.35">
      <c r="A67" s="1">
        <v>37073</v>
      </c>
      <c r="B67" s="8">
        <v>4326</v>
      </c>
    </row>
    <row r="68" spans="1:2" x14ac:dyDescent="0.35">
      <c r="A68" s="1">
        <v>36982</v>
      </c>
      <c r="B68" s="8">
        <v>3655</v>
      </c>
    </row>
    <row r="69" spans="1:2" x14ac:dyDescent="0.35">
      <c r="A69" s="1">
        <v>36892</v>
      </c>
      <c r="B69" s="8">
        <v>3218</v>
      </c>
    </row>
    <row r="70" spans="1:2" x14ac:dyDescent="0.35">
      <c r="A70" s="1">
        <v>36800</v>
      </c>
      <c r="B70" s="8">
        <v>3450</v>
      </c>
    </row>
    <row r="71" spans="1:2" x14ac:dyDescent="0.35">
      <c r="A71" s="1">
        <v>36708</v>
      </c>
      <c r="B71" s="8">
        <v>3739</v>
      </c>
    </row>
    <row r="72" spans="1:2" x14ac:dyDescent="0.35">
      <c r="A72" s="1">
        <v>36617</v>
      </c>
      <c r="B72" s="8">
        <v>3274</v>
      </c>
    </row>
    <row r="73" spans="1:2" x14ac:dyDescent="0.35">
      <c r="A73" s="1">
        <v>36526</v>
      </c>
      <c r="B73" s="8">
        <v>3047</v>
      </c>
    </row>
    <row r="74" spans="1:2" x14ac:dyDescent="0.35">
      <c r="A74" s="1">
        <v>36434</v>
      </c>
      <c r="B74" s="8">
        <v>3011</v>
      </c>
    </row>
    <row r="75" spans="1:2" x14ac:dyDescent="0.35">
      <c r="A75" s="1">
        <v>36342</v>
      </c>
      <c r="B75" s="8">
        <v>3143</v>
      </c>
    </row>
    <row r="76" spans="1:2" x14ac:dyDescent="0.35">
      <c r="A76" s="1">
        <v>36251</v>
      </c>
      <c r="B76" s="8">
        <v>2673</v>
      </c>
    </row>
    <row r="77" spans="1:2" x14ac:dyDescent="0.35">
      <c r="A77" s="1">
        <v>36161</v>
      </c>
      <c r="B77" s="8">
        <v>2292</v>
      </c>
    </row>
    <row r="78" spans="1:2" x14ac:dyDescent="0.35">
      <c r="A78" s="1">
        <v>36069</v>
      </c>
      <c r="B78" s="8">
        <v>2274</v>
      </c>
    </row>
    <row r="79" spans="1:2" x14ac:dyDescent="0.35">
      <c r="A79" s="1">
        <v>35977</v>
      </c>
      <c r="B79" s="8">
        <v>2356</v>
      </c>
    </row>
    <row r="80" spans="1:2" x14ac:dyDescent="0.35">
      <c r="A80" s="1">
        <v>35886</v>
      </c>
      <c r="B80" s="8">
        <v>2055</v>
      </c>
    </row>
    <row r="81" spans="1:2" x14ac:dyDescent="0.35">
      <c r="A81" s="1">
        <v>35796</v>
      </c>
      <c r="B81" s="8">
        <v>1781</v>
      </c>
    </row>
    <row r="82" spans="1:2" x14ac:dyDescent="0.35">
      <c r="A82" s="1">
        <v>35704</v>
      </c>
      <c r="B82" s="8">
        <v>1797</v>
      </c>
    </row>
    <row r="83" spans="1:2" x14ac:dyDescent="0.35">
      <c r="A83" s="1">
        <v>35612</v>
      </c>
      <c r="B83" s="8">
        <v>1868</v>
      </c>
    </row>
    <row r="84" spans="1:2" x14ac:dyDescent="0.35">
      <c r="A84" s="1">
        <v>35521</v>
      </c>
      <c r="B84" s="8">
        <v>1619</v>
      </c>
    </row>
    <row r="85" spans="1:2" x14ac:dyDescent="0.35">
      <c r="A85" s="1">
        <v>35431</v>
      </c>
      <c r="B85" s="8">
        <v>1502</v>
      </c>
    </row>
    <row r="86" spans="1:2" x14ac:dyDescent="0.35">
      <c r="A86" s="1">
        <v>35339</v>
      </c>
      <c r="B86" s="8">
        <v>1397</v>
      </c>
    </row>
    <row r="87" spans="1:2" x14ac:dyDescent="0.35">
      <c r="A87" s="1">
        <v>35247</v>
      </c>
      <c r="B87" s="8">
        <v>1493</v>
      </c>
    </row>
    <row r="88" spans="1:2" x14ac:dyDescent="0.35">
      <c r="A88" s="1">
        <v>35156</v>
      </c>
      <c r="B88" s="8">
        <v>1273</v>
      </c>
    </row>
    <row r="89" spans="1:2" x14ac:dyDescent="0.35">
      <c r="A89" s="1">
        <v>35065</v>
      </c>
      <c r="B89" s="8">
        <v>1140</v>
      </c>
    </row>
    <row r="90" spans="1:2" x14ac:dyDescent="0.35">
      <c r="A90" s="1">
        <v>34973</v>
      </c>
      <c r="B90" s="8">
        <v>1124</v>
      </c>
    </row>
    <row r="91" spans="1:2" x14ac:dyDescent="0.35">
      <c r="A91" s="1">
        <v>34881</v>
      </c>
      <c r="B91" s="8">
        <v>1166</v>
      </c>
    </row>
    <row r="92" spans="1:2" x14ac:dyDescent="0.35">
      <c r="A92" s="1">
        <v>34790</v>
      </c>
      <c r="B92" s="8">
        <v>1037</v>
      </c>
    </row>
    <row r="93" spans="1:2" x14ac:dyDescent="0.35">
      <c r="A93" s="1">
        <v>34700</v>
      </c>
      <c r="B93" s="8">
        <v>935.8</v>
      </c>
    </row>
    <row r="94" spans="1:2" x14ac:dyDescent="0.35">
      <c r="A94" s="1">
        <v>34608</v>
      </c>
      <c r="B94" s="8">
        <v>912</v>
      </c>
    </row>
    <row r="95" spans="1:2" x14ac:dyDescent="0.35">
      <c r="A95" s="1">
        <v>34516</v>
      </c>
      <c r="B95" s="8">
        <v>926</v>
      </c>
    </row>
    <row r="96" spans="1:2" x14ac:dyDescent="0.35">
      <c r="A96" s="1">
        <v>34425</v>
      </c>
      <c r="B96" s="8">
        <v>837.1</v>
      </c>
    </row>
    <row r="97" spans="1:2" x14ac:dyDescent="0.35">
      <c r="A97" s="1">
        <v>34335</v>
      </c>
      <c r="B97" s="8">
        <v>688.5</v>
      </c>
    </row>
    <row r="98" spans="1:2" x14ac:dyDescent="0.35">
      <c r="A98" s="1">
        <v>34243</v>
      </c>
      <c r="B98" s="8">
        <v>647.9</v>
      </c>
    </row>
    <row r="99" spans="1:2" x14ac:dyDescent="0.35">
      <c r="A99" s="1">
        <v>34151</v>
      </c>
      <c r="B99" s="8">
        <v>682.9</v>
      </c>
    </row>
    <row r="100" spans="1:2" x14ac:dyDescent="0.35">
      <c r="A100" s="1">
        <v>34060</v>
      </c>
      <c r="B100" s="8">
        <v>622.20000000000005</v>
      </c>
    </row>
    <row r="101" spans="1:2" x14ac:dyDescent="0.35">
      <c r="A101" s="1">
        <v>33970</v>
      </c>
      <c r="B101" s="8">
        <v>544.20000000000005</v>
      </c>
    </row>
    <row r="102" spans="1:2" x14ac:dyDescent="0.35">
      <c r="A102" s="1">
        <v>33878</v>
      </c>
      <c r="B102" s="8">
        <v>512.29999999999995</v>
      </c>
    </row>
    <row r="103" spans="1:2" x14ac:dyDescent="0.35">
      <c r="A103" s="1">
        <v>33786</v>
      </c>
      <c r="B103" s="8">
        <v>520.6</v>
      </c>
    </row>
    <row r="104" spans="1:2" x14ac:dyDescent="0.35">
      <c r="A104" s="1">
        <v>33695</v>
      </c>
      <c r="B104" s="8">
        <v>461.3</v>
      </c>
    </row>
    <row r="105" spans="1:2" x14ac:dyDescent="0.35">
      <c r="A105" s="1">
        <v>33604</v>
      </c>
      <c r="B105" s="8">
        <v>398.6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3792-581E-42CB-907A-EDEB733C998D}">
  <dimension ref="A1:C324"/>
  <sheetViews>
    <sheetView workbookViewId="0">
      <selection activeCell="C1" sqref="C1"/>
    </sheetView>
  </sheetViews>
  <sheetFormatPr defaultRowHeight="14.5" x14ac:dyDescent="0.35"/>
  <cols>
    <col min="1" max="1" width="9.453125" style="8" bestFit="1" customWidth="1"/>
    <col min="2" max="2" width="6.08984375" style="8" bestFit="1" customWidth="1"/>
  </cols>
  <sheetData>
    <row r="1" spans="1:3" x14ac:dyDescent="0.35">
      <c r="B1" s="8" t="s">
        <v>469</v>
      </c>
    </row>
    <row r="2" spans="1:3" x14ac:dyDescent="0.35">
      <c r="A2" s="1">
        <v>43160</v>
      </c>
      <c r="B2" s="8" t="s">
        <v>470</v>
      </c>
      <c r="C2" s="13">
        <v>5.54</v>
      </c>
    </row>
    <row r="3" spans="1:3" x14ac:dyDescent="0.35">
      <c r="A3" s="1">
        <v>43132</v>
      </c>
      <c r="B3" s="8" t="s">
        <v>471</v>
      </c>
      <c r="C3" s="13">
        <v>5.38</v>
      </c>
    </row>
    <row r="4" spans="1:3" x14ac:dyDescent="0.35">
      <c r="A4" s="1">
        <v>43101</v>
      </c>
      <c r="B4" s="8" t="s">
        <v>472</v>
      </c>
      <c r="C4" s="13">
        <v>5.57</v>
      </c>
    </row>
    <row r="5" spans="1:3" x14ac:dyDescent="0.35">
      <c r="A5" s="1">
        <v>43070</v>
      </c>
      <c r="B5" s="8" t="s">
        <v>473</v>
      </c>
      <c r="C5" s="13">
        <v>5.81</v>
      </c>
    </row>
    <row r="6" spans="1:3" x14ac:dyDescent="0.35">
      <c r="A6" s="1">
        <v>43040</v>
      </c>
      <c r="B6" s="8" t="s">
        <v>474</v>
      </c>
      <c r="C6" s="13">
        <v>5.48</v>
      </c>
    </row>
    <row r="7" spans="1:3" x14ac:dyDescent="0.35">
      <c r="A7" s="1">
        <v>43009</v>
      </c>
      <c r="B7" s="8" t="s">
        <v>475</v>
      </c>
      <c r="C7" s="13">
        <v>5.39</v>
      </c>
    </row>
    <row r="8" spans="1:3" x14ac:dyDescent="0.35">
      <c r="A8" s="1">
        <v>42979</v>
      </c>
      <c r="B8" s="8" t="s">
        <v>476</v>
      </c>
      <c r="C8" s="13">
        <v>5.35</v>
      </c>
    </row>
    <row r="9" spans="1:3" x14ac:dyDescent="0.35">
      <c r="A9" s="1">
        <v>42948</v>
      </c>
      <c r="B9" s="8" t="s">
        <v>477</v>
      </c>
      <c r="C9" s="13">
        <v>5.44</v>
      </c>
    </row>
    <row r="10" spans="1:3" x14ac:dyDescent="0.35">
      <c r="A10" s="1">
        <v>42917</v>
      </c>
      <c r="B10" s="8" t="s">
        <v>478</v>
      </c>
      <c r="C10" s="13">
        <v>5.52</v>
      </c>
    </row>
    <row r="11" spans="1:3" x14ac:dyDescent="0.35">
      <c r="A11" s="1">
        <v>42887</v>
      </c>
      <c r="B11" s="8" t="s">
        <v>479</v>
      </c>
      <c r="C11" s="13">
        <v>5.62</v>
      </c>
    </row>
    <row r="12" spans="1:3" x14ac:dyDescent="0.35">
      <c r="A12" s="1">
        <v>42856</v>
      </c>
      <c r="B12" s="8" t="s">
        <v>472</v>
      </c>
      <c r="C12" s="13">
        <v>5.57</v>
      </c>
    </row>
    <row r="13" spans="1:3" x14ac:dyDescent="0.35">
      <c r="A13" s="1">
        <v>42826</v>
      </c>
      <c r="B13" s="8" t="s">
        <v>480</v>
      </c>
      <c r="C13" s="13">
        <v>5.71</v>
      </c>
    </row>
    <row r="14" spans="1:3" x14ac:dyDescent="0.35">
      <c r="A14" s="1">
        <v>42795</v>
      </c>
      <c r="B14" s="8" t="s">
        <v>474</v>
      </c>
      <c r="C14" s="13">
        <v>5.48</v>
      </c>
    </row>
    <row r="15" spans="1:3" x14ac:dyDescent="0.35">
      <c r="A15" s="1">
        <v>42767</v>
      </c>
      <c r="B15" s="8" t="s">
        <v>481</v>
      </c>
      <c r="C15" s="13">
        <v>5.69</v>
      </c>
    </row>
    <row r="16" spans="1:3" x14ac:dyDescent="0.35">
      <c r="A16" s="1">
        <v>42736</v>
      </c>
      <c r="B16" s="8" t="s">
        <v>482</v>
      </c>
      <c r="C16" s="13">
        <v>5.49</v>
      </c>
    </row>
    <row r="17" spans="1:3" x14ac:dyDescent="0.35">
      <c r="A17" s="1">
        <v>42705</v>
      </c>
      <c r="B17" s="8" t="s">
        <v>483</v>
      </c>
      <c r="C17" s="13">
        <v>5.61</v>
      </c>
    </row>
    <row r="18" spans="1:3" x14ac:dyDescent="0.35">
      <c r="A18" s="1">
        <v>42675</v>
      </c>
      <c r="B18" s="8" t="s">
        <v>484</v>
      </c>
      <c r="C18" s="13">
        <v>5.6</v>
      </c>
    </row>
    <row r="19" spans="1:3" x14ac:dyDescent="0.35">
      <c r="A19" s="1">
        <v>42644</v>
      </c>
      <c r="B19" s="8" t="s">
        <v>485</v>
      </c>
      <c r="C19" s="13">
        <v>5.47</v>
      </c>
    </row>
    <row r="20" spans="1:3" x14ac:dyDescent="0.35">
      <c r="A20" s="1">
        <v>42614</v>
      </c>
      <c r="B20" s="8" t="s">
        <v>486</v>
      </c>
      <c r="C20" s="13">
        <v>5.33</v>
      </c>
    </row>
    <row r="21" spans="1:3" x14ac:dyDescent="0.35">
      <c r="A21" s="1">
        <v>42583</v>
      </c>
      <c r="B21" s="8" t="s">
        <v>475</v>
      </c>
      <c r="C21" s="13">
        <v>5.39</v>
      </c>
    </row>
    <row r="22" spans="1:3" x14ac:dyDescent="0.35">
      <c r="A22" s="1">
        <v>42552</v>
      </c>
      <c r="B22" s="8" t="s">
        <v>472</v>
      </c>
      <c r="C22" s="13">
        <v>5.57</v>
      </c>
    </row>
    <row r="23" spans="1:3" x14ac:dyDescent="0.35">
      <c r="A23" s="1">
        <v>42522</v>
      </c>
      <c r="B23" s="8" t="s">
        <v>487</v>
      </c>
      <c r="C23" s="13">
        <v>5.53</v>
      </c>
    </row>
    <row r="24" spans="1:3" x14ac:dyDescent="0.35">
      <c r="A24" s="1">
        <v>42491</v>
      </c>
      <c r="B24" s="8" t="s">
        <v>488</v>
      </c>
      <c r="C24" s="13">
        <v>5.45</v>
      </c>
    </row>
    <row r="25" spans="1:3" x14ac:dyDescent="0.35">
      <c r="A25" s="1">
        <v>42461</v>
      </c>
      <c r="B25" s="8" t="s">
        <v>486</v>
      </c>
      <c r="C25" s="13">
        <v>5.33</v>
      </c>
    </row>
    <row r="26" spans="1:3" x14ac:dyDescent="0.35">
      <c r="A26" s="1">
        <v>42430</v>
      </c>
      <c r="B26" s="8" t="s">
        <v>489</v>
      </c>
      <c r="C26" s="13">
        <v>5.08</v>
      </c>
    </row>
    <row r="27" spans="1:3" x14ac:dyDescent="0.35">
      <c r="A27" s="1">
        <v>42401</v>
      </c>
      <c r="B27" s="8" t="s">
        <v>485</v>
      </c>
      <c r="C27" s="13">
        <v>5.47</v>
      </c>
    </row>
    <row r="28" spans="1:3" x14ac:dyDescent="0.35">
      <c r="A28" s="1">
        <v>42370</v>
      </c>
      <c r="B28" s="8" t="s">
        <v>490</v>
      </c>
      <c r="C28" s="13">
        <v>5.46</v>
      </c>
    </row>
    <row r="29" spans="1:3" x14ac:dyDescent="0.35">
      <c r="A29" s="1">
        <v>42339</v>
      </c>
      <c r="B29" s="8" t="s">
        <v>491</v>
      </c>
      <c r="C29" s="13">
        <v>4.76</v>
      </c>
    </row>
    <row r="30" spans="1:3" x14ac:dyDescent="0.35">
      <c r="A30" s="1">
        <v>42309</v>
      </c>
      <c r="B30" s="8" t="s">
        <v>492</v>
      </c>
      <c r="C30" s="13">
        <v>5.36</v>
      </c>
    </row>
    <row r="31" spans="1:3" x14ac:dyDescent="0.35">
      <c r="A31" s="1">
        <v>42278</v>
      </c>
      <c r="B31" s="8" t="s">
        <v>493</v>
      </c>
      <c r="C31" s="13">
        <v>5.55</v>
      </c>
    </row>
    <row r="32" spans="1:3" x14ac:dyDescent="0.35">
      <c r="A32" s="1">
        <v>42248</v>
      </c>
      <c r="B32" s="8" t="s">
        <v>494</v>
      </c>
      <c r="C32" s="13">
        <v>5.31</v>
      </c>
    </row>
    <row r="33" spans="1:3" x14ac:dyDescent="0.35">
      <c r="A33" s="1">
        <v>42217</v>
      </c>
      <c r="B33" s="8" t="s">
        <v>495</v>
      </c>
      <c r="C33" s="13">
        <v>5.59</v>
      </c>
    </row>
    <row r="34" spans="1:3" x14ac:dyDescent="0.35">
      <c r="A34" s="1">
        <v>42186</v>
      </c>
      <c r="B34" s="8" t="s">
        <v>482</v>
      </c>
      <c r="C34" s="13">
        <v>5.49</v>
      </c>
    </row>
    <row r="35" spans="1:3" x14ac:dyDescent="0.35">
      <c r="A35" s="1">
        <v>42156</v>
      </c>
      <c r="B35" s="8" t="s">
        <v>476</v>
      </c>
      <c r="C35" s="13">
        <v>5.35</v>
      </c>
    </row>
    <row r="36" spans="1:3" x14ac:dyDescent="0.35">
      <c r="A36" s="1">
        <v>42125</v>
      </c>
      <c r="B36" s="8" t="s">
        <v>496</v>
      </c>
      <c r="C36" s="13">
        <v>5.04</v>
      </c>
    </row>
    <row r="37" spans="1:3" x14ac:dyDescent="0.35">
      <c r="A37" s="1">
        <v>42095</v>
      </c>
      <c r="B37" s="8" t="s">
        <v>497</v>
      </c>
      <c r="C37" s="13">
        <v>5.19</v>
      </c>
    </row>
    <row r="38" spans="1:3" x14ac:dyDescent="0.35">
      <c r="A38" s="1">
        <v>42064</v>
      </c>
      <c r="B38" s="8" t="s">
        <v>498</v>
      </c>
      <c r="C38" s="13">
        <v>4.88</v>
      </c>
    </row>
    <row r="39" spans="1:3" x14ac:dyDescent="0.35">
      <c r="A39" s="1">
        <v>42036</v>
      </c>
      <c r="B39" s="8" t="s">
        <v>499</v>
      </c>
      <c r="C39" s="13">
        <v>4.82</v>
      </c>
    </row>
    <row r="40" spans="1:3" x14ac:dyDescent="0.35">
      <c r="A40" s="1">
        <v>42005</v>
      </c>
      <c r="B40" s="8" t="s">
        <v>496</v>
      </c>
      <c r="C40" s="13">
        <v>5.04</v>
      </c>
    </row>
    <row r="41" spans="1:3" x14ac:dyDescent="0.35">
      <c r="A41" s="1">
        <v>41974</v>
      </c>
      <c r="B41" s="8" t="s">
        <v>500</v>
      </c>
      <c r="C41" s="13">
        <v>4.93</v>
      </c>
    </row>
    <row r="42" spans="1:3" x14ac:dyDescent="0.35">
      <c r="A42" s="1">
        <v>41944</v>
      </c>
      <c r="B42" s="8" t="s">
        <v>501</v>
      </c>
      <c r="C42" s="13">
        <v>5.26</v>
      </c>
    </row>
    <row r="43" spans="1:3" x14ac:dyDescent="0.35">
      <c r="A43" s="1">
        <v>41913</v>
      </c>
      <c r="B43" s="8" t="s">
        <v>502</v>
      </c>
      <c r="C43" s="13">
        <v>5.17</v>
      </c>
    </row>
    <row r="44" spans="1:3" x14ac:dyDescent="0.35">
      <c r="A44" s="1">
        <v>41883</v>
      </c>
      <c r="B44" s="8" t="s">
        <v>503</v>
      </c>
      <c r="C44" s="13">
        <v>5.05</v>
      </c>
    </row>
    <row r="45" spans="1:3" x14ac:dyDescent="0.35">
      <c r="A45" s="1">
        <v>41852</v>
      </c>
      <c r="B45" s="8" t="s">
        <v>504</v>
      </c>
      <c r="C45" s="13">
        <v>5.15</v>
      </c>
    </row>
    <row r="46" spans="1:3" x14ac:dyDescent="0.35">
      <c r="A46" s="1">
        <v>41821</v>
      </c>
      <c r="B46" s="8" t="s">
        <v>496</v>
      </c>
      <c r="C46" s="13">
        <v>5.04</v>
      </c>
    </row>
    <row r="47" spans="1:3" x14ac:dyDescent="0.35">
      <c r="A47" s="1">
        <v>41791</v>
      </c>
      <c r="B47" s="8" t="s">
        <v>505</v>
      </c>
      <c r="C47" s="13">
        <v>4.8899999999999997</v>
      </c>
    </row>
    <row r="48" spans="1:3" x14ac:dyDescent="0.35">
      <c r="A48" s="1">
        <v>41760</v>
      </c>
      <c r="B48" s="8" t="s">
        <v>506</v>
      </c>
      <c r="C48" s="13">
        <v>4.6500000000000004</v>
      </c>
    </row>
    <row r="49" spans="1:3" x14ac:dyDescent="0.35">
      <c r="A49" s="1">
        <v>41730</v>
      </c>
      <c r="B49" s="8" t="s">
        <v>507</v>
      </c>
      <c r="C49" s="13">
        <v>4.59</v>
      </c>
    </row>
    <row r="50" spans="1:3" x14ac:dyDescent="0.35">
      <c r="A50" s="1">
        <v>41699</v>
      </c>
      <c r="B50" s="8" t="s">
        <v>508</v>
      </c>
      <c r="C50" s="13">
        <v>4.5999999999999996</v>
      </c>
    </row>
    <row r="51" spans="1:3" x14ac:dyDescent="0.35">
      <c r="A51" s="1">
        <v>41671</v>
      </c>
      <c r="B51" s="8" t="s">
        <v>509</v>
      </c>
      <c r="C51" s="13">
        <v>4.62</v>
      </c>
    </row>
    <row r="52" spans="1:3" x14ac:dyDescent="0.35">
      <c r="A52" s="1">
        <v>41640</v>
      </c>
      <c r="B52" s="8" t="s">
        <v>510</v>
      </c>
      <c r="C52" s="13">
        <v>4.87</v>
      </c>
    </row>
    <row r="53" spans="1:3" x14ac:dyDescent="0.35">
      <c r="A53" s="1">
        <v>41609</v>
      </c>
      <c r="B53" s="8" t="s">
        <v>511</v>
      </c>
      <c r="C53" s="13">
        <v>4.9000000000000004</v>
      </c>
    </row>
    <row r="54" spans="1:3" x14ac:dyDescent="0.35">
      <c r="A54" s="1">
        <v>41579</v>
      </c>
      <c r="B54" s="8" t="s">
        <v>512</v>
      </c>
      <c r="C54" s="13">
        <v>5.12</v>
      </c>
    </row>
    <row r="55" spans="1:3" x14ac:dyDescent="0.35">
      <c r="A55" s="1">
        <v>41548</v>
      </c>
      <c r="B55" s="8" t="s">
        <v>513</v>
      </c>
      <c r="C55" s="13">
        <v>5.29</v>
      </c>
    </row>
    <row r="56" spans="1:3" x14ac:dyDescent="0.35">
      <c r="A56" s="1">
        <v>41518</v>
      </c>
      <c r="B56" s="8" t="s">
        <v>474</v>
      </c>
      <c r="C56" s="13">
        <v>5.48</v>
      </c>
    </row>
    <row r="57" spans="1:3" x14ac:dyDescent="0.35">
      <c r="A57" s="1">
        <v>41487</v>
      </c>
      <c r="B57" s="8" t="s">
        <v>475</v>
      </c>
      <c r="C57" s="13">
        <v>5.39</v>
      </c>
    </row>
    <row r="58" spans="1:3" x14ac:dyDescent="0.35">
      <c r="A58" s="1">
        <v>41456</v>
      </c>
      <c r="B58" s="8" t="s">
        <v>489</v>
      </c>
      <c r="C58" s="13">
        <v>5.08</v>
      </c>
    </row>
    <row r="59" spans="1:3" x14ac:dyDescent="0.35">
      <c r="A59" s="1">
        <v>41426</v>
      </c>
      <c r="B59" s="8" t="s">
        <v>514</v>
      </c>
      <c r="C59" s="13">
        <v>5.18</v>
      </c>
    </row>
    <row r="60" spans="1:3" x14ac:dyDescent="0.35">
      <c r="A60" s="1">
        <v>41395</v>
      </c>
      <c r="B60" s="8" t="s">
        <v>515</v>
      </c>
      <c r="C60" s="13">
        <v>4.97</v>
      </c>
    </row>
    <row r="61" spans="1:3" x14ac:dyDescent="0.35">
      <c r="A61" s="1">
        <v>41365</v>
      </c>
      <c r="B61" s="8" t="s">
        <v>516</v>
      </c>
      <c r="C61" s="13">
        <v>4.92</v>
      </c>
    </row>
    <row r="62" spans="1:3" x14ac:dyDescent="0.35">
      <c r="A62" s="1">
        <v>41334</v>
      </c>
      <c r="B62" s="8" t="s">
        <v>517</v>
      </c>
      <c r="C62" s="13">
        <v>4.9800000000000004</v>
      </c>
    </row>
    <row r="63" spans="1:3" x14ac:dyDescent="0.35">
      <c r="A63" s="1">
        <v>41306</v>
      </c>
      <c r="B63" s="8" t="s">
        <v>516</v>
      </c>
      <c r="C63" s="13">
        <v>4.92</v>
      </c>
    </row>
    <row r="64" spans="1:3" x14ac:dyDescent="0.35">
      <c r="A64" s="1">
        <v>41275</v>
      </c>
      <c r="B64" s="8" t="s">
        <v>518</v>
      </c>
      <c r="C64" s="13">
        <v>4.9400000000000004</v>
      </c>
    </row>
    <row r="65" spans="1:3" x14ac:dyDescent="0.35">
      <c r="A65" s="1">
        <v>41244</v>
      </c>
      <c r="B65" s="8" t="s">
        <v>496</v>
      </c>
      <c r="C65" s="13">
        <v>5.04</v>
      </c>
    </row>
    <row r="66" spans="1:3" x14ac:dyDescent="0.35">
      <c r="A66" s="1">
        <v>41214</v>
      </c>
      <c r="B66" s="8" t="s">
        <v>519</v>
      </c>
      <c r="C66" s="13">
        <v>4.79</v>
      </c>
    </row>
    <row r="67" spans="1:3" x14ac:dyDescent="0.35">
      <c r="A67" s="1">
        <v>41183</v>
      </c>
      <c r="B67" s="8" t="s">
        <v>520</v>
      </c>
      <c r="C67" s="13">
        <v>4.75</v>
      </c>
    </row>
    <row r="68" spans="1:3" x14ac:dyDescent="0.35">
      <c r="A68" s="1">
        <v>41153</v>
      </c>
      <c r="B68" s="8" t="s">
        <v>499</v>
      </c>
      <c r="C68" s="13">
        <v>4.82</v>
      </c>
    </row>
    <row r="69" spans="1:3" x14ac:dyDescent="0.35">
      <c r="A69" s="1">
        <v>41122</v>
      </c>
      <c r="B69" s="8" t="s">
        <v>521</v>
      </c>
      <c r="C69" s="13">
        <v>4.47</v>
      </c>
    </row>
    <row r="70" spans="1:3" x14ac:dyDescent="0.35">
      <c r="A70" s="1">
        <v>41091</v>
      </c>
      <c r="B70" s="8" t="s">
        <v>522</v>
      </c>
      <c r="C70" s="13">
        <v>4.37</v>
      </c>
    </row>
    <row r="71" spans="1:3" x14ac:dyDescent="0.35">
      <c r="A71" s="1">
        <v>41061</v>
      </c>
      <c r="B71" s="8" t="s">
        <v>523</v>
      </c>
      <c r="C71" s="13">
        <v>4.55</v>
      </c>
    </row>
    <row r="72" spans="1:3" x14ac:dyDescent="0.35">
      <c r="A72" s="1">
        <v>41030</v>
      </c>
      <c r="B72" s="8" t="s">
        <v>509</v>
      </c>
      <c r="C72" s="13">
        <v>4.62</v>
      </c>
    </row>
    <row r="73" spans="1:3" x14ac:dyDescent="0.35">
      <c r="A73" s="1">
        <v>41000</v>
      </c>
      <c r="B73" s="8" t="s">
        <v>524</v>
      </c>
      <c r="C73" s="13">
        <v>4.4800000000000004</v>
      </c>
    </row>
    <row r="74" spans="1:3" x14ac:dyDescent="0.35">
      <c r="A74" s="1">
        <v>40969</v>
      </c>
      <c r="B74" s="8" t="s">
        <v>507</v>
      </c>
      <c r="C74" s="13">
        <v>4.59</v>
      </c>
    </row>
    <row r="75" spans="1:3" x14ac:dyDescent="0.35">
      <c r="A75" s="1">
        <v>40940</v>
      </c>
      <c r="B75" s="8" t="s">
        <v>525</v>
      </c>
      <c r="C75" s="13">
        <v>4.57</v>
      </c>
    </row>
    <row r="76" spans="1:3" x14ac:dyDescent="0.35">
      <c r="A76" s="1">
        <v>40909</v>
      </c>
      <c r="B76" s="8" t="s">
        <v>526</v>
      </c>
      <c r="C76" s="13">
        <v>4.6100000000000003</v>
      </c>
    </row>
    <row r="77" spans="1:3" x14ac:dyDescent="0.35">
      <c r="A77" s="1">
        <v>40878</v>
      </c>
      <c r="B77" s="8" t="s">
        <v>527</v>
      </c>
      <c r="C77" s="13">
        <v>4.42</v>
      </c>
    </row>
    <row r="78" spans="1:3" x14ac:dyDescent="0.35">
      <c r="A78" s="1">
        <v>40848</v>
      </c>
      <c r="B78" s="8" t="s">
        <v>515</v>
      </c>
      <c r="C78" s="13">
        <v>4.97</v>
      </c>
    </row>
    <row r="79" spans="1:3" x14ac:dyDescent="0.35">
      <c r="A79" s="1">
        <v>40817</v>
      </c>
      <c r="B79" s="8" t="s">
        <v>528</v>
      </c>
      <c r="C79" s="13">
        <v>4.91</v>
      </c>
    </row>
    <row r="80" spans="1:3" x14ac:dyDescent="0.35">
      <c r="A80" s="1">
        <v>40787</v>
      </c>
      <c r="B80" s="8" t="s">
        <v>529</v>
      </c>
      <c r="C80" s="13">
        <v>5.03</v>
      </c>
    </row>
    <row r="81" spans="1:3" x14ac:dyDescent="0.35">
      <c r="A81" s="1">
        <v>40756</v>
      </c>
      <c r="B81" s="8" t="s">
        <v>530</v>
      </c>
      <c r="C81" s="13">
        <v>4.67</v>
      </c>
    </row>
    <row r="82" spans="1:3" x14ac:dyDescent="0.35">
      <c r="A82" s="1">
        <v>40725</v>
      </c>
      <c r="B82" s="8" t="s">
        <v>531</v>
      </c>
      <c r="C82" s="13">
        <v>4.7699999999999996</v>
      </c>
    </row>
    <row r="83" spans="1:3" x14ac:dyDescent="0.35">
      <c r="A83" s="1">
        <v>40695</v>
      </c>
      <c r="B83" s="8" t="s">
        <v>532</v>
      </c>
      <c r="C83" s="13">
        <v>4.8099999999999996</v>
      </c>
    </row>
    <row r="84" spans="1:3" x14ac:dyDescent="0.35">
      <c r="A84" s="1">
        <v>40664</v>
      </c>
      <c r="B84" s="8" t="s">
        <v>503</v>
      </c>
      <c r="C84" s="13">
        <v>5.05</v>
      </c>
    </row>
    <row r="85" spans="1:3" x14ac:dyDescent="0.35">
      <c r="A85" s="1">
        <v>40634</v>
      </c>
      <c r="B85" s="8" t="s">
        <v>533</v>
      </c>
      <c r="C85" s="13">
        <v>5.0999999999999996</v>
      </c>
    </row>
    <row r="86" spans="1:3" x14ac:dyDescent="0.35">
      <c r="A86" s="1">
        <v>40603</v>
      </c>
      <c r="B86" s="8" t="s">
        <v>498</v>
      </c>
      <c r="C86" s="13">
        <v>4.88</v>
      </c>
    </row>
    <row r="87" spans="1:3" x14ac:dyDescent="0.35">
      <c r="A87" s="1">
        <v>40575</v>
      </c>
      <c r="B87" s="8" t="s">
        <v>492</v>
      </c>
      <c r="C87" s="13">
        <v>5.36</v>
      </c>
    </row>
    <row r="88" spans="1:3" x14ac:dyDescent="0.35">
      <c r="A88" s="1">
        <v>40544</v>
      </c>
      <c r="B88" s="8" t="s">
        <v>534</v>
      </c>
      <c r="C88" s="13">
        <v>5.28</v>
      </c>
    </row>
    <row r="89" spans="1:3" x14ac:dyDescent="0.35">
      <c r="A89" s="1">
        <v>40513</v>
      </c>
      <c r="B89" s="8" t="s">
        <v>535</v>
      </c>
      <c r="C89" s="13">
        <v>4.68</v>
      </c>
    </row>
    <row r="90" spans="1:3" x14ac:dyDescent="0.35">
      <c r="A90" s="1">
        <v>40483</v>
      </c>
      <c r="B90" s="8" t="s">
        <v>536</v>
      </c>
      <c r="C90" s="13">
        <v>4.43</v>
      </c>
    </row>
    <row r="91" spans="1:3" x14ac:dyDescent="0.35">
      <c r="A91" s="1">
        <v>40452</v>
      </c>
      <c r="B91" s="8" t="s">
        <v>537</v>
      </c>
      <c r="C91" s="13">
        <v>4.53</v>
      </c>
    </row>
    <row r="92" spans="1:3" x14ac:dyDescent="0.35">
      <c r="A92" s="1">
        <v>40422</v>
      </c>
      <c r="B92" s="8" t="s">
        <v>538</v>
      </c>
      <c r="C92" s="13">
        <v>4.13</v>
      </c>
    </row>
    <row r="93" spans="1:3" x14ac:dyDescent="0.35">
      <c r="A93" s="1">
        <v>40391</v>
      </c>
      <c r="B93" s="8" t="s">
        <v>539</v>
      </c>
      <c r="C93" s="13">
        <v>3.83</v>
      </c>
    </row>
    <row r="94" spans="1:3" x14ac:dyDescent="0.35">
      <c r="A94" s="1">
        <v>40360</v>
      </c>
      <c r="B94" s="8" t="s">
        <v>540</v>
      </c>
      <c r="C94" s="13">
        <v>5.37</v>
      </c>
    </row>
    <row r="95" spans="1:3" x14ac:dyDescent="0.35">
      <c r="A95" s="1">
        <v>40330</v>
      </c>
      <c r="B95" s="8" t="s">
        <v>541</v>
      </c>
      <c r="C95" s="13">
        <v>5.66</v>
      </c>
    </row>
    <row r="96" spans="1:3" x14ac:dyDescent="0.35">
      <c r="A96" s="1">
        <v>40299</v>
      </c>
      <c r="B96" s="8" t="s">
        <v>542</v>
      </c>
      <c r="C96" s="13">
        <v>5.77</v>
      </c>
    </row>
    <row r="97" spans="1:3" x14ac:dyDescent="0.35">
      <c r="A97" s="1">
        <v>40269</v>
      </c>
      <c r="B97" s="8" t="s">
        <v>476</v>
      </c>
      <c r="C97" s="13">
        <v>5.35</v>
      </c>
    </row>
    <row r="98" spans="1:3" x14ac:dyDescent="0.35">
      <c r="A98" s="1">
        <v>40238</v>
      </c>
      <c r="B98" s="8" t="s">
        <v>543</v>
      </c>
      <c r="C98" s="13">
        <v>5.0199999999999996</v>
      </c>
    </row>
    <row r="99" spans="1:3" x14ac:dyDescent="0.35">
      <c r="A99" s="1">
        <v>40210</v>
      </c>
      <c r="B99" s="8" t="s">
        <v>503</v>
      </c>
      <c r="C99" s="13">
        <v>5.05</v>
      </c>
    </row>
    <row r="100" spans="1:3" x14ac:dyDescent="0.35">
      <c r="A100" s="1">
        <v>40179</v>
      </c>
      <c r="B100" s="8" t="s">
        <v>488</v>
      </c>
      <c r="C100" s="13">
        <v>5.45</v>
      </c>
    </row>
    <row r="101" spans="1:3" x14ac:dyDescent="0.35">
      <c r="A101" s="1">
        <v>40148</v>
      </c>
      <c r="B101" s="8" t="s">
        <v>544</v>
      </c>
      <c r="C101" s="13">
        <v>6.54</v>
      </c>
    </row>
    <row r="102" spans="1:3" x14ac:dyDescent="0.35">
      <c r="A102" s="1">
        <v>40118</v>
      </c>
      <c r="B102" s="8" t="s">
        <v>545</v>
      </c>
      <c r="C102" s="13">
        <v>6.1</v>
      </c>
    </row>
    <row r="103" spans="1:3" x14ac:dyDescent="0.35">
      <c r="A103" s="1">
        <v>40087</v>
      </c>
      <c r="B103" s="8" t="s">
        <v>472</v>
      </c>
      <c r="C103" s="13">
        <v>5.57</v>
      </c>
    </row>
    <row r="104" spans="1:3" x14ac:dyDescent="0.35">
      <c r="A104" s="1">
        <v>40057</v>
      </c>
      <c r="B104" s="8" t="s">
        <v>533</v>
      </c>
      <c r="C104" s="13">
        <v>5.0999999999999996</v>
      </c>
    </row>
    <row r="105" spans="1:3" x14ac:dyDescent="0.35">
      <c r="A105" s="1">
        <v>40026</v>
      </c>
      <c r="B105" s="8" t="s">
        <v>546</v>
      </c>
      <c r="C105" s="13">
        <v>5.24</v>
      </c>
    </row>
    <row r="106" spans="1:3" x14ac:dyDescent="0.35">
      <c r="A106" s="1">
        <v>39995</v>
      </c>
      <c r="B106" s="8" t="s">
        <v>505</v>
      </c>
      <c r="C106" s="13">
        <v>4.8899999999999997</v>
      </c>
    </row>
    <row r="107" spans="1:3" x14ac:dyDescent="0.35">
      <c r="A107" s="1">
        <v>39965</v>
      </c>
      <c r="B107" s="8" t="s">
        <v>531</v>
      </c>
      <c r="C107" s="13">
        <v>4.7699999999999996</v>
      </c>
    </row>
    <row r="108" spans="1:3" x14ac:dyDescent="0.35">
      <c r="A108" s="1">
        <v>39934</v>
      </c>
      <c r="B108" s="8" t="s">
        <v>535</v>
      </c>
      <c r="C108" s="13">
        <v>4.68</v>
      </c>
    </row>
    <row r="109" spans="1:3" x14ac:dyDescent="0.35">
      <c r="A109" s="1">
        <v>39904</v>
      </c>
      <c r="B109" s="8" t="s">
        <v>525</v>
      </c>
      <c r="C109" s="13">
        <v>4.57</v>
      </c>
    </row>
    <row r="110" spans="1:3" x14ac:dyDescent="0.35">
      <c r="A110" s="1">
        <v>39873</v>
      </c>
      <c r="B110" s="8" t="s">
        <v>547</v>
      </c>
      <c r="C110" s="13">
        <v>4.72</v>
      </c>
    </row>
    <row r="111" spans="1:3" x14ac:dyDescent="0.35">
      <c r="A111" s="1">
        <v>39845</v>
      </c>
      <c r="B111" s="8" t="s">
        <v>548</v>
      </c>
      <c r="C111" s="13">
        <v>4.49</v>
      </c>
    </row>
    <row r="112" spans="1:3" x14ac:dyDescent="0.35">
      <c r="A112" s="1">
        <v>39814</v>
      </c>
      <c r="B112" s="8" t="s">
        <v>549</v>
      </c>
      <c r="C112" s="13">
        <v>4.74</v>
      </c>
    </row>
    <row r="113" spans="1:3" x14ac:dyDescent="0.35">
      <c r="A113" s="1">
        <v>39783</v>
      </c>
      <c r="B113" s="8" t="s">
        <v>548</v>
      </c>
      <c r="C113" s="13">
        <v>4.49</v>
      </c>
    </row>
    <row r="114" spans="1:3" x14ac:dyDescent="0.35">
      <c r="A114" s="1">
        <v>39753</v>
      </c>
      <c r="B114" s="8" t="s">
        <v>517</v>
      </c>
      <c r="C114" s="13">
        <v>4.9800000000000004</v>
      </c>
    </row>
    <row r="115" spans="1:3" x14ac:dyDescent="0.35">
      <c r="A115" s="1">
        <v>39722</v>
      </c>
      <c r="B115" s="8" t="s">
        <v>514</v>
      </c>
      <c r="C115" s="13">
        <v>5.18</v>
      </c>
    </row>
    <row r="116" spans="1:3" x14ac:dyDescent="0.35">
      <c r="A116" s="1">
        <v>39692</v>
      </c>
      <c r="B116" s="8" t="s">
        <v>528</v>
      </c>
      <c r="C116" s="13">
        <v>4.91</v>
      </c>
    </row>
    <row r="117" spans="1:3" x14ac:dyDescent="0.35">
      <c r="A117" s="1">
        <v>39661</v>
      </c>
      <c r="B117" s="8" t="s">
        <v>550</v>
      </c>
      <c r="C117" s="13">
        <v>5</v>
      </c>
    </row>
    <row r="118" spans="1:3" x14ac:dyDescent="0.35">
      <c r="A118" s="1">
        <v>39630</v>
      </c>
      <c r="B118" s="8" t="s">
        <v>551</v>
      </c>
      <c r="C118" s="13">
        <v>4.8600000000000003</v>
      </c>
    </row>
    <row r="119" spans="1:3" x14ac:dyDescent="0.35">
      <c r="A119" s="1">
        <v>39600</v>
      </c>
      <c r="B119" s="8" t="s">
        <v>552</v>
      </c>
      <c r="C119" s="13">
        <v>4.99</v>
      </c>
    </row>
    <row r="120" spans="1:3" x14ac:dyDescent="0.35">
      <c r="A120" s="1">
        <v>39569</v>
      </c>
      <c r="B120" s="8" t="s">
        <v>505</v>
      </c>
      <c r="C120" s="13">
        <v>4.8899999999999997</v>
      </c>
    </row>
    <row r="121" spans="1:3" x14ac:dyDescent="0.35">
      <c r="A121" s="1">
        <v>39539</v>
      </c>
      <c r="B121" s="8" t="s">
        <v>500</v>
      </c>
      <c r="C121" s="13">
        <v>4.93</v>
      </c>
    </row>
    <row r="122" spans="1:3" x14ac:dyDescent="0.35">
      <c r="A122" s="1">
        <v>39508</v>
      </c>
      <c r="B122" s="8" t="s">
        <v>529</v>
      </c>
      <c r="C122" s="13">
        <v>5.03</v>
      </c>
    </row>
    <row r="123" spans="1:3" x14ac:dyDescent="0.35">
      <c r="A123" s="1">
        <v>39479</v>
      </c>
      <c r="B123" s="8" t="s">
        <v>505</v>
      </c>
      <c r="C123" s="13">
        <v>4.8899999999999997</v>
      </c>
    </row>
    <row r="124" spans="1:3" x14ac:dyDescent="0.35">
      <c r="A124" s="1">
        <v>39448</v>
      </c>
      <c r="B124" s="8" t="s">
        <v>553</v>
      </c>
      <c r="C124" s="13">
        <v>4.41</v>
      </c>
    </row>
    <row r="125" spans="1:3" x14ac:dyDescent="0.35">
      <c r="A125" s="1">
        <v>39417</v>
      </c>
      <c r="B125" s="8" t="s">
        <v>554</v>
      </c>
      <c r="C125" s="13">
        <v>4.46</v>
      </c>
    </row>
    <row r="126" spans="1:3" x14ac:dyDescent="0.35">
      <c r="A126" s="1">
        <v>39387</v>
      </c>
      <c r="B126" s="8" t="s">
        <v>536</v>
      </c>
      <c r="C126" s="13">
        <v>4.43</v>
      </c>
    </row>
    <row r="127" spans="1:3" x14ac:dyDescent="0.35">
      <c r="A127" s="1">
        <v>39356</v>
      </c>
      <c r="B127" s="8" t="s">
        <v>555</v>
      </c>
      <c r="C127" s="13">
        <v>4.58</v>
      </c>
    </row>
    <row r="128" spans="1:3" x14ac:dyDescent="0.35">
      <c r="A128" s="1">
        <v>39326</v>
      </c>
      <c r="B128" s="8" t="s">
        <v>510</v>
      </c>
      <c r="C128" s="13">
        <v>4.87</v>
      </c>
    </row>
    <row r="129" spans="1:3" x14ac:dyDescent="0.35">
      <c r="A129" s="1">
        <v>39295</v>
      </c>
      <c r="B129" s="8" t="s">
        <v>556</v>
      </c>
      <c r="C129" s="13">
        <v>5.07</v>
      </c>
    </row>
    <row r="130" spans="1:3" x14ac:dyDescent="0.35">
      <c r="A130" s="1">
        <v>39264</v>
      </c>
      <c r="B130" s="8" t="s">
        <v>512</v>
      </c>
      <c r="C130" s="13">
        <v>5.12</v>
      </c>
    </row>
    <row r="131" spans="1:3" x14ac:dyDescent="0.35">
      <c r="A131" s="1">
        <v>39234</v>
      </c>
      <c r="B131" s="8" t="s">
        <v>557</v>
      </c>
      <c r="C131" s="13">
        <v>5.27</v>
      </c>
    </row>
    <row r="132" spans="1:3" x14ac:dyDescent="0.35">
      <c r="A132" s="1">
        <v>39203</v>
      </c>
      <c r="B132" s="8" t="s">
        <v>513</v>
      </c>
      <c r="C132" s="13">
        <v>5.29</v>
      </c>
    </row>
    <row r="133" spans="1:3" x14ac:dyDescent="0.35">
      <c r="A133" s="1">
        <v>39173</v>
      </c>
      <c r="B133" s="8" t="s">
        <v>490</v>
      </c>
      <c r="C133" s="13">
        <v>5.46</v>
      </c>
    </row>
    <row r="134" spans="1:3" x14ac:dyDescent="0.35">
      <c r="A134" s="1">
        <v>39142</v>
      </c>
      <c r="B134" s="8" t="s">
        <v>558</v>
      </c>
      <c r="C134" s="13">
        <v>5.79</v>
      </c>
    </row>
    <row r="135" spans="1:3" x14ac:dyDescent="0.35">
      <c r="A135" s="1">
        <v>39114</v>
      </c>
      <c r="B135" s="8" t="s">
        <v>559</v>
      </c>
      <c r="C135" s="13">
        <v>5.74</v>
      </c>
    </row>
    <row r="136" spans="1:3" x14ac:dyDescent="0.35">
      <c r="A136" s="1">
        <v>39083</v>
      </c>
      <c r="B136" s="8" t="s">
        <v>560</v>
      </c>
      <c r="C136" s="13">
        <v>6.4</v>
      </c>
    </row>
    <row r="137" spans="1:3" x14ac:dyDescent="0.35">
      <c r="A137" s="1">
        <v>39052</v>
      </c>
      <c r="B137" s="8" t="s">
        <v>561</v>
      </c>
      <c r="C137" s="13">
        <v>6.34</v>
      </c>
    </row>
    <row r="138" spans="1:3" x14ac:dyDescent="0.35">
      <c r="A138" s="1">
        <v>39022</v>
      </c>
      <c r="B138" s="8" t="s">
        <v>562</v>
      </c>
      <c r="C138" s="13">
        <v>6.36</v>
      </c>
    </row>
    <row r="139" spans="1:3" x14ac:dyDescent="0.35">
      <c r="A139" s="1">
        <v>38991</v>
      </c>
      <c r="B139" s="8" t="s">
        <v>563</v>
      </c>
      <c r="C139" s="13">
        <v>6.28</v>
      </c>
    </row>
    <row r="140" spans="1:3" x14ac:dyDescent="0.35">
      <c r="A140" s="1">
        <v>38961</v>
      </c>
      <c r="B140" s="8" t="s">
        <v>561</v>
      </c>
      <c r="C140" s="13">
        <v>6.34</v>
      </c>
    </row>
    <row r="141" spans="1:3" x14ac:dyDescent="0.35">
      <c r="A141" s="1">
        <v>38930</v>
      </c>
      <c r="B141" s="8" t="s">
        <v>564</v>
      </c>
      <c r="C141" s="13">
        <v>6.32</v>
      </c>
    </row>
    <row r="142" spans="1:3" x14ac:dyDescent="0.35">
      <c r="A142" s="1">
        <v>38899</v>
      </c>
      <c r="B142" s="8" t="s">
        <v>565</v>
      </c>
      <c r="C142" s="13">
        <v>6.48</v>
      </c>
    </row>
    <row r="143" spans="1:3" x14ac:dyDescent="0.35">
      <c r="A143" s="1">
        <v>38869</v>
      </c>
      <c r="B143" s="8" t="s">
        <v>566</v>
      </c>
      <c r="C143" s="13">
        <v>6.58</v>
      </c>
    </row>
    <row r="144" spans="1:3" x14ac:dyDescent="0.35">
      <c r="A144" s="1">
        <v>38838</v>
      </c>
      <c r="B144" s="8" t="s">
        <v>567</v>
      </c>
      <c r="C144" s="13">
        <v>6.7</v>
      </c>
    </row>
    <row r="145" spans="1:3" x14ac:dyDescent="0.35">
      <c r="A145" s="1">
        <v>38808</v>
      </c>
      <c r="B145" s="8" t="s">
        <v>568</v>
      </c>
      <c r="C145" s="13">
        <v>6.83</v>
      </c>
    </row>
    <row r="146" spans="1:3" x14ac:dyDescent="0.35">
      <c r="A146" s="1">
        <v>38777</v>
      </c>
      <c r="B146" s="8" t="s">
        <v>569</v>
      </c>
      <c r="C146" s="13">
        <v>6.84</v>
      </c>
    </row>
    <row r="147" spans="1:3" x14ac:dyDescent="0.35">
      <c r="A147" s="1">
        <v>38749</v>
      </c>
      <c r="B147" s="8" t="s">
        <v>570</v>
      </c>
      <c r="C147" s="13">
        <v>6.72</v>
      </c>
    </row>
    <row r="148" spans="1:3" x14ac:dyDescent="0.35">
      <c r="A148" s="1">
        <v>38718</v>
      </c>
      <c r="B148" s="8" t="s">
        <v>569</v>
      </c>
      <c r="C148" s="13">
        <v>6.84</v>
      </c>
    </row>
    <row r="149" spans="1:3" x14ac:dyDescent="0.35">
      <c r="A149" s="1">
        <v>38687</v>
      </c>
      <c r="B149" s="8" t="s">
        <v>571</v>
      </c>
      <c r="C149" s="13">
        <v>7.03</v>
      </c>
    </row>
    <row r="150" spans="1:3" x14ac:dyDescent="0.35">
      <c r="A150" s="1">
        <v>38657</v>
      </c>
      <c r="B150" s="8" t="s">
        <v>572</v>
      </c>
      <c r="C150" s="13">
        <v>7.1</v>
      </c>
    </row>
    <row r="151" spans="1:3" x14ac:dyDescent="0.35">
      <c r="A151" s="1">
        <v>38626</v>
      </c>
      <c r="B151" s="8" t="s">
        <v>573</v>
      </c>
      <c r="C151" s="13">
        <v>7.25</v>
      </c>
    </row>
    <row r="152" spans="1:3" x14ac:dyDescent="0.35">
      <c r="A152" s="1">
        <v>38596</v>
      </c>
      <c r="B152" s="8" t="s">
        <v>574</v>
      </c>
      <c r="C152" s="13">
        <v>7.23</v>
      </c>
    </row>
    <row r="153" spans="1:3" x14ac:dyDescent="0.35">
      <c r="A153" s="1">
        <v>38565</v>
      </c>
      <c r="B153" s="8" t="s">
        <v>575</v>
      </c>
      <c r="C153" s="13">
        <v>7.14</v>
      </c>
    </row>
    <row r="154" spans="1:3" x14ac:dyDescent="0.35">
      <c r="A154" s="1">
        <v>38534</v>
      </c>
      <c r="B154" s="8" t="s">
        <v>576</v>
      </c>
      <c r="C154" s="13">
        <v>7.18</v>
      </c>
    </row>
    <row r="155" spans="1:3" x14ac:dyDescent="0.35">
      <c r="A155" s="1">
        <v>38504</v>
      </c>
      <c r="B155" s="8" t="s">
        <v>577</v>
      </c>
      <c r="C155" s="13">
        <v>7.08</v>
      </c>
    </row>
    <row r="156" spans="1:3" x14ac:dyDescent="0.35">
      <c r="A156" s="1">
        <v>38473</v>
      </c>
      <c r="B156" s="8" t="s">
        <v>578</v>
      </c>
      <c r="C156" s="13">
        <v>7.12</v>
      </c>
    </row>
    <row r="157" spans="1:3" x14ac:dyDescent="0.35">
      <c r="A157" s="1">
        <v>38443</v>
      </c>
      <c r="B157" s="8" t="s">
        <v>579</v>
      </c>
      <c r="C157" s="13">
        <v>6.96</v>
      </c>
    </row>
    <row r="158" spans="1:3" x14ac:dyDescent="0.35">
      <c r="A158" s="1">
        <v>38412</v>
      </c>
      <c r="B158" s="8" t="s">
        <v>580</v>
      </c>
      <c r="C158" s="13">
        <v>6.88</v>
      </c>
    </row>
    <row r="159" spans="1:3" x14ac:dyDescent="0.35">
      <c r="A159" s="1">
        <v>38384</v>
      </c>
      <c r="B159" s="8" t="s">
        <v>572</v>
      </c>
      <c r="C159" s="13">
        <v>7.1</v>
      </c>
    </row>
    <row r="160" spans="1:3" x14ac:dyDescent="0.35">
      <c r="A160" s="1">
        <v>38353</v>
      </c>
      <c r="B160" s="8" t="s">
        <v>581</v>
      </c>
      <c r="C160" s="13">
        <v>6.89</v>
      </c>
    </row>
    <row r="161" spans="1:3" x14ac:dyDescent="0.35">
      <c r="A161" s="1">
        <v>38322</v>
      </c>
      <c r="B161" s="8" t="s">
        <v>579</v>
      </c>
      <c r="C161" s="13">
        <v>6.96</v>
      </c>
    </row>
    <row r="162" spans="1:3" x14ac:dyDescent="0.35">
      <c r="A162" s="1">
        <v>38292</v>
      </c>
      <c r="B162" s="8" t="s">
        <v>582</v>
      </c>
      <c r="C162" s="13">
        <v>6.85</v>
      </c>
    </row>
    <row r="163" spans="1:3" x14ac:dyDescent="0.35">
      <c r="A163" s="1">
        <v>38261</v>
      </c>
      <c r="B163" s="8" t="s">
        <v>583</v>
      </c>
      <c r="C163" s="13">
        <v>6.68</v>
      </c>
    </row>
    <row r="164" spans="1:3" x14ac:dyDescent="0.35">
      <c r="A164" s="1">
        <v>38231</v>
      </c>
      <c r="B164" s="8" t="s">
        <v>567</v>
      </c>
      <c r="C164" s="13">
        <v>6.7</v>
      </c>
    </row>
    <row r="165" spans="1:3" x14ac:dyDescent="0.35">
      <c r="A165" s="1">
        <v>38200</v>
      </c>
      <c r="B165" s="8" t="s">
        <v>569</v>
      </c>
      <c r="C165" s="13">
        <v>6.84</v>
      </c>
    </row>
    <row r="166" spans="1:3" x14ac:dyDescent="0.35">
      <c r="A166" s="1">
        <v>38169</v>
      </c>
      <c r="B166" s="8" t="s">
        <v>584</v>
      </c>
      <c r="C166" s="13">
        <v>6.92</v>
      </c>
    </row>
    <row r="167" spans="1:3" x14ac:dyDescent="0.35">
      <c r="A167" s="1">
        <v>38139</v>
      </c>
      <c r="B167" s="8" t="s">
        <v>582</v>
      </c>
      <c r="C167" s="13">
        <v>6.85</v>
      </c>
    </row>
    <row r="168" spans="1:3" x14ac:dyDescent="0.35">
      <c r="A168" s="1">
        <v>38108</v>
      </c>
      <c r="B168" s="8" t="s">
        <v>585</v>
      </c>
      <c r="C168" s="13">
        <v>6.73</v>
      </c>
    </row>
    <row r="169" spans="1:3" x14ac:dyDescent="0.35">
      <c r="A169" s="1">
        <v>38078</v>
      </c>
      <c r="B169" s="8" t="s">
        <v>586</v>
      </c>
      <c r="C169" s="13">
        <v>6.66</v>
      </c>
    </row>
    <row r="170" spans="1:3" x14ac:dyDescent="0.35">
      <c r="A170" s="1">
        <v>38047</v>
      </c>
      <c r="B170" s="8" t="s">
        <v>587</v>
      </c>
      <c r="C170" s="13">
        <v>6.41</v>
      </c>
    </row>
    <row r="171" spans="1:3" x14ac:dyDescent="0.35">
      <c r="A171" s="1">
        <v>38018</v>
      </c>
      <c r="B171" s="8" t="s">
        <v>588</v>
      </c>
      <c r="C171" s="13">
        <v>6.23</v>
      </c>
    </row>
    <row r="172" spans="1:3" x14ac:dyDescent="0.35">
      <c r="A172" s="1">
        <v>37987</v>
      </c>
      <c r="B172" s="8" t="s">
        <v>589</v>
      </c>
      <c r="C172" s="13">
        <v>6.49</v>
      </c>
    </row>
    <row r="173" spans="1:3" x14ac:dyDescent="0.35">
      <c r="A173" s="1">
        <v>37956</v>
      </c>
      <c r="B173" s="8" t="s">
        <v>588</v>
      </c>
      <c r="C173" s="13">
        <v>6.23</v>
      </c>
    </row>
    <row r="174" spans="1:3" x14ac:dyDescent="0.35">
      <c r="A174" s="1">
        <v>37926</v>
      </c>
      <c r="B174" s="8" t="s">
        <v>590</v>
      </c>
      <c r="C174" s="13">
        <v>6.39</v>
      </c>
    </row>
    <row r="175" spans="1:3" x14ac:dyDescent="0.35">
      <c r="A175" s="1">
        <v>37895</v>
      </c>
      <c r="B175" s="8" t="s">
        <v>566</v>
      </c>
      <c r="C175" s="13">
        <v>6.58</v>
      </c>
    </row>
    <row r="176" spans="1:3" x14ac:dyDescent="0.35">
      <c r="A176" s="1">
        <v>37865</v>
      </c>
      <c r="B176" s="8" t="s">
        <v>591</v>
      </c>
      <c r="C176" s="13">
        <v>6.52</v>
      </c>
    </row>
    <row r="177" spans="1:3" x14ac:dyDescent="0.35">
      <c r="A177" s="1">
        <v>37834</v>
      </c>
      <c r="B177" s="8" t="s">
        <v>592</v>
      </c>
      <c r="C177" s="13">
        <v>6.27</v>
      </c>
    </row>
    <row r="178" spans="1:3" x14ac:dyDescent="0.35">
      <c r="A178" s="1">
        <v>37803</v>
      </c>
      <c r="B178" s="8" t="s">
        <v>593</v>
      </c>
      <c r="C178" s="13">
        <v>5.94</v>
      </c>
    </row>
    <row r="179" spans="1:3" x14ac:dyDescent="0.35">
      <c r="A179" s="1">
        <v>37773</v>
      </c>
      <c r="B179" s="8" t="s">
        <v>593</v>
      </c>
      <c r="C179" s="13">
        <v>5.94</v>
      </c>
    </row>
    <row r="180" spans="1:3" x14ac:dyDescent="0.35">
      <c r="A180" s="1">
        <v>37742</v>
      </c>
      <c r="B180" s="8" t="s">
        <v>594</v>
      </c>
      <c r="C180" s="13">
        <v>5.84</v>
      </c>
    </row>
    <row r="181" spans="1:3" x14ac:dyDescent="0.35">
      <c r="A181" s="1">
        <v>37712</v>
      </c>
      <c r="B181" s="8" t="s">
        <v>595</v>
      </c>
      <c r="C181" s="13">
        <v>5.86</v>
      </c>
    </row>
    <row r="182" spans="1:3" x14ac:dyDescent="0.35">
      <c r="A182" s="1">
        <v>37681</v>
      </c>
      <c r="B182" s="8" t="s">
        <v>596</v>
      </c>
      <c r="C182" s="13">
        <v>6.02</v>
      </c>
    </row>
    <row r="183" spans="1:3" x14ac:dyDescent="0.35">
      <c r="A183" s="1">
        <v>37653</v>
      </c>
      <c r="B183" s="8" t="s">
        <v>597</v>
      </c>
      <c r="C183" s="13">
        <v>6.03</v>
      </c>
    </row>
    <row r="184" spans="1:3" x14ac:dyDescent="0.35">
      <c r="A184" s="1">
        <v>37622</v>
      </c>
      <c r="B184" s="8" t="s">
        <v>598</v>
      </c>
      <c r="C184" s="13">
        <v>5.97</v>
      </c>
    </row>
    <row r="185" spans="1:3" x14ac:dyDescent="0.35">
      <c r="A185" s="1">
        <v>37591</v>
      </c>
      <c r="B185" s="8" t="s">
        <v>599</v>
      </c>
      <c r="C185" s="13">
        <v>5.73</v>
      </c>
    </row>
    <row r="186" spans="1:3" x14ac:dyDescent="0.35">
      <c r="A186" s="1">
        <v>37561</v>
      </c>
      <c r="B186" s="8" t="s">
        <v>600</v>
      </c>
      <c r="C186" s="13">
        <v>5.68</v>
      </c>
    </row>
    <row r="187" spans="1:3" x14ac:dyDescent="0.35">
      <c r="A187" s="1">
        <v>37530</v>
      </c>
      <c r="B187" s="8" t="s">
        <v>478</v>
      </c>
      <c r="C187" s="13">
        <v>5.52</v>
      </c>
    </row>
    <row r="188" spans="1:3" x14ac:dyDescent="0.35">
      <c r="A188" s="1">
        <v>37500</v>
      </c>
      <c r="B188" s="8" t="s">
        <v>492</v>
      </c>
      <c r="C188" s="13">
        <v>5.36</v>
      </c>
    </row>
    <row r="189" spans="1:3" x14ac:dyDescent="0.35">
      <c r="A189" s="1">
        <v>37469</v>
      </c>
      <c r="B189" s="8" t="s">
        <v>601</v>
      </c>
      <c r="C189" s="13">
        <v>5.41</v>
      </c>
    </row>
    <row r="190" spans="1:3" x14ac:dyDescent="0.35">
      <c r="A190" s="1">
        <v>37438</v>
      </c>
      <c r="B190" s="8" t="s">
        <v>602</v>
      </c>
      <c r="C190" s="13">
        <v>5.51</v>
      </c>
    </row>
    <row r="191" spans="1:3" x14ac:dyDescent="0.35">
      <c r="A191" s="1">
        <v>37408</v>
      </c>
      <c r="B191" s="8" t="s">
        <v>603</v>
      </c>
      <c r="C191" s="13">
        <v>5.64</v>
      </c>
    </row>
    <row r="192" spans="1:3" x14ac:dyDescent="0.35">
      <c r="A192" s="1">
        <v>37377</v>
      </c>
      <c r="B192" s="8" t="s">
        <v>604</v>
      </c>
      <c r="C192" s="13">
        <v>5.67</v>
      </c>
    </row>
    <row r="193" spans="1:3" x14ac:dyDescent="0.35">
      <c r="A193" s="1">
        <v>37347</v>
      </c>
      <c r="B193" s="8" t="s">
        <v>605</v>
      </c>
      <c r="C193" s="13">
        <v>5.63</v>
      </c>
    </row>
    <row r="194" spans="1:3" x14ac:dyDescent="0.35">
      <c r="A194" s="1">
        <v>37316</v>
      </c>
      <c r="B194" s="8" t="s">
        <v>606</v>
      </c>
      <c r="C194" s="13">
        <v>5.9</v>
      </c>
    </row>
    <row r="195" spans="1:3" x14ac:dyDescent="0.35">
      <c r="A195" s="1">
        <v>37288</v>
      </c>
      <c r="B195" s="8" t="s">
        <v>595</v>
      </c>
      <c r="C195" s="13">
        <v>5.86</v>
      </c>
    </row>
    <row r="196" spans="1:3" x14ac:dyDescent="0.35">
      <c r="A196" s="1">
        <v>37257</v>
      </c>
      <c r="B196" s="8" t="s">
        <v>482</v>
      </c>
      <c r="C196" s="13">
        <v>5.49</v>
      </c>
    </row>
    <row r="197" spans="1:3" x14ac:dyDescent="0.35">
      <c r="A197" s="1">
        <v>37226</v>
      </c>
      <c r="B197" s="8" t="s">
        <v>546</v>
      </c>
      <c r="C197" s="13">
        <v>5.24</v>
      </c>
    </row>
    <row r="198" spans="1:3" x14ac:dyDescent="0.35">
      <c r="A198" s="1">
        <v>37196</v>
      </c>
      <c r="B198" s="8" t="s">
        <v>607</v>
      </c>
      <c r="C198" s="13">
        <v>5.25</v>
      </c>
    </row>
    <row r="199" spans="1:3" x14ac:dyDescent="0.35">
      <c r="A199" s="1">
        <v>37165</v>
      </c>
      <c r="B199" s="8" t="s">
        <v>608</v>
      </c>
      <c r="C199" s="13">
        <v>5.23</v>
      </c>
    </row>
    <row r="200" spans="1:3" x14ac:dyDescent="0.35">
      <c r="A200" s="1">
        <v>37135</v>
      </c>
      <c r="B200" s="8" t="s">
        <v>474</v>
      </c>
      <c r="C200" s="13">
        <v>5.48</v>
      </c>
    </row>
    <row r="201" spans="1:3" x14ac:dyDescent="0.35">
      <c r="A201" s="1">
        <v>37104</v>
      </c>
      <c r="B201" s="8" t="s">
        <v>609</v>
      </c>
      <c r="C201" s="13">
        <v>5.43</v>
      </c>
    </row>
    <row r="202" spans="1:3" x14ac:dyDescent="0.35">
      <c r="A202" s="1">
        <v>37073</v>
      </c>
      <c r="B202" s="8" t="s">
        <v>609</v>
      </c>
      <c r="C202" s="13">
        <v>5.43</v>
      </c>
    </row>
    <row r="203" spans="1:3" x14ac:dyDescent="0.35">
      <c r="A203" s="1">
        <v>37043</v>
      </c>
      <c r="B203" s="8" t="s">
        <v>557</v>
      </c>
      <c r="C203" s="13">
        <v>5.27</v>
      </c>
    </row>
    <row r="204" spans="1:3" x14ac:dyDescent="0.35">
      <c r="A204" s="1">
        <v>37012</v>
      </c>
      <c r="B204" s="8" t="s">
        <v>610</v>
      </c>
      <c r="C204" s="13">
        <v>5.32</v>
      </c>
    </row>
    <row r="205" spans="1:3" x14ac:dyDescent="0.35">
      <c r="A205" s="1">
        <v>36982</v>
      </c>
      <c r="B205" s="8" t="s">
        <v>488</v>
      </c>
      <c r="C205" s="13">
        <v>5.45</v>
      </c>
    </row>
    <row r="206" spans="1:3" x14ac:dyDescent="0.35">
      <c r="A206" s="1">
        <v>36951</v>
      </c>
      <c r="B206" s="8" t="s">
        <v>608</v>
      </c>
      <c r="C206" s="13">
        <v>5.23</v>
      </c>
    </row>
    <row r="207" spans="1:3" x14ac:dyDescent="0.35">
      <c r="A207" s="1">
        <v>36923</v>
      </c>
      <c r="B207" s="8" t="s">
        <v>533</v>
      </c>
      <c r="C207" s="13">
        <v>5.0999999999999996</v>
      </c>
    </row>
    <row r="208" spans="1:3" x14ac:dyDescent="0.35">
      <c r="A208" s="1">
        <v>36892</v>
      </c>
      <c r="B208" s="8" t="s">
        <v>533</v>
      </c>
      <c r="C208" s="13">
        <v>5.0999999999999996</v>
      </c>
    </row>
    <row r="209" spans="1:3" x14ac:dyDescent="0.35">
      <c r="A209" s="1">
        <v>36861</v>
      </c>
      <c r="B209" s="8" t="s">
        <v>476</v>
      </c>
      <c r="C209" s="13">
        <v>5.35</v>
      </c>
    </row>
    <row r="210" spans="1:3" x14ac:dyDescent="0.35">
      <c r="A210" s="1">
        <v>36831</v>
      </c>
      <c r="B210" s="8" t="s">
        <v>607</v>
      </c>
      <c r="C210" s="13">
        <v>5.25</v>
      </c>
    </row>
    <row r="211" spans="1:3" x14ac:dyDescent="0.35">
      <c r="A211" s="1">
        <v>36800</v>
      </c>
      <c r="B211" s="8" t="s">
        <v>513</v>
      </c>
      <c r="C211" s="13">
        <v>5.29</v>
      </c>
    </row>
    <row r="212" spans="1:3" x14ac:dyDescent="0.35">
      <c r="A212" s="1">
        <v>36770</v>
      </c>
      <c r="B212" s="8" t="s">
        <v>502</v>
      </c>
      <c r="C212" s="13">
        <v>5.17</v>
      </c>
    </row>
    <row r="213" spans="1:3" x14ac:dyDescent="0.35">
      <c r="A213" s="1">
        <v>36739</v>
      </c>
      <c r="B213" s="8" t="s">
        <v>611</v>
      </c>
      <c r="C213" s="13">
        <v>5.1100000000000003</v>
      </c>
    </row>
    <row r="214" spans="1:3" x14ac:dyDescent="0.35">
      <c r="A214" s="1">
        <v>36708</v>
      </c>
      <c r="B214" s="8" t="s">
        <v>612</v>
      </c>
      <c r="C214" s="13">
        <v>5.13</v>
      </c>
    </row>
    <row r="215" spans="1:3" x14ac:dyDescent="0.35">
      <c r="A215" s="1">
        <v>36678</v>
      </c>
      <c r="B215" s="8" t="s">
        <v>611</v>
      </c>
      <c r="C215" s="13">
        <v>5.1100000000000003</v>
      </c>
    </row>
    <row r="216" spans="1:3" x14ac:dyDescent="0.35">
      <c r="A216" s="1">
        <v>36647</v>
      </c>
      <c r="B216" s="8" t="s">
        <v>613</v>
      </c>
      <c r="C216" s="13">
        <v>5.2</v>
      </c>
    </row>
    <row r="217" spans="1:3" x14ac:dyDescent="0.35">
      <c r="A217" s="1">
        <v>36617</v>
      </c>
      <c r="B217" s="8" t="s">
        <v>497</v>
      </c>
      <c r="C217" s="13">
        <v>5.19</v>
      </c>
    </row>
    <row r="218" spans="1:3" x14ac:dyDescent="0.35">
      <c r="A218" s="1">
        <v>36586</v>
      </c>
      <c r="B218" s="8" t="s">
        <v>512</v>
      </c>
      <c r="C218" s="13">
        <v>5.12</v>
      </c>
    </row>
    <row r="219" spans="1:3" x14ac:dyDescent="0.35">
      <c r="A219" s="1">
        <v>36557</v>
      </c>
      <c r="B219" s="8" t="s">
        <v>608</v>
      </c>
      <c r="C219" s="13">
        <v>5.23</v>
      </c>
    </row>
    <row r="220" spans="1:3" x14ac:dyDescent="0.35">
      <c r="A220" s="1">
        <v>36526</v>
      </c>
      <c r="B220" s="8" t="s">
        <v>489</v>
      </c>
      <c r="C220" s="13">
        <v>5.08</v>
      </c>
    </row>
    <row r="221" spans="1:3" x14ac:dyDescent="0.35">
      <c r="A221" s="1">
        <v>36495</v>
      </c>
      <c r="B221" s="8" t="s">
        <v>614</v>
      </c>
      <c r="C221" s="13">
        <v>5.09</v>
      </c>
    </row>
    <row r="222" spans="1:3" x14ac:dyDescent="0.35">
      <c r="A222" s="1">
        <v>36465</v>
      </c>
      <c r="B222" s="8" t="s">
        <v>611</v>
      </c>
      <c r="C222" s="13">
        <v>5.1100000000000003</v>
      </c>
    </row>
    <row r="223" spans="1:3" x14ac:dyDescent="0.35">
      <c r="A223" s="1">
        <v>36434</v>
      </c>
      <c r="B223" s="8" t="s">
        <v>512</v>
      </c>
      <c r="C223" s="13">
        <v>5.12</v>
      </c>
    </row>
    <row r="224" spans="1:3" x14ac:dyDescent="0.35">
      <c r="A224" s="1">
        <v>36404</v>
      </c>
      <c r="B224" s="8" t="s">
        <v>608</v>
      </c>
      <c r="C224" s="13">
        <v>5.23</v>
      </c>
    </row>
    <row r="225" spans="1:3" x14ac:dyDescent="0.35">
      <c r="A225" s="1">
        <v>36373</v>
      </c>
      <c r="B225" s="8" t="s">
        <v>607</v>
      </c>
      <c r="C225" s="13">
        <v>5.25</v>
      </c>
    </row>
    <row r="226" spans="1:3" x14ac:dyDescent="0.35">
      <c r="A226" s="1">
        <v>36342</v>
      </c>
      <c r="B226" s="8" t="s">
        <v>609</v>
      </c>
      <c r="C226" s="13">
        <v>5.43</v>
      </c>
    </row>
    <row r="227" spans="1:3" x14ac:dyDescent="0.35">
      <c r="A227" s="1">
        <v>36312</v>
      </c>
      <c r="B227" s="8" t="s">
        <v>497</v>
      </c>
      <c r="C227" s="13">
        <v>5.19</v>
      </c>
    </row>
    <row r="228" spans="1:3" x14ac:dyDescent="0.35">
      <c r="A228" s="1">
        <v>36281</v>
      </c>
      <c r="B228" s="8" t="s">
        <v>489</v>
      </c>
      <c r="C228" s="13">
        <v>5.08</v>
      </c>
    </row>
    <row r="229" spans="1:3" x14ac:dyDescent="0.35">
      <c r="A229" s="1">
        <v>36251</v>
      </c>
      <c r="B229" s="8" t="s">
        <v>504</v>
      </c>
      <c r="C229" s="13">
        <v>5.15</v>
      </c>
    </row>
    <row r="230" spans="1:3" x14ac:dyDescent="0.35">
      <c r="A230" s="1">
        <v>36220</v>
      </c>
      <c r="B230" s="8" t="s">
        <v>533</v>
      </c>
      <c r="C230" s="13">
        <v>5.0999999999999996</v>
      </c>
    </row>
    <row r="231" spans="1:3" x14ac:dyDescent="0.35">
      <c r="A231" s="1">
        <v>36192</v>
      </c>
      <c r="B231" s="8" t="s">
        <v>608</v>
      </c>
      <c r="C231" s="13">
        <v>5.23</v>
      </c>
    </row>
    <row r="232" spans="1:3" x14ac:dyDescent="0.35">
      <c r="A232" s="1">
        <v>36161</v>
      </c>
      <c r="B232" s="8" t="s">
        <v>534</v>
      </c>
      <c r="C232" s="13">
        <v>5.28</v>
      </c>
    </row>
    <row r="233" spans="1:3" x14ac:dyDescent="0.35">
      <c r="A233" s="1">
        <v>36130</v>
      </c>
      <c r="B233" s="8" t="s">
        <v>512</v>
      </c>
      <c r="C233" s="13">
        <v>5.12</v>
      </c>
    </row>
    <row r="234" spans="1:3" x14ac:dyDescent="0.35">
      <c r="A234" s="1">
        <v>36100</v>
      </c>
      <c r="B234" s="8" t="s">
        <v>503</v>
      </c>
      <c r="C234" s="13">
        <v>5.05</v>
      </c>
    </row>
    <row r="235" spans="1:3" x14ac:dyDescent="0.35">
      <c r="A235" s="1">
        <v>36069</v>
      </c>
      <c r="B235" s="8" t="s">
        <v>515</v>
      </c>
      <c r="C235" s="13">
        <v>4.97</v>
      </c>
    </row>
    <row r="236" spans="1:3" x14ac:dyDescent="0.35">
      <c r="A236" s="1">
        <v>36039</v>
      </c>
      <c r="B236" s="8" t="s">
        <v>515</v>
      </c>
      <c r="C236" s="13">
        <v>4.97</v>
      </c>
    </row>
    <row r="237" spans="1:3" x14ac:dyDescent="0.35">
      <c r="A237" s="1">
        <v>36008</v>
      </c>
      <c r="B237" s="8" t="s">
        <v>543</v>
      </c>
      <c r="C237" s="13">
        <v>5.0199999999999996</v>
      </c>
    </row>
    <row r="238" spans="1:3" x14ac:dyDescent="0.35">
      <c r="A238" s="1">
        <v>35977</v>
      </c>
      <c r="B238" s="8" t="s">
        <v>511</v>
      </c>
      <c r="C238" s="13">
        <v>4.9000000000000004</v>
      </c>
    </row>
    <row r="239" spans="1:3" x14ac:dyDescent="0.35">
      <c r="A239" s="1">
        <v>35947</v>
      </c>
      <c r="B239" s="8" t="s">
        <v>615</v>
      </c>
      <c r="C239" s="13">
        <v>4.96</v>
      </c>
    </row>
    <row r="240" spans="1:3" x14ac:dyDescent="0.35">
      <c r="A240" s="1">
        <v>35916</v>
      </c>
      <c r="B240" s="8" t="s">
        <v>528</v>
      </c>
      <c r="C240" s="13">
        <v>4.91</v>
      </c>
    </row>
    <row r="241" spans="1:3" x14ac:dyDescent="0.35">
      <c r="A241" s="1">
        <v>35886</v>
      </c>
      <c r="B241" s="8" t="s">
        <v>518</v>
      </c>
      <c r="C241" s="13">
        <v>4.9400000000000004</v>
      </c>
    </row>
    <row r="242" spans="1:3" x14ac:dyDescent="0.35">
      <c r="A242" s="1">
        <v>35855</v>
      </c>
      <c r="B242" s="8" t="s">
        <v>616</v>
      </c>
      <c r="C242" s="13">
        <v>4.83</v>
      </c>
    </row>
    <row r="243" spans="1:3" x14ac:dyDescent="0.35">
      <c r="A243" s="1">
        <v>35827</v>
      </c>
      <c r="B243" s="8" t="s">
        <v>526</v>
      </c>
      <c r="C243" s="13">
        <v>4.6100000000000003</v>
      </c>
    </row>
    <row r="244" spans="1:3" x14ac:dyDescent="0.35">
      <c r="A244" s="1">
        <v>35796</v>
      </c>
      <c r="B244" s="8" t="s">
        <v>530</v>
      </c>
      <c r="C244" s="13">
        <v>4.67</v>
      </c>
    </row>
    <row r="245" spans="1:3" x14ac:dyDescent="0.35">
      <c r="A245" s="1">
        <v>35765</v>
      </c>
      <c r="B245" s="8" t="s">
        <v>525</v>
      </c>
      <c r="C245" s="13">
        <v>4.57</v>
      </c>
    </row>
    <row r="246" spans="1:3" x14ac:dyDescent="0.35">
      <c r="A246" s="1">
        <v>35735</v>
      </c>
      <c r="B246" s="8" t="s">
        <v>506</v>
      </c>
      <c r="C246" s="13">
        <v>4.6500000000000004</v>
      </c>
    </row>
    <row r="247" spans="1:3" x14ac:dyDescent="0.35">
      <c r="A247" s="1">
        <v>35704</v>
      </c>
      <c r="B247" s="8" t="s">
        <v>537</v>
      </c>
      <c r="C247" s="13">
        <v>4.53</v>
      </c>
    </row>
    <row r="248" spans="1:3" x14ac:dyDescent="0.35">
      <c r="A248" s="1">
        <v>35674</v>
      </c>
      <c r="B248" s="8" t="s">
        <v>521</v>
      </c>
      <c r="C248" s="13">
        <v>4.47</v>
      </c>
    </row>
    <row r="249" spans="1:3" x14ac:dyDescent="0.35">
      <c r="A249" s="1">
        <v>35643</v>
      </c>
      <c r="B249" s="8" t="s">
        <v>617</v>
      </c>
      <c r="C249" s="13">
        <v>4.3</v>
      </c>
    </row>
    <row r="250" spans="1:3" x14ac:dyDescent="0.35">
      <c r="A250" s="1">
        <v>35612</v>
      </c>
      <c r="B250" s="8" t="s">
        <v>618</v>
      </c>
      <c r="C250" s="13">
        <v>4.25</v>
      </c>
    </row>
    <row r="251" spans="1:3" x14ac:dyDescent="0.35">
      <c r="A251" s="1">
        <v>35582</v>
      </c>
      <c r="B251" s="8" t="s">
        <v>619</v>
      </c>
      <c r="C251" s="13">
        <v>4.32</v>
      </c>
    </row>
    <row r="252" spans="1:3" x14ac:dyDescent="0.35">
      <c r="A252" s="1">
        <v>35551</v>
      </c>
      <c r="B252" s="8" t="s">
        <v>620</v>
      </c>
      <c r="C252" s="13">
        <v>4.1900000000000004</v>
      </c>
    </row>
    <row r="253" spans="1:3" x14ac:dyDescent="0.35">
      <c r="A253" s="1">
        <v>35521</v>
      </c>
      <c r="B253" s="8" t="s">
        <v>620</v>
      </c>
      <c r="C253" s="13">
        <v>4.1900000000000004</v>
      </c>
    </row>
    <row r="254" spans="1:3" x14ac:dyDescent="0.35">
      <c r="A254" s="1">
        <v>35490</v>
      </c>
      <c r="B254" s="8" t="s">
        <v>621</v>
      </c>
      <c r="C254" s="13">
        <v>4.28</v>
      </c>
    </row>
    <row r="255" spans="1:3" x14ac:dyDescent="0.35">
      <c r="A255" s="1">
        <v>35462</v>
      </c>
      <c r="B255" s="8" t="s">
        <v>622</v>
      </c>
      <c r="C255" s="13">
        <v>4.26</v>
      </c>
    </row>
    <row r="256" spans="1:3" x14ac:dyDescent="0.35">
      <c r="A256" s="1">
        <v>35431</v>
      </c>
      <c r="B256" s="8" t="s">
        <v>623</v>
      </c>
      <c r="C256" s="13">
        <v>4.17</v>
      </c>
    </row>
    <row r="257" spans="1:3" x14ac:dyDescent="0.35">
      <c r="A257" s="1">
        <v>35400</v>
      </c>
      <c r="B257" s="8" t="s">
        <v>624</v>
      </c>
      <c r="C257" s="13">
        <v>4.21</v>
      </c>
    </row>
    <row r="258" spans="1:3" x14ac:dyDescent="0.35">
      <c r="A258" s="1">
        <v>35370</v>
      </c>
      <c r="B258" s="8" t="s">
        <v>538</v>
      </c>
      <c r="C258" s="13">
        <v>4.13</v>
      </c>
    </row>
    <row r="259" spans="1:3" x14ac:dyDescent="0.35">
      <c r="A259" s="1">
        <v>35339</v>
      </c>
      <c r="B259" s="8" t="s">
        <v>625</v>
      </c>
      <c r="C259" s="13">
        <v>4.12</v>
      </c>
    </row>
    <row r="260" spans="1:3" x14ac:dyDescent="0.35">
      <c r="A260" s="1">
        <v>35309</v>
      </c>
      <c r="B260" s="8" t="s">
        <v>620</v>
      </c>
      <c r="C260" s="13">
        <v>4.1900000000000004</v>
      </c>
    </row>
    <row r="261" spans="1:3" x14ac:dyDescent="0.35">
      <c r="A261" s="1">
        <v>35278</v>
      </c>
      <c r="B261" s="8" t="s">
        <v>626</v>
      </c>
      <c r="C261" s="13">
        <v>4.24</v>
      </c>
    </row>
    <row r="262" spans="1:3" x14ac:dyDescent="0.35">
      <c r="A262" s="1">
        <v>35247</v>
      </c>
      <c r="B262" s="8" t="s">
        <v>623</v>
      </c>
      <c r="C262" s="13">
        <v>4.17</v>
      </c>
    </row>
    <row r="263" spans="1:3" x14ac:dyDescent="0.35">
      <c r="A263" s="1">
        <v>35217</v>
      </c>
      <c r="B263" s="8" t="s">
        <v>627</v>
      </c>
      <c r="C263" s="13">
        <v>4.3099999999999996</v>
      </c>
    </row>
    <row r="264" spans="1:3" x14ac:dyDescent="0.35">
      <c r="A264" s="1">
        <v>35186</v>
      </c>
      <c r="B264" s="8" t="s">
        <v>628</v>
      </c>
      <c r="C264" s="13">
        <v>4.34</v>
      </c>
    </row>
    <row r="265" spans="1:3" x14ac:dyDescent="0.35">
      <c r="A265" s="1">
        <v>35156</v>
      </c>
      <c r="B265" s="8" t="s">
        <v>629</v>
      </c>
      <c r="C265" s="13">
        <v>4.2</v>
      </c>
    </row>
    <row r="266" spans="1:3" x14ac:dyDescent="0.35">
      <c r="A266" s="1">
        <v>35125</v>
      </c>
      <c r="B266" s="8" t="s">
        <v>630</v>
      </c>
      <c r="C266" s="13">
        <v>4.01</v>
      </c>
    </row>
    <row r="267" spans="1:3" x14ac:dyDescent="0.35">
      <c r="A267" s="1">
        <v>35096</v>
      </c>
      <c r="B267" s="8" t="s">
        <v>631</v>
      </c>
      <c r="C267" s="13">
        <v>4.0599999999999996</v>
      </c>
    </row>
    <row r="268" spans="1:3" x14ac:dyDescent="0.35">
      <c r="A268" s="1">
        <v>35065</v>
      </c>
      <c r="B268" s="8" t="s">
        <v>632</v>
      </c>
      <c r="C268" s="13">
        <v>4.0999999999999996</v>
      </c>
    </row>
    <row r="269" spans="1:3" x14ac:dyDescent="0.35">
      <c r="A269" s="1">
        <v>35034</v>
      </c>
      <c r="B269" s="8" t="s">
        <v>625</v>
      </c>
      <c r="C269" s="13">
        <v>4.12</v>
      </c>
    </row>
    <row r="270" spans="1:3" x14ac:dyDescent="0.35">
      <c r="A270" s="1">
        <v>35004</v>
      </c>
      <c r="B270" s="8" t="s">
        <v>538</v>
      </c>
      <c r="C270" s="13">
        <v>4.13</v>
      </c>
    </row>
    <row r="271" spans="1:3" x14ac:dyDescent="0.35">
      <c r="A271" s="1">
        <v>34973</v>
      </c>
      <c r="B271" s="8" t="s">
        <v>623</v>
      </c>
      <c r="C271" s="13">
        <v>4.17</v>
      </c>
    </row>
    <row r="272" spans="1:3" x14ac:dyDescent="0.35">
      <c r="A272" s="1">
        <v>34943</v>
      </c>
      <c r="B272" s="8" t="s">
        <v>633</v>
      </c>
      <c r="C272" s="13">
        <v>4.1100000000000003</v>
      </c>
    </row>
    <row r="273" spans="1:3" x14ac:dyDescent="0.35">
      <c r="A273" s="1">
        <v>34912</v>
      </c>
      <c r="B273" s="8" t="s">
        <v>634</v>
      </c>
      <c r="C273" s="13">
        <v>3.96</v>
      </c>
    </row>
    <row r="274" spans="1:3" x14ac:dyDescent="0.35">
      <c r="A274" s="1">
        <v>34881</v>
      </c>
      <c r="B274" s="8" t="s">
        <v>635</v>
      </c>
      <c r="C274" s="13">
        <v>3.84</v>
      </c>
    </row>
    <row r="275" spans="1:3" x14ac:dyDescent="0.35">
      <c r="A275" s="1">
        <v>34851</v>
      </c>
      <c r="B275" s="8" t="s">
        <v>636</v>
      </c>
      <c r="C275" s="13">
        <v>3.69</v>
      </c>
    </row>
    <row r="276" spans="1:3" x14ac:dyDescent="0.35">
      <c r="A276" s="1">
        <v>34820</v>
      </c>
      <c r="B276" s="8" t="s">
        <v>637</v>
      </c>
      <c r="C276" s="13">
        <v>3.46</v>
      </c>
    </row>
    <row r="277" spans="1:3" x14ac:dyDescent="0.35">
      <c r="A277" s="1">
        <v>34790</v>
      </c>
      <c r="B277" s="8" t="s">
        <v>638</v>
      </c>
      <c r="C277" s="13">
        <v>3.65</v>
      </c>
    </row>
    <row r="278" spans="1:3" x14ac:dyDescent="0.35">
      <c r="A278" s="1">
        <v>34759</v>
      </c>
      <c r="B278" s="8" t="s">
        <v>639</v>
      </c>
      <c r="C278" s="13">
        <v>3.67</v>
      </c>
    </row>
    <row r="279" spans="1:3" x14ac:dyDescent="0.35">
      <c r="A279" s="1">
        <v>34731</v>
      </c>
      <c r="B279" s="8" t="s">
        <v>640</v>
      </c>
      <c r="C279" s="13">
        <v>3.68</v>
      </c>
    </row>
    <row r="280" spans="1:3" x14ac:dyDescent="0.35">
      <c r="A280" s="1">
        <v>34700</v>
      </c>
      <c r="B280" s="8" t="s">
        <v>641</v>
      </c>
      <c r="C280" s="13">
        <v>3.81</v>
      </c>
    </row>
    <row r="281" spans="1:3" x14ac:dyDescent="0.35">
      <c r="A281" s="1">
        <v>34669</v>
      </c>
      <c r="B281" s="8" t="s">
        <v>642</v>
      </c>
      <c r="C281" s="13">
        <v>3.71</v>
      </c>
    </row>
    <row r="282" spans="1:3" x14ac:dyDescent="0.35">
      <c r="A282" s="1">
        <v>34639</v>
      </c>
      <c r="B282" s="8" t="s">
        <v>643</v>
      </c>
      <c r="C282" s="13">
        <v>3.78</v>
      </c>
    </row>
    <row r="283" spans="1:3" x14ac:dyDescent="0.35">
      <c r="A283" s="1">
        <v>34608</v>
      </c>
      <c r="B283" s="8" t="s">
        <v>644</v>
      </c>
      <c r="C283" s="13">
        <v>3.76</v>
      </c>
    </row>
    <row r="284" spans="1:3" x14ac:dyDescent="0.35">
      <c r="A284" s="1">
        <v>34578</v>
      </c>
      <c r="B284" s="8" t="s">
        <v>645</v>
      </c>
      <c r="C284" s="13">
        <v>3.85</v>
      </c>
    </row>
    <row r="285" spans="1:3" x14ac:dyDescent="0.35">
      <c r="A285" s="1">
        <v>34547</v>
      </c>
      <c r="B285" s="8" t="s">
        <v>646</v>
      </c>
      <c r="C285" s="13">
        <v>3.82</v>
      </c>
    </row>
    <row r="286" spans="1:3" x14ac:dyDescent="0.35">
      <c r="A286" s="1">
        <v>34516</v>
      </c>
      <c r="B286" s="8" t="s">
        <v>647</v>
      </c>
      <c r="C286" s="13">
        <v>3.97</v>
      </c>
    </row>
    <row r="287" spans="1:3" x14ac:dyDescent="0.35">
      <c r="A287" s="1">
        <v>34486</v>
      </c>
      <c r="B287" s="8" t="s">
        <v>648</v>
      </c>
      <c r="C287" s="13">
        <v>4.09</v>
      </c>
    </row>
    <row r="288" spans="1:3" x14ac:dyDescent="0.35">
      <c r="A288" s="1">
        <v>34455</v>
      </c>
      <c r="B288" s="8" t="s">
        <v>649</v>
      </c>
      <c r="C288" s="13">
        <v>4.1399999999999997</v>
      </c>
    </row>
    <row r="289" spans="1:3" x14ac:dyDescent="0.35">
      <c r="A289" s="1">
        <v>34425</v>
      </c>
      <c r="B289" s="8" t="s">
        <v>650</v>
      </c>
      <c r="C289" s="13">
        <v>4.05</v>
      </c>
    </row>
    <row r="290" spans="1:3" x14ac:dyDescent="0.35">
      <c r="A290" s="1">
        <v>34394</v>
      </c>
      <c r="B290" s="8" t="s">
        <v>634</v>
      </c>
      <c r="C290" s="13">
        <v>3.96</v>
      </c>
    </row>
    <row r="291" spans="1:3" x14ac:dyDescent="0.35">
      <c r="A291" s="1">
        <v>34366</v>
      </c>
      <c r="B291" s="8" t="s">
        <v>623</v>
      </c>
      <c r="C291" s="13">
        <v>4.17</v>
      </c>
    </row>
    <row r="292" spans="1:3" x14ac:dyDescent="0.35">
      <c r="A292" s="1">
        <v>34335</v>
      </c>
      <c r="B292" s="8" t="s">
        <v>621</v>
      </c>
      <c r="C292" s="13">
        <v>4.28</v>
      </c>
    </row>
    <row r="293" spans="1:3" x14ac:dyDescent="0.35">
      <c r="A293" s="1">
        <v>34304</v>
      </c>
      <c r="B293" s="8" t="s">
        <v>651</v>
      </c>
      <c r="C293" s="13">
        <v>4.08</v>
      </c>
    </row>
    <row r="294" spans="1:3" x14ac:dyDescent="0.35">
      <c r="A294" s="1">
        <v>34274</v>
      </c>
      <c r="B294" s="8" t="s">
        <v>652</v>
      </c>
      <c r="C294" s="13">
        <v>3.93</v>
      </c>
    </row>
    <row r="295" spans="1:3" x14ac:dyDescent="0.35">
      <c r="A295" s="1">
        <v>34243</v>
      </c>
      <c r="B295" s="8" t="s">
        <v>653</v>
      </c>
      <c r="C295" s="13">
        <v>3.92</v>
      </c>
    </row>
    <row r="296" spans="1:3" x14ac:dyDescent="0.35">
      <c r="A296" s="1">
        <v>34213</v>
      </c>
      <c r="B296" s="8" t="s">
        <v>645</v>
      </c>
      <c r="C296" s="13">
        <v>3.85</v>
      </c>
    </row>
    <row r="297" spans="1:3" x14ac:dyDescent="0.35">
      <c r="A297" s="1">
        <v>34182</v>
      </c>
      <c r="B297" s="8" t="s">
        <v>539</v>
      </c>
      <c r="C297" s="13">
        <v>3.83</v>
      </c>
    </row>
    <row r="298" spans="1:3" x14ac:dyDescent="0.35">
      <c r="A298" s="1">
        <v>34151</v>
      </c>
      <c r="B298" s="8" t="s">
        <v>654</v>
      </c>
      <c r="C298" s="13">
        <v>3.72</v>
      </c>
    </row>
    <row r="299" spans="1:3" x14ac:dyDescent="0.35">
      <c r="A299" s="1">
        <v>34121</v>
      </c>
      <c r="B299" s="8" t="s">
        <v>655</v>
      </c>
      <c r="C299" s="13">
        <v>3.6</v>
      </c>
    </row>
    <row r="300" spans="1:3" x14ac:dyDescent="0.35">
      <c r="A300" s="1">
        <v>34090</v>
      </c>
      <c r="B300" s="8" t="s">
        <v>656</v>
      </c>
      <c r="C300" s="13">
        <v>3.44</v>
      </c>
    </row>
    <row r="301" spans="1:3" x14ac:dyDescent="0.35">
      <c r="A301" s="1">
        <v>34060</v>
      </c>
      <c r="B301" s="8" t="s">
        <v>656</v>
      </c>
      <c r="C301" s="13">
        <v>3.44</v>
      </c>
    </row>
    <row r="302" spans="1:3" x14ac:dyDescent="0.35">
      <c r="A302" s="1">
        <v>34029</v>
      </c>
      <c r="B302" s="8" t="s">
        <v>657</v>
      </c>
      <c r="C302" s="13">
        <v>3.54</v>
      </c>
    </row>
    <row r="303" spans="1:3" x14ac:dyDescent="0.35">
      <c r="A303" s="1">
        <v>34001</v>
      </c>
      <c r="B303" s="8" t="s">
        <v>642</v>
      </c>
      <c r="C303" s="13">
        <v>3.71</v>
      </c>
    </row>
    <row r="304" spans="1:3" x14ac:dyDescent="0.35">
      <c r="A304" s="1">
        <v>33970</v>
      </c>
      <c r="B304" s="8" t="s">
        <v>539</v>
      </c>
      <c r="C304" s="13">
        <v>3.83</v>
      </c>
    </row>
    <row r="305" spans="1:3" x14ac:dyDescent="0.35">
      <c r="A305" s="1">
        <v>33939</v>
      </c>
      <c r="B305" s="8" t="s">
        <v>658</v>
      </c>
      <c r="C305" s="13">
        <v>3.66</v>
      </c>
    </row>
    <row r="306" spans="1:3" x14ac:dyDescent="0.35">
      <c r="A306" s="1">
        <v>33909</v>
      </c>
      <c r="B306" s="8" t="s">
        <v>659</v>
      </c>
      <c r="C306" s="13">
        <v>3.59</v>
      </c>
    </row>
    <row r="307" spans="1:3" x14ac:dyDescent="0.35">
      <c r="A307" s="1">
        <v>33878</v>
      </c>
      <c r="B307" s="8" t="s">
        <v>660</v>
      </c>
      <c r="C307" s="13">
        <v>3.39</v>
      </c>
    </row>
    <row r="308" spans="1:3" x14ac:dyDescent="0.35">
      <c r="A308" s="1">
        <v>33848</v>
      </c>
      <c r="B308" s="8" t="s">
        <v>661</v>
      </c>
      <c r="C308" s="13">
        <v>3.32</v>
      </c>
    </row>
    <row r="309" spans="1:3" x14ac:dyDescent="0.35">
      <c r="A309" s="1">
        <v>33817</v>
      </c>
      <c r="B309" s="8" t="s">
        <v>662</v>
      </c>
      <c r="C309" s="13">
        <v>3.35</v>
      </c>
    </row>
    <row r="310" spans="1:3" x14ac:dyDescent="0.35">
      <c r="A310" s="1">
        <v>33786</v>
      </c>
      <c r="B310" s="8" t="s">
        <v>663</v>
      </c>
      <c r="C310" s="13">
        <v>3.34</v>
      </c>
    </row>
    <row r="311" spans="1:3" x14ac:dyDescent="0.35">
      <c r="A311" s="1">
        <v>33756</v>
      </c>
      <c r="B311" s="8" t="s">
        <v>664</v>
      </c>
      <c r="C311" s="13">
        <v>3.42</v>
      </c>
    </row>
    <row r="312" spans="1:3" x14ac:dyDescent="0.35">
      <c r="A312" s="1">
        <v>33725</v>
      </c>
      <c r="B312" s="8" t="s">
        <v>665</v>
      </c>
      <c r="C312" s="13">
        <v>3.5</v>
      </c>
    </row>
    <row r="313" spans="1:3" x14ac:dyDescent="0.35">
      <c r="A313" s="1">
        <v>33695</v>
      </c>
      <c r="B313" s="8" t="s">
        <v>666</v>
      </c>
      <c r="C313" s="13">
        <v>3.51</v>
      </c>
    </row>
    <row r="314" spans="1:3" x14ac:dyDescent="0.35">
      <c r="A314" s="1">
        <v>33664</v>
      </c>
      <c r="B314" s="8" t="s">
        <v>665</v>
      </c>
      <c r="C314" s="13">
        <v>3.5</v>
      </c>
    </row>
    <row r="315" spans="1:3" x14ac:dyDescent="0.35">
      <c r="A315" s="1">
        <v>33635</v>
      </c>
      <c r="B315" s="8" t="s">
        <v>667</v>
      </c>
      <c r="C315" s="13">
        <v>3.26</v>
      </c>
    </row>
    <row r="316" spans="1:3" x14ac:dyDescent="0.35">
      <c r="A316" s="1">
        <v>33604</v>
      </c>
      <c r="B316" s="8" t="s">
        <v>668</v>
      </c>
      <c r="C316" s="13">
        <v>3.14</v>
      </c>
    </row>
    <row r="317" spans="1:3" x14ac:dyDescent="0.35">
      <c r="A317" s="1">
        <v>33573</v>
      </c>
      <c r="B317" s="8" t="s">
        <v>669</v>
      </c>
      <c r="C317" s="13">
        <v>3.09</v>
      </c>
    </row>
    <row r="318" spans="1:3" x14ac:dyDescent="0.35">
      <c r="A318" s="1">
        <v>33543</v>
      </c>
      <c r="B318" s="8" t="s">
        <v>670</v>
      </c>
      <c r="C318" s="13">
        <v>3.07</v>
      </c>
    </row>
    <row r="319" spans="1:3" x14ac:dyDescent="0.35">
      <c r="A319" s="1">
        <v>33512</v>
      </c>
      <c r="B319" s="8" t="s">
        <v>671</v>
      </c>
      <c r="C319" s="13">
        <v>3.17</v>
      </c>
    </row>
    <row r="320" spans="1:3" x14ac:dyDescent="0.35">
      <c r="A320" s="1">
        <v>33482</v>
      </c>
      <c r="B320" s="8" t="s">
        <v>672</v>
      </c>
      <c r="C320" s="13">
        <v>3.13</v>
      </c>
    </row>
    <row r="321" spans="1:3" x14ac:dyDescent="0.35">
      <c r="A321" s="1">
        <v>33451</v>
      </c>
      <c r="B321" s="8" t="s">
        <v>667</v>
      </c>
      <c r="C321" s="13">
        <v>3.26</v>
      </c>
    </row>
    <row r="322" spans="1:3" x14ac:dyDescent="0.35">
      <c r="A322" s="1">
        <v>33420</v>
      </c>
      <c r="B322" s="8" t="s">
        <v>673</v>
      </c>
      <c r="C322" s="13">
        <v>3.4</v>
      </c>
    </row>
    <row r="323" spans="1:3" x14ac:dyDescent="0.35">
      <c r="A323" s="1">
        <v>33390</v>
      </c>
      <c r="B323" s="8" t="s">
        <v>673</v>
      </c>
      <c r="C323" s="13">
        <v>3.4</v>
      </c>
    </row>
    <row r="324" spans="1:3" x14ac:dyDescent="0.35">
      <c r="A324" s="1">
        <v>33359</v>
      </c>
      <c r="B324" s="8" t="s">
        <v>674</v>
      </c>
      <c r="C324" s="13">
        <v>3.23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D5843-A3DD-4996-B3D4-4ADEEF10E232}">
  <dimension ref="B1:J678"/>
  <sheetViews>
    <sheetView workbookViewId="0">
      <selection activeCell="D2" sqref="D2"/>
    </sheetView>
  </sheetViews>
  <sheetFormatPr defaultColWidth="9.1796875" defaultRowHeight="14.5" x14ac:dyDescent="0.35"/>
  <cols>
    <col min="1" max="1" width="9.1796875" style="7"/>
    <col min="2" max="2" width="12.453125" style="17" customWidth="1"/>
    <col min="3" max="10" width="12.453125" style="7" customWidth="1"/>
    <col min="11" max="257" width="9.1796875" style="7"/>
    <col min="258" max="266" width="12.453125" style="7" customWidth="1"/>
    <col min="267" max="513" width="9.1796875" style="7"/>
    <col min="514" max="522" width="12.453125" style="7" customWidth="1"/>
    <col min="523" max="769" width="9.1796875" style="7"/>
    <col min="770" max="778" width="12.453125" style="7" customWidth="1"/>
    <col min="779" max="1025" width="9.1796875" style="7"/>
    <col min="1026" max="1034" width="12.453125" style="7" customWidth="1"/>
    <col min="1035" max="1281" width="9.1796875" style="7"/>
    <col min="1282" max="1290" width="12.453125" style="7" customWidth="1"/>
    <col min="1291" max="1537" width="9.1796875" style="7"/>
    <col min="1538" max="1546" width="12.453125" style="7" customWidth="1"/>
    <col min="1547" max="1793" width="9.1796875" style="7"/>
    <col min="1794" max="1802" width="12.453125" style="7" customWidth="1"/>
    <col min="1803" max="2049" width="9.1796875" style="7"/>
    <col min="2050" max="2058" width="12.453125" style="7" customWidth="1"/>
    <col min="2059" max="2305" width="9.1796875" style="7"/>
    <col min="2306" max="2314" width="12.453125" style="7" customWidth="1"/>
    <col min="2315" max="2561" width="9.1796875" style="7"/>
    <col min="2562" max="2570" width="12.453125" style="7" customWidth="1"/>
    <col min="2571" max="2817" width="9.1796875" style="7"/>
    <col min="2818" max="2826" width="12.453125" style="7" customWidth="1"/>
    <col min="2827" max="3073" width="9.1796875" style="7"/>
    <col min="3074" max="3082" width="12.453125" style="7" customWidth="1"/>
    <col min="3083" max="3329" width="9.1796875" style="7"/>
    <col min="3330" max="3338" width="12.453125" style="7" customWidth="1"/>
    <col min="3339" max="3585" width="9.1796875" style="7"/>
    <col min="3586" max="3594" width="12.453125" style="7" customWidth="1"/>
    <col min="3595" max="3841" width="9.1796875" style="7"/>
    <col min="3842" max="3850" width="12.453125" style="7" customWidth="1"/>
    <col min="3851" max="4097" width="9.1796875" style="7"/>
    <col min="4098" max="4106" width="12.453125" style="7" customWidth="1"/>
    <col min="4107" max="4353" width="9.1796875" style="7"/>
    <col min="4354" max="4362" width="12.453125" style="7" customWidth="1"/>
    <col min="4363" max="4609" width="9.1796875" style="7"/>
    <col min="4610" max="4618" width="12.453125" style="7" customWidth="1"/>
    <col min="4619" max="4865" width="9.1796875" style="7"/>
    <col min="4866" max="4874" width="12.453125" style="7" customWidth="1"/>
    <col min="4875" max="5121" width="9.1796875" style="7"/>
    <col min="5122" max="5130" width="12.453125" style="7" customWidth="1"/>
    <col min="5131" max="5377" width="9.1796875" style="7"/>
    <col min="5378" max="5386" width="12.453125" style="7" customWidth="1"/>
    <col min="5387" max="5633" width="9.1796875" style="7"/>
    <col min="5634" max="5642" width="12.453125" style="7" customWidth="1"/>
    <col min="5643" max="5889" width="9.1796875" style="7"/>
    <col min="5890" max="5898" width="12.453125" style="7" customWidth="1"/>
    <col min="5899" max="6145" width="9.1796875" style="7"/>
    <col min="6146" max="6154" width="12.453125" style="7" customWidth="1"/>
    <col min="6155" max="6401" width="9.1796875" style="7"/>
    <col min="6402" max="6410" width="12.453125" style="7" customWidth="1"/>
    <col min="6411" max="6657" width="9.1796875" style="7"/>
    <col min="6658" max="6666" width="12.453125" style="7" customWidth="1"/>
    <col min="6667" max="6913" width="9.1796875" style="7"/>
    <col min="6914" max="6922" width="12.453125" style="7" customWidth="1"/>
    <col min="6923" max="7169" width="9.1796875" style="7"/>
    <col min="7170" max="7178" width="12.453125" style="7" customWidth="1"/>
    <col min="7179" max="7425" width="9.1796875" style="7"/>
    <col min="7426" max="7434" width="12.453125" style="7" customWidth="1"/>
    <col min="7435" max="7681" width="9.1796875" style="7"/>
    <col min="7682" max="7690" width="12.453125" style="7" customWidth="1"/>
    <col min="7691" max="7937" width="9.1796875" style="7"/>
    <col min="7938" max="7946" width="12.453125" style="7" customWidth="1"/>
    <col min="7947" max="8193" width="9.1796875" style="7"/>
    <col min="8194" max="8202" width="12.453125" style="7" customWidth="1"/>
    <col min="8203" max="8449" width="9.1796875" style="7"/>
    <col min="8450" max="8458" width="12.453125" style="7" customWidth="1"/>
    <col min="8459" max="8705" width="9.1796875" style="7"/>
    <col min="8706" max="8714" width="12.453125" style="7" customWidth="1"/>
    <col min="8715" max="8961" width="9.1796875" style="7"/>
    <col min="8962" max="8970" width="12.453125" style="7" customWidth="1"/>
    <col min="8971" max="9217" width="9.1796875" style="7"/>
    <col min="9218" max="9226" width="12.453125" style="7" customWidth="1"/>
    <col min="9227" max="9473" width="9.1796875" style="7"/>
    <col min="9474" max="9482" width="12.453125" style="7" customWidth="1"/>
    <col min="9483" max="9729" width="9.1796875" style="7"/>
    <col min="9730" max="9738" width="12.453125" style="7" customWidth="1"/>
    <col min="9739" max="9985" width="9.1796875" style="7"/>
    <col min="9986" max="9994" width="12.453125" style="7" customWidth="1"/>
    <col min="9995" max="10241" width="9.1796875" style="7"/>
    <col min="10242" max="10250" width="12.453125" style="7" customWidth="1"/>
    <col min="10251" max="10497" width="9.1796875" style="7"/>
    <col min="10498" max="10506" width="12.453125" style="7" customWidth="1"/>
    <col min="10507" max="10753" width="9.1796875" style="7"/>
    <col min="10754" max="10762" width="12.453125" style="7" customWidth="1"/>
    <col min="10763" max="11009" width="9.1796875" style="7"/>
    <col min="11010" max="11018" width="12.453125" style="7" customWidth="1"/>
    <col min="11019" max="11265" width="9.1796875" style="7"/>
    <col min="11266" max="11274" width="12.453125" style="7" customWidth="1"/>
    <col min="11275" max="11521" width="9.1796875" style="7"/>
    <col min="11522" max="11530" width="12.453125" style="7" customWidth="1"/>
    <col min="11531" max="11777" width="9.1796875" style="7"/>
    <col min="11778" max="11786" width="12.453125" style="7" customWidth="1"/>
    <col min="11787" max="12033" width="9.1796875" style="7"/>
    <col min="12034" max="12042" width="12.453125" style="7" customWidth="1"/>
    <col min="12043" max="12289" width="9.1796875" style="7"/>
    <col min="12290" max="12298" width="12.453125" style="7" customWidth="1"/>
    <col min="12299" max="12545" width="9.1796875" style="7"/>
    <col min="12546" max="12554" width="12.453125" style="7" customWidth="1"/>
    <col min="12555" max="12801" width="9.1796875" style="7"/>
    <col min="12802" max="12810" width="12.453125" style="7" customWidth="1"/>
    <col min="12811" max="13057" width="9.1796875" style="7"/>
    <col min="13058" max="13066" width="12.453125" style="7" customWidth="1"/>
    <col min="13067" max="13313" width="9.1796875" style="7"/>
    <col min="13314" max="13322" width="12.453125" style="7" customWidth="1"/>
    <col min="13323" max="13569" width="9.1796875" style="7"/>
    <col min="13570" max="13578" width="12.453125" style="7" customWidth="1"/>
    <col min="13579" max="13825" width="9.1796875" style="7"/>
    <col min="13826" max="13834" width="12.453125" style="7" customWidth="1"/>
    <col min="13835" max="14081" width="9.1796875" style="7"/>
    <col min="14082" max="14090" width="12.453125" style="7" customWidth="1"/>
    <col min="14091" max="14337" width="9.1796875" style="7"/>
    <col min="14338" max="14346" width="12.453125" style="7" customWidth="1"/>
    <col min="14347" max="14593" width="9.1796875" style="7"/>
    <col min="14594" max="14602" width="12.453125" style="7" customWidth="1"/>
    <col min="14603" max="14849" width="9.1796875" style="7"/>
    <col min="14850" max="14858" width="12.453125" style="7" customWidth="1"/>
    <col min="14859" max="15105" width="9.1796875" style="7"/>
    <col min="15106" max="15114" width="12.453125" style="7" customWidth="1"/>
    <col min="15115" max="15361" width="9.1796875" style="7"/>
    <col min="15362" max="15370" width="12.453125" style="7" customWidth="1"/>
    <col min="15371" max="15617" width="9.1796875" style="7"/>
    <col min="15618" max="15626" width="12.453125" style="7" customWidth="1"/>
    <col min="15627" max="15873" width="9.1796875" style="7"/>
    <col min="15874" max="15882" width="12.453125" style="7" customWidth="1"/>
    <col min="15883" max="16129" width="9.1796875" style="7"/>
    <col min="16130" max="16138" width="12.453125" style="7" customWidth="1"/>
    <col min="16139" max="16384" width="9.1796875" style="7"/>
  </cols>
  <sheetData>
    <row r="1" spans="2:10" ht="15.5" x14ac:dyDescent="0.35">
      <c r="B1" s="15" t="s">
        <v>416</v>
      </c>
      <c r="C1" s="16"/>
      <c r="D1" s="16"/>
      <c r="E1" s="16"/>
      <c r="F1" s="16"/>
      <c r="G1" s="16"/>
      <c r="H1" s="16"/>
      <c r="I1" s="16"/>
      <c r="J1" s="16"/>
    </row>
    <row r="3" spans="2:10" x14ac:dyDescent="0.35">
      <c r="B3" s="18" t="s">
        <v>417</v>
      </c>
      <c r="C3" s="19"/>
      <c r="D3" s="19"/>
      <c r="E3" s="19"/>
      <c r="F3" s="19"/>
      <c r="G3" s="19"/>
      <c r="H3" s="19"/>
      <c r="I3" s="19"/>
      <c r="J3" s="19"/>
    </row>
    <row r="5" spans="2:10" s="23" customFormat="1" ht="13.15" customHeight="1" x14ac:dyDescent="0.25">
      <c r="B5" s="20"/>
      <c r="C5" s="62" t="s">
        <v>418</v>
      </c>
      <c r="D5" s="62"/>
      <c r="E5" s="62"/>
      <c r="F5" s="62"/>
      <c r="G5" s="62"/>
      <c r="H5" s="63"/>
      <c r="I5" s="21" t="s">
        <v>419</v>
      </c>
      <c r="J5" s="22"/>
    </row>
    <row r="6" spans="2:10" s="23" customFormat="1" ht="13.15" customHeight="1" x14ac:dyDescent="0.25">
      <c r="B6" s="24"/>
      <c r="C6" s="25" t="s">
        <v>420</v>
      </c>
      <c r="D6" s="25"/>
      <c r="E6" s="25"/>
      <c r="F6" s="25"/>
      <c r="G6" s="26"/>
      <c r="H6" s="27" t="s">
        <v>421</v>
      </c>
      <c r="I6" s="28"/>
      <c r="J6" s="28" t="s">
        <v>421</v>
      </c>
    </row>
    <row r="7" spans="2:10" s="23" customFormat="1" ht="13.15" customHeight="1" x14ac:dyDescent="0.25">
      <c r="B7" s="29" t="s">
        <v>422</v>
      </c>
      <c r="C7" s="21"/>
      <c r="D7" s="21"/>
      <c r="E7" s="21"/>
      <c r="F7" s="21"/>
      <c r="G7" s="30"/>
      <c r="H7" s="31" t="s">
        <v>423</v>
      </c>
      <c r="I7" s="32" t="s">
        <v>424</v>
      </c>
      <c r="J7" s="33" t="s">
        <v>423</v>
      </c>
    </row>
    <row r="8" spans="2:10" s="23" customFormat="1" ht="13.15" customHeight="1" x14ac:dyDescent="0.25">
      <c r="B8" s="34"/>
      <c r="C8" s="33" t="s">
        <v>425</v>
      </c>
      <c r="D8" s="32" t="s">
        <v>426</v>
      </c>
      <c r="E8" s="32" t="s">
        <v>427</v>
      </c>
      <c r="F8" s="32" t="s">
        <v>428</v>
      </c>
      <c r="G8" s="27" t="s">
        <v>429</v>
      </c>
      <c r="H8" s="27" t="s">
        <v>430</v>
      </c>
      <c r="I8" s="32" t="s">
        <v>431</v>
      </c>
      <c r="J8" s="33" t="s">
        <v>430</v>
      </c>
    </row>
    <row r="9" spans="2:10" s="23" customFormat="1" ht="13.15" customHeight="1" x14ac:dyDescent="0.25">
      <c r="B9" s="35"/>
      <c r="C9" s="36" t="s">
        <v>432</v>
      </c>
      <c r="D9" s="37" t="s">
        <v>433</v>
      </c>
      <c r="E9" s="37" t="s">
        <v>429</v>
      </c>
      <c r="F9" s="37"/>
      <c r="G9" s="38"/>
      <c r="H9" s="38" t="s">
        <v>434</v>
      </c>
      <c r="I9" s="37" t="s">
        <v>435</v>
      </c>
      <c r="J9" s="36" t="s">
        <v>434</v>
      </c>
    </row>
    <row r="10" spans="2:10" ht="13.15" customHeight="1" x14ac:dyDescent="0.35">
      <c r="B10" s="46">
        <v>23012</v>
      </c>
      <c r="C10" s="40">
        <v>234</v>
      </c>
      <c r="D10" s="41" t="s">
        <v>436</v>
      </c>
      <c r="E10" s="41" t="s">
        <v>436</v>
      </c>
      <c r="F10" s="41" t="s">
        <v>436</v>
      </c>
      <c r="G10" s="41" t="s">
        <v>436</v>
      </c>
      <c r="H10" s="42">
        <v>5.6</v>
      </c>
      <c r="I10" s="40">
        <v>235</v>
      </c>
      <c r="J10" s="42">
        <v>4.7</v>
      </c>
    </row>
    <row r="11" spans="2:10" ht="13.15" customHeight="1" x14ac:dyDescent="0.35">
      <c r="B11" s="46">
        <v>23043</v>
      </c>
      <c r="C11" s="40">
        <v>236</v>
      </c>
      <c r="D11" s="41" t="s">
        <v>436</v>
      </c>
      <c r="E11" s="41" t="s">
        <v>436</v>
      </c>
      <c r="F11" s="41" t="s">
        <v>436</v>
      </c>
      <c r="G11" s="41" t="s">
        <v>436</v>
      </c>
      <c r="H11" s="42">
        <v>6.8</v>
      </c>
      <c r="I11" s="40">
        <v>238</v>
      </c>
      <c r="J11" s="42">
        <v>6.6</v>
      </c>
    </row>
    <row r="12" spans="2:10" ht="13.15" customHeight="1" x14ac:dyDescent="0.35">
      <c r="B12" s="46">
        <v>23071</v>
      </c>
      <c r="C12" s="40">
        <v>246</v>
      </c>
      <c r="D12" s="41" t="s">
        <v>436</v>
      </c>
      <c r="E12" s="41" t="s">
        <v>436</v>
      </c>
      <c r="F12" s="41" t="s">
        <v>436</v>
      </c>
      <c r="G12" s="41" t="s">
        <v>436</v>
      </c>
      <c r="H12" s="42">
        <v>5.6</v>
      </c>
      <c r="I12" s="40">
        <v>242</v>
      </c>
      <c r="J12" s="42">
        <v>6.4</v>
      </c>
    </row>
    <row r="13" spans="2:10" ht="13.15" customHeight="1" x14ac:dyDescent="0.35">
      <c r="B13" s="46">
        <v>23102</v>
      </c>
      <c r="C13" s="40">
        <v>254</v>
      </c>
      <c r="D13" s="41" t="s">
        <v>436</v>
      </c>
      <c r="E13" s="41" t="s">
        <v>436</v>
      </c>
      <c r="F13" s="41" t="s">
        <v>436</v>
      </c>
      <c r="G13" s="41" t="s">
        <v>436</v>
      </c>
      <c r="H13" s="42">
        <v>4.9000000000000004</v>
      </c>
      <c r="I13" s="40">
        <v>246</v>
      </c>
      <c r="J13" s="42">
        <v>5.3</v>
      </c>
    </row>
    <row r="14" spans="2:10" ht="13.15" customHeight="1" x14ac:dyDescent="0.35">
      <c r="B14" s="46">
        <v>23132</v>
      </c>
      <c r="C14" s="40">
        <v>254</v>
      </c>
      <c r="D14" s="41" t="s">
        <v>436</v>
      </c>
      <c r="E14" s="41" t="s">
        <v>436</v>
      </c>
      <c r="F14" s="41" t="s">
        <v>436</v>
      </c>
      <c r="G14" s="41" t="s">
        <v>436</v>
      </c>
      <c r="H14" s="42">
        <v>4.4000000000000004</v>
      </c>
      <c r="I14" s="40">
        <v>248</v>
      </c>
      <c r="J14" s="42">
        <v>5.0999999999999996</v>
      </c>
    </row>
    <row r="15" spans="2:10" ht="13.15" customHeight="1" x14ac:dyDescent="0.35">
      <c r="B15" s="46">
        <v>23163</v>
      </c>
      <c r="C15" s="40">
        <v>256</v>
      </c>
      <c r="D15" s="41" t="s">
        <v>436</v>
      </c>
      <c r="E15" s="41" t="s">
        <v>436</v>
      </c>
      <c r="F15" s="41" t="s">
        <v>436</v>
      </c>
      <c r="G15" s="41" t="s">
        <v>436</v>
      </c>
      <c r="H15" s="42">
        <v>5.3</v>
      </c>
      <c r="I15" s="40">
        <v>253</v>
      </c>
      <c r="J15" s="42">
        <v>6</v>
      </c>
    </row>
    <row r="16" spans="2:10" ht="13.15" customHeight="1" x14ac:dyDescent="0.35">
      <c r="B16" s="46">
        <v>23193</v>
      </c>
      <c r="C16" s="40">
        <v>251</v>
      </c>
      <c r="D16" s="41" t="s">
        <v>436</v>
      </c>
      <c r="E16" s="41" t="s">
        <v>436</v>
      </c>
      <c r="F16" s="41" t="s">
        <v>436</v>
      </c>
      <c r="G16" s="41" t="s">
        <v>436</v>
      </c>
      <c r="H16" s="42">
        <v>4.0999999999999996</v>
      </c>
      <c r="I16" s="40">
        <v>254</v>
      </c>
      <c r="J16" s="42">
        <v>4.5999999999999996</v>
      </c>
    </row>
    <row r="17" spans="2:10" ht="13.15" customHeight="1" x14ac:dyDescent="0.35">
      <c r="B17" s="46">
        <v>23224</v>
      </c>
      <c r="C17" s="40">
        <v>258</v>
      </c>
      <c r="D17" s="41" t="s">
        <v>436</v>
      </c>
      <c r="E17" s="41" t="s">
        <v>436</v>
      </c>
      <c r="F17" s="41" t="s">
        <v>436</v>
      </c>
      <c r="G17" s="41" t="s">
        <v>436</v>
      </c>
      <c r="H17" s="42">
        <v>4.5999999999999996</v>
      </c>
      <c r="I17" s="40">
        <v>264</v>
      </c>
      <c r="J17" s="42">
        <v>5.6</v>
      </c>
    </row>
    <row r="18" spans="2:10" ht="13.15" customHeight="1" x14ac:dyDescent="0.35">
      <c r="B18" s="46">
        <v>23255</v>
      </c>
      <c r="C18" s="40">
        <v>249</v>
      </c>
      <c r="D18" s="41" t="s">
        <v>436</v>
      </c>
      <c r="E18" s="41" t="s">
        <v>436</v>
      </c>
      <c r="F18" s="41" t="s">
        <v>436</v>
      </c>
      <c r="G18" s="41" t="s">
        <v>436</v>
      </c>
      <c r="H18" s="42">
        <v>5.0999999999999996</v>
      </c>
      <c r="I18" s="40">
        <v>257</v>
      </c>
      <c r="J18" s="42">
        <v>5.4</v>
      </c>
    </row>
    <row r="19" spans="2:10" ht="13.15" customHeight="1" x14ac:dyDescent="0.35">
      <c r="B19" s="46">
        <v>23285</v>
      </c>
      <c r="C19" s="40">
        <v>269</v>
      </c>
      <c r="D19" s="41" t="s">
        <v>436</v>
      </c>
      <c r="E19" s="41" t="s">
        <v>436</v>
      </c>
      <c r="F19" s="41" t="s">
        <v>436</v>
      </c>
      <c r="G19" s="41" t="s">
        <v>436</v>
      </c>
      <c r="H19" s="42">
        <v>6.1</v>
      </c>
      <c r="I19" s="40">
        <v>274</v>
      </c>
      <c r="J19" s="42">
        <v>5.9</v>
      </c>
    </row>
    <row r="20" spans="2:10" ht="13.15" customHeight="1" x14ac:dyDescent="0.35">
      <c r="B20" s="46">
        <v>23316</v>
      </c>
      <c r="C20" s="40">
        <v>260</v>
      </c>
      <c r="D20" s="41" t="s">
        <v>436</v>
      </c>
      <c r="E20" s="41" t="s">
        <v>436</v>
      </c>
      <c r="F20" s="41" t="s">
        <v>436</v>
      </c>
      <c r="G20" s="41" t="s">
        <v>436</v>
      </c>
      <c r="H20" s="42">
        <v>6.6</v>
      </c>
      <c r="I20" s="40">
        <v>258</v>
      </c>
      <c r="J20" s="42">
        <v>5.5</v>
      </c>
    </row>
    <row r="21" spans="2:10" ht="13.15" customHeight="1" x14ac:dyDescent="0.35">
      <c r="B21" s="46">
        <v>23346</v>
      </c>
      <c r="C21" s="40">
        <v>265</v>
      </c>
      <c r="D21" s="41" t="s">
        <v>436</v>
      </c>
      <c r="E21" s="41" t="s">
        <v>436</v>
      </c>
      <c r="F21" s="41" t="s">
        <v>436</v>
      </c>
      <c r="G21" s="41" t="s">
        <v>436</v>
      </c>
      <c r="H21" s="42">
        <v>8.5</v>
      </c>
      <c r="I21" s="40">
        <v>264</v>
      </c>
      <c r="J21" s="42">
        <v>6.1</v>
      </c>
    </row>
    <row r="22" spans="2:10" ht="13.15" customHeight="1" x14ac:dyDescent="0.35">
      <c r="B22" s="46">
        <v>23377</v>
      </c>
      <c r="C22" s="40">
        <v>261</v>
      </c>
      <c r="D22" s="41" t="s">
        <v>436</v>
      </c>
      <c r="E22" s="41" t="s">
        <v>436</v>
      </c>
      <c r="F22" s="41" t="s">
        <v>436</v>
      </c>
      <c r="G22" s="41" t="s">
        <v>436</v>
      </c>
      <c r="H22" s="42">
        <v>6.7</v>
      </c>
      <c r="I22" s="40">
        <v>261</v>
      </c>
      <c r="J22" s="42">
        <v>5.8</v>
      </c>
    </row>
    <row r="23" spans="2:10" ht="13.15" customHeight="1" x14ac:dyDescent="0.35">
      <c r="B23" s="46">
        <v>23408</v>
      </c>
      <c r="C23" s="40">
        <v>259</v>
      </c>
      <c r="D23" s="41" t="s">
        <v>436</v>
      </c>
      <c r="E23" s="41" t="s">
        <v>436</v>
      </c>
      <c r="F23" s="41" t="s">
        <v>436</v>
      </c>
      <c r="G23" s="41" t="s">
        <v>436</v>
      </c>
      <c r="H23" s="42">
        <v>5.6</v>
      </c>
      <c r="I23" s="40">
        <v>262</v>
      </c>
      <c r="J23" s="42">
        <v>5.5</v>
      </c>
    </row>
    <row r="24" spans="2:10" ht="13.15" customHeight="1" x14ac:dyDescent="0.35">
      <c r="B24" s="46">
        <v>23437</v>
      </c>
      <c r="C24" s="40">
        <v>267</v>
      </c>
      <c r="D24" s="41" t="s">
        <v>436</v>
      </c>
      <c r="E24" s="41" t="s">
        <v>436</v>
      </c>
      <c r="F24" s="41" t="s">
        <v>436</v>
      </c>
      <c r="G24" s="41" t="s">
        <v>436</v>
      </c>
      <c r="H24" s="42">
        <v>5.0999999999999996</v>
      </c>
      <c r="I24" s="40">
        <v>263</v>
      </c>
      <c r="J24" s="42">
        <v>5.8</v>
      </c>
    </row>
    <row r="25" spans="2:10" ht="13.15" customHeight="1" x14ac:dyDescent="0.35">
      <c r="B25" s="46">
        <v>23468</v>
      </c>
      <c r="C25" s="40">
        <v>269</v>
      </c>
      <c r="D25" s="41" t="s">
        <v>436</v>
      </c>
      <c r="E25" s="41" t="s">
        <v>436</v>
      </c>
      <c r="F25" s="41" t="s">
        <v>436</v>
      </c>
      <c r="G25" s="41" t="s">
        <v>436</v>
      </c>
      <c r="H25" s="42">
        <v>5.5</v>
      </c>
      <c r="I25" s="40">
        <v>260</v>
      </c>
      <c r="J25" s="42">
        <v>6</v>
      </c>
    </row>
    <row r="26" spans="2:10" ht="13.15" customHeight="1" x14ac:dyDescent="0.35">
      <c r="B26" s="46">
        <v>23498</v>
      </c>
      <c r="C26" s="40">
        <v>272</v>
      </c>
      <c r="D26" s="41" t="s">
        <v>436</v>
      </c>
      <c r="E26" s="41" t="s">
        <v>436</v>
      </c>
      <c r="F26" s="41" t="s">
        <v>436</v>
      </c>
      <c r="G26" s="41" t="s">
        <v>436</v>
      </c>
      <c r="H26" s="42">
        <v>5.2</v>
      </c>
      <c r="I26" s="40">
        <v>266</v>
      </c>
      <c r="J26" s="42">
        <v>6.2</v>
      </c>
    </row>
    <row r="27" spans="2:10" ht="13.15" customHeight="1" x14ac:dyDescent="0.35">
      <c r="B27" s="46">
        <v>23529</v>
      </c>
      <c r="C27" s="40">
        <v>267</v>
      </c>
      <c r="D27" s="41" t="s">
        <v>436</v>
      </c>
      <c r="E27" s="41" t="s">
        <v>436</v>
      </c>
      <c r="F27" s="41" t="s">
        <v>436</v>
      </c>
      <c r="G27" s="41" t="s">
        <v>436</v>
      </c>
      <c r="H27" s="42">
        <v>5</v>
      </c>
      <c r="I27" s="40">
        <v>264</v>
      </c>
      <c r="J27" s="42">
        <v>5.7</v>
      </c>
    </row>
    <row r="28" spans="2:10" ht="13.15" customHeight="1" x14ac:dyDescent="0.35">
      <c r="B28" s="46">
        <v>23559</v>
      </c>
      <c r="C28" s="40">
        <v>260</v>
      </c>
      <c r="D28" s="41" t="s">
        <v>436</v>
      </c>
      <c r="E28" s="41" t="s">
        <v>436</v>
      </c>
      <c r="F28" s="41" t="s">
        <v>436</v>
      </c>
      <c r="G28" s="41" t="s">
        <v>436</v>
      </c>
      <c r="H28" s="42">
        <v>4.8</v>
      </c>
      <c r="I28" s="40">
        <v>263</v>
      </c>
      <c r="J28" s="42">
        <v>5.5</v>
      </c>
    </row>
    <row r="29" spans="2:10" ht="13.15" customHeight="1" x14ac:dyDescent="0.35">
      <c r="B29" s="46">
        <v>23590</v>
      </c>
      <c r="C29" s="40">
        <v>253</v>
      </c>
      <c r="D29" s="41" t="s">
        <v>436</v>
      </c>
      <c r="E29" s="41" t="s">
        <v>436</v>
      </c>
      <c r="F29" s="41" t="s">
        <v>436</v>
      </c>
      <c r="G29" s="41" t="s">
        <v>436</v>
      </c>
      <c r="H29" s="42">
        <v>4.5</v>
      </c>
      <c r="I29" s="40">
        <v>258</v>
      </c>
      <c r="J29" s="42">
        <v>5.4</v>
      </c>
    </row>
    <row r="30" spans="2:10" ht="13.15" customHeight="1" x14ac:dyDescent="0.35">
      <c r="B30" s="46">
        <v>23621</v>
      </c>
      <c r="C30" s="40">
        <v>248</v>
      </c>
      <c r="D30" s="41" t="s">
        <v>436</v>
      </c>
      <c r="E30" s="41" t="s">
        <v>436</v>
      </c>
      <c r="F30" s="41" t="s">
        <v>436</v>
      </c>
      <c r="G30" s="41" t="s">
        <v>436</v>
      </c>
      <c r="H30" s="42">
        <v>5.0999999999999996</v>
      </c>
      <c r="I30" s="40">
        <v>256</v>
      </c>
      <c r="J30" s="42">
        <v>5.4</v>
      </c>
    </row>
    <row r="31" spans="2:10" ht="13.15" customHeight="1" x14ac:dyDescent="0.35">
      <c r="B31" s="46">
        <v>23651</v>
      </c>
      <c r="C31" s="40">
        <v>249</v>
      </c>
      <c r="D31" s="41" t="s">
        <v>436</v>
      </c>
      <c r="E31" s="41" t="s">
        <v>436</v>
      </c>
      <c r="F31" s="41" t="s">
        <v>436</v>
      </c>
      <c r="G31" s="41" t="s">
        <v>436</v>
      </c>
      <c r="H31" s="42">
        <v>5.5</v>
      </c>
      <c r="I31" s="40">
        <v>253</v>
      </c>
      <c r="J31" s="42">
        <v>5.3</v>
      </c>
    </row>
    <row r="32" spans="2:10" ht="13.15" customHeight="1" x14ac:dyDescent="0.35">
      <c r="B32" s="46">
        <v>23682</v>
      </c>
      <c r="C32" s="40">
        <v>251</v>
      </c>
      <c r="D32" s="41" t="s">
        <v>436</v>
      </c>
      <c r="E32" s="41" t="s">
        <v>436</v>
      </c>
      <c r="F32" s="41" t="s">
        <v>436</v>
      </c>
      <c r="G32" s="41" t="s">
        <v>436</v>
      </c>
      <c r="H32" s="42">
        <v>6.7</v>
      </c>
      <c r="I32" s="40">
        <v>249</v>
      </c>
      <c r="J32" s="42">
        <v>5.6</v>
      </c>
    </row>
    <row r="33" spans="2:10" ht="13.15" customHeight="1" x14ac:dyDescent="0.35">
      <c r="B33" s="46">
        <v>23712</v>
      </c>
      <c r="C33" s="40">
        <v>250</v>
      </c>
      <c r="D33" s="41" t="s">
        <v>436</v>
      </c>
      <c r="E33" s="41" t="s">
        <v>436</v>
      </c>
      <c r="F33" s="41" t="s">
        <v>436</v>
      </c>
      <c r="G33" s="41" t="s">
        <v>436</v>
      </c>
      <c r="H33" s="42">
        <v>7.6</v>
      </c>
      <c r="I33" s="40">
        <v>250</v>
      </c>
      <c r="J33" s="42">
        <v>5.5</v>
      </c>
    </row>
    <row r="34" spans="2:10" ht="13.15" customHeight="1" x14ac:dyDescent="0.35">
      <c r="B34" s="46">
        <v>23743</v>
      </c>
      <c r="C34" s="40">
        <v>248</v>
      </c>
      <c r="D34" s="41" t="s">
        <v>436</v>
      </c>
      <c r="E34" s="41" t="s">
        <v>436</v>
      </c>
      <c r="F34" s="41" t="s">
        <v>436</v>
      </c>
      <c r="G34" s="41" t="s">
        <v>436</v>
      </c>
      <c r="H34" s="42">
        <v>6.5</v>
      </c>
      <c r="I34" s="40">
        <v>248</v>
      </c>
      <c r="J34" s="42">
        <v>5.6</v>
      </c>
    </row>
    <row r="35" spans="2:10" ht="13.15" customHeight="1" x14ac:dyDescent="0.35">
      <c r="B35" s="46">
        <v>23774</v>
      </c>
      <c r="C35" s="40">
        <v>248</v>
      </c>
      <c r="D35" s="41" t="s">
        <v>436</v>
      </c>
      <c r="E35" s="41" t="s">
        <v>436</v>
      </c>
      <c r="F35" s="41" t="s">
        <v>436</v>
      </c>
      <c r="G35" s="41" t="s">
        <v>436</v>
      </c>
      <c r="H35" s="42">
        <v>5.6</v>
      </c>
      <c r="I35" s="40">
        <v>251</v>
      </c>
      <c r="J35" s="42">
        <v>5.5</v>
      </c>
    </row>
    <row r="36" spans="2:10" ht="13.15" customHeight="1" x14ac:dyDescent="0.35">
      <c r="B36" s="46">
        <v>23802</v>
      </c>
      <c r="C36" s="40">
        <v>246</v>
      </c>
      <c r="D36" s="41" t="s">
        <v>436</v>
      </c>
      <c r="E36" s="41" t="s">
        <v>436</v>
      </c>
      <c r="F36" s="41" t="s">
        <v>436</v>
      </c>
      <c r="G36" s="41" t="s">
        <v>436</v>
      </c>
      <c r="H36" s="42">
        <v>4.7</v>
      </c>
      <c r="I36" s="40">
        <v>243</v>
      </c>
      <c r="J36" s="42">
        <v>5.4</v>
      </c>
    </row>
    <row r="37" spans="2:10" ht="13.15" customHeight="1" x14ac:dyDescent="0.35">
      <c r="B37" s="46">
        <v>23833</v>
      </c>
      <c r="C37" s="40">
        <v>250</v>
      </c>
      <c r="D37" s="41" t="s">
        <v>436</v>
      </c>
      <c r="E37" s="41" t="s">
        <v>436</v>
      </c>
      <c r="F37" s="41" t="s">
        <v>436</v>
      </c>
      <c r="G37" s="41" t="s">
        <v>436</v>
      </c>
      <c r="H37" s="42">
        <v>5.0999999999999996</v>
      </c>
      <c r="I37" s="40">
        <v>242</v>
      </c>
      <c r="J37" s="42">
        <v>5.6</v>
      </c>
    </row>
    <row r="38" spans="2:10" ht="13.15" customHeight="1" x14ac:dyDescent="0.35">
      <c r="B38" s="46">
        <v>23863</v>
      </c>
      <c r="C38" s="40">
        <v>243</v>
      </c>
      <c r="D38" s="41" t="s">
        <v>436</v>
      </c>
      <c r="E38" s="41" t="s">
        <v>436</v>
      </c>
      <c r="F38" s="41" t="s">
        <v>436</v>
      </c>
      <c r="G38" s="41" t="s">
        <v>436</v>
      </c>
      <c r="H38" s="42">
        <v>4.5</v>
      </c>
      <c r="I38" s="40">
        <v>238</v>
      </c>
      <c r="J38" s="42">
        <v>5.3</v>
      </c>
    </row>
    <row r="39" spans="2:10" ht="13.15" customHeight="1" x14ac:dyDescent="0.35">
      <c r="B39" s="46">
        <v>23894</v>
      </c>
      <c r="C39" s="40">
        <v>238</v>
      </c>
      <c r="D39" s="41" t="s">
        <v>436</v>
      </c>
      <c r="E39" s="41" t="s">
        <v>436</v>
      </c>
      <c r="F39" s="41" t="s">
        <v>436</v>
      </c>
      <c r="G39" s="41" t="s">
        <v>436</v>
      </c>
      <c r="H39" s="42">
        <v>4.2</v>
      </c>
      <c r="I39" s="40">
        <v>235</v>
      </c>
      <c r="J39" s="42">
        <v>4.7</v>
      </c>
    </row>
    <row r="40" spans="2:10" ht="13.15" customHeight="1" x14ac:dyDescent="0.35">
      <c r="B40" s="46">
        <v>23924</v>
      </c>
      <c r="C40" s="40">
        <v>232</v>
      </c>
      <c r="D40" s="41" t="s">
        <v>436</v>
      </c>
      <c r="E40" s="41" t="s">
        <v>436</v>
      </c>
      <c r="F40" s="41" t="s">
        <v>436</v>
      </c>
      <c r="G40" s="41" t="s">
        <v>436</v>
      </c>
      <c r="H40" s="42">
        <v>4.5</v>
      </c>
      <c r="I40" s="40">
        <v>235</v>
      </c>
      <c r="J40" s="42">
        <v>5.2</v>
      </c>
    </row>
    <row r="41" spans="2:10" ht="13.15" customHeight="1" x14ac:dyDescent="0.35">
      <c r="B41" s="46">
        <v>23955</v>
      </c>
      <c r="C41" s="40">
        <v>227</v>
      </c>
      <c r="D41" s="41" t="s">
        <v>436</v>
      </c>
      <c r="E41" s="41" t="s">
        <v>436</v>
      </c>
      <c r="F41" s="41" t="s">
        <v>436</v>
      </c>
      <c r="G41" s="41" t="s">
        <v>436</v>
      </c>
      <c r="H41" s="42">
        <v>3.9</v>
      </c>
      <c r="I41" s="40">
        <v>232</v>
      </c>
      <c r="J41" s="42">
        <v>4.5999999999999996</v>
      </c>
    </row>
    <row r="42" spans="2:10" ht="13.15" customHeight="1" x14ac:dyDescent="0.35">
      <c r="B42" s="46">
        <v>23986</v>
      </c>
      <c r="C42" s="40">
        <v>224</v>
      </c>
      <c r="D42" s="41" t="s">
        <v>436</v>
      </c>
      <c r="E42" s="41" t="s">
        <v>436</v>
      </c>
      <c r="F42" s="41" t="s">
        <v>436</v>
      </c>
      <c r="G42" s="41" t="s">
        <v>436</v>
      </c>
      <c r="H42" s="42">
        <v>4.7</v>
      </c>
      <c r="I42" s="40">
        <v>231</v>
      </c>
      <c r="J42" s="42">
        <v>4.9000000000000004</v>
      </c>
    </row>
    <row r="43" spans="2:10" ht="13.15" customHeight="1" x14ac:dyDescent="0.35">
      <c r="B43" s="46">
        <v>24016</v>
      </c>
      <c r="C43" s="40">
        <v>225</v>
      </c>
      <c r="D43" s="41" t="s">
        <v>436</v>
      </c>
      <c r="E43" s="41" t="s">
        <v>436</v>
      </c>
      <c r="F43" s="41" t="s">
        <v>436</v>
      </c>
      <c r="G43" s="41" t="s">
        <v>436</v>
      </c>
      <c r="H43" s="42">
        <v>5.2</v>
      </c>
      <c r="I43" s="40">
        <v>227</v>
      </c>
      <c r="J43" s="42">
        <v>5</v>
      </c>
    </row>
    <row r="44" spans="2:10" ht="13.15" customHeight="1" x14ac:dyDescent="0.35">
      <c r="B44" s="46">
        <v>24047</v>
      </c>
      <c r="C44" s="40">
        <v>234</v>
      </c>
      <c r="D44" s="41" t="s">
        <v>436</v>
      </c>
      <c r="E44" s="41" t="s">
        <v>436</v>
      </c>
      <c r="F44" s="41" t="s">
        <v>436</v>
      </c>
      <c r="G44" s="41" t="s">
        <v>436</v>
      </c>
      <c r="H44" s="42">
        <v>5.6</v>
      </c>
      <c r="I44" s="40">
        <v>231</v>
      </c>
      <c r="J44" s="42">
        <v>4.5999999999999996</v>
      </c>
    </row>
    <row r="45" spans="2:10" ht="13.15" customHeight="1" x14ac:dyDescent="0.35">
      <c r="B45" s="46">
        <v>24077</v>
      </c>
      <c r="C45" s="40">
        <v>228</v>
      </c>
      <c r="D45" s="41" t="s">
        <v>436</v>
      </c>
      <c r="E45" s="41" t="s">
        <v>436</v>
      </c>
      <c r="F45" s="41" t="s">
        <v>436</v>
      </c>
      <c r="G45" s="41" t="s">
        <v>436</v>
      </c>
      <c r="H45" s="42">
        <v>6.1</v>
      </c>
      <c r="I45" s="40">
        <v>226</v>
      </c>
      <c r="J45" s="42">
        <v>4.4000000000000004</v>
      </c>
    </row>
    <row r="46" spans="2:10" ht="13.15" customHeight="1" x14ac:dyDescent="0.35">
      <c r="B46" s="46">
        <v>24108</v>
      </c>
      <c r="C46" s="40">
        <v>227</v>
      </c>
      <c r="D46" s="41" t="s">
        <v>436</v>
      </c>
      <c r="E46" s="41" t="s">
        <v>436</v>
      </c>
      <c r="F46" s="41" t="s">
        <v>436</v>
      </c>
      <c r="G46" s="41" t="s">
        <v>436</v>
      </c>
      <c r="H46" s="42">
        <v>5.4</v>
      </c>
      <c r="I46" s="40">
        <v>228</v>
      </c>
      <c r="J46" s="42">
        <v>4.7</v>
      </c>
    </row>
    <row r="47" spans="2:10" ht="13.15" customHeight="1" x14ac:dyDescent="0.35">
      <c r="B47" s="46">
        <v>24139</v>
      </c>
      <c r="C47" s="40">
        <v>221</v>
      </c>
      <c r="D47" s="41" t="s">
        <v>436</v>
      </c>
      <c r="E47" s="41" t="s">
        <v>436</v>
      </c>
      <c r="F47" s="41" t="s">
        <v>436</v>
      </c>
      <c r="G47" s="41" t="s">
        <v>436</v>
      </c>
      <c r="H47" s="42">
        <v>5.0999999999999996</v>
      </c>
      <c r="I47" s="40">
        <v>224</v>
      </c>
      <c r="J47" s="42">
        <v>4.9000000000000004</v>
      </c>
    </row>
    <row r="48" spans="2:10" ht="13.15" customHeight="1" x14ac:dyDescent="0.35">
      <c r="B48" s="46">
        <v>24167</v>
      </c>
      <c r="C48" s="40">
        <v>227</v>
      </c>
      <c r="D48" s="41" t="s">
        <v>436</v>
      </c>
      <c r="E48" s="41" t="s">
        <v>436</v>
      </c>
      <c r="F48" s="41" t="s">
        <v>436</v>
      </c>
      <c r="G48" s="41" t="s">
        <v>436</v>
      </c>
      <c r="H48" s="42">
        <v>4.3</v>
      </c>
      <c r="I48" s="40">
        <v>225</v>
      </c>
      <c r="J48" s="42">
        <v>5</v>
      </c>
    </row>
    <row r="49" spans="2:10" ht="13.15" customHeight="1" x14ac:dyDescent="0.35">
      <c r="B49" s="46">
        <v>24198</v>
      </c>
      <c r="C49" s="40">
        <v>228</v>
      </c>
      <c r="D49" s="41" t="s">
        <v>436</v>
      </c>
      <c r="E49" s="41" t="s">
        <v>436</v>
      </c>
      <c r="F49" s="41" t="s">
        <v>436</v>
      </c>
      <c r="G49" s="41" t="s">
        <v>436</v>
      </c>
      <c r="H49" s="42">
        <v>4.5999999999999996</v>
      </c>
      <c r="I49" s="40">
        <v>221</v>
      </c>
      <c r="J49" s="42">
        <v>5.0999999999999996</v>
      </c>
    </row>
    <row r="50" spans="2:10" ht="13.15" customHeight="1" x14ac:dyDescent="0.35">
      <c r="B50" s="46">
        <v>24228</v>
      </c>
      <c r="C50" s="40">
        <v>220</v>
      </c>
      <c r="D50" s="41" t="s">
        <v>436</v>
      </c>
      <c r="E50" s="41" t="s">
        <v>436</v>
      </c>
      <c r="F50" s="41" t="s">
        <v>436</v>
      </c>
      <c r="G50" s="41" t="s">
        <v>436</v>
      </c>
      <c r="H50" s="42">
        <v>4.5</v>
      </c>
      <c r="I50" s="40">
        <v>216</v>
      </c>
      <c r="J50" s="42">
        <v>5.3</v>
      </c>
    </row>
    <row r="51" spans="2:10" ht="13.15" customHeight="1" x14ac:dyDescent="0.35">
      <c r="B51" s="46">
        <v>24259</v>
      </c>
      <c r="C51" s="40">
        <v>215</v>
      </c>
      <c r="D51" s="41" t="s">
        <v>436</v>
      </c>
      <c r="E51" s="41" t="s">
        <v>436</v>
      </c>
      <c r="F51" s="41" t="s">
        <v>436</v>
      </c>
      <c r="G51" s="41" t="s">
        <v>436</v>
      </c>
      <c r="H51" s="42">
        <v>5.3</v>
      </c>
      <c r="I51" s="40">
        <v>214</v>
      </c>
      <c r="J51" s="42">
        <v>6</v>
      </c>
    </row>
    <row r="52" spans="2:10" ht="13.15" customHeight="1" x14ac:dyDescent="0.35">
      <c r="B52" s="46">
        <v>24289</v>
      </c>
      <c r="C52" s="40">
        <v>207</v>
      </c>
      <c r="D52" s="41" t="s">
        <v>436</v>
      </c>
      <c r="E52" s="41" t="s">
        <v>436</v>
      </c>
      <c r="F52" s="41" t="s">
        <v>436</v>
      </c>
      <c r="G52" s="41" t="s">
        <v>436</v>
      </c>
      <c r="H52" s="42">
        <v>5.2</v>
      </c>
      <c r="I52" s="40">
        <v>210</v>
      </c>
      <c r="J52" s="42">
        <v>5.9</v>
      </c>
    </row>
    <row r="53" spans="2:10" ht="13.15" customHeight="1" x14ac:dyDescent="0.35">
      <c r="B53" s="46">
        <v>24320</v>
      </c>
      <c r="C53" s="40">
        <v>202</v>
      </c>
      <c r="D53" s="41" t="s">
        <v>436</v>
      </c>
      <c r="E53" s="41" t="s">
        <v>436</v>
      </c>
      <c r="F53" s="41" t="s">
        <v>436</v>
      </c>
      <c r="G53" s="41" t="s">
        <v>436</v>
      </c>
      <c r="H53" s="42">
        <v>5.7</v>
      </c>
      <c r="I53" s="40">
        <v>208</v>
      </c>
      <c r="J53" s="42">
        <v>6.8</v>
      </c>
    </row>
    <row r="54" spans="2:10" ht="13.15" customHeight="1" x14ac:dyDescent="0.35">
      <c r="B54" s="46">
        <v>24351</v>
      </c>
      <c r="C54" s="40">
        <v>203</v>
      </c>
      <c r="D54" s="41" t="s">
        <v>436</v>
      </c>
      <c r="E54" s="41" t="s">
        <v>436</v>
      </c>
      <c r="F54" s="41" t="s">
        <v>436</v>
      </c>
      <c r="G54" s="41" t="s">
        <v>436</v>
      </c>
      <c r="H54" s="42">
        <v>7</v>
      </c>
      <c r="I54" s="40">
        <v>208</v>
      </c>
      <c r="J54" s="42">
        <v>7.2</v>
      </c>
    </row>
    <row r="55" spans="2:10" ht="13.15" customHeight="1" x14ac:dyDescent="0.35">
      <c r="B55" s="46">
        <v>24381</v>
      </c>
      <c r="C55" s="40">
        <v>197</v>
      </c>
      <c r="D55" s="41" t="s">
        <v>436</v>
      </c>
      <c r="E55" s="41" t="s">
        <v>436</v>
      </c>
      <c r="F55" s="41" t="s">
        <v>436</v>
      </c>
      <c r="G55" s="41" t="s">
        <v>436</v>
      </c>
      <c r="H55" s="42">
        <v>6.4</v>
      </c>
      <c r="I55" s="40">
        <v>199</v>
      </c>
      <c r="J55" s="42">
        <v>6.3</v>
      </c>
    </row>
    <row r="56" spans="2:10" ht="13.15" customHeight="1" x14ac:dyDescent="0.35">
      <c r="B56" s="46">
        <v>24412</v>
      </c>
      <c r="C56" s="40">
        <v>196</v>
      </c>
      <c r="D56" s="41" t="s">
        <v>436</v>
      </c>
      <c r="E56" s="41" t="s">
        <v>436</v>
      </c>
      <c r="F56" s="41" t="s">
        <v>436</v>
      </c>
      <c r="G56" s="41" t="s">
        <v>436</v>
      </c>
      <c r="H56" s="42">
        <v>7.6</v>
      </c>
      <c r="I56" s="40">
        <v>193</v>
      </c>
      <c r="J56" s="42">
        <v>6.2</v>
      </c>
    </row>
    <row r="57" spans="2:10" ht="13.15" customHeight="1" x14ac:dyDescent="0.35">
      <c r="B57" s="46">
        <v>24442</v>
      </c>
      <c r="C57" s="40">
        <v>196</v>
      </c>
      <c r="D57" s="41" t="s">
        <v>436</v>
      </c>
      <c r="E57" s="41" t="s">
        <v>436</v>
      </c>
      <c r="F57" s="41" t="s">
        <v>436</v>
      </c>
      <c r="G57" s="41" t="s">
        <v>436</v>
      </c>
      <c r="H57" s="42">
        <v>8.5</v>
      </c>
      <c r="I57" s="40">
        <v>194</v>
      </c>
      <c r="J57" s="42">
        <v>6.3</v>
      </c>
    </row>
    <row r="58" spans="2:10" ht="13.15" customHeight="1" x14ac:dyDescent="0.35">
      <c r="B58" s="46">
        <v>24473</v>
      </c>
      <c r="C58" s="40">
        <v>193</v>
      </c>
      <c r="D58" s="41" t="s">
        <v>436</v>
      </c>
      <c r="E58" s="41" t="s">
        <v>436</v>
      </c>
      <c r="F58" s="41" t="s">
        <v>436</v>
      </c>
      <c r="G58" s="41" t="s">
        <v>436</v>
      </c>
      <c r="H58" s="42">
        <v>6.6</v>
      </c>
      <c r="I58" s="40">
        <v>193</v>
      </c>
      <c r="J58" s="42">
        <v>5.7</v>
      </c>
    </row>
    <row r="59" spans="2:10" ht="13.15" customHeight="1" x14ac:dyDescent="0.35">
      <c r="B59" s="46">
        <v>24504</v>
      </c>
      <c r="C59" s="40">
        <v>191</v>
      </c>
      <c r="D59" s="41" t="s">
        <v>436</v>
      </c>
      <c r="E59" s="41" t="s">
        <v>436</v>
      </c>
      <c r="F59" s="41" t="s">
        <v>436</v>
      </c>
      <c r="G59" s="41" t="s">
        <v>436</v>
      </c>
      <c r="H59" s="42">
        <v>6</v>
      </c>
      <c r="I59" s="40">
        <v>194</v>
      </c>
      <c r="J59" s="42">
        <v>5.7</v>
      </c>
    </row>
    <row r="60" spans="2:10" ht="13.15" customHeight="1" x14ac:dyDescent="0.35">
      <c r="B60" s="46">
        <v>24532</v>
      </c>
      <c r="C60" s="40">
        <v>192</v>
      </c>
      <c r="D60" s="41" t="s">
        <v>436</v>
      </c>
      <c r="E60" s="41" t="s">
        <v>436</v>
      </c>
      <c r="F60" s="41" t="s">
        <v>436</v>
      </c>
      <c r="G60" s="41" t="s">
        <v>436</v>
      </c>
      <c r="H60" s="42">
        <v>4.7</v>
      </c>
      <c r="I60" s="40">
        <v>191</v>
      </c>
      <c r="J60" s="42">
        <v>5.4</v>
      </c>
    </row>
    <row r="61" spans="2:10" ht="13.15" customHeight="1" x14ac:dyDescent="0.35">
      <c r="B61" s="46">
        <v>24563</v>
      </c>
      <c r="C61" s="40">
        <v>192</v>
      </c>
      <c r="D61" s="41" t="s">
        <v>436</v>
      </c>
      <c r="E61" s="41" t="s">
        <v>436</v>
      </c>
      <c r="F61" s="41" t="s">
        <v>436</v>
      </c>
      <c r="G61" s="41" t="s">
        <v>436</v>
      </c>
      <c r="H61" s="42">
        <v>4.4000000000000004</v>
      </c>
      <c r="I61" s="40">
        <v>187</v>
      </c>
      <c r="J61" s="42">
        <v>4.9000000000000004</v>
      </c>
    </row>
    <row r="62" spans="2:10" ht="13.15" customHeight="1" x14ac:dyDescent="0.35">
      <c r="B62" s="46">
        <v>24593</v>
      </c>
      <c r="C62" s="40">
        <v>190</v>
      </c>
      <c r="D62" s="41" t="s">
        <v>436</v>
      </c>
      <c r="E62" s="41" t="s">
        <v>436</v>
      </c>
      <c r="F62" s="41" t="s">
        <v>436</v>
      </c>
      <c r="G62" s="41" t="s">
        <v>436</v>
      </c>
      <c r="H62" s="42">
        <v>3.9</v>
      </c>
      <c r="I62" s="40">
        <v>187</v>
      </c>
      <c r="J62" s="42">
        <v>4.5</v>
      </c>
    </row>
    <row r="63" spans="2:10" ht="13.15" customHeight="1" x14ac:dyDescent="0.35">
      <c r="B63" s="46">
        <v>24624</v>
      </c>
      <c r="C63" s="40">
        <v>190</v>
      </c>
      <c r="D63" s="41" t="s">
        <v>436</v>
      </c>
      <c r="E63" s="41" t="s">
        <v>436</v>
      </c>
      <c r="F63" s="41" t="s">
        <v>436</v>
      </c>
      <c r="G63" s="41" t="s">
        <v>436</v>
      </c>
      <c r="H63" s="42">
        <v>4.0999999999999996</v>
      </c>
      <c r="I63" s="40">
        <v>189</v>
      </c>
      <c r="J63" s="42">
        <v>4.5999999999999996</v>
      </c>
    </row>
    <row r="64" spans="2:10" ht="13.15" customHeight="1" x14ac:dyDescent="0.35">
      <c r="B64" s="46">
        <v>24654</v>
      </c>
      <c r="C64" s="40">
        <v>182</v>
      </c>
      <c r="D64" s="41" t="s">
        <v>436</v>
      </c>
      <c r="E64" s="41" t="s">
        <v>436</v>
      </c>
      <c r="F64" s="41" t="s">
        <v>436</v>
      </c>
      <c r="G64" s="41" t="s">
        <v>436</v>
      </c>
      <c r="H64" s="42">
        <v>4</v>
      </c>
      <c r="I64" s="40">
        <v>184</v>
      </c>
      <c r="J64" s="42">
        <v>4.4000000000000004</v>
      </c>
    </row>
    <row r="65" spans="2:10" ht="13.15" customHeight="1" x14ac:dyDescent="0.35">
      <c r="B65" s="46">
        <v>24685</v>
      </c>
      <c r="C65" s="40">
        <v>175</v>
      </c>
      <c r="D65" s="41" t="s">
        <v>436</v>
      </c>
      <c r="E65" s="41" t="s">
        <v>436</v>
      </c>
      <c r="F65" s="41" t="s">
        <v>436</v>
      </c>
      <c r="G65" s="41" t="s">
        <v>436</v>
      </c>
      <c r="H65" s="42">
        <v>3.8</v>
      </c>
      <c r="I65" s="40">
        <v>181</v>
      </c>
      <c r="J65" s="42">
        <v>4.4000000000000004</v>
      </c>
    </row>
    <row r="66" spans="2:10" ht="13.15" customHeight="1" x14ac:dyDescent="0.35">
      <c r="B66" s="46">
        <v>24716</v>
      </c>
      <c r="C66" s="40">
        <v>179</v>
      </c>
      <c r="D66" s="41" t="s">
        <v>436</v>
      </c>
      <c r="E66" s="41" t="s">
        <v>436</v>
      </c>
      <c r="F66" s="41" t="s">
        <v>436</v>
      </c>
      <c r="G66" s="41" t="s">
        <v>436</v>
      </c>
      <c r="H66" s="42">
        <v>4.2</v>
      </c>
      <c r="I66" s="40">
        <v>184</v>
      </c>
      <c r="J66" s="42">
        <v>4.3</v>
      </c>
    </row>
    <row r="67" spans="2:10" ht="13.15" customHeight="1" x14ac:dyDescent="0.35">
      <c r="B67" s="46">
        <v>24746</v>
      </c>
      <c r="C67" s="40">
        <v>187</v>
      </c>
      <c r="D67" s="41" t="s">
        <v>436</v>
      </c>
      <c r="E67" s="41" t="s">
        <v>436</v>
      </c>
      <c r="F67" s="41" t="s">
        <v>436</v>
      </c>
      <c r="G67" s="41" t="s">
        <v>436</v>
      </c>
      <c r="H67" s="42">
        <v>4.2</v>
      </c>
      <c r="I67" s="40">
        <v>188</v>
      </c>
      <c r="J67" s="42">
        <v>4.0999999999999996</v>
      </c>
    </row>
    <row r="68" spans="2:10" ht="13.15" customHeight="1" x14ac:dyDescent="0.35">
      <c r="B68" s="46">
        <v>24777</v>
      </c>
      <c r="C68" s="40">
        <v>190</v>
      </c>
      <c r="D68" s="41" t="s">
        <v>436</v>
      </c>
      <c r="E68" s="41" t="s">
        <v>436</v>
      </c>
      <c r="F68" s="41" t="s">
        <v>436</v>
      </c>
      <c r="G68" s="41" t="s">
        <v>436</v>
      </c>
      <c r="H68" s="42">
        <v>5.6</v>
      </c>
      <c r="I68" s="40">
        <v>186</v>
      </c>
      <c r="J68" s="42">
        <v>4.5999999999999996</v>
      </c>
    </row>
    <row r="69" spans="2:10" ht="13.15" customHeight="1" x14ac:dyDescent="0.35">
      <c r="B69" s="46">
        <v>24807</v>
      </c>
      <c r="C69" s="40">
        <v>190</v>
      </c>
      <c r="D69" s="41" t="s">
        <v>436</v>
      </c>
      <c r="E69" s="41" t="s">
        <v>436</v>
      </c>
      <c r="F69" s="41" t="s">
        <v>436</v>
      </c>
      <c r="G69" s="41" t="s">
        <v>436</v>
      </c>
      <c r="H69" s="42">
        <v>6.2</v>
      </c>
      <c r="I69" s="40">
        <v>187</v>
      </c>
      <c r="J69" s="42">
        <v>4.7</v>
      </c>
    </row>
    <row r="70" spans="2:10" ht="13.15" customHeight="1" x14ac:dyDescent="0.35">
      <c r="B70" s="46">
        <v>24838</v>
      </c>
      <c r="C70" s="40">
        <v>189</v>
      </c>
      <c r="D70" s="41" t="s">
        <v>436</v>
      </c>
      <c r="E70" s="41" t="s">
        <v>436</v>
      </c>
      <c r="F70" s="41" t="s">
        <v>436</v>
      </c>
      <c r="G70" s="41" t="s">
        <v>436</v>
      </c>
      <c r="H70" s="42">
        <v>5.4</v>
      </c>
      <c r="I70" s="40">
        <v>189</v>
      </c>
      <c r="J70" s="42">
        <v>4.7</v>
      </c>
    </row>
    <row r="71" spans="2:10" ht="13.15" customHeight="1" x14ac:dyDescent="0.35">
      <c r="B71" s="46">
        <v>24869</v>
      </c>
      <c r="C71" s="40">
        <v>188</v>
      </c>
      <c r="D71" s="41" t="s">
        <v>436</v>
      </c>
      <c r="E71" s="41" t="s">
        <v>436</v>
      </c>
      <c r="F71" s="41" t="s">
        <v>436</v>
      </c>
      <c r="G71" s="41" t="s">
        <v>436</v>
      </c>
      <c r="H71" s="42">
        <v>4.4000000000000004</v>
      </c>
      <c r="I71" s="40">
        <v>191</v>
      </c>
      <c r="J71" s="42">
        <v>4.0999999999999996</v>
      </c>
    </row>
    <row r="72" spans="2:10" ht="13.15" customHeight="1" x14ac:dyDescent="0.35">
      <c r="B72" s="46">
        <v>24898</v>
      </c>
      <c r="C72" s="40">
        <v>192</v>
      </c>
      <c r="D72" s="41" t="s">
        <v>436</v>
      </c>
      <c r="E72" s="41" t="s">
        <v>436</v>
      </c>
      <c r="F72" s="41" t="s">
        <v>436</v>
      </c>
      <c r="G72" s="41" t="s">
        <v>436</v>
      </c>
      <c r="H72" s="42">
        <v>4.2</v>
      </c>
      <c r="I72" s="40">
        <v>192</v>
      </c>
      <c r="J72" s="42">
        <v>4.8</v>
      </c>
    </row>
    <row r="73" spans="2:10" ht="13.15" customHeight="1" x14ac:dyDescent="0.35">
      <c r="B73" s="46">
        <v>24929</v>
      </c>
      <c r="C73" s="40">
        <v>203</v>
      </c>
      <c r="D73" s="41" t="s">
        <v>436</v>
      </c>
      <c r="E73" s="41" t="s">
        <v>436</v>
      </c>
      <c r="F73" s="41" t="s">
        <v>436</v>
      </c>
      <c r="G73" s="41" t="s">
        <v>436</v>
      </c>
      <c r="H73" s="42">
        <v>4.4000000000000004</v>
      </c>
      <c r="I73" s="40">
        <v>198</v>
      </c>
      <c r="J73" s="42">
        <v>4.9000000000000004</v>
      </c>
    </row>
    <row r="74" spans="2:10" ht="13.15" customHeight="1" x14ac:dyDescent="0.35">
      <c r="B74" s="46">
        <v>24959</v>
      </c>
      <c r="C74" s="40">
        <v>203</v>
      </c>
      <c r="D74" s="41" t="s">
        <v>436</v>
      </c>
      <c r="E74" s="41" t="s">
        <v>436</v>
      </c>
      <c r="F74" s="41" t="s">
        <v>436</v>
      </c>
      <c r="G74" s="41" t="s">
        <v>436</v>
      </c>
      <c r="H74" s="42">
        <v>4.7</v>
      </c>
      <c r="I74" s="40">
        <v>199</v>
      </c>
      <c r="J74" s="42">
        <v>5.5</v>
      </c>
    </row>
    <row r="75" spans="2:10" ht="13.15" customHeight="1" x14ac:dyDescent="0.35">
      <c r="B75" s="46">
        <v>24990</v>
      </c>
      <c r="C75" s="40">
        <v>202</v>
      </c>
      <c r="D75" s="41" t="s">
        <v>436</v>
      </c>
      <c r="E75" s="41" t="s">
        <v>436</v>
      </c>
      <c r="F75" s="41" t="s">
        <v>436</v>
      </c>
      <c r="G75" s="41" t="s">
        <v>436</v>
      </c>
      <c r="H75" s="42">
        <v>4.9000000000000004</v>
      </c>
      <c r="I75" s="40">
        <v>201</v>
      </c>
      <c r="J75" s="42">
        <v>5.5</v>
      </c>
    </row>
    <row r="76" spans="2:10" ht="13.15" customHeight="1" x14ac:dyDescent="0.35">
      <c r="B76" s="46">
        <v>25020</v>
      </c>
      <c r="C76" s="40">
        <v>201</v>
      </c>
      <c r="D76" s="41" t="s">
        <v>436</v>
      </c>
      <c r="E76" s="41" t="s">
        <v>436</v>
      </c>
      <c r="F76" s="41" t="s">
        <v>436</v>
      </c>
      <c r="G76" s="41" t="s">
        <v>436</v>
      </c>
      <c r="H76" s="42">
        <v>4.5999999999999996</v>
      </c>
      <c r="I76" s="40">
        <v>203</v>
      </c>
      <c r="J76" s="42">
        <v>5.0999999999999996</v>
      </c>
    </row>
    <row r="77" spans="2:10" ht="13.15" customHeight="1" x14ac:dyDescent="0.35">
      <c r="B77" s="46">
        <v>25051</v>
      </c>
      <c r="C77" s="40">
        <v>200</v>
      </c>
      <c r="D77" s="41" t="s">
        <v>436</v>
      </c>
      <c r="E77" s="41" t="s">
        <v>436</v>
      </c>
      <c r="F77" s="41" t="s">
        <v>436</v>
      </c>
      <c r="G77" s="41" t="s">
        <v>436</v>
      </c>
      <c r="H77" s="42">
        <v>4.2</v>
      </c>
      <c r="I77" s="40">
        <v>206</v>
      </c>
      <c r="J77" s="42">
        <v>5</v>
      </c>
    </row>
    <row r="78" spans="2:10" ht="13.15" customHeight="1" x14ac:dyDescent="0.35">
      <c r="B78" s="46">
        <v>25082</v>
      </c>
      <c r="C78" s="40">
        <v>203</v>
      </c>
      <c r="D78" s="41" t="s">
        <v>436</v>
      </c>
      <c r="E78" s="41" t="s">
        <v>436</v>
      </c>
      <c r="F78" s="41" t="s">
        <v>436</v>
      </c>
      <c r="G78" s="41" t="s">
        <v>436</v>
      </c>
      <c r="H78" s="42">
        <v>5</v>
      </c>
      <c r="I78" s="40">
        <v>208</v>
      </c>
      <c r="J78" s="42">
        <v>5.0999999999999996</v>
      </c>
    </row>
    <row r="79" spans="2:10" ht="13.15" customHeight="1" x14ac:dyDescent="0.35">
      <c r="B79" s="46">
        <v>25112</v>
      </c>
      <c r="C79" s="40">
        <v>211</v>
      </c>
      <c r="D79" s="41" t="s">
        <v>436</v>
      </c>
      <c r="E79" s="41" t="s">
        <v>436</v>
      </c>
      <c r="F79" s="41" t="s">
        <v>436</v>
      </c>
      <c r="G79" s="41" t="s">
        <v>436</v>
      </c>
      <c r="H79" s="42">
        <v>5.2</v>
      </c>
      <c r="I79" s="40">
        <v>211</v>
      </c>
      <c r="J79" s="42">
        <v>5.2</v>
      </c>
    </row>
    <row r="80" spans="2:10" ht="13.15" customHeight="1" x14ac:dyDescent="0.35">
      <c r="B80" s="46">
        <v>25143</v>
      </c>
      <c r="C80" s="40">
        <v>219</v>
      </c>
      <c r="D80" s="41" t="s">
        <v>436</v>
      </c>
      <c r="E80" s="41" t="s">
        <v>436</v>
      </c>
      <c r="F80" s="41" t="s">
        <v>436</v>
      </c>
      <c r="G80" s="41" t="s">
        <v>436</v>
      </c>
      <c r="H80" s="42">
        <v>6.8</v>
      </c>
      <c r="I80" s="40">
        <v>214</v>
      </c>
      <c r="J80" s="42">
        <v>5.6</v>
      </c>
    </row>
    <row r="81" spans="2:10" ht="13.15" customHeight="1" x14ac:dyDescent="0.35">
      <c r="B81" s="46">
        <v>25173</v>
      </c>
      <c r="C81" s="40">
        <v>218</v>
      </c>
      <c r="D81" s="41" t="s">
        <v>436</v>
      </c>
      <c r="E81" s="41" t="s">
        <v>436</v>
      </c>
      <c r="F81" s="41" t="s">
        <v>436</v>
      </c>
      <c r="G81" s="41" t="s">
        <v>436</v>
      </c>
      <c r="H81" s="42">
        <v>6.9</v>
      </c>
      <c r="I81" s="40">
        <v>213</v>
      </c>
      <c r="J81" s="42">
        <v>5.2</v>
      </c>
    </row>
    <row r="82" spans="2:10" ht="13.15" customHeight="1" x14ac:dyDescent="0.35">
      <c r="B82" s="46">
        <v>25204</v>
      </c>
      <c r="C82" s="40">
        <v>214</v>
      </c>
      <c r="D82" s="41" t="s">
        <v>436</v>
      </c>
      <c r="E82" s="41" t="s">
        <v>436</v>
      </c>
      <c r="F82" s="41" t="s">
        <v>436</v>
      </c>
      <c r="G82" s="41" t="s">
        <v>436</v>
      </c>
      <c r="H82" s="42">
        <v>6.3</v>
      </c>
      <c r="I82" s="40">
        <v>215</v>
      </c>
      <c r="J82" s="42">
        <v>5.5</v>
      </c>
    </row>
    <row r="83" spans="2:10" ht="13.15" customHeight="1" x14ac:dyDescent="0.35">
      <c r="B83" s="46">
        <v>25235</v>
      </c>
      <c r="C83" s="40">
        <v>210</v>
      </c>
      <c r="D83" s="41" t="s">
        <v>436</v>
      </c>
      <c r="E83" s="41" t="s">
        <v>436</v>
      </c>
      <c r="F83" s="41" t="s">
        <v>436</v>
      </c>
      <c r="G83" s="41" t="s">
        <v>436</v>
      </c>
      <c r="H83" s="42">
        <v>5.2</v>
      </c>
      <c r="I83" s="40">
        <v>215</v>
      </c>
      <c r="J83" s="42">
        <v>4.9000000000000004</v>
      </c>
    </row>
    <row r="84" spans="2:10" ht="13.15" customHeight="1" x14ac:dyDescent="0.35">
      <c r="B84" s="46">
        <v>25263</v>
      </c>
      <c r="C84" s="40">
        <v>215</v>
      </c>
      <c r="D84" s="41" t="s">
        <v>436</v>
      </c>
      <c r="E84" s="41" t="s">
        <v>436</v>
      </c>
      <c r="F84" s="41" t="s">
        <v>436</v>
      </c>
      <c r="G84" s="41" t="s">
        <v>436</v>
      </c>
      <c r="H84" s="42">
        <v>4.9000000000000004</v>
      </c>
      <c r="I84" s="40">
        <v>216</v>
      </c>
      <c r="J84" s="42">
        <v>5.7</v>
      </c>
    </row>
    <row r="85" spans="2:10" ht="13.15" customHeight="1" x14ac:dyDescent="0.35">
      <c r="B85" s="46">
        <v>25294</v>
      </c>
      <c r="C85" s="40">
        <v>223</v>
      </c>
      <c r="D85" s="41" t="s">
        <v>436</v>
      </c>
      <c r="E85" s="41" t="s">
        <v>436</v>
      </c>
      <c r="F85" s="41" t="s">
        <v>436</v>
      </c>
      <c r="G85" s="41" t="s">
        <v>436</v>
      </c>
      <c r="H85" s="42">
        <v>5.4</v>
      </c>
      <c r="I85" s="40">
        <v>218</v>
      </c>
      <c r="J85" s="42">
        <v>6</v>
      </c>
    </row>
    <row r="86" spans="2:10" ht="13.15" customHeight="1" x14ac:dyDescent="0.35">
      <c r="B86" s="46">
        <v>25324</v>
      </c>
      <c r="C86" s="40">
        <v>225</v>
      </c>
      <c r="D86" s="41" t="s">
        <v>436</v>
      </c>
      <c r="E86" s="41" t="s">
        <v>436</v>
      </c>
      <c r="F86" s="41" t="s">
        <v>436</v>
      </c>
      <c r="G86" s="41" t="s">
        <v>436</v>
      </c>
      <c r="H86" s="42">
        <v>5.2</v>
      </c>
      <c r="I86" s="40">
        <v>221</v>
      </c>
      <c r="J86" s="42">
        <v>6.1</v>
      </c>
    </row>
    <row r="87" spans="2:10" ht="13.15" customHeight="1" x14ac:dyDescent="0.35">
      <c r="B87" s="46">
        <v>25355</v>
      </c>
      <c r="C87" s="40">
        <v>224</v>
      </c>
      <c r="D87" s="41" t="s">
        <v>436</v>
      </c>
      <c r="E87" s="41" t="s">
        <v>436</v>
      </c>
      <c r="F87" s="41" t="s">
        <v>436</v>
      </c>
      <c r="G87" s="41" t="s">
        <v>436</v>
      </c>
      <c r="H87" s="42">
        <v>5.0999999999999996</v>
      </c>
      <c r="I87" s="40">
        <v>223</v>
      </c>
      <c r="J87" s="42">
        <v>5.8</v>
      </c>
    </row>
    <row r="88" spans="2:10" ht="13.15" customHeight="1" x14ac:dyDescent="0.35">
      <c r="B88" s="46">
        <v>25385</v>
      </c>
      <c r="C88" s="40">
        <v>222</v>
      </c>
      <c r="D88" s="41" t="s">
        <v>436</v>
      </c>
      <c r="E88" s="41" t="s">
        <v>436</v>
      </c>
      <c r="F88" s="41" t="s">
        <v>436</v>
      </c>
      <c r="G88" s="41" t="s">
        <v>436</v>
      </c>
      <c r="H88" s="42">
        <v>5.7</v>
      </c>
      <c r="I88" s="40">
        <v>224</v>
      </c>
      <c r="J88" s="42">
        <v>6.3</v>
      </c>
    </row>
    <row r="89" spans="2:10" ht="13.15" customHeight="1" x14ac:dyDescent="0.35">
      <c r="B89" s="46">
        <v>25416</v>
      </c>
      <c r="C89" s="40">
        <v>217</v>
      </c>
      <c r="D89" s="41" t="s">
        <v>436</v>
      </c>
      <c r="E89" s="41" t="s">
        <v>436</v>
      </c>
      <c r="F89" s="41" t="s">
        <v>436</v>
      </c>
      <c r="G89" s="41" t="s">
        <v>436</v>
      </c>
      <c r="H89" s="42">
        <v>5.5</v>
      </c>
      <c r="I89" s="40">
        <v>223</v>
      </c>
      <c r="J89" s="42">
        <v>6.5</v>
      </c>
    </row>
    <row r="90" spans="2:10" ht="13.15" customHeight="1" x14ac:dyDescent="0.35">
      <c r="B90" s="46">
        <v>25447</v>
      </c>
      <c r="C90" s="40">
        <v>220</v>
      </c>
      <c r="D90" s="41" t="s">
        <v>436</v>
      </c>
      <c r="E90" s="41" t="s">
        <v>436</v>
      </c>
      <c r="F90" s="41" t="s">
        <v>436</v>
      </c>
      <c r="G90" s="41" t="s">
        <v>436</v>
      </c>
      <c r="H90" s="42">
        <v>6.7</v>
      </c>
      <c r="I90" s="40">
        <v>224</v>
      </c>
      <c r="J90" s="42">
        <v>6.9</v>
      </c>
    </row>
    <row r="91" spans="2:10" ht="13.15" customHeight="1" x14ac:dyDescent="0.35">
      <c r="B91" s="46">
        <v>25477</v>
      </c>
      <c r="C91" s="40">
        <v>228</v>
      </c>
      <c r="D91" s="41" t="s">
        <v>436</v>
      </c>
      <c r="E91" s="41" t="s">
        <v>436</v>
      </c>
      <c r="F91" s="41" t="s">
        <v>436</v>
      </c>
      <c r="G91" s="41" t="s">
        <v>436</v>
      </c>
      <c r="H91" s="42">
        <v>7.1</v>
      </c>
      <c r="I91" s="40">
        <v>227</v>
      </c>
      <c r="J91" s="42">
        <v>7</v>
      </c>
    </row>
    <row r="92" spans="2:10" ht="13.15" customHeight="1" x14ac:dyDescent="0.35">
      <c r="B92" s="46">
        <v>25508</v>
      </c>
      <c r="C92" s="40">
        <v>227</v>
      </c>
      <c r="D92" s="41" t="s">
        <v>436</v>
      </c>
      <c r="E92" s="41" t="s">
        <v>436</v>
      </c>
      <c r="F92" s="41" t="s">
        <v>436</v>
      </c>
      <c r="G92" s="41" t="s">
        <v>436</v>
      </c>
      <c r="H92" s="42">
        <v>7.4</v>
      </c>
      <c r="I92" s="40">
        <v>222</v>
      </c>
      <c r="J92" s="42">
        <v>6.2</v>
      </c>
    </row>
    <row r="93" spans="2:10" ht="13.15" customHeight="1" x14ac:dyDescent="0.35">
      <c r="B93" s="46">
        <v>25538</v>
      </c>
      <c r="C93" s="40">
        <v>228</v>
      </c>
      <c r="D93" s="41" t="s">
        <v>436</v>
      </c>
      <c r="E93" s="41" t="s">
        <v>436</v>
      </c>
      <c r="F93" s="41" t="s">
        <v>436</v>
      </c>
      <c r="G93" s="41" t="s">
        <v>436</v>
      </c>
      <c r="H93" s="42">
        <v>8.1</v>
      </c>
      <c r="I93" s="40">
        <v>222</v>
      </c>
      <c r="J93" s="42">
        <v>6.1</v>
      </c>
    </row>
    <row r="94" spans="2:10" ht="13.15" customHeight="1" x14ac:dyDescent="0.35">
      <c r="B94" s="46">
        <v>25569</v>
      </c>
      <c r="C94" s="40">
        <v>212</v>
      </c>
      <c r="D94" s="41" t="s">
        <v>436</v>
      </c>
      <c r="E94" s="41" t="s">
        <v>436</v>
      </c>
      <c r="F94" s="41" t="s">
        <v>436</v>
      </c>
      <c r="G94" s="41" t="s">
        <v>436</v>
      </c>
      <c r="H94" s="42">
        <v>6.2</v>
      </c>
      <c r="I94" s="40">
        <v>213</v>
      </c>
      <c r="J94" s="42">
        <v>5.5</v>
      </c>
    </row>
    <row r="95" spans="2:10" ht="13.15" customHeight="1" x14ac:dyDescent="0.35">
      <c r="B95" s="46">
        <v>25600</v>
      </c>
      <c r="C95" s="40">
        <v>207</v>
      </c>
      <c r="D95" s="41" t="s">
        <v>436</v>
      </c>
      <c r="E95" s="41" t="s">
        <v>436</v>
      </c>
      <c r="F95" s="41" t="s">
        <v>436</v>
      </c>
      <c r="G95" s="41" t="s">
        <v>436</v>
      </c>
      <c r="H95" s="42">
        <v>7</v>
      </c>
      <c r="I95" s="40">
        <v>215</v>
      </c>
      <c r="J95" s="42">
        <v>7.2</v>
      </c>
    </row>
    <row r="96" spans="2:10" ht="13.15" customHeight="1" x14ac:dyDescent="0.35">
      <c r="B96" s="46">
        <v>25628</v>
      </c>
      <c r="C96" s="40">
        <v>214</v>
      </c>
      <c r="D96" s="41" t="s">
        <v>436</v>
      </c>
      <c r="E96" s="41" t="s">
        <v>436</v>
      </c>
      <c r="F96" s="41" t="s">
        <v>436</v>
      </c>
      <c r="G96" s="41" t="s">
        <v>436</v>
      </c>
      <c r="H96" s="42">
        <v>6</v>
      </c>
      <c r="I96" s="40">
        <v>217</v>
      </c>
      <c r="J96" s="42">
        <v>6.8</v>
      </c>
    </row>
    <row r="97" spans="2:10" ht="13.15" customHeight="1" x14ac:dyDescent="0.35">
      <c r="B97" s="46">
        <v>25659</v>
      </c>
      <c r="C97" s="40">
        <v>220</v>
      </c>
      <c r="D97" s="41" t="s">
        <v>436</v>
      </c>
      <c r="E97" s="41" t="s">
        <v>436</v>
      </c>
      <c r="F97" s="41" t="s">
        <v>436</v>
      </c>
      <c r="G97" s="41" t="s">
        <v>436</v>
      </c>
      <c r="H97" s="42">
        <v>5.3</v>
      </c>
      <c r="I97" s="40">
        <v>217</v>
      </c>
      <c r="J97" s="42">
        <v>6</v>
      </c>
    </row>
    <row r="98" spans="2:10" ht="13.15" customHeight="1" x14ac:dyDescent="0.35">
      <c r="B98" s="46">
        <v>25689</v>
      </c>
      <c r="C98" s="40">
        <v>221</v>
      </c>
      <c r="D98" s="41" t="s">
        <v>436</v>
      </c>
      <c r="E98" s="41" t="s">
        <v>436</v>
      </c>
      <c r="F98" s="41" t="s">
        <v>436</v>
      </c>
      <c r="G98" s="41" t="s">
        <v>436</v>
      </c>
      <c r="H98" s="42">
        <v>5.0999999999999996</v>
      </c>
      <c r="I98" s="40">
        <v>217</v>
      </c>
      <c r="J98" s="42">
        <v>5.7</v>
      </c>
    </row>
    <row r="99" spans="2:10" ht="13.15" customHeight="1" x14ac:dyDescent="0.35">
      <c r="B99" s="46">
        <v>25720</v>
      </c>
      <c r="C99" s="40">
        <v>219</v>
      </c>
      <c r="D99" s="41" t="s">
        <v>436</v>
      </c>
      <c r="E99" s="41" t="s">
        <v>436</v>
      </c>
      <c r="F99" s="41" t="s">
        <v>436</v>
      </c>
      <c r="G99" s="41" t="s">
        <v>436</v>
      </c>
      <c r="H99" s="42">
        <v>4.9000000000000004</v>
      </c>
      <c r="I99" s="40">
        <v>217</v>
      </c>
      <c r="J99" s="42">
        <v>5.5</v>
      </c>
    </row>
    <row r="100" spans="2:10" ht="13.15" customHeight="1" x14ac:dyDescent="0.35">
      <c r="B100" s="46">
        <v>25750</v>
      </c>
      <c r="C100" s="40">
        <v>220</v>
      </c>
      <c r="D100" s="41" t="s">
        <v>436</v>
      </c>
      <c r="E100" s="41" t="s">
        <v>436</v>
      </c>
      <c r="F100" s="41" t="s">
        <v>436</v>
      </c>
      <c r="G100" s="41" t="s">
        <v>436</v>
      </c>
      <c r="H100" s="42">
        <v>5</v>
      </c>
      <c r="I100" s="40">
        <v>220</v>
      </c>
      <c r="J100" s="42">
        <v>5.4</v>
      </c>
    </row>
    <row r="101" spans="2:10" ht="13.15" customHeight="1" x14ac:dyDescent="0.35">
      <c r="B101" s="46">
        <v>25781</v>
      </c>
      <c r="C101" s="40">
        <v>212</v>
      </c>
      <c r="D101" s="41" t="s">
        <v>436</v>
      </c>
      <c r="E101" s="41" t="s">
        <v>436</v>
      </c>
      <c r="F101" s="41" t="s">
        <v>436</v>
      </c>
      <c r="G101" s="41" t="s">
        <v>436</v>
      </c>
      <c r="H101" s="42">
        <v>4.4000000000000004</v>
      </c>
      <c r="I101" s="40">
        <v>218</v>
      </c>
      <c r="J101" s="42">
        <v>5.0999999999999996</v>
      </c>
    </row>
    <row r="102" spans="2:10" ht="13.15" customHeight="1" x14ac:dyDescent="0.35">
      <c r="B102" s="46">
        <v>25812</v>
      </c>
      <c r="C102" s="40">
        <v>215</v>
      </c>
      <c r="D102" s="41" t="s">
        <v>436</v>
      </c>
      <c r="E102" s="41" t="s">
        <v>436</v>
      </c>
      <c r="F102" s="41" t="s">
        <v>436</v>
      </c>
      <c r="G102" s="41" t="s">
        <v>436</v>
      </c>
      <c r="H102" s="42">
        <v>4.8</v>
      </c>
      <c r="I102" s="40">
        <v>218</v>
      </c>
      <c r="J102" s="42">
        <v>4.7</v>
      </c>
    </row>
    <row r="103" spans="2:10" ht="13.15" customHeight="1" x14ac:dyDescent="0.35">
      <c r="B103" s="46">
        <v>25842</v>
      </c>
      <c r="C103" s="40">
        <v>217</v>
      </c>
      <c r="D103" s="41" t="s">
        <v>436</v>
      </c>
      <c r="E103" s="41" t="s">
        <v>436</v>
      </c>
      <c r="F103" s="41" t="s">
        <v>436</v>
      </c>
      <c r="G103" s="41" t="s">
        <v>436</v>
      </c>
      <c r="H103" s="42">
        <v>5</v>
      </c>
      <c r="I103" s="40">
        <v>216</v>
      </c>
      <c r="J103" s="42">
        <v>4.8</v>
      </c>
    </row>
    <row r="104" spans="2:10" ht="13.15" customHeight="1" x14ac:dyDescent="0.35">
      <c r="B104" s="46">
        <v>25873</v>
      </c>
      <c r="C104" s="40">
        <v>217</v>
      </c>
      <c r="D104" s="41" t="s">
        <v>436</v>
      </c>
      <c r="E104" s="41" t="s">
        <v>436</v>
      </c>
      <c r="F104" s="41" t="s">
        <v>436</v>
      </c>
      <c r="G104" s="41" t="s">
        <v>436</v>
      </c>
      <c r="H104" s="42">
        <v>5.5</v>
      </c>
      <c r="I104" s="40">
        <v>212</v>
      </c>
      <c r="J104" s="42">
        <v>4.5999999999999996</v>
      </c>
    </row>
    <row r="105" spans="2:10" ht="13.15" customHeight="1" x14ac:dyDescent="0.35">
      <c r="B105" s="46">
        <v>25903</v>
      </c>
      <c r="C105" s="40">
        <v>227</v>
      </c>
      <c r="D105" s="41" t="s">
        <v>436</v>
      </c>
      <c r="E105" s="41" t="s">
        <v>436</v>
      </c>
      <c r="F105" s="41" t="s">
        <v>436</v>
      </c>
      <c r="G105" s="41" t="s">
        <v>436</v>
      </c>
      <c r="H105" s="42">
        <v>6.2</v>
      </c>
      <c r="I105" s="40">
        <v>220</v>
      </c>
      <c r="J105" s="42">
        <v>4.7</v>
      </c>
    </row>
    <row r="106" spans="2:10" ht="13.15" customHeight="1" x14ac:dyDescent="0.35">
      <c r="B106" s="46">
        <v>25934</v>
      </c>
      <c r="C106" s="40">
        <v>219</v>
      </c>
      <c r="D106" s="41" t="s">
        <v>436</v>
      </c>
      <c r="E106" s="41" t="s">
        <v>436</v>
      </c>
      <c r="F106" s="41" t="s">
        <v>436</v>
      </c>
      <c r="G106" s="41" t="s">
        <v>436</v>
      </c>
      <c r="H106" s="42">
        <v>4.8</v>
      </c>
      <c r="I106" s="40">
        <v>220</v>
      </c>
      <c r="J106" s="42">
        <v>4.3</v>
      </c>
    </row>
    <row r="107" spans="2:10" ht="13.15" customHeight="1" x14ac:dyDescent="0.35">
      <c r="B107" s="46">
        <v>25965</v>
      </c>
      <c r="C107" s="40">
        <v>212</v>
      </c>
      <c r="D107" s="41" t="s">
        <v>436</v>
      </c>
      <c r="E107" s="41" t="s">
        <v>436</v>
      </c>
      <c r="F107" s="41" t="s">
        <v>436</v>
      </c>
      <c r="G107" s="41" t="s">
        <v>436</v>
      </c>
      <c r="H107" s="42">
        <v>4.3</v>
      </c>
      <c r="I107" s="40">
        <v>218</v>
      </c>
      <c r="J107" s="42">
        <v>4.4000000000000004</v>
      </c>
    </row>
    <row r="108" spans="2:10" ht="13.15" customHeight="1" x14ac:dyDescent="0.35">
      <c r="B108" s="46">
        <v>25993</v>
      </c>
      <c r="C108" s="40">
        <v>220</v>
      </c>
      <c r="D108" s="41" t="s">
        <v>436</v>
      </c>
      <c r="E108" s="41" t="s">
        <v>436</v>
      </c>
      <c r="F108" s="41" t="s">
        <v>436</v>
      </c>
      <c r="G108" s="41" t="s">
        <v>436</v>
      </c>
      <c r="H108" s="42">
        <v>3.5</v>
      </c>
      <c r="I108" s="40">
        <v>224</v>
      </c>
      <c r="J108" s="42">
        <v>4</v>
      </c>
    </row>
    <row r="109" spans="2:10" ht="13.15" customHeight="1" x14ac:dyDescent="0.35">
      <c r="B109" s="46">
        <v>26024</v>
      </c>
      <c r="C109" s="40">
        <v>229</v>
      </c>
      <c r="D109" s="41" t="s">
        <v>436</v>
      </c>
      <c r="E109" s="41" t="s">
        <v>436</v>
      </c>
      <c r="F109" s="41" t="s">
        <v>436</v>
      </c>
      <c r="G109" s="41" t="s">
        <v>436</v>
      </c>
      <c r="H109" s="42">
        <v>3.7</v>
      </c>
      <c r="I109" s="40">
        <v>229</v>
      </c>
      <c r="J109" s="42">
        <v>4.2</v>
      </c>
    </row>
    <row r="110" spans="2:10" ht="13.15" customHeight="1" x14ac:dyDescent="0.35">
      <c r="B110" s="46">
        <v>26054</v>
      </c>
      <c r="C110" s="40">
        <v>237</v>
      </c>
      <c r="D110" s="41" t="s">
        <v>436</v>
      </c>
      <c r="E110" s="41" t="s">
        <v>436</v>
      </c>
      <c r="F110" s="41" t="s">
        <v>436</v>
      </c>
      <c r="G110" s="41" t="s">
        <v>436</v>
      </c>
      <c r="H110" s="42">
        <v>4.0999999999999996</v>
      </c>
      <c r="I110" s="40">
        <v>236</v>
      </c>
      <c r="J110" s="42">
        <v>4.5999999999999996</v>
      </c>
    </row>
    <row r="111" spans="2:10" ht="13.15" customHeight="1" x14ac:dyDescent="0.35">
      <c r="B111" s="46">
        <v>26085</v>
      </c>
      <c r="C111" s="40">
        <v>248</v>
      </c>
      <c r="D111" s="41" t="s">
        <v>436</v>
      </c>
      <c r="E111" s="41" t="s">
        <v>436</v>
      </c>
      <c r="F111" s="41" t="s">
        <v>436</v>
      </c>
      <c r="G111" s="41" t="s">
        <v>436</v>
      </c>
      <c r="H111" s="42">
        <v>4.2</v>
      </c>
      <c r="I111" s="40">
        <v>245</v>
      </c>
      <c r="J111" s="42">
        <v>4.7</v>
      </c>
    </row>
    <row r="112" spans="2:10" ht="13.15" customHeight="1" x14ac:dyDescent="0.35">
      <c r="B112" s="46">
        <v>26115</v>
      </c>
      <c r="C112" s="40">
        <v>248</v>
      </c>
      <c r="D112" s="41" t="s">
        <v>436</v>
      </c>
      <c r="E112" s="41" t="s">
        <v>436</v>
      </c>
      <c r="F112" s="41" t="s">
        <v>436</v>
      </c>
      <c r="G112" s="41" t="s">
        <v>436</v>
      </c>
      <c r="H112" s="42">
        <v>3.9</v>
      </c>
      <c r="I112" s="40">
        <v>248</v>
      </c>
      <c r="J112" s="42">
        <v>4.0999999999999996</v>
      </c>
    </row>
    <row r="113" spans="2:10" ht="13.15" customHeight="1" x14ac:dyDescent="0.35">
      <c r="B113" s="46">
        <v>26146</v>
      </c>
      <c r="C113" s="40">
        <v>250</v>
      </c>
      <c r="D113" s="41" t="s">
        <v>436</v>
      </c>
      <c r="E113" s="41" t="s">
        <v>436</v>
      </c>
      <c r="F113" s="41" t="s">
        <v>436</v>
      </c>
      <c r="G113" s="41" t="s">
        <v>436</v>
      </c>
      <c r="H113" s="42">
        <v>4</v>
      </c>
      <c r="I113" s="40">
        <v>254</v>
      </c>
      <c r="J113" s="42">
        <v>4.7</v>
      </c>
    </row>
    <row r="114" spans="2:10" ht="13.15" customHeight="1" x14ac:dyDescent="0.35">
      <c r="B114" s="46">
        <v>26177</v>
      </c>
      <c r="C114" s="40">
        <v>263</v>
      </c>
      <c r="D114" s="41" t="s">
        <v>436</v>
      </c>
      <c r="E114" s="41" t="s">
        <v>436</v>
      </c>
      <c r="F114" s="41" t="s">
        <v>436</v>
      </c>
      <c r="G114" s="41" t="s">
        <v>436</v>
      </c>
      <c r="H114" s="42">
        <v>5.3</v>
      </c>
      <c r="I114" s="40">
        <v>263</v>
      </c>
      <c r="J114" s="42">
        <v>5.2</v>
      </c>
    </row>
    <row r="115" spans="2:10" ht="13.15" customHeight="1" x14ac:dyDescent="0.35">
      <c r="B115" s="46">
        <v>26207</v>
      </c>
      <c r="C115" s="40">
        <v>274</v>
      </c>
      <c r="D115" s="41" t="s">
        <v>436</v>
      </c>
      <c r="E115" s="41" t="s">
        <v>436</v>
      </c>
      <c r="F115" s="41" t="s">
        <v>436</v>
      </c>
      <c r="G115" s="41" t="s">
        <v>436</v>
      </c>
      <c r="H115" s="42">
        <v>5.3</v>
      </c>
      <c r="I115" s="40">
        <v>270</v>
      </c>
      <c r="J115" s="42">
        <v>5</v>
      </c>
    </row>
    <row r="116" spans="2:10" ht="13.15" customHeight="1" x14ac:dyDescent="0.35">
      <c r="B116" s="46">
        <v>26238</v>
      </c>
      <c r="C116" s="40">
        <v>284</v>
      </c>
      <c r="D116" s="41" t="s">
        <v>436</v>
      </c>
      <c r="E116" s="41" t="s">
        <v>436</v>
      </c>
      <c r="F116" s="41" t="s">
        <v>436</v>
      </c>
      <c r="G116" s="41" t="s">
        <v>436</v>
      </c>
      <c r="H116" s="42">
        <v>5.7</v>
      </c>
      <c r="I116" s="40">
        <v>278</v>
      </c>
      <c r="J116" s="42">
        <v>4.9000000000000004</v>
      </c>
    </row>
    <row r="117" spans="2:10" ht="13.15" customHeight="1" x14ac:dyDescent="0.35">
      <c r="B117" s="46">
        <v>26268</v>
      </c>
      <c r="C117" s="40">
        <v>294</v>
      </c>
      <c r="D117" s="41" t="s">
        <v>436</v>
      </c>
      <c r="E117" s="41" t="s">
        <v>436</v>
      </c>
      <c r="F117" s="41" t="s">
        <v>436</v>
      </c>
      <c r="G117" s="41" t="s">
        <v>436</v>
      </c>
      <c r="H117" s="42">
        <v>6.7</v>
      </c>
      <c r="I117" s="40">
        <v>287</v>
      </c>
      <c r="J117" s="42">
        <v>5.0999999999999996</v>
      </c>
    </row>
    <row r="118" spans="2:10" ht="13.15" customHeight="1" x14ac:dyDescent="0.35">
      <c r="B118" s="46">
        <v>26299</v>
      </c>
      <c r="C118" s="40">
        <v>295</v>
      </c>
      <c r="D118" s="41" t="s">
        <v>436</v>
      </c>
      <c r="E118" s="41" t="s">
        <v>436</v>
      </c>
      <c r="F118" s="41" t="s">
        <v>436</v>
      </c>
      <c r="G118" s="41" t="s">
        <v>436</v>
      </c>
      <c r="H118" s="42">
        <v>5.8</v>
      </c>
      <c r="I118" s="40">
        <v>296</v>
      </c>
      <c r="J118" s="42">
        <v>5.2</v>
      </c>
    </row>
    <row r="119" spans="2:10" ht="13.15" customHeight="1" x14ac:dyDescent="0.35">
      <c r="B119" s="46">
        <v>26330</v>
      </c>
      <c r="C119" s="40">
        <v>298</v>
      </c>
      <c r="D119" s="41" t="s">
        <v>436</v>
      </c>
      <c r="E119" s="41" t="s">
        <v>436</v>
      </c>
      <c r="F119" s="41" t="s">
        <v>436</v>
      </c>
      <c r="G119" s="41" t="s">
        <v>436</v>
      </c>
      <c r="H119" s="42">
        <v>5.3</v>
      </c>
      <c r="I119" s="40">
        <v>306</v>
      </c>
      <c r="J119" s="42">
        <v>5.4</v>
      </c>
    </row>
    <row r="120" spans="2:10" ht="13.15" customHeight="1" x14ac:dyDescent="0.35">
      <c r="B120" s="46">
        <v>26359</v>
      </c>
      <c r="C120" s="40">
        <v>312</v>
      </c>
      <c r="D120" s="41" t="s">
        <v>436</v>
      </c>
      <c r="E120" s="41" t="s">
        <v>436</v>
      </c>
      <c r="F120" s="41" t="s">
        <v>436</v>
      </c>
      <c r="G120" s="41" t="s">
        <v>436</v>
      </c>
      <c r="H120" s="42">
        <v>5.2</v>
      </c>
      <c r="I120" s="40">
        <v>318</v>
      </c>
      <c r="J120" s="42">
        <v>6.1</v>
      </c>
    </row>
    <row r="121" spans="2:10" ht="13.15" customHeight="1" x14ac:dyDescent="0.35">
      <c r="B121" s="46">
        <v>26390</v>
      </c>
      <c r="C121" s="40">
        <v>323</v>
      </c>
      <c r="D121" s="41" t="s">
        <v>436</v>
      </c>
      <c r="E121" s="41" t="s">
        <v>436</v>
      </c>
      <c r="F121" s="41" t="s">
        <v>436</v>
      </c>
      <c r="G121" s="41" t="s">
        <v>436</v>
      </c>
      <c r="H121" s="42">
        <v>5</v>
      </c>
      <c r="I121" s="40">
        <v>325</v>
      </c>
      <c r="J121" s="42">
        <v>5.8</v>
      </c>
    </row>
    <row r="122" spans="2:10" ht="13.15" customHeight="1" x14ac:dyDescent="0.35">
      <c r="B122" s="46">
        <v>26420</v>
      </c>
      <c r="C122" s="40">
        <v>338</v>
      </c>
      <c r="D122" s="41" t="s">
        <v>436</v>
      </c>
      <c r="E122" s="41" t="s">
        <v>436</v>
      </c>
      <c r="F122" s="41" t="s">
        <v>436</v>
      </c>
      <c r="G122" s="41" t="s">
        <v>436</v>
      </c>
      <c r="H122" s="42">
        <v>5.2</v>
      </c>
      <c r="I122" s="40">
        <v>338</v>
      </c>
      <c r="J122" s="42">
        <v>6.1</v>
      </c>
    </row>
    <row r="123" spans="2:10" ht="13.15" customHeight="1" x14ac:dyDescent="0.35">
      <c r="B123" s="46">
        <v>26451</v>
      </c>
      <c r="C123" s="40">
        <v>357</v>
      </c>
      <c r="D123" s="41" t="s">
        <v>436</v>
      </c>
      <c r="E123" s="41" t="s">
        <v>436</v>
      </c>
      <c r="F123" s="41" t="s">
        <v>436</v>
      </c>
      <c r="G123" s="41" t="s">
        <v>436</v>
      </c>
      <c r="H123" s="42">
        <v>5.6</v>
      </c>
      <c r="I123" s="40">
        <v>354</v>
      </c>
      <c r="J123" s="42">
        <v>6.3</v>
      </c>
    </row>
    <row r="124" spans="2:10" ht="13.15" customHeight="1" x14ac:dyDescent="0.35">
      <c r="B124" s="46">
        <v>26481</v>
      </c>
      <c r="C124" s="40">
        <v>361</v>
      </c>
      <c r="D124" s="41" t="s">
        <v>436</v>
      </c>
      <c r="E124" s="41" t="s">
        <v>436</v>
      </c>
      <c r="F124" s="41" t="s">
        <v>436</v>
      </c>
      <c r="G124" s="41" t="s">
        <v>436</v>
      </c>
      <c r="H124" s="42">
        <v>5.8</v>
      </c>
      <c r="I124" s="40">
        <v>360</v>
      </c>
      <c r="J124" s="42">
        <v>6.3</v>
      </c>
    </row>
    <row r="125" spans="2:10" ht="13.15" customHeight="1" x14ac:dyDescent="0.35">
      <c r="B125" s="46">
        <v>26512</v>
      </c>
      <c r="C125" s="40">
        <v>375</v>
      </c>
      <c r="D125" s="41" t="s">
        <v>436</v>
      </c>
      <c r="E125" s="41" t="s">
        <v>436</v>
      </c>
      <c r="F125" s="41" t="s">
        <v>436</v>
      </c>
      <c r="G125" s="41" t="s">
        <v>436</v>
      </c>
      <c r="H125" s="42">
        <v>5.2</v>
      </c>
      <c r="I125" s="40">
        <v>375</v>
      </c>
      <c r="J125" s="42">
        <v>6</v>
      </c>
    </row>
    <row r="126" spans="2:10" ht="13.15" customHeight="1" x14ac:dyDescent="0.35">
      <c r="B126" s="46">
        <v>26543</v>
      </c>
      <c r="C126" s="40">
        <v>383</v>
      </c>
      <c r="D126" s="41" t="s">
        <v>436</v>
      </c>
      <c r="E126" s="41" t="s">
        <v>436</v>
      </c>
      <c r="F126" s="41" t="s">
        <v>436</v>
      </c>
      <c r="G126" s="41" t="s">
        <v>436</v>
      </c>
      <c r="H126" s="42">
        <v>6.3</v>
      </c>
      <c r="I126" s="40">
        <v>382</v>
      </c>
      <c r="J126" s="42">
        <v>6.2</v>
      </c>
    </row>
    <row r="127" spans="2:10" ht="13.15" customHeight="1" x14ac:dyDescent="0.35">
      <c r="B127" s="46">
        <v>26573</v>
      </c>
      <c r="C127" s="40">
        <v>398</v>
      </c>
      <c r="D127" s="41" t="s">
        <v>436</v>
      </c>
      <c r="E127" s="41" t="s">
        <v>436</v>
      </c>
      <c r="F127" s="41" t="s">
        <v>436</v>
      </c>
      <c r="G127" s="41" t="s">
        <v>436</v>
      </c>
      <c r="H127" s="42">
        <v>6.1</v>
      </c>
      <c r="I127" s="40">
        <v>392</v>
      </c>
      <c r="J127" s="42">
        <v>5.7</v>
      </c>
    </row>
    <row r="128" spans="2:10" ht="13.15" customHeight="1" x14ac:dyDescent="0.35">
      <c r="B128" s="46">
        <v>26604</v>
      </c>
      <c r="C128" s="40">
        <v>408</v>
      </c>
      <c r="D128" s="41" t="s">
        <v>436</v>
      </c>
      <c r="E128" s="41" t="s">
        <v>436</v>
      </c>
      <c r="F128" s="41" t="s">
        <v>436</v>
      </c>
      <c r="G128" s="41" t="s">
        <v>436</v>
      </c>
      <c r="H128" s="42">
        <v>8.1</v>
      </c>
      <c r="I128" s="40">
        <v>400</v>
      </c>
      <c r="J128" s="42">
        <v>6.8</v>
      </c>
    </row>
    <row r="129" spans="2:10" ht="13.15" customHeight="1" x14ac:dyDescent="0.35">
      <c r="B129" s="46">
        <v>26634</v>
      </c>
      <c r="C129" s="40">
        <v>416</v>
      </c>
      <c r="D129" s="41" t="s">
        <v>436</v>
      </c>
      <c r="E129" s="41" t="s">
        <v>436</v>
      </c>
      <c r="F129" s="41" t="s">
        <v>436</v>
      </c>
      <c r="G129" s="41" t="s">
        <v>436</v>
      </c>
      <c r="H129" s="42">
        <v>8.9</v>
      </c>
      <c r="I129" s="40">
        <v>409</v>
      </c>
      <c r="J129" s="42">
        <v>6.5</v>
      </c>
    </row>
    <row r="130" spans="2:10" ht="13.15" customHeight="1" x14ac:dyDescent="0.35">
      <c r="B130" s="46">
        <v>26665</v>
      </c>
      <c r="C130" s="40">
        <v>412</v>
      </c>
      <c r="D130" s="41">
        <v>52</v>
      </c>
      <c r="E130" s="41">
        <v>69</v>
      </c>
      <c r="F130" s="41">
        <v>199</v>
      </c>
      <c r="G130" s="41">
        <v>93</v>
      </c>
      <c r="H130" s="42">
        <v>7.5</v>
      </c>
      <c r="I130" s="40">
        <v>414</v>
      </c>
      <c r="J130" s="42">
        <v>6.5</v>
      </c>
    </row>
    <row r="131" spans="2:10" ht="13.15" customHeight="1" x14ac:dyDescent="0.35">
      <c r="B131" s="46">
        <v>26696</v>
      </c>
      <c r="C131" s="40">
        <v>402</v>
      </c>
      <c r="D131" s="41">
        <v>50</v>
      </c>
      <c r="E131" s="41">
        <v>68</v>
      </c>
      <c r="F131" s="41">
        <v>195</v>
      </c>
      <c r="G131" s="41">
        <v>90</v>
      </c>
      <c r="H131" s="42">
        <v>6.7</v>
      </c>
      <c r="I131" s="40">
        <v>417</v>
      </c>
      <c r="J131" s="42">
        <v>6.8</v>
      </c>
    </row>
    <row r="132" spans="2:10" ht="13.15" customHeight="1" x14ac:dyDescent="0.35">
      <c r="B132" s="46">
        <v>26724</v>
      </c>
      <c r="C132" s="40">
        <v>408</v>
      </c>
      <c r="D132" s="41">
        <v>52</v>
      </c>
      <c r="E132" s="41">
        <v>66</v>
      </c>
      <c r="F132" s="41">
        <v>200</v>
      </c>
      <c r="G132" s="41">
        <v>90</v>
      </c>
      <c r="H132" s="42">
        <v>6</v>
      </c>
      <c r="I132" s="40">
        <v>415</v>
      </c>
      <c r="J132" s="42">
        <v>7</v>
      </c>
    </row>
    <row r="133" spans="2:10" ht="13.15" customHeight="1" x14ac:dyDescent="0.35">
      <c r="B133" s="46">
        <v>26755</v>
      </c>
      <c r="C133" s="40">
        <v>412</v>
      </c>
      <c r="D133" s="41">
        <v>53</v>
      </c>
      <c r="E133" s="41">
        <v>71</v>
      </c>
      <c r="F133" s="41">
        <v>197</v>
      </c>
      <c r="G133" s="41">
        <v>92</v>
      </c>
      <c r="H133" s="42">
        <v>6.6</v>
      </c>
      <c r="I133" s="40">
        <v>417</v>
      </c>
      <c r="J133" s="42">
        <v>7.7</v>
      </c>
    </row>
    <row r="134" spans="2:10" ht="13.15" customHeight="1" x14ac:dyDescent="0.35">
      <c r="B134" s="46">
        <v>26785</v>
      </c>
      <c r="C134" s="40">
        <v>416</v>
      </c>
      <c r="D134" s="41">
        <v>54</v>
      </c>
      <c r="E134" s="41">
        <v>75</v>
      </c>
      <c r="F134" s="41">
        <v>192</v>
      </c>
      <c r="G134" s="41">
        <v>95</v>
      </c>
      <c r="H134" s="42">
        <v>6.4</v>
      </c>
      <c r="I134" s="40">
        <v>417</v>
      </c>
      <c r="J134" s="42">
        <v>7.5</v>
      </c>
    </row>
    <row r="135" spans="2:10" ht="13.15" customHeight="1" x14ac:dyDescent="0.35">
      <c r="B135" s="46">
        <v>26816</v>
      </c>
      <c r="C135" s="40">
        <v>425</v>
      </c>
      <c r="D135" s="41">
        <v>55</v>
      </c>
      <c r="E135" s="41">
        <v>80</v>
      </c>
      <c r="F135" s="41">
        <v>191</v>
      </c>
      <c r="G135" s="41">
        <v>99</v>
      </c>
      <c r="H135" s="42">
        <v>6.9</v>
      </c>
      <c r="I135" s="40">
        <v>421</v>
      </c>
      <c r="J135" s="42">
        <v>7.8</v>
      </c>
    </row>
    <row r="136" spans="2:10" ht="13.15" customHeight="1" x14ac:dyDescent="0.35">
      <c r="B136" s="46">
        <v>26846</v>
      </c>
      <c r="C136" s="40">
        <v>432</v>
      </c>
      <c r="D136" s="41">
        <v>56</v>
      </c>
      <c r="E136" s="41">
        <v>87</v>
      </c>
      <c r="F136" s="41">
        <v>189</v>
      </c>
      <c r="G136" s="41">
        <v>101</v>
      </c>
      <c r="H136" s="42">
        <v>7.9</v>
      </c>
      <c r="I136" s="40">
        <v>429</v>
      </c>
      <c r="J136" s="42">
        <v>8.6999999999999993</v>
      </c>
    </row>
    <row r="137" spans="2:10" ht="13.15" customHeight="1" x14ac:dyDescent="0.35">
      <c r="B137" s="46">
        <v>26877</v>
      </c>
      <c r="C137" s="40">
        <v>433</v>
      </c>
      <c r="D137" s="41">
        <v>57</v>
      </c>
      <c r="E137" s="41">
        <v>87</v>
      </c>
      <c r="F137" s="41">
        <v>187</v>
      </c>
      <c r="G137" s="41">
        <v>102</v>
      </c>
      <c r="H137" s="42">
        <v>8.3000000000000007</v>
      </c>
      <c r="I137" s="40">
        <v>432</v>
      </c>
      <c r="J137" s="42">
        <v>9.4</v>
      </c>
    </row>
    <row r="138" spans="2:10" ht="13.15" customHeight="1" x14ac:dyDescent="0.35">
      <c r="B138" s="46">
        <v>26908</v>
      </c>
      <c r="C138" s="40">
        <v>427</v>
      </c>
      <c r="D138" s="41">
        <v>55</v>
      </c>
      <c r="E138" s="41">
        <v>85</v>
      </c>
      <c r="F138" s="41">
        <v>185</v>
      </c>
      <c r="G138" s="41">
        <v>102</v>
      </c>
      <c r="H138" s="42">
        <v>9.3000000000000007</v>
      </c>
      <c r="I138" s="40">
        <v>428</v>
      </c>
      <c r="J138" s="42">
        <v>9.5</v>
      </c>
    </row>
    <row r="139" spans="2:10" ht="13.15" customHeight="1" x14ac:dyDescent="0.35">
      <c r="B139" s="46">
        <v>26938</v>
      </c>
      <c r="C139" s="40">
        <v>428</v>
      </c>
      <c r="D139" s="41">
        <v>57</v>
      </c>
      <c r="E139" s="41">
        <v>84</v>
      </c>
      <c r="F139" s="41">
        <v>183</v>
      </c>
      <c r="G139" s="41">
        <v>104</v>
      </c>
      <c r="H139" s="42">
        <v>10.1</v>
      </c>
      <c r="I139" s="40">
        <v>423</v>
      </c>
      <c r="J139" s="42">
        <v>9.4</v>
      </c>
    </row>
    <row r="140" spans="2:10" ht="13.15" customHeight="1" x14ac:dyDescent="0.35">
      <c r="B140" s="46">
        <v>26969</v>
      </c>
      <c r="C140" s="40">
        <v>425</v>
      </c>
      <c r="D140" s="41">
        <v>57</v>
      </c>
      <c r="E140" s="41">
        <v>84</v>
      </c>
      <c r="F140" s="41">
        <v>182</v>
      </c>
      <c r="G140" s="41">
        <v>101</v>
      </c>
      <c r="H140" s="42">
        <v>11.5</v>
      </c>
      <c r="I140" s="40">
        <v>417</v>
      </c>
      <c r="J140" s="42">
        <v>9.6</v>
      </c>
    </row>
    <row r="141" spans="2:10" ht="13.15" customHeight="1" x14ac:dyDescent="0.35">
      <c r="B141" s="46">
        <v>26999</v>
      </c>
      <c r="C141" s="40">
        <v>422</v>
      </c>
      <c r="D141" s="41">
        <v>59</v>
      </c>
      <c r="E141" s="41">
        <v>81</v>
      </c>
      <c r="F141" s="41">
        <v>181</v>
      </c>
      <c r="G141" s="41">
        <v>102</v>
      </c>
      <c r="H141" s="42">
        <v>14.1</v>
      </c>
      <c r="I141" s="40">
        <v>418</v>
      </c>
      <c r="J141" s="42">
        <v>10.1</v>
      </c>
    </row>
    <row r="142" spans="2:10" ht="13.15" customHeight="1" x14ac:dyDescent="0.35">
      <c r="B142" s="46">
        <v>27030</v>
      </c>
      <c r="C142" s="40">
        <v>413</v>
      </c>
      <c r="D142" s="41">
        <v>58</v>
      </c>
      <c r="E142" s="41">
        <v>76</v>
      </c>
      <c r="F142" s="41">
        <v>178</v>
      </c>
      <c r="G142" s="41">
        <v>101</v>
      </c>
      <c r="H142" s="42">
        <v>11.3</v>
      </c>
      <c r="I142" s="40">
        <v>414</v>
      </c>
      <c r="J142" s="42">
        <v>9.6999999999999993</v>
      </c>
    </row>
    <row r="143" spans="2:10" ht="13.15" customHeight="1" x14ac:dyDescent="0.35">
      <c r="B143" s="46">
        <v>27061</v>
      </c>
      <c r="C143" s="40">
        <v>405</v>
      </c>
      <c r="D143" s="41">
        <v>57</v>
      </c>
      <c r="E143" s="41">
        <v>72</v>
      </c>
      <c r="F143" s="41">
        <v>179</v>
      </c>
      <c r="G143" s="41">
        <v>97</v>
      </c>
      <c r="H143" s="42">
        <v>9.3000000000000007</v>
      </c>
      <c r="I143" s="40">
        <v>420</v>
      </c>
      <c r="J143" s="42">
        <v>9.6</v>
      </c>
    </row>
    <row r="144" spans="2:10" ht="13.15" customHeight="1" x14ac:dyDescent="0.35">
      <c r="B144" s="46">
        <v>27089</v>
      </c>
      <c r="C144" s="40">
        <v>402</v>
      </c>
      <c r="D144" s="41">
        <v>56</v>
      </c>
      <c r="E144" s="41">
        <v>71</v>
      </c>
      <c r="F144" s="41">
        <v>178</v>
      </c>
      <c r="G144" s="41">
        <v>97</v>
      </c>
      <c r="H144" s="42">
        <v>7.4</v>
      </c>
      <c r="I144" s="40">
        <v>410</v>
      </c>
      <c r="J144" s="42">
        <v>8.8000000000000007</v>
      </c>
    </row>
    <row r="145" spans="2:10" ht="13.15" customHeight="1" x14ac:dyDescent="0.35">
      <c r="B145" s="46">
        <v>27120</v>
      </c>
      <c r="C145" s="40">
        <v>403</v>
      </c>
      <c r="D145" s="41">
        <v>56</v>
      </c>
      <c r="E145" s="41">
        <v>71</v>
      </c>
      <c r="F145" s="41">
        <v>179</v>
      </c>
      <c r="G145" s="41">
        <v>97</v>
      </c>
      <c r="H145" s="42">
        <v>7.7</v>
      </c>
      <c r="I145" s="40">
        <v>407</v>
      </c>
      <c r="J145" s="42">
        <v>9.1</v>
      </c>
    </row>
    <row r="146" spans="2:10" ht="13.15" customHeight="1" x14ac:dyDescent="0.35">
      <c r="B146" s="46">
        <v>27150</v>
      </c>
      <c r="C146" s="40">
        <v>396</v>
      </c>
      <c r="D146" s="41">
        <v>54</v>
      </c>
      <c r="E146" s="41">
        <v>68</v>
      </c>
      <c r="F146" s="41">
        <v>178</v>
      </c>
      <c r="G146" s="41">
        <v>96</v>
      </c>
      <c r="H146" s="42">
        <v>6.8</v>
      </c>
      <c r="I146" s="40">
        <v>399</v>
      </c>
      <c r="J146" s="42">
        <v>8</v>
      </c>
    </row>
    <row r="147" spans="2:10" ht="13.15" customHeight="1" x14ac:dyDescent="0.35">
      <c r="B147" s="46">
        <v>27181</v>
      </c>
      <c r="C147" s="40">
        <v>393</v>
      </c>
      <c r="D147" s="41">
        <v>54</v>
      </c>
      <c r="E147" s="41">
        <v>69</v>
      </c>
      <c r="F147" s="41">
        <v>173</v>
      </c>
      <c r="G147" s="41">
        <v>96</v>
      </c>
      <c r="H147" s="42">
        <v>7.8</v>
      </c>
      <c r="I147" s="40">
        <v>392</v>
      </c>
      <c r="J147" s="42">
        <v>8.9</v>
      </c>
    </row>
    <row r="148" spans="2:10" ht="13.15" customHeight="1" x14ac:dyDescent="0.35">
      <c r="B148" s="46">
        <v>27211</v>
      </c>
      <c r="C148" s="40">
        <v>383</v>
      </c>
      <c r="D148" s="41">
        <v>52</v>
      </c>
      <c r="E148" s="41">
        <v>70</v>
      </c>
      <c r="F148" s="41">
        <v>166</v>
      </c>
      <c r="G148" s="41">
        <v>94</v>
      </c>
      <c r="H148" s="42">
        <v>8</v>
      </c>
      <c r="I148" s="40">
        <v>380</v>
      </c>
      <c r="J148" s="42">
        <v>8.8000000000000007</v>
      </c>
    </row>
    <row r="149" spans="2:10" ht="13.15" customHeight="1" x14ac:dyDescent="0.35">
      <c r="B149" s="46">
        <v>27242</v>
      </c>
      <c r="C149" s="40">
        <v>376</v>
      </c>
      <c r="D149" s="41">
        <v>51</v>
      </c>
      <c r="E149" s="41">
        <v>67</v>
      </c>
      <c r="F149" s="41">
        <v>167</v>
      </c>
      <c r="G149" s="41">
        <v>91</v>
      </c>
      <c r="H149" s="42">
        <v>8.3000000000000007</v>
      </c>
      <c r="I149" s="40">
        <v>373</v>
      </c>
      <c r="J149" s="42">
        <v>9.3000000000000007</v>
      </c>
    </row>
    <row r="150" spans="2:10" ht="13.15" customHeight="1" x14ac:dyDescent="0.35">
      <c r="B150" s="46">
        <v>27273</v>
      </c>
      <c r="C150" s="40">
        <v>362</v>
      </c>
      <c r="D150" s="41">
        <v>50</v>
      </c>
      <c r="E150" s="41">
        <v>66</v>
      </c>
      <c r="F150" s="41">
        <v>160</v>
      </c>
      <c r="G150" s="41">
        <v>86</v>
      </c>
      <c r="H150" s="42">
        <v>8.8000000000000007</v>
      </c>
      <c r="I150" s="40">
        <v>362</v>
      </c>
      <c r="J150" s="42">
        <v>9.1</v>
      </c>
    </row>
    <row r="151" spans="2:10" ht="13.15" customHeight="1" x14ac:dyDescent="0.35">
      <c r="B151" s="46">
        <v>27303</v>
      </c>
      <c r="C151" s="40">
        <v>361</v>
      </c>
      <c r="D151" s="41">
        <v>51</v>
      </c>
      <c r="E151" s="41">
        <v>68</v>
      </c>
      <c r="F151" s="41">
        <v>158</v>
      </c>
      <c r="G151" s="41">
        <v>84</v>
      </c>
      <c r="H151" s="42">
        <v>10.7</v>
      </c>
      <c r="I151" s="40">
        <v>356</v>
      </c>
      <c r="J151" s="42">
        <v>9.8000000000000007</v>
      </c>
    </row>
    <row r="152" spans="2:10" ht="13.15" customHeight="1" x14ac:dyDescent="0.35">
      <c r="B152" s="46">
        <v>27334</v>
      </c>
      <c r="C152" s="40">
        <v>355</v>
      </c>
      <c r="D152" s="41">
        <v>50</v>
      </c>
      <c r="E152" s="41">
        <v>68</v>
      </c>
      <c r="F152" s="41">
        <v>154</v>
      </c>
      <c r="G152" s="41">
        <v>83</v>
      </c>
      <c r="H152" s="42">
        <v>11.7</v>
      </c>
      <c r="I152" s="40">
        <v>350</v>
      </c>
      <c r="J152" s="42">
        <v>9.6999999999999993</v>
      </c>
    </row>
    <row r="153" spans="2:10" ht="13.15" customHeight="1" x14ac:dyDescent="0.35">
      <c r="B153" s="46">
        <v>27364</v>
      </c>
      <c r="C153" s="40">
        <v>350</v>
      </c>
      <c r="D153" s="41">
        <v>50</v>
      </c>
      <c r="E153" s="41">
        <v>68</v>
      </c>
      <c r="F153" s="41">
        <v>150</v>
      </c>
      <c r="G153" s="41">
        <v>82</v>
      </c>
      <c r="H153" s="42">
        <v>14.4</v>
      </c>
      <c r="I153" s="40">
        <v>346</v>
      </c>
      <c r="J153" s="42">
        <v>10.3</v>
      </c>
    </row>
    <row r="154" spans="2:10" ht="13.15" customHeight="1" x14ac:dyDescent="0.35">
      <c r="B154" s="46">
        <v>27395</v>
      </c>
      <c r="C154" s="40">
        <v>345</v>
      </c>
      <c r="D154" s="41">
        <v>48</v>
      </c>
      <c r="E154" s="41">
        <v>67</v>
      </c>
      <c r="F154" s="41">
        <v>150</v>
      </c>
      <c r="G154" s="41">
        <v>80</v>
      </c>
      <c r="H154" s="42">
        <v>11.7</v>
      </c>
      <c r="I154" s="40">
        <v>347</v>
      </c>
      <c r="J154" s="42">
        <v>9.9</v>
      </c>
    </row>
    <row r="155" spans="2:10" ht="13.15" customHeight="1" x14ac:dyDescent="0.35">
      <c r="B155" s="46">
        <v>27426</v>
      </c>
      <c r="C155" s="40">
        <v>339</v>
      </c>
      <c r="D155" s="41">
        <v>47</v>
      </c>
      <c r="E155" s="41">
        <v>65</v>
      </c>
      <c r="F155" s="41">
        <v>148</v>
      </c>
      <c r="G155" s="41">
        <v>79</v>
      </c>
      <c r="H155" s="42">
        <v>10</v>
      </c>
      <c r="I155" s="40">
        <v>351</v>
      </c>
      <c r="J155" s="42">
        <v>10.4</v>
      </c>
    </row>
    <row r="156" spans="2:10" ht="13.15" customHeight="1" x14ac:dyDescent="0.35">
      <c r="B156" s="46">
        <v>27454</v>
      </c>
      <c r="C156" s="40">
        <v>330</v>
      </c>
      <c r="D156" s="41">
        <v>45</v>
      </c>
      <c r="E156" s="41">
        <v>63</v>
      </c>
      <c r="F156" s="41">
        <v>145</v>
      </c>
      <c r="G156" s="41">
        <v>77</v>
      </c>
      <c r="H156" s="42">
        <v>7.5</v>
      </c>
      <c r="I156" s="40">
        <v>337</v>
      </c>
      <c r="J156" s="42">
        <v>8.9</v>
      </c>
    </row>
    <row r="157" spans="2:10" ht="13.15" customHeight="1" x14ac:dyDescent="0.35">
      <c r="B157" s="46">
        <v>27485</v>
      </c>
      <c r="C157" s="40">
        <v>325</v>
      </c>
      <c r="D157" s="41">
        <v>46</v>
      </c>
      <c r="E157" s="41">
        <v>62</v>
      </c>
      <c r="F157" s="41">
        <v>141</v>
      </c>
      <c r="G157" s="41">
        <v>76</v>
      </c>
      <c r="H157" s="42">
        <v>6</v>
      </c>
      <c r="I157" s="40">
        <v>329</v>
      </c>
      <c r="J157" s="42">
        <v>7.2</v>
      </c>
    </row>
    <row r="158" spans="2:10" ht="13.15" customHeight="1" x14ac:dyDescent="0.35">
      <c r="B158" s="46">
        <v>27515</v>
      </c>
      <c r="C158" s="40">
        <v>321</v>
      </c>
      <c r="D158" s="41">
        <v>45</v>
      </c>
      <c r="E158" s="41">
        <v>63</v>
      </c>
      <c r="F158" s="41">
        <v>138</v>
      </c>
      <c r="G158" s="41">
        <v>76</v>
      </c>
      <c r="H158" s="42">
        <v>5.7</v>
      </c>
      <c r="I158" s="40">
        <v>323</v>
      </c>
      <c r="J158" s="42">
        <v>6.8</v>
      </c>
    </row>
    <row r="159" spans="2:10" ht="13.15" customHeight="1" x14ac:dyDescent="0.35">
      <c r="B159" s="46">
        <v>27546</v>
      </c>
      <c r="C159" s="40">
        <v>321</v>
      </c>
      <c r="D159" s="41">
        <v>43</v>
      </c>
      <c r="E159" s="41">
        <v>63</v>
      </c>
      <c r="F159" s="41">
        <v>141</v>
      </c>
      <c r="G159" s="41">
        <v>74</v>
      </c>
      <c r="H159" s="42">
        <v>6.3</v>
      </c>
      <c r="I159" s="40">
        <v>320</v>
      </c>
      <c r="J159" s="42">
        <v>7.2</v>
      </c>
    </row>
    <row r="160" spans="2:10" ht="13.15" customHeight="1" x14ac:dyDescent="0.35">
      <c r="B160" s="46">
        <v>27576</v>
      </c>
      <c r="C160" s="40">
        <v>323</v>
      </c>
      <c r="D160" s="41">
        <v>43</v>
      </c>
      <c r="E160" s="41">
        <v>64</v>
      </c>
      <c r="F160" s="41">
        <v>141</v>
      </c>
      <c r="G160" s="41">
        <v>74</v>
      </c>
      <c r="H160" s="42">
        <v>6.4</v>
      </c>
      <c r="I160" s="40">
        <v>319</v>
      </c>
      <c r="J160" s="42">
        <v>7</v>
      </c>
    </row>
    <row r="161" spans="2:10" ht="13.15" customHeight="1" x14ac:dyDescent="0.35">
      <c r="B161" s="46">
        <v>27607</v>
      </c>
      <c r="C161" s="40">
        <v>320</v>
      </c>
      <c r="D161" s="41">
        <v>44</v>
      </c>
      <c r="E161" s="41">
        <v>64</v>
      </c>
      <c r="F161" s="41">
        <v>140</v>
      </c>
      <c r="G161" s="41">
        <v>73</v>
      </c>
      <c r="H161" s="42">
        <v>6.1</v>
      </c>
      <c r="I161" s="40">
        <v>319</v>
      </c>
      <c r="J161" s="42">
        <v>6.8</v>
      </c>
    </row>
    <row r="162" spans="2:10" ht="13.15" customHeight="1" x14ac:dyDescent="0.35">
      <c r="B162" s="46">
        <v>27638</v>
      </c>
      <c r="C162" s="40">
        <v>321</v>
      </c>
      <c r="D162" s="41">
        <v>44</v>
      </c>
      <c r="E162" s="41">
        <v>65</v>
      </c>
      <c r="F162" s="41">
        <v>140</v>
      </c>
      <c r="G162" s="41">
        <v>72</v>
      </c>
      <c r="H162" s="42">
        <v>7</v>
      </c>
      <c r="I162" s="40">
        <v>319</v>
      </c>
      <c r="J162" s="42">
        <v>7.3</v>
      </c>
    </row>
    <row r="163" spans="2:10" ht="13.15" customHeight="1" x14ac:dyDescent="0.35">
      <c r="B163" s="46">
        <v>27668</v>
      </c>
      <c r="C163" s="40">
        <v>330</v>
      </c>
      <c r="D163" s="41">
        <v>44</v>
      </c>
      <c r="E163" s="41">
        <v>69</v>
      </c>
      <c r="F163" s="41">
        <v>142</v>
      </c>
      <c r="G163" s="41">
        <v>74</v>
      </c>
      <c r="H163" s="42">
        <v>7.2</v>
      </c>
      <c r="I163" s="40">
        <v>324</v>
      </c>
      <c r="J163" s="42">
        <v>6.6</v>
      </c>
    </row>
    <row r="164" spans="2:10" ht="13.15" customHeight="1" x14ac:dyDescent="0.35">
      <c r="B164" s="46">
        <v>27699</v>
      </c>
      <c r="C164" s="40">
        <v>319</v>
      </c>
      <c r="D164" s="41">
        <v>44</v>
      </c>
      <c r="E164" s="41">
        <v>68</v>
      </c>
      <c r="F164" s="41">
        <v>135</v>
      </c>
      <c r="G164" s="41">
        <v>73</v>
      </c>
      <c r="H164" s="42">
        <v>7</v>
      </c>
      <c r="I164" s="40">
        <v>316</v>
      </c>
      <c r="J164" s="42">
        <v>5.8</v>
      </c>
    </row>
    <row r="165" spans="2:10" ht="13.15" customHeight="1" x14ac:dyDescent="0.35">
      <c r="B165" s="46">
        <v>27729</v>
      </c>
      <c r="C165" s="40">
        <v>316</v>
      </c>
      <c r="D165" s="41">
        <v>43</v>
      </c>
      <c r="E165" s="41">
        <v>66</v>
      </c>
      <c r="F165" s="41">
        <v>133</v>
      </c>
      <c r="G165" s="41">
        <v>74</v>
      </c>
      <c r="H165" s="42">
        <v>8.1</v>
      </c>
      <c r="I165" s="40">
        <v>313</v>
      </c>
      <c r="J165" s="42">
        <v>5.8</v>
      </c>
    </row>
    <row r="166" spans="2:10" ht="13.15" customHeight="1" x14ac:dyDescent="0.35">
      <c r="B166" s="46">
        <v>27760</v>
      </c>
      <c r="C166" s="40">
        <v>311</v>
      </c>
      <c r="D166" s="41">
        <v>42</v>
      </c>
      <c r="E166" s="41">
        <v>62</v>
      </c>
      <c r="F166" s="41">
        <v>133</v>
      </c>
      <c r="G166" s="41">
        <v>74</v>
      </c>
      <c r="H166" s="42">
        <v>7.5</v>
      </c>
      <c r="I166" s="40">
        <v>312</v>
      </c>
      <c r="J166" s="42">
        <v>6.4</v>
      </c>
    </row>
    <row r="167" spans="2:10" ht="13.15" customHeight="1" x14ac:dyDescent="0.35">
      <c r="B167" s="46">
        <v>27791</v>
      </c>
      <c r="C167" s="40">
        <v>306</v>
      </c>
      <c r="D167" s="41">
        <v>41</v>
      </c>
      <c r="E167" s="41">
        <v>60</v>
      </c>
      <c r="F167" s="41">
        <v>135</v>
      </c>
      <c r="G167" s="41">
        <v>70</v>
      </c>
      <c r="H167" s="42">
        <v>5.7</v>
      </c>
      <c r="I167" s="40">
        <v>308</v>
      </c>
      <c r="J167" s="42">
        <v>5.9</v>
      </c>
    </row>
    <row r="168" spans="2:10" ht="13.15" customHeight="1" x14ac:dyDescent="0.35">
      <c r="B168" s="46">
        <v>27820</v>
      </c>
      <c r="C168" s="40">
        <v>314</v>
      </c>
      <c r="D168" s="41">
        <v>42</v>
      </c>
      <c r="E168" s="41">
        <v>61</v>
      </c>
      <c r="F168" s="41">
        <v>140</v>
      </c>
      <c r="G168" s="41">
        <v>71</v>
      </c>
      <c r="H168" s="42">
        <v>5.7</v>
      </c>
      <c r="I168" s="40">
        <v>320</v>
      </c>
      <c r="J168" s="42">
        <v>6.8</v>
      </c>
    </row>
    <row r="169" spans="2:10" ht="13.15" customHeight="1" x14ac:dyDescent="0.35">
      <c r="B169" s="46">
        <v>27851</v>
      </c>
      <c r="C169" s="40">
        <v>320</v>
      </c>
      <c r="D169" s="41">
        <v>42</v>
      </c>
      <c r="E169" s="41">
        <v>64</v>
      </c>
      <c r="F169" s="41">
        <v>142</v>
      </c>
      <c r="G169" s="41">
        <v>72</v>
      </c>
      <c r="H169" s="42">
        <v>5.2</v>
      </c>
      <c r="I169" s="40">
        <v>322</v>
      </c>
      <c r="J169" s="42">
        <v>6.4</v>
      </c>
    </row>
    <row r="170" spans="2:10" ht="13.15" customHeight="1" x14ac:dyDescent="0.35">
      <c r="B170" s="46">
        <v>27881</v>
      </c>
      <c r="C170" s="40">
        <v>326</v>
      </c>
      <c r="D170" s="41">
        <v>42</v>
      </c>
      <c r="E170" s="41">
        <v>63</v>
      </c>
      <c r="F170" s="41">
        <v>144</v>
      </c>
      <c r="G170" s="41">
        <v>76</v>
      </c>
      <c r="H170" s="42">
        <v>5.9</v>
      </c>
      <c r="I170" s="40">
        <v>331</v>
      </c>
      <c r="J170" s="42">
        <v>7</v>
      </c>
    </row>
    <row r="171" spans="2:10" ht="13.15" customHeight="1" x14ac:dyDescent="0.35">
      <c r="B171" s="46">
        <v>27912</v>
      </c>
      <c r="C171" s="40">
        <v>336</v>
      </c>
      <c r="D171" s="41">
        <v>43</v>
      </c>
      <c r="E171" s="41">
        <v>67</v>
      </c>
      <c r="F171" s="41">
        <v>147</v>
      </c>
      <c r="G171" s="41">
        <v>79</v>
      </c>
      <c r="H171" s="42">
        <v>6.1</v>
      </c>
      <c r="I171" s="40">
        <v>335</v>
      </c>
      <c r="J171" s="42">
        <v>6.9</v>
      </c>
    </row>
    <row r="172" spans="2:10" ht="13.15" customHeight="1" x14ac:dyDescent="0.35">
      <c r="B172" s="46">
        <v>27942</v>
      </c>
      <c r="C172" s="40">
        <v>343</v>
      </c>
      <c r="D172" s="41">
        <v>42</v>
      </c>
      <c r="E172" s="41">
        <v>68</v>
      </c>
      <c r="F172" s="41">
        <v>151</v>
      </c>
      <c r="G172" s="41">
        <v>81</v>
      </c>
      <c r="H172" s="42">
        <v>6.1</v>
      </c>
      <c r="I172" s="40">
        <v>338</v>
      </c>
      <c r="J172" s="42">
        <v>6.4</v>
      </c>
    </row>
    <row r="173" spans="2:10" ht="13.15" customHeight="1" x14ac:dyDescent="0.35">
      <c r="B173" s="46">
        <v>27973</v>
      </c>
      <c r="C173" s="40">
        <v>338</v>
      </c>
      <c r="D173" s="41">
        <v>42</v>
      </c>
      <c r="E173" s="41">
        <v>67</v>
      </c>
      <c r="F173" s="41">
        <v>145</v>
      </c>
      <c r="G173" s="41">
        <v>83</v>
      </c>
      <c r="H173" s="42">
        <v>5.7</v>
      </c>
      <c r="I173" s="40">
        <v>336</v>
      </c>
      <c r="J173" s="42">
        <v>6.2</v>
      </c>
    </row>
    <row r="174" spans="2:10" ht="13.15" customHeight="1" x14ac:dyDescent="0.35">
      <c r="B174" s="46">
        <v>28004</v>
      </c>
      <c r="C174" s="40">
        <v>341</v>
      </c>
      <c r="D174" s="41">
        <v>45</v>
      </c>
      <c r="E174" s="41">
        <v>66</v>
      </c>
      <c r="F174" s="41">
        <v>149</v>
      </c>
      <c r="G174" s="41">
        <v>81</v>
      </c>
      <c r="H174" s="42">
        <v>5.9</v>
      </c>
      <c r="I174" s="40">
        <v>340</v>
      </c>
      <c r="J174" s="42">
        <v>6.2</v>
      </c>
    </row>
    <row r="175" spans="2:10" ht="13.15" customHeight="1" x14ac:dyDescent="0.35">
      <c r="B175" s="46">
        <v>28034</v>
      </c>
      <c r="C175" s="40">
        <v>349</v>
      </c>
      <c r="D175" s="41">
        <v>45</v>
      </c>
      <c r="E175" s="41">
        <v>68</v>
      </c>
      <c r="F175" s="41">
        <v>154</v>
      </c>
      <c r="G175" s="41">
        <v>83</v>
      </c>
      <c r="H175" s="42">
        <v>6.4</v>
      </c>
      <c r="I175" s="40">
        <v>344</v>
      </c>
      <c r="J175" s="42">
        <v>5.8</v>
      </c>
    </row>
    <row r="176" spans="2:10" ht="13.15" customHeight="1" x14ac:dyDescent="0.35">
      <c r="B176" s="46">
        <v>28065</v>
      </c>
      <c r="C176" s="40">
        <v>357</v>
      </c>
      <c r="D176" s="41">
        <v>45</v>
      </c>
      <c r="E176" s="41">
        <v>71</v>
      </c>
      <c r="F176" s="41">
        <v>155</v>
      </c>
      <c r="G176" s="41">
        <v>86</v>
      </c>
      <c r="H176" s="42">
        <v>7.3</v>
      </c>
      <c r="I176" s="40">
        <v>349</v>
      </c>
      <c r="J176" s="42">
        <v>6</v>
      </c>
    </row>
    <row r="177" spans="2:10" ht="13.15" customHeight="1" x14ac:dyDescent="0.35">
      <c r="B177" s="46">
        <v>28095</v>
      </c>
      <c r="C177" s="40">
        <v>358</v>
      </c>
      <c r="D177" s="41">
        <v>45</v>
      </c>
      <c r="E177" s="41">
        <v>68</v>
      </c>
      <c r="F177" s="41">
        <v>154</v>
      </c>
      <c r="G177" s="41">
        <v>91</v>
      </c>
      <c r="H177" s="42">
        <v>7.7</v>
      </c>
      <c r="I177" s="40">
        <v>353</v>
      </c>
      <c r="J177" s="42">
        <v>5.6</v>
      </c>
    </row>
    <row r="178" spans="2:10" ht="13.15" customHeight="1" x14ac:dyDescent="0.35">
      <c r="B178" s="46">
        <v>28126</v>
      </c>
      <c r="C178" s="40">
        <v>349</v>
      </c>
      <c r="D178" s="41">
        <v>43</v>
      </c>
      <c r="E178" s="41">
        <v>64</v>
      </c>
      <c r="F178" s="41">
        <v>151</v>
      </c>
      <c r="G178" s="41">
        <v>91</v>
      </c>
      <c r="H178" s="42">
        <v>6.2</v>
      </c>
      <c r="I178" s="40">
        <v>354</v>
      </c>
      <c r="J178" s="42">
        <v>5.3</v>
      </c>
    </row>
    <row r="179" spans="2:10" ht="13.15" customHeight="1" x14ac:dyDescent="0.35">
      <c r="B179" s="46">
        <v>28157</v>
      </c>
      <c r="C179" s="40">
        <v>342</v>
      </c>
      <c r="D179" s="41">
        <v>43</v>
      </c>
      <c r="E179" s="41">
        <v>61</v>
      </c>
      <c r="F179" s="41">
        <v>151</v>
      </c>
      <c r="G179" s="41">
        <v>88</v>
      </c>
      <c r="H179" s="42">
        <v>5</v>
      </c>
      <c r="I179" s="40">
        <v>357</v>
      </c>
      <c r="J179" s="42">
        <v>5.0999999999999996</v>
      </c>
    </row>
    <row r="180" spans="2:10" ht="13.15" customHeight="1" x14ac:dyDescent="0.35">
      <c r="B180" s="46">
        <v>28185</v>
      </c>
      <c r="C180" s="40">
        <v>353</v>
      </c>
      <c r="D180" s="41">
        <v>47</v>
      </c>
      <c r="E180" s="41">
        <v>64</v>
      </c>
      <c r="F180" s="41">
        <v>153</v>
      </c>
      <c r="G180" s="41">
        <v>89</v>
      </c>
      <c r="H180" s="42">
        <v>4.2</v>
      </c>
      <c r="I180" s="40">
        <v>359</v>
      </c>
      <c r="J180" s="42">
        <v>5</v>
      </c>
    </row>
    <row r="181" spans="2:10" ht="13.15" customHeight="1" x14ac:dyDescent="0.35">
      <c r="B181" s="46">
        <v>28216</v>
      </c>
      <c r="C181" s="40">
        <v>358</v>
      </c>
      <c r="D181" s="41">
        <v>46</v>
      </c>
      <c r="E181" s="41">
        <v>66</v>
      </c>
      <c r="F181" s="41">
        <v>155</v>
      </c>
      <c r="G181" s="41">
        <v>92</v>
      </c>
      <c r="H181" s="42">
        <v>4.5</v>
      </c>
      <c r="I181" s="40">
        <v>362</v>
      </c>
      <c r="J181" s="42">
        <v>5.5</v>
      </c>
    </row>
    <row r="182" spans="2:10" ht="13.15" customHeight="1" x14ac:dyDescent="0.35">
      <c r="B182" s="46">
        <v>28246</v>
      </c>
      <c r="C182" s="40">
        <v>360</v>
      </c>
      <c r="D182" s="41">
        <v>45</v>
      </c>
      <c r="E182" s="41">
        <v>66</v>
      </c>
      <c r="F182" s="41">
        <v>156</v>
      </c>
      <c r="G182" s="41">
        <v>94</v>
      </c>
      <c r="H182" s="42">
        <v>4.5999999999999996</v>
      </c>
      <c r="I182" s="40">
        <v>364</v>
      </c>
      <c r="J182" s="42">
        <v>5.4</v>
      </c>
    </row>
    <row r="183" spans="2:10" ht="13.15" customHeight="1" x14ac:dyDescent="0.35">
      <c r="B183" s="46">
        <v>28277</v>
      </c>
      <c r="C183" s="40">
        <v>369</v>
      </c>
      <c r="D183" s="41">
        <v>45</v>
      </c>
      <c r="E183" s="41">
        <v>67</v>
      </c>
      <c r="F183" s="41">
        <v>157</v>
      </c>
      <c r="G183" s="41">
        <v>100</v>
      </c>
      <c r="H183" s="42">
        <v>5</v>
      </c>
      <c r="I183" s="40">
        <v>368</v>
      </c>
      <c r="J183" s="42">
        <v>5.5</v>
      </c>
    </row>
    <row r="184" spans="2:10" ht="13.15" customHeight="1" x14ac:dyDescent="0.35">
      <c r="B184" s="46">
        <v>28307</v>
      </c>
      <c r="C184" s="40">
        <v>379</v>
      </c>
      <c r="D184" s="41">
        <v>46</v>
      </c>
      <c r="E184" s="41">
        <v>68</v>
      </c>
      <c r="F184" s="41">
        <v>159</v>
      </c>
      <c r="G184" s="41">
        <v>105</v>
      </c>
      <c r="H184" s="42">
        <v>5.9</v>
      </c>
      <c r="I184" s="40">
        <v>375</v>
      </c>
      <c r="J184" s="42">
        <v>6.1</v>
      </c>
    </row>
    <row r="185" spans="2:10" ht="13.15" customHeight="1" x14ac:dyDescent="0.35">
      <c r="B185" s="46">
        <v>28338</v>
      </c>
      <c r="C185" s="40">
        <v>390</v>
      </c>
      <c r="D185" s="41">
        <v>46</v>
      </c>
      <c r="E185" s="41">
        <v>71</v>
      </c>
      <c r="F185" s="41">
        <v>164</v>
      </c>
      <c r="G185" s="41">
        <v>110</v>
      </c>
      <c r="H185" s="42">
        <v>5.3</v>
      </c>
      <c r="I185" s="40">
        <v>387</v>
      </c>
      <c r="J185" s="42">
        <v>5.8</v>
      </c>
    </row>
    <row r="186" spans="2:10" ht="13.15" customHeight="1" x14ac:dyDescent="0.35">
      <c r="B186" s="46">
        <v>28369</v>
      </c>
      <c r="C186" s="40">
        <v>392</v>
      </c>
      <c r="D186" s="41">
        <v>45</v>
      </c>
      <c r="E186" s="41">
        <v>73</v>
      </c>
      <c r="F186" s="41">
        <v>161</v>
      </c>
      <c r="G186" s="41">
        <v>113</v>
      </c>
      <c r="H186" s="42">
        <v>5.5</v>
      </c>
      <c r="I186" s="40">
        <v>388</v>
      </c>
      <c r="J186" s="42">
        <v>5.9</v>
      </c>
    </row>
    <row r="187" spans="2:10" ht="13.15" customHeight="1" x14ac:dyDescent="0.35">
      <c r="B187" s="46">
        <v>28399</v>
      </c>
      <c r="C187" s="40">
        <v>403</v>
      </c>
      <c r="D187" s="41">
        <v>46</v>
      </c>
      <c r="E187" s="41">
        <v>76</v>
      </c>
      <c r="F187" s="41">
        <v>165</v>
      </c>
      <c r="G187" s="41">
        <v>116</v>
      </c>
      <c r="H187" s="42">
        <v>6.4</v>
      </c>
      <c r="I187" s="40">
        <v>396</v>
      </c>
      <c r="J187" s="42">
        <v>6.1</v>
      </c>
    </row>
    <row r="188" spans="2:10" ht="13.15" customHeight="1" x14ac:dyDescent="0.35">
      <c r="B188" s="46">
        <v>28430</v>
      </c>
      <c r="C188" s="40">
        <v>408</v>
      </c>
      <c r="D188" s="41">
        <v>44</v>
      </c>
      <c r="E188" s="41">
        <v>76</v>
      </c>
      <c r="F188" s="41">
        <v>165</v>
      </c>
      <c r="G188" s="41">
        <v>122</v>
      </c>
      <c r="H188" s="42">
        <v>7.4</v>
      </c>
      <c r="I188" s="40">
        <v>400</v>
      </c>
      <c r="J188" s="42">
        <v>6</v>
      </c>
    </row>
    <row r="189" spans="2:10" ht="13.15" customHeight="1" x14ac:dyDescent="0.35">
      <c r="B189" s="46">
        <v>28460</v>
      </c>
      <c r="C189" s="40">
        <v>408</v>
      </c>
      <c r="D189" s="41">
        <v>44</v>
      </c>
      <c r="E189" s="41">
        <v>73</v>
      </c>
      <c r="F189" s="41">
        <v>168</v>
      </c>
      <c r="G189" s="41">
        <v>123</v>
      </c>
      <c r="H189" s="42">
        <v>8</v>
      </c>
      <c r="I189" s="40">
        <v>402</v>
      </c>
      <c r="J189" s="42">
        <v>6</v>
      </c>
    </row>
    <row r="190" spans="2:10" ht="13.15" customHeight="1" x14ac:dyDescent="0.35">
      <c r="B190" s="46">
        <v>28491</v>
      </c>
      <c r="C190" s="40">
        <v>401</v>
      </c>
      <c r="D190" s="41">
        <v>43</v>
      </c>
      <c r="E190" s="41">
        <v>71</v>
      </c>
      <c r="F190" s="41">
        <v>166</v>
      </c>
      <c r="G190" s="41">
        <v>122</v>
      </c>
      <c r="H190" s="42">
        <v>7</v>
      </c>
      <c r="I190" s="40">
        <v>404</v>
      </c>
      <c r="J190" s="42">
        <v>5.9</v>
      </c>
    </row>
    <row r="191" spans="2:10" ht="13.15" customHeight="1" x14ac:dyDescent="0.35">
      <c r="B191" s="46">
        <v>28522</v>
      </c>
      <c r="C191" s="40">
        <v>389</v>
      </c>
      <c r="D191" s="41">
        <v>40</v>
      </c>
      <c r="E191" s="41">
        <v>66</v>
      </c>
      <c r="F191" s="41">
        <v>164</v>
      </c>
      <c r="G191" s="41">
        <v>119</v>
      </c>
      <c r="H191" s="42">
        <v>6.2</v>
      </c>
      <c r="I191" s="40">
        <v>404</v>
      </c>
      <c r="J191" s="42">
        <v>6.3</v>
      </c>
    </row>
    <row r="192" spans="2:10" ht="13.15" customHeight="1" x14ac:dyDescent="0.35">
      <c r="B192" s="46">
        <v>28550</v>
      </c>
      <c r="C192" s="40">
        <v>398</v>
      </c>
      <c r="D192" s="41">
        <v>39</v>
      </c>
      <c r="E192" s="41">
        <v>67</v>
      </c>
      <c r="F192" s="41">
        <v>171</v>
      </c>
      <c r="G192" s="41">
        <v>121</v>
      </c>
      <c r="H192" s="42">
        <v>5.3</v>
      </c>
      <c r="I192" s="40">
        <v>404</v>
      </c>
      <c r="J192" s="42">
        <v>6.1</v>
      </c>
    </row>
    <row r="193" spans="2:10" ht="13.15" customHeight="1" x14ac:dyDescent="0.35">
      <c r="B193" s="46">
        <v>28581</v>
      </c>
      <c r="C193" s="40">
        <v>403</v>
      </c>
      <c r="D193" s="41">
        <v>40</v>
      </c>
      <c r="E193" s="41">
        <v>68</v>
      </c>
      <c r="F193" s="41">
        <v>174</v>
      </c>
      <c r="G193" s="41">
        <v>122</v>
      </c>
      <c r="H193" s="42">
        <v>4.8</v>
      </c>
      <c r="I193" s="40">
        <v>409</v>
      </c>
      <c r="J193" s="42">
        <v>5.8</v>
      </c>
    </row>
    <row r="194" spans="2:10" ht="13.15" customHeight="1" x14ac:dyDescent="0.35">
      <c r="B194" s="46">
        <v>28611</v>
      </c>
      <c r="C194" s="40">
        <v>408</v>
      </c>
      <c r="D194" s="41">
        <v>42</v>
      </c>
      <c r="E194" s="41">
        <v>71</v>
      </c>
      <c r="F194" s="41">
        <v>171</v>
      </c>
      <c r="G194" s="41">
        <v>124</v>
      </c>
      <c r="H194" s="42">
        <v>5.0999999999999996</v>
      </c>
      <c r="I194" s="40">
        <v>413</v>
      </c>
      <c r="J194" s="42">
        <v>5.9</v>
      </c>
    </row>
    <row r="195" spans="2:10" ht="13.15" customHeight="1" x14ac:dyDescent="0.35">
      <c r="B195" s="46">
        <v>28642</v>
      </c>
      <c r="C195" s="40">
        <v>422</v>
      </c>
      <c r="D195" s="41">
        <v>41</v>
      </c>
      <c r="E195" s="41">
        <v>76</v>
      </c>
      <c r="F195" s="41">
        <v>172</v>
      </c>
      <c r="G195" s="41">
        <v>133</v>
      </c>
      <c r="H195" s="42">
        <v>5.5</v>
      </c>
      <c r="I195" s="40">
        <v>419</v>
      </c>
      <c r="J195" s="42">
        <v>6.2</v>
      </c>
    </row>
    <row r="196" spans="2:10" ht="13.15" customHeight="1" x14ac:dyDescent="0.35">
      <c r="B196" s="46">
        <v>28672</v>
      </c>
      <c r="C196" s="40">
        <v>420</v>
      </c>
      <c r="D196" s="41">
        <v>41</v>
      </c>
      <c r="E196" s="41">
        <v>76</v>
      </c>
      <c r="F196" s="41">
        <v>171</v>
      </c>
      <c r="G196" s="41">
        <v>132</v>
      </c>
      <c r="H196" s="42">
        <v>6.2</v>
      </c>
      <c r="I196" s="40">
        <v>419</v>
      </c>
      <c r="J196" s="42">
        <v>6.6</v>
      </c>
    </row>
    <row r="197" spans="2:10" ht="13.15" customHeight="1" x14ac:dyDescent="0.35">
      <c r="B197" s="46">
        <v>28703</v>
      </c>
      <c r="C197" s="40">
        <v>421</v>
      </c>
      <c r="D197" s="41">
        <v>42</v>
      </c>
      <c r="E197" s="41">
        <v>78</v>
      </c>
      <c r="F197" s="41">
        <v>173</v>
      </c>
      <c r="G197" s="41">
        <v>128</v>
      </c>
      <c r="H197" s="42">
        <v>5.9</v>
      </c>
      <c r="I197" s="40">
        <v>418</v>
      </c>
      <c r="J197" s="42">
        <v>6.6</v>
      </c>
    </row>
    <row r="198" spans="2:10" ht="13.15" customHeight="1" x14ac:dyDescent="0.35">
      <c r="B198" s="46">
        <v>28734</v>
      </c>
      <c r="C198" s="40">
        <v>419</v>
      </c>
      <c r="D198" s="41">
        <v>43</v>
      </c>
      <c r="E198" s="41">
        <v>79</v>
      </c>
      <c r="F198" s="41">
        <v>170</v>
      </c>
      <c r="G198" s="41">
        <v>127</v>
      </c>
      <c r="H198" s="42">
        <v>6.2</v>
      </c>
      <c r="I198" s="40">
        <v>416</v>
      </c>
      <c r="J198" s="42">
        <v>5.9</v>
      </c>
    </row>
    <row r="199" spans="2:10" ht="13.15" customHeight="1" x14ac:dyDescent="0.35">
      <c r="B199" s="46">
        <v>28764</v>
      </c>
      <c r="C199" s="40">
        <v>414</v>
      </c>
      <c r="D199" s="41">
        <v>45</v>
      </c>
      <c r="E199" s="41">
        <v>78</v>
      </c>
      <c r="F199" s="41">
        <v>168</v>
      </c>
      <c r="G199" s="41">
        <v>123</v>
      </c>
      <c r="H199" s="42">
        <v>5.9</v>
      </c>
      <c r="I199" s="40">
        <v>407</v>
      </c>
      <c r="J199" s="42">
        <v>5.7</v>
      </c>
    </row>
    <row r="200" spans="2:10" ht="13.15" customHeight="1" x14ac:dyDescent="0.35">
      <c r="B200" s="46">
        <v>28795</v>
      </c>
      <c r="C200" s="40">
        <v>422</v>
      </c>
      <c r="D200" s="41">
        <v>46</v>
      </c>
      <c r="E200" s="41">
        <v>82</v>
      </c>
      <c r="F200" s="41">
        <v>171</v>
      </c>
      <c r="G200" s="41">
        <v>123</v>
      </c>
      <c r="H200" s="42">
        <v>8</v>
      </c>
      <c r="I200" s="40">
        <v>414</v>
      </c>
      <c r="J200" s="42">
        <v>6.5</v>
      </c>
    </row>
    <row r="201" spans="2:10" ht="13.15" customHeight="1" x14ac:dyDescent="0.35">
      <c r="B201" s="46">
        <v>28825</v>
      </c>
      <c r="C201" s="40">
        <v>419</v>
      </c>
      <c r="D201" s="41">
        <v>45</v>
      </c>
      <c r="E201" s="41">
        <v>80</v>
      </c>
      <c r="F201" s="41">
        <v>170</v>
      </c>
      <c r="G201" s="41">
        <v>124</v>
      </c>
      <c r="H201" s="42">
        <v>8.3000000000000007</v>
      </c>
      <c r="I201" s="40">
        <v>414</v>
      </c>
      <c r="J201" s="42">
        <v>6.1</v>
      </c>
    </row>
    <row r="202" spans="2:10" ht="13.15" customHeight="1" x14ac:dyDescent="0.35">
      <c r="B202" s="46">
        <v>28856</v>
      </c>
      <c r="C202" s="40">
        <v>408</v>
      </c>
      <c r="D202" s="41">
        <v>42</v>
      </c>
      <c r="E202" s="41">
        <v>75</v>
      </c>
      <c r="F202" s="41">
        <v>171</v>
      </c>
      <c r="G202" s="41">
        <v>120</v>
      </c>
      <c r="H202" s="42">
        <v>7.8</v>
      </c>
      <c r="I202" s="40">
        <v>411</v>
      </c>
      <c r="J202" s="42">
        <v>6.6</v>
      </c>
    </row>
    <row r="203" spans="2:10" ht="13.15" customHeight="1" x14ac:dyDescent="0.35">
      <c r="B203" s="46">
        <v>28887</v>
      </c>
      <c r="C203" s="40">
        <v>393</v>
      </c>
      <c r="D203" s="41">
        <v>40</v>
      </c>
      <c r="E203" s="41">
        <v>71</v>
      </c>
      <c r="F203" s="41">
        <v>169</v>
      </c>
      <c r="G203" s="41">
        <v>113</v>
      </c>
      <c r="H203" s="42">
        <v>6.8</v>
      </c>
      <c r="I203" s="40">
        <v>408</v>
      </c>
      <c r="J203" s="42">
        <v>6.8</v>
      </c>
    </row>
    <row r="204" spans="2:10" ht="13.15" customHeight="1" x14ac:dyDescent="0.35">
      <c r="B204" s="46">
        <v>28915</v>
      </c>
      <c r="C204" s="40">
        <v>416</v>
      </c>
      <c r="D204" s="41">
        <v>44</v>
      </c>
      <c r="E204" s="41">
        <v>73</v>
      </c>
      <c r="F204" s="41">
        <v>177</v>
      </c>
      <c r="G204" s="41">
        <v>122</v>
      </c>
      <c r="H204" s="42">
        <v>5.7</v>
      </c>
      <c r="I204" s="40">
        <v>421</v>
      </c>
      <c r="J204" s="42">
        <v>6.6</v>
      </c>
    </row>
    <row r="205" spans="2:10" ht="13.15" customHeight="1" x14ac:dyDescent="0.35">
      <c r="B205" s="46">
        <v>28946</v>
      </c>
      <c r="C205" s="40">
        <v>416</v>
      </c>
      <c r="D205" s="41">
        <v>45</v>
      </c>
      <c r="E205" s="41">
        <v>74</v>
      </c>
      <c r="F205" s="41">
        <v>173</v>
      </c>
      <c r="G205" s="41">
        <v>124</v>
      </c>
      <c r="H205" s="42">
        <v>5.7</v>
      </c>
      <c r="I205" s="40">
        <v>421</v>
      </c>
      <c r="J205" s="42">
        <v>6.8</v>
      </c>
    </row>
    <row r="206" spans="2:10" ht="13.15" customHeight="1" x14ac:dyDescent="0.35">
      <c r="B206" s="46">
        <v>28976</v>
      </c>
      <c r="C206" s="40">
        <v>426</v>
      </c>
      <c r="D206" s="41">
        <v>46</v>
      </c>
      <c r="E206" s="41">
        <v>77</v>
      </c>
      <c r="F206" s="41">
        <v>177</v>
      </c>
      <c r="G206" s="41">
        <v>125</v>
      </c>
      <c r="H206" s="42">
        <v>6.2</v>
      </c>
      <c r="I206" s="40">
        <v>428</v>
      </c>
      <c r="J206" s="42">
        <v>7.1</v>
      </c>
    </row>
    <row r="207" spans="2:10" ht="13.15" customHeight="1" x14ac:dyDescent="0.35">
      <c r="B207" s="46">
        <v>29007</v>
      </c>
      <c r="C207" s="40">
        <v>420</v>
      </c>
      <c r="D207" s="41">
        <v>45</v>
      </c>
      <c r="E207" s="41">
        <v>77</v>
      </c>
      <c r="F207" s="41">
        <v>179</v>
      </c>
      <c r="G207" s="41">
        <v>119</v>
      </c>
      <c r="H207" s="42">
        <v>6.6</v>
      </c>
      <c r="I207" s="40">
        <v>420</v>
      </c>
      <c r="J207" s="42">
        <v>7.4</v>
      </c>
    </row>
    <row r="208" spans="2:10" ht="13.15" customHeight="1" x14ac:dyDescent="0.35">
      <c r="B208" s="46">
        <v>29037</v>
      </c>
      <c r="C208" s="40">
        <v>420</v>
      </c>
      <c r="D208" s="41">
        <v>45</v>
      </c>
      <c r="E208" s="41">
        <v>76</v>
      </c>
      <c r="F208" s="41">
        <v>179</v>
      </c>
      <c r="G208" s="41">
        <v>120</v>
      </c>
      <c r="H208" s="42">
        <v>6.5</v>
      </c>
      <c r="I208" s="40">
        <v>420</v>
      </c>
      <c r="J208" s="42">
        <v>7.1</v>
      </c>
    </row>
    <row r="209" spans="2:10" ht="13.15" customHeight="1" x14ac:dyDescent="0.35">
      <c r="B209" s="46">
        <v>29068</v>
      </c>
      <c r="C209" s="40">
        <v>419</v>
      </c>
      <c r="D209" s="41">
        <v>45</v>
      </c>
      <c r="E209" s="41">
        <v>77</v>
      </c>
      <c r="F209" s="41">
        <v>176</v>
      </c>
      <c r="G209" s="41">
        <v>121</v>
      </c>
      <c r="H209" s="42">
        <v>6.2</v>
      </c>
      <c r="I209" s="40">
        <v>419</v>
      </c>
      <c r="J209" s="42">
        <v>6.9</v>
      </c>
    </row>
    <row r="210" spans="2:10" ht="13.15" customHeight="1" x14ac:dyDescent="0.35">
      <c r="B210" s="46">
        <v>29099</v>
      </c>
      <c r="C210" s="40">
        <v>414</v>
      </c>
      <c r="D210" s="41">
        <v>46</v>
      </c>
      <c r="E210" s="41">
        <v>77</v>
      </c>
      <c r="F210" s="41">
        <v>176</v>
      </c>
      <c r="G210" s="41">
        <v>115</v>
      </c>
      <c r="H210" s="42">
        <v>6.9</v>
      </c>
      <c r="I210" s="40">
        <v>413</v>
      </c>
      <c r="J210" s="42">
        <v>7.4</v>
      </c>
    </row>
    <row r="211" spans="2:10" ht="13.15" customHeight="1" x14ac:dyDescent="0.35">
      <c r="B211" s="46">
        <v>29129</v>
      </c>
      <c r="C211" s="40">
        <v>414</v>
      </c>
      <c r="D211" s="41">
        <v>45</v>
      </c>
      <c r="E211" s="41">
        <v>78</v>
      </c>
      <c r="F211" s="41">
        <v>176</v>
      </c>
      <c r="G211" s="41">
        <v>116</v>
      </c>
      <c r="H211" s="42">
        <v>7.7</v>
      </c>
      <c r="I211" s="40">
        <v>408</v>
      </c>
      <c r="J211" s="42">
        <v>7.4</v>
      </c>
    </row>
    <row r="212" spans="2:10" ht="13.15" customHeight="1" x14ac:dyDescent="0.35">
      <c r="B212" s="46">
        <v>29160</v>
      </c>
      <c r="C212" s="40">
        <v>409</v>
      </c>
      <c r="D212" s="41">
        <v>43</v>
      </c>
      <c r="E212" s="41">
        <v>76</v>
      </c>
      <c r="F212" s="41">
        <v>174</v>
      </c>
      <c r="G212" s="41">
        <v>115</v>
      </c>
      <c r="H212" s="42">
        <v>10</v>
      </c>
      <c r="I212" s="40">
        <v>400</v>
      </c>
      <c r="J212" s="42">
        <v>8.3000000000000007</v>
      </c>
    </row>
    <row r="213" spans="2:10" ht="13.15" customHeight="1" x14ac:dyDescent="0.35">
      <c r="B213" s="46">
        <v>29190</v>
      </c>
      <c r="C213" s="40">
        <v>402</v>
      </c>
      <c r="D213" s="41">
        <v>42</v>
      </c>
      <c r="E213" s="41">
        <v>74</v>
      </c>
      <c r="F213" s="41">
        <v>172</v>
      </c>
      <c r="G213" s="41">
        <v>114</v>
      </c>
      <c r="H213" s="42">
        <v>11.6</v>
      </c>
      <c r="I213" s="40">
        <v>397</v>
      </c>
      <c r="J213" s="42">
        <v>8.6</v>
      </c>
    </row>
    <row r="214" spans="2:10" ht="13.15" customHeight="1" x14ac:dyDescent="0.35">
      <c r="B214" s="46">
        <v>29221</v>
      </c>
      <c r="C214" s="40">
        <v>390</v>
      </c>
      <c r="D214" s="41">
        <v>43</v>
      </c>
      <c r="E214" s="41">
        <v>72</v>
      </c>
      <c r="F214" s="41">
        <v>166</v>
      </c>
      <c r="G214" s="41">
        <v>109</v>
      </c>
      <c r="H214" s="42">
        <v>9.1</v>
      </c>
      <c r="I214" s="40">
        <v>392</v>
      </c>
      <c r="J214" s="42">
        <v>7.9</v>
      </c>
    </row>
    <row r="215" spans="2:10" ht="13.15" customHeight="1" x14ac:dyDescent="0.35">
      <c r="B215" s="46">
        <v>29252</v>
      </c>
      <c r="C215" s="40">
        <v>380</v>
      </c>
      <c r="D215" s="41">
        <v>42</v>
      </c>
      <c r="E215" s="41">
        <v>69</v>
      </c>
      <c r="F215" s="41">
        <v>163</v>
      </c>
      <c r="G215" s="41">
        <v>107</v>
      </c>
      <c r="H215" s="42">
        <v>8.6</v>
      </c>
      <c r="I215" s="40">
        <v>380</v>
      </c>
      <c r="J215" s="42">
        <v>8.6</v>
      </c>
    </row>
    <row r="216" spans="2:10" ht="13.15" customHeight="1" x14ac:dyDescent="0.35">
      <c r="B216" s="46">
        <v>29281</v>
      </c>
      <c r="C216" s="40">
        <v>369</v>
      </c>
      <c r="D216" s="41">
        <v>42</v>
      </c>
      <c r="E216" s="41">
        <v>66</v>
      </c>
      <c r="F216" s="41">
        <v>157</v>
      </c>
      <c r="G216" s="41">
        <v>104</v>
      </c>
      <c r="H216" s="42">
        <v>8.4</v>
      </c>
      <c r="I216" s="40">
        <v>376</v>
      </c>
      <c r="J216" s="42">
        <v>9.8000000000000007</v>
      </c>
    </row>
    <row r="217" spans="2:10" ht="13.15" customHeight="1" x14ac:dyDescent="0.35">
      <c r="B217" s="46">
        <v>29312</v>
      </c>
      <c r="C217" s="40">
        <v>359</v>
      </c>
      <c r="D217" s="41">
        <v>41</v>
      </c>
      <c r="E217" s="41">
        <v>61</v>
      </c>
      <c r="F217" s="41">
        <v>155</v>
      </c>
      <c r="G217" s="41">
        <v>102</v>
      </c>
      <c r="H217" s="42">
        <v>10</v>
      </c>
      <c r="I217" s="40">
        <v>362</v>
      </c>
      <c r="J217" s="42">
        <v>11.6</v>
      </c>
    </row>
    <row r="218" spans="2:10" ht="13.15" customHeight="1" x14ac:dyDescent="0.35">
      <c r="B218" s="46">
        <v>29342</v>
      </c>
      <c r="C218" s="40">
        <v>349</v>
      </c>
      <c r="D218" s="41">
        <v>41</v>
      </c>
      <c r="E218" s="41">
        <v>60</v>
      </c>
      <c r="F218" s="41">
        <v>150</v>
      </c>
      <c r="G218" s="41">
        <v>98</v>
      </c>
      <c r="H218" s="42">
        <v>7.9</v>
      </c>
      <c r="I218" s="40">
        <v>350</v>
      </c>
      <c r="J218" s="42">
        <v>9.1999999999999993</v>
      </c>
    </row>
    <row r="219" spans="2:10" ht="13.15" customHeight="1" x14ac:dyDescent="0.35">
      <c r="B219" s="46">
        <v>29373</v>
      </c>
      <c r="C219" s="40">
        <v>341</v>
      </c>
      <c r="D219" s="41">
        <v>40</v>
      </c>
      <c r="E219" s="41">
        <v>58</v>
      </c>
      <c r="F219" s="41">
        <v>149</v>
      </c>
      <c r="G219" s="41">
        <v>94</v>
      </c>
      <c r="H219" s="42">
        <v>6.8</v>
      </c>
      <c r="I219" s="40">
        <v>343</v>
      </c>
      <c r="J219" s="42">
        <v>7.6</v>
      </c>
    </row>
    <row r="220" spans="2:10" ht="13.15" customHeight="1" x14ac:dyDescent="0.35">
      <c r="B220" s="46">
        <v>29403</v>
      </c>
      <c r="C220" s="40">
        <v>338</v>
      </c>
      <c r="D220" s="41">
        <v>40</v>
      </c>
      <c r="E220" s="41">
        <v>58</v>
      </c>
      <c r="F220" s="41">
        <v>147</v>
      </c>
      <c r="G220" s="41">
        <v>93</v>
      </c>
      <c r="H220" s="42">
        <v>6.2</v>
      </c>
      <c r="I220" s="40">
        <v>337</v>
      </c>
      <c r="J220" s="42">
        <v>6.5</v>
      </c>
    </row>
    <row r="221" spans="2:10" ht="13.15" customHeight="1" x14ac:dyDescent="0.35">
      <c r="B221" s="46">
        <v>29434</v>
      </c>
      <c r="C221" s="40">
        <v>332</v>
      </c>
      <c r="D221" s="41">
        <v>39</v>
      </c>
      <c r="E221" s="41">
        <v>56</v>
      </c>
      <c r="F221" s="41">
        <v>146</v>
      </c>
      <c r="G221" s="41">
        <v>92</v>
      </c>
      <c r="H221" s="42">
        <v>5.4</v>
      </c>
      <c r="I221" s="40">
        <v>332</v>
      </c>
      <c r="J221" s="42">
        <v>6</v>
      </c>
    </row>
    <row r="222" spans="2:10" ht="13.15" customHeight="1" x14ac:dyDescent="0.35">
      <c r="B222" s="46">
        <v>29465</v>
      </c>
      <c r="C222" s="40">
        <v>339</v>
      </c>
      <c r="D222" s="41">
        <v>40</v>
      </c>
      <c r="E222" s="41">
        <v>56</v>
      </c>
      <c r="F222" s="41">
        <v>150</v>
      </c>
      <c r="G222" s="41">
        <v>93</v>
      </c>
      <c r="H222" s="42">
        <v>6.8</v>
      </c>
      <c r="I222" s="40">
        <v>336</v>
      </c>
      <c r="J222" s="42">
        <v>7.3</v>
      </c>
    </row>
    <row r="223" spans="2:10" ht="13.15" customHeight="1" x14ac:dyDescent="0.35">
      <c r="B223" s="46">
        <v>29495</v>
      </c>
      <c r="C223" s="40">
        <v>342</v>
      </c>
      <c r="D223" s="41">
        <v>40</v>
      </c>
      <c r="E223" s="41">
        <v>55</v>
      </c>
      <c r="F223" s="41">
        <v>153</v>
      </c>
      <c r="G223" s="41">
        <v>94</v>
      </c>
      <c r="H223" s="42">
        <v>7.5</v>
      </c>
      <c r="I223" s="40">
        <v>336</v>
      </c>
      <c r="J223" s="42">
        <v>7.3</v>
      </c>
    </row>
    <row r="224" spans="2:10" ht="13.15" customHeight="1" x14ac:dyDescent="0.35">
      <c r="B224" s="46">
        <v>29526</v>
      </c>
      <c r="C224" s="40">
        <v>344</v>
      </c>
      <c r="D224" s="41">
        <v>40</v>
      </c>
      <c r="E224" s="41">
        <v>56</v>
      </c>
      <c r="F224" s="41">
        <v>152</v>
      </c>
      <c r="G224" s="41">
        <v>96</v>
      </c>
      <c r="H224" s="42">
        <v>8.8000000000000007</v>
      </c>
      <c r="I224" s="40">
        <v>339</v>
      </c>
      <c r="J224" s="42">
        <v>7.4</v>
      </c>
    </row>
    <row r="225" spans="2:10" ht="13.15" customHeight="1" x14ac:dyDescent="0.35">
      <c r="B225" s="46">
        <v>29556</v>
      </c>
      <c r="C225" s="40">
        <v>342</v>
      </c>
      <c r="D225" s="41">
        <v>40</v>
      </c>
      <c r="E225" s="41">
        <v>55</v>
      </c>
      <c r="F225" s="41">
        <v>149</v>
      </c>
      <c r="G225" s="41">
        <v>97</v>
      </c>
      <c r="H225" s="42">
        <v>10.3</v>
      </c>
      <c r="I225" s="40">
        <v>337</v>
      </c>
      <c r="J225" s="42">
        <v>7.6</v>
      </c>
    </row>
    <row r="226" spans="2:10" ht="13.15" customHeight="1" x14ac:dyDescent="0.35">
      <c r="B226" s="46">
        <v>29587</v>
      </c>
      <c r="C226" s="40">
        <v>333</v>
      </c>
      <c r="D226" s="41">
        <v>39</v>
      </c>
      <c r="E226" s="41">
        <v>53</v>
      </c>
      <c r="F226" s="41">
        <v>146</v>
      </c>
      <c r="G226" s="41">
        <v>95</v>
      </c>
      <c r="H226" s="42">
        <v>9</v>
      </c>
      <c r="I226" s="40">
        <v>334</v>
      </c>
      <c r="J226" s="42">
        <v>8</v>
      </c>
    </row>
    <row r="227" spans="2:10" ht="13.15" customHeight="1" x14ac:dyDescent="0.35">
      <c r="B227" s="46">
        <v>29618</v>
      </c>
      <c r="C227" s="40">
        <v>326</v>
      </c>
      <c r="D227" s="41">
        <v>38</v>
      </c>
      <c r="E227" s="41">
        <v>51</v>
      </c>
      <c r="F227" s="41">
        <v>146</v>
      </c>
      <c r="G227" s="41">
        <v>91</v>
      </c>
      <c r="H227" s="42">
        <v>8.1999999999999993</v>
      </c>
      <c r="I227" s="40">
        <v>336</v>
      </c>
      <c r="J227" s="42">
        <v>8.1</v>
      </c>
    </row>
    <row r="228" spans="2:10" ht="13.15" customHeight="1" x14ac:dyDescent="0.35">
      <c r="B228" s="46">
        <v>29646</v>
      </c>
      <c r="C228" s="40">
        <v>323</v>
      </c>
      <c r="D228" s="41">
        <v>38</v>
      </c>
      <c r="E228" s="41">
        <v>50</v>
      </c>
      <c r="F228" s="41">
        <v>144</v>
      </c>
      <c r="G228" s="41">
        <v>92</v>
      </c>
      <c r="H228" s="42">
        <v>6.6</v>
      </c>
      <c r="I228" s="40">
        <v>328</v>
      </c>
      <c r="J228" s="42">
        <v>7.7</v>
      </c>
    </row>
    <row r="229" spans="2:10" ht="13.15" customHeight="1" x14ac:dyDescent="0.35">
      <c r="B229" s="46">
        <v>29677</v>
      </c>
      <c r="C229" s="40">
        <v>327</v>
      </c>
      <c r="D229" s="41">
        <v>39</v>
      </c>
      <c r="E229" s="41">
        <v>47</v>
      </c>
      <c r="F229" s="41">
        <v>150</v>
      </c>
      <c r="G229" s="41">
        <v>91</v>
      </c>
      <c r="H229" s="42">
        <v>7.4</v>
      </c>
      <c r="I229" s="40">
        <v>329</v>
      </c>
      <c r="J229" s="42">
        <v>8.6</v>
      </c>
    </row>
    <row r="230" spans="2:10" ht="13.15" customHeight="1" x14ac:dyDescent="0.35">
      <c r="B230" s="46">
        <v>29707</v>
      </c>
      <c r="C230" s="40">
        <v>323</v>
      </c>
      <c r="D230" s="41">
        <v>39</v>
      </c>
      <c r="E230" s="41">
        <v>47</v>
      </c>
      <c r="F230" s="41">
        <v>146</v>
      </c>
      <c r="G230" s="41">
        <v>91</v>
      </c>
      <c r="H230" s="42">
        <v>7.2</v>
      </c>
      <c r="I230" s="40">
        <v>325</v>
      </c>
      <c r="J230" s="42">
        <v>8.4</v>
      </c>
    </row>
    <row r="231" spans="2:10" ht="13.15" customHeight="1" x14ac:dyDescent="0.35">
      <c r="B231" s="46">
        <v>29738</v>
      </c>
      <c r="C231" s="40">
        <v>318</v>
      </c>
      <c r="D231" s="41">
        <v>39</v>
      </c>
      <c r="E231" s="41">
        <v>44</v>
      </c>
      <c r="F231" s="41">
        <v>145</v>
      </c>
      <c r="G231" s="41">
        <v>90</v>
      </c>
      <c r="H231" s="42">
        <v>8.3000000000000007</v>
      </c>
      <c r="I231" s="40">
        <v>317</v>
      </c>
      <c r="J231" s="42">
        <v>9.1999999999999993</v>
      </c>
    </row>
    <row r="232" spans="2:10" ht="13.15" customHeight="1" x14ac:dyDescent="0.35">
      <c r="B232" s="46">
        <v>29768</v>
      </c>
      <c r="C232" s="40">
        <v>312</v>
      </c>
      <c r="D232" s="41">
        <v>38</v>
      </c>
      <c r="E232" s="41">
        <v>42</v>
      </c>
      <c r="F232" s="41">
        <v>144</v>
      </c>
      <c r="G232" s="41">
        <v>88</v>
      </c>
      <c r="H232" s="42">
        <v>8.6999999999999993</v>
      </c>
      <c r="I232" s="40">
        <v>312</v>
      </c>
      <c r="J232" s="42">
        <v>9</v>
      </c>
    </row>
    <row r="233" spans="2:10" ht="13.15" customHeight="1" x14ac:dyDescent="0.35">
      <c r="B233" s="46">
        <v>29799</v>
      </c>
      <c r="C233" s="40">
        <v>307</v>
      </c>
      <c r="D233" s="41">
        <v>39</v>
      </c>
      <c r="E233" s="41">
        <v>40</v>
      </c>
      <c r="F233" s="41">
        <v>142</v>
      </c>
      <c r="G233" s="41">
        <v>87</v>
      </c>
      <c r="H233" s="42">
        <v>9.1</v>
      </c>
      <c r="I233" s="40">
        <v>308</v>
      </c>
      <c r="J233" s="42">
        <v>9.8000000000000007</v>
      </c>
    </row>
    <row r="234" spans="2:10" ht="13.15" customHeight="1" x14ac:dyDescent="0.35">
      <c r="B234" s="46">
        <v>29830</v>
      </c>
      <c r="C234" s="40">
        <v>306</v>
      </c>
      <c r="D234" s="41">
        <v>40</v>
      </c>
      <c r="E234" s="41">
        <v>38</v>
      </c>
      <c r="F234" s="41">
        <v>142</v>
      </c>
      <c r="G234" s="41">
        <v>86</v>
      </c>
      <c r="H234" s="42">
        <v>10.8</v>
      </c>
      <c r="I234" s="40">
        <v>304</v>
      </c>
      <c r="J234" s="42">
        <v>11.3</v>
      </c>
    </row>
    <row r="235" spans="2:10" ht="13.15" customHeight="1" x14ac:dyDescent="0.35">
      <c r="B235" s="46">
        <v>29860</v>
      </c>
      <c r="C235" s="40">
        <v>297</v>
      </c>
      <c r="D235" s="41">
        <v>42</v>
      </c>
      <c r="E235" s="41">
        <v>36</v>
      </c>
      <c r="F235" s="41">
        <v>135</v>
      </c>
      <c r="G235" s="41">
        <v>83</v>
      </c>
      <c r="H235" s="42">
        <v>10.4</v>
      </c>
      <c r="I235" s="40">
        <v>293</v>
      </c>
      <c r="J235" s="42">
        <v>10.3</v>
      </c>
    </row>
    <row r="236" spans="2:10" ht="13.15" customHeight="1" x14ac:dyDescent="0.35">
      <c r="B236" s="46">
        <v>29891</v>
      </c>
      <c r="C236" s="40">
        <v>286</v>
      </c>
      <c r="D236" s="41">
        <v>42</v>
      </c>
      <c r="E236" s="41">
        <v>35</v>
      </c>
      <c r="F236" s="41">
        <v>130</v>
      </c>
      <c r="G236" s="41">
        <v>80</v>
      </c>
      <c r="H236" s="42">
        <v>10.7</v>
      </c>
      <c r="I236" s="40">
        <v>282</v>
      </c>
      <c r="J236" s="42">
        <v>9.1</v>
      </c>
    </row>
    <row r="237" spans="2:10" ht="13.15" customHeight="1" x14ac:dyDescent="0.35">
      <c r="B237" s="46">
        <v>29921</v>
      </c>
      <c r="C237" s="40">
        <v>278</v>
      </c>
      <c r="D237" s="41">
        <v>41</v>
      </c>
      <c r="E237" s="41">
        <v>34</v>
      </c>
      <c r="F237" s="41">
        <v>127</v>
      </c>
      <c r="G237" s="41">
        <v>76</v>
      </c>
      <c r="H237" s="42">
        <v>9.5</v>
      </c>
      <c r="I237" s="40">
        <v>275</v>
      </c>
      <c r="J237" s="42">
        <v>7.1</v>
      </c>
    </row>
    <row r="238" spans="2:10" ht="13.15" customHeight="1" x14ac:dyDescent="0.35">
      <c r="B238" s="46">
        <v>29952</v>
      </c>
      <c r="C238" s="40">
        <v>273</v>
      </c>
      <c r="D238" s="41">
        <v>40</v>
      </c>
      <c r="E238" s="41">
        <v>33</v>
      </c>
      <c r="F238" s="41">
        <v>126</v>
      </c>
      <c r="G238" s="41">
        <v>74</v>
      </c>
      <c r="H238" s="42">
        <v>9.6999999999999993</v>
      </c>
      <c r="I238" s="40">
        <v>276</v>
      </c>
      <c r="J238" s="42">
        <v>8.9</v>
      </c>
    </row>
    <row r="239" spans="2:10" ht="13.15" customHeight="1" x14ac:dyDescent="0.35">
      <c r="B239" s="46">
        <v>29983</v>
      </c>
      <c r="C239" s="40">
        <v>264</v>
      </c>
      <c r="D239" s="41">
        <v>37</v>
      </c>
      <c r="E239" s="41">
        <v>31</v>
      </c>
      <c r="F239" s="41">
        <v>124</v>
      </c>
      <c r="G239" s="41">
        <v>71</v>
      </c>
      <c r="H239" s="42">
        <v>9.1</v>
      </c>
      <c r="I239" s="40">
        <v>273</v>
      </c>
      <c r="J239" s="42">
        <v>9.1999999999999993</v>
      </c>
    </row>
    <row r="240" spans="2:10" ht="13.15" customHeight="1" x14ac:dyDescent="0.35">
      <c r="B240" s="46">
        <v>30011</v>
      </c>
      <c r="C240" s="40">
        <v>264</v>
      </c>
      <c r="D240" s="41">
        <v>38</v>
      </c>
      <c r="E240" s="41">
        <v>31</v>
      </c>
      <c r="F240" s="41">
        <v>124</v>
      </c>
      <c r="G240" s="41">
        <v>71</v>
      </c>
      <c r="H240" s="42">
        <v>7.4</v>
      </c>
      <c r="I240" s="40">
        <v>268</v>
      </c>
      <c r="J240" s="42">
        <v>8.6999999999999993</v>
      </c>
    </row>
    <row r="241" spans="2:10" ht="13.15" customHeight="1" x14ac:dyDescent="0.35">
      <c r="B241" s="46">
        <v>30042</v>
      </c>
      <c r="C241" s="40">
        <v>263</v>
      </c>
      <c r="D241" s="41">
        <v>39</v>
      </c>
      <c r="E241" s="41">
        <v>31</v>
      </c>
      <c r="F241" s="41">
        <v>123</v>
      </c>
      <c r="G241" s="41">
        <v>70</v>
      </c>
      <c r="H241" s="42">
        <v>8.1999999999999993</v>
      </c>
      <c r="I241" s="40">
        <v>264</v>
      </c>
      <c r="J241" s="42">
        <v>9.4</v>
      </c>
    </row>
    <row r="242" spans="2:10" ht="13.15" customHeight="1" x14ac:dyDescent="0.35">
      <c r="B242" s="46">
        <v>30072</v>
      </c>
      <c r="C242" s="40">
        <v>256</v>
      </c>
      <c r="D242" s="41">
        <v>37</v>
      </c>
      <c r="E242" s="41">
        <v>30</v>
      </c>
      <c r="F242" s="41">
        <v>121</v>
      </c>
      <c r="G242" s="41">
        <v>67</v>
      </c>
      <c r="H242" s="42">
        <v>7.1</v>
      </c>
      <c r="I242" s="40">
        <v>258</v>
      </c>
      <c r="J242" s="42">
        <v>8.3000000000000007</v>
      </c>
    </row>
    <row r="243" spans="2:10" ht="13.15" customHeight="1" x14ac:dyDescent="0.35">
      <c r="B243" s="46">
        <v>30103</v>
      </c>
      <c r="C243" s="40">
        <v>253</v>
      </c>
      <c r="D243" s="41">
        <v>36</v>
      </c>
      <c r="E243" s="41">
        <v>30</v>
      </c>
      <c r="F243" s="41">
        <v>122</v>
      </c>
      <c r="G243" s="41">
        <v>65</v>
      </c>
      <c r="H243" s="42">
        <v>7.5</v>
      </c>
      <c r="I243" s="40">
        <v>252</v>
      </c>
      <c r="J243" s="42">
        <v>8.3000000000000007</v>
      </c>
    </row>
    <row r="244" spans="2:10" ht="13.15" customHeight="1" x14ac:dyDescent="0.35">
      <c r="B244" s="46">
        <v>30133</v>
      </c>
      <c r="C244" s="40">
        <v>251</v>
      </c>
      <c r="D244" s="41">
        <v>36</v>
      </c>
      <c r="E244" s="41">
        <v>29</v>
      </c>
      <c r="F244" s="41">
        <v>122</v>
      </c>
      <c r="G244" s="41">
        <v>64</v>
      </c>
      <c r="H244" s="42">
        <v>8.1</v>
      </c>
      <c r="I244" s="40">
        <v>249</v>
      </c>
      <c r="J244" s="42">
        <v>8.1999999999999993</v>
      </c>
    </row>
    <row r="245" spans="2:10" ht="13.15" customHeight="1" x14ac:dyDescent="0.35">
      <c r="B245" s="46">
        <v>30164</v>
      </c>
      <c r="C245" s="40">
        <v>248</v>
      </c>
      <c r="D245" s="41">
        <v>36</v>
      </c>
      <c r="E245" s="41">
        <v>28</v>
      </c>
      <c r="F245" s="41">
        <v>123</v>
      </c>
      <c r="G245" s="41">
        <v>61</v>
      </c>
      <c r="H245" s="42">
        <v>6.8</v>
      </c>
      <c r="I245" s="40">
        <v>247</v>
      </c>
      <c r="J245" s="42">
        <v>7.1</v>
      </c>
    </row>
    <row r="246" spans="2:10" ht="13.15" customHeight="1" x14ac:dyDescent="0.35">
      <c r="B246" s="46">
        <v>30195</v>
      </c>
      <c r="C246" s="40">
        <v>249</v>
      </c>
      <c r="D246" s="41">
        <v>36</v>
      </c>
      <c r="E246" s="41">
        <v>28</v>
      </c>
      <c r="F246" s="41">
        <v>125</v>
      </c>
      <c r="G246" s="41">
        <v>60</v>
      </c>
      <c r="H246" s="42">
        <v>6.5</v>
      </c>
      <c r="I246" s="40">
        <v>247</v>
      </c>
      <c r="J246" s="42">
        <v>6.7</v>
      </c>
    </row>
    <row r="247" spans="2:10" ht="13.15" customHeight="1" x14ac:dyDescent="0.35">
      <c r="B247" s="46">
        <v>30225</v>
      </c>
      <c r="C247" s="40">
        <v>248</v>
      </c>
      <c r="D247" s="41">
        <v>38</v>
      </c>
      <c r="E247" s="41">
        <v>28</v>
      </c>
      <c r="F247" s="41">
        <v>124</v>
      </c>
      <c r="G247" s="41">
        <v>59</v>
      </c>
      <c r="H247" s="42">
        <v>6.2</v>
      </c>
      <c r="I247" s="40">
        <v>246</v>
      </c>
      <c r="J247" s="42">
        <v>6.2</v>
      </c>
    </row>
    <row r="248" spans="2:10" ht="13.15" customHeight="1" x14ac:dyDescent="0.35">
      <c r="B248" s="46">
        <v>30256</v>
      </c>
      <c r="C248" s="40">
        <v>250</v>
      </c>
      <c r="D248" s="41">
        <v>38</v>
      </c>
      <c r="E248" s="41">
        <v>28</v>
      </c>
      <c r="F248" s="41">
        <v>125</v>
      </c>
      <c r="G248" s="41">
        <v>59</v>
      </c>
      <c r="H248" s="42">
        <v>6.4</v>
      </c>
      <c r="I248" s="40">
        <v>247</v>
      </c>
      <c r="J248" s="42">
        <v>5.4</v>
      </c>
    </row>
    <row r="249" spans="2:10" ht="13.15" customHeight="1" x14ac:dyDescent="0.35">
      <c r="B249" s="46">
        <v>30286</v>
      </c>
      <c r="C249" s="40">
        <v>255</v>
      </c>
      <c r="D249" s="41">
        <v>39</v>
      </c>
      <c r="E249" s="41">
        <v>27</v>
      </c>
      <c r="F249" s="41">
        <v>129</v>
      </c>
      <c r="G249" s="41">
        <v>60</v>
      </c>
      <c r="H249" s="42">
        <v>7.8</v>
      </c>
      <c r="I249" s="40">
        <v>253</v>
      </c>
      <c r="J249" s="42">
        <v>5.8</v>
      </c>
    </row>
    <row r="250" spans="2:10" ht="13.15" customHeight="1" x14ac:dyDescent="0.35">
      <c r="B250" s="46">
        <v>30317</v>
      </c>
      <c r="C250" s="40">
        <v>256</v>
      </c>
      <c r="D250" s="41">
        <v>38</v>
      </c>
      <c r="E250" s="41">
        <v>27</v>
      </c>
      <c r="F250" s="41">
        <v>132</v>
      </c>
      <c r="G250" s="41">
        <v>59</v>
      </c>
      <c r="H250" s="42">
        <v>5.8</v>
      </c>
      <c r="I250" s="40">
        <v>259</v>
      </c>
      <c r="J250" s="42">
        <v>5.4</v>
      </c>
    </row>
    <row r="251" spans="2:10" ht="13.15" customHeight="1" x14ac:dyDescent="0.35">
      <c r="B251" s="46">
        <v>30348</v>
      </c>
      <c r="C251" s="40">
        <v>253</v>
      </c>
      <c r="D251" s="41">
        <v>36</v>
      </c>
      <c r="E251" s="41">
        <v>26</v>
      </c>
      <c r="F251" s="41">
        <v>132</v>
      </c>
      <c r="G251" s="41">
        <v>59</v>
      </c>
      <c r="H251" s="42">
        <v>5.5</v>
      </c>
      <c r="I251" s="40">
        <v>261</v>
      </c>
      <c r="J251" s="42">
        <v>5.6</v>
      </c>
    </row>
    <row r="252" spans="2:10" ht="13.15" customHeight="1" x14ac:dyDescent="0.35">
      <c r="B252" s="46">
        <v>30376</v>
      </c>
      <c r="C252" s="40">
        <v>259</v>
      </c>
      <c r="D252" s="41">
        <v>35</v>
      </c>
      <c r="E252" s="41">
        <v>27</v>
      </c>
      <c r="F252" s="41">
        <v>136</v>
      </c>
      <c r="G252" s="41">
        <v>59</v>
      </c>
      <c r="H252" s="42">
        <v>4.5</v>
      </c>
      <c r="I252" s="40">
        <v>262</v>
      </c>
      <c r="J252" s="42">
        <v>5.4</v>
      </c>
    </row>
    <row r="253" spans="2:10" ht="13.15" customHeight="1" x14ac:dyDescent="0.35">
      <c r="B253" s="46">
        <v>30407</v>
      </c>
      <c r="C253" s="40">
        <v>264</v>
      </c>
      <c r="D253" s="41">
        <v>35</v>
      </c>
      <c r="E253" s="41">
        <v>27</v>
      </c>
      <c r="F253" s="41">
        <v>140</v>
      </c>
      <c r="G253" s="41">
        <v>61</v>
      </c>
      <c r="H253" s="42">
        <v>4.5</v>
      </c>
      <c r="I253" s="40">
        <v>265</v>
      </c>
      <c r="J253" s="42">
        <v>5.0999999999999996</v>
      </c>
    </row>
    <row r="254" spans="2:10" ht="13.15" customHeight="1" x14ac:dyDescent="0.35">
      <c r="B254" s="46">
        <v>30437</v>
      </c>
      <c r="C254" s="40">
        <v>271</v>
      </c>
      <c r="D254" s="41">
        <v>36</v>
      </c>
      <c r="E254" s="41">
        <v>29</v>
      </c>
      <c r="F254" s="41">
        <v>143</v>
      </c>
      <c r="G254" s="41">
        <v>63</v>
      </c>
      <c r="H254" s="42">
        <v>4.2</v>
      </c>
      <c r="I254" s="40">
        <v>273</v>
      </c>
      <c r="J254" s="42">
        <v>4.9000000000000004</v>
      </c>
    </row>
    <row r="255" spans="2:10" ht="13.15" customHeight="1" x14ac:dyDescent="0.35">
      <c r="B255" s="46">
        <v>30468</v>
      </c>
      <c r="C255" s="40">
        <v>283</v>
      </c>
      <c r="D255" s="41">
        <v>38</v>
      </c>
      <c r="E255" s="41">
        <v>30</v>
      </c>
      <c r="F255" s="41">
        <v>145</v>
      </c>
      <c r="G255" s="41">
        <v>70</v>
      </c>
      <c r="H255" s="42">
        <v>4.8</v>
      </c>
      <c r="I255" s="40">
        <v>282</v>
      </c>
      <c r="J255" s="42">
        <v>5.3</v>
      </c>
    </row>
    <row r="256" spans="2:10" ht="13.15" customHeight="1" x14ac:dyDescent="0.35">
      <c r="B256" s="46">
        <v>30498</v>
      </c>
      <c r="C256" s="40">
        <v>288</v>
      </c>
      <c r="D256" s="41">
        <v>39</v>
      </c>
      <c r="E256" s="41">
        <v>32</v>
      </c>
      <c r="F256" s="41">
        <v>145</v>
      </c>
      <c r="G256" s="41">
        <v>72</v>
      </c>
      <c r="H256" s="42">
        <v>5.6</v>
      </c>
      <c r="I256" s="40">
        <v>288</v>
      </c>
      <c r="J256" s="42">
        <v>5.8</v>
      </c>
    </row>
    <row r="257" spans="2:10" ht="13.15" customHeight="1" x14ac:dyDescent="0.35">
      <c r="B257" s="46">
        <v>30529</v>
      </c>
      <c r="C257" s="40">
        <v>296</v>
      </c>
      <c r="D257" s="41">
        <v>39</v>
      </c>
      <c r="E257" s="41">
        <v>32</v>
      </c>
      <c r="F257" s="41">
        <v>152</v>
      </c>
      <c r="G257" s="41">
        <v>73</v>
      </c>
      <c r="H257" s="42">
        <v>5.9</v>
      </c>
      <c r="I257" s="40">
        <v>295</v>
      </c>
      <c r="J257" s="42">
        <v>6.2</v>
      </c>
    </row>
    <row r="258" spans="2:10" ht="13.15" customHeight="1" x14ac:dyDescent="0.35">
      <c r="B258" s="46">
        <v>30560</v>
      </c>
      <c r="C258" s="40">
        <v>302</v>
      </c>
      <c r="D258" s="41">
        <v>40</v>
      </c>
      <c r="E258" s="41">
        <v>32</v>
      </c>
      <c r="F258" s="41">
        <v>155</v>
      </c>
      <c r="G258" s="41">
        <v>75</v>
      </c>
      <c r="H258" s="42">
        <v>6.2</v>
      </c>
      <c r="I258" s="40">
        <v>299</v>
      </c>
      <c r="J258" s="42">
        <v>6.2</v>
      </c>
    </row>
    <row r="259" spans="2:10" ht="13.15" customHeight="1" x14ac:dyDescent="0.35">
      <c r="B259" s="46">
        <v>30590</v>
      </c>
      <c r="C259" s="40">
        <v>302</v>
      </c>
      <c r="D259" s="41">
        <v>41</v>
      </c>
      <c r="E259" s="41">
        <v>34</v>
      </c>
      <c r="F259" s="41">
        <v>152</v>
      </c>
      <c r="G259" s="41">
        <v>75</v>
      </c>
      <c r="H259" s="42">
        <v>5.9</v>
      </c>
      <c r="I259" s="40">
        <v>300</v>
      </c>
      <c r="J259" s="42">
        <v>5.6</v>
      </c>
    </row>
    <row r="260" spans="2:10" ht="13.15" customHeight="1" x14ac:dyDescent="0.35">
      <c r="B260" s="46">
        <v>30621</v>
      </c>
      <c r="C260" s="40">
        <v>309</v>
      </c>
      <c r="D260" s="41">
        <v>42</v>
      </c>
      <c r="E260" s="41">
        <v>33</v>
      </c>
      <c r="F260" s="41">
        <v>156</v>
      </c>
      <c r="G260" s="41">
        <v>77</v>
      </c>
      <c r="H260" s="42">
        <v>6.8</v>
      </c>
      <c r="I260" s="40">
        <v>307</v>
      </c>
      <c r="J260" s="42">
        <v>5.8</v>
      </c>
    </row>
    <row r="261" spans="2:10" ht="13.15" customHeight="1" x14ac:dyDescent="0.35">
      <c r="B261" s="46">
        <v>30651</v>
      </c>
      <c r="C261" s="40">
        <v>304</v>
      </c>
      <c r="D261" s="41">
        <v>42</v>
      </c>
      <c r="E261" s="41">
        <v>33</v>
      </c>
      <c r="F261" s="41">
        <v>149</v>
      </c>
      <c r="G261" s="41">
        <v>79</v>
      </c>
      <c r="H261" s="42">
        <v>6.3</v>
      </c>
      <c r="I261" s="40">
        <v>301</v>
      </c>
      <c r="J261" s="42">
        <v>4.7</v>
      </c>
    </row>
    <row r="262" spans="2:10" ht="13.15" customHeight="1" x14ac:dyDescent="0.35">
      <c r="B262" s="46">
        <v>30682</v>
      </c>
      <c r="C262" s="40">
        <v>301</v>
      </c>
      <c r="D262" s="41">
        <v>40</v>
      </c>
      <c r="E262" s="41">
        <v>33</v>
      </c>
      <c r="F262" s="41">
        <v>149</v>
      </c>
      <c r="G262" s="41">
        <v>79</v>
      </c>
      <c r="H262" s="42">
        <v>5.7</v>
      </c>
      <c r="I262" s="40">
        <v>302</v>
      </c>
      <c r="J262" s="42">
        <v>5.3</v>
      </c>
    </row>
    <row r="263" spans="2:10" ht="13.15" customHeight="1" x14ac:dyDescent="0.35">
      <c r="B263" s="46">
        <v>30713</v>
      </c>
      <c r="C263" s="40">
        <v>304</v>
      </c>
      <c r="D263" s="41">
        <v>41</v>
      </c>
      <c r="E263" s="41">
        <v>33</v>
      </c>
      <c r="F263" s="41">
        <v>151</v>
      </c>
      <c r="G263" s="41">
        <v>79</v>
      </c>
      <c r="H263" s="42">
        <v>5.2</v>
      </c>
      <c r="I263" s="40">
        <v>301</v>
      </c>
      <c r="J263" s="42">
        <v>5.0999999999999996</v>
      </c>
    </row>
    <row r="264" spans="2:10" ht="13.15" customHeight="1" x14ac:dyDescent="0.35">
      <c r="B264" s="46">
        <v>30742</v>
      </c>
      <c r="C264" s="40">
        <v>316</v>
      </c>
      <c r="D264" s="41">
        <v>40</v>
      </c>
      <c r="E264" s="41">
        <v>35</v>
      </c>
      <c r="F264" s="41">
        <v>160</v>
      </c>
      <c r="G264" s="41">
        <v>81</v>
      </c>
      <c r="H264" s="42">
        <v>5</v>
      </c>
      <c r="I264" s="40">
        <v>321</v>
      </c>
      <c r="J264" s="42">
        <v>6.1</v>
      </c>
    </row>
    <row r="265" spans="2:10" ht="13.15" customHeight="1" x14ac:dyDescent="0.35">
      <c r="B265" s="46">
        <v>30773</v>
      </c>
      <c r="C265" s="40">
        <v>325</v>
      </c>
      <c r="D265" s="41">
        <v>44</v>
      </c>
      <c r="E265" s="41">
        <v>36</v>
      </c>
      <c r="F265" s="41">
        <v>163</v>
      </c>
      <c r="G265" s="41">
        <v>82</v>
      </c>
      <c r="H265" s="42">
        <v>5.3</v>
      </c>
      <c r="I265" s="40">
        <v>327</v>
      </c>
      <c r="J265" s="42">
        <v>6</v>
      </c>
    </row>
    <row r="266" spans="2:10" ht="13.15" customHeight="1" x14ac:dyDescent="0.35">
      <c r="B266" s="46">
        <v>30803</v>
      </c>
      <c r="C266" s="40">
        <v>331</v>
      </c>
      <c r="D266" s="41">
        <v>45</v>
      </c>
      <c r="E266" s="41">
        <v>38</v>
      </c>
      <c r="F266" s="41">
        <v>166</v>
      </c>
      <c r="G266" s="41">
        <v>83</v>
      </c>
      <c r="H266" s="42">
        <v>5.6</v>
      </c>
      <c r="I266" s="40">
        <v>334</v>
      </c>
      <c r="J266" s="42">
        <v>6.7</v>
      </c>
    </row>
    <row r="267" spans="2:10" ht="13.15" customHeight="1" x14ac:dyDescent="0.35">
      <c r="B267" s="46">
        <v>30834</v>
      </c>
      <c r="C267" s="40">
        <v>340</v>
      </c>
      <c r="D267" s="41">
        <v>44</v>
      </c>
      <c r="E267" s="41">
        <v>38</v>
      </c>
      <c r="F267" s="41">
        <v>173</v>
      </c>
      <c r="G267" s="41">
        <v>84</v>
      </c>
      <c r="H267" s="42">
        <v>5.9</v>
      </c>
      <c r="I267" s="40">
        <v>339</v>
      </c>
      <c r="J267" s="42">
        <v>6.6</v>
      </c>
    </row>
    <row r="268" spans="2:10" ht="13.15" customHeight="1" x14ac:dyDescent="0.35">
      <c r="B268" s="46">
        <v>30864</v>
      </c>
      <c r="C268" s="40">
        <v>340</v>
      </c>
      <c r="D268" s="41">
        <v>45</v>
      </c>
      <c r="E268" s="41">
        <v>37</v>
      </c>
      <c r="F268" s="41">
        <v>174</v>
      </c>
      <c r="G268" s="41">
        <v>84</v>
      </c>
      <c r="H268" s="42">
        <v>6.6</v>
      </c>
      <c r="I268" s="40">
        <v>340</v>
      </c>
      <c r="J268" s="42">
        <v>6.7</v>
      </c>
    </row>
    <row r="269" spans="2:10" ht="13.15" customHeight="1" x14ac:dyDescent="0.35">
      <c r="B269" s="46">
        <v>30895</v>
      </c>
      <c r="C269" s="40">
        <v>346</v>
      </c>
      <c r="D269" s="41">
        <v>47</v>
      </c>
      <c r="E269" s="41">
        <v>38</v>
      </c>
      <c r="F269" s="41">
        <v>176</v>
      </c>
      <c r="G269" s="41">
        <v>86</v>
      </c>
      <c r="H269" s="42">
        <v>7.2</v>
      </c>
      <c r="I269" s="40">
        <v>344</v>
      </c>
      <c r="J269" s="42">
        <v>7.5</v>
      </c>
    </row>
    <row r="270" spans="2:10" ht="13.15" customHeight="1" x14ac:dyDescent="0.35">
      <c r="B270" s="46">
        <v>30926</v>
      </c>
      <c r="C270" s="40">
        <v>345</v>
      </c>
      <c r="D270" s="41">
        <v>47</v>
      </c>
      <c r="E270" s="41">
        <v>38</v>
      </c>
      <c r="F270" s="41">
        <v>175</v>
      </c>
      <c r="G270" s="41">
        <v>85</v>
      </c>
      <c r="H270" s="42">
        <v>6.5</v>
      </c>
      <c r="I270" s="40">
        <v>342</v>
      </c>
      <c r="J270" s="42">
        <v>6.5</v>
      </c>
    </row>
    <row r="271" spans="2:10" ht="13.15" customHeight="1" x14ac:dyDescent="0.35">
      <c r="B271" s="46">
        <v>30956</v>
      </c>
      <c r="C271" s="40">
        <v>349</v>
      </c>
      <c r="D271" s="41">
        <v>50</v>
      </c>
      <c r="E271" s="41">
        <v>40</v>
      </c>
      <c r="F271" s="41">
        <v>175</v>
      </c>
      <c r="G271" s="41">
        <v>84</v>
      </c>
      <c r="H271" s="42">
        <v>6.4</v>
      </c>
      <c r="I271" s="40">
        <v>345</v>
      </c>
      <c r="J271" s="42">
        <v>6</v>
      </c>
    </row>
    <row r="272" spans="2:10" ht="13.15" customHeight="1" x14ac:dyDescent="0.35">
      <c r="B272" s="46">
        <v>30987</v>
      </c>
      <c r="C272" s="40">
        <v>353</v>
      </c>
      <c r="D272" s="41">
        <v>53</v>
      </c>
      <c r="E272" s="41">
        <v>41</v>
      </c>
      <c r="F272" s="41">
        <v>175</v>
      </c>
      <c r="G272" s="41">
        <v>85</v>
      </c>
      <c r="H272" s="42">
        <v>8.5</v>
      </c>
      <c r="I272" s="40">
        <v>350</v>
      </c>
      <c r="J272" s="42">
        <v>7.2</v>
      </c>
    </row>
    <row r="273" spans="2:10" ht="13.15" customHeight="1" x14ac:dyDescent="0.35">
      <c r="B273" s="46">
        <v>31017</v>
      </c>
      <c r="C273" s="40">
        <v>358</v>
      </c>
      <c r="D273" s="41">
        <v>55</v>
      </c>
      <c r="E273" s="41">
        <v>41</v>
      </c>
      <c r="F273" s="41">
        <v>177</v>
      </c>
      <c r="G273" s="41">
        <v>85</v>
      </c>
      <c r="H273" s="42">
        <v>9.4</v>
      </c>
      <c r="I273" s="40">
        <v>353</v>
      </c>
      <c r="J273" s="42">
        <v>7.3</v>
      </c>
    </row>
    <row r="274" spans="2:10" ht="13.15" customHeight="1" x14ac:dyDescent="0.35">
      <c r="B274" s="46">
        <v>31048</v>
      </c>
      <c r="C274" s="40">
        <v>353</v>
      </c>
      <c r="D274" s="41">
        <v>55</v>
      </c>
      <c r="E274" s="41">
        <v>37</v>
      </c>
      <c r="F274" s="41">
        <v>178</v>
      </c>
      <c r="G274" s="41">
        <v>83</v>
      </c>
      <c r="H274" s="42">
        <v>7.3</v>
      </c>
      <c r="I274" s="40">
        <v>355</v>
      </c>
      <c r="J274" s="42">
        <v>6.7</v>
      </c>
    </row>
    <row r="275" spans="2:10" ht="13.15" customHeight="1" x14ac:dyDescent="0.35">
      <c r="B275" s="46">
        <v>31079</v>
      </c>
      <c r="C275" s="40">
        <v>349</v>
      </c>
      <c r="D275" s="41">
        <v>54</v>
      </c>
      <c r="E275" s="41">
        <v>36</v>
      </c>
      <c r="F275" s="41">
        <v>176</v>
      </c>
      <c r="G275" s="41">
        <v>82</v>
      </c>
      <c r="H275" s="42">
        <v>6.3</v>
      </c>
      <c r="I275" s="40">
        <v>358</v>
      </c>
      <c r="J275" s="42">
        <v>6.5</v>
      </c>
    </row>
    <row r="276" spans="2:10" ht="13.15" customHeight="1" x14ac:dyDescent="0.35">
      <c r="B276" s="46">
        <v>31107</v>
      </c>
      <c r="C276" s="40">
        <v>350</v>
      </c>
      <c r="D276" s="41">
        <v>54</v>
      </c>
      <c r="E276" s="41">
        <v>36</v>
      </c>
      <c r="F276" s="41">
        <v>176</v>
      </c>
      <c r="G276" s="41">
        <v>84</v>
      </c>
      <c r="H276" s="42">
        <v>5.2</v>
      </c>
      <c r="I276" s="40">
        <v>356</v>
      </c>
      <c r="J276" s="42">
        <v>6.4</v>
      </c>
    </row>
    <row r="277" spans="2:10" ht="13.15" customHeight="1" x14ac:dyDescent="0.35">
      <c r="B277" s="46">
        <v>31138</v>
      </c>
      <c r="C277" s="40">
        <v>354</v>
      </c>
      <c r="D277" s="41">
        <v>57</v>
      </c>
      <c r="E277" s="41">
        <v>36</v>
      </c>
      <c r="F277" s="41">
        <v>178</v>
      </c>
      <c r="G277" s="41">
        <v>83</v>
      </c>
      <c r="H277" s="42">
        <v>5.9</v>
      </c>
      <c r="I277" s="40">
        <v>357</v>
      </c>
      <c r="J277" s="42">
        <v>6.9</v>
      </c>
    </row>
    <row r="278" spans="2:10" ht="13.15" customHeight="1" x14ac:dyDescent="0.35">
      <c r="B278" s="46">
        <v>31168</v>
      </c>
      <c r="C278" s="40">
        <v>355</v>
      </c>
      <c r="D278" s="41">
        <v>57</v>
      </c>
      <c r="E278" s="41">
        <v>35</v>
      </c>
      <c r="F278" s="41">
        <v>180</v>
      </c>
      <c r="G278" s="41">
        <v>82</v>
      </c>
      <c r="H278" s="42">
        <v>5.5</v>
      </c>
      <c r="I278" s="40">
        <v>358</v>
      </c>
      <c r="J278" s="42">
        <v>6.4</v>
      </c>
    </row>
    <row r="279" spans="2:10" ht="13.15" customHeight="1" x14ac:dyDescent="0.35">
      <c r="B279" s="46">
        <v>31199</v>
      </c>
      <c r="C279" s="40">
        <v>354</v>
      </c>
      <c r="D279" s="41">
        <v>58</v>
      </c>
      <c r="E279" s="41">
        <v>35</v>
      </c>
      <c r="F279" s="41">
        <v>180</v>
      </c>
      <c r="G279" s="41">
        <v>82</v>
      </c>
      <c r="H279" s="42">
        <v>5.4</v>
      </c>
      <c r="I279" s="40">
        <v>354</v>
      </c>
      <c r="J279" s="42">
        <v>6</v>
      </c>
    </row>
    <row r="280" spans="2:10" ht="13.15" customHeight="1" x14ac:dyDescent="0.35">
      <c r="B280" s="46">
        <v>31229</v>
      </c>
      <c r="C280" s="40">
        <v>351</v>
      </c>
      <c r="D280" s="41">
        <v>59</v>
      </c>
      <c r="E280" s="41">
        <v>36</v>
      </c>
      <c r="F280" s="41">
        <v>176</v>
      </c>
      <c r="G280" s="41">
        <v>81</v>
      </c>
      <c r="H280" s="42">
        <v>5.6</v>
      </c>
      <c r="I280" s="40">
        <v>351</v>
      </c>
      <c r="J280" s="42">
        <v>5.6</v>
      </c>
    </row>
    <row r="281" spans="2:10" ht="13.15" customHeight="1" x14ac:dyDescent="0.35">
      <c r="B281" s="46">
        <v>31260</v>
      </c>
      <c r="C281" s="40">
        <v>351</v>
      </c>
      <c r="D281" s="41">
        <v>59</v>
      </c>
      <c r="E281" s="41">
        <v>35</v>
      </c>
      <c r="F281" s="41">
        <v>175</v>
      </c>
      <c r="G281" s="41">
        <v>82</v>
      </c>
      <c r="H281" s="42">
        <v>5.8</v>
      </c>
      <c r="I281" s="40">
        <v>348</v>
      </c>
      <c r="J281" s="42">
        <v>5.8</v>
      </c>
    </row>
    <row r="282" spans="2:10" ht="13.15" customHeight="1" x14ac:dyDescent="0.35">
      <c r="B282" s="46">
        <v>31291</v>
      </c>
      <c r="C282" s="40">
        <v>352</v>
      </c>
      <c r="D282" s="41">
        <v>62</v>
      </c>
      <c r="E282" s="41">
        <v>34</v>
      </c>
      <c r="F282" s="41">
        <v>175</v>
      </c>
      <c r="G282" s="41">
        <v>81</v>
      </c>
      <c r="H282" s="42">
        <v>6.5</v>
      </c>
      <c r="I282" s="40">
        <v>349</v>
      </c>
      <c r="J282" s="42">
        <v>6.3</v>
      </c>
    </row>
    <row r="283" spans="2:10" ht="13.15" customHeight="1" x14ac:dyDescent="0.35">
      <c r="B283" s="46">
        <v>31321</v>
      </c>
      <c r="C283" s="40">
        <v>358</v>
      </c>
      <c r="D283" s="41">
        <v>65</v>
      </c>
      <c r="E283" s="41">
        <v>35</v>
      </c>
      <c r="F283" s="41">
        <v>177</v>
      </c>
      <c r="G283" s="41">
        <v>81</v>
      </c>
      <c r="H283" s="42">
        <v>6.9</v>
      </c>
      <c r="I283" s="40">
        <v>353</v>
      </c>
      <c r="J283" s="42">
        <v>6.4</v>
      </c>
    </row>
    <row r="284" spans="2:10" ht="13.15" customHeight="1" x14ac:dyDescent="0.35">
      <c r="B284" s="46">
        <v>31352</v>
      </c>
      <c r="C284" s="40">
        <v>356</v>
      </c>
      <c r="D284" s="41">
        <v>68</v>
      </c>
      <c r="E284" s="41">
        <v>35</v>
      </c>
      <c r="F284" s="41">
        <v>173</v>
      </c>
      <c r="G284" s="41">
        <v>79</v>
      </c>
      <c r="H284" s="42">
        <v>7</v>
      </c>
      <c r="I284" s="40">
        <v>353</v>
      </c>
      <c r="J284" s="42">
        <v>5.9</v>
      </c>
    </row>
    <row r="285" spans="2:10" ht="13.15" customHeight="1" x14ac:dyDescent="0.35">
      <c r="B285" s="46">
        <v>31382</v>
      </c>
      <c r="C285" s="40">
        <v>350</v>
      </c>
      <c r="D285" s="41">
        <v>66</v>
      </c>
      <c r="E285" s="41">
        <v>34</v>
      </c>
      <c r="F285" s="41">
        <v>172</v>
      </c>
      <c r="G285" s="41">
        <v>79</v>
      </c>
      <c r="H285" s="42">
        <v>7.5</v>
      </c>
      <c r="I285" s="40">
        <v>346</v>
      </c>
      <c r="J285" s="42">
        <v>5.8</v>
      </c>
    </row>
    <row r="286" spans="2:10" ht="13.15" customHeight="1" x14ac:dyDescent="0.35">
      <c r="B286" s="46">
        <v>31413</v>
      </c>
      <c r="C286" s="40">
        <v>351</v>
      </c>
      <c r="D286" s="41">
        <v>69</v>
      </c>
      <c r="E286" s="41">
        <v>33</v>
      </c>
      <c r="F286" s="41">
        <v>171</v>
      </c>
      <c r="G286" s="41">
        <v>78</v>
      </c>
      <c r="H286" s="42">
        <v>6.4</v>
      </c>
      <c r="I286" s="40">
        <v>352</v>
      </c>
      <c r="J286" s="42">
        <v>5.7</v>
      </c>
    </row>
    <row r="287" spans="2:10" ht="13.15" customHeight="1" x14ac:dyDescent="0.35">
      <c r="B287" s="46">
        <v>31444</v>
      </c>
      <c r="C287" s="40">
        <v>342</v>
      </c>
      <c r="D287" s="41">
        <v>67</v>
      </c>
      <c r="E287" s="41">
        <v>33</v>
      </c>
      <c r="F287" s="41">
        <v>167</v>
      </c>
      <c r="G287" s="41">
        <v>75</v>
      </c>
      <c r="H287" s="42">
        <v>5.8</v>
      </c>
      <c r="I287" s="40">
        <v>351</v>
      </c>
      <c r="J287" s="42">
        <v>6</v>
      </c>
    </row>
    <row r="288" spans="2:10" ht="13.15" customHeight="1" x14ac:dyDescent="0.35">
      <c r="B288" s="46">
        <v>31472</v>
      </c>
      <c r="C288" s="40">
        <v>331</v>
      </c>
      <c r="D288" s="41">
        <v>67</v>
      </c>
      <c r="E288" s="41">
        <v>33</v>
      </c>
      <c r="F288" s="41">
        <v>161</v>
      </c>
      <c r="G288" s="41">
        <v>70</v>
      </c>
      <c r="H288" s="42">
        <v>3.7</v>
      </c>
      <c r="I288" s="40">
        <v>336</v>
      </c>
      <c r="J288" s="42">
        <v>4.7</v>
      </c>
    </row>
    <row r="289" spans="2:10" ht="13.15" customHeight="1" x14ac:dyDescent="0.35">
      <c r="B289" s="46">
        <v>31503</v>
      </c>
      <c r="C289" s="40">
        <v>333</v>
      </c>
      <c r="D289" s="41">
        <v>70</v>
      </c>
      <c r="E289" s="41">
        <v>33</v>
      </c>
      <c r="F289" s="41">
        <v>162</v>
      </c>
      <c r="G289" s="41">
        <v>69</v>
      </c>
      <c r="H289" s="42">
        <v>4</v>
      </c>
      <c r="I289" s="40">
        <v>336</v>
      </c>
      <c r="J289" s="42">
        <v>4.7</v>
      </c>
    </row>
    <row r="290" spans="2:10" ht="13.15" customHeight="1" x14ac:dyDescent="0.35">
      <c r="B290" s="46">
        <v>31533</v>
      </c>
      <c r="C290" s="40">
        <v>335</v>
      </c>
      <c r="D290" s="41">
        <v>71</v>
      </c>
      <c r="E290" s="41">
        <v>32</v>
      </c>
      <c r="F290" s="41">
        <v>161</v>
      </c>
      <c r="G290" s="41">
        <v>71</v>
      </c>
      <c r="H290" s="42">
        <v>4.5</v>
      </c>
      <c r="I290" s="40">
        <v>337</v>
      </c>
      <c r="J290" s="42">
        <v>5.2</v>
      </c>
    </row>
    <row r="291" spans="2:10" ht="13.15" customHeight="1" x14ac:dyDescent="0.35">
      <c r="B291" s="46">
        <v>31564</v>
      </c>
      <c r="C291" s="40">
        <v>341</v>
      </c>
      <c r="D291" s="41">
        <v>74</v>
      </c>
      <c r="E291" s="41">
        <v>33</v>
      </c>
      <c r="F291" s="41">
        <v>162</v>
      </c>
      <c r="G291" s="41">
        <v>73</v>
      </c>
      <c r="H291" s="42">
        <v>5.0999999999999996</v>
      </c>
      <c r="I291" s="40">
        <v>340</v>
      </c>
      <c r="J291" s="42">
        <v>5.7</v>
      </c>
    </row>
    <row r="292" spans="2:10" ht="13.15" customHeight="1" x14ac:dyDescent="0.35">
      <c r="B292" s="46">
        <v>31594</v>
      </c>
      <c r="C292" s="40">
        <v>350</v>
      </c>
      <c r="D292" s="41">
        <v>78</v>
      </c>
      <c r="E292" s="41">
        <v>32</v>
      </c>
      <c r="F292" s="41">
        <v>163</v>
      </c>
      <c r="G292" s="41">
        <v>76</v>
      </c>
      <c r="H292" s="42">
        <v>6.1</v>
      </c>
      <c r="I292" s="40">
        <v>349</v>
      </c>
      <c r="J292" s="42">
        <v>6.1</v>
      </c>
    </row>
    <row r="293" spans="2:10" ht="13.15" customHeight="1" x14ac:dyDescent="0.35">
      <c r="B293" s="46">
        <v>31625</v>
      </c>
      <c r="C293" s="40">
        <v>354</v>
      </c>
      <c r="D293" s="41">
        <v>82</v>
      </c>
      <c r="E293" s="41">
        <v>32</v>
      </c>
      <c r="F293" s="41">
        <v>162</v>
      </c>
      <c r="G293" s="41">
        <v>77</v>
      </c>
      <c r="H293" s="42">
        <v>6.8</v>
      </c>
      <c r="I293" s="40">
        <v>350</v>
      </c>
      <c r="J293" s="42">
        <v>7</v>
      </c>
    </row>
    <row r="294" spans="2:10" ht="13.15" customHeight="1" x14ac:dyDescent="0.35">
      <c r="B294" s="46">
        <v>31656</v>
      </c>
      <c r="C294" s="40">
        <v>357</v>
      </c>
      <c r="D294" s="41">
        <v>85</v>
      </c>
      <c r="E294" s="41">
        <v>32</v>
      </c>
      <c r="F294" s="41">
        <v>160</v>
      </c>
      <c r="G294" s="41">
        <v>80</v>
      </c>
      <c r="H294" s="42">
        <v>5.9</v>
      </c>
      <c r="I294" s="40">
        <v>354</v>
      </c>
      <c r="J294" s="42">
        <v>5.8</v>
      </c>
    </row>
    <row r="295" spans="2:10" ht="13.15" customHeight="1" x14ac:dyDescent="0.35">
      <c r="B295" s="46">
        <v>31686</v>
      </c>
      <c r="C295" s="40">
        <v>362</v>
      </c>
      <c r="D295" s="41">
        <v>90</v>
      </c>
      <c r="E295" s="41">
        <v>33</v>
      </c>
      <c r="F295" s="41">
        <v>159</v>
      </c>
      <c r="G295" s="41">
        <v>81</v>
      </c>
      <c r="H295" s="42">
        <v>6.8</v>
      </c>
      <c r="I295" s="40">
        <v>357</v>
      </c>
      <c r="J295" s="42">
        <v>6.5</v>
      </c>
    </row>
    <row r="296" spans="2:10" ht="13.15" customHeight="1" x14ac:dyDescent="0.35">
      <c r="B296" s="46">
        <v>31717</v>
      </c>
      <c r="C296" s="40">
        <v>357</v>
      </c>
      <c r="D296" s="41">
        <v>87</v>
      </c>
      <c r="E296" s="41">
        <v>34</v>
      </c>
      <c r="F296" s="41">
        <v>155</v>
      </c>
      <c r="G296" s="41">
        <v>80</v>
      </c>
      <c r="H296" s="42">
        <v>7.4</v>
      </c>
      <c r="I296" s="40">
        <v>354</v>
      </c>
      <c r="J296" s="42">
        <v>6.1</v>
      </c>
    </row>
    <row r="297" spans="2:10" ht="13.15" customHeight="1" x14ac:dyDescent="0.35">
      <c r="B297" s="46">
        <v>31747</v>
      </c>
      <c r="C297" s="40">
        <v>361</v>
      </c>
      <c r="D297" s="41">
        <v>88</v>
      </c>
      <c r="E297" s="41">
        <v>32</v>
      </c>
      <c r="F297" s="41">
        <v>153</v>
      </c>
      <c r="G297" s="41">
        <v>87</v>
      </c>
      <c r="H297" s="42">
        <v>7.4</v>
      </c>
      <c r="I297" s="40">
        <v>357</v>
      </c>
      <c r="J297" s="42">
        <v>5.5</v>
      </c>
    </row>
    <row r="298" spans="2:10" ht="13.15" customHeight="1" x14ac:dyDescent="0.35">
      <c r="B298" s="46">
        <v>31778</v>
      </c>
      <c r="C298" s="40">
        <v>355</v>
      </c>
      <c r="D298" s="41">
        <v>85</v>
      </c>
      <c r="E298" s="41">
        <v>33</v>
      </c>
      <c r="F298" s="41">
        <v>150</v>
      </c>
      <c r="G298" s="41">
        <v>87</v>
      </c>
      <c r="H298" s="42">
        <v>6.7</v>
      </c>
      <c r="I298" s="40">
        <v>356</v>
      </c>
      <c r="J298" s="42">
        <v>6</v>
      </c>
    </row>
    <row r="299" spans="2:10" ht="13.15" customHeight="1" x14ac:dyDescent="0.35">
      <c r="B299" s="46">
        <v>31809</v>
      </c>
      <c r="C299" s="40">
        <v>349</v>
      </c>
      <c r="D299" s="41">
        <v>82</v>
      </c>
      <c r="E299" s="41">
        <v>33</v>
      </c>
      <c r="F299" s="41">
        <v>147</v>
      </c>
      <c r="G299" s="41">
        <v>86</v>
      </c>
      <c r="H299" s="42">
        <v>5.9</v>
      </c>
      <c r="I299" s="40">
        <v>357</v>
      </c>
      <c r="J299" s="42">
        <v>6.2</v>
      </c>
    </row>
    <row r="300" spans="2:10" ht="13.15" customHeight="1" x14ac:dyDescent="0.35">
      <c r="B300" s="46">
        <v>31837</v>
      </c>
      <c r="C300" s="40">
        <v>352</v>
      </c>
      <c r="D300" s="41">
        <v>83</v>
      </c>
      <c r="E300" s="41">
        <v>35</v>
      </c>
      <c r="F300" s="41">
        <v>149</v>
      </c>
      <c r="G300" s="41">
        <v>86</v>
      </c>
      <c r="H300" s="42">
        <v>4.8</v>
      </c>
      <c r="I300" s="40">
        <v>358</v>
      </c>
      <c r="J300" s="42">
        <v>6</v>
      </c>
    </row>
    <row r="301" spans="2:10" ht="13.15" customHeight="1" x14ac:dyDescent="0.35">
      <c r="B301" s="46">
        <v>31868</v>
      </c>
      <c r="C301" s="40">
        <v>355</v>
      </c>
      <c r="D301" s="41">
        <v>87</v>
      </c>
      <c r="E301" s="41">
        <v>35</v>
      </c>
      <c r="F301" s="41">
        <v>148</v>
      </c>
      <c r="G301" s="41">
        <v>85</v>
      </c>
      <c r="H301" s="42">
        <v>4.9000000000000004</v>
      </c>
      <c r="I301" s="40">
        <v>358</v>
      </c>
      <c r="J301" s="42">
        <v>6</v>
      </c>
    </row>
    <row r="302" spans="2:10" ht="13.15" customHeight="1" x14ac:dyDescent="0.35">
      <c r="B302" s="46">
        <v>31898</v>
      </c>
      <c r="C302" s="40">
        <v>352</v>
      </c>
      <c r="D302" s="41">
        <v>88</v>
      </c>
      <c r="E302" s="41">
        <v>35</v>
      </c>
      <c r="F302" s="41">
        <v>144</v>
      </c>
      <c r="G302" s="41">
        <v>84</v>
      </c>
      <c r="H302" s="42">
        <v>5.7</v>
      </c>
      <c r="I302" s="40">
        <v>353</v>
      </c>
      <c r="J302" s="42">
        <v>6.7</v>
      </c>
    </row>
    <row r="303" spans="2:10" ht="13.15" customHeight="1" x14ac:dyDescent="0.35">
      <c r="B303" s="46">
        <v>31929</v>
      </c>
      <c r="C303" s="40">
        <v>360</v>
      </c>
      <c r="D303" s="41">
        <v>93</v>
      </c>
      <c r="E303" s="41">
        <v>34</v>
      </c>
      <c r="F303" s="41">
        <v>146</v>
      </c>
      <c r="G303" s="41">
        <v>86</v>
      </c>
      <c r="H303" s="42">
        <v>6.2</v>
      </c>
      <c r="I303" s="40">
        <v>358</v>
      </c>
      <c r="J303" s="42">
        <v>6.9</v>
      </c>
    </row>
    <row r="304" spans="2:10" ht="13.15" customHeight="1" x14ac:dyDescent="0.35">
      <c r="B304" s="46">
        <v>31959</v>
      </c>
      <c r="C304" s="40">
        <v>360</v>
      </c>
      <c r="D304" s="41">
        <v>95</v>
      </c>
      <c r="E304" s="41">
        <v>35</v>
      </c>
      <c r="F304" s="41">
        <v>144</v>
      </c>
      <c r="G304" s="41">
        <v>85</v>
      </c>
      <c r="H304" s="42">
        <v>6.6</v>
      </c>
      <c r="I304" s="40">
        <v>360</v>
      </c>
      <c r="J304" s="42">
        <v>6.7</v>
      </c>
    </row>
    <row r="305" spans="2:10" ht="13.15" customHeight="1" x14ac:dyDescent="0.35">
      <c r="B305" s="46">
        <v>31990</v>
      </c>
      <c r="C305" s="40">
        <v>364</v>
      </c>
      <c r="D305" s="41">
        <v>98</v>
      </c>
      <c r="E305" s="41">
        <v>37</v>
      </c>
      <c r="F305" s="41">
        <v>145</v>
      </c>
      <c r="G305" s="41">
        <v>84</v>
      </c>
      <c r="H305" s="42">
        <v>6.5</v>
      </c>
      <c r="I305" s="40">
        <v>362</v>
      </c>
      <c r="J305" s="42">
        <v>6.8</v>
      </c>
    </row>
    <row r="306" spans="2:10" ht="13.15" customHeight="1" x14ac:dyDescent="0.35">
      <c r="B306" s="46">
        <v>32021</v>
      </c>
      <c r="C306" s="40">
        <v>364</v>
      </c>
      <c r="D306" s="41">
        <v>99</v>
      </c>
      <c r="E306" s="41">
        <v>38</v>
      </c>
      <c r="F306" s="41">
        <v>143</v>
      </c>
      <c r="G306" s="41">
        <v>84</v>
      </c>
      <c r="H306" s="42">
        <v>7</v>
      </c>
      <c r="I306" s="40">
        <v>362</v>
      </c>
      <c r="J306" s="42">
        <v>6.8</v>
      </c>
    </row>
    <row r="307" spans="2:10" ht="13.15" customHeight="1" x14ac:dyDescent="0.35">
      <c r="B307" s="46">
        <v>32051</v>
      </c>
      <c r="C307" s="40">
        <v>365</v>
      </c>
      <c r="D307" s="41">
        <v>101</v>
      </c>
      <c r="E307" s="41">
        <v>38</v>
      </c>
      <c r="F307" s="41">
        <v>144</v>
      </c>
      <c r="G307" s="41">
        <v>81</v>
      </c>
      <c r="H307" s="42">
        <v>7</v>
      </c>
      <c r="I307" s="40">
        <v>361</v>
      </c>
      <c r="J307" s="42">
        <v>6.8</v>
      </c>
    </row>
    <row r="308" spans="2:10" ht="13.15" customHeight="1" x14ac:dyDescent="0.35">
      <c r="B308" s="46">
        <v>32082</v>
      </c>
      <c r="C308" s="40">
        <v>365</v>
      </c>
      <c r="D308" s="41">
        <v>99</v>
      </c>
      <c r="E308" s="41">
        <v>39</v>
      </c>
      <c r="F308" s="41">
        <v>147</v>
      </c>
      <c r="G308" s="41">
        <v>80</v>
      </c>
      <c r="H308" s="42">
        <v>8.4</v>
      </c>
      <c r="I308" s="40">
        <v>363</v>
      </c>
      <c r="J308" s="42">
        <v>7</v>
      </c>
    </row>
    <row r="309" spans="2:10" ht="13.15" customHeight="1" x14ac:dyDescent="0.35">
      <c r="B309" s="46">
        <v>32112</v>
      </c>
      <c r="C309" s="40">
        <v>370</v>
      </c>
      <c r="D309" s="41">
        <v>103</v>
      </c>
      <c r="E309" s="41">
        <v>39</v>
      </c>
      <c r="F309" s="41">
        <v>149</v>
      </c>
      <c r="G309" s="41">
        <v>79</v>
      </c>
      <c r="H309" s="42">
        <v>10</v>
      </c>
      <c r="I309" s="40">
        <v>366</v>
      </c>
      <c r="J309" s="42">
        <v>7.6</v>
      </c>
    </row>
    <row r="310" spans="2:10" ht="13.15" customHeight="1" x14ac:dyDescent="0.35">
      <c r="B310" s="46">
        <v>32143</v>
      </c>
      <c r="C310" s="40">
        <v>366</v>
      </c>
      <c r="D310" s="41">
        <v>103</v>
      </c>
      <c r="E310" s="41">
        <v>39</v>
      </c>
      <c r="F310" s="41">
        <v>146</v>
      </c>
      <c r="G310" s="41">
        <v>78</v>
      </c>
      <c r="H310" s="42">
        <v>8.6</v>
      </c>
      <c r="I310" s="40">
        <v>367</v>
      </c>
      <c r="J310" s="42">
        <v>7.5</v>
      </c>
    </row>
    <row r="311" spans="2:10" ht="13.15" customHeight="1" x14ac:dyDescent="0.35">
      <c r="B311" s="46">
        <v>32174</v>
      </c>
      <c r="C311" s="40">
        <v>363</v>
      </c>
      <c r="D311" s="41">
        <v>102</v>
      </c>
      <c r="E311" s="41">
        <v>38</v>
      </c>
      <c r="F311" s="41">
        <v>144</v>
      </c>
      <c r="G311" s="41">
        <v>79</v>
      </c>
      <c r="H311" s="42">
        <v>6.6</v>
      </c>
      <c r="I311" s="40">
        <v>357</v>
      </c>
      <c r="J311" s="42">
        <v>6.6</v>
      </c>
    </row>
    <row r="312" spans="2:10" ht="13.15" customHeight="1" x14ac:dyDescent="0.35">
      <c r="B312" s="46">
        <v>32203</v>
      </c>
      <c r="C312" s="40">
        <v>366</v>
      </c>
      <c r="D312" s="41">
        <v>106</v>
      </c>
      <c r="E312" s="41">
        <v>40</v>
      </c>
      <c r="F312" s="41">
        <v>141</v>
      </c>
      <c r="G312" s="41">
        <v>79</v>
      </c>
      <c r="H312" s="42">
        <v>5.4</v>
      </c>
      <c r="I312" s="40">
        <v>372</v>
      </c>
      <c r="J312" s="42">
        <v>6.6</v>
      </c>
    </row>
    <row r="313" spans="2:10" ht="13.15" customHeight="1" x14ac:dyDescent="0.35">
      <c r="B313" s="46">
        <v>32234</v>
      </c>
      <c r="C313" s="40">
        <v>362</v>
      </c>
      <c r="D313" s="41">
        <v>106</v>
      </c>
      <c r="E313" s="41">
        <v>42</v>
      </c>
      <c r="F313" s="41">
        <v>137</v>
      </c>
      <c r="G313" s="41">
        <v>77</v>
      </c>
      <c r="H313" s="42">
        <v>5.4</v>
      </c>
      <c r="I313" s="40">
        <v>365</v>
      </c>
      <c r="J313" s="42">
        <v>6.4</v>
      </c>
    </row>
    <row r="314" spans="2:10" ht="13.15" customHeight="1" x14ac:dyDescent="0.35">
      <c r="B314" s="46">
        <v>32264</v>
      </c>
      <c r="C314" s="40">
        <v>367</v>
      </c>
      <c r="D314" s="41">
        <v>108</v>
      </c>
      <c r="E314" s="41">
        <v>42</v>
      </c>
      <c r="F314" s="41">
        <v>138</v>
      </c>
      <c r="G314" s="41">
        <v>79</v>
      </c>
      <c r="H314" s="42">
        <v>5.7</v>
      </c>
      <c r="I314" s="40">
        <v>367</v>
      </c>
      <c r="J314" s="42">
        <v>6.6</v>
      </c>
    </row>
    <row r="315" spans="2:10" ht="13.15" customHeight="1" x14ac:dyDescent="0.35">
      <c r="B315" s="46">
        <v>32295</v>
      </c>
      <c r="C315" s="40">
        <v>367</v>
      </c>
      <c r="D315" s="41">
        <v>109</v>
      </c>
      <c r="E315" s="41">
        <v>42</v>
      </c>
      <c r="F315" s="41">
        <v>135</v>
      </c>
      <c r="G315" s="41">
        <v>80</v>
      </c>
      <c r="H315" s="42">
        <v>5.6</v>
      </c>
      <c r="I315" s="40">
        <v>365</v>
      </c>
      <c r="J315" s="42">
        <v>6.2</v>
      </c>
    </row>
    <row r="316" spans="2:10" ht="13.15" customHeight="1" x14ac:dyDescent="0.35">
      <c r="B316" s="46">
        <v>32325</v>
      </c>
      <c r="C316" s="40">
        <v>365</v>
      </c>
      <c r="D316" s="41">
        <v>112</v>
      </c>
      <c r="E316" s="41">
        <v>41</v>
      </c>
      <c r="F316" s="41">
        <v>132</v>
      </c>
      <c r="G316" s="41">
        <v>79</v>
      </c>
      <c r="H316" s="42">
        <v>6.4</v>
      </c>
      <c r="I316" s="40">
        <v>365</v>
      </c>
      <c r="J316" s="42">
        <v>6.6</v>
      </c>
    </row>
    <row r="317" spans="2:10" ht="13.15" customHeight="1" x14ac:dyDescent="0.35">
      <c r="B317" s="46">
        <v>32356</v>
      </c>
      <c r="C317" s="40">
        <v>366</v>
      </c>
      <c r="D317" s="41">
        <v>112</v>
      </c>
      <c r="E317" s="41">
        <v>42</v>
      </c>
      <c r="F317" s="41">
        <v>132</v>
      </c>
      <c r="G317" s="41">
        <v>80</v>
      </c>
      <c r="H317" s="42">
        <v>6.2</v>
      </c>
      <c r="I317" s="40">
        <v>365</v>
      </c>
      <c r="J317" s="42">
        <v>6.6</v>
      </c>
    </row>
    <row r="318" spans="2:10" ht="13.15" customHeight="1" x14ac:dyDescent="0.35">
      <c r="B318" s="46">
        <v>32387</v>
      </c>
      <c r="C318" s="40">
        <v>363</v>
      </c>
      <c r="D318" s="41">
        <v>112</v>
      </c>
      <c r="E318" s="41">
        <v>41</v>
      </c>
      <c r="F318" s="41">
        <v>131</v>
      </c>
      <c r="G318" s="41">
        <v>79</v>
      </c>
      <c r="H318" s="42">
        <v>6.7</v>
      </c>
      <c r="I318" s="40">
        <v>363</v>
      </c>
      <c r="J318" s="42">
        <v>6.5</v>
      </c>
    </row>
    <row r="319" spans="2:10" ht="13.15" customHeight="1" x14ac:dyDescent="0.35">
      <c r="B319" s="46">
        <v>32417</v>
      </c>
      <c r="C319" s="40">
        <v>358</v>
      </c>
      <c r="D319" s="41">
        <v>110</v>
      </c>
      <c r="E319" s="41">
        <v>41</v>
      </c>
      <c r="F319" s="41">
        <v>130</v>
      </c>
      <c r="G319" s="41">
        <v>78</v>
      </c>
      <c r="H319" s="42">
        <v>6.3</v>
      </c>
      <c r="I319" s="40">
        <v>355</v>
      </c>
      <c r="J319" s="42">
        <v>6</v>
      </c>
    </row>
    <row r="320" spans="2:10" ht="13.15" customHeight="1" x14ac:dyDescent="0.35">
      <c r="B320" s="46">
        <v>32448</v>
      </c>
      <c r="C320" s="40">
        <v>367</v>
      </c>
      <c r="D320" s="41">
        <v>113</v>
      </c>
      <c r="E320" s="41">
        <v>42</v>
      </c>
      <c r="F320" s="41">
        <v>131</v>
      </c>
      <c r="G320" s="41">
        <v>81</v>
      </c>
      <c r="H320" s="42">
        <v>8.5</v>
      </c>
      <c r="I320" s="40">
        <v>366</v>
      </c>
      <c r="J320" s="42">
        <v>7.2</v>
      </c>
    </row>
    <row r="321" spans="2:10" ht="13.15" customHeight="1" x14ac:dyDescent="0.35">
      <c r="B321" s="46">
        <v>32478</v>
      </c>
      <c r="C321" s="40">
        <v>371</v>
      </c>
      <c r="D321" s="41">
        <v>112</v>
      </c>
      <c r="E321" s="41">
        <v>43</v>
      </c>
      <c r="F321" s="41">
        <v>133</v>
      </c>
      <c r="G321" s="41">
        <v>82</v>
      </c>
      <c r="H321" s="42">
        <v>8.8000000000000007</v>
      </c>
      <c r="I321" s="40">
        <v>368</v>
      </c>
      <c r="J321" s="42">
        <v>6.8</v>
      </c>
    </row>
    <row r="322" spans="2:10" ht="13.15" customHeight="1" x14ac:dyDescent="0.35">
      <c r="B322" s="46">
        <v>32509</v>
      </c>
      <c r="C322" s="40">
        <v>368</v>
      </c>
      <c r="D322" s="41">
        <v>110</v>
      </c>
      <c r="E322" s="41">
        <v>43</v>
      </c>
      <c r="F322" s="41">
        <v>135</v>
      </c>
      <c r="G322" s="41">
        <v>80</v>
      </c>
      <c r="H322" s="42">
        <v>7</v>
      </c>
      <c r="I322" s="40">
        <v>369</v>
      </c>
      <c r="J322" s="42">
        <v>6.2</v>
      </c>
    </row>
    <row r="323" spans="2:10" ht="13.15" customHeight="1" x14ac:dyDescent="0.35">
      <c r="B323" s="46">
        <v>32540</v>
      </c>
      <c r="C323" s="40">
        <v>366</v>
      </c>
      <c r="D323" s="41">
        <v>110</v>
      </c>
      <c r="E323" s="41">
        <v>42</v>
      </c>
      <c r="F323" s="41">
        <v>135</v>
      </c>
      <c r="G323" s="41">
        <v>79</v>
      </c>
      <c r="H323" s="42">
        <v>7.2</v>
      </c>
      <c r="I323" s="40">
        <v>373</v>
      </c>
      <c r="J323" s="42">
        <v>7.5</v>
      </c>
    </row>
    <row r="324" spans="2:10" ht="13.15" customHeight="1" x14ac:dyDescent="0.35">
      <c r="B324" s="46">
        <v>32568</v>
      </c>
      <c r="C324" s="40">
        <v>371</v>
      </c>
      <c r="D324" s="41">
        <v>107</v>
      </c>
      <c r="E324" s="41">
        <v>42</v>
      </c>
      <c r="F324" s="41">
        <v>139</v>
      </c>
      <c r="G324" s="41">
        <v>83</v>
      </c>
      <c r="H324" s="42">
        <v>6.4</v>
      </c>
      <c r="I324" s="40">
        <v>375</v>
      </c>
      <c r="J324" s="42">
        <v>8.1999999999999993</v>
      </c>
    </row>
    <row r="325" spans="2:10" ht="13.15" customHeight="1" x14ac:dyDescent="0.35">
      <c r="B325" s="46">
        <v>32599</v>
      </c>
      <c r="C325" s="40">
        <v>372</v>
      </c>
      <c r="D325" s="41">
        <v>109</v>
      </c>
      <c r="E325" s="41">
        <v>41</v>
      </c>
      <c r="F325" s="41">
        <v>138</v>
      </c>
      <c r="G325" s="41">
        <v>83</v>
      </c>
      <c r="H325" s="42">
        <v>6.2</v>
      </c>
      <c r="I325" s="40">
        <v>376</v>
      </c>
      <c r="J325" s="42">
        <v>7.4</v>
      </c>
    </row>
    <row r="326" spans="2:10" ht="13.15" customHeight="1" x14ac:dyDescent="0.35">
      <c r="B326" s="46">
        <v>32629</v>
      </c>
      <c r="C326" s="40">
        <v>378</v>
      </c>
      <c r="D326" s="41">
        <v>111</v>
      </c>
      <c r="E326" s="41">
        <v>42</v>
      </c>
      <c r="F326" s="41">
        <v>138</v>
      </c>
      <c r="G326" s="41">
        <v>87</v>
      </c>
      <c r="H326" s="42">
        <v>6.2</v>
      </c>
      <c r="I326" s="40">
        <v>377</v>
      </c>
      <c r="J326" s="42">
        <v>7.1</v>
      </c>
    </row>
    <row r="327" spans="2:10" ht="13.15" customHeight="1" x14ac:dyDescent="0.35">
      <c r="B327" s="46">
        <v>32660</v>
      </c>
      <c r="C327" s="40">
        <v>378</v>
      </c>
      <c r="D327" s="41">
        <v>113</v>
      </c>
      <c r="E327" s="41">
        <v>41</v>
      </c>
      <c r="F327" s="41">
        <v>136</v>
      </c>
      <c r="G327" s="41">
        <v>87</v>
      </c>
      <c r="H327" s="42">
        <v>6.5</v>
      </c>
      <c r="I327" s="40">
        <v>375</v>
      </c>
      <c r="J327" s="42">
        <v>7.2</v>
      </c>
    </row>
    <row r="328" spans="2:10" ht="13.15" customHeight="1" x14ac:dyDescent="0.35">
      <c r="B328" s="46">
        <v>32690</v>
      </c>
      <c r="C328" s="40">
        <v>369</v>
      </c>
      <c r="D328" s="41">
        <v>110</v>
      </c>
      <c r="E328" s="41">
        <v>39</v>
      </c>
      <c r="F328" s="41">
        <v>133</v>
      </c>
      <c r="G328" s="41">
        <v>86</v>
      </c>
      <c r="H328" s="42">
        <v>6</v>
      </c>
      <c r="I328" s="40">
        <v>369</v>
      </c>
      <c r="J328" s="42">
        <v>6.1</v>
      </c>
    </row>
    <row r="329" spans="2:10" ht="13.15" customHeight="1" x14ac:dyDescent="0.35">
      <c r="B329" s="46">
        <v>32721</v>
      </c>
      <c r="C329" s="40">
        <v>365</v>
      </c>
      <c r="D329" s="41">
        <v>111</v>
      </c>
      <c r="E329" s="41">
        <v>40</v>
      </c>
      <c r="F329" s="41">
        <v>127</v>
      </c>
      <c r="G329" s="41">
        <v>87</v>
      </c>
      <c r="H329" s="42">
        <v>6</v>
      </c>
      <c r="I329" s="40">
        <v>364</v>
      </c>
      <c r="J329" s="42">
        <v>6.4</v>
      </c>
    </row>
    <row r="330" spans="2:10" ht="13.15" customHeight="1" x14ac:dyDescent="0.35">
      <c r="B330" s="46">
        <v>32752</v>
      </c>
      <c r="C330" s="40">
        <v>366</v>
      </c>
      <c r="D330" s="41">
        <v>112</v>
      </c>
      <c r="E330" s="41">
        <v>41</v>
      </c>
      <c r="F330" s="41">
        <v>126</v>
      </c>
      <c r="G330" s="41">
        <v>86</v>
      </c>
      <c r="H330" s="42">
        <v>7.5</v>
      </c>
      <c r="I330" s="40">
        <v>366</v>
      </c>
      <c r="J330" s="42">
        <v>7.1</v>
      </c>
    </row>
    <row r="331" spans="2:10" ht="13.15" customHeight="1" x14ac:dyDescent="0.35">
      <c r="B331" s="46">
        <v>32782</v>
      </c>
      <c r="C331" s="40">
        <v>367</v>
      </c>
      <c r="D331" s="41">
        <v>111</v>
      </c>
      <c r="E331" s="41">
        <v>42</v>
      </c>
      <c r="F331" s="41">
        <v>124</v>
      </c>
      <c r="G331" s="41">
        <v>89</v>
      </c>
      <c r="H331" s="42">
        <v>7.3</v>
      </c>
      <c r="I331" s="40">
        <v>365</v>
      </c>
      <c r="J331" s="42">
        <v>6.9</v>
      </c>
    </row>
    <row r="332" spans="2:10" ht="13.15" customHeight="1" x14ac:dyDescent="0.35">
      <c r="B332" s="46">
        <v>32813</v>
      </c>
      <c r="C332" s="40">
        <v>365</v>
      </c>
      <c r="D332" s="41">
        <v>109</v>
      </c>
      <c r="E332" s="41">
        <v>42</v>
      </c>
      <c r="F332" s="41">
        <v>124</v>
      </c>
      <c r="G332" s="41">
        <v>89</v>
      </c>
      <c r="H332" s="42">
        <v>7.8</v>
      </c>
      <c r="I332" s="40">
        <v>365</v>
      </c>
      <c r="J332" s="42">
        <v>6.6</v>
      </c>
    </row>
    <row r="333" spans="2:10" ht="13.15" customHeight="1" x14ac:dyDescent="0.35">
      <c r="B333" s="46">
        <v>32843</v>
      </c>
      <c r="C333" s="40">
        <v>366</v>
      </c>
      <c r="D333" s="41">
        <v>108</v>
      </c>
      <c r="E333" s="41">
        <v>41</v>
      </c>
      <c r="F333" s="41">
        <v>123</v>
      </c>
      <c r="G333" s="41">
        <v>93</v>
      </c>
      <c r="H333" s="42">
        <v>9.1999999999999993</v>
      </c>
      <c r="I333" s="40">
        <v>365</v>
      </c>
      <c r="J333" s="42">
        <v>7</v>
      </c>
    </row>
    <row r="334" spans="2:10" ht="13.15" customHeight="1" x14ac:dyDescent="0.35">
      <c r="B334" s="46">
        <v>32874</v>
      </c>
      <c r="C334" s="40">
        <v>365</v>
      </c>
      <c r="D334" s="41">
        <v>106</v>
      </c>
      <c r="E334" s="41">
        <v>42</v>
      </c>
      <c r="F334" s="41">
        <v>124</v>
      </c>
      <c r="G334" s="41">
        <v>93</v>
      </c>
      <c r="H334" s="42">
        <v>8.1</v>
      </c>
      <c r="I334" s="40">
        <v>365</v>
      </c>
      <c r="J334" s="42">
        <v>7</v>
      </c>
    </row>
    <row r="335" spans="2:10" ht="13.15" customHeight="1" x14ac:dyDescent="0.35">
      <c r="B335" s="46">
        <v>32905</v>
      </c>
      <c r="C335" s="40">
        <v>359</v>
      </c>
      <c r="D335" s="41">
        <v>104</v>
      </c>
      <c r="E335" s="41">
        <v>42</v>
      </c>
      <c r="F335" s="41">
        <v>122</v>
      </c>
      <c r="G335" s="41">
        <v>91</v>
      </c>
      <c r="H335" s="42">
        <v>7.2</v>
      </c>
      <c r="I335" s="40">
        <v>365</v>
      </c>
      <c r="J335" s="42">
        <v>7.6</v>
      </c>
    </row>
    <row r="336" spans="2:10" ht="13.15" customHeight="1" x14ac:dyDescent="0.35">
      <c r="B336" s="46">
        <v>32933</v>
      </c>
      <c r="C336" s="40">
        <v>358</v>
      </c>
      <c r="D336" s="41">
        <v>100</v>
      </c>
      <c r="E336" s="41">
        <v>43</v>
      </c>
      <c r="F336" s="41">
        <v>122</v>
      </c>
      <c r="G336" s="41">
        <v>95</v>
      </c>
      <c r="H336" s="42">
        <v>6.2</v>
      </c>
      <c r="I336" s="40">
        <v>362</v>
      </c>
      <c r="J336" s="42">
        <v>7.8</v>
      </c>
    </row>
    <row r="337" spans="2:10" ht="13.15" customHeight="1" x14ac:dyDescent="0.35">
      <c r="B337" s="46">
        <v>32964</v>
      </c>
      <c r="C337" s="40">
        <v>360</v>
      </c>
      <c r="D337" s="41">
        <v>98</v>
      </c>
      <c r="E337" s="41">
        <v>45</v>
      </c>
      <c r="F337" s="41">
        <v>122</v>
      </c>
      <c r="G337" s="41">
        <v>95</v>
      </c>
      <c r="H337" s="42">
        <v>6.9</v>
      </c>
      <c r="I337" s="40">
        <v>362</v>
      </c>
      <c r="J337" s="42">
        <v>8.3000000000000007</v>
      </c>
    </row>
    <row r="338" spans="2:10" ht="13.15" customHeight="1" x14ac:dyDescent="0.35">
      <c r="B338" s="46">
        <v>32994</v>
      </c>
      <c r="C338" s="40">
        <v>359</v>
      </c>
      <c r="D338" s="41">
        <v>96</v>
      </c>
      <c r="E338" s="41">
        <v>45</v>
      </c>
      <c r="F338" s="41">
        <v>122</v>
      </c>
      <c r="G338" s="41">
        <v>96</v>
      </c>
      <c r="H338" s="42">
        <v>7.2</v>
      </c>
      <c r="I338" s="40">
        <v>358</v>
      </c>
      <c r="J338" s="42">
        <v>8.1999999999999993</v>
      </c>
    </row>
    <row r="339" spans="2:10" ht="13.15" customHeight="1" x14ac:dyDescent="0.35">
      <c r="B339" s="46">
        <v>33025</v>
      </c>
      <c r="C339" s="40">
        <v>355</v>
      </c>
      <c r="D339" s="41">
        <v>93</v>
      </c>
      <c r="E339" s="41">
        <v>45</v>
      </c>
      <c r="F339" s="41">
        <v>119</v>
      </c>
      <c r="G339" s="41">
        <v>98</v>
      </c>
      <c r="H339" s="42">
        <v>7.2</v>
      </c>
      <c r="I339" s="40">
        <v>353</v>
      </c>
      <c r="J339" s="42">
        <v>7.9</v>
      </c>
    </row>
    <row r="340" spans="2:10" ht="13.15" customHeight="1" x14ac:dyDescent="0.35">
      <c r="B340" s="46">
        <v>33055</v>
      </c>
      <c r="C340" s="40">
        <v>350</v>
      </c>
      <c r="D340" s="41">
        <v>91</v>
      </c>
      <c r="E340" s="41">
        <v>45</v>
      </c>
      <c r="F340" s="41">
        <v>116</v>
      </c>
      <c r="G340" s="41">
        <v>99</v>
      </c>
      <c r="H340" s="42">
        <v>7.6</v>
      </c>
      <c r="I340" s="40">
        <v>350</v>
      </c>
      <c r="J340" s="42">
        <v>7.8</v>
      </c>
    </row>
    <row r="341" spans="2:10" ht="13.15" customHeight="1" x14ac:dyDescent="0.35">
      <c r="B341" s="46">
        <v>33086</v>
      </c>
      <c r="C341" s="40">
        <v>346</v>
      </c>
      <c r="D341" s="41">
        <v>91</v>
      </c>
      <c r="E341" s="41">
        <v>44</v>
      </c>
      <c r="F341" s="41">
        <v>112</v>
      </c>
      <c r="G341" s="41">
        <v>99</v>
      </c>
      <c r="H341" s="42">
        <v>7.6</v>
      </c>
      <c r="I341" s="40">
        <v>344</v>
      </c>
      <c r="J341" s="42">
        <v>8.1999999999999993</v>
      </c>
    </row>
    <row r="342" spans="2:10" ht="13.15" customHeight="1" x14ac:dyDescent="0.35">
      <c r="B342" s="46">
        <v>33117</v>
      </c>
      <c r="C342" s="40">
        <v>339</v>
      </c>
      <c r="D342" s="41">
        <v>88</v>
      </c>
      <c r="E342" s="41">
        <v>42</v>
      </c>
      <c r="F342" s="41">
        <v>111</v>
      </c>
      <c r="G342" s="41">
        <v>97</v>
      </c>
      <c r="H342" s="42">
        <v>8.8000000000000007</v>
      </c>
      <c r="I342" s="40">
        <v>339</v>
      </c>
      <c r="J342" s="42">
        <v>8.4</v>
      </c>
    </row>
    <row r="343" spans="2:10" ht="13.15" customHeight="1" x14ac:dyDescent="0.35">
      <c r="B343" s="46">
        <v>33147</v>
      </c>
      <c r="C343" s="40">
        <v>336</v>
      </c>
      <c r="D343" s="41">
        <v>84</v>
      </c>
      <c r="E343" s="41">
        <v>43</v>
      </c>
      <c r="F343" s="41">
        <v>110</v>
      </c>
      <c r="G343" s="41">
        <v>99</v>
      </c>
      <c r="H343" s="42">
        <v>9.1</v>
      </c>
      <c r="I343" s="40">
        <v>335</v>
      </c>
      <c r="J343" s="42">
        <v>8.6999999999999993</v>
      </c>
    </row>
    <row r="344" spans="2:10" ht="13.15" customHeight="1" x14ac:dyDescent="0.35">
      <c r="B344" s="46">
        <v>33178</v>
      </c>
      <c r="C344" s="40">
        <v>328</v>
      </c>
      <c r="D344" s="41">
        <v>80</v>
      </c>
      <c r="E344" s="41">
        <v>42</v>
      </c>
      <c r="F344" s="41">
        <v>107</v>
      </c>
      <c r="G344" s="41">
        <v>98</v>
      </c>
      <c r="H344" s="42">
        <v>9.6999999999999993</v>
      </c>
      <c r="I344" s="40">
        <v>328</v>
      </c>
      <c r="J344" s="42">
        <v>8.1999999999999993</v>
      </c>
    </row>
    <row r="345" spans="2:10" ht="13.15" customHeight="1" x14ac:dyDescent="0.35">
      <c r="B345" s="46">
        <v>33208</v>
      </c>
      <c r="C345" s="40">
        <v>321</v>
      </c>
      <c r="D345" s="41">
        <v>77</v>
      </c>
      <c r="E345" s="41">
        <v>42</v>
      </c>
      <c r="F345" s="41">
        <v>105</v>
      </c>
      <c r="G345" s="41">
        <v>97</v>
      </c>
      <c r="H345" s="42">
        <v>10.9</v>
      </c>
      <c r="I345" s="40">
        <v>321</v>
      </c>
      <c r="J345" s="42">
        <v>8.5</v>
      </c>
    </row>
    <row r="346" spans="2:10" ht="13.15" customHeight="1" x14ac:dyDescent="0.35">
      <c r="B346" s="46">
        <v>33239</v>
      </c>
      <c r="C346" s="40">
        <v>315</v>
      </c>
      <c r="D346" s="41">
        <v>75</v>
      </c>
      <c r="E346" s="41">
        <v>40</v>
      </c>
      <c r="F346" s="41">
        <v>105</v>
      </c>
      <c r="G346" s="41">
        <v>95</v>
      </c>
      <c r="H346" s="42">
        <v>10.7</v>
      </c>
      <c r="I346" s="40">
        <v>315</v>
      </c>
      <c r="J346" s="42">
        <v>9.4</v>
      </c>
    </row>
    <row r="347" spans="2:10" ht="13.15" customHeight="1" x14ac:dyDescent="0.35">
      <c r="B347" s="46">
        <v>33270</v>
      </c>
      <c r="C347" s="40">
        <v>308</v>
      </c>
      <c r="D347" s="41">
        <v>73</v>
      </c>
      <c r="E347" s="41">
        <v>40</v>
      </c>
      <c r="F347" s="41">
        <v>103</v>
      </c>
      <c r="G347" s="41">
        <v>92</v>
      </c>
      <c r="H347" s="42">
        <v>7.7</v>
      </c>
      <c r="I347" s="40">
        <v>314</v>
      </c>
      <c r="J347" s="42">
        <v>7.9</v>
      </c>
    </row>
    <row r="348" spans="2:10" ht="13.15" customHeight="1" x14ac:dyDescent="0.35">
      <c r="B348" s="46">
        <v>33298</v>
      </c>
      <c r="C348" s="40">
        <v>304</v>
      </c>
      <c r="D348" s="41">
        <v>71</v>
      </c>
      <c r="E348" s="41">
        <v>40</v>
      </c>
      <c r="F348" s="41">
        <v>103</v>
      </c>
      <c r="G348" s="41">
        <v>90</v>
      </c>
      <c r="H348" s="42">
        <v>5.9</v>
      </c>
      <c r="I348" s="40">
        <v>308</v>
      </c>
      <c r="J348" s="42">
        <v>7.3</v>
      </c>
    </row>
    <row r="349" spans="2:10" ht="13.15" customHeight="1" x14ac:dyDescent="0.35">
      <c r="B349" s="46">
        <v>33329</v>
      </c>
      <c r="C349" s="40">
        <v>301</v>
      </c>
      <c r="D349" s="41">
        <v>71</v>
      </c>
      <c r="E349" s="41">
        <v>40</v>
      </c>
      <c r="F349" s="41">
        <v>99</v>
      </c>
      <c r="G349" s="41">
        <v>90</v>
      </c>
      <c r="H349" s="42">
        <v>6</v>
      </c>
      <c r="I349" s="40">
        <v>302</v>
      </c>
      <c r="J349" s="42">
        <v>7.3</v>
      </c>
    </row>
    <row r="350" spans="2:10" ht="13.15" customHeight="1" x14ac:dyDescent="0.35">
      <c r="B350" s="46">
        <v>33359</v>
      </c>
      <c r="C350" s="40">
        <v>300</v>
      </c>
      <c r="D350" s="41">
        <v>70</v>
      </c>
      <c r="E350" s="41">
        <v>39</v>
      </c>
      <c r="F350" s="41">
        <v>101</v>
      </c>
      <c r="G350" s="41">
        <v>90</v>
      </c>
      <c r="H350" s="42">
        <v>6.3</v>
      </c>
      <c r="I350" s="40">
        <v>298</v>
      </c>
      <c r="J350" s="42">
        <v>7</v>
      </c>
    </row>
    <row r="351" spans="2:10" ht="13.15" customHeight="1" x14ac:dyDescent="0.35">
      <c r="B351" s="46">
        <v>33390</v>
      </c>
      <c r="C351" s="40">
        <v>296</v>
      </c>
      <c r="D351" s="41">
        <v>68</v>
      </c>
      <c r="E351" s="41">
        <v>38</v>
      </c>
      <c r="F351" s="41">
        <v>100</v>
      </c>
      <c r="G351" s="41">
        <v>89</v>
      </c>
      <c r="H351" s="42">
        <v>6.3</v>
      </c>
      <c r="I351" s="40">
        <v>295</v>
      </c>
      <c r="J351" s="42">
        <v>7</v>
      </c>
    </row>
    <row r="352" spans="2:10" ht="13.15" customHeight="1" x14ac:dyDescent="0.35">
      <c r="B352" s="46">
        <v>33420</v>
      </c>
      <c r="C352" s="40">
        <v>296</v>
      </c>
      <c r="D352" s="41">
        <v>67</v>
      </c>
      <c r="E352" s="41">
        <v>40</v>
      </c>
      <c r="F352" s="41">
        <v>100</v>
      </c>
      <c r="G352" s="41">
        <v>89</v>
      </c>
      <c r="H352" s="42">
        <v>6.8</v>
      </c>
      <c r="I352" s="40">
        <v>294</v>
      </c>
      <c r="J352" s="42">
        <v>7.1</v>
      </c>
    </row>
    <row r="353" spans="2:10" ht="13.15" customHeight="1" x14ac:dyDescent="0.35">
      <c r="B353" s="46">
        <v>33451</v>
      </c>
      <c r="C353" s="40">
        <v>291</v>
      </c>
      <c r="D353" s="41">
        <v>66</v>
      </c>
      <c r="E353" s="41">
        <v>40</v>
      </c>
      <c r="F353" s="41">
        <v>98</v>
      </c>
      <c r="G353" s="41">
        <v>87</v>
      </c>
      <c r="H353" s="42">
        <v>6.3</v>
      </c>
      <c r="I353" s="40">
        <v>291</v>
      </c>
      <c r="J353" s="42">
        <v>6.8</v>
      </c>
    </row>
    <row r="354" spans="2:10" ht="13.15" customHeight="1" x14ac:dyDescent="0.35">
      <c r="B354" s="46">
        <v>33482</v>
      </c>
      <c r="C354" s="40">
        <v>292</v>
      </c>
      <c r="D354" s="41">
        <v>66</v>
      </c>
      <c r="E354" s="41">
        <v>40</v>
      </c>
      <c r="F354" s="41">
        <v>100</v>
      </c>
      <c r="G354" s="41">
        <v>86</v>
      </c>
      <c r="H354" s="42">
        <v>7.8</v>
      </c>
      <c r="I354" s="40">
        <v>291</v>
      </c>
      <c r="J354" s="42">
        <v>7.4</v>
      </c>
    </row>
    <row r="355" spans="2:10" ht="13.15" customHeight="1" x14ac:dyDescent="0.35">
      <c r="B355" s="46">
        <v>33512</v>
      </c>
      <c r="C355" s="40">
        <v>290</v>
      </c>
      <c r="D355" s="41">
        <v>64</v>
      </c>
      <c r="E355" s="41">
        <v>41</v>
      </c>
      <c r="F355" s="41">
        <v>99</v>
      </c>
      <c r="G355" s="41">
        <v>86</v>
      </c>
      <c r="H355" s="42">
        <v>7</v>
      </c>
      <c r="I355" s="40">
        <v>289</v>
      </c>
      <c r="J355" s="42">
        <v>6.7</v>
      </c>
    </row>
    <row r="356" spans="2:10" ht="13.15" customHeight="1" x14ac:dyDescent="0.35">
      <c r="B356" s="46">
        <v>33543</v>
      </c>
      <c r="C356" s="40">
        <v>285</v>
      </c>
      <c r="D356" s="41">
        <v>64</v>
      </c>
      <c r="E356" s="41">
        <v>41</v>
      </c>
      <c r="F356" s="41">
        <v>97</v>
      </c>
      <c r="G356" s="41">
        <v>83</v>
      </c>
      <c r="H356" s="42">
        <v>7.3</v>
      </c>
      <c r="I356" s="40">
        <v>287</v>
      </c>
      <c r="J356" s="42">
        <v>6.2</v>
      </c>
    </row>
    <row r="357" spans="2:10" ht="13.15" customHeight="1" x14ac:dyDescent="0.35">
      <c r="B357" s="46">
        <v>33573</v>
      </c>
      <c r="C357" s="40">
        <v>284</v>
      </c>
      <c r="D357" s="41">
        <v>62</v>
      </c>
      <c r="E357" s="41">
        <v>41</v>
      </c>
      <c r="F357" s="41">
        <v>97</v>
      </c>
      <c r="G357" s="41">
        <v>83</v>
      </c>
      <c r="H357" s="42">
        <v>7.9</v>
      </c>
      <c r="I357" s="40">
        <v>284</v>
      </c>
      <c r="J357" s="42">
        <v>6.2</v>
      </c>
    </row>
    <row r="358" spans="2:10" ht="13.15" customHeight="1" x14ac:dyDescent="0.35">
      <c r="B358" s="46">
        <v>33604</v>
      </c>
      <c r="C358" s="40">
        <v>281</v>
      </c>
      <c r="D358" s="41">
        <v>61</v>
      </c>
      <c r="E358" s="41">
        <v>40</v>
      </c>
      <c r="F358" s="41">
        <v>100</v>
      </c>
      <c r="G358" s="41">
        <v>80</v>
      </c>
      <c r="H358" s="42">
        <v>5.9</v>
      </c>
      <c r="I358" s="40">
        <v>281</v>
      </c>
      <c r="J358" s="42">
        <v>5.2</v>
      </c>
    </row>
    <row r="359" spans="2:10" ht="13.15" customHeight="1" x14ac:dyDescent="0.35">
      <c r="B359" s="46">
        <v>33635</v>
      </c>
      <c r="C359" s="40">
        <v>272</v>
      </c>
      <c r="D359" s="41">
        <v>58</v>
      </c>
      <c r="E359" s="41">
        <v>39</v>
      </c>
      <c r="F359" s="41">
        <v>100</v>
      </c>
      <c r="G359" s="41">
        <v>75</v>
      </c>
      <c r="H359" s="42">
        <v>4.9000000000000004</v>
      </c>
      <c r="I359" s="40">
        <v>269</v>
      </c>
      <c r="J359" s="42">
        <v>4.9000000000000004</v>
      </c>
    </row>
    <row r="360" spans="2:10" ht="13.15" customHeight="1" x14ac:dyDescent="0.35">
      <c r="B360" s="46">
        <v>33664</v>
      </c>
      <c r="C360" s="40">
        <v>275</v>
      </c>
      <c r="D360" s="41">
        <v>58</v>
      </c>
      <c r="E360" s="41">
        <v>40</v>
      </c>
      <c r="F360" s="41">
        <v>101</v>
      </c>
      <c r="G360" s="41">
        <v>75</v>
      </c>
      <c r="H360" s="42">
        <v>4.9000000000000004</v>
      </c>
      <c r="I360" s="40">
        <v>279</v>
      </c>
      <c r="J360" s="42">
        <v>6.1</v>
      </c>
    </row>
    <row r="361" spans="2:10" ht="13.15" customHeight="1" x14ac:dyDescent="0.35">
      <c r="B361" s="46">
        <v>33695</v>
      </c>
      <c r="C361" s="40">
        <v>273</v>
      </c>
      <c r="D361" s="41">
        <v>59</v>
      </c>
      <c r="E361" s="41">
        <v>40</v>
      </c>
      <c r="F361" s="41">
        <v>102</v>
      </c>
      <c r="G361" s="41">
        <v>73</v>
      </c>
      <c r="H361" s="42">
        <v>5.2</v>
      </c>
      <c r="I361" s="40">
        <v>274</v>
      </c>
      <c r="J361" s="42">
        <v>6.1</v>
      </c>
    </row>
    <row r="362" spans="2:10" ht="13.15" customHeight="1" x14ac:dyDescent="0.35">
      <c r="B362" s="46">
        <v>33725</v>
      </c>
      <c r="C362" s="40">
        <v>272</v>
      </c>
      <c r="D362" s="41">
        <v>58</v>
      </c>
      <c r="E362" s="41">
        <v>39</v>
      </c>
      <c r="F362" s="41">
        <v>101</v>
      </c>
      <c r="G362" s="41">
        <v>74</v>
      </c>
      <c r="H362" s="42">
        <v>5.2</v>
      </c>
      <c r="I362" s="40">
        <v>273</v>
      </c>
      <c r="J362" s="42">
        <v>6</v>
      </c>
    </row>
    <row r="363" spans="2:10" ht="13.15" customHeight="1" x14ac:dyDescent="0.35">
      <c r="B363" s="46">
        <v>33756</v>
      </c>
      <c r="C363" s="40">
        <v>275</v>
      </c>
      <c r="D363" s="41">
        <v>56</v>
      </c>
      <c r="E363" s="41">
        <v>40</v>
      </c>
      <c r="F363" s="41">
        <v>103</v>
      </c>
      <c r="G363" s="41">
        <v>77</v>
      </c>
      <c r="H363" s="42">
        <v>5.2</v>
      </c>
      <c r="I363" s="40">
        <v>273</v>
      </c>
      <c r="J363" s="42">
        <v>5.6</v>
      </c>
    </row>
    <row r="364" spans="2:10" ht="13.15" customHeight="1" x14ac:dyDescent="0.35">
      <c r="B364" s="46">
        <v>33786</v>
      </c>
      <c r="C364" s="40">
        <v>273</v>
      </c>
      <c r="D364" s="41">
        <v>55</v>
      </c>
      <c r="E364" s="41">
        <v>40</v>
      </c>
      <c r="F364" s="41">
        <v>104</v>
      </c>
      <c r="G364" s="41">
        <v>74</v>
      </c>
      <c r="H364" s="42">
        <v>5.3</v>
      </c>
      <c r="I364" s="40">
        <v>271</v>
      </c>
      <c r="J364" s="42">
        <v>5.3</v>
      </c>
    </row>
    <row r="365" spans="2:10" ht="13.15" customHeight="1" x14ac:dyDescent="0.35">
      <c r="B365" s="46">
        <v>33817</v>
      </c>
      <c r="C365" s="40">
        <v>269</v>
      </c>
      <c r="D365" s="41">
        <v>54</v>
      </c>
      <c r="E365" s="41">
        <v>38</v>
      </c>
      <c r="F365" s="41">
        <v>102</v>
      </c>
      <c r="G365" s="41">
        <v>74</v>
      </c>
      <c r="H365" s="42">
        <v>4.8</v>
      </c>
      <c r="I365" s="40">
        <v>269</v>
      </c>
      <c r="J365" s="42">
        <v>5.2</v>
      </c>
    </row>
    <row r="366" spans="2:10" ht="13.15" customHeight="1" x14ac:dyDescent="0.35">
      <c r="B366" s="46">
        <v>33848</v>
      </c>
      <c r="C366" s="40">
        <v>268</v>
      </c>
      <c r="D366" s="41">
        <v>53</v>
      </c>
      <c r="E366" s="41">
        <v>39</v>
      </c>
      <c r="F366" s="41">
        <v>105</v>
      </c>
      <c r="G366" s="41">
        <v>72</v>
      </c>
      <c r="H366" s="42">
        <v>5.2</v>
      </c>
      <c r="I366" s="40">
        <v>265</v>
      </c>
      <c r="J366" s="42">
        <v>5</v>
      </c>
    </row>
    <row r="367" spans="2:10" ht="13.15" customHeight="1" x14ac:dyDescent="0.35">
      <c r="B367" s="46">
        <v>33878</v>
      </c>
      <c r="C367" s="40">
        <v>266</v>
      </c>
      <c r="D367" s="41">
        <v>51</v>
      </c>
      <c r="E367" s="41">
        <v>39</v>
      </c>
      <c r="F367" s="41">
        <v>103</v>
      </c>
      <c r="G367" s="41">
        <v>72</v>
      </c>
      <c r="H367" s="42">
        <v>5.4</v>
      </c>
      <c r="I367" s="40">
        <v>264</v>
      </c>
      <c r="J367" s="42">
        <v>5.0999999999999996</v>
      </c>
    </row>
    <row r="368" spans="2:10" ht="13.15" customHeight="1" x14ac:dyDescent="0.35">
      <c r="B368" s="46">
        <v>33909</v>
      </c>
      <c r="C368" s="40">
        <v>261</v>
      </c>
      <c r="D368" s="41">
        <v>51</v>
      </c>
      <c r="E368" s="41">
        <v>39</v>
      </c>
      <c r="F368" s="41">
        <v>101</v>
      </c>
      <c r="G368" s="41">
        <v>70</v>
      </c>
      <c r="H368" s="42">
        <v>6.2</v>
      </c>
      <c r="I368" s="40">
        <v>262</v>
      </c>
      <c r="J368" s="42">
        <v>5.4</v>
      </c>
    </row>
    <row r="369" spans="2:10" ht="13.15" customHeight="1" x14ac:dyDescent="0.35">
      <c r="B369" s="46">
        <v>33939</v>
      </c>
      <c r="C369" s="40">
        <v>267</v>
      </c>
      <c r="D369" s="41">
        <v>48</v>
      </c>
      <c r="E369" s="41">
        <v>41</v>
      </c>
      <c r="F369" s="41">
        <v>104</v>
      </c>
      <c r="G369" s="41">
        <v>74</v>
      </c>
      <c r="H369" s="42">
        <v>6.4</v>
      </c>
      <c r="I369" s="40">
        <v>265</v>
      </c>
      <c r="J369" s="42">
        <v>5</v>
      </c>
    </row>
    <row r="370" spans="2:10" ht="13.15" customHeight="1" x14ac:dyDescent="0.35">
      <c r="B370" s="46">
        <v>33970</v>
      </c>
      <c r="C370" s="40">
        <v>265</v>
      </c>
      <c r="D370" s="41">
        <v>49</v>
      </c>
      <c r="E370" s="41">
        <v>40</v>
      </c>
      <c r="F370" s="41">
        <v>104</v>
      </c>
      <c r="G370" s="41">
        <v>73</v>
      </c>
      <c r="H370" s="42">
        <v>6</v>
      </c>
      <c r="I370" s="40">
        <v>266</v>
      </c>
      <c r="J370" s="42">
        <v>5.4</v>
      </c>
    </row>
    <row r="371" spans="2:10" ht="13.15" customHeight="1" x14ac:dyDescent="0.35">
      <c r="B371" s="46">
        <v>34001</v>
      </c>
      <c r="C371" s="40">
        <v>263</v>
      </c>
      <c r="D371" s="41">
        <v>48</v>
      </c>
      <c r="E371" s="41">
        <v>39</v>
      </c>
      <c r="F371" s="41">
        <v>105</v>
      </c>
      <c r="G371" s="41">
        <v>71</v>
      </c>
      <c r="H371" s="42">
        <v>5.3</v>
      </c>
      <c r="I371" s="40">
        <v>267</v>
      </c>
      <c r="J371" s="42">
        <v>5.3</v>
      </c>
    </row>
    <row r="372" spans="2:10" ht="13.15" customHeight="1" x14ac:dyDescent="0.35">
      <c r="B372" s="46">
        <v>34029</v>
      </c>
      <c r="C372" s="40">
        <v>268</v>
      </c>
      <c r="D372" s="41">
        <v>48</v>
      </c>
      <c r="E372" s="41">
        <v>41</v>
      </c>
      <c r="F372" s="41">
        <v>106</v>
      </c>
      <c r="G372" s="41">
        <v>73</v>
      </c>
      <c r="H372" s="42">
        <v>4.5</v>
      </c>
      <c r="I372" s="40">
        <v>270</v>
      </c>
      <c r="J372" s="42">
        <v>5.4</v>
      </c>
    </row>
    <row r="373" spans="2:10" ht="13.15" customHeight="1" x14ac:dyDescent="0.35">
      <c r="B373" s="46">
        <v>34060</v>
      </c>
      <c r="C373" s="40">
        <v>270</v>
      </c>
      <c r="D373" s="41">
        <v>46</v>
      </c>
      <c r="E373" s="41">
        <v>42</v>
      </c>
      <c r="F373" s="41">
        <v>108</v>
      </c>
      <c r="G373" s="41">
        <v>74</v>
      </c>
      <c r="H373" s="42">
        <v>4.0999999999999996</v>
      </c>
      <c r="I373" s="40">
        <v>272</v>
      </c>
      <c r="J373" s="42">
        <v>4.7</v>
      </c>
    </row>
    <row r="374" spans="2:10" ht="13.15" customHeight="1" x14ac:dyDescent="0.35">
      <c r="B374" s="46">
        <v>34090</v>
      </c>
      <c r="C374" s="40">
        <v>273</v>
      </c>
      <c r="D374" s="41">
        <v>47</v>
      </c>
      <c r="E374" s="41">
        <v>43</v>
      </c>
      <c r="F374" s="41">
        <v>111</v>
      </c>
      <c r="G374" s="41">
        <v>72</v>
      </c>
      <c r="H374" s="42">
        <v>4.7</v>
      </c>
      <c r="I374" s="40">
        <v>275</v>
      </c>
      <c r="J374" s="42">
        <v>5.3</v>
      </c>
    </row>
    <row r="375" spans="2:10" ht="13.15" customHeight="1" x14ac:dyDescent="0.35">
      <c r="B375" s="46">
        <v>34121</v>
      </c>
      <c r="C375" s="40">
        <v>276</v>
      </c>
      <c r="D375" s="41">
        <v>48</v>
      </c>
      <c r="E375" s="41">
        <v>44</v>
      </c>
      <c r="F375" s="41">
        <v>111</v>
      </c>
      <c r="G375" s="41">
        <v>74</v>
      </c>
      <c r="H375" s="42">
        <v>4.7</v>
      </c>
      <c r="I375" s="40">
        <v>275</v>
      </c>
      <c r="J375" s="42">
        <v>5.2</v>
      </c>
    </row>
    <row r="376" spans="2:10" ht="13.15" customHeight="1" x14ac:dyDescent="0.35">
      <c r="B376" s="46">
        <v>34151</v>
      </c>
      <c r="C376" s="40">
        <v>278</v>
      </c>
      <c r="D376" s="41">
        <v>48</v>
      </c>
      <c r="E376" s="41">
        <v>44</v>
      </c>
      <c r="F376" s="41">
        <v>112</v>
      </c>
      <c r="G376" s="41">
        <v>75</v>
      </c>
      <c r="H376" s="42">
        <v>5.0999999999999996</v>
      </c>
      <c r="I376" s="40">
        <v>278</v>
      </c>
      <c r="J376" s="42">
        <v>5.3</v>
      </c>
    </row>
    <row r="377" spans="2:10" ht="13.15" customHeight="1" x14ac:dyDescent="0.35">
      <c r="B377" s="46">
        <v>34182</v>
      </c>
      <c r="C377" s="40">
        <v>286</v>
      </c>
      <c r="D377" s="41">
        <v>49</v>
      </c>
      <c r="E377" s="41">
        <v>47</v>
      </c>
      <c r="F377" s="41">
        <v>114</v>
      </c>
      <c r="G377" s="41">
        <v>76</v>
      </c>
      <c r="H377" s="42">
        <v>5</v>
      </c>
      <c r="I377" s="40">
        <v>286</v>
      </c>
      <c r="J377" s="42">
        <v>5.5</v>
      </c>
    </row>
    <row r="378" spans="2:10" ht="13.15" customHeight="1" x14ac:dyDescent="0.35">
      <c r="B378" s="46">
        <v>34213</v>
      </c>
      <c r="C378" s="40">
        <v>290</v>
      </c>
      <c r="D378" s="41">
        <v>51</v>
      </c>
      <c r="E378" s="41">
        <v>48</v>
      </c>
      <c r="F378" s="41">
        <v>115</v>
      </c>
      <c r="G378" s="41">
        <v>77</v>
      </c>
      <c r="H378" s="42">
        <v>5.0999999999999996</v>
      </c>
      <c r="I378" s="40">
        <v>287</v>
      </c>
      <c r="J378" s="42">
        <v>4.9000000000000004</v>
      </c>
    </row>
    <row r="379" spans="2:10" ht="13.15" customHeight="1" x14ac:dyDescent="0.35">
      <c r="B379" s="46">
        <v>34243</v>
      </c>
      <c r="C379" s="40">
        <v>291</v>
      </c>
      <c r="D379" s="41">
        <v>51</v>
      </c>
      <c r="E379" s="41">
        <v>49</v>
      </c>
      <c r="F379" s="41">
        <v>116</v>
      </c>
      <c r="G379" s="41">
        <v>75</v>
      </c>
      <c r="H379" s="42">
        <v>5.2</v>
      </c>
      <c r="I379" s="40">
        <v>290</v>
      </c>
      <c r="J379" s="42">
        <v>5</v>
      </c>
    </row>
    <row r="380" spans="2:10" ht="13.15" customHeight="1" x14ac:dyDescent="0.35">
      <c r="B380" s="46">
        <v>34274</v>
      </c>
      <c r="C380" s="40">
        <v>293</v>
      </c>
      <c r="D380" s="41">
        <v>52</v>
      </c>
      <c r="E380" s="41">
        <v>48</v>
      </c>
      <c r="F380" s="41">
        <v>118</v>
      </c>
      <c r="G380" s="41">
        <v>75</v>
      </c>
      <c r="H380" s="42">
        <v>5.6</v>
      </c>
      <c r="I380" s="40">
        <v>293</v>
      </c>
      <c r="J380" s="42">
        <v>4.8</v>
      </c>
    </row>
    <row r="381" spans="2:10" ht="13.15" customHeight="1" x14ac:dyDescent="0.35">
      <c r="B381" s="46">
        <v>34304</v>
      </c>
      <c r="C381" s="40">
        <v>295</v>
      </c>
      <c r="D381" s="41">
        <v>53</v>
      </c>
      <c r="E381" s="41">
        <v>48</v>
      </c>
      <c r="F381" s="41">
        <v>121</v>
      </c>
      <c r="G381" s="41">
        <v>73</v>
      </c>
      <c r="H381" s="42">
        <v>5.8</v>
      </c>
      <c r="I381" s="40">
        <v>293</v>
      </c>
      <c r="J381" s="42">
        <v>4.5</v>
      </c>
    </row>
    <row r="382" spans="2:10" ht="13.15" customHeight="1" x14ac:dyDescent="0.35">
      <c r="B382" s="46">
        <v>34335</v>
      </c>
      <c r="C382" s="40">
        <v>294</v>
      </c>
      <c r="D382" s="41">
        <v>52</v>
      </c>
      <c r="E382" s="41">
        <v>46</v>
      </c>
      <c r="F382" s="41">
        <v>122</v>
      </c>
      <c r="G382" s="41">
        <v>73</v>
      </c>
      <c r="H382" s="42">
        <v>6.4</v>
      </c>
      <c r="I382" s="40">
        <v>294</v>
      </c>
      <c r="J382" s="42">
        <v>5.9</v>
      </c>
    </row>
    <row r="383" spans="2:10" ht="13.15" customHeight="1" x14ac:dyDescent="0.35">
      <c r="B383" s="46">
        <v>34366</v>
      </c>
      <c r="C383" s="40">
        <v>292</v>
      </c>
      <c r="D383" s="41">
        <v>50</v>
      </c>
      <c r="E383" s="41">
        <v>46</v>
      </c>
      <c r="F383" s="41">
        <v>123</v>
      </c>
      <c r="G383" s="41">
        <v>72</v>
      </c>
      <c r="H383" s="42">
        <v>5</v>
      </c>
      <c r="I383" s="40">
        <v>295</v>
      </c>
      <c r="J383" s="42">
        <v>5</v>
      </c>
    </row>
    <row r="384" spans="2:10" ht="13.15" customHeight="1" x14ac:dyDescent="0.35">
      <c r="B384" s="46">
        <v>34394</v>
      </c>
      <c r="C384" s="40">
        <v>296</v>
      </c>
      <c r="D384" s="41">
        <v>50</v>
      </c>
      <c r="E384" s="41">
        <v>48</v>
      </c>
      <c r="F384" s="41">
        <v>123</v>
      </c>
      <c r="G384" s="41">
        <v>74</v>
      </c>
      <c r="H384" s="42">
        <v>4</v>
      </c>
      <c r="I384" s="40">
        <v>298</v>
      </c>
      <c r="J384" s="42">
        <v>4.8</v>
      </c>
    </row>
    <row r="385" spans="2:10" ht="13.15" customHeight="1" x14ac:dyDescent="0.35">
      <c r="B385" s="46">
        <v>34425</v>
      </c>
      <c r="C385" s="40">
        <v>296</v>
      </c>
      <c r="D385" s="41">
        <v>50</v>
      </c>
      <c r="E385" s="41">
        <v>49</v>
      </c>
      <c r="F385" s="41">
        <v>122</v>
      </c>
      <c r="G385" s="41">
        <v>74</v>
      </c>
      <c r="H385" s="42">
        <v>4.5</v>
      </c>
      <c r="I385" s="40">
        <v>297</v>
      </c>
      <c r="J385" s="42">
        <v>5.2</v>
      </c>
    </row>
    <row r="386" spans="2:10" ht="13.15" customHeight="1" x14ac:dyDescent="0.35">
      <c r="B386" s="46">
        <v>34455</v>
      </c>
      <c r="C386" s="40">
        <v>301</v>
      </c>
      <c r="D386" s="41">
        <v>51</v>
      </c>
      <c r="E386" s="41">
        <v>51</v>
      </c>
      <c r="F386" s="41">
        <v>123</v>
      </c>
      <c r="G386" s="41">
        <v>76</v>
      </c>
      <c r="H386" s="42">
        <v>4.5999999999999996</v>
      </c>
      <c r="I386" s="40">
        <v>302</v>
      </c>
      <c r="J386" s="42">
        <v>5.3</v>
      </c>
    </row>
    <row r="387" spans="2:10" ht="13.15" customHeight="1" x14ac:dyDescent="0.35">
      <c r="B387" s="46">
        <v>34486</v>
      </c>
      <c r="C387" s="40">
        <v>316</v>
      </c>
      <c r="D387" s="41">
        <v>52</v>
      </c>
      <c r="E387" s="41">
        <v>55</v>
      </c>
      <c r="F387" s="41">
        <v>129</v>
      </c>
      <c r="G387" s="41">
        <v>79</v>
      </c>
      <c r="H387" s="42">
        <v>5.7</v>
      </c>
      <c r="I387" s="40">
        <v>315</v>
      </c>
      <c r="J387" s="42">
        <v>6.2</v>
      </c>
    </row>
    <row r="388" spans="2:10" ht="13.15" customHeight="1" x14ac:dyDescent="0.35">
      <c r="B388" s="46">
        <v>34516</v>
      </c>
      <c r="C388" s="40">
        <v>318</v>
      </c>
      <c r="D388" s="41">
        <v>54</v>
      </c>
      <c r="E388" s="41">
        <v>55</v>
      </c>
      <c r="F388" s="41">
        <v>129</v>
      </c>
      <c r="G388" s="41">
        <v>80</v>
      </c>
      <c r="H388" s="42">
        <v>6</v>
      </c>
      <c r="I388" s="40">
        <v>319</v>
      </c>
      <c r="J388" s="42">
        <v>6.3</v>
      </c>
    </row>
    <row r="389" spans="2:10" ht="13.15" customHeight="1" x14ac:dyDescent="0.35">
      <c r="B389" s="46">
        <v>34547</v>
      </c>
      <c r="C389" s="40">
        <v>323</v>
      </c>
      <c r="D389" s="41">
        <v>54</v>
      </c>
      <c r="E389" s="41">
        <v>57</v>
      </c>
      <c r="F389" s="41">
        <v>134</v>
      </c>
      <c r="G389" s="41">
        <v>79</v>
      </c>
      <c r="H389" s="42">
        <v>5.5</v>
      </c>
      <c r="I389" s="40">
        <v>323</v>
      </c>
      <c r="J389" s="42">
        <v>6.1</v>
      </c>
    </row>
    <row r="390" spans="2:10" ht="13.15" customHeight="1" x14ac:dyDescent="0.35">
      <c r="B390" s="46">
        <v>34578</v>
      </c>
      <c r="C390" s="40">
        <v>332</v>
      </c>
      <c r="D390" s="41">
        <v>53</v>
      </c>
      <c r="E390" s="41">
        <v>61</v>
      </c>
      <c r="F390" s="41">
        <v>139</v>
      </c>
      <c r="G390" s="41">
        <v>80</v>
      </c>
      <c r="H390" s="42">
        <v>6.1</v>
      </c>
      <c r="I390" s="40">
        <v>331</v>
      </c>
      <c r="J390" s="42">
        <v>6</v>
      </c>
    </row>
    <row r="391" spans="2:10" ht="13.15" customHeight="1" x14ac:dyDescent="0.35">
      <c r="B391" s="46">
        <v>34608</v>
      </c>
      <c r="C391" s="40">
        <v>331</v>
      </c>
      <c r="D391" s="41">
        <v>52</v>
      </c>
      <c r="E391" s="41">
        <v>62</v>
      </c>
      <c r="F391" s="41">
        <v>137</v>
      </c>
      <c r="G391" s="41">
        <v>80</v>
      </c>
      <c r="H391" s="42">
        <v>5.9</v>
      </c>
      <c r="I391" s="40">
        <v>330</v>
      </c>
      <c r="J391" s="42">
        <v>5.6</v>
      </c>
    </row>
    <row r="392" spans="2:10" ht="13.15" customHeight="1" x14ac:dyDescent="0.35">
      <c r="B392" s="46">
        <v>34639</v>
      </c>
      <c r="C392" s="40">
        <v>335</v>
      </c>
      <c r="D392" s="41">
        <v>53</v>
      </c>
      <c r="E392" s="41">
        <v>62</v>
      </c>
      <c r="F392" s="41">
        <v>139</v>
      </c>
      <c r="G392" s="41">
        <v>81</v>
      </c>
      <c r="H392" s="42">
        <v>7.5</v>
      </c>
      <c r="I392" s="40">
        <v>333</v>
      </c>
      <c r="J392" s="42">
        <v>6.3</v>
      </c>
    </row>
    <row r="393" spans="2:10" ht="13.15" customHeight="1" x14ac:dyDescent="0.35">
      <c r="B393" s="46">
        <v>34669</v>
      </c>
      <c r="C393" s="40">
        <v>340</v>
      </c>
      <c r="D393" s="41">
        <v>55</v>
      </c>
      <c r="E393" s="41">
        <v>63</v>
      </c>
      <c r="F393" s="41">
        <v>140</v>
      </c>
      <c r="G393" s="41">
        <v>82</v>
      </c>
      <c r="H393" s="42">
        <v>8.5</v>
      </c>
      <c r="I393" s="40">
        <v>336</v>
      </c>
      <c r="J393" s="42">
        <v>6.6</v>
      </c>
    </row>
    <row r="394" spans="2:10" ht="13.15" customHeight="1" x14ac:dyDescent="0.35">
      <c r="B394" s="46">
        <v>34700</v>
      </c>
      <c r="C394" s="40">
        <v>340</v>
      </c>
      <c r="D394" s="41">
        <v>55</v>
      </c>
      <c r="E394" s="41">
        <v>62</v>
      </c>
      <c r="F394" s="41">
        <v>143</v>
      </c>
      <c r="G394" s="41">
        <v>81</v>
      </c>
      <c r="H394" s="42">
        <v>7.3</v>
      </c>
      <c r="I394" s="40">
        <v>341</v>
      </c>
      <c r="J394" s="42">
        <v>6.8</v>
      </c>
    </row>
    <row r="395" spans="2:10" ht="13.15" customHeight="1" x14ac:dyDescent="0.35">
      <c r="B395" s="46">
        <v>34731</v>
      </c>
      <c r="C395" s="40">
        <v>341</v>
      </c>
      <c r="D395" s="41">
        <v>54</v>
      </c>
      <c r="E395" s="41">
        <v>62</v>
      </c>
      <c r="F395" s="41">
        <v>143</v>
      </c>
      <c r="G395" s="41">
        <v>82</v>
      </c>
      <c r="H395" s="42">
        <v>7.2</v>
      </c>
      <c r="I395" s="40">
        <v>346</v>
      </c>
      <c r="J395" s="42">
        <v>7.3</v>
      </c>
    </row>
    <row r="396" spans="2:10" ht="13.15" customHeight="1" x14ac:dyDescent="0.35">
      <c r="B396" s="46">
        <v>34759</v>
      </c>
      <c r="C396" s="40">
        <v>343</v>
      </c>
      <c r="D396" s="41">
        <v>55</v>
      </c>
      <c r="E396" s="41">
        <v>62</v>
      </c>
      <c r="F396" s="41">
        <v>146</v>
      </c>
      <c r="G396" s="41">
        <v>80</v>
      </c>
      <c r="H396" s="42">
        <v>5.7</v>
      </c>
      <c r="I396" s="40">
        <v>346</v>
      </c>
      <c r="J396" s="42">
        <v>6.8</v>
      </c>
    </row>
    <row r="397" spans="2:10" ht="13.15" customHeight="1" x14ac:dyDescent="0.35">
      <c r="B397" s="46">
        <v>34790</v>
      </c>
      <c r="C397" s="40">
        <v>344</v>
      </c>
      <c r="D397" s="41">
        <v>56</v>
      </c>
      <c r="E397" s="41">
        <v>61</v>
      </c>
      <c r="F397" s="41">
        <v>148</v>
      </c>
      <c r="G397" s="41">
        <v>80</v>
      </c>
      <c r="H397" s="42">
        <v>5.9</v>
      </c>
      <c r="I397" s="40">
        <v>348</v>
      </c>
      <c r="J397" s="42">
        <v>6.7</v>
      </c>
    </row>
    <row r="398" spans="2:10" ht="13.15" customHeight="1" x14ac:dyDescent="0.35">
      <c r="B398" s="46">
        <v>34820</v>
      </c>
      <c r="C398" s="40">
        <v>346</v>
      </c>
      <c r="D398" s="41">
        <v>58</v>
      </c>
      <c r="E398" s="41">
        <v>61</v>
      </c>
      <c r="F398" s="41">
        <v>149</v>
      </c>
      <c r="G398" s="41">
        <v>79</v>
      </c>
      <c r="H398" s="42">
        <v>5.5</v>
      </c>
      <c r="I398" s="40">
        <v>349</v>
      </c>
      <c r="J398" s="42">
        <v>6.3</v>
      </c>
    </row>
    <row r="399" spans="2:10" ht="13.15" customHeight="1" x14ac:dyDescent="0.35">
      <c r="B399" s="46">
        <v>34851</v>
      </c>
      <c r="C399" s="40">
        <v>349</v>
      </c>
      <c r="D399" s="41">
        <v>57</v>
      </c>
      <c r="E399" s="41">
        <v>62</v>
      </c>
      <c r="F399" s="41">
        <v>151</v>
      </c>
      <c r="G399" s="41">
        <v>78</v>
      </c>
      <c r="H399" s="42">
        <v>5.4</v>
      </c>
      <c r="I399" s="40">
        <v>348</v>
      </c>
      <c r="J399" s="42">
        <v>5.8</v>
      </c>
    </row>
    <row r="400" spans="2:10" ht="13.15" customHeight="1" x14ac:dyDescent="0.35">
      <c r="B400" s="46">
        <v>34881</v>
      </c>
      <c r="C400" s="40">
        <v>343</v>
      </c>
      <c r="D400" s="41">
        <v>58</v>
      </c>
      <c r="E400" s="41">
        <v>63</v>
      </c>
      <c r="F400" s="41">
        <v>145</v>
      </c>
      <c r="G400" s="41">
        <v>77</v>
      </c>
      <c r="H400" s="42">
        <v>5.3</v>
      </c>
      <c r="I400" s="40">
        <v>344</v>
      </c>
      <c r="J400" s="42">
        <v>5.6</v>
      </c>
    </row>
    <row r="401" spans="2:10" ht="13.15" customHeight="1" x14ac:dyDescent="0.35">
      <c r="B401" s="46">
        <v>34912</v>
      </c>
      <c r="C401" s="40">
        <v>350</v>
      </c>
      <c r="D401" s="41">
        <v>59</v>
      </c>
      <c r="E401" s="41">
        <v>64</v>
      </c>
      <c r="F401" s="41">
        <v>149</v>
      </c>
      <c r="G401" s="41">
        <v>78</v>
      </c>
      <c r="H401" s="42">
        <v>5.5</v>
      </c>
      <c r="I401" s="40">
        <v>350</v>
      </c>
      <c r="J401" s="42">
        <v>6.1</v>
      </c>
    </row>
    <row r="402" spans="2:10" ht="13.15" customHeight="1" x14ac:dyDescent="0.35">
      <c r="B402" s="46">
        <v>34943</v>
      </c>
      <c r="C402" s="40">
        <v>354</v>
      </c>
      <c r="D402" s="41">
        <v>60</v>
      </c>
      <c r="E402" s="41">
        <v>64</v>
      </c>
      <c r="F402" s="41">
        <v>151</v>
      </c>
      <c r="G402" s="41">
        <v>78</v>
      </c>
      <c r="H402" s="42">
        <v>6.5</v>
      </c>
      <c r="I402" s="40">
        <v>353</v>
      </c>
      <c r="J402" s="42">
        <v>6.3</v>
      </c>
    </row>
    <row r="403" spans="2:10" ht="13.15" customHeight="1" x14ac:dyDescent="0.35">
      <c r="B403" s="46">
        <v>34973</v>
      </c>
      <c r="C403" s="40">
        <v>361</v>
      </c>
      <c r="D403" s="41">
        <v>62</v>
      </c>
      <c r="E403" s="41">
        <v>66</v>
      </c>
      <c r="F403" s="41">
        <v>153</v>
      </c>
      <c r="G403" s="41">
        <v>79</v>
      </c>
      <c r="H403" s="42">
        <v>6.7</v>
      </c>
      <c r="I403" s="40">
        <v>359</v>
      </c>
      <c r="J403" s="42">
        <v>6.3</v>
      </c>
    </row>
    <row r="404" spans="2:10" ht="13.15" customHeight="1" x14ac:dyDescent="0.35">
      <c r="B404" s="46">
        <v>35004</v>
      </c>
      <c r="C404" s="40">
        <v>371</v>
      </c>
      <c r="D404" s="41">
        <v>64</v>
      </c>
      <c r="E404" s="41">
        <v>69</v>
      </c>
      <c r="F404" s="41">
        <v>156</v>
      </c>
      <c r="G404" s="41">
        <v>82</v>
      </c>
      <c r="H404" s="42">
        <v>8</v>
      </c>
      <c r="I404" s="40">
        <v>366</v>
      </c>
      <c r="J404" s="42">
        <v>6.8</v>
      </c>
    </row>
    <row r="405" spans="2:10" ht="13.15" customHeight="1" x14ac:dyDescent="0.35">
      <c r="B405" s="46">
        <v>35034</v>
      </c>
      <c r="C405" s="40">
        <v>374</v>
      </c>
      <c r="D405" s="41">
        <v>62</v>
      </c>
      <c r="E405" s="41">
        <v>69</v>
      </c>
      <c r="F405" s="41">
        <v>158</v>
      </c>
      <c r="G405" s="41">
        <v>86</v>
      </c>
      <c r="H405" s="42">
        <v>8.4</v>
      </c>
      <c r="I405" s="40">
        <v>370</v>
      </c>
      <c r="J405" s="42">
        <v>6.4</v>
      </c>
    </row>
    <row r="406" spans="2:10" ht="13.15" customHeight="1" x14ac:dyDescent="0.35">
      <c r="B406" s="46">
        <v>35065</v>
      </c>
      <c r="C406" s="40">
        <v>370</v>
      </c>
      <c r="D406" s="41">
        <v>61</v>
      </c>
      <c r="E406" s="41">
        <v>66</v>
      </c>
      <c r="F406" s="41">
        <v>158</v>
      </c>
      <c r="G406" s="41">
        <v>85</v>
      </c>
      <c r="H406" s="42">
        <v>6.9</v>
      </c>
      <c r="I406" s="40">
        <v>369</v>
      </c>
      <c r="J406" s="42">
        <v>6.4</v>
      </c>
    </row>
    <row r="407" spans="2:10" ht="13.15" customHeight="1" x14ac:dyDescent="0.35">
      <c r="B407" s="46">
        <v>35096</v>
      </c>
      <c r="C407" s="40">
        <v>362</v>
      </c>
      <c r="D407" s="41">
        <v>58</v>
      </c>
      <c r="E407" s="41">
        <v>66</v>
      </c>
      <c r="F407" s="41">
        <v>157</v>
      </c>
      <c r="G407" s="41">
        <v>81</v>
      </c>
      <c r="H407" s="42">
        <v>5.3</v>
      </c>
      <c r="I407" s="40">
        <v>355</v>
      </c>
      <c r="J407" s="42">
        <v>5.3</v>
      </c>
    </row>
    <row r="408" spans="2:10" ht="13.15" customHeight="1" x14ac:dyDescent="0.35">
      <c r="B408" s="46">
        <v>35125</v>
      </c>
      <c r="C408" s="40">
        <v>362</v>
      </c>
      <c r="D408" s="41">
        <v>59</v>
      </c>
      <c r="E408" s="41">
        <v>66</v>
      </c>
      <c r="F408" s="41">
        <v>159</v>
      </c>
      <c r="G408" s="41">
        <v>79</v>
      </c>
      <c r="H408" s="42">
        <v>5.2</v>
      </c>
      <c r="I408" s="40">
        <v>368</v>
      </c>
      <c r="J408" s="42">
        <v>6.2</v>
      </c>
    </row>
    <row r="409" spans="2:10" ht="13.15" customHeight="1" x14ac:dyDescent="0.35">
      <c r="B409" s="46">
        <v>35156</v>
      </c>
      <c r="C409" s="40">
        <v>366</v>
      </c>
      <c r="D409" s="41">
        <v>59</v>
      </c>
      <c r="E409" s="41">
        <v>67</v>
      </c>
      <c r="F409" s="41">
        <v>163</v>
      </c>
      <c r="G409" s="41">
        <v>77</v>
      </c>
      <c r="H409" s="42">
        <v>5.2</v>
      </c>
      <c r="I409" s="40">
        <v>368</v>
      </c>
      <c r="J409" s="42">
        <v>6</v>
      </c>
    </row>
    <row r="410" spans="2:10" ht="13.15" customHeight="1" x14ac:dyDescent="0.35">
      <c r="B410" s="46">
        <v>35186</v>
      </c>
      <c r="C410" s="40">
        <v>360</v>
      </c>
      <c r="D410" s="41">
        <v>61</v>
      </c>
      <c r="E410" s="41">
        <v>67</v>
      </c>
      <c r="F410" s="41">
        <v>158</v>
      </c>
      <c r="G410" s="41">
        <v>74</v>
      </c>
      <c r="H410" s="42">
        <v>5.2</v>
      </c>
      <c r="I410" s="40">
        <v>361</v>
      </c>
      <c r="J410" s="42">
        <v>5.9</v>
      </c>
    </row>
    <row r="411" spans="2:10" ht="13.15" customHeight="1" x14ac:dyDescent="0.35">
      <c r="B411" s="46">
        <v>35217</v>
      </c>
      <c r="C411" s="40">
        <v>355</v>
      </c>
      <c r="D411" s="41">
        <v>59</v>
      </c>
      <c r="E411" s="41">
        <v>66</v>
      </c>
      <c r="F411" s="41">
        <v>156</v>
      </c>
      <c r="G411" s="41">
        <v>74</v>
      </c>
      <c r="H411" s="42">
        <v>5.5</v>
      </c>
      <c r="I411" s="40">
        <v>355</v>
      </c>
      <c r="J411" s="42">
        <v>6</v>
      </c>
    </row>
    <row r="412" spans="2:10" ht="13.15" customHeight="1" x14ac:dyDescent="0.35">
      <c r="B412" s="46">
        <v>35247</v>
      </c>
      <c r="C412" s="40">
        <v>351</v>
      </c>
      <c r="D412" s="41">
        <v>56</v>
      </c>
      <c r="E412" s="41">
        <v>65</v>
      </c>
      <c r="F412" s="41">
        <v>155</v>
      </c>
      <c r="G412" s="41">
        <v>75</v>
      </c>
      <c r="H412" s="42">
        <v>5.3</v>
      </c>
      <c r="I412" s="40">
        <v>350</v>
      </c>
      <c r="J412" s="42">
        <v>5.7</v>
      </c>
    </row>
    <row r="413" spans="2:10" ht="13.15" customHeight="1" x14ac:dyDescent="0.35">
      <c r="B413" s="46">
        <v>35278</v>
      </c>
      <c r="C413" s="40">
        <v>342</v>
      </c>
      <c r="D413" s="41">
        <v>51</v>
      </c>
      <c r="E413" s="41">
        <v>64</v>
      </c>
      <c r="F413" s="41">
        <v>153</v>
      </c>
      <c r="G413" s="41">
        <v>74</v>
      </c>
      <c r="H413" s="42">
        <v>4.7</v>
      </c>
      <c r="I413" s="40">
        <v>342</v>
      </c>
      <c r="J413" s="42">
        <v>5</v>
      </c>
    </row>
    <row r="414" spans="2:10" ht="13.15" customHeight="1" x14ac:dyDescent="0.35">
      <c r="B414" s="46">
        <v>35309</v>
      </c>
      <c r="C414" s="40">
        <v>332</v>
      </c>
      <c r="D414" s="41">
        <v>45</v>
      </c>
      <c r="E414" s="41">
        <v>65</v>
      </c>
      <c r="F414" s="41">
        <v>148</v>
      </c>
      <c r="G414" s="41">
        <v>73</v>
      </c>
      <c r="H414" s="42">
        <v>5.3</v>
      </c>
      <c r="I414" s="40">
        <v>330</v>
      </c>
      <c r="J414" s="42">
        <v>5.2</v>
      </c>
    </row>
    <row r="415" spans="2:10" ht="13.15" customHeight="1" x14ac:dyDescent="0.35">
      <c r="B415" s="46">
        <v>35339</v>
      </c>
      <c r="C415" s="40">
        <v>332</v>
      </c>
      <c r="D415" s="41">
        <v>42</v>
      </c>
      <c r="E415" s="41">
        <v>68</v>
      </c>
      <c r="F415" s="41">
        <v>147</v>
      </c>
      <c r="G415" s="41">
        <v>76</v>
      </c>
      <c r="H415" s="42">
        <v>6</v>
      </c>
      <c r="I415" s="40">
        <v>328</v>
      </c>
      <c r="J415" s="42">
        <v>5.6</v>
      </c>
    </row>
    <row r="416" spans="2:10" ht="13.15" customHeight="1" x14ac:dyDescent="0.35">
      <c r="B416" s="46">
        <v>35370</v>
      </c>
      <c r="C416" s="40">
        <v>330</v>
      </c>
      <c r="D416" s="41">
        <v>41</v>
      </c>
      <c r="E416" s="41">
        <v>69</v>
      </c>
      <c r="F416" s="41">
        <v>147</v>
      </c>
      <c r="G416" s="41">
        <v>73</v>
      </c>
      <c r="H416" s="42">
        <v>6.1</v>
      </c>
      <c r="I416" s="40">
        <v>330</v>
      </c>
      <c r="J416" s="42">
        <v>5.2</v>
      </c>
    </row>
    <row r="417" spans="2:10" ht="13.15" customHeight="1" x14ac:dyDescent="0.35">
      <c r="B417" s="46">
        <v>35400</v>
      </c>
      <c r="C417" s="40">
        <v>326</v>
      </c>
      <c r="D417" s="41">
        <v>38</v>
      </c>
      <c r="E417" s="41">
        <v>67</v>
      </c>
      <c r="F417" s="41">
        <v>146</v>
      </c>
      <c r="G417" s="41">
        <v>74</v>
      </c>
      <c r="H417" s="42">
        <v>6.4</v>
      </c>
      <c r="I417" s="40">
        <v>322</v>
      </c>
      <c r="J417" s="42">
        <v>5</v>
      </c>
    </row>
    <row r="418" spans="2:10" ht="13.15" customHeight="1" x14ac:dyDescent="0.35">
      <c r="B418" s="46">
        <v>35431</v>
      </c>
      <c r="C418" s="40">
        <v>309</v>
      </c>
      <c r="D418" s="41">
        <v>34</v>
      </c>
      <c r="E418" s="41">
        <v>65</v>
      </c>
      <c r="F418" s="41">
        <v>137</v>
      </c>
      <c r="G418" s="41">
        <v>73</v>
      </c>
      <c r="H418" s="42">
        <v>5.0999999999999996</v>
      </c>
      <c r="I418" s="40">
        <v>308</v>
      </c>
      <c r="J418" s="42">
        <v>4.7</v>
      </c>
    </row>
    <row r="419" spans="2:10" ht="13.15" customHeight="1" x14ac:dyDescent="0.35">
      <c r="B419" s="46">
        <v>35462</v>
      </c>
      <c r="C419" s="40">
        <v>296</v>
      </c>
      <c r="D419" s="41">
        <v>30</v>
      </c>
      <c r="E419" s="41">
        <v>63</v>
      </c>
      <c r="F419" s="41">
        <v>132</v>
      </c>
      <c r="G419" s="41">
        <v>71</v>
      </c>
      <c r="H419" s="42">
        <v>4.3</v>
      </c>
      <c r="I419" s="40">
        <v>301</v>
      </c>
      <c r="J419" s="42">
        <v>4.5</v>
      </c>
    </row>
    <row r="420" spans="2:10" ht="13.15" customHeight="1" x14ac:dyDescent="0.35">
      <c r="B420" s="46">
        <v>35490</v>
      </c>
      <c r="C420" s="40">
        <v>284</v>
      </c>
      <c r="D420" s="41">
        <v>28</v>
      </c>
      <c r="E420" s="41">
        <v>63</v>
      </c>
      <c r="F420" s="41">
        <v>126</v>
      </c>
      <c r="G420" s="41">
        <v>67</v>
      </c>
      <c r="H420" s="42">
        <v>3.5</v>
      </c>
      <c r="I420" s="40">
        <v>288</v>
      </c>
      <c r="J420" s="42">
        <v>4.0999999999999996</v>
      </c>
    </row>
    <row r="421" spans="2:10" ht="13.15" customHeight="1" x14ac:dyDescent="0.35">
      <c r="B421" s="46">
        <v>35521</v>
      </c>
      <c r="C421" s="40">
        <v>289</v>
      </c>
      <c r="D421" s="41">
        <v>28</v>
      </c>
      <c r="E421" s="41">
        <v>65</v>
      </c>
      <c r="F421" s="41">
        <v>129</v>
      </c>
      <c r="G421" s="41">
        <v>67</v>
      </c>
      <c r="H421" s="42">
        <v>4.0999999999999996</v>
      </c>
      <c r="I421" s="40">
        <v>290</v>
      </c>
      <c r="J421" s="42">
        <v>4.7</v>
      </c>
    </row>
    <row r="422" spans="2:10" ht="13.15" customHeight="1" x14ac:dyDescent="0.35">
      <c r="B422" s="46">
        <v>35551</v>
      </c>
      <c r="C422" s="40">
        <v>286</v>
      </c>
      <c r="D422" s="41">
        <v>26</v>
      </c>
      <c r="E422" s="41">
        <v>64</v>
      </c>
      <c r="F422" s="41">
        <v>127</v>
      </c>
      <c r="G422" s="41">
        <v>68</v>
      </c>
      <c r="H422" s="42">
        <v>4</v>
      </c>
      <c r="I422" s="40">
        <v>287</v>
      </c>
      <c r="J422" s="42">
        <v>4.5999999999999996</v>
      </c>
    </row>
    <row r="423" spans="2:10" ht="13.15" customHeight="1" x14ac:dyDescent="0.35">
      <c r="B423" s="46">
        <v>35582</v>
      </c>
      <c r="C423" s="40">
        <v>288</v>
      </c>
      <c r="D423" s="41">
        <v>27</v>
      </c>
      <c r="E423" s="41">
        <v>62</v>
      </c>
      <c r="F423" s="41">
        <v>129</v>
      </c>
      <c r="G423" s="41">
        <v>69</v>
      </c>
      <c r="H423" s="42">
        <v>4</v>
      </c>
      <c r="I423" s="40">
        <v>288</v>
      </c>
      <c r="J423" s="42">
        <v>4.4000000000000004</v>
      </c>
    </row>
    <row r="424" spans="2:10" ht="13.15" customHeight="1" x14ac:dyDescent="0.35">
      <c r="B424" s="46">
        <v>35612</v>
      </c>
      <c r="C424" s="40">
        <v>289</v>
      </c>
      <c r="D424" s="41">
        <v>28</v>
      </c>
      <c r="E424" s="41">
        <v>63</v>
      </c>
      <c r="F424" s="41">
        <v>130</v>
      </c>
      <c r="G424" s="41">
        <v>68</v>
      </c>
      <c r="H424" s="42">
        <v>4.2</v>
      </c>
      <c r="I424" s="40">
        <v>289</v>
      </c>
      <c r="J424" s="42">
        <v>4.4000000000000004</v>
      </c>
    </row>
    <row r="425" spans="2:10" ht="13.15" customHeight="1" x14ac:dyDescent="0.35">
      <c r="B425" s="46">
        <v>35643</v>
      </c>
      <c r="C425" s="40">
        <v>284</v>
      </c>
      <c r="D425" s="41">
        <v>28</v>
      </c>
      <c r="E425" s="41">
        <v>62</v>
      </c>
      <c r="F425" s="41">
        <v>127</v>
      </c>
      <c r="G425" s="41">
        <v>68</v>
      </c>
      <c r="H425" s="42">
        <v>4</v>
      </c>
      <c r="I425" s="40">
        <v>287</v>
      </c>
      <c r="J425" s="42">
        <v>4.3</v>
      </c>
    </row>
    <row r="426" spans="2:10" ht="13.15" customHeight="1" x14ac:dyDescent="0.35">
      <c r="B426" s="46">
        <v>35674</v>
      </c>
      <c r="C426" s="40">
        <v>285</v>
      </c>
      <c r="D426" s="41">
        <v>27</v>
      </c>
      <c r="E426" s="41">
        <v>65</v>
      </c>
      <c r="F426" s="41">
        <v>125</v>
      </c>
      <c r="G426" s="41">
        <v>68</v>
      </c>
      <c r="H426" s="42">
        <v>4.3</v>
      </c>
      <c r="I426" s="40">
        <v>284</v>
      </c>
      <c r="J426" s="42">
        <v>4.2</v>
      </c>
    </row>
    <row r="427" spans="2:10" ht="13.15" customHeight="1" x14ac:dyDescent="0.35">
      <c r="B427" s="46">
        <v>35704</v>
      </c>
      <c r="C427" s="40">
        <v>287</v>
      </c>
      <c r="D427" s="41">
        <v>27</v>
      </c>
      <c r="E427" s="41">
        <v>66</v>
      </c>
      <c r="F427" s="41">
        <v>126</v>
      </c>
      <c r="G427" s="41">
        <v>68</v>
      </c>
      <c r="H427" s="42">
        <v>4.5999999999999996</v>
      </c>
      <c r="I427" s="40">
        <v>284</v>
      </c>
      <c r="J427" s="42">
        <v>4.3</v>
      </c>
    </row>
    <row r="428" spans="2:10" ht="13.15" customHeight="1" x14ac:dyDescent="0.35">
      <c r="B428" s="46">
        <v>35735</v>
      </c>
      <c r="C428" s="40">
        <v>281</v>
      </c>
      <c r="D428" s="41">
        <v>26</v>
      </c>
      <c r="E428" s="41">
        <v>64</v>
      </c>
      <c r="F428" s="41">
        <v>124</v>
      </c>
      <c r="G428" s="41">
        <v>67</v>
      </c>
      <c r="H428" s="42">
        <v>4.5999999999999996</v>
      </c>
      <c r="I428" s="40">
        <v>281</v>
      </c>
      <c r="J428" s="42">
        <v>3.9</v>
      </c>
    </row>
    <row r="429" spans="2:10" ht="13.15" customHeight="1" x14ac:dyDescent="0.35">
      <c r="B429" s="46">
        <v>35765</v>
      </c>
      <c r="C429" s="40">
        <v>287</v>
      </c>
      <c r="D429" s="41">
        <v>26</v>
      </c>
      <c r="E429" s="41">
        <v>65</v>
      </c>
      <c r="F429" s="41">
        <v>127</v>
      </c>
      <c r="G429" s="41">
        <v>69</v>
      </c>
      <c r="H429" s="42">
        <v>5.7</v>
      </c>
      <c r="I429" s="40">
        <v>281</v>
      </c>
      <c r="J429" s="42">
        <v>4.4000000000000004</v>
      </c>
    </row>
    <row r="430" spans="2:10" ht="13.15" customHeight="1" x14ac:dyDescent="0.35">
      <c r="B430" s="46">
        <v>35796</v>
      </c>
      <c r="C430" s="40">
        <v>282</v>
      </c>
      <c r="D430" s="41">
        <v>27</v>
      </c>
      <c r="E430" s="41">
        <v>62</v>
      </c>
      <c r="F430" s="41">
        <v>126</v>
      </c>
      <c r="G430" s="41">
        <v>67</v>
      </c>
      <c r="H430" s="42">
        <v>4.4000000000000004</v>
      </c>
      <c r="I430" s="40">
        <v>282</v>
      </c>
      <c r="J430" s="42">
        <v>4</v>
      </c>
    </row>
    <row r="431" spans="2:10" ht="13.15" customHeight="1" x14ac:dyDescent="0.35">
      <c r="B431" s="46">
        <v>35827</v>
      </c>
      <c r="C431" s="40">
        <v>277</v>
      </c>
      <c r="D431" s="41">
        <v>25</v>
      </c>
      <c r="E431" s="41">
        <v>61</v>
      </c>
      <c r="F431" s="41">
        <v>128</v>
      </c>
      <c r="G431" s="41">
        <v>63</v>
      </c>
      <c r="H431" s="42">
        <v>3.7</v>
      </c>
      <c r="I431" s="40">
        <v>281</v>
      </c>
      <c r="J431" s="42">
        <v>3.9</v>
      </c>
    </row>
    <row r="432" spans="2:10" ht="13.15" customHeight="1" x14ac:dyDescent="0.35">
      <c r="B432" s="46">
        <v>35855</v>
      </c>
      <c r="C432" s="40">
        <v>281</v>
      </c>
      <c r="D432" s="41">
        <v>24</v>
      </c>
      <c r="E432" s="41">
        <v>59</v>
      </c>
      <c r="F432" s="41">
        <v>132</v>
      </c>
      <c r="G432" s="41">
        <v>67</v>
      </c>
      <c r="H432" s="42">
        <v>3.5</v>
      </c>
      <c r="I432" s="40">
        <v>284</v>
      </c>
      <c r="J432" s="42">
        <v>4.0999999999999996</v>
      </c>
    </row>
    <row r="433" spans="2:10" ht="13.15" customHeight="1" x14ac:dyDescent="0.35">
      <c r="B433" s="46">
        <v>35886</v>
      </c>
      <c r="C433" s="40">
        <v>286</v>
      </c>
      <c r="D433" s="41">
        <v>24</v>
      </c>
      <c r="E433" s="41">
        <v>61</v>
      </c>
      <c r="F433" s="41">
        <v>133</v>
      </c>
      <c r="G433" s="41">
        <v>68</v>
      </c>
      <c r="H433" s="42">
        <v>3.5</v>
      </c>
      <c r="I433" s="40">
        <v>287</v>
      </c>
      <c r="J433" s="42">
        <v>4</v>
      </c>
    </row>
    <row r="434" spans="2:10" ht="13.15" customHeight="1" x14ac:dyDescent="0.35">
      <c r="B434" s="46">
        <v>35916</v>
      </c>
      <c r="C434" s="40">
        <v>284</v>
      </c>
      <c r="D434" s="41">
        <v>23</v>
      </c>
      <c r="E434" s="41">
        <v>61</v>
      </c>
      <c r="F434" s="41">
        <v>134</v>
      </c>
      <c r="G434" s="41">
        <v>65</v>
      </c>
      <c r="H434" s="42">
        <v>3.5</v>
      </c>
      <c r="I434" s="40">
        <v>287</v>
      </c>
      <c r="J434" s="42">
        <v>3.9</v>
      </c>
    </row>
    <row r="435" spans="2:10" ht="13.15" customHeight="1" x14ac:dyDescent="0.35">
      <c r="B435" s="46">
        <v>35947</v>
      </c>
      <c r="C435" s="40">
        <v>287</v>
      </c>
      <c r="D435" s="41">
        <v>23</v>
      </c>
      <c r="E435" s="41">
        <v>63</v>
      </c>
      <c r="F435" s="41">
        <v>134</v>
      </c>
      <c r="G435" s="41">
        <v>68</v>
      </c>
      <c r="H435" s="42">
        <v>3.4</v>
      </c>
      <c r="I435" s="40">
        <v>286</v>
      </c>
      <c r="J435" s="42">
        <v>3.8</v>
      </c>
    </row>
    <row r="436" spans="2:10" ht="13.15" customHeight="1" x14ac:dyDescent="0.35">
      <c r="B436" s="46">
        <v>35977</v>
      </c>
      <c r="C436" s="40">
        <v>284</v>
      </c>
      <c r="D436" s="41">
        <v>23</v>
      </c>
      <c r="E436" s="41">
        <v>61</v>
      </c>
      <c r="F436" s="41">
        <v>130</v>
      </c>
      <c r="G436" s="41">
        <v>70</v>
      </c>
      <c r="H436" s="42">
        <v>3.8</v>
      </c>
      <c r="I436" s="40">
        <v>285</v>
      </c>
      <c r="J436" s="42">
        <v>4</v>
      </c>
    </row>
    <row r="437" spans="2:10" ht="13.15" customHeight="1" x14ac:dyDescent="0.35">
      <c r="B437" s="46">
        <v>36008</v>
      </c>
      <c r="C437" s="40">
        <v>283</v>
      </c>
      <c r="D437" s="41">
        <v>23</v>
      </c>
      <c r="E437" s="41">
        <v>60</v>
      </c>
      <c r="F437" s="41">
        <v>131</v>
      </c>
      <c r="G437" s="41">
        <v>69</v>
      </c>
      <c r="H437" s="42">
        <v>3.8</v>
      </c>
      <c r="I437" s="40">
        <v>286</v>
      </c>
      <c r="J437" s="42">
        <v>4.0999999999999996</v>
      </c>
    </row>
    <row r="438" spans="2:10" ht="13.15" customHeight="1" x14ac:dyDescent="0.35">
      <c r="B438" s="46">
        <v>36039</v>
      </c>
      <c r="C438" s="40">
        <v>291</v>
      </c>
      <c r="D438" s="41">
        <v>24</v>
      </c>
      <c r="E438" s="41">
        <v>61</v>
      </c>
      <c r="F438" s="41">
        <v>137</v>
      </c>
      <c r="G438" s="41">
        <v>69</v>
      </c>
      <c r="H438" s="42">
        <v>4.3</v>
      </c>
      <c r="I438" s="40">
        <v>289</v>
      </c>
      <c r="J438" s="42">
        <v>4.0999999999999996</v>
      </c>
    </row>
    <row r="439" spans="2:10" ht="13.15" customHeight="1" x14ac:dyDescent="0.35">
      <c r="B439" s="46">
        <v>36069</v>
      </c>
      <c r="C439" s="40">
        <v>296</v>
      </c>
      <c r="D439" s="41">
        <v>25</v>
      </c>
      <c r="E439" s="41">
        <v>64</v>
      </c>
      <c r="F439" s="41">
        <v>138</v>
      </c>
      <c r="G439" s="41">
        <v>69</v>
      </c>
      <c r="H439" s="42">
        <v>4.3</v>
      </c>
      <c r="I439" s="40">
        <v>293</v>
      </c>
      <c r="J439" s="42">
        <v>4</v>
      </c>
    </row>
    <row r="440" spans="2:10" ht="13.15" customHeight="1" x14ac:dyDescent="0.35">
      <c r="B440" s="46">
        <v>36100</v>
      </c>
      <c r="C440" s="40">
        <v>292</v>
      </c>
      <c r="D440" s="41">
        <v>25</v>
      </c>
      <c r="E440" s="41">
        <v>62</v>
      </c>
      <c r="F440" s="41">
        <v>137</v>
      </c>
      <c r="G440" s="41">
        <v>67</v>
      </c>
      <c r="H440" s="42">
        <v>4.2</v>
      </c>
      <c r="I440" s="40">
        <v>292</v>
      </c>
      <c r="J440" s="42">
        <v>3.5</v>
      </c>
    </row>
    <row r="441" spans="2:10" ht="13.15" customHeight="1" x14ac:dyDescent="0.35">
      <c r="B441" s="46">
        <v>36130</v>
      </c>
      <c r="C441" s="40">
        <v>300</v>
      </c>
      <c r="D441" s="41">
        <v>28</v>
      </c>
      <c r="E441" s="41">
        <v>63</v>
      </c>
      <c r="F441" s="41">
        <v>142</v>
      </c>
      <c r="G441" s="41">
        <v>68</v>
      </c>
      <c r="H441" s="42">
        <v>4.9000000000000004</v>
      </c>
      <c r="I441" s="40">
        <v>294</v>
      </c>
      <c r="J441" s="42">
        <v>3.8</v>
      </c>
    </row>
    <row r="442" spans="2:10" ht="13.15" customHeight="1" x14ac:dyDescent="0.35">
      <c r="B442" s="46">
        <v>36161</v>
      </c>
      <c r="C442" s="40">
        <v>284</v>
      </c>
      <c r="D442" s="41">
        <v>26</v>
      </c>
      <c r="E442" s="41">
        <v>59</v>
      </c>
      <c r="F442" s="41">
        <v>135</v>
      </c>
      <c r="G442" s="41">
        <v>64</v>
      </c>
      <c r="H442" s="42">
        <v>4.3</v>
      </c>
      <c r="I442" s="40">
        <v>284</v>
      </c>
      <c r="J442" s="42">
        <v>3.9</v>
      </c>
    </row>
    <row r="443" spans="2:10" ht="13.15" customHeight="1" x14ac:dyDescent="0.35">
      <c r="B443" s="46">
        <v>36192</v>
      </c>
      <c r="C443" s="40">
        <v>281</v>
      </c>
      <c r="D443" s="41">
        <v>23</v>
      </c>
      <c r="E443" s="41">
        <v>57</v>
      </c>
      <c r="F443" s="41">
        <v>136</v>
      </c>
      <c r="G443" s="41">
        <v>64</v>
      </c>
      <c r="H443" s="42">
        <v>3.7</v>
      </c>
      <c r="I443" s="40">
        <v>285</v>
      </c>
      <c r="J443" s="42">
        <v>4</v>
      </c>
    </row>
    <row r="444" spans="2:10" ht="13.15" customHeight="1" x14ac:dyDescent="0.35">
      <c r="B444" s="46">
        <v>36220</v>
      </c>
      <c r="C444" s="40">
        <v>286</v>
      </c>
      <c r="D444" s="41">
        <v>25</v>
      </c>
      <c r="E444" s="41">
        <v>57</v>
      </c>
      <c r="F444" s="41">
        <v>139</v>
      </c>
      <c r="G444" s="41">
        <v>65</v>
      </c>
      <c r="H444" s="42">
        <v>3.4</v>
      </c>
      <c r="I444" s="40">
        <v>289</v>
      </c>
      <c r="J444" s="42">
        <v>4.0999999999999996</v>
      </c>
    </row>
    <row r="445" spans="2:10" ht="13.15" customHeight="1" x14ac:dyDescent="0.35">
      <c r="B445" s="46">
        <v>36251</v>
      </c>
      <c r="C445" s="40">
        <v>289</v>
      </c>
      <c r="D445" s="41">
        <v>25</v>
      </c>
      <c r="E445" s="41">
        <v>56</v>
      </c>
      <c r="F445" s="41">
        <v>142</v>
      </c>
      <c r="G445" s="41">
        <v>65</v>
      </c>
      <c r="H445" s="42">
        <v>3.4</v>
      </c>
      <c r="I445" s="40">
        <v>290</v>
      </c>
      <c r="J445" s="42">
        <v>3.9</v>
      </c>
    </row>
    <row r="446" spans="2:10" ht="13.15" customHeight="1" x14ac:dyDescent="0.35">
      <c r="B446" s="46">
        <v>36281</v>
      </c>
      <c r="C446" s="40">
        <v>291</v>
      </c>
      <c r="D446" s="41">
        <v>25</v>
      </c>
      <c r="E446" s="41">
        <v>58</v>
      </c>
      <c r="F446" s="41">
        <v>143</v>
      </c>
      <c r="G446" s="41">
        <v>65</v>
      </c>
      <c r="H446" s="42">
        <v>3.6</v>
      </c>
      <c r="I446" s="40">
        <v>295</v>
      </c>
      <c r="J446" s="42">
        <v>4</v>
      </c>
    </row>
    <row r="447" spans="2:10" ht="13.15" customHeight="1" x14ac:dyDescent="0.35">
      <c r="B447" s="46">
        <v>36312</v>
      </c>
      <c r="C447" s="40">
        <v>296</v>
      </c>
      <c r="D447" s="41">
        <v>26</v>
      </c>
      <c r="E447" s="41">
        <v>57</v>
      </c>
      <c r="F447" s="41">
        <v>144</v>
      </c>
      <c r="G447" s="41">
        <v>68</v>
      </c>
      <c r="H447" s="42">
        <v>3.6</v>
      </c>
      <c r="I447" s="40">
        <v>295</v>
      </c>
      <c r="J447" s="42">
        <v>3.9</v>
      </c>
    </row>
    <row r="448" spans="2:10" ht="13.15" customHeight="1" x14ac:dyDescent="0.35">
      <c r="B448" s="46">
        <v>36342</v>
      </c>
      <c r="C448" s="40">
        <v>295</v>
      </c>
      <c r="D448" s="41">
        <v>26</v>
      </c>
      <c r="E448" s="41">
        <v>58</v>
      </c>
      <c r="F448" s="41">
        <v>141</v>
      </c>
      <c r="G448" s="41">
        <v>69</v>
      </c>
      <c r="H448" s="42">
        <v>3.8</v>
      </c>
      <c r="I448" s="40">
        <v>297</v>
      </c>
      <c r="J448" s="42">
        <v>4</v>
      </c>
    </row>
    <row r="449" spans="2:10" ht="13.15" customHeight="1" x14ac:dyDescent="0.35">
      <c r="B449" s="46">
        <v>36373</v>
      </c>
      <c r="C449" s="40">
        <v>295</v>
      </c>
      <c r="D449" s="41">
        <v>25</v>
      </c>
      <c r="E449" s="41">
        <v>59</v>
      </c>
      <c r="F449" s="41">
        <v>143</v>
      </c>
      <c r="G449" s="41">
        <v>68</v>
      </c>
      <c r="H449" s="42">
        <v>3.8</v>
      </c>
      <c r="I449" s="40">
        <v>298</v>
      </c>
      <c r="J449" s="42">
        <v>4</v>
      </c>
    </row>
    <row r="450" spans="2:10" ht="13.15" customHeight="1" x14ac:dyDescent="0.35">
      <c r="B450" s="46">
        <v>36404</v>
      </c>
      <c r="C450" s="40">
        <v>303</v>
      </c>
      <c r="D450" s="41">
        <v>25</v>
      </c>
      <c r="E450" s="41">
        <v>60</v>
      </c>
      <c r="F450" s="41">
        <v>148</v>
      </c>
      <c r="G450" s="41">
        <v>70</v>
      </c>
      <c r="H450" s="42">
        <v>4.7</v>
      </c>
      <c r="I450" s="40">
        <v>301</v>
      </c>
      <c r="J450" s="42">
        <v>4.5</v>
      </c>
    </row>
    <row r="451" spans="2:10" ht="13.15" customHeight="1" x14ac:dyDescent="0.35">
      <c r="B451" s="46">
        <v>36434</v>
      </c>
      <c r="C451" s="40">
        <v>306</v>
      </c>
      <c r="D451" s="41">
        <v>26</v>
      </c>
      <c r="E451" s="41">
        <v>62</v>
      </c>
      <c r="F451" s="41">
        <v>150</v>
      </c>
      <c r="G451" s="41">
        <v>68</v>
      </c>
      <c r="H451" s="42">
        <v>4.5999999999999996</v>
      </c>
      <c r="I451" s="40">
        <v>303</v>
      </c>
      <c r="J451" s="42">
        <v>4.2</v>
      </c>
    </row>
    <row r="452" spans="2:10" ht="13.15" customHeight="1" x14ac:dyDescent="0.35">
      <c r="B452" s="46">
        <v>36465</v>
      </c>
      <c r="C452" s="40">
        <v>309</v>
      </c>
      <c r="D452" s="41">
        <v>28</v>
      </c>
      <c r="E452" s="41">
        <v>63</v>
      </c>
      <c r="F452" s="41">
        <v>151</v>
      </c>
      <c r="G452" s="41">
        <v>68</v>
      </c>
      <c r="H452" s="42">
        <v>5.0999999999999996</v>
      </c>
      <c r="I452" s="40">
        <v>305</v>
      </c>
      <c r="J452" s="42">
        <v>4.3</v>
      </c>
    </row>
    <row r="453" spans="2:10" ht="13.15" customHeight="1" x14ac:dyDescent="0.35">
      <c r="B453" s="46">
        <v>36495</v>
      </c>
      <c r="C453" s="40">
        <v>315</v>
      </c>
      <c r="D453" s="41">
        <v>28</v>
      </c>
      <c r="E453" s="41">
        <v>64</v>
      </c>
      <c r="F453" s="41">
        <v>153</v>
      </c>
      <c r="G453" s="41">
        <v>70</v>
      </c>
      <c r="H453" s="42">
        <v>5.5</v>
      </c>
      <c r="I453" s="40">
        <v>308</v>
      </c>
      <c r="J453" s="42">
        <v>4.3</v>
      </c>
    </row>
    <row r="454" spans="2:10" ht="13.15" customHeight="1" x14ac:dyDescent="0.35">
      <c r="B454" s="46">
        <v>36526</v>
      </c>
      <c r="C454" s="40">
        <v>310</v>
      </c>
      <c r="D454" s="41">
        <v>27</v>
      </c>
      <c r="E454" s="41">
        <v>63</v>
      </c>
      <c r="F454" s="41">
        <v>153</v>
      </c>
      <c r="G454" s="41">
        <v>68</v>
      </c>
      <c r="H454" s="42">
        <v>4.5999999999999996</v>
      </c>
      <c r="I454" s="40">
        <v>311</v>
      </c>
      <c r="J454" s="42">
        <v>4.3</v>
      </c>
    </row>
    <row r="455" spans="2:10" ht="13.15" customHeight="1" x14ac:dyDescent="0.35">
      <c r="B455" s="46">
        <v>36557</v>
      </c>
      <c r="C455" s="40">
        <v>305</v>
      </c>
      <c r="D455" s="41">
        <v>25</v>
      </c>
      <c r="E455" s="41">
        <v>63</v>
      </c>
      <c r="F455" s="41">
        <v>153</v>
      </c>
      <c r="G455" s="41">
        <v>64</v>
      </c>
      <c r="H455" s="42">
        <v>3.9</v>
      </c>
      <c r="I455" s="40">
        <v>299</v>
      </c>
      <c r="J455" s="42">
        <v>4.3</v>
      </c>
    </row>
    <row r="456" spans="2:10" ht="13.15" customHeight="1" x14ac:dyDescent="0.35">
      <c r="B456" s="46">
        <v>36586</v>
      </c>
      <c r="C456" s="40">
        <v>310</v>
      </c>
      <c r="D456" s="41">
        <v>26</v>
      </c>
      <c r="E456" s="41">
        <v>64</v>
      </c>
      <c r="F456" s="41">
        <v>156</v>
      </c>
      <c r="G456" s="41">
        <v>64</v>
      </c>
      <c r="H456" s="42">
        <v>3.5</v>
      </c>
      <c r="I456" s="40">
        <v>313</v>
      </c>
      <c r="J456" s="42">
        <v>4.3</v>
      </c>
    </row>
    <row r="457" spans="2:10" ht="13.15" customHeight="1" x14ac:dyDescent="0.35">
      <c r="B457" s="46">
        <v>36617</v>
      </c>
      <c r="C457" s="40">
        <v>299</v>
      </c>
      <c r="D457" s="41">
        <v>24</v>
      </c>
      <c r="E457" s="41">
        <v>64</v>
      </c>
      <c r="F457" s="41">
        <v>150</v>
      </c>
      <c r="G457" s="41">
        <v>60</v>
      </c>
      <c r="H457" s="42">
        <v>3.8</v>
      </c>
      <c r="I457" s="40">
        <v>305</v>
      </c>
      <c r="J457" s="42">
        <v>4.4000000000000004</v>
      </c>
    </row>
    <row r="458" spans="2:10" ht="13.15" customHeight="1" x14ac:dyDescent="0.35">
      <c r="B458" s="46">
        <v>36647</v>
      </c>
      <c r="C458" s="40">
        <v>302</v>
      </c>
      <c r="D458" s="41">
        <v>25</v>
      </c>
      <c r="E458" s="41">
        <v>64</v>
      </c>
      <c r="F458" s="41">
        <v>152</v>
      </c>
      <c r="G458" s="41">
        <v>61</v>
      </c>
      <c r="H458" s="42">
        <v>3.9</v>
      </c>
      <c r="I458" s="40">
        <v>305</v>
      </c>
      <c r="J458" s="42">
        <v>4.4000000000000004</v>
      </c>
    </row>
    <row r="459" spans="2:10" ht="13.15" customHeight="1" x14ac:dyDescent="0.35">
      <c r="B459" s="46">
        <v>36678</v>
      </c>
      <c r="C459" s="40">
        <v>308</v>
      </c>
      <c r="D459" s="41">
        <v>25</v>
      </c>
      <c r="E459" s="41">
        <v>66</v>
      </c>
      <c r="F459" s="41">
        <v>154</v>
      </c>
      <c r="G459" s="41">
        <v>64</v>
      </c>
      <c r="H459" s="42">
        <v>4.4000000000000004</v>
      </c>
      <c r="I459" s="40">
        <v>306</v>
      </c>
      <c r="J459" s="42">
        <v>4.8</v>
      </c>
    </row>
    <row r="460" spans="2:10" ht="13.15" customHeight="1" x14ac:dyDescent="0.35">
      <c r="B460" s="46">
        <v>36708</v>
      </c>
      <c r="C460" s="40">
        <v>300</v>
      </c>
      <c r="D460" s="41">
        <v>25</v>
      </c>
      <c r="E460" s="41">
        <v>64</v>
      </c>
      <c r="F460" s="41">
        <v>149</v>
      </c>
      <c r="G460" s="41">
        <v>61</v>
      </c>
      <c r="H460" s="42">
        <v>3.9</v>
      </c>
      <c r="I460" s="40">
        <v>303</v>
      </c>
      <c r="J460" s="42">
        <v>4.0999999999999996</v>
      </c>
    </row>
    <row r="461" spans="2:10" ht="13.15" customHeight="1" x14ac:dyDescent="0.35">
      <c r="B461" s="46">
        <v>36739</v>
      </c>
      <c r="C461" s="40">
        <v>303</v>
      </c>
      <c r="D461" s="41">
        <v>26</v>
      </c>
      <c r="E461" s="41">
        <v>63</v>
      </c>
      <c r="F461" s="41">
        <v>151</v>
      </c>
      <c r="G461" s="41">
        <v>63</v>
      </c>
      <c r="H461" s="42">
        <v>4.2</v>
      </c>
      <c r="I461" s="40">
        <v>302</v>
      </c>
      <c r="J461" s="42">
        <v>4.4000000000000004</v>
      </c>
    </row>
    <row r="462" spans="2:10" ht="13.15" customHeight="1" x14ac:dyDescent="0.35">
      <c r="B462" s="46">
        <v>36770</v>
      </c>
      <c r="C462" s="40">
        <v>301</v>
      </c>
      <c r="D462" s="41">
        <v>26</v>
      </c>
      <c r="E462" s="41">
        <v>63</v>
      </c>
      <c r="F462" s="41">
        <v>148</v>
      </c>
      <c r="G462" s="41">
        <v>62</v>
      </c>
      <c r="H462" s="42">
        <v>4.3</v>
      </c>
      <c r="I462" s="40">
        <v>300</v>
      </c>
      <c r="J462" s="42">
        <v>4</v>
      </c>
    </row>
    <row r="463" spans="2:10" ht="13.15" customHeight="1" x14ac:dyDescent="0.35">
      <c r="B463" s="46">
        <v>36800</v>
      </c>
      <c r="C463" s="40">
        <v>305</v>
      </c>
      <c r="D463" s="41">
        <v>27</v>
      </c>
      <c r="E463" s="41">
        <v>66</v>
      </c>
      <c r="F463" s="41">
        <v>150</v>
      </c>
      <c r="G463" s="41">
        <v>62</v>
      </c>
      <c r="H463" s="42">
        <v>4.3</v>
      </c>
      <c r="I463" s="40">
        <v>301</v>
      </c>
      <c r="J463" s="42">
        <v>4</v>
      </c>
    </row>
    <row r="464" spans="2:10" ht="13.15" customHeight="1" x14ac:dyDescent="0.35">
      <c r="B464" s="46">
        <v>36831</v>
      </c>
      <c r="C464" s="40">
        <v>309</v>
      </c>
      <c r="D464" s="41">
        <v>29</v>
      </c>
      <c r="E464" s="41">
        <v>68</v>
      </c>
      <c r="F464" s="41">
        <v>149</v>
      </c>
      <c r="G464" s="41">
        <v>63</v>
      </c>
      <c r="H464" s="42">
        <v>4.9000000000000004</v>
      </c>
      <c r="I464" s="40">
        <v>305</v>
      </c>
      <c r="J464" s="42">
        <v>4.2</v>
      </c>
    </row>
    <row r="465" spans="2:10" ht="13.15" customHeight="1" x14ac:dyDescent="0.35">
      <c r="B465" s="46">
        <v>36861</v>
      </c>
      <c r="C465" s="40">
        <v>301</v>
      </c>
      <c r="D465" s="41">
        <v>28</v>
      </c>
      <c r="E465" s="41">
        <v>65</v>
      </c>
      <c r="F465" s="41">
        <v>146</v>
      </c>
      <c r="G465" s="41">
        <v>62</v>
      </c>
      <c r="H465" s="42">
        <v>4.5999999999999996</v>
      </c>
      <c r="I465" s="40">
        <v>298</v>
      </c>
      <c r="J465" s="42">
        <v>3.6</v>
      </c>
    </row>
    <row r="466" spans="2:10" ht="13.15" customHeight="1" x14ac:dyDescent="0.35">
      <c r="B466" s="46">
        <v>36892</v>
      </c>
      <c r="C466" s="40">
        <v>298</v>
      </c>
      <c r="D466" s="41">
        <v>28</v>
      </c>
      <c r="E466" s="41">
        <v>64</v>
      </c>
      <c r="F466" s="41">
        <v>145</v>
      </c>
      <c r="G466" s="41">
        <v>61</v>
      </c>
      <c r="H466" s="42">
        <v>4.2</v>
      </c>
      <c r="I466" s="40">
        <v>296</v>
      </c>
      <c r="J466" s="42">
        <v>3.8</v>
      </c>
    </row>
    <row r="467" spans="2:10" ht="13.15" customHeight="1" x14ac:dyDescent="0.35">
      <c r="B467" s="46">
        <v>36923</v>
      </c>
      <c r="C467" s="40">
        <v>291</v>
      </c>
      <c r="D467" s="41">
        <v>27</v>
      </c>
      <c r="E467" s="41">
        <v>63</v>
      </c>
      <c r="F467" s="41">
        <v>143</v>
      </c>
      <c r="G467" s="41">
        <v>59</v>
      </c>
      <c r="H467" s="42">
        <v>3.4</v>
      </c>
      <c r="I467" s="40">
        <v>296</v>
      </c>
      <c r="J467" s="42">
        <v>3.7</v>
      </c>
    </row>
    <row r="468" spans="2:10" ht="13.15" customHeight="1" x14ac:dyDescent="0.35">
      <c r="B468" s="46">
        <v>36951</v>
      </c>
      <c r="C468" s="40">
        <v>286</v>
      </c>
      <c r="D468" s="41">
        <v>25</v>
      </c>
      <c r="E468" s="41">
        <v>61</v>
      </c>
      <c r="F468" s="41">
        <v>139</v>
      </c>
      <c r="G468" s="41">
        <v>61</v>
      </c>
      <c r="H468" s="42">
        <v>3.1</v>
      </c>
      <c r="I468" s="40">
        <v>292</v>
      </c>
      <c r="J468" s="42">
        <v>3.8</v>
      </c>
    </row>
    <row r="469" spans="2:10" ht="13.15" customHeight="1" x14ac:dyDescent="0.35">
      <c r="B469" s="46">
        <v>36982</v>
      </c>
      <c r="C469" s="40">
        <v>288</v>
      </c>
      <c r="D469" s="41">
        <v>23</v>
      </c>
      <c r="E469" s="41">
        <v>60</v>
      </c>
      <c r="F469" s="41">
        <v>142</v>
      </c>
      <c r="G469" s="41">
        <v>62</v>
      </c>
      <c r="H469" s="42">
        <v>3.4</v>
      </c>
      <c r="I469" s="40">
        <v>294</v>
      </c>
      <c r="J469" s="42">
        <v>3.9</v>
      </c>
    </row>
    <row r="470" spans="2:10" ht="13.15" customHeight="1" x14ac:dyDescent="0.35">
      <c r="B470" s="46">
        <v>37012</v>
      </c>
      <c r="C470" s="40">
        <v>293</v>
      </c>
      <c r="D470" s="41">
        <v>24</v>
      </c>
      <c r="E470" s="41">
        <v>60</v>
      </c>
      <c r="F470" s="41">
        <v>143</v>
      </c>
      <c r="G470" s="41">
        <v>65</v>
      </c>
      <c r="H470" s="42">
        <v>3.7</v>
      </c>
      <c r="I470" s="40">
        <v>295</v>
      </c>
      <c r="J470" s="42">
        <v>4</v>
      </c>
    </row>
    <row r="471" spans="2:10" ht="13.15" customHeight="1" x14ac:dyDescent="0.35">
      <c r="B471" s="46">
        <v>37043</v>
      </c>
      <c r="C471" s="40">
        <v>302</v>
      </c>
      <c r="D471" s="41">
        <v>24</v>
      </c>
      <c r="E471" s="41">
        <v>63</v>
      </c>
      <c r="F471" s="41">
        <v>147</v>
      </c>
      <c r="G471" s="41">
        <v>68</v>
      </c>
      <c r="H471" s="42">
        <v>3.8</v>
      </c>
      <c r="I471" s="40">
        <v>301</v>
      </c>
      <c r="J471" s="42">
        <v>4.2</v>
      </c>
    </row>
    <row r="472" spans="2:10" ht="13.15" customHeight="1" x14ac:dyDescent="0.35">
      <c r="B472" s="46">
        <v>37073</v>
      </c>
      <c r="C472" s="40">
        <v>306</v>
      </c>
      <c r="D472" s="41">
        <v>24</v>
      </c>
      <c r="E472" s="41">
        <v>63</v>
      </c>
      <c r="F472" s="41">
        <v>148</v>
      </c>
      <c r="G472" s="41">
        <v>70</v>
      </c>
      <c r="H472" s="42">
        <v>4</v>
      </c>
      <c r="I472" s="40">
        <v>305</v>
      </c>
      <c r="J472" s="42">
        <v>4.2</v>
      </c>
    </row>
    <row r="473" spans="2:10" ht="13.15" customHeight="1" x14ac:dyDescent="0.35">
      <c r="B473" s="46">
        <v>37104</v>
      </c>
      <c r="C473" s="40">
        <v>310</v>
      </c>
      <c r="D473" s="41">
        <v>25</v>
      </c>
      <c r="E473" s="41">
        <v>67</v>
      </c>
      <c r="F473" s="41">
        <v>149</v>
      </c>
      <c r="G473" s="41">
        <v>69</v>
      </c>
      <c r="H473" s="42">
        <v>4.2</v>
      </c>
      <c r="I473" s="40">
        <v>308</v>
      </c>
      <c r="J473" s="42">
        <v>4.4000000000000004</v>
      </c>
    </row>
    <row r="474" spans="2:10" ht="13.15" customHeight="1" x14ac:dyDescent="0.35">
      <c r="B474" s="46">
        <v>37135</v>
      </c>
      <c r="C474" s="40">
        <v>310</v>
      </c>
      <c r="D474" s="41">
        <v>26</v>
      </c>
      <c r="E474" s="41">
        <v>68</v>
      </c>
      <c r="F474" s="41">
        <v>146</v>
      </c>
      <c r="G474" s="41">
        <v>70</v>
      </c>
      <c r="H474" s="42">
        <v>4.7</v>
      </c>
      <c r="I474" s="40">
        <v>310</v>
      </c>
      <c r="J474" s="42">
        <v>4.4000000000000004</v>
      </c>
    </row>
    <row r="475" spans="2:10" ht="13.15" customHeight="1" x14ac:dyDescent="0.35">
      <c r="B475" s="46">
        <v>37165</v>
      </c>
      <c r="C475" s="40">
        <v>314</v>
      </c>
      <c r="D475" s="41">
        <v>27</v>
      </c>
      <c r="E475" s="41">
        <v>69</v>
      </c>
      <c r="F475" s="41">
        <v>146</v>
      </c>
      <c r="G475" s="41">
        <v>71</v>
      </c>
      <c r="H475" s="42">
        <v>4.8</v>
      </c>
      <c r="I475" s="40">
        <v>308</v>
      </c>
      <c r="J475" s="42">
        <v>4.3</v>
      </c>
    </row>
    <row r="476" spans="2:10" ht="13.15" customHeight="1" x14ac:dyDescent="0.35">
      <c r="B476" s="46">
        <v>37196</v>
      </c>
      <c r="C476" s="40">
        <v>313</v>
      </c>
      <c r="D476" s="41">
        <v>27</v>
      </c>
      <c r="E476" s="41">
        <v>70</v>
      </c>
      <c r="F476" s="41">
        <v>144</v>
      </c>
      <c r="G476" s="41">
        <v>72</v>
      </c>
      <c r="H476" s="42">
        <v>4.7</v>
      </c>
      <c r="I476" s="40">
        <v>308</v>
      </c>
      <c r="J476" s="42">
        <v>4.0999999999999996</v>
      </c>
    </row>
    <row r="477" spans="2:10" ht="13.15" customHeight="1" x14ac:dyDescent="0.35">
      <c r="B477" s="46">
        <v>37226</v>
      </c>
      <c r="C477" s="40">
        <v>310</v>
      </c>
      <c r="D477" s="41">
        <v>28</v>
      </c>
      <c r="E477" s="41">
        <v>70</v>
      </c>
      <c r="F477" s="41">
        <v>142</v>
      </c>
      <c r="G477" s="41">
        <v>69</v>
      </c>
      <c r="H477" s="42">
        <v>4.7</v>
      </c>
      <c r="I477" s="40">
        <v>308</v>
      </c>
      <c r="J477" s="42">
        <v>3.8</v>
      </c>
    </row>
    <row r="478" spans="2:10" ht="13.15" customHeight="1" x14ac:dyDescent="0.35">
      <c r="B478" s="46">
        <v>37257</v>
      </c>
      <c r="C478" s="40">
        <v>313</v>
      </c>
      <c r="D478" s="41">
        <v>27</v>
      </c>
      <c r="E478" s="41">
        <v>71</v>
      </c>
      <c r="F478" s="41">
        <v>145</v>
      </c>
      <c r="G478" s="41">
        <v>70</v>
      </c>
      <c r="H478" s="42">
        <v>4.7</v>
      </c>
      <c r="I478" s="40">
        <v>310</v>
      </c>
      <c r="J478" s="42">
        <v>4.2</v>
      </c>
    </row>
    <row r="479" spans="2:10" ht="13.15" customHeight="1" x14ac:dyDescent="0.35">
      <c r="B479" s="46">
        <v>37288</v>
      </c>
      <c r="C479" s="40">
        <v>309</v>
      </c>
      <c r="D479" s="41">
        <v>26</v>
      </c>
      <c r="E479" s="41">
        <v>70</v>
      </c>
      <c r="F479" s="41">
        <v>146</v>
      </c>
      <c r="G479" s="41">
        <v>67</v>
      </c>
      <c r="H479" s="42">
        <v>3.7</v>
      </c>
      <c r="I479" s="40">
        <v>313</v>
      </c>
      <c r="J479" s="42">
        <v>4</v>
      </c>
    </row>
    <row r="480" spans="2:10" ht="13.15" customHeight="1" x14ac:dyDescent="0.35">
      <c r="B480" s="46">
        <v>37316</v>
      </c>
      <c r="C480" s="40">
        <v>307</v>
      </c>
      <c r="D480" s="41">
        <v>26</v>
      </c>
      <c r="E480" s="41">
        <v>72</v>
      </c>
      <c r="F480" s="41">
        <v>147</v>
      </c>
      <c r="G480" s="41">
        <v>63</v>
      </c>
      <c r="H480" s="42">
        <v>3.4</v>
      </c>
      <c r="I480" s="40">
        <v>316</v>
      </c>
      <c r="J480" s="42">
        <v>4.0999999999999996</v>
      </c>
    </row>
    <row r="481" spans="2:10" ht="13.15" customHeight="1" x14ac:dyDescent="0.35">
      <c r="B481" s="46">
        <v>37347</v>
      </c>
      <c r="C481" s="40">
        <v>320</v>
      </c>
      <c r="D481" s="41">
        <v>28</v>
      </c>
      <c r="E481" s="41">
        <v>75</v>
      </c>
      <c r="F481" s="41">
        <v>153</v>
      </c>
      <c r="G481" s="41">
        <v>65</v>
      </c>
      <c r="H481" s="42">
        <v>3.7</v>
      </c>
      <c r="I481" s="40">
        <v>324</v>
      </c>
      <c r="J481" s="42">
        <v>4.3</v>
      </c>
    </row>
    <row r="482" spans="2:10" ht="13.15" customHeight="1" x14ac:dyDescent="0.35">
      <c r="B482" s="46">
        <v>37377</v>
      </c>
      <c r="C482" s="40">
        <v>327</v>
      </c>
      <c r="D482" s="41">
        <v>30</v>
      </c>
      <c r="E482" s="41">
        <v>75</v>
      </c>
      <c r="F482" s="41">
        <v>156</v>
      </c>
      <c r="G482" s="41">
        <v>66</v>
      </c>
      <c r="H482" s="42">
        <v>3.7</v>
      </c>
      <c r="I482" s="40">
        <v>327</v>
      </c>
      <c r="J482" s="42">
        <v>4</v>
      </c>
    </row>
    <row r="483" spans="2:10" ht="13.15" customHeight="1" x14ac:dyDescent="0.35">
      <c r="B483" s="46">
        <v>37408</v>
      </c>
      <c r="C483" s="40">
        <v>328</v>
      </c>
      <c r="D483" s="41">
        <v>30</v>
      </c>
      <c r="E483" s="41">
        <v>77</v>
      </c>
      <c r="F483" s="41">
        <v>157</v>
      </c>
      <c r="G483" s="41">
        <v>64</v>
      </c>
      <c r="H483" s="42">
        <v>3.9</v>
      </c>
      <c r="I483" s="40">
        <v>328</v>
      </c>
      <c r="J483" s="42">
        <v>4.2</v>
      </c>
    </row>
    <row r="484" spans="2:10" ht="13.15" customHeight="1" x14ac:dyDescent="0.35">
      <c r="B484" s="46">
        <v>37438</v>
      </c>
      <c r="C484" s="40">
        <v>333</v>
      </c>
      <c r="D484" s="41">
        <v>31</v>
      </c>
      <c r="E484" s="41">
        <v>77</v>
      </c>
      <c r="F484" s="41">
        <v>159</v>
      </c>
      <c r="G484" s="41">
        <v>66</v>
      </c>
      <c r="H484" s="42">
        <v>4.0999999999999996</v>
      </c>
      <c r="I484" s="40">
        <v>333</v>
      </c>
      <c r="J484" s="42">
        <v>4.2</v>
      </c>
    </row>
    <row r="485" spans="2:10" ht="13.15" customHeight="1" x14ac:dyDescent="0.35">
      <c r="B485" s="46">
        <v>37469</v>
      </c>
      <c r="C485" s="40">
        <v>333</v>
      </c>
      <c r="D485" s="41">
        <v>32</v>
      </c>
      <c r="E485" s="41">
        <v>78</v>
      </c>
      <c r="F485" s="41">
        <v>157</v>
      </c>
      <c r="G485" s="41">
        <v>66</v>
      </c>
      <c r="H485" s="42">
        <v>3.7</v>
      </c>
      <c r="I485" s="40">
        <v>334</v>
      </c>
      <c r="J485" s="42">
        <v>4</v>
      </c>
    </row>
    <row r="486" spans="2:10" ht="13.15" customHeight="1" x14ac:dyDescent="0.35">
      <c r="B486" s="46">
        <v>37500</v>
      </c>
      <c r="C486" s="40">
        <v>332</v>
      </c>
      <c r="D486" s="41">
        <v>31</v>
      </c>
      <c r="E486" s="41">
        <v>79</v>
      </c>
      <c r="F486" s="41">
        <v>157</v>
      </c>
      <c r="G486" s="41">
        <v>66</v>
      </c>
      <c r="H486" s="42">
        <v>4.0999999999999996</v>
      </c>
      <c r="I486" s="40">
        <v>333</v>
      </c>
      <c r="J486" s="42">
        <v>3.9</v>
      </c>
    </row>
    <row r="487" spans="2:10" ht="13.15" customHeight="1" x14ac:dyDescent="0.35">
      <c r="B487" s="46">
        <v>37530</v>
      </c>
      <c r="C487" s="40">
        <v>342</v>
      </c>
      <c r="D487" s="41">
        <v>33</v>
      </c>
      <c r="E487" s="41">
        <v>82</v>
      </c>
      <c r="F487" s="41">
        <v>159</v>
      </c>
      <c r="G487" s="41">
        <v>68</v>
      </c>
      <c r="H487" s="42">
        <v>4.5</v>
      </c>
      <c r="I487" s="40">
        <v>335</v>
      </c>
      <c r="J487" s="42">
        <v>4</v>
      </c>
    </row>
    <row r="488" spans="2:10" ht="13.15" customHeight="1" x14ac:dyDescent="0.35">
      <c r="B488" s="46">
        <v>37561</v>
      </c>
      <c r="C488" s="40">
        <v>342</v>
      </c>
      <c r="D488" s="41">
        <v>35</v>
      </c>
      <c r="E488" s="41">
        <v>80</v>
      </c>
      <c r="F488" s="41">
        <v>159</v>
      </c>
      <c r="G488" s="41">
        <v>68</v>
      </c>
      <c r="H488" s="42">
        <v>4.7</v>
      </c>
      <c r="I488" s="40">
        <v>338</v>
      </c>
      <c r="J488" s="42">
        <v>4</v>
      </c>
    </row>
    <row r="489" spans="2:10" ht="13.15" customHeight="1" x14ac:dyDescent="0.35">
      <c r="B489" s="46">
        <v>37591</v>
      </c>
      <c r="C489" s="40">
        <v>344</v>
      </c>
      <c r="D489" s="41">
        <v>36</v>
      </c>
      <c r="E489" s="41">
        <v>77</v>
      </c>
      <c r="F489" s="41">
        <v>161</v>
      </c>
      <c r="G489" s="41">
        <v>70</v>
      </c>
      <c r="H489" s="42">
        <v>4.9000000000000004</v>
      </c>
      <c r="I489" s="40">
        <v>339</v>
      </c>
      <c r="J489" s="42">
        <v>4</v>
      </c>
    </row>
    <row r="490" spans="2:10" ht="13.15" customHeight="1" x14ac:dyDescent="0.35">
      <c r="B490" s="46">
        <v>37622</v>
      </c>
      <c r="C490" s="40">
        <v>347</v>
      </c>
      <c r="D490" s="41">
        <v>36</v>
      </c>
      <c r="E490" s="41">
        <v>77</v>
      </c>
      <c r="F490" s="41">
        <v>163</v>
      </c>
      <c r="G490" s="41">
        <v>71</v>
      </c>
      <c r="H490" s="42">
        <v>4.5999999999999996</v>
      </c>
      <c r="I490" s="40">
        <v>341</v>
      </c>
      <c r="J490" s="42">
        <v>4</v>
      </c>
    </row>
    <row r="491" spans="2:10" ht="13.15" customHeight="1" x14ac:dyDescent="0.35">
      <c r="B491" s="46">
        <v>37653</v>
      </c>
      <c r="C491" s="40">
        <v>339</v>
      </c>
      <c r="D491" s="41">
        <v>34</v>
      </c>
      <c r="E491" s="41">
        <v>73</v>
      </c>
      <c r="F491" s="41">
        <v>162</v>
      </c>
      <c r="G491" s="41">
        <v>70</v>
      </c>
      <c r="H491" s="42">
        <v>4.2</v>
      </c>
      <c r="I491" s="40">
        <v>341</v>
      </c>
      <c r="J491" s="42">
        <v>4.5</v>
      </c>
    </row>
    <row r="492" spans="2:10" ht="13.15" customHeight="1" x14ac:dyDescent="0.35">
      <c r="B492" s="46">
        <v>37681</v>
      </c>
      <c r="C492" s="40">
        <v>330</v>
      </c>
      <c r="D492" s="41">
        <v>30</v>
      </c>
      <c r="E492" s="41">
        <v>74</v>
      </c>
      <c r="F492" s="41">
        <v>157</v>
      </c>
      <c r="G492" s="41">
        <v>69</v>
      </c>
      <c r="H492" s="42">
        <v>3.4</v>
      </c>
      <c r="I492" s="40">
        <v>338</v>
      </c>
      <c r="J492" s="42">
        <v>4.0999999999999996</v>
      </c>
    </row>
    <row r="493" spans="2:10" ht="13.15" customHeight="1" x14ac:dyDescent="0.35">
      <c r="B493" s="46">
        <v>37712</v>
      </c>
      <c r="C493" s="40">
        <v>339</v>
      </c>
      <c r="D493" s="41">
        <v>29</v>
      </c>
      <c r="E493" s="41">
        <v>76</v>
      </c>
      <c r="F493" s="41">
        <v>162</v>
      </c>
      <c r="G493" s="41">
        <v>72</v>
      </c>
      <c r="H493" s="42">
        <v>3.7</v>
      </c>
      <c r="I493" s="40">
        <v>340</v>
      </c>
      <c r="J493" s="42">
        <v>4.0999999999999996</v>
      </c>
    </row>
    <row r="494" spans="2:10" ht="13.15" customHeight="1" x14ac:dyDescent="0.35">
      <c r="B494" s="46">
        <v>37742</v>
      </c>
      <c r="C494" s="40">
        <v>341</v>
      </c>
      <c r="D494" s="41">
        <v>30</v>
      </c>
      <c r="E494" s="41">
        <v>79</v>
      </c>
      <c r="F494" s="41">
        <v>161</v>
      </c>
      <c r="G494" s="41">
        <v>71</v>
      </c>
      <c r="H494" s="42">
        <v>3.4</v>
      </c>
      <c r="I494" s="40">
        <v>343</v>
      </c>
      <c r="J494" s="42">
        <v>3.9</v>
      </c>
    </row>
    <row r="495" spans="2:10" ht="13.15" customHeight="1" x14ac:dyDescent="0.35">
      <c r="B495" s="46">
        <v>37773</v>
      </c>
      <c r="C495" s="40">
        <v>342</v>
      </c>
      <c r="D495" s="41">
        <v>29</v>
      </c>
      <c r="E495" s="41">
        <v>84</v>
      </c>
      <c r="F495" s="41">
        <v>162</v>
      </c>
      <c r="G495" s="41">
        <v>67</v>
      </c>
      <c r="H495" s="42">
        <v>3.2</v>
      </c>
      <c r="I495" s="40">
        <v>343</v>
      </c>
      <c r="J495" s="42">
        <v>3.5</v>
      </c>
    </row>
    <row r="496" spans="2:10" ht="13.15" customHeight="1" x14ac:dyDescent="0.35">
      <c r="B496" s="46">
        <v>37803</v>
      </c>
      <c r="C496" s="40">
        <v>342</v>
      </c>
      <c r="D496" s="41">
        <v>29</v>
      </c>
      <c r="E496" s="41">
        <v>84</v>
      </c>
      <c r="F496" s="41">
        <v>159</v>
      </c>
      <c r="G496" s="41">
        <v>69</v>
      </c>
      <c r="H496" s="42">
        <v>3.5</v>
      </c>
      <c r="I496" s="40">
        <v>342</v>
      </c>
      <c r="J496" s="42">
        <v>3.6</v>
      </c>
    </row>
    <row r="497" spans="2:10" ht="13.15" customHeight="1" x14ac:dyDescent="0.35">
      <c r="B497" s="46">
        <v>37834</v>
      </c>
      <c r="C497" s="40">
        <v>342</v>
      </c>
      <c r="D497" s="41">
        <v>28</v>
      </c>
      <c r="E497" s="41">
        <v>84</v>
      </c>
      <c r="F497" s="41">
        <v>163</v>
      </c>
      <c r="G497" s="41">
        <v>68</v>
      </c>
      <c r="H497" s="42">
        <v>3.3</v>
      </c>
      <c r="I497" s="40">
        <v>346</v>
      </c>
      <c r="J497" s="42">
        <v>3.5</v>
      </c>
    </row>
    <row r="498" spans="2:10" ht="13.15" customHeight="1" x14ac:dyDescent="0.35">
      <c r="B498" s="46">
        <v>37865</v>
      </c>
      <c r="C498" s="40">
        <v>350</v>
      </c>
      <c r="D498" s="41">
        <v>27</v>
      </c>
      <c r="E498" s="41">
        <v>88</v>
      </c>
      <c r="F498" s="41">
        <v>165</v>
      </c>
      <c r="G498" s="41">
        <v>69</v>
      </c>
      <c r="H498" s="42">
        <v>3.9</v>
      </c>
      <c r="I498" s="40">
        <v>350</v>
      </c>
      <c r="J498" s="42">
        <v>3.8</v>
      </c>
    </row>
    <row r="499" spans="2:10" ht="13.15" customHeight="1" x14ac:dyDescent="0.35">
      <c r="B499" s="46">
        <v>37895</v>
      </c>
      <c r="C499" s="40">
        <v>368</v>
      </c>
      <c r="D499" s="41">
        <v>29</v>
      </c>
      <c r="E499" s="41">
        <v>92</v>
      </c>
      <c r="F499" s="41">
        <v>171</v>
      </c>
      <c r="G499" s="41">
        <v>76</v>
      </c>
      <c r="H499" s="42">
        <v>4.2</v>
      </c>
      <c r="I499" s="40">
        <v>361</v>
      </c>
      <c r="J499" s="42">
        <v>3.8</v>
      </c>
    </row>
    <row r="500" spans="2:10" ht="13.15" customHeight="1" x14ac:dyDescent="0.35">
      <c r="B500" s="46">
        <v>37926</v>
      </c>
      <c r="C500" s="40">
        <v>367</v>
      </c>
      <c r="D500" s="41">
        <v>29</v>
      </c>
      <c r="E500" s="41">
        <v>95</v>
      </c>
      <c r="F500" s="41">
        <v>169</v>
      </c>
      <c r="G500" s="41">
        <v>75</v>
      </c>
      <c r="H500" s="42">
        <v>4.9000000000000004</v>
      </c>
      <c r="I500" s="40">
        <v>366</v>
      </c>
      <c r="J500" s="42">
        <v>4.0999999999999996</v>
      </c>
    </row>
    <row r="501" spans="2:10" ht="13.15" customHeight="1" x14ac:dyDescent="0.35">
      <c r="B501" s="46">
        <v>37956</v>
      </c>
      <c r="C501" s="40">
        <v>377</v>
      </c>
      <c r="D501" s="41">
        <v>29</v>
      </c>
      <c r="E501" s="41">
        <v>97</v>
      </c>
      <c r="F501" s="41">
        <v>172</v>
      </c>
      <c r="G501" s="41">
        <v>79</v>
      </c>
      <c r="H501" s="42">
        <v>5</v>
      </c>
      <c r="I501" s="40">
        <v>370</v>
      </c>
      <c r="J501" s="42">
        <v>4</v>
      </c>
    </row>
    <row r="502" spans="2:10" ht="13.15" customHeight="1" x14ac:dyDescent="0.35">
      <c r="B502" s="46">
        <v>37987</v>
      </c>
      <c r="C502" s="40">
        <v>376</v>
      </c>
      <c r="D502" s="41">
        <v>27</v>
      </c>
      <c r="E502" s="41">
        <v>96</v>
      </c>
      <c r="F502" s="41">
        <v>175</v>
      </c>
      <c r="G502" s="41">
        <v>78</v>
      </c>
      <c r="H502" s="42">
        <v>4.2</v>
      </c>
      <c r="I502" s="40">
        <v>374</v>
      </c>
      <c r="J502" s="42">
        <v>3.8</v>
      </c>
    </row>
    <row r="503" spans="2:10" ht="13.15" customHeight="1" x14ac:dyDescent="0.35">
      <c r="B503" s="46">
        <v>38018</v>
      </c>
      <c r="C503" s="40">
        <v>366</v>
      </c>
      <c r="D503" s="41">
        <v>25</v>
      </c>
      <c r="E503" s="41">
        <v>94</v>
      </c>
      <c r="F503" s="41">
        <v>172</v>
      </c>
      <c r="G503" s="41">
        <v>74</v>
      </c>
      <c r="H503" s="42">
        <v>3.6</v>
      </c>
      <c r="I503" s="40">
        <v>372</v>
      </c>
      <c r="J503" s="42">
        <v>3.7</v>
      </c>
    </row>
    <row r="504" spans="2:10" ht="13.15" customHeight="1" x14ac:dyDescent="0.35">
      <c r="B504" s="46">
        <v>38047</v>
      </c>
      <c r="C504" s="40">
        <v>375</v>
      </c>
      <c r="D504" s="41">
        <v>26</v>
      </c>
      <c r="E504" s="41">
        <v>99</v>
      </c>
      <c r="F504" s="41">
        <v>176</v>
      </c>
      <c r="G504" s="41">
        <v>75</v>
      </c>
      <c r="H504" s="42">
        <v>3</v>
      </c>
      <c r="I504" s="40">
        <v>381</v>
      </c>
      <c r="J504" s="42">
        <v>3.6</v>
      </c>
    </row>
    <row r="505" spans="2:10" ht="13.15" customHeight="1" x14ac:dyDescent="0.35">
      <c r="B505" s="46">
        <v>38078</v>
      </c>
      <c r="C505" s="40">
        <v>382</v>
      </c>
      <c r="D505" s="41">
        <v>26</v>
      </c>
      <c r="E505" s="41">
        <v>100</v>
      </c>
      <c r="F505" s="41">
        <v>182</v>
      </c>
      <c r="G505" s="41">
        <v>73</v>
      </c>
      <c r="H505" s="42">
        <v>3.5</v>
      </c>
      <c r="I505" s="40">
        <v>383</v>
      </c>
      <c r="J505" s="42">
        <v>4</v>
      </c>
    </row>
    <row r="506" spans="2:10" ht="13.15" customHeight="1" x14ac:dyDescent="0.35">
      <c r="B506" s="46">
        <v>38108</v>
      </c>
      <c r="C506" s="40">
        <v>379</v>
      </c>
      <c r="D506" s="41">
        <v>25</v>
      </c>
      <c r="E506" s="41">
        <v>101</v>
      </c>
      <c r="F506" s="41">
        <v>177</v>
      </c>
      <c r="G506" s="41">
        <v>76</v>
      </c>
      <c r="H506" s="42">
        <v>3.3</v>
      </c>
      <c r="I506" s="40">
        <v>383</v>
      </c>
      <c r="J506" s="42">
        <v>3.8</v>
      </c>
    </row>
    <row r="507" spans="2:10" ht="13.15" customHeight="1" x14ac:dyDescent="0.35">
      <c r="B507" s="46">
        <v>38139</v>
      </c>
      <c r="C507" s="40">
        <v>385</v>
      </c>
      <c r="D507" s="41">
        <v>26</v>
      </c>
      <c r="E507" s="41">
        <v>103</v>
      </c>
      <c r="F507" s="41">
        <v>178</v>
      </c>
      <c r="G507" s="41">
        <v>78</v>
      </c>
      <c r="H507" s="42">
        <v>3.7</v>
      </c>
      <c r="I507" s="40">
        <v>383</v>
      </c>
      <c r="J507" s="42">
        <v>3.9</v>
      </c>
    </row>
    <row r="508" spans="2:10" ht="13.15" customHeight="1" x14ac:dyDescent="0.35">
      <c r="B508" s="46">
        <v>38169</v>
      </c>
      <c r="C508" s="40">
        <v>397</v>
      </c>
      <c r="D508" s="41">
        <v>29</v>
      </c>
      <c r="E508" s="41">
        <v>101</v>
      </c>
      <c r="F508" s="41">
        <v>184</v>
      </c>
      <c r="G508" s="41">
        <v>83</v>
      </c>
      <c r="H508" s="42">
        <v>4.2</v>
      </c>
      <c r="I508" s="40">
        <v>400</v>
      </c>
      <c r="J508" s="42">
        <v>4.5</v>
      </c>
    </row>
    <row r="509" spans="2:10" ht="13.15" customHeight="1" x14ac:dyDescent="0.35">
      <c r="B509" s="46">
        <v>38200</v>
      </c>
      <c r="C509" s="40">
        <v>404</v>
      </c>
      <c r="D509" s="41">
        <v>30</v>
      </c>
      <c r="E509" s="41">
        <v>102</v>
      </c>
      <c r="F509" s="41">
        <v>187</v>
      </c>
      <c r="G509" s="41">
        <v>84</v>
      </c>
      <c r="H509" s="42">
        <v>4</v>
      </c>
      <c r="I509" s="40">
        <v>405</v>
      </c>
      <c r="J509" s="42">
        <v>4.3</v>
      </c>
    </row>
    <row r="510" spans="2:10" ht="13.15" customHeight="1" x14ac:dyDescent="0.35">
      <c r="B510" s="46">
        <v>38231</v>
      </c>
      <c r="C510" s="40">
        <v>413</v>
      </c>
      <c r="D510" s="41">
        <v>30</v>
      </c>
      <c r="E510" s="41">
        <v>104</v>
      </c>
      <c r="F510" s="41">
        <v>191</v>
      </c>
      <c r="G510" s="41">
        <v>89</v>
      </c>
      <c r="H510" s="42">
        <v>4.4000000000000004</v>
      </c>
      <c r="I510" s="40">
        <v>410</v>
      </c>
      <c r="J510" s="42">
        <v>4.0999999999999996</v>
      </c>
    </row>
    <row r="511" spans="2:10" ht="13.15" customHeight="1" x14ac:dyDescent="0.35">
      <c r="B511" s="46">
        <v>38261</v>
      </c>
      <c r="C511" s="40">
        <v>414</v>
      </c>
      <c r="D511" s="41">
        <v>29</v>
      </c>
      <c r="E511" s="41">
        <v>105</v>
      </c>
      <c r="F511" s="41">
        <v>196</v>
      </c>
      <c r="G511" s="41">
        <v>83</v>
      </c>
      <c r="H511" s="42">
        <v>4.0999999999999996</v>
      </c>
      <c r="I511" s="40">
        <v>413</v>
      </c>
      <c r="J511" s="42">
        <v>3.9</v>
      </c>
    </row>
    <row r="512" spans="2:10" ht="13.15" customHeight="1" x14ac:dyDescent="0.35">
      <c r="B512" s="46">
        <v>38292</v>
      </c>
      <c r="C512" s="40">
        <v>423</v>
      </c>
      <c r="D512" s="41">
        <v>30</v>
      </c>
      <c r="E512" s="41">
        <v>111</v>
      </c>
      <c r="F512" s="41">
        <v>195</v>
      </c>
      <c r="G512" s="41">
        <v>87</v>
      </c>
      <c r="H512" s="42">
        <v>5</v>
      </c>
      <c r="I512" s="40">
        <v>418</v>
      </c>
      <c r="J512" s="42">
        <v>4.3</v>
      </c>
    </row>
    <row r="513" spans="2:10" ht="13.15" customHeight="1" x14ac:dyDescent="0.35">
      <c r="B513" s="46">
        <v>38322</v>
      </c>
      <c r="C513" s="40">
        <v>431</v>
      </c>
      <c r="D513" s="41">
        <v>30</v>
      </c>
      <c r="E513" s="41">
        <v>111</v>
      </c>
      <c r="F513" s="41">
        <v>200</v>
      </c>
      <c r="G513" s="41">
        <v>91</v>
      </c>
      <c r="H513" s="42">
        <v>5.2</v>
      </c>
      <c r="I513" s="40">
        <v>422</v>
      </c>
      <c r="J513" s="42">
        <v>4.0999999999999996</v>
      </c>
    </row>
    <row r="514" spans="2:10" ht="13.15" customHeight="1" x14ac:dyDescent="0.35">
      <c r="B514" s="46">
        <v>38353</v>
      </c>
      <c r="C514" s="40">
        <v>441</v>
      </c>
      <c r="D514" s="41">
        <v>32</v>
      </c>
      <c r="E514" s="41">
        <v>112</v>
      </c>
      <c r="F514" s="41">
        <v>204</v>
      </c>
      <c r="G514" s="41">
        <v>92</v>
      </c>
      <c r="H514" s="42">
        <v>4.8</v>
      </c>
      <c r="I514" s="40">
        <v>441</v>
      </c>
      <c r="J514" s="42">
        <v>4.4000000000000004</v>
      </c>
    </row>
    <row r="515" spans="2:10" ht="13.15" customHeight="1" x14ac:dyDescent="0.35">
      <c r="B515" s="46">
        <v>38384</v>
      </c>
      <c r="C515" s="40">
        <v>439</v>
      </c>
      <c r="D515" s="41">
        <v>32</v>
      </c>
      <c r="E515" s="41">
        <v>113</v>
      </c>
      <c r="F515" s="41">
        <v>205</v>
      </c>
      <c r="G515" s="41">
        <v>90</v>
      </c>
      <c r="H515" s="42">
        <v>4</v>
      </c>
      <c r="I515" s="40">
        <v>446</v>
      </c>
      <c r="J515" s="42">
        <v>4.3</v>
      </c>
    </row>
    <row r="516" spans="2:10" ht="13.15" customHeight="1" x14ac:dyDescent="0.35">
      <c r="B516" s="46">
        <v>38412</v>
      </c>
      <c r="C516" s="40">
        <v>441</v>
      </c>
      <c r="D516" s="41">
        <v>33</v>
      </c>
      <c r="E516" s="41">
        <v>113</v>
      </c>
      <c r="F516" s="41">
        <v>206</v>
      </c>
      <c r="G516" s="41">
        <v>90</v>
      </c>
      <c r="H516" s="42">
        <v>3.5</v>
      </c>
      <c r="I516" s="40">
        <v>445</v>
      </c>
      <c r="J516" s="42">
        <v>4.0999999999999996</v>
      </c>
    </row>
    <row r="517" spans="2:10" ht="13.15" customHeight="1" x14ac:dyDescent="0.35">
      <c r="B517" s="46">
        <v>38443</v>
      </c>
      <c r="C517" s="40">
        <v>441</v>
      </c>
      <c r="D517" s="41">
        <v>33</v>
      </c>
      <c r="E517" s="41">
        <v>110</v>
      </c>
      <c r="F517" s="41">
        <v>208</v>
      </c>
      <c r="G517" s="41">
        <v>90</v>
      </c>
      <c r="H517" s="42">
        <v>3.8</v>
      </c>
      <c r="I517" s="40">
        <v>445</v>
      </c>
      <c r="J517" s="42">
        <v>4.3</v>
      </c>
    </row>
    <row r="518" spans="2:10" ht="13.15" customHeight="1" x14ac:dyDescent="0.35">
      <c r="B518" s="46">
        <v>38473</v>
      </c>
      <c r="C518" s="40">
        <v>448</v>
      </c>
      <c r="D518" s="41">
        <v>36</v>
      </c>
      <c r="E518" s="41">
        <v>107</v>
      </c>
      <c r="F518" s="41">
        <v>213</v>
      </c>
      <c r="G518" s="41">
        <v>92</v>
      </c>
      <c r="H518" s="42">
        <v>3.7</v>
      </c>
      <c r="I518" s="40">
        <v>450</v>
      </c>
      <c r="J518" s="42">
        <v>4.2</v>
      </c>
    </row>
    <row r="519" spans="2:10" ht="13.15" customHeight="1" x14ac:dyDescent="0.35">
      <c r="B519" s="46">
        <v>38504</v>
      </c>
      <c r="C519" s="40">
        <v>458</v>
      </c>
      <c r="D519" s="41">
        <v>38</v>
      </c>
      <c r="E519" s="41">
        <v>105</v>
      </c>
      <c r="F519" s="41">
        <v>221</v>
      </c>
      <c r="G519" s="41">
        <v>94</v>
      </c>
      <c r="H519" s="42">
        <v>4</v>
      </c>
      <c r="I519" s="40">
        <v>455</v>
      </c>
      <c r="J519" s="42">
        <v>4.3</v>
      </c>
    </row>
    <row r="520" spans="2:10" ht="13.15" customHeight="1" x14ac:dyDescent="0.35">
      <c r="B520" s="46">
        <v>38534</v>
      </c>
      <c r="C520" s="40">
        <v>459</v>
      </c>
      <c r="D520" s="41">
        <v>40</v>
      </c>
      <c r="E520" s="41">
        <v>104</v>
      </c>
      <c r="F520" s="41">
        <v>226</v>
      </c>
      <c r="G520" s="41">
        <v>90</v>
      </c>
      <c r="H520" s="42">
        <v>3.9</v>
      </c>
      <c r="I520" s="40">
        <v>464</v>
      </c>
      <c r="J520" s="42">
        <v>4.2</v>
      </c>
    </row>
    <row r="521" spans="2:10" ht="13.15" customHeight="1" x14ac:dyDescent="0.35">
      <c r="B521" s="46">
        <v>38565</v>
      </c>
      <c r="C521" s="40">
        <v>477</v>
      </c>
      <c r="D521" s="41">
        <v>42</v>
      </c>
      <c r="E521" s="41">
        <v>104</v>
      </c>
      <c r="F521" s="41">
        <v>238</v>
      </c>
      <c r="G521" s="41">
        <v>92</v>
      </c>
      <c r="H521" s="42">
        <v>4.3</v>
      </c>
      <c r="I521" s="40">
        <v>476</v>
      </c>
      <c r="J521" s="42">
        <v>4.5</v>
      </c>
    </row>
    <row r="522" spans="2:10" ht="13.15" customHeight="1" x14ac:dyDescent="0.35">
      <c r="B522" s="46">
        <v>38596</v>
      </c>
      <c r="C522" s="40">
        <v>491</v>
      </c>
      <c r="D522" s="41">
        <v>45</v>
      </c>
      <c r="E522" s="41">
        <v>103</v>
      </c>
      <c r="F522" s="41">
        <v>242</v>
      </c>
      <c r="G522" s="41">
        <v>101</v>
      </c>
      <c r="H522" s="42">
        <v>5</v>
      </c>
      <c r="I522" s="40">
        <v>487</v>
      </c>
      <c r="J522" s="42">
        <v>4.7</v>
      </c>
    </row>
    <row r="523" spans="2:10" ht="13.15" customHeight="1" x14ac:dyDescent="0.35">
      <c r="B523" s="46">
        <v>38626</v>
      </c>
      <c r="C523" s="40">
        <v>492</v>
      </c>
      <c r="D523" s="41">
        <v>44</v>
      </c>
      <c r="E523" s="41">
        <v>107</v>
      </c>
      <c r="F523" s="41">
        <v>242</v>
      </c>
      <c r="G523" s="41">
        <v>99</v>
      </c>
      <c r="H523" s="42">
        <v>4.7</v>
      </c>
      <c r="I523" s="40">
        <v>490</v>
      </c>
      <c r="J523" s="42">
        <v>4.5</v>
      </c>
    </row>
    <row r="524" spans="2:10" ht="13.15" customHeight="1" x14ac:dyDescent="0.35">
      <c r="B524" s="46">
        <v>38657</v>
      </c>
      <c r="C524" s="40">
        <v>508</v>
      </c>
      <c r="D524" s="41">
        <v>45</v>
      </c>
      <c r="E524" s="41">
        <v>111</v>
      </c>
      <c r="F524" s="41">
        <v>248</v>
      </c>
      <c r="G524" s="41">
        <v>104</v>
      </c>
      <c r="H524" s="42">
        <v>5.9</v>
      </c>
      <c r="I524" s="40">
        <v>502</v>
      </c>
      <c r="J524" s="42">
        <v>5</v>
      </c>
    </row>
    <row r="525" spans="2:10" ht="13.15" customHeight="1" x14ac:dyDescent="0.35">
      <c r="B525" s="46">
        <v>38687</v>
      </c>
      <c r="C525" s="40">
        <v>515</v>
      </c>
      <c r="D525" s="41">
        <v>47</v>
      </c>
      <c r="E525" s="41">
        <v>109</v>
      </c>
      <c r="F525" s="41">
        <v>249</v>
      </c>
      <c r="G525" s="41">
        <v>109</v>
      </c>
      <c r="H525" s="42">
        <v>5.9</v>
      </c>
      <c r="I525" s="40">
        <v>511</v>
      </c>
      <c r="J525" s="42">
        <v>4.9000000000000004</v>
      </c>
    </row>
    <row r="526" spans="2:10" ht="13.15" customHeight="1" x14ac:dyDescent="0.35">
      <c r="B526" s="46">
        <v>38718</v>
      </c>
      <c r="C526" s="40">
        <v>525</v>
      </c>
      <c r="D526" s="41">
        <v>49</v>
      </c>
      <c r="E526" s="41">
        <v>110</v>
      </c>
      <c r="F526" s="41">
        <v>257</v>
      </c>
      <c r="G526" s="41">
        <v>109</v>
      </c>
      <c r="H526" s="42">
        <v>5.9</v>
      </c>
      <c r="I526" s="40">
        <v>523</v>
      </c>
      <c r="J526" s="42">
        <v>5.3</v>
      </c>
    </row>
    <row r="527" spans="2:10" ht="13.15" customHeight="1" x14ac:dyDescent="0.35">
      <c r="B527" s="46">
        <v>38749</v>
      </c>
      <c r="C527" s="40">
        <v>533</v>
      </c>
      <c r="D527" s="41">
        <v>50</v>
      </c>
      <c r="E527" s="41">
        <v>108</v>
      </c>
      <c r="F527" s="41">
        <v>263</v>
      </c>
      <c r="G527" s="41">
        <v>112</v>
      </c>
      <c r="H527" s="42">
        <v>6.1</v>
      </c>
      <c r="I527" s="40">
        <v>539</v>
      </c>
      <c r="J527" s="42">
        <v>6.1</v>
      </c>
    </row>
    <row r="528" spans="2:10" ht="13.15" customHeight="1" x14ac:dyDescent="0.35">
      <c r="B528" s="46">
        <v>38777</v>
      </c>
      <c r="C528" s="40">
        <v>550</v>
      </c>
      <c r="D528" s="41">
        <v>53</v>
      </c>
      <c r="E528" s="41">
        <v>106</v>
      </c>
      <c r="F528" s="41">
        <v>277</v>
      </c>
      <c r="G528" s="41">
        <v>114</v>
      </c>
      <c r="H528" s="42">
        <v>5.0999999999999996</v>
      </c>
      <c r="I528" s="40">
        <v>552</v>
      </c>
      <c r="J528" s="42">
        <v>5.9</v>
      </c>
    </row>
    <row r="529" spans="2:10" ht="13.15" customHeight="1" x14ac:dyDescent="0.35">
      <c r="B529" s="46">
        <v>38808</v>
      </c>
      <c r="C529" s="40">
        <v>558</v>
      </c>
      <c r="D529" s="41">
        <v>53</v>
      </c>
      <c r="E529" s="41">
        <v>108</v>
      </c>
      <c r="F529" s="41">
        <v>282</v>
      </c>
      <c r="G529" s="41">
        <v>115</v>
      </c>
      <c r="H529" s="42">
        <v>5.6</v>
      </c>
      <c r="I529" s="40">
        <v>565</v>
      </c>
      <c r="J529" s="42">
        <v>6.3</v>
      </c>
    </row>
    <row r="530" spans="2:10" ht="13.15" customHeight="1" x14ac:dyDescent="0.35">
      <c r="B530" s="46">
        <v>38838</v>
      </c>
      <c r="C530" s="40">
        <v>563</v>
      </c>
      <c r="D530" s="41">
        <v>54</v>
      </c>
      <c r="E530" s="41">
        <v>107</v>
      </c>
      <c r="F530" s="41">
        <v>281</v>
      </c>
      <c r="G530" s="41">
        <v>121</v>
      </c>
      <c r="H530" s="42">
        <v>5.5</v>
      </c>
      <c r="I530" s="40">
        <v>565</v>
      </c>
      <c r="J530" s="42">
        <v>6.2</v>
      </c>
    </row>
    <row r="531" spans="2:10" ht="13.15" customHeight="1" x14ac:dyDescent="0.35">
      <c r="B531" s="46">
        <v>38869</v>
      </c>
      <c r="C531" s="40">
        <v>570</v>
      </c>
      <c r="D531" s="41">
        <v>54</v>
      </c>
      <c r="E531" s="41">
        <v>105</v>
      </c>
      <c r="F531" s="41">
        <v>288</v>
      </c>
      <c r="G531" s="41">
        <v>124</v>
      </c>
      <c r="H531" s="42">
        <v>5.8</v>
      </c>
      <c r="I531" s="40">
        <v>566</v>
      </c>
      <c r="J531" s="42">
        <v>6.3</v>
      </c>
    </row>
    <row r="532" spans="2:10" ht="13.15" customHeight="1" x14ac:dyDescent="0.35">
      <c r="B532" s="46">
        <v>38899</v>
      </c>
      <c r="C532" s="40">
        <v>568</v>
      </c>
      <c r="D532" s="41">
        <v>54</v>
      </c>
      <c r="E532" s="41">
        <v>104</v>
      </c>
      <c r="F532" s="41">
        <v>289</v>
      </c>
      <c r="G532" s="41">
        <v>121</v>
      </c>
      <c r="H532" s="42">
        <v>6.9</v>
      </c>
      <c r="I532" s="40">
        <v>572</v>
      </c>
      <c r="J532" s="42">
        <v>7.3</v>
      </c>
    </row>
    <row r="533" spans="2:10" ht="13.15" customHeight="1" x14ac:dyDescent="0.35">
      <c r="B533" s="46">
        <v>38930</v>
      </c>
      <c r="C533" s="40">
        <v>570</v>
      </c>
      <c r="D533" s="41">
        <v>53</v>
      </c>
      <c r="E533" s="41">
        <v>103</v>
      </c>
      <c r="F533" s="41">
        <v>291</v>
      </c>
      <c r="G533" s="41">
        <v>123</v>
      </c>
      <c r="H533" s="42">
        <v>6.5</v>
      </c>
      <c r="I533" s="40">
        <v>566</v>
      </c>
      <c r="J533" s="42">
        <v>6.7</v>
      </c>
    </row>
    <row r="534" spans="2:10" ht="13.15" customHeight="1" x14ac:dyDescent="0.35">
      <c r="B534" s="46">
        <v>38961</v>
      </c>
      <c r="C534" s="40">
        <v>561</v>
      </c>
      <c r="D534" s="41">
        <v>51</v>
      </c>
      <c r="E534" s="41">
        <v>103</v>
      </c>
      <c r="F534" s="41">
        <v>286</v>
      </c>
      <c r="G534" s="41">
        <v>121</v>
      </c>
      <c r="H534" s="42">
        <v>7</v>
      </c>
      <c r="I534" s="40">
        <v>559</v>
      </c>
      <c r="J534" s="42">
        <v>6.7</v>
      </c>
    </row>
    <row r="535" spans="2:10" ht="13.15" customHeight="1" x14ac:dyDescent="0.35">
      <c r="B535" s="46">
        <v>38991</v>
      </c>
      <c r="C535" s="40">
        <v>558</v>
      </c>
      <c r="D535" s="41">
        <v>54</v>
      </c>
      <c r="E535" s="41">
        <v>104</v>
      </c>
      <c r="F535" s="41">
        <v>280</v>
      </c>
      <c r="G535" s="41">
        <v>120</v>
      </c>
      <c r="H535" s="42">
        <v>7.5</v>
      </c>
      <c r="I535" s="40">
        <v>554</v>
      </c>
      <c r="J535" s="42">
        <v>7.3</v>
      </c>
    </row>
    <row r="536" spans="2:10" ht="13.15" customHeight="1" x14ac:dyDescent="0.35">
      <c r="B536" s="46">
        <v>39022</v>
      </c>
      <c r="C536" s="40">
        <v>548</v>
      </c>
      <c r="D536" s="41">
        <v>54</v>
      </c>
      <c r="E536" s="41">
        <v>102</v>
      </c>
      <c r="F536" s="41">
        <v>273</v>
      </c>
      <c r="G536" s="41">
        <v>119</v>
      </c>
      <c r="H536" s="42">
        <v>7.8</v>
      </c>
      <c r="I536" s="40">
        <v>543</v>
      </c>
      <c r="J536" s="42">
        <v>6.6</v>
      </c>
    </row>
    <row r="537" spans="2:10" ht="13.15" customHeight="1" x14ac:dyDescent="0.35">
      <c r="B537" s="46">
        <v>39052</v>
      </c>
      <c r="C537" s="40">
        <v>537</v>
      </c>
      <c r="D537" s="41">
        <v>54</v>
      </c>
      <c r="E537" s="41">
        <v>97</v>
      </c>
      <c r="F537" s="41">
        <v>267</v>
      </c>
      <c r="G537" s="41">
        <v>119</v>
      </c>
      <c r="H537" s="42">
        <v>7.6</v>
      </c>
      <c r="I537" s="40">
        <v>536</v>
      </c>
      <c r="J537" s="42">
        <v>6.5</v>
      </c>
    </row>
    <row r="538" spans="2:10" ht="13.15" customHeight="1" x14ac:dyDescent="0.35">
      <c r="B538" s="46">
        <v>39083</v>
      </c>
      <c r="C538" s="40">
        <v>539</v>
      </c>
      <c r="D538" s="41">
        <v>55</v>
      </c>
      <c r="E538" s="41">
        <v>94</v>
      </c>
      <c r="F538" s="41">
        <v>267</v>
      </c>
      <c r="G538" s="41">
        <v>123</v>
      </c>
      <c r="H538" s="42">
        <v>8.1999999999999993</v>
      </c>
      <c r="I538" s="40">
        <v>538</v>
      </c>
      <c r="J538" s="42">
        <v>7.2</v>
      </c>
    </row>
    <row r="539" spans="2:10" ht="13.15" customHeight="1" x14ac:dyDescent="0.35">
      <c r="B539" s="46">
        <v>39114</v>
      </c>
      <c r="C539" s="40">
        <v>540</v>
      </c>
      <c r="D539" s="41">
        <v>54</v>
      </c>
      <c r="E539" s="41">
        <v>90</v>
      </c>
      <c r="F539" s="41">
        <v>272</v>
      </c>
      <c r="G539" s="41">
        <v>124</v>
      </c>
      <c r="H539" s="42">
        <v>8</v>
      </c>
      <c r="I539" s="40">
        <v>544</v>
      </c>
      <c r="J539" s="42">
        <v>7.9</v>
      </c>
    </row>
    <row r="540" spans="2:10" ht="13.15" customHeight="1" x14ac:dyDescent="0.35">
      <c r="B540" s="46">
        <v>39142</v>
      </c>
      <c r="C540" s="40">
        <v>542</v>
      </c>
      <c r="D540" s="41">
        <v>52</v>
      </c>
      <c r="E540" s="41">
        <v>87</v>
      </c>
      <c r="F540" s="41">
        <v>276</v>
      </c>
      <c r="G540" s="41">
        <v>127</v>
      </c>
      <c r="H540" s="42">
        <v>6.8</v>
      </c>
      <c r="I540" s="40">
        <v>545</v>
      </c>
      <c r="J540" s="42">
        <v>7.9</v>
      </c>
    </row>
    <row r="541" spans="2:10" ht="13.15" customHeight="1" x14ac:dyDescent="0.35">
      <c r="B541" s="46">
        <v>39173</v>
      </c>
      <c r="C541" s="40">
        <v>542</v>
      </c>
      <c r="D541" s="41">
        <v>52</v>
      </c>
      <c r="E541" s="41">
        <v>87</v>
      </c>
      <c r="F541" s="41">
        <v>274</v>
      </c>
      <c r="G541" s="41">
        <v>129</v>
      </c>
      <c r="H541" s="42">
        <v>6.5</v>
      </c>
      <c r="I541" s="40">
        <v>548</v>
      </c>
      <c r="J541" s="42">
        <v>7.4</v>
      </c>
    </row>
    <row r="542" spans="2:10" ht="13.15" customHeight="1" x14ac:dyDescent="0.35">
      <c r="B542" s="46">
        <v>39203</v>
      </c>
      <c r="C542" s="40">
        <v>544</v>
      </c>
      <c r="D542" s="41">
        <v>52</v>
      </c>
      <c r="E542" s="41">
        <v>85</v>
      </c>
      <c r="F542" s="41">
        <v>276</v>
      </c>
      <c r="G542" s="41">
        <v>131</v>
      </c>
      <c r="H542" s="42">
        <v>6.9</v>
      </c>
      <c r="I542" s="40">
        <v>545</v>
      </c>
      <c r="J542" s="42">
        <v>7.8</v>
      </c>
    </row>
    <row r="543" spans="2:10" ht="13.15" customHeight="1" x14ac:dyDescent="0.35">
      <c r="B543" s="46">
        <v>39234</v>
      </c>
      <c r="C543" s="40">
        <v>543</v>
      </c>
      <c r="D543" s="41">
        <v>51</v>
      </c>
      <c r="E543" s="41">
        <v>85</v>
      </c>
      <c r="F543" s="41">
        <v>273</v>
      </c>
      <c r="G543" s="41">
        <v>134</v>
      </c>
      <c r="H543" s="42">
        <v>7.5</v>
      </c>
      <c r="I543" s="40">
        <v>542</v>
      </c>
      <c r="J543" s="42">
        <v>8.1999999999999993</v>
      </c>
    </row>
    <row r="544" spans="2:10" ht="13.15" customHeight="1" x14ac:dyDescent="0.35">
      <c r="B544" s="46">
        <v>39264</v>
      </c>
      <c r="C544" s="40">
        <v>538</v>
      </c>
      <c r="D544" s="41">
        <v>52</v>
      </c>
      <c r="E544" s="41">
        <v>83</v>
      </c>
      <c r="F544" s="41">
        <v>271</v>
      </c>
      <c r="G544" s="41">
        <v>131</v>
      </c>
      <c r="H544" s="42">
        <v>8</v>
      </c>
      <c r="I544" s="40">
        <v>537</v>
      </c>
      <c r="J544" s="42">
        <v>8.3000000000000007</v>
      </c>
    </row>
    <row r="545" spans="2:10" ht="13.15" customHeight="1" x14ac:dyDescent="0.35">
      <c r="B545" s="46">
        <v>39295</v>
      </c>
      <c r="C545" s="40">
        <v>538</v>
      </c>
      <c r="D545" s="41">
        <v>52</v>
      </c>
      <c r="E545" s="41">
        <v>82</v>
      </c>
      <c r="F545" s="41">
        <v>272</v>
      </c>
      <c r="G545" s="41">
        <v>132</v>
      </c>
      <c r="H545" s="42">
        <v>8.9</v>
      </c>
      <c r="I545" s="40">
        <v>533</v>
      </c>
      <c r="J545" s="42">
        <v>9.1999999999999993</v>
      </c>
    </row>
    <row r="546" spans="2:10" ht="13.15" customHeight="1" x14ac:dyDescent="0.35">
      <c r="B546" s="46">
        <v>39326</v>
      </c>
      <c r="C546" s="40">
        <v>527</v>
      </c>
      <c r="D546" s="41">
        <v>50</v>
      </c>
      <c r="E546" s="41">
        <v>80</v>
      </c>
      <c r="F546" s="41">
        <v>270</v>
      </c>
      <c r="G546" s="41">
        <v>127</v>
      </c>
      <c r="H546" s="42">
        <v>9.9</v>
      </c>
      <c r="I546" s="40">
        <v>527</v>
      </c>
      <c r="J546" s="42">
        <v>9.1999999999999993</v>
      </c>
    </row>
    <row r="547" spans="2:10" ht="13.15" customHeight="1" x14ac:dyDescent="0.35">
      <c r="B547" s="46">
        <v>39356</v>
      </c>
      <c r="C547" s="40">
        <v>518</v>
      </c>
      <c r="D547" s="41">
        <v>49</v>
      </c>
      <c r="E547" s="41">
        <v>79</v>
      </c>
      <c r="F547" s="41">
        <v>264</v>
      </c>
      <c r="G547" s="41">
        <v>127</v>
      </c>
      <c r="H547" s="42">
        <v>9</v>
      </c>
      <c r="I547" s="40">
        <v>514</v>
      </c>
      <c r="J547" s="42">
        <v>8.5</v>
      </c>
    </row>
    <row r="548" spans="2:10" ht="13.15" customHeight="1" x14ac:dyDescent="0.35">
      <c r="B548" s="46">
        <v>39387</v>
      </c>
      <c r="C548" s="40">
        <v>508</v>
      </c>
      <c r="D548" s="41">
        <v>48</v>
      </c>
      <c r="E548" s="41">
        <v>79</v>
      </c>
      <c r="F548" s="41">
        <v>257</v>
      </c>
      <c r="G548" s="41">
        <v>124</v>
      </c>
      <c r="H548" s="42">
        <v>11.2</v>
      </c>
      <c r="I548" s="40">
        <v>503</v>
      </c>
      <c r="J548" s="42">
        <v>9.4</v>
      </c>
    </row>
    <row r="549" spans="2:10" ht="13.15" customHeight="1" x14ac:dyDescent="0.35">
      <c r="B549" s="46">
        <v>39417</v>
      </c>
      <c r="C549" s="40">
        <v>496</v>
      </c>
      <c r="D549" s="41">
        <v>48</v>
      </c>
      <c r="E549" s="41">
        <v>79</v>
      </c>
      <c r="F549" s="41">
        <v>248</v>
      </c>
      <c r="G549" s="41">
        <v>121</v>
      </c>
      <c r="H549" s="42">
        <v>11.4</v>
      </c>
      <c r="I549" s="40">
        <v>497</v>
      </c>
      <c r="J549" s="42">
        <v>9.6</v>
      </c>
    </row>
    <row r="550" spans="2:10" ht="13.15" customHeight="1" x14ac:dyDescent="0.35">
      <c r="B550" s="46">
        <v>39448</v>
      </c>
      <c r="C550" s="40">
        <v>488</v>
      </c>
      <c r="D550" s="41">
        <v>46</v>
      </c>
      <c r="E550" s="41">
        <v>78</v>
      </c>
      <c r="F550" s="41">
        <v>246</v>
      </c>
      <c r="G550" s="41">
        <v>117</v>
      </c>
      <c r="H550" s="42">
        <v>11.1</v>
      </c>
      <c r="I550" s="40">
        <v>487</v>
      </c>
      <c r="J550" s="42">
        <v>9.3000000000000007</v>
      </c>
    </row>
    <row r="551" spans="2:10" ht="13.15" customHeight="1" x14ac:dyDescent="0.35">
      <c r="B551" s="46">
        <v>39479</v>
      </c>
      <c r="C551" s="40">
        <v>475</v>
      </c>
      <c r="D551" s="41">
        <v>45</v>
      </c>
      <c r="E551" s="41">
        <v>76</v>
      </c>
      <c r="F551" s="41">
        <v>241</v>
      </c>
      <c r="G551" s="41">
        <v>113</v>
      </c>
      <c r="H551" s="42">
        <v>9.9</v>
      </c>
      <c r="I551" s="40">
        <v>477</v>
      </c>
      <c r="J551" s="42">
        <v>9.6999999999999993</v>
      </c>
    </row>
    <row r="552" spans="2:10" ht="13.15" customHeight="1" x14ac:dyDescent="0.35">
      <c r="B552" s="46">
        <v>39508</v>
      </c>
      <c r="C552" s="40">
        <v>465</v>
      </c>
      <c r="D552" s="41">
        <v>46</v>
      </c>
      <c r="E552" s="41">
        <v>74</v>
      </c>
      <c r="F552" s="41">
        <v>233</v>
      </c>
      <c r="G552" s="41">
        <v>113</v>
      </c>
      <c r="H552" s="42">
        <v>9.5</v>
      </c>
      <c r="I552" s="40">
        <v>470</v>
      </c>
      <c r="J552" s="42">
        <v>10.5</v>
      </c>
    </row>
    <row r="553" spans="2:10" ht="13.15" customHeight="1" x14ac:dyDescent="0.35">
      <c r="B553" s="46">
        <v>39539</v>
      </c>
      <c r="C553" s="40">
        <v>458</v>
      </c>
      <c r="D553" s="41">
        <v>44</v>
      </c>
      <c r="E553" s="41">
        <v>73</v>
      </c>
      <c r="F553" s="41">
        <v>230</v>
      </c>
      <c r="G553" s="41">
        <v>110</v>
      </c>
      <c r="H553" s="42">
        <v>9.3000000000000007</v>
      </c>
      <c r="I553" s="40">
        <v>458</v>
      </c>
      <c r="J553" s="42">
        <v>10.3</v>
      </c>
    </row>
    <row r="554" spans="2:10" ht="13.15" customHeight="1" x14ac:dyDescent="0.35">
      <c r="B554" s="46">
        <v>39569</v>
      </c>
      <c r="C554" s="40">
        <v>451</v>
      </c>
      <c r="D554" s="41">
        <v>44</v>
      </c>
      <c r="E554" s="41">
        <v>72</v>
      </c>
      <c r="F554" s="41">
        <v>227</v>
      </c>
      <c r="G554" s="41">
        <v>107</v>
      </c>
      <c r="H554" s="42">
        <v>9.3000000000000007</v>
      </c>
      <c r="I554" s="40">
        <v>451</v>
      </c>
      <c r="J554" s="42">
        <v>10.7</v>
      </c>
    </row>
    <row r="555" spans="2:10" ht="13.15" customHeight="1" x14ac:dyDescent="0.35">
      <c r="B555" s="46">
        <v>39600</v>
      </c>
      <c r="C555" s="40">
        <v>435</v>
      </c>
      <c r="D555" s="41">
        <v>43</v>
      </c>
      <c r="E555" s="41">
        <v>69</v>
      </c>
      <c r="F555" s="41">
        <v>218</v>
      </c>
      <c r="G555" s="41">
        <v>104</v>
      </c>
      <c r="H555" s="42">
        <v>9.6</v>
      </c>
      <c r="I555" s="40">
        <v>435</v>
      </c>
      <c r="J555" s="42">
        <v>10.7</v>
      </c>
    </row>
    <row r="556" spans="2:10" ht="13.15" customHeight="1" x14ac:dyDescent="0.35">
      <c r="B556" s="46">
        <v>39630</v>
      </c>
      <c r="C556" s="40">
        <v>421</v>
      </c>
      <c r="D556" s="41">
        <v>42</v>
      </c>
      <c r="E556" s="41">
        <v>69</v>
      </c>
      <c r="F556" s="41">
        <v>210</v>
      </c>
      <c r="G556" s="41">
        <v>100</v>
      </c>
      <c r="H556" s="42">
        <v>9.8000000000000007</v>
      </c>
      <c r="I556" s="40">
        <v>419</v>
      </c>
      <c r="J556" s="42">
        <v>10.5</v>
      </c>
    </row>
    <row r="557" spans="2:10" ht="13.15" customHeight="1" x14ac:dyDescent="0.35">
      <c r="B557" s="46">
        <v>39661</v>
      </c>
      <c r="C557" s="40">
        <v>411</v>
      </c>
      <c r="D557" s="41">
        <v>42</v>
      </c>
      <c r="E557" s="41">
        <v>67</v>
      </c>
      <c r="F557" s="41">
        <v>205</v>
      </c>
      <c r="G557" s="41">
        <v>98</v>
      </c>
      <c r="H557" s="42">
        <v>10.8</v>
      </c>
      <c r="I557" s="40">
        <v>409</v>
      </c>
      <c r="J557" s="42">
        <v>11.3</v>
      </c>
    </row>
    <row r="558" spans="2:10" ht="13.15" customHeight="1" x14ac:dyDescent="0.35">
      <c r="B558" s="46">
        <v>39692</v>
      </c>
      <c r="C558" s="40">
        <v>398</v>
      </c>
      <c r="D558" s="41">
        <v>41</v>
      </c>
      <c r="E558" s="41">
        <v>65</v>
      </c>
      <c r="F558" s="41">
        <v>198</v>
      </c>
      <c r="G558" s="41">
        <v>94</v>
      </c>
      <c r="H558" s="42">
        <v>11.4</v>
      </c>
      <c r="I558" s="40">
        <v>395</v>
      </c>
      <c r="J558" s="42">
        <v>10.9</v>
      </c>
    </row>
    <row r="559" spans="2:10" ht="13.15" customHeight="1" x14ac:dyDescent="0.35">
      <c r="B559" s="46">
        <v>39722</v>
      </c>
      <c r="C559" s="40">
        <v>384</v>
      </c>
      <c r="D559" s="41">
        <v>39</v>
      </c>
      <c r="E559" s="41">
        <v>62</v>
      </c>
      <c r="F559" s="41">
        <v>192</v>
      </c>
      <c r="G559" s="41">
        <v>91</v>
      </c>
      <c r="H559" s="42">
        <v>12</v>
      </c>
      <c r="I559" s="40">
        <v>381</v>
      </c>
      <c r="J559" s="42">
        <v>11.6</v>
      </c>
    </row>
    <row r="560" spans="2:10" ht="13.15" customHeight="1" x14ac:dyDescent="0.35">
      <c r="B560" s="46">
        <v>39753</v>
      </c>
      <c r="C560" s="40">
        <v>369</v>
      </c>
      <c r="D560" s="41">
        <v>38</v>
      </c>
      <c r="E560" s="41">
        <v>61</v>
      </c>
      <c r="F560" s="41">
        <v>183</v>
      </c>
      <c r="G560" s="41">
        <v>87</v>
      </c>
      <c r="H560" s="42">
        <v>13.6</v>
      </c>
      <c r="I560" s="40">
        <v>371</v>
      </c>
      <c r="J560" s="42">
        <v>11.4</v>
      </c>
    </row>
    <row r="561" spans="2:10" ht="13.15" customHeight="1" x14ac:dyDescent="0.35">
      <c r="B561" s="46">
        <v>39783</v>
      </c>
      <c r="C561" s="40">
        <v>352</v>
      </c>
      <c r="D561" s="41">
        <v>37</v>
      </c>
      <c r="E561" s="41">
        <v>57</v>
      </c>
      <c r="F561" s="41">
        <v>175</v>
      </c>
      <c r="G561" s="41">
        <v>83</v>
      </c>
      <c r="H561" s="42">
        <v>13.6</v>
      </c>
      <c r="I561" s="40">
        <v>353</v>
      </c>
      <c r="J561" s="42">
        <v>11.2</v>
      </c>
    </row>
    <row r="562" spans="2:10" ht="13.15" customHeight="1" x14ac:dyDescent="0.35">
      <c r="B562" s="46">
        <v>39814</v>
      </c>
      <c r="C562" s="40">
        <v>340</v>
      </c>
      <c r="D562" s="41">
        <v>36</v>
      </c>
      <c r="E562" s="41">
        <v>55</v>
      </c>
      <c r="F562" s="41">
        <v>169</v>
      </c>
      <c r="G562" s="41">
        <v>79</v>
      </c>
      <c r="H562" s="42">
        <v>14.3</v>
      </c>
      <c r="I562" s="40">
        <v>341</v>
      </c>
      <c r="J562" s="42">
        <v>12.2</v>
      </c>
    </row>
    <row r="563" spans="2:10" ht="13.15" customHeight="1" x14ac:dyDescent="0.35">
      <c r="B563" s="46">
        <v>39845</v>
      </c>
      <c r="C563" s="40">
        <v>324</v>
      </c>
      <c r="D563" s="41">
        <v>35</v>
      </c>
      <c r="E563" s="41">
        <v>52</v>
      </c>
      <c r="F563" s="41">
        <v>161</v>
      </c>
      <c r="G563" s="41">
        <v>76</v>
      </c>
      <c r="H563" s="42">
        <v>11.2</v>
      </c>
      <c r="I563" s="40">
        <v>326</v>
      </c>
      <c r="J563" s="42">
        <v>10.5</v>
      </c>
    </row>
    <row r="564" spans="2:10" ht="13.15" customHeight="1" x14ac:dyDescent="0.35">
      <c r="B564" s="46">
        <v>39873</v>
      </c>
      <c r="C564" s="40">
        <v>311</v>
      </c>
      <c r="D564" s="41">
        <v>35</v>
      </c>
      <c r="E564" s="41">
        <v>51</v>
      </c>
      <c r="F564" s="41">
        <v>154</v>
      </c>
      <c r="G564" s="41">
        <v>71</v>
      </c>
      <c r="H564" s="42">
        <v>9.9</v>
      </c>
      <c r="I564" s="40">
        <v>311</v>
      </c>
      <c r="J564" s="42">
        <v>11</v>
      </c>
    </row>
    <row r="565" spans="2:10" ht="13.15" customHeight="1" x14ac:dyDescent="0.35">
      <c r="B565" s="46">
        <v>39904</v>
      </c>
      <c r="C565" s="40">
        <v>300</v>
      </c>
      <c r="D565" s="41">
        <v>34</v>
      </c>
      <c r="E565" s="41">
        <v>50</v>
      </c>
      <c r="F565" s="41">
        <v>148</v>
      </c>
      <c r="G565" s="41">
        <v>69</v>
      </c>
      <c r="H565" s="42">
        <v>9.4</v>
      </c>
      <c r="I565" s="40">
        <v>300</v>
      </c>
      <c r="J565" s="42">
        <v>10.7</v>
      </c>
    </row>
    <row r="566" spans="2:10" ht="13.15" customHeight="1" x14ac:dyDescent="0.35">
      <c r="B566" s="46">
        <v>39934</v>
      </c>
      <c r="C566" s="40">
        <v>290</v>
      </c>
      <c r="D566" s="41">
        <v>33</v>
      </c>
      <c r="E566" s="41">
        <v>49</v>
      </c>
      <c r="F566" s="41">
        <v>143</v>
      </c>
      <c r="G566" s="41">
        <v>65</v>
      </c>
      <c r="H566" s="42">
        <v>8.4</v>
      </c>
      <c r="I566" s="40">
        <v>291</v>
      </c>
      <c r="J566" s="42">
        <v>9.3000000000000007</v>
      </c>
    </row>
    <row r="567" spans="2:10" ht="13.15" customHeight="1" x14ac:dyDescent="0.35">
      <c r="B567" s="46">
        <v>39965</v>
      </c>
      <c r="C567" s="40">
        <v>282</v>
      </c>
      <c r="D567" s="41">
        <v>32</v>
      </c>
      <c r="E567" s="41">
        <v>48</v>
      </c>
      <c r="F567" s="41">
        <v>140</v>
      </c>
      <c r="G567" s="41">
        <v>62</v>
      </c>
      <c r="H567" s="42">
        <v>7.6</v>
      </c>
      <c r="I567" s="40">
        <v>280</v>
      </c>
      <c r="J567" s="42">
        <v>8.5</v>
      </c>
    </row>
    <row r="568" spans="2:10" ht="13.15" customHeight="1" x14ac:dyDescent="0.35">
      <c r="B568" s="46">
        <v>39995</v>
      </c>
      <c r="C568" s="40">
        <v>272</v>
      </c>
      <c r="D568" s="41">
        <v>30</v>
      </c>
      <c r="E568" s="41">
        <v>46</v>
      </c>
      <c r="F568" s="41">
        <v>136</v>
      </c>
      <c r="G568" s="41">
        <v>59</v>
      </c>
      <c r="H568" s="42">
        <v>7.2</v>
      </c>
      <c r="I568" s="40">
        <v>270</v>
      </c>
      <c r="J568" s="42">
        <v>7.9</v>
      </c>
    </row>
    <row r="569" spans="2:10" ht="13.15" customHeight="1" x14ac:dyDescent="0.35">
      <c r="B569" s="46">
        <v>40026</v>
      </c>
      <c r="C569" s="40">
        <v>263</v>
      </c>
      <c r="D569" s="41">
        <v>30</v>
      </c>
      <c r="E569" s="41">
        <v>45</v>
      </c>
      <c r="F569" s="41">
        <v>132</v>
      </c>
      <c r="G569" s="41">
        <v>56</v>
      </c>
      <c r="H569" s="42">
        <v>7.3</v>
      </c>
      <c r="I569" s="40">
        <v>261</v>
      </c>
      <c r="J569" s="42">
        <v>7.5</v>
      </c>
    </row>
    <row r="570" spans="2:10" ht="13.15" customHeight="1" x14ac:dyDescent="0.35">
      <c r="B570" s="46">
        <v>40057</v>
      </c>
      <c r="C570" s="40">
        <v>254</v>
      </c>
      <c r="D570" s="41">
        <v>29</v>
      </c>
      <c r="E570" s="41">
        <v>43</v>
      </c>
      <c r="F570" s="41">
        <v>130</v>
      </c>
      <c r="G570" s="41">
        <v>53</v>
      </c>
      <c r="H570" s="42">
        <v>8.4</v>
      </c>
      <c r="I570" s="40">
        <v>252</v>
      </c>
      <c r="J570" s="42">
        <v>7.8</v>
      </c>
    </row>
    <row r="571" spans="2:10" ht="13.15" customHeight="1" x14ac:dyDescent="0.35">
      <c r="B571" s="46">
        <v>40087</v>
      </c>
      <c r="C571" s="40">
        <v>243</v>
      </c>
      <c r="D571" s="41">
        <v>28</v>
      </c>
      <c r="E571" s="41">
        <v>42</v>
      </c>
      <c r="F571" s="41">
        <v>123</v>
      </c>
      <c r="G571" s="41">
        <v>50</v>
      </c>
      <c r="H571" s="42">
        <v>7.4</v>
      </c>
      <c r="I571" s="40">
        <v>243</v>
      </c>
      <c r="J571" s="42">
        <v>7.4</v>
      </c>
    </row>
    <row r="572" spans="2:10" ht="13.15" customHeight="1" x14ac:dyDescent="0.35">
      <c r="B572" s="46">
        <v>40118</v>
      </c>
      <c r="C572" s="40">
        <v>235</v>
      </c>
      <c r="D572" s="41">
        <v>27</v>
      </c>
      <c r="E572" s="41">
        <v>39</v>
      </c>
      <c r="F572" s="41">
        <v>120</v>
      </c>
      <c r="G572" s="41">
        <v>48</v>
      </c>
      <c r="H572" s="42">
        <v>9</v>
      </c>
      <c r="I572" s="40">
        <v>237</v>
      </c>
      <c r="J572" s="42">
        <v>7.6</v>
      </c>
    </row>
    <row r="573" spans="2:10" ht="13.15" customHeight="1" x14ac:dyDescent="0.35">
      <c r="B573" s="46">
        <v>40148</v>
      </c>
      <c r="C573" s="40">
        <v>232</v>
      </c>
      <c r="D573" s="41">
        <v>27</v>
      </c>
      <c r="E573" s="41">
        <v>38</v>
      </c>
      <c r="F573" s="41">
        <v>118</v>
      </c>
      <c r="G573" s="41">
        <v>48</v>
      </c>
      <c r="H573" s="42">
        <v>9.6</v>
      </c>
      <c r="I573" s="40">
        <v>234</v>
      </c>
      <c r="J573" s="42">
        <v>8</v>
      </c>
    </row>
    <row r="574" spans="2:10" ht="13.15" customHeight="1" x14ac:dyDescent="0.35">
      <c r="B574" s="46">
        <v>40179</v>
      </c>
      <c r="C574" s="40">
        <v>231</v>
      </c>
      <c r="D574" s="41">
        <v>26</v>
      </c>
      <c r="E574" s="41">
        <v>37</v>
      </c>
      <c r="F574" s="41">
        <v>119</v>
      </c>
      <c r="G574" s="41">
        <v>48</v>
      </c>
      <c r="H574" s="42">
        <v>9.6999999999999993</v>
      </c>
      <c r="I574" s="40">
        <v>233</v>
      </c>
      <c r="J574" s="42">
        <v>8.1</v>
      </c>
    </row>
    <row r="575" spans="2:10" ht="13.15" customHeight="1" x14ac:dyDescent="0.35">
      <c r="B575" s="46">
        <v>40210</v>
      </c>
      <c r="C575" s="40">
        <v>229</v>
      </c>
      <c r="D575" s="41">
        <v>26</v>
      </c>
      <c r="E575" s="41">
        <v>36</v>
      </c>
      <c r="F575" s="41">
        <v>119</v>
      </c>
      <c r="G575" s="41">
        <v>47</v>
      </c>
      <c r="H575" s="42">
        <v>8.6</v>
      </c>
      <c r="I575" s="40">
        <v>231</v>
      </c>
      <c r="J575" s="42">
        <v>8.3000000000000007</v>
      </c>
    </row>
    <row r="576" spans="2:10" ht="13.15" customHeight="1" x14ac:dyDescent="0.35">
      <c r="B576" s="46">
        <v>40238</v>
      </c>
      <c r="C576" s="40">
        <v>227</v>
      </c>
      <c r="D576" s="41">
        <v>25</v>
      </c>
      <c r="E576" s="41">
        <v>36</v>
      </c>
      <c r="F576" s="41">
        <v>118</v>
      </c>
      <c r="G576" s="41">
        <v>47</v>
      </c>
      <c r="H576" s="42">
        <v>6.3</v>
      </c>
      <c r="I576" s="40">
        <v>227</v>
      </c>
      <c r="J576" s="42">
        <v>7.1</v>
      </c>
    </row>
    <row r="577" spans="2:10" ht="13.15" customHeight="1" x14ac:dyDescent="0.35">
      <c r="B577" s="46">
        <v>40269</v>
      </c>
      <c r="C577" s="40">
        <v>216</v>
      </c>
      <c r="D577" s="41">
        <v>24</v>
      </c>
      <c r="E577" s="41">
        <v>35</v>
      </c>
      <c r="F577" s="41">
        <v>113</v>
      </c>
      <c r="G577" s="41">
        <v>45</v>
      </c>
      <c r="H577" s="42">
        <v>5.3</v>
      </c>
      <c r="I577" s="40">
        <v>217</v>
      </c>
      <c r="J577" s="42">
        <v>6.2</v>
      </c>
    </row>
    <row r="578" spans="2:10" ht="13.15" customHeight="1" x14ac:dyDescent="0.35">
      <c r="B578" s="46">
        <v>40299</v>
      </c>
      <c r="C578" s="40">
        <v>215</v>
      </c>
      <c r="D578" s="41">
        <v>24</v>
      </c>
      <c r="E578" s="41">
        <v>34</v>
      </c>
      <c r="F578" s="41">
        <v>114</v>
      </c>
      <c r="G578" s="41">
        <v>44</v>
      </c>
      <c r="H578" s="42">
        <v>8.3000000000000007</v>
      </c>
      <c r="I578" s="40">
        <v>216</v>
      </c>
      <c r="J578" s="42">
        <v>9.3000000000000007</v>
      </c>
    </row>
    <row r="579" spans="2:10" ht="13.15" customHeight="1" x14ac:dyDescent="0.35">
      <c r="B579" s="46">
        <v>40330</v>
      </c>
      <c r="C579" s="40">
        <v>213</v>
      </c>
      <c r="D579" s="41">
        <v>24</v>
      </c>
      <c r="E579" s="41">
        <v>32</v>
      </c>
      <c r="F579" s="41">
        <v>111</v>
      </c>
      <c r="G579" s="41">
        <v>45</v>
      </c>
      <c r="H579" s="42">
        <v>7.5</v>
      </c>
      <c r="I579" s="40">
        <v>212</v>
      </c>
      <c r="J579" s="42">
        <v>8.3000000000000007</v>
      </c>
    </row>
    <row r="580" spans="2:10" ht="13.15" customHeight="1" x14ac:dyDescent="0.35">
      <c r="B580" s="46">
        <v>40360</v>
      </c>
      <c r="C580" s="40">
        <v>210</v>
      </c>
      <c r="D580" s="41">
        <v>24</v>
      </c>
      <c r="E580" s="41">
        <v>31</v>
      </c>
      <c r="F580" s="41">
        <v>109</v>
      </c>
      <c r="G580" s="41">
        <v>46</v>
      </c>
      <c r="H580" s="42">
        <v>7.9</v>
      </c>
      <c r="I580" s="40">
        <v>209</v>
      </c>
      <c r="J580" s="42">
        <v>8.9</v>
      </c>
    </row>
    <row r="581" spans="2:10" ht="13.15" customHeight="1" x14ac:dyDescent="0.35">
      <c r="B581" s="46">
        <v>40391</v>
      </c>
      <c r="C581" s="40">
        <v>209</v>
      </c>
      <c r="D581" s="41">
        <v>23</v>
      </c>
      <c r="E581" s="41">
        <v>31</v>
      </c>
      <c r="F581" s="41">
        <v>108</v>
      </c>
      <c r="G581" s="41">
        <v>46</v>
      </c>
      <c r="H581" s="42">
        <v>8.9</v>
      </c>
      <c r="I581" s="40">
        <v>206</v>
      </c>
      <c r="J581" s="42">
        <v>8.8000000000000007</v>
      </c>
    </row>
    <row r="582" spans="2:10" ht="13.15" customHeight="1" x14ac:dyDescent="0.35">
      <c r="B582" s="46">
        <v>40422</v>
      </c>
      <c r="C582" s="40">
        <v>204</v>
      </c>
      <c r="D582" s="41">
        <v>22</v>
      </c>
      <c r="E582" s="41">
        <v>29</v>
      </c>
      <c r="F582" s="41">
        <v>109</v>
      </c>
      <c r="G582" s="41">
        <v>44</v>
      </c>
      <c r="H582" s="42">
        <v>8.1999999999999993</v>
      </c>
      <c r="I582" s="40">
        <v>201</v>
      </c>
      <c r="J582" s="42">
        <v>7.6</v>
      </c>
    </row>
    <row r="583" spans="2:10" ht="13.15" customHeight="1" x14ac:dyDescent="0.35">
      <c r="B583" s="46">
        <v>40452</v>
      </c>
      <c r="C583" s="40">
        <v>199</v>
      </c>
      <c r="D583" s="41">
        <v>22</v>
      </c>
      <c r="E583" s="41">
        <v>29</v>
      </c>
      <c r="F583" s="41">
        <v>104</v>
      </c>
      <c r="G583" s="41">
        <v>44</v>
      </c>
      <c r="H583" s="42">
        <v>8.6999999999999993</v>
      </c>
      <c r="I583" s="40">
        <v>199</v>
      </c>
      <c r="J583" s="42">
        <v>8.1999999999999993</v>
      </c>
    </row>
    <row r="584" spans="2:10" ht="13.15" customHeight="1" x14ac:dyDescent="0.35">
      <c r="B584" s="46">
        <v>40483</v>
      </c>
      <c r="C584" s="40">
        <v>195</v>
      </c>
      <c r="D584" s="41">
        <v>22</v>
      </c>
      <c r="E584" s="41">
        <v>28</v>
      </c>
      <c r="F584" s="41">
        <v>102</v>
      </c>
      <c r="G584" s="41">
        <v>43</v>
      </c>
      <c r="H584" s="42">
        <v>9.5</v>
      </c>
      <c r="I584" s="40">
        <v>195</v>
      </c>
      <c r="J584" s="42">
        <v>8.1999999999999993</v>
      </c>
    </row>
    <row r="585" spans="2:10" ht="13.15" customHeight="1" x14ac:dyDescent="0.35">
      <c r="B585" s="46">
        <v>40513</v>
      </c>
      <c r="C585" s="40">
        <v>188</v>
      </c>
      <c r="D585" s="41">
        <v>22</v>
      </c>
      <c r="E585" s="41">
        <v>27</v>
      </c>
      <c r="F585" s="41">
        <v>98</v>
      </c>
      <c r="G585" s="41">
        <v>41</v>
      </c>
      <c r="H585" s="42">
        <v>8.3000000000000007</v>
      </c>
      <c r="I585" s="40">
        <v>190</v>
      </c>
      <c r="J585" s="42">
        <v>7</v>
      </c>
    </row>
    <row r="586" spans="2:10" ht="13.15" customHeight="1" x14ac:dyDescent="0.35">
      <c r="B586" s="46">
        <v>40544</v>
      </c>
      <c r="C586" s="40">
        <v>185</v>
      </c>
      <c r="D586" s="41">
        <v>21</v>
      </c>
      <c r="E586" s="41">
        <v>25</v>
      </c>
      <c r="F586" s="41">
        <v>98</v>
      </c>
      <c r="G586" s="41">
        <v>41</v>
      </c>
      <c r="H586" s="42">
        <v>8.6</v>
      </c>
      <c r="I586" s="40">
        <v>187</v>
      </c>
      <c r="J586" s="42">
        <v>7.3</v>
      </c>
    </row>
    <row r="587" spans="2:10" ht="13.15" customHeight="1" x14ac:dyDescent="0.35">
      <c r="B587" s="46">
        <v>40575</v>
      </c>
      <c r="C587" s="40">
        <v>181</v>
      </c>
      <c r="D587" s="41">
        <v>21</v>
      </c>
      <c r="E587" s="41">
        <v>25</v>
      </c>
      <c r="F587" s="41">
        <v>96</v>
      </c>
      <c r="G587" s="41">
        <v>38</v>
      </c>
      <c r="H587" s="42">
        <v>8.3000000000000007</v>
      </c>
      <c r="I587" s="40">
        <v>183</v>
      </c>
      <c r="J587" s="42">
        <v>8.1</v>
      </c>
    </row>
    <row r="588" spans="2:10" ht="13.15" customHeight="1" x14ac:dyDescent="0.35">
      <c r="B588" s="46">
        <v>40603</v>
      </c>
      <c r="C588" s="40">
        <v>179</v>
      </c>
      <c r="D588" s="41">
        <v>20</v>
      </c>
      <c r="E588" s="41">
        <v>26</v>
      </c>
      <c r="F588" s="41">
        <v>96</v>
      </c>
      <c r="G588" s="41">
        <v>38</v>
      </c>
      <c r="H588" s="42">
        <v>6.4</v>
      </c>
      <c r="I588" s="40">
        <v>179</v>
      </c>
      <c r="J588" s="42">
        <v>7.2</v>
      </c>
    </row>
    <row r="589" spans="2:10" ht="13.15" customHeight="1" x14ac:dyDescent="0.35">
      <c r="B589" s="46">
        <v>40634</v>
      </c>
      <c r="C589" s="40">
        <v>172</v>
      </c>
      <c r="D589" s="41">
        <v>19</v>
      </c>
      <c r="E589" s="41">
        <v>25</v>
      </c>
      <c r="F589" s="41">
        <v>93</v>
      </c>
      <c r="G589" s="41">
        <v>35</v>
      </c>
      <c r="H589" s="42">
        <v>5.7</v>
      </c>
      <c r="I589" s="40">
        <v>173</v>
      </c>
      <c r="J589" s="42">
        <v>6.7</v>
      </c>
    </row>
    <row r="590" spans="2:10" ht="13.15" customHeight="1" x14ac:dyDescent="0.35">
      <c r="B590" s="46">
        <v>40664</v>
      </c>
      <c r="C590" s="40">
        <v>168</v>
      </c>
      <c r="D590" s="41">
        <v>19</v>
      </c>
      <c r="E590" s="41">
        <v>25</v>
      </c>
      <c r="F590" s="41">
        <v>91</v>
      </c>
      <c r="G590" s="41">
        <v>33</v>
      </c>
      <c r="H590" s="42">
        <v>5.9</v>
      </c>
      <c r="I590" s="40">
        <v>168</v>
      </c>
      <c r="J590" s="42">
        <v>6.6</v>
      </c>
    </row>
    <row r="591" spans="2:10" ht="13.15" customHeight="1" x14ac:dyDescent="0.35">
      <c r="B591" s="46">
        <v>40695</v>
      </c>
      <c r="C591" s="40">
        <v>167</v>
      </c>
      <c r="D591" s="41">
        <v>19</v>
      </c>
      <c r="E591" s="41">
        <v>24</v>
      </c>
      <c r="F591" s="41">
        <v>89</v>
      </c>
      <c r="G591" s="41">
        <v>34</v>
      </c>
      <c r="H591" s="42">
        <v>5.9</v>
      </c>
      <c r="I591" s="40">
        <v>166</v>
      </c>
      <c r="J591" s="42">
        <v>6.6</v>
      </c>
    </row>
    <row r="592" spans="2:10" ht="13.15" customHeight="1" x14ac:dyDescent="0.35">
      <c r="B592" s="46">
        <v>40725</v>
      </c>
      <c r="C592" s="40">
        <v>165</v>
      </c>
      <c r="D592" s="41">
        <v>19</v>
      </c>
      <c r="E592" s="41">
        <v>24</v>
      </c>
      <c r="F592" s="41">
        <v>87</v>
      </c>
      <c r="G592" s="41">
        <v>34</v>
      </c>
      <c r="H592" s="42">
        <v>6.1</v>
      </c>
      <c r="I592" s="40">
        <v>166</v>
      </c>
      <c r="J592" s="42">
        <v>6.7</v>
      </c>
    </row>
    <row r="593" spans="2:10" ht="13.15" customHeight="1" x14ac:dyDescent="0.35">
      <c r="B593" s="46">
        <v>40756</v>
      </c>
      <c r="C593" s="40">
        <v>164</v>
      </c>
      <c r="D593" s="41">
        <v>19</v>
      </c>
      <c r="E593" s="41">
        <v>23</v>
      </c>
      <c r="F593" s="41">
        <v>87</v>
      </c>
      <c r="G593" s="41">
        <v>35</v>
      </c>
      <c r="H593" s="42">
        <v>6.6</v>
      </c>
      <c r="I593" s="40">
        <v>162</v>
      </c>
      <c r="J593" s="42">
        <v>6.5</v>
      </c>
    </row>
    <row r="594" spans="2:10" ht="13.15" customHeight="1" x14ac:dyDescent="0.35">
      <c r="B594" s="46">
        <v>40787</v>
      </c>
      <c r="C594" s="40">
        <v>163</v>
      </c>
      <c r="D594" s="41">
        <v>18</v>
      </c>
      <c r="E594" s="41">
        <v>23</v>
      </c>
      <c r="F594" s="41">
        <v>87</v>
      </c>
      <c r="G594" s="41">
        <v>34</v>
      </c>
      <c r="H594" s="42">
        <v>6.7</v>
      </c>
      <c r="I594" s="40">
        <v>160</v>
      </c>
      <c r="J594" s="42">
        <v>6.3</v>
      </c>
    </row>
    <row r="595" spans="2:10" ht="13.15" customHeight="1" x14ac:dyDescent="0.35">
      <c r="B595" s="46">
        <v>40817</v>
      </c>
      <c r="C595" s="40">
        <v>159</v>
      </c>
      <c r="D595" s="41">
        <v>18</v>
      </c>
      <c r="E595" s="41">
        <v>23</v>
      </c>
      <c r="F595" s="41">
        <v>85</v>
      </c>
      <c r="G595" s="41">
        <v>33</v>
      </c>
      <c r="H595" s="42">
        <v>6.4</v>
      </c>
      <c r="I595" s="40">
        <v>158</v>
      </c>
      <c r="J595" s="42">
        <v>6</v>
      </c>
    </row>
    <row r="596" spans="2:10" ht="13.15" customHeight="1" x14ac:dyDescent="0.35">
      <c r="B596" s="46">
        <v>40848</v>
      </c>
      <c r="C596" s="40">
        <v>156</v>
      </c>
      <c r="D596" s="41">
        <v>19</v>
      </c>
      <c r="E596" s="41">
        <v>22</v>
      </c>
      <c r="F596" s="41">
        <v>82</v>
      </c>
      <c r="G596" s="41">
        <v>33</v>
      </c>
      <c r="H596" s="42">
        <v>6.9</v>
      </c>
      <c r="I596" s="40">
        <v>155</v>
      </c>
      <c r="J596" s="42">
        <v>5.7</v>
      </c>
    </row>
    <row r="597" spans="2:10" ht="13.15" customHeight="1" x14ac:dyDescent="0.35">
      <c r="B597" s="46">
        <v>40878</v>
      </c>
      <c r="C597" s="40">
        <v>150</v>
      </c>
      <c r="D597" s="41">
        <v>19</v>
      </c>
      <c r="E597" s="41">
        <v>20</v>
      </c>
      <c r="F597" s="41">
        <v>79</v>
      </c>
      <c r="G597" s="41">
        <v>32</v>
      </c>
      <c r="H597" s="42">
        <v>6.3</v>
      </c>
      <c r="I597" s="40">
        <v>151</v>
      </c>
      <c r="J597" s="42">
        <v>5.3</v>
      </c>
    </row>
    <row r="598" spans="2:10" ht="13.15" customHeight="1" x14ac:dyDescent="0.35">
      <c r="B598" s="46">
        <v>40909</v>
      </c>
      <c r="C598" s="40">
        <v>148</v>
      </c>
      <c r="D598" s="41">
        <v>19</v>
      </c>
      <c r="E598" s="41">
        <v>19</v>
      </c>
      <c r="F598" s="41">
        <v>78</v>
      </c>
      <c r="G598" s="41">
        <v>32</v>
      </c>
      <c r="H598" s="42">
        <v>6.3</v>
      </c>
      <c r="I598" s="40">
        <v>149</v>
      </c>
      <c r="J598" s="42">
        <v>5.3</v>
      </c>
    </row>
    <row r="599" spans="2:10" ht="13.15" customHeight="1" x14ac:dyDescent="0.35">
      <c r="B599" s="46">
        <v>40940</v>
      </c>
      <c r="C599" s="40">
        <v>146</v>
      </c>
      <c r="D599" s="41">
        <v>18</v>
      </c>
      <c r="E599" s="41">
        <v>19</v>
      </c>
      <c r="F599" s="41">
        <v>78</v>
      </c>
      <c r="G599" s="41">
        <v>31</v>
      </c>
      <c r="H599" s="42">
        <v>4.9000000000000004</v>
      </c>
      <c r="I599" s="40">
        <v>147</v>
      </c>
      <c r="J599" s="42">
        <v>4.8</v>
      </c>
    </row>
    <row r="600" spans="2:10" ht="13.15" customHeight="1" x14ac:dyDescent="0.35">
      <c r="B600" s="46">
        <v>40969</v>
      </c>
      <c r="C600" s="40">
        <v>144</v>
      </c>
      <c r="D600" s="41">
        <v>18</v>
      </c>
      <c r="E600" s="41">
        <v>19</v>
      </c>
      <c r="F600" s="41">
        <v>76</v>
      </c>
      <c r="G600" s="41">
        <v>31</v>
      </c>
      <c r="H600" s="42">
        <v>4.3</v>
      </c>
      <c r="I600" s="40">
        <v>145</v>
      </c>
      <c r="J600" s="42">
        <v>4.9000000000000004</v>
      </c>
    </row>
    <row r="601" spans="2:10" ht="13.15" customHeight="1" x14ac:dyDescent="0.35">
      <c r="B601" s="46">
        <v>41000</v>
      </c>
      <c r="C601" s="40">
        <v>143</v>
      </c>
      <c r="D601" s="41">
        <v>16</v>
      </c>
      <c r="E601" s="41">
        <v>19</v>
      </c>
      <c r="F601" s="41">
        <v>77</v>
      </c>
      <c r="G601" s="41">
        <v>30</v>
      </c>
      <c r="H601" s="42">
        <v>4.2</v>
      </c>
      <c r="I601" s="40">
        <v>144</v>
      </c>
      <c r="J601" s="42">
        <v>4.9000000000000004</v>
      </c>
    </row>
    <row r="602" spans="2:10" ht="13.15" customHeight="1" x14ac:dyDescent="0.35">
      <c r="B602" s="46">
        <v>41030</v>
      </c>
      <c r="C602" s="40">
        <v>144</v>
      </c>
      <c r="D602" s="41">
        <v>16</v>
      </c>
      <c r="E602" s="41">
        <v>20</v>
      </c>
      <c r="F602" s="41">
        <v>77</v>
      </c>
      <c r="G602" s="41">
        <v>32</v>
      </c>
      <c r="H602" s="42">
        <v>4.2</v>
      </c>
      <c r="I602" s="40">
        <v>144</v>
      </c>
      <c r="J602" s="42">
        <v>4.7</v>
      </c>
    </row>
    <row r="603" spans="2:10" ht="13.15" customHeight="1" x14ac:dyDescent="0.35">
      <c r="B603" s="46">
        <v>41061</v>
      </c>
      <c r="C603" s="40">
        <v>145</v>
      </c>
      <c r="D603" s="41">
        <v>17</v>
      </c>
      <c r="E603" s="41">
        <v>20</v>
      </c>
      <c r="F603" s="41">
        <v>78</v>
      </c>
      <c r="G603" s="41">
        <v>30</v>
      </c>
      <c r="H603" s="42">
        <v>4.2</v>
      </c>
      <c r="I603" s="40">
        <v>145</v>
      </c>
      <c r="J603" s="42">
        <v>4.8</v>
      </c>
    </row>
    <row r="604" spans="2:10" ht="13.15" customHeight="1" x14ac:dyDescent="0.35">
      <c r="B604" s="46">
        <v>41091</v>
      </c>
      <c r="C604" s="40">
        <v>142</v>
      </c>
      <c r="D604" s="41">
        <v>16</v>
      </c>
      <c r="E604" s="41">
        <v>20</v>
      </c>
      <c r="F604" s="41">
        <v>77</v>
      </c>
      <c r="G604" s="41">
        <v>29</v>
      </c>
      <c r="H604" s="42">
        <v>4.3</v>
      </c>
      <c r="I604" s="40">
        <v>142</v>
      </c>
      <c r="J604" s="42">
        <v>4.5999999999999996</v>
      </c>
    </row>
    <row r="605" spans="2:10" ht="13.15" customHeight="1" x14ac:dyDescent="0.35">
      <c r="B605" s="46">
        <v>41122</v>
      </c>
      <c r="C605" s="40">
        <v>145</v>
      </c>
      <c r="D605" s="41">
        <v>16</v>
      </c>
      <c r="E605" s="41">
        <v>20</v>
      </c>
      <c r="F605" s="41">
        <v>79</v>
      </c>
      <c r="G605" s="41">
        <v>30</v>
      </c>
      <c r="H605" s="42">
        <v>4.7</v>
      </c>
      <c r="I605" s="40">
        <v>143</v>
      </c>
      <c r="J605" s="42">
        <v>4.5999999999999996</v>
      </c>
    </row>
    <row r="606" spans="2:10" ht="13.15" customHeight="1" x14ac:dyDescent="0.35">
      <c r="B606" s="46">
        <v>41153</v>
      </c>
      <c r="C606" s="40">
        <v>146</v>
      </c>
      <c r="D606" s="41">
        <v>15</v>
      </c>
      <c r="E606" s="41">
        <v>21</v>
      </c>
      <c r="F606" s="41">
        <v>78</v>
      </c>
      <c r="G606" s="41">
        <v>31</v>
      </c>
      <c r="H606" s="42">
        <v>4.8</v>
      </c>
      <c r="I606" s="40">
        <v>144</v>
      </c>
      <c r="J606" s="42">
        <v>4.5</v>
      </c>
    </row>
    <row r="607" spans="2:10" ht="13.15" customHeight="1" x14ac:dyDescent="0.35">
      <c r="B607" s="46">
        <v>41183</v>
      </c>
      <c r="C607" s="40">
        <v>149</v>
      </c>
      <c r="D607" s="41">
        <v>15</v>
      </c>
      <c r="E607" s="41">
        <v>23</v>
      </c>
      <c r="F607" s="41">
        <v>82</v>
      </c>
      <c r="G607" s="41">
        <v>30</v>
      </c>
      <c r="H607" s="42">
        <v>5.2</v>
      </c>
      <c r="I607" s="40">
        <v>147</v>
      </c>
      <c r="J607" s="42">
        <v>4.9000000000000004</v>
      </c>
    </row>
    <row r="608" spans="2:10" ht="13.15" customHeight="1" x14ac:dyDescent="0.35">
      <c r="B608" s="46">
        <v>41214</v>
      </c>
      <c r="C608" s="40">
        <v>150</v>
      </c>
      <c r="D608" s="41">
        <v>15</v>
      </c>
      <c r="E608" s="41">
        <v>24</v>
      </c>
      <c r="F608" s="41">
        <v>81</v>
      </c>
      <c r="G608" s="41">
        <v>31</v>
      </c>
      <c r="H608" s="42">
        <v>5.4</v>
      </c>
      <c r="I608" s="40">
        <v>150</v>
      </c>
      <c r="J608" s="42">
        <v>4.5999999999999996</v>
      </c>
    </row>
    <row r="609" spans="2:10" ht="13.15" customHeight="1" x14ac:dyDescent="0.35">
      <c r="B609" s="46">
        <v>41244</v>
      </c>
      <c r="C609" s="40">
        <v>148</v>
      </c>
      <c r="D609" s="41">
        <v>14</v>
      </c>
      <c r="E609" s="41">
        <v>24</v>
      </c>
      <c r="F609" s="41">
        <v>79</v>
      </c>
      <c r="G609" s="41">
        <v>31</v>
      </c>
      <c r="H609" s="42">
        <v>5.3</v>
      </c>
      <c r="I609" s="40">
        <v>150</v>
      </c>
      <c r="J609" s="42">
        <v>4.5</v>
      </c>
    </row>
    <row r="610" spans="2:10" ht="13.15" customHeight="1" x14ac:dyDescent="0.35">
      <c r="B610" s="46">
        <v>41275</v>
      </c>
      <c r="C610" s="40">
        <v>148</v>
      </c>
      <c r="D610" s="41">
        <v>14</v>
      </c>
      <c r="E610" s="41">
        <v>23</v>
      </c>
      <c r="F610" s="41">
        <v>80</v>
      </c>
      <c r="G610" s="41">
        <v>30</v>
      </c>
      <c r="H610" s="42">
        <v>4.5999999999999996</v>
      </c>
      <c r="I610" s="40">
        <v>149</v>
      </c>
      <c r="J610" s="42">
        <v>4</v>
      </c>
    </row>
    <row r="611" spans="2:10" ht="13.15" customHeight="1" x14ac:dyDescent="0.35">
      <c r="B611" s="46">
        <v>41306</v>
      </c>
      <c r="C611" s="40">
        <v>150</v>
      </c>
      <c r="D611" s="41">
        <v>14</v>
      </c>
      <c r="E611" s="41">
        <v>23</v>
      </c>
      <c r="F611" s="41">
        <v>84</v>
      </c>
      <c r="G611" s="41">
        <v>30</v>
      </c>
      <c r="H611" s="42">
        <v>4.2</v>
      </c>
      <c r="I611" s="40">
        <v>153</v>
      </c>
      <c r="J611" s="42">
        <v>4.2</v>
      </c>
    </row>
    <row r="612" spans="2:10" ht="13.15" customHeight="1" x14ac:dyDescent="0.35">
      <c r="B612" s="46">
        <v>41334</v>
      </c>
      <c r="C612" s="40">
        <v>152</v>
      </c>
      <c r="D612" s="41">
        <v>14</v>
      </c>
      <c r="E612" s="41">
        <v>23</v>
      </c>
      <c r="F612" s="41">
        <v>84</v>
      </c>
      <c r="G612" s="41">
        <v>30</v>
      </c>
      <c r="H612" s="42">
        <v>3.7</v>
      </c>
      <c r="I612" s="40">
        <v>154</v>
      </c>
      <c r="J612" s="42">
        <v>4.0999999999999996</v>
      </c>
    </row>
    <row r="613" spans="2:10" ht="13.15" customHeight="1" x14ac:dyDescent="0.35">
      <c r="B613" s="46">
        <v>41365</v>
      </c>
      <c r="C613" s="40">
        <v>159</v>
      </c>
      <c r="D613" s="41">
        <v>14</v>
      </c>
      <c r="E613" s="41">
        <v>24</v>
      </c>
      <c r="F613" s="41">
        <v>90</v>
      </c>
      <c r="G613" s="41">
        <v>31</v>
      </c>
      <c r="H613" s="42">
        <v>3.7</v>
      </c>
      <c r="I613" s="40">
        <v>161</v>
      </c>
      <c r="J613" s="42">
        <v>4.3</v>
      </c>
    </row>
    <row r="614" spans="2:10" ht="13.15" customHeight="1" x14ac:dyDescent="0.35">
      <c r="B614" s="46">
        <v>41395</v>
      </c>
      <c r="C614" s="40">
        <v>162</v>
      </c>
      <c r="D614" s="41">
        <v>14</v>
      </c>
      <c r="E614" s="41">
        <v>25</v>
      </c>
      <c r="F614" s="41">
        <v>91</v>
      </c>
      <c r="G614" s="41">
        <v>31</v>
      </c>
      <c r="H614" s="42">
        <v>4</v>
      </c>
      <c r="I614" s="40">
        <v>162</v>
      </c>
      <c r="J614" s="42">
        <v>4.5</v>
      </c>
    </row>
    <row r="615" spans="2:10" ht="13.15" customHeight="1" x14ac:dyDescent="0.35">
      <c r="B615" s="46">
        <v>41426</v>
      </c>
      <c r="C615" s="40">
        <v>161</v>
      </c>
      <c r="D615" s="41">
        <v>14</v>
      </c>
      <c r="E615" s="41">
        <v>25</v>
      </c>
      <c r="F615" s="41">
        <v>91</v>
      </c>
      <c r="G615" s="41">
        <v>31</v>
      </c>
      <c r="H615" s="42">
        <v>3.7</v>
      </c>
      <c r="I615" s="40">
        <v>160</v>
      </c>
      <c r="J615" s="42">
        <v>4.0999999999999996</v>
      </c>
    </row>
    <row r="616" spans="2:10" ht="13.15" customHeight="1" x14ac:dyDescent="0.35">
      <c r="B616" s="46">
        <v>41456</v>
      </c>
      <c r="C616" s="40">
        <v>172</v>
      </c>
      <c r="D616" s="41">
        <v>15</v>
      </c>
      <c r="E616" s="41">
        <v>27</v>
      </c>
      <c r="F616" s="41">
        <v>97</v>
      </c>
      <c r="G616" s="41">
        <v>33</v>
      </c>
      <c r="H616" s="42">
        <v>5.2</v>
      </c>
      <c r="I616" s="40">
        <v>170</v>
      </c>
      <c r="J616" s="42">
        <v>5.4</v>
      </c>
    </row>
    <row r="617" spans="2:10" ht="13.15" customHeight="1" x14ac:dyDescent="0.35">
      <c r="B617" s="46">
        <v>41487</v>
      </c>
      <c r="C617" s="40">
        <v>177</v>
      </c>
      <c r="D617" s="41">
        <v>14</v>
      </c>
      <c r="E617" s="41">
        <v>28</v>
      </c>
      <c r="F617" s="41">
        <v>100</v>
      </c>
      <c r="G617" s="41">
        <v>35</v>
      </c>
      <c r="H617" s="42">
        <v>5.7</v>
      </c>
      <c r="I617" s="40">
        <v>174</v>
      </c>
      <c r="J617" s="42">
        <v>5.5</v>
      </c>
    </row>
    <row r="618" spans="2:10" ht="13.15" customHeight="1" x14ac:dyDescent="0.35">
      <c r="B618" s="46">
        <v>41518</v>
      </c>
      <c r="C618" s="40">
        <v>185</v>
      </c>
      <c r="D618" s="41">
        <v>15</v>
      </c>
      <c r="E618" s="41">
        <v>29</v>
      </c>
      <c r="F618" s="41">
        <v>104</v>
      </c>
      <c r="G618" s="41">
        <v>37</v>
      </c>
      <c r="H618" s="42">
        <v>5.9</v>
      </c>
      <c r="I618" s="40">
        <v>183</v>
      </c>
      <c r="J618" s="42">
        <v>5.5</v>
      </c>
    </row>
    <row r="619" spans="2:10" ht="13.15" customHeight="1" x14ac:dyDescent="0.35">
      <c r="B619" s="46">
        <v>41548</v>
      </c>
      <c r="C619" s="40">
        <v>187</v>
      </c>
      <c r="D619" s="41">
        <v>16</v>
      </c>
      <c r="E619" s="41">
        <v>29</v>
      </c>
      <c r="F619" s="41">
        <v>104</v>
      </c>
      <c r="G619" s="41">
        <v>38</v>
      </c>
      <c r="H619" s="42">
        <v>5.2</v>
      </c>
      <c r="I619" s="40">
        <v>183</v>
      </c>
      <c r="J619" s="42">
        <v>4.9000000000000004</v>
      </c>
    </row>
    <row r="620" spans="2:10" ht="13.15" customHeight="1" x14ac:dyDescent="0.35">
      <c r="B620" s="46">
        <v>41579</v>
      </c>
      <c r="C620" s="40">
        <v>185</v>
      </c>
      <c r="D620" s="41">
        <v>16</v>
      </c>
      <c r="E620" s="41">
        <v>29</v>
      </c>
      <c r="F620" s="41">
        <v>101</v>
      </c>
      <c r="G620" s="41">
        <v>38</v>
      </c>
      <c r="H620" s="42">
        <v>5.8</v>
      </c>
      <c r="I620" s="40">
        <v>184</v>
      </c>
      <c r="J620" s="42">
        <v>5</v>
      </c>
    </row>
    <row r="621" spans="2:10" ht="13.15" customHeight="1" x14ac:dyDescent="0.35">
      <c r="B621" s="46">
        <v>41609</v>
      </c>
      <c r="C621" s="40">
        <v>186</v>
      </c>
      <c r="D621" s="41">
        <v>16</v>
      </c>
      <c r="E621" s="41">
        <v>29</v>
      </c>
      <c r="F621" s="41">
        <v>100</v>
      </c>
      <c r="G621" s="41">
        <v>40</v>
      </c>
      <c r="H621" s="42">
        <v>6</v>
      </c>
      <c r="I621" s="40">
        <v>187</v>
      </c>
      <c r="J621" s="42">
        <v>5.0999999999999996</v>
      </c>
    </row>
    <row r="622" spans="2:10" ht="13.15" customHeight="1" x14ac:dyDescent="0.35">
      <c r="B622" s="46">
        <v>41640</v>
      </c>
      <c r="C622" s="40">
        <v>188</v>
      </c>
      <c r="D622" s="41">
        <v>16</v>
      </c>
      <c r="E622" s="41">
        <v>29</v>
      </c>
      <c r="F622" s="41">
        <v>102</v>
      </c>
      <c r="G622" s="41">
        <v>41</v>
      </c>
      <c r="H622" s="42">
        <v>5.7</v>
      </c>
      <c r="I622" s="40">
        <v>190</v>
      </c>
      <c r="J622" s="42">
        <v>5.0999999999999996</v>
      </c>
    </row>
    <row r="623" spans="2:10" ht="13.15" customHeight="1" x14ac:dyDescent="0.35">
      <c r="B623" s="46">
        <v>41671</v>
      </c>
      <c r="C623" s="40">
        <v>185</v>
      </c>
      <c r="D623" s="41">
        <v>16</v>
      </c>
      <c r="E623" s="41">
        <v>28</v>
      </c>
      <c r="F623" s="41">
        <v>100</v>
      </c>
      <c r="G623" s="41">
        <v>41</v>
      </c>
      <c r="H623" s="42">
        <v>5.4</v>
      </c>
      <c r="I623" s="40">
        <v>188</v>
      </c>
      <c r="J623" s="42">
        <v>5.3</v>
      </c>
    </row>
    <row r="624" spans="2:10" ht="13.15" customHeight="1" x14ac:dyDescent="0.35">
      <c r="B624" s="46">
        <v>41699</v>
      </c>
      <c r="C624" s="40">
        <v>187</v>
      </c>
      <c r="D624" s="41">
        <v>16</v>
      </c>
      <c r="E624" s="41">
        <v>28</v>
      </c>
      <c r="F624" s="41">
        <v>102</v>
      </c>
      <c r="G624" s="41">
        <v>42</v>
      </c>
      <c r="H624" s="42">
        <v>4.9000000000000004</v>
      </c>
      <c r="I624" s="40">
        <v>192</v>
      </c>
      <c r="J624" s="42">
        <v>5.6</v>
      </c>
    </row>
    <row r="625" spans="2:10" ht="13.15" customHeight="1" x14ac:dyDescent="0.35">
      <c r="B625" s="46">
        <v>41730</v>
      </c>
      <c r="C625" s="40">
        <v>188</v>
      </c>
      <c r="D625" s="41">
        <v>16</v>
      </c>
      <c r="E625" s="41">
        <v>27</v>
      </c>
      <c r="F625" s="41">
        <v>102</v>
      </c>
      <c r="G625" s="41">
        <v>43</v>
      </c>
      <c r="H625" s="42">
        <v>4.9000000000000004</v>
      </c>
      <c r="I625" s="40">
        <v>191</v>
      </c>
      <c r="J625" s="42">
        <v>5.7</v>
      </c>
    </row>
    <row r="626" spans="2:10" ht="13.15" customHeight="1" x14ac:dyDescent="0.35">
      <c r="B626" s="46">
        <v>41760</v>
      </c>
      <c r="C626" s="40">
        <v>191</v>
      </c>
      <c r="D626" s="41">
        <v>16</v>
      </c>
      <c r="E626" s="41">
        <v>27</v>
      </c>
      <c r="F626" s="41">
        <v>103</v>
      </c>
      <c r="G626" s="41">
        <v>45</v>
      </c>
      <c r="H626" s="42">
        <v>4.4000000000000004</v>
      </c>
      <c r="I626" s="40">
        <v>193</v>
      </c>
      <c r="J626" s="42">
        <v>5.0999999999999996</v>
      </c>
    </row>
    <row r="627" spans="2:10" ht="13.15" customHeight="1" x14ac:dyDescent="0.35">
      <c r="B627" s="46">
        <v>41791</v>
      </c>
      <c r="C627" s="40">
        <v>197</v>
      </c>
      <c r="D627" s="41">
        <v>17</v>
      </c>
      <c r="E627" s="41">
        <v>28</v>
      </c>
      <c r="F627" s="41">
        <v>107</v>
      </c>
      <c r="G627" s="41">
        <v>46</v>
      </c>
      <c r="H627" s="42">
        <v>5.2</v>
      </c>
      <c r="I627" s="40">
        <v>198</v>
      </c>
      <c r="J627" s="42">
        <v>5.7</v>
      </c>
    </row>
    <row r="628" spans="2:10" ht="13.15" customHeight="1" x14ac:dyDescent="0.35">
      <c r="B628" s="46">
        <v>41821</v>
      </c>
      <c r="C628" s="40">
        <v>206</v>
      </c>
      <c r="D628" s="41">
        <v>17</v>
      </c>
      <c r="E628" s="41">
        <v>28</v>
      </c>
      <c r="F628" s="41">
        <v>113</v>
      </c>
      <c r="G628" s="41">
        <v>48</v>
      </c>
      <c r="H628" s="42">
        <v>6</v>
      </c>
      <c r="I628" s="40">
        <v>203</v>
      </c>
      <c r="J628" s="42">
        <v>6.1</v>
      </c>
    </row>
    <row r="629" spans="2:10" ht="13.15" customHeight="1" x14ac:dyDescent="0.35">
      <c r="B629" s="46">
        <v>41852</v>
      </c>
      <c r="C629" s="40">
        <v>209</v>
      </c>
      <c r="D629" s="41">
        <v>16</v>
      </c>
      <c r="E629" s="41">
        <v>29</v>
      </c>
      <c r="F629" s="41">
        <v>116</v>
      </c>
      <c r="G629" s="41">
        <v>47</v>
      </c>
      <c r="H629" s="42">
        <v>5.8</v>
      </c>
      <c r="I629" s="40">
        <v>206</v>
      </c>
      <c r="J629" s="42">
        <v>5.5</v>
      </c>
    </row>
    <row r="630" spans="2:10" ht="13.15" customHeight="1" x14ac:dyDescent="0.35">
      <c r="B630" s="46">
        <v>41883</v>
      </c>
      <c r="C630" s="40">
        <v>213</v>
      </c>
      <c r="D630" s="41">
        <v>17</v>
      </c>
      <c r="E630" s="41">
        <v>29</v>
      </c>
      <c r="F630" s="41">
        <v>119</v>
      </c>
      <c r="G630" s="41">
        <v>48</v>
      </c>
      <c r="H630" s="42">
        <v>5.8</v>
      </c>
      <c r="I630" s="40">
        <v>207</v>
      </c>
      <c r="J630" s="42">
        <v>5.3</v>
      </c>
    </row>
    <row r="631" spans="2:10" ht="13.15" customHeight="1" x14ac:dyDescent="0.35">
      <c r="B631" s="46">
        <v>41913</v>
      </c>
      <c r="C631" s="40">
        <v>213</v>
      </c>
      <c r="D631" s="41">
        <v>17</v>
      </c>
      <c r="E631" s="41">
        <v>29</v>
      </c>
      <c r="F631" s="41">
        <v>120</v>
      </c>
      <c r="G631" s="41">
        <v>47</v>
      </c>
      <c r="H631" s="42">
        <v>5.6</v>
      </c>
      <c r="I631" s="40">
        <v>209</v>
      </c>
      <c r="J631" s="42">
        <v>5.3</v>
      </c>
    </row>
    <row r="632" spans="2:10" ht="13.15" customHeight="1" x14ac:dyDescent="0.35">
      <c r="B632" s="46">
        <v>41944</v>
      </c>
      <c r="C632" s="40">
        <v>212</v>
      </c>
      <c r="D632" s="41">
        <v>17</v>
      </c>
      <c r="E632" s="41">
        <v>29</v>
      </c>
      <c r="F632" s="41">
        <v>120</v>
      </c>
      <c r="G632" s="41">
        <v>47</v>
      </c>
      <c r="H632" s="42">
        <v>6.8</v>
      </c>
      <c r="I632" s="40">
        <v>211</v>
      </c>
      <c r="J632" s="42">
        <v>5.7</v>
      </c>
    </row>
    <row r="633" spans="2:10" ht="13.15" customHeight="1" x14ac:dyDescent="0.35">
      <c r="B633" s="46">
        <v>41974</v>
      </c>
      <c r="C633" s="40">
        <v>212</v>
      </c>
      <c r="D633" s="41">
        <v>18</v>
      </c>
      <c r="E633" s="41">
        <v>29</v>
      </c>
      <c r="F633" s="41">
        <v>118</v>
      </c>
      <c r="G633" s="41">
        <v>47</v>
      </c>
      <c r="H633" s="42">
        <v>6.1</v>
      </c>
      <c r="I633" s="40">
        <v>211</v>
      </c>
      <c r="J633" s="42">
        <v>5.0999999999999996</v>
      </c>
    </row>
    <row r="634" spans="2:10" ht="13.15" customHeight="1" x14ac:dyDescent="0.35">
      <c r="B634" s="46">
        <v>42005</v>
      </c>
      <c r="C634" s="40">
        <v>206</v>
      </c>
      <c r="D634" s="41">
        <v>18</v>
      </c>
      <c r="E634" s="41">
        <v>28</v>
      </c>
      <c r="F634" s="41">
        <v>113</v>
      </c>
      <c r="G634" s="41">
        <v>47</v>
      </c>
      <c r="H634" s="42">
        <v>5.2</v>
      </c>
      <c r="I634" s="40">
        <v>207</v>
      </c>
      <c r="J634" s="42">
        <v>4.7</v>
      </c>
    </row>
    <row r="635" spans="2:10" ht="13.15" customHeight="1" x14ac:dyDescent="0.35">
      <c r="B635" s="46">
        <v>42036</v>
      </c>
      <c r="C635" s="40">
        <v>201</v>
      </c>
      <c r="D635" s="41">
        <v>18</v>
      </c>
      <c r="E635" s="41">
        <v>27</v>
      </c>
      <c r="F635" s="41">
        <v>111</v>
      </c>
      <c r="G635" s="41">
        <v>45</v>
      </c>
      <c r="H635" s="42">
        <v>4.4000000000000004</v>
      </c>
      <c r="I635" s="40">
        <v>204</v>
      </c>
      <c r="J635" s="42">
        <v>4.5</v>
      </c>
    </row>
    <row r="636" spans="2:10" ht="13.15" customHeight="1" x14ac:dyDescent="0.35">
      <c r="B636" s="46">
        <v>42064</v>
      </c>
      <c r="C636" s="40">
        <v>202</v>
      </c>
      <c r="D636" s="41">
        <v>19</v>
      </c>
      <c r="E636" s="41">
        <v>28</v>
      </c>
      <c r="F636" s="41">
        <v>110</v>
      </c>
      <c r="G636" s="41">
        <v>45</v>
      </c>
      <c r="H636" s="42">
        <v>4.4000000000000004</v>
      </c>
      <c r="I636" s="40">
        <v>205</v>
      </c>
      <c r="J636" s="42">
        <v>5.0999999999999996</v>
      </c>
    </row>
    <row r="637" spans="2:10" ht="13.15" customHeight="1" x14ac:dyDescent="0.35">
      <c r="B637" s="46">
        <v>42095</v>
      </c>
      <c r="C637" s="40">
        <v>205</v>
      </c>
      <c r="D637" s="41">
        <v>20</v>
      </c>
      <c r="E637" s="41">
        <v>28</v>
      </c>
      <c r="F637" s="41">
        <v>110</v>
      </c>
      <c r="G637" s="41">
        <v>47</v>
      </c>
      <c r="H637" s="42">
        <v>4.2</v>
      </c>
      <c r="I637" s="40">
        <v>206</v>
      </c>
      <c r="J637" s="42">
        <v>4.9000000000000004</v>
      </c>
    </row>
    <row r="638" spans="2:10" ht="13.15" customHeight="1" x14ac:dyDescent="0.35">
      <c r="B638" s="46">
        <v>42125</v>
      </c>
      <c r="C638" s="40">
        <v>207</v>
      </c>
      <c r="D638" s="41">
        <v>21</v>
      </c>
      <c r="E638" s="41">
        <v>28</v>
      </c>
      <c r="F638" s="41">
        <v>111</v>
      </c>
      <c r="G638" s="41">
        <v>47</v>
      </c>
      <c r="H638" s="42">
        <v>4.4000000000000004</v>
      </c>
      <c r="I638" s="40">
        <v>210</v>
      </c>
      <c r="J638" s="42">
        <v>5</v>
      </c>
    </row>
    <row r="639" spans="2:10" ht="13.15" customHeight="1" x14ac:dyDescent="0.35">
      <c r="B639" s="46">
        <v>42156</v>
      </c>
      <c r="C639" s="40">
        <v>216</v>
      </c>
      <c r="D639" s="41">
        <v>21</v>
      </c>
      <c r="E639" s="41">
        <v>30</v>
      </c>
      <c r="F639" s="41">
        <v>115</v>
      </c>
      <c r="G639" s="41">
        <v>50</v>
      </c>
      <c r="H639" s="42">
        <v>4.9000000000000004</v>
      </c>
      <c r="I639" s="40">
        <v>216</v>
      </c>
      <c r="J639" s="42">
        <v>5.4</v>
      </c>
    </row>
    <row r="640" spans="2:10" ht="13.15" customHeight="1" x14ac:dyDescent="0.35">
      <c r="B640" s="46">
        <v>42186</v>
      </c>
      <c r="C640" s="40">
        <v>219</v>
      </c>
      <c r="D640" s="41">
        <v>22</v>
      </c>
      <c r="E640" s="41">
        <v>31</v>
      </c>
      <c r="F640" s="41">
        <v>115</v>
      </c>
      <c r="G640" s="41">
        <v>52</v>
      </c>
      <c r="H640" s="42">
        <v>5.0999999999999996</v>
      </c>
      <c r="I640" s="40">
        <v>216</v>
      </c>
      <c r="J640" s="42">
        <v>5.2</v>
      </c>
    </row>
    <row r="641" spans="2:10" ht="13.15" customHeight="1" x14ac:dyDescent="0.35">
      <c r="B641" s="46">
        <v>42217</v>
      </c>
      <c r="C641" s="40">
        <v>220</v>
      </c>
      <c r="D641" s="41">
        <v>22</v>
      </c>
      <c r="E641" s="41">
        <v>31</v>
      </c>
      <c r="F641" s="41">
        <v>114</v>
      </c>
      <c r="G641" s="41">
        <v>52</v>
      </c>
      <c r="H641" s="42">
        <v>5.3</v>
      </c>
      <c r="I641" s="40">
        <v>217</v>
      </c>
      <c r="J641" s="42">
        <v>5.0999999999999996</v>
      </c>
    </row>
    <row r="642" spans="2:10" ht="13.15" customHeight="1" x14ac:dyDescent="0.35">
      <c r="B642" s="46">
        <v>42248</v>
      </c>
      <c r="C642" s="40">
        <v>227</v>
      </c>
      <c r="D642" s="41">
        <v>23</v>
      </c>
      <c r="E642" s="41">
        <v>32</v>
      </c>
      <c r="F642" s="41">
        <v>119</v>
      </c>
      <c r="G642" s="41">
        <v>53</v>
      </c>
      <c r="H642" s="42">
        <v>6.5</v>
      </c>
      <c r="I642" s="40">
        <v>223</v>
      </c>
      <c r="J642" s="42">
        <v>5.8</v>
      </c>
    </row>
    <row r="643" spans="2:10" ht="13.15" customHeight="1" x14ac:dyDescent="0.35">
      <c r="B643" s="46">
        <v>42278</v>
      </c>
      <c r="C643" s="40">
        <v>228</v>
      </c>
      <c r="D643" s="41">
        <v>22</v>
      </c>
      <c r="E643" s="41">
        <v>32</v>
      </c>
      <c r="F643" s="41">
        <v>119</v>
      </c>
      <c r="G643" s="41">
        <v>55</v>
      </c>
      <c r="H643" s="42">
        <v>5.8</v>
      </c>
      <c r="I643" s="40">
        <v>225</v>
      </c>
      <c r="J643" s="42">
        <v>5.6</v>
      </c>
    </row>
    <row r="644" spans="2:10" ht="13.15" customHeight="1" x14ac:dyDescent="0.35">
      <c r="B644" s="46">
        <v>42309</v>
      </c>
      <c r="C644" s="40">
        <v>232</v>
      </c>
      <c r="D644" s="41">
        <v>22</v>
      </c>
      <c r="E644" s="41">
        <v>32</v>
      </c>
      <c r="F644" s="41">
        <v>121</v>
      </c>
      <c r="G644" s="41">
        <v>56</v>
      </c>
      <c r="H644" s="42">
        <v>6.5</v>
      </c>
      <c r="I644" s="40">
        <v>229</v>
      </c>
      <c r="J644" s="42">
        <v>5.4</v>
      </c>
    </row>
    <row r="645" spans="2:10" ht="13.15" customHeight="1" x14ac:dyDescent="0.35">
      <c r="B645" s="46">
        <v>42339</v>
      </c>
      <c r="C645" s="40">
        <v>235</v>
      </c>
      <c r="D645" s="41">
        <v>24</v>
      </c>
      <c r="E645" s="41">
        <v>32</v>
      </c>
      <c r="F645" s="41">
        <v>124</v>
      </c>
      <c r="G645" s="41">
        <v>55</v>
      </c>
      <c r="H645" s="42">
        <v>6.2</v>
      </c>
      <c r="I645" s="40">
        <v>234</v>
      </c>
      <c r="J645" s="42">
        <v>5.2</v>
      </c>
    </row>
    <row r="646" spans="2:10" ht="13.15" customHeight="1" x14ac:dyDescent="0.35">
      <c r="B646" s="46">
        <v>42370</v>
      </c>
      <c r="C646" s="40">
        <v>235</v>
      </c>
      <c r="D646" s="41">
        <v>24</v>
      </c>
      <c r="E646" s="41">
        <v>31</v>
      </c>
      <c r="F646" s="41">
        <v>125</v>
      </c>
      <c r="G646" s="41">
        <v>55</v>
      </c>
      <c r="H646" s="42">
        <v>6.1</v>
      </c>
      <c r="I646" s="40">
        <v>237</v>
      </c>
      <c r="J646" s="42">
        <v>5.5</v>
      </c>
    </row>
    <row r="647" spans="2:10" ht="13.15" customHeight="1" x14ac:dyDescent="0.35">
      <c r="B647" s="46">
        <v>42401</v>
      </c>
      <c r="C647" s="40">
        <v>236</v>
      </c>
      <c r="D647" s="41">
        <v>24</v>
      </c>
      <c r="E647" s="41">
        <v>31</v>
      </c>
      <c r="F647" s="41">
        <v>126</v>
      </c>
      <c r="G647" s="41">
        <v>55</v>
      </c>
      <c r="H647" s="42">
        <v>5.3</v>
      </c>
      <c r="I647" s="40">
        <v>240</v>
      </c>
      <c r="J647" s="42">
        <v>5.5</v>
      </c>
    </row>
    <row r="648" spans="2:10" ht="13.15" customHeight="1" x14ac:dyDescent="0.35">
      <c r="B648" s="46">
        <v>42430</v>
      </c>
      <c r="C648" s="40">
        <v>240</v>
      </c>
      <c r="D648" s="41">
        <v>24</v>
      </c>
      <c r="E648" s="41">
        <v>32</v>
      </c>
      <c r="F648" s="41">
        <v>127</v>
      </c>
      <c r="G648" s="41">
        <v>57</v>
      </c>
      <c r="H648" s="42">
        <v>4.8</v>
      </c>
      <c r="I648" s="40">
        <v>243</v>
      </c>
      <c r="J648" s="42">
        <v>5.5</v>
      </c>
    </row>
    <row r="649" spans="2:10" ht="13.15" customHeight="1" x14ac:dyDescent="0.35">
      <c r="B649" s="46">
        <v>42461</v>
      </c>
      <c r="C649" s="40">
        <v>239</v>
      </c>
      <c r="D649" s="41">
        <v>25</v>
      </c>
      <c r="E649" s="41">
        <v>32</v>
      </c>
      <c r="F649" s="41">
        <v>126</v>
      </c>
      <c r="G649" s="41">
        <v>56</v>
      </c>
      <c r="H649" s="42">
        <v>4.3</v>
      </c>
      <c r="I649" s="40">
        <v>241</v>
      </c>
      <c r="J649" s="42">
        <v>5.0999999999999996</v>
      </c>
    </row>
    <row r="650" spans="2:10" ht="13.15" customHeight="1" x14ac:dyDescent="0.35">
      <c r="B650" s="46">
        <v>42491</v>
      </c>
      <c r="C650" s="40">
        <v>238</v>
      </c>
      <c r="D650" s="41">
        <v>24</v>
      </c>
      <c r="E650" s="41">
        <v>31</v>
      </c>
      <c r="F650" s="41">
        <v>127</v>
      </c>
      <c r="G650" s="41">
        <v>56</v>
      </c>
      <c r="H650" s="42">
        <v>4.5</v>
      </c>
      <c r="I650" s="40">
        <v>241</v>
      </c>
      <c r="J650" s="42">
        <v>5.2</v>
      </c>
    </row>
    <row r="651" spans="2:10" ht="13.15" customHeight="1" x14ac:dyDescent="0.35">
      <c r="B651" s="46">
        <v>42522</v>
      </c>
      <c r="C651" s="40">
        <v>243</v>
      </c>
      <c r="D651" s="41">
        <v>26</v>
      </c>
      <c r="E651" s="41">
        <v>32</v>
      </c>
      <c r="F651" s="41">
        <v>128</v>
      </c>
      <c r="G651" s="41">
        <v>58</v>
      </c>
      <c r="H651" s="42">
        <v>4.8</v>
      </c>
      <c r="I651" s="40">
        <v>243</v>
      </c>
      <c r="J651" s="42">
        <v>5.2</v>
      </c>
    </row>
    <row r="652" spans="2:10" ht="13.15" customHeight="1" x14ac:dyDescent="0.35">
      <c r="B652" s="46">
        <v>42552</v>
      </c>
      <c r="C652" s="40">
        <v>236</v>
      </c>
      <c r="D652" s="41">
        <v>25</v>
      </c>
      <c r="E652" s="41">
        <v>31</v>
      </c>
      <c r="F652" s="41">
        <v>122</v>
      </c>
      <c r="G652" s="41">
        <v>58</v>
      </c>
      <c r="H652" s="42">
        <v>4.4000000000000004</v>
      </c>
      <c r="I652" s="40">
        <v>237</v>
      </c>
      <c r="J652" s="42">
        <v>4.5</v>
      </c>
    </row>
    <row r="653" spans="2:10" ht="13.15" customHeight="1" x14ac:dyDescent="0.35">
      <c r="B653" s="46">
        <v>42583</v>
      </c>
      <c r="C653" s="40">
        <v>242</v>
      </c>
      <c r="D653" s="41">
        <v>26</v>
      </c>
      <c r="E653" s="41">
        <v>32</v>
      </c>
      <c r="F653" s="41">
        <v>125</v>
      </c>
      <c r="G653" s="41">
        <v>59</v>
      </c>
      <c r="H653" s="42">
        <v>5.3</v>
      </c>
      <c r="I653" s="40">
        <v>241</v>
      </c>
      <c r="J653" s="42">
        <v>5.0999999999999996</v>
      </c>
    </row>
    <row r="654" spans="2:10" ht="13.15" customHeight="1" x14ac:dyDescent="0.35">
      <c r="B654" s="46">
        <v>42614</v>
      </c>
      <c r="C654" s="40">
        <v>248</v>
      </c>
      <c r="D654" s="41">
        <v>27</v>
      </c>
      <c r="E654" s="41">
        <v>32</v>
      </c>
      <c r="F654" s="41">
        <v>129</v>
      </c>
      <c r="G654" s="41">
        <v>60</v>
      </c>
      <c r="H654" s="42">
        <v>5.6</v>
      </c>
      <c r="I654" s="40">
        <v>242</v>
      </c>
      <c r="J654" s="42">
        <v>5.0999999999999996</v>
      </c>
    </row>
    <row r="655" spans="2:10" ht="13.15" customHeight="1" x14ac:dyDescent="0.35">
      <c r="B655" s="46">
        <v>42644</v>
      </c>
      <c r="C655" s="40">
        <v>250</v>
      </c>
      <c r="D655" s="41">
        <v>27</v>
      </c>
      <c r="E655" s="41">
        <v>32</v>
      </c>
      <c r="F655" s="41">
        <v>130</v>
      </c>
      <c r="G655" s="41">
        <v>61</v>
      </c>
      <c r="H655" s="42">
        <v>5.5</v>
      </c>
      <c r="I655" s="40">
        <v>248</v>
      </c>
      <c r="J655" s="42">
        <v>5.2</v>
      </c>
    </row>
    <row r="656" spans="2:10" ht="13.15" customHeight="1" x14ac:dyDescent="0.35">
      <c r="B656" s="46">
        <v>42675</v>
      </c>
      <c r="C656" s="40">
        <v>252</v>
      </c>
      <c r="D656" s="41">
        <v>27</v>
      </c>
      <c r="E656" s="41">
        <v>33</v>
      </c>
      <c r="F656" s="41">
        <v>131</v>
      </c>
      <c r="G656" s="41">
        <v>62</v>
      </c>
      <c r="H656" s="42">
        <v>6.3</v>
      </c>
      <c r="I656" s="40">
        <v>248</v>
      </c>
      <c r="J656" s="42">
        <v>5.0999999999999996</v>
      </c>
    </row>
    <row r="657" spans="2:10" ht="13.15" customHeight="1" x14ac:dyDescent="0.35">
      <c r="B657" s="46">
        <v>42705</v>
      </c>
      <c r="C657" s="40">
        <v>257</v>
      </c>
      <c r="D657" s="41">
        <v>27</v>
      </c>
      <c r="E657" s="41">
        <v>33</v>
      </c>
      <c r="F657" s="41">
        <v>133</v>
      </c>
      <c r="G657" s="41">
        <v>64</v>
      </c>
      <c r="H657" s="42">
        <v>6.5</v>
      </c>
      <c r="I657" s="40">
        <v>256</v>
      </c>
      <c r="J657" s="42">
        <v>5.6</v>
      </c>
    </row>
    <row r="658" spans="2:10" ht="13.15" customHeight="1" x14ac:dyDescent="0.35">
      <c r="B658" s="46">
        <v>42736</v>
      </c>
      <c r="C658" s="40">
        <v>259</v>
      </c>
      <c r="D658" s="41">
        <v>27</v>
      </c>
      <c r="E658" s="41">
        <v>33</v>
      </c>
      <c r="F658" s="41">
        <v>135</v>
      </c>
      <c r="G658" s="41">
        <v>64</v>
      </c>
      <c r="H658" s="42">
        <v>5.8</v>
      </c>
      <c r="I658" s="40">
        <v>261</v>
      </c>
      <c r="J658" s="42">
        <v>5.2</v>
      </c>
    </row>
    <row r="659" spans="2:10" ht="13.15" customHeight="1" x14ac:dyDescent="0.35">
      <c r="B659" s="46">
        <v>42767</v>
      </c>
      <c r="C659" s="40">
        <v>259</v>
      </c>
      <c r="D659" s="41">
        <v>26</v>
      </c>
      <c r="E659" s="41">
        <v>33</v>
      </c>
      <c r="F659" s="41">
        <v>137</v>
      </c>
      <c r="G659" s="41">
        <v>63</v>
      </c>
      <c r="H659" s="42">
        <v>5.0999999999999996</v>
      </c>
      <c r="I659" s="40">
        <v>263</v>
      </c>
      <c r="J659" s="42">
        <v>5.0999999999999996</v>
      </c>
    </row>
    <row r="660" spans="2:10" ht="13.15" customHeight="1" x14ac:dyDescent="0.35">
      <c r="B660" s="46">
        <v>42795</v>
      </c>
      <c r="C660" s="40">
        <v>263</v>
      </c>
      <c r="D660" s="41">
        <v>26</v>
      </c>
      <c r="E660" s="41">
        <v>35</v>
      </c>
      <c r="F660" s="41">
        <v>141</v>
      </c>
      <c r="G660" s="41">
        <v>62</v>
      </c>
      <c r="H660" s="42">
        <v>4.3</v>
      </c>
      <c r="I660" s="40">
        <v>266</v>
      </c>
      <c r="J660" s="42">
        <v>5</v>
      </c>
    </row>
    <row r="661" spans="2:10" ht="13.15" customHeight="1" x14ac:dyDescent="0.35">
      <c r="B661" s="46">
        <v>42826</v>
      </c>
      <c r="C661" s="40">
        <v>262</v>
      </c>
      <c r="D661" s="41">
        <v>25</v>
      </c>
      <c r="E661" s="41">
        <v>35</v>
      </c>
      <c r="F661" s="41">
        <v>139</v>
      </c>
      <c r="G661" s="41">
        <v>63</v>
      </c>
      <c r="H661" s="42">
        <v>4.5999999999999996</v>
      </c>
      <c r="I661" s="40">
        <v>266</v>
      </c>
      <c r="J661" s="42">
        <v>5.4</v>
      </c>
    </row>
    <row r="662" spans="2:10" ht="13.15" customHeight="1" x14ac:dyDescent="0.35">
      <c r="B662" s="46">
        <v>42856</v>
      </c>
      <c r="C662" s="40">
        <v>269</v>
      </c>
      <c r="D662" s="41">
        <v>25</v>
      </c>
      <c r="E662" s="41">
        <v>37</v>
      </c>
      <c r="F662" s="41">
        <v>143</v>
      </c>
      <c r="G662" s="41">
        <v>64</v>
      </c>
      <c r="H662" s="42">
        <v>4.7</v>
      </c>
      <c r="I662" s="40">
        <v>271</v>
      </c>
      <c r="J662" s="42">
        <v>5.4</v>
      </c>
    </row>
    <row r="663" spans="2:10" ht="13.15" customHeight="1" x14ac:dyDescent="0.35">
      <c r="B663" s="46">
        <v>42887</v>
      </c>
      <c r="C663" s="40">
        <v>274</v>
      </c>
      <c r="D663" s="41">
        <v>25</v>
      </c>
      <c r="E663" s="41">
        <v>38</v>
      </c>
      <c r="F663" s="41">
        <v>147</v>
      </c>
      <c r="G663" s="41">
        <v>65</v>
      </c>
      <c r="H663" s="42">
        <v>4.9000000000000004</v>
      </c>
      <c r="I663" s="40">
        <v>272</v>
      </c>
      <c r="J663" s="42">
        <v>5.3</v>
      </c>
    </row>
    <row r="664" spans="2:10" ht="13.15" customHeight="1" x14ac:dyDescent="0.35">
      <c r="B664" s="46">
        <v>42917</v>
      </c>
      <c r="C664" s="40">
        <v>275</v>
      </c>
      <c r="D664" s="41">
        <v>24</v>
      </c>
      <c r="E664" s="41">
        <v>37</v>
      </c>
      <c r="F664" s="41">
        <v>149</v>
      </c>
      <c r="G664" s="41">
        <v>66</v>
      </c>
      <c r="H664" s="42">
        <v>5.8</v>
      </c>
      <c r="I664" s="40">
        <v>275</v>
      </c>
      <c r="J664" s="42">
        <v>5.9</v>
      </c>
    </row>
    <row r="665" spans="2:10" ht="13.15" customHeight="1" x14ac:dyDescent="0.35">
      <c r="B665" s="46">
        <v>42948</v>
      </c>
      <c r="C665" s="40">
        <v>284</v>
      </c>
      <c r="D665" s="41">
        <v>24</v>
      </c>
      <c r="E665" s="41">
        <v>37</v>
      </c>
      <c r="F665" s="41">
        <v>153</v>
      </c>
      <c r="G665" s="41">
        <v>70</v>
      </c>
      <c r="H665" s="42">
        <v>6.4</v>
      </c>
      <c r="I665" s="40">
        <v>280</v>
      </c>
      <c r="J665" s="42">
        <v>6</v>
      </c>
    </row>
    <row r="666" spans="2:10" ht="13.15" customHeight="1" x14ac:dyDescent="0.35">
      <c r="B666" s="46">
        <v>42979</v>
      </c>
      <c r="C666" s="40">
        <v>285</v>
      </c>
      <c r="D666" s="41">
        <v>25</v>
      </c>
      <c r="E666" s="41">
        <v>37</v>
      </c>
      <c r="F666" s="41">
        <v>153</v>
      </c>
      <c r="G666" s="41">
        <v>70</v>
      </c>
      <c r="H666" s="42">
        <v>5.7</v>
      </c>
      <c r="I666" s="40">
        <v>280</v>
      </c>
      <c r="J666" s="42">
        <v>5.3</v>
      </c>
    </row>
    <row r="667" spans="2:10" ht="13.15" customHeight="1" x14ac:dyDescent="0.35">
      <c r="B667" s="46">
        <v>43009</v>
      </c>
      <c r="C667" s="40">
        <v>289</v>
      </c>
      <c r="D667" s="41">
        <v>25</v>
      </c>
      <c r="E667" s="41">
        <v>39</v>
      </c>
      <c r="F667" s="41">
        <v>152</v>
      </c>
      <c r="G667" s="41">
        <v>73</v>
      </c>
      <c r="H667" s="42">
        <v>5.9</v>
      </c>
      <c r="I667" s="40">
        <v>286</v>
      </c>
      <c r="J667" s="42">
        <v>5.6</v>
      </c>
    </row>
    <row r="668" spans="2:10" ht="13.15" customHeight="1" x14ac:dyDescent="0.35">
      <c r="B668" s="46">
        <v>43040</v>
      </c>
      <c r="C668" s="40">
        <v>292</v>
      </c>
      <c r="D668" s="41">
        <v>25</v>
      </c>
      <c r="E668" s="41">
        <v>40</v>
      </c>
      <c r="F668" s="41">
        <v>154</v>
      </c>
      <c r="G668" s="41">
        <v>73</v>
      </c>
      <c r="H668" s="42">
        <v>5.8</v>
      </c>
      <c r="I668" s="40">
        <v>287</v>
      </c>
      <c r="J668" s="42">
        <v>4.8</v>
      </c>
    </row>
    <row r="669" spans="2:10" ht="13.15" customHeight="1" x14ac:dyDescent="0.35">
      <c r="B669" s="46">
        <v>43070</v>
      </c>
      <c r="C669" s="40">
        <v>295</v>
      </c>
      <c r="D669" s="41">
        <v>25</v>
      </c>
      <c r="E669" s="41">
        <v>41</v>
      </c>
      <c r="F669" s="41">
        <v>154</v>
      </c>
      <c r="G669" s="41">
        <v>75</v>
      </c>
      <c r="H669" s="42">
        <v>6.4</v>
      </c>
      <c r="I669" s="40">
        <v>295</v>
      </c>
      <c r="J669" s="42">
        <v>5.4</v>
      </c>
    </row>
    <row r="670" spans="2:10" ht="13.15" customHeight="1" x14ac:dyDescent="0.35">
      <c r="B670" s="46">
        <v>43101</v>
      </c>
      <c r="C670" s="40">
        <v>297</v>
      </c>
      <c r="D670" s="41">
        <v>25</v>
      </c>
      <c r="E670" s="41">
        <v>40</v>
      </c>
      <c r="F670" s="41">
        <v>158</v>
      </c>
      <c r="G670" s="41">
        <v>74</v>
      </c>
      <c r="H670" s="42">
        <v>6.4</v>
      </c>
      <c r="I670" s="40">
        <v>299</v>
      </c>
      <c r="J670" s="42">
        <v>5.8</v>
      </c>
    </row>
    <row r="671" spans="2:10" ht="13.15" customHeight="1" x14ac:dyDescent="0.35">
      <c r="B671" s="46">
        <v>43132</v>
      </c>
      <c r="C671" s="40">
        <v>301</v>
      </c>
      <c r="D671" s="41">
        <v>24</v>
      </c>
      <c r="E671" s="41">
        <v>40</v>
      </c>
      <c r="F671" s="41">
        <v>163</v>
      </c>
      <c r="G671" s="41">
        <v>74</v>
      </c>
      <c r="H671" s="42">
        <v>5.9</v>
      </c>
      <c r="I671" s="40">
        <v>305</v>
      </c>
      <c r="J671" s="42">
        <v>5.9</v>
      </c>
    </row>
    <row r="672" spans="2:10" ht="13.15" customHeight="1" x14ac:dyDescent="0.35">
      <c r="B672" s="39"/>
      <c r="C672" s="40"/>
      <c r="D672" s="41"/>
      <c r="E672" s="41"/>
      <c r="F672" s="41"/>
      <c r="G672" s="41"/>
      <c r="H672" s="42"/>
      <c r="I672" s="40"/>
      <c r="J672" s="42"/>
    </row>
    <row r="673" spans="2:10" ht="13.15" customHeight="1" x14ac:dyDescent="0.35">
      <c r="B673" s="39"/>
      <c r="C673" s="40"/>
      <c r="D673" s="41"/>
      <c r="E673" s="41"/>
      <c r="F673" s="41"/>
      <c r="G673" s="41"/>
      <c r="H673" s="42"/>
      <c r="I673" s="40"/>
      <c r="J673" s="42"/>
    </row>
    <row r="674" spans="2:10" ht="15.5" x14ac:dyDescent="0.35">
      <c r="B674" s="43" t="s">
        <v>437</v>
      </c>
      <c r="C674" s="3"/>
      <c r="D674" s="3"/>
      <c r="E674" s="3"/>
      <c r="F674" s="3"/>
      <c r="G674" s="3"/>
      <c r="H674" s="3"/>
      <c r="I674" s="44"/>
      <c r="J674" s="3"/>
    </row>
    <row r="675" spans="2:10" x14ac:dyDescent="0.35">
      <c r="B675" s="39"/>
      <c r="C675" s="3"/>
      <c r="D675" s="3"/>
      <c r="E675" s="3"/>
      <c r="F675" s="3"/>
      <c r="G675" s="3"/>
      <c r="H675" s="3"/>
      <c r="I675" s="44"/>
      <c r="J675" s="3"/>
    </row>
    <row r="676" spans="2:10" x14ac:dyDescent="0.35">
      <c r="B676" s="45" t="s">
        <v>438</v>
      </c>
      <c r="C676" s="3"/>
      <c r="D676" s="3"/>
      <c r="E676" s="3"/>
      <c r="F676" s="3"/>
      <c r="G676" s="3"/>
      <c r="H676" s="3"/>
      <c r="I676" s="44"/>
      <c r="J676" s="3"/>
    </row>
    <row r="677" spans="2:10" x14ac:dyDescent="0.35">
      <c r="B677" s="45" t="s">
        <v>439</v>
      </c>
      <c r="C677" s="3"/>
      <c r="D677" s="3"/>
      <c r="E677" s="3"/>
      <c r="F677" s="3"/>
      <c r="G677" s="3"/>
      <c r="H677" s="3"/>
      <c r="I677" s="44"/>
      <c r="J677" s="3"/>
    </row>
    <row r="678" spans="2:10" x14ac:dyDescent="0.35">
      <c r="B678" s="39"/>
      <c r="C678" s="3"/>
      <c r="D678" s="3"/>
      <c r="E678" s="3"/>
      <c r="F678" s="3"/>
      <c r="G678" s="3"/>
      <c r="H678" s="3"/>
      <c r="I678" s="44"/>
      <c r="J678" s="3"/>
    </row>
  </sheetData>
  <mergeCells count="1">
    <mergeCell ref="C5:H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1A64A-CBD3-4D13-ACEF-729C9FFDCB54}">
  <sheetPr>
    <tabColor theme="9"/>
  </sheetPr>
  <dimension ref="A1:D324"/>
  <sheetViews>
    <sheetView workbookViewId="0"/>
  </sheetViews>
  <sheetFormatPr defaultRowHeight="14.5" x14ac:dyDescent="0.35"/>
  <cols>
    <col min="1" max="1" width="34" bestFit="1" customWidth="1"/>
    <col min="2" max="2" width="103.08984375" bestFit="1" customWidth="1"/>
    <col min="3" max="3" width="19.81640625" bestFit="1" customWidth="1"/>
  </cols>
  <sheetData>
    <row r="1" spans="1:4" x14ac:dyDescent="0.35">
      <c r="A1" s="51" t="s">
        <v>444</v>
      </c>
      <c r="B1" s="51"/>
      <c r="C1" s="51"/>
    </row>
    <row r="2" spans="1:4" x14ac:dyDescent="0.35">
      <c r="A2" s="51" t="s">
        <v>445</v>
      </c>
      <c r="B2" s="51"/>
      <c r="C2" s="51"/>
    </row>
    <row r="3" spans="1:4" x14ac:dyDescent="0.35">
      <c r="A3" s="51" t="s">
        <v>446</v>
      </c>
      <c r="B3" s="51"/>
      <c r="C3" s="51"/>
    </row>
    <row r="4" spans="1:4" x14ac:dyDescent="0.35">
      <c r="A4" s="51" t="s">
        <v>447</v>
      </c>
      <c r="B4" s="51"/>
      <c r="C4" s="51"/>
    </row>
    <row r="5" spans="1:4" x14ac:dyDescent="0.35">
      <c r="A5" s="51" t="s">
        <v>10</v>
      </c>
      <c r="B5" s="51"/>
      <c r="C5" s="51"/>
    </row>
    <row r="6" spans="1:4" x14ac:dyDescent="0.35">
      <c r="A6" s="51" t="s">
        <v>11</v>
      </c>
      <c r="B6" s="51"/>
      <c r="C6" s="51"/>
    </row>
    <row r="8" spans="1:4" x14ac:dyDescent="0.35">
      <c r="A8" s="51" t="s">
        <v>448</v>
      </c>
      <c r="B8" s="51" t="s">
        <v>449</v>
      </c>
      <c r="C8" s="51"/>
    </row>
    <row r="9" spans="1:4" x14ac:dyDescent="0.35">
      <c r="A9" s="51" t="s">
        <v>450</v>
      </c>
      <c r="B9" s="51" t="s">
        <v>451</v>
      </c>
      <c r="C9" s="51"/>
    </row>
    <row r="11" spans="1:4" x14ac:dyDescent="0.35">
      <c r="A11" s="51" t="s">
        <v>14</v>
      </c>
      <c r="B11" s="51"/>
      <c r="C11" s="51"/>
    </row>
    <row r="12" spans="1:4" x14ac:dyDescent="0.35">
      <c r="A12" s="51" t="s">
        <v>15</v>
      </c>
      <c r="B12" s="51" t="s">
        <v>448</v>
      </c>
      <c r="C12" s="51" t="s">
        <v>450</v>
      </c>
      <c r="D12" s="47" t="s">
        <v>452</v>
      </c>
    </row>
    <row r="13" spans="1:4" x14ac:dyDescent="0.35">
      <c r="A13" s="52">
        <v>33604</v>
      </c>
      <c r="B13" s="53">
        <v>120000</v>
      </c>
      <c r="C13" s="53">
        <v>120000</v>
      </c>
      <c r="D13" t="b">
        <f>C13=B13</f>
        <v>1</v>
      </c>
    </row>
    <row r="14" spans="1:4" x14ac:dyDescent="0.35">
      <c r="A14" s="52">
        <v>33635</v>
      </c>
      <c r="B14" s="53">
        <v>117200</v>
      </c>
      <c r="C14" s="53">
        <v>117200</v>
      </c>
      <c r="D14" t="b">
        <f t="shared" ref="D14:D77" si="0">C14=B14</f>
        <v>1</v>
      </c>
    </row>
    <row r="15" spans="1:4" x14ac:dyDescent="0.35">
      <c r="A15" s="52">
        <v>33664</v>
      </c>
      <c r="B15" s="53">
        <v>120000</v>
      </c>
      <c r="C15" s="53">
        <v>120000</v>
      </c>
      <c r="D15" t="b">
        <f t="shared" si="0"/>
        <v>1</v>
      </c>
    </row>
    <row r="16" spans="1:4" x14ac:dyDescent="0.35">
      <c r="A16" s="52">
        <v>33695</v>
      </c>
      <c r="B16" s="53">
        <v>120000</v>
      </c>
      <c r="C16" s="53">
        <v>120000</v>
      </c>
      <c r="D16" t="b">
        <f t="shared" si="0"/>
        <v>1</v>
      </c>
    </row>
    <row r="17" spans="1:4" x14ac:dyDescent="0.35">
      <c r="A17" s="52">
        <v>33725</v>
      </c>
      <c r="B17" s="53">
        <v>113000</v>
      </c>
      <c r="C17" s="53">
        <v>113000</v>
      </c>
      <c r="D17" t="b">
        <f t="shared" si="0"/>
        <v>1</v>
      </c>
    </row>
    <row r="18" spans="1:4" x14ac:dyDescent="0.35">
      <c r="A18" s="52">
        <v>33756</v>
      </c>
      <c r="B18" s="53">
        <v>124500</v>
      </c>
      <c r="C18" s="53">
        <v>124500</v>
      </c>
      <c r="D18" t="b">
        <f t="shared" si="0"/>
        <v>1</v>
      </c>
    </row>
    <row r="19" spans="1:4" x14ac:dyDescent="0.35">
      <c r="A19" s="52">
        <v>33786</v>
      </c>
      <c r="B19" s="53">
        <v>118000</v>
      </c>
      <c r="C19" s="53">
        <v>118000</v>
      </c>
      <c r="D19" t="b">
        <f t="shared" si="0"/>
        <v>1</v>
      </c>
    </row>
    <row r="20" spans="1:4" x14ac:dyDescent="0.35">
      <c r="A20" s="52">
        <v>33817</v>
      </c>
      <c r="B20" s="53">
        <v>123500</v>
      </c>
      <c r="C20" s="53">
        <v>123500</v>
      </c>
      <c r="D20" t="b">
        <f t="shared" si="0"/>
        <v>1</v>
      </c>
    </row>
    <row r="21" spans="1:4" x14ac:dyDescent="0.35">
      <c r="A21" s="52">
        <v>33848</v>
      </c>
      <c r="B21" s="53">
        <v>119500</v>
      </c>
      <c r="C21" s="53">
        <v>119500</v>
      </c>
      <c r="D21" t="b">
        <f t="shared" si="0"/>
        <v>1</v>
      </c>
    </row>
    <row r="22" spans="1:4" x14ac:dyDescent="0.35">
      <c r="A22" s="52">
        <v>33878</v>
      </c>
      <c r="B22" s="53">
        <v>125000</v>
      </c>
      <c r="C22" s="53">
        <v>125000</v>
      </c>
      <c r="D22" t="b">
        <f t="shared" si="0"/>
        <v>1</v>
      </c>
    </row>
    <row r="23" spans="1:4" x14ac:dyDescent="0.35">
      <c r="A23" s="52">
        <v>33909</v>
      </c>
      <c r="B23" s="53">
        <v>128900</v>
      </c>
      <c r="C23" s="53">
        <v>128900</v>
      </c>
      <c r="D23" t="b">
        <f t="shared" si="0"/>
        <v>1</v>
      </c>
    </row>
    <row r="24" spans="1:4" x14ac:dyDescent="0.35">
      <c r="A24" s="52">
        <v>33939</v>
      </c>
      <c r="B24" s="53">
        <v>126000</v>
      </c>
      <c r="C24" s="53">
        <v>126000</v>
      </c>
      <c r="D24" t="b">
        <f t="shared" si="0"/>
        <v>1</v>
      </c>
    </row>
    <row r="25" spans="1:4" x14ac:dyDescent="0.35">
      <c r="A25" s="52">
        <v>33970</v>
      </c>
      <c r="B25" s="53">
        <v>118000</v>
      </c>
      <c r="C25" s="53">
        <v>118000</v>
      </c>
      <c r="D25" t="b">
        <f t="shared" si="0"/>
        <v>1</v>
      </c>
    </row>
    <row r="26" spans="1:4" x14ac:dyDescent="0.35">
      <c r="A26" s="52">
        <v>34001</v>
      </c>
      <c r="B26" s="53">
        <v>129400</v>
      </c>
      <c r="C26" s="53">
        <v>129400</v>
      </c>
      <c r="D26" t="b">
        <f t="shared" si="0"/>
        <v>1</v>
      </c>
    </row>
    <row r="27" spans="1:4" x14ac:dyDescent="0.35">
      <c r="A27" s="52">
        <v>34029</v>
      </c>
      <c r="B27" s="53">
        <v>125000</v>
      </c>
      <c r="C27" s="53">
        <v>125000</v>
      </c>
      <c r="D27" t="b">
        <f t="shared" si="0"/>
        <v>1</v>
      </c>
    </row>
    <row r="28" spans="1:4" x14ac:dyDescent="0.35">
      <c r="A28" s="52">
        <v>34060</v>
      </c>
      <c r="B28" s="53">
        <v>127000</v>
      </c>
      <c r="C28" s="53">
        <v>127000</v>
      </c>
      <c r="D28" t="b">
        <f t="shared" si="0"/>
        <v>1</v>
      </c>
    </row>
    <row r="29" spans="1:4" x14ac:dyDescent="0.35">
      <c r="A29" s="52">
        <v>34090</v>
      </c>
      <c r="B29" s="53">
        <v>129900</v>
      </c>
      <c r="C29" s="53">
        <v>129900</v>
      </c>
      <c r="D29" t="b">
        <f t="shared" si="0"/>
        <v>1</v>
      </c>
    </row>
    <row r="30" spans="1:4" x14ac:dyDescent="0.35">
      <c r="A30" s="52">
        <v>34121</v>
      </c>
      <c r="B30" s="53">
        <v>124500</v>
      </c>
      <c r="C30" s="53">
        <v>124500</v>
      </c>
      <c r="D30" t="b">
        <f t="shared" si="0"/>
        <v>1</v>
      </c>
    </row>
    <row r="31" spans="1:4" x14ac:dyDescent="0.35">
      <c r="A31" s="52">
        <v>34151</v>
      </c>
      <c r="B31" s="53">
        <v>123900</v>
      </c>
      <c r="C31" s="53">
        <v>123900</v>
      </c>
      <c r="D31" t="b">
        <f t="shared" si="0"/>
        <v>1</v>
      </c>
    </row>
    <row r="32" spans="1:4" x14ac:dyDescent="0.35">
      <c r="A32" s="52">
        <v>34182</v>
      </c>
      <c r="B32" s="53">
        <v>126600</v>
      </c>
      <c r="C32" s="53">
        <v>126600</v>
      </c>
      <c r="D32" t="b">
        <f t="shared" si="0"/>
        <v>1</v>
      </c>
    </row>
    <row r="33" spans="1:4" x14ac:dyDescent="0.35">
      <c r="A33" s="52">
        <v>34213</v>
      </c>
      <c r="B33" s="53">
        <v>129400</v>
      </c>
      <c r="C33" s="53">
        <v>129400</v>
      </c>
      <c r="D33" t="b">
        <f t="shared" si="0"/>
        <v>1</v>
      </c>
    </row>
    <row r="34" spans="1:4" x14ac:dyDescent="0.35">
      <c r="A34" s="52">
        <v>34243</v>
      </c>
      <c r="B34" s="53">
        <v>125000</v>
      </c>
      <c r="C34" s="53">
        <v>125000</v>
      </c>
      <c r="D34" t="b">
        <f t="shared" si="0"/>
        <v>1</v>
      </c>
    </row>
    <row r="35" spans="1:4" x14ac:dyDescent="0.35">
      <c r="A35" s="52">
        <v>34274</v>
      </c>
      <c r="B35" s="53">
        <v>130000</v>
      </c>
      <c r="C35" s="53">
        <v>130000</v>
      </c>
      <c r="D35" t="b">
        <f t="shared" si="0"/>
        <v>1</v>
      </c>
    </row>
    <row r="36" spans="1:4" x14ac:dyDescent="0.35">
      <c r="A36" s="52">
        <v>34304</v>
      </c>
      <c r="B36" s="53">
        <v>125000</v>
      </c>
      <c r="C36" s="53">
        <v>125000</v>
      </c>
      <c r="D36" t="b">
        <f t="shared" si="0"/>
        <v>1</v>
      </c>
    </row>
    <row r="37" spans="1:4" x14ac:dyDescent="0.35">
      <c r="A37" s="52">
        <v>34335</v>
      </c>
      <c r="B37" s="53">
        <v>126000</v>
      </c>
      <c r="C37" s="53">
        <v>126000</v>
      </c>
      <c r="D37" t="b">
        <f t="shared" si="0"/>
        <v>1</v>
      </c>
    </row>
    <row r="38" spans="1:4" x14ac:dyDescent="0.35">
      <c r="A38" s="52">
        <v>34366</v>
      </c>
      <c r="B38" s="53">
        <v>129900</v>
      </c>
      <c r="C38" s="53">
        <v>129900</v>
      </c>
      <c r="D38" t="b">
        <f t="shared" si="0"/>
        <v>1</v>
      </c>
    </row>
    <row r="39" spans="1:4" x14ac:dyDescent="0.35">
      <c r="A39" s="52">
        <v>34394</v>
      </c>
      <c r="B39" s="53">
        <v>132300</v>
      </c>
      <c r="C39" s="53">
        <v>132300</v>
      </c>
      <c r="D39" t="b">
        <f t="shared" si="0"/>
        <v>1</v>
      </c>
    </row>
    <row r="40" spans="1:4" x14ac:dyDescent="0.35">
      <c r="A40" s="52">
        <v>34425</v>
      </c>
      <c r="B40" s="53">
        <v>129000</v>
      </c>
      <c r="C40" s="53">
        <v>129000</v>
      </c>
      <c r="D40" t="b">
        <f t="shared" si="0"/>
        <v>1</v>
      </c>
    </row>
    <row r="41" spans="1:4" x14ac:dyDescent="0.35">
      <c r="A41" s="52">
        <v>34455</v>
      </c>
      <c r="B41" s="53">
        <v>129900</v>
      </c>
      <c r="C41" s="53">
        <v>129900</v>
      </c>
      <c r="D41" t="b">
        <f t="shared" si="0"/>
        <v>1</v>
      </c>
    </row>
    <row r="42" spans="1:4" x14ac:dyDescent="0.35">
      <c r="A42" s="52">
        <v>34486</v>
      </c>
      <c r="B42" s="53">
        <v>133500</v>
      </c>
      <c r="C42" s="53">
        <v>133500</v>
      </c>
      <c r="D42" t="b">
        <f t="shared" si="0"/>
        <v>1</v>
      </c>
    </row>
    <row r="43" spans="1:4" x14ac:dyDescent="0.35">
      <c r="A43" s="52">
        <v>34516</v>
      </c>
      <c r="B43" s="53">
        <v>124400</v>
      </c>
      <c r="C43" s="53">
        <v>124400</v>
      </c>
      <c r="D43" t="b">
        <f t="shared" si="0"/>
        <v>1</v>
      </c>
    </row>
    <row r="44" spans="1:4" x14ac:dyDescent="0.35">
      <c r="A44" s="52">
        <v>34547</v>
      </c>
      <c r="B44" s="53">
        <v>133300</v>
      </c>
      <c r="C44" s="53">
        <v>133300</v>
      </c>
      <c r="D44" t="b">
        <f t="shared" si="0"/>
        <v>1</v>
      </c>
    </row>
    <row r="45" spans="1:4" x14ac:dyDescent="0.35">
      <c r="A45" s="52">
        <v>34578</v>
      </c>
      <c r="B45" s="53">
        <v>129700</v>
      </c>
      <c r="C45" s="53">
        <v>129700</v>
      </c>
      <c r="D45" t="b">
        <f t="shared" si="0"/>
        <v>1</v>
      </c>
    </row>
    <row r="46" spans="1:4" x14ac:dyDescent="0.35">
      <c r="A46" s="52">
        <v>34608</v>
      </c>
      <c r="B46" s="53">
        <v>132000</v>
      </c>
      <c r="C46" s="53">
        <v>132000</v>
      </c>
      <c r="D46" t="b">
        <f t="shared" si="0"/>
        <v>1</v>
      </c>
    </row>
    <row r="47" spans="1:4" x14ac:dyDescent="0.35">
      <c r="A47" s="52">
        <v>34639</v>
      </c>
      <c r="B47" s="53">
        <v>129900</v>
      </c>
      <c r="C47" s="53">
        <v>129900</v>
      </c>
      <c r="D47" t="b">
        <f t="shared" si="0"/>
        <v>1</v>
      </c>
    </row>
    <row r="48" spans="1:4" x14ac:dyDescent="0.35">
      <c r="A48" s="52">
        <v>34669</v>
      </c>
      <c r="B48" s="53">
        <v>135000</v>
      </c>
      <c r="C48" s="53">
        <v>135000</v>
      </c>
      <c r="D48" t="b">
        <f t="shared" si="0"/>
        <v>1</v>
      </c>
    </row>
    <row r="49" spans="1:4" x14ac:dyDescent="0.35">
      <c r="A49" s="52">
        <v>34700</v>
      </c>
      <c r="B49" s="53">
        <v>127900</v>
      </c>
      <c r="C49" s="53">
        <v>127900</v>
      </c>
      <c r="D49" t="b">
        <f t="shared" si="0"/>
        <v>1</v>
      </c>
    </row>
    <row r="50" spans="1:4" x14ac:dyDescent="0.35">
      <c r="A50" s="52">
        <v>34731</v>
      </c>
      <c r="B50" s="53">
        <v>135000</v>
      </c>
      <c r="C50" s="53">
        <v>135000</v>
      </c>
      <c r="D50" t="b">
        <f t="shared" si="0"/>
        <v>1</v>
      </c>
    </row>
    <row r="51" spans="1:4" x14ac:dyDescent="0.35">
      <c r="A51" s="52">
        <v>34759</v>
      </c>
      <c r="B51" s="53">
        <v>130000</v>
      </c>
      <c r="C51" s="53">
        <v>130000</v>
      </c>
      <c r="D51" t="b">
        <f t="shared" si="0"/>
        <v>1</v>
      </c>
    </row>
    <row r="52" spans="1:4" x14ac:dyDescent="0.35">
      <c r="A52" s="52">
        <v>34790</v>
      </c>
      <c r="B52" s="53">
        <v>134000</v>
      </c>
      <c r="C52" s="53">
        <v>134000</v>
      </c>
      <c r="D52" t="b">
        <f t="shared" si="0"/>
        <v>1</v>
      </c>
    </row>
    <row r="53" spans="1:4" x14ac:dyDescent="0.35">
      <c r="A53" s="52">
        <v>34820</v>
      </c>
      <c r="B53" s="53">
        <v>133900</v>
      </c>
      <c r="C53" s="53">
        <v>133900</v>
      </c>
      <c r="D53" t="b">
        <f t="shared" si="0"/>
        <v>1</v>
      </c>
    </row>
    <row r="54" spans="1:4" x14ac:dyDescent="0.35">
      <c r="A54" s="52">
        <v>34851</v>
      </c>
      <c r="B54" s="53">
        <v>133700</v>
      </c>
      <c r="C54" s="53">
        <v>133700</v>
      </c>
      <c r="D54" t="b">
        <f t="shared" si="0"/>
        <v>1</v>
      </c>
    </row>
    <row r="55" spans="1:4" x14ac:dyDescent="0.35">
      <c r="A55" s="52">
        <v>34881</v>
      </c>
      <c r="B55" s="53">
        <v>131000</v>
      </c>
      <c r="C55" s="53">
        <v>131000</v>
      </c>
      <c r="D55" t="b">
        <f t="shared" si="0"/>
        <v>1</v>
      </c>
    </row>
    <row r="56" spans="1:4" x14ac:dyDescent="0.35">
      <c r="A56" s="52">
        <v>34912</v>
      </c>
      <c r="B56" s="53">
        <v>134900</v>
      </c>
      <c r="C56" s="53">
        <v>134900</v>
      </c>
      <c r="D56" t="b">
        <f t="shared" si="0"/>
        <v>1</v>
      </c>
    </row>
    <row r="57" spans="1:4" x14ac:dyDescent="0.35">
      <c r="A57" s="52">
        <v>34943</v>
      </c>
      <c r="B57" s="53">
        <v>130000</v>
      </c>
      <c r="C57" s="53">
        <v>130000</v>
      </c>
      <c r="D57" t="b">
        <f t="shared" si="0"/>
        <v>1</v>
      </c>
    </row>
    <row r="58" spans="1:4" x14ac:dyDescent="0.35">
      <c r="A58" s="52">
        <v>34973</v>
      </c>
      <c r="B58" s="53">
        <v>135200</v>
      </c>
      <c r="C58" s="53">
        <v>135200</v>
      </c>
      <c r="D58" t="b">
        <f t="shared" si="0"/>
        <v>1</v>
      </c>
    </row>
    <row r="59" spans="1:4" x14ac:dyDescent="0.35">
      <c r="A59" s="52">
        <v>35004</v>
      </c>
      <c r="B59" s="53">
        <v>137000</v>
      </c>
      <c r="C59" s="53">
        <v>137000</v>
      </c>
      <c r="D59" t="b">
        <f t="shared" si="0"/>
        <v>1</v>
      </c>
    </row>
    <row r="60" spans="1:4" x14ac:dyDescent="0.35">
      <c r="A60" s="52">
        <v>35034</v>
      </c>
      <c r="B60" s="53">
        <v>138600</v>
      </c>
      <c r="C60" s="53">
        <v>138600</v>
      </c>
      <c r="D60" t="b">
        <f t="shared" si="0"/>
        <v>1</v>
      </c>
    </row>
    <row r="61" spans="1:4" x14ac:dyDescent="0.35">
      <c r="A61" s="52">
        <v>35065</v>
      </c>
      <c r="B61" s="53">
        <v>131900</v>
      </c>
      <c r="C61" s="53">
        <v>131900</v>
      </c>
      <c r="D61" t="b">
        <f t="shared" si="0"/>
        <v>1</v>
      </c>
    </row>
    <row r="62" spans="1:4" x14ac:dyDescent="0.35">
      <c r="A62" s="52">
        <v>35096</v>
      </c>
      <c r="B62" s="53">
        <v>139400</v>
      </c>
      <c r="C62" s="53">
        <v>139400</v>
      </c>
      <c r="D62" t="b">
        <f t="shared" si="0"/>
        <v>1</v>
      </c>
    </row>
    <row r="63" spans="1:4" x14ac:dyDescent="0.35">
      <c r="A63" s="52">
        <v>35125</v>
      </c>
      <c r="B63" s="53">
        <v>137000</v>
      </c>
      <c r="C63" s="53">
        <v>137000</v>
      </c>
      <c r="D63" t="b">
        <f t="shared" si="0"/>
        <v>1</v>
      </c>
    </row>
    <row r="64" spans="1:4" x14ac:dyDescent="0.35">
      <c r="A64" s="52">
        <v>35156</v>
      </c>
      <c r="B64" s="53">
        <v>140000</v>
      </c>
      <c r="C64" s="53">
        <v>140000</v>
      </c>
      <c r="D64" t="b">
        <f t="shared" si="0"/>
        <v>1</v>
      </c>
    </row>
    <row r="65" spans="1:4" x14ac:dyDescent="0.35">
      <c r="A65" s="52">
        <v>35186</v>
      </c>
      <c r="B65" s="53">
        <v>136500</v>
      </c>
      <c r="C65" s="53">
        <v>136500</v>
      </c>
      <c r="D65" t="b">
        <f t="shared" si="0"/>
        <v>1</v>
      </c>
    </row>
    <row r="66" spans="1:4" x14ac:dyDescent="0.35">
      <c r="A66" s="52">
        <v>35217</v>
      </c>
      <c r="B66" s="53">
        <v>140000</v>
      </c>
      <c r="C66" s="53">
        <v>140000</v>
      </c>
      <c r="D66" t="b">
        <f t="shared" si="0"/>
        <v>1</v>
      </c>
    </row>
    <row r="67" spans="1:4" x14ac:dyDescent="0.35">
      <c r="A67" s="52">
        <v>35247</v>
      </c>
      <c r="B67" s="53">
        <v>144200</v>
      </c>
      <c r="C67" s="53">
        <v>144200</v>
      </c>
      <c r="D67" t="b">
        <f t="shared" si="0"/>
        <v>1</v>
      </c>
    </row>
    <row r="68" spans="1:4" x14ac:dyDescent="0.35">
      <c r="A68" s="52">
        <v>35278</v>
      </c>
      <c r="B68" s="53">
        <v>137000</v>
      </c>
      <c r="C68" s="53">
        <v>137000</v>
      </c>
      <c r="D68" t="b">
        <f t="shared" si="0"/>
        <v>1</v>
      </c>
    </row>
    <row r="69" spans="1:4" x14ac:dyDescent="0.35">
      <c r="A69" s="52">
        <v>35309</v>
      </c>
      <c r="B69" s="53">
        <v>139000</v>
      </c>
      <c r="C69" s="53">
        <v>139000</v>
      </c>
      <c r="D69" t="b">
        <f t="shared" si="0"/>
        <v>1</v>
      </c>
    </row>
    <row r="70" spans="1:4" x14ac:dyDescent="0.35">
      <c r="A70" s="52">
        <v>35339</v>
      </c>
      <c r="B70" s="53">
        <v>143800</v>
      </c>
      <c r="C70" s="53">
        <v>143800</v>
      </c>
      <c r="D70" t="b">
        <f t="shared" si="0"/>
        <v>1</v>
      </c>
    </row>
    <row r="71" spans="1:4" x14ac:dyDescent="0.35">
      <c r="A71" s="52">
        <v>35370</v>
      </c>
      <c r="B71" s="53">
        <v>143500</v>
      </c>
      <c r="C71" s="53">
        <v>143500</v>
      </c>
      <c r="D71" t="b">
        <f t="shared" si="0"/>
        <v>1</v>
      </c>
    </row>
    <row r="72" spans="1:4" x14ac:dyDescent="0.35">
      <c r="A72" s="52">
        <v>35400</v>
      </c>
      <c r="B72" s="53">
        <v>144900</v>
      </c>
      <c r="C72" s="53">
        <v>144900</v>
      </c>
      <c r="D72" t="b">
        <f t="shared" si="0"/>
        <v>1</v>
      </c>
    </row>
    <row r="73" spans="1:4" x14ac:dyDescent="0.35">
      <c r="A73" s="52">
        <v>35431</v>
      </c>
      <c r="B73" s="53">
        <v>145000</v>
      </c>
      <c r="C73" s="53">
        <v>145000</v>
      </c>
      <c r="D73" t="b">
        <f t="shared" si="0"/>
        <v>1</v>
      </c>
    </row>
    <row r="74" spans="1:4" x14ac:dyDescent="0.35">
      <c r="A74" s="52">
        <v>35462</v>
      </c>
      <c r="B74" s="53">
        <v>143000</v>
      </c>
      <c r="C74" s="53">
        <v>143000</v>
      </c>
      <c r="D74" t="b">
        <f t="shared" si="0"/>
        <v>1</v>
      </c>
    </row>
    <row r="75" spans="1:4" x14ac:dyDescent="0.35">
      <c r="A75" s="52">
        <v>35490</v>
      </c>
      <c r="B75" s="53">
        <v>148000</v>
      </c>
      <c r="C75" s="53">
        <v>148000</v>
      </c>
      <c r="D75" t="b">
        <f t="shared" si="0"/>
        <v>1</v>
      </c>
    </row>
    <row r="76" spans="1:4" x14ac:dyDescent="0.35">
      <c r="A76" s="52">
        <v>35521</v>
      </c>
      <c r="B76" s="53">
        <v>150000</v>
      </c>
      <c r="C76" s="53">
        <v>150000</v>
      </c>
      <c r="D76" t="b">
        <f t="shared" si="0"/>
        <v>1</v>
      </c>
    </row>
    <row r="77" spans="1:4" x14ac:dyDescent="0.35">
      <c r="A77" s="52">
        <v>35551</v>
      </c>
      <c r="B77" s="53">
        <v>141000</v>
      </c>
      <c r="C77" s="53">
        <v>141000</v>
      </c>
      <c r="D77" t="b">
        <f t="shared" si="0"/>
        <v>1</v>
      </c>
    </row>
    <row r="78" spans="1:4" x14ac:dyDescent="0.35">
      <c r="A78" s="52">
        <v>35582</v>
      </c>
      <c r="B78" s="53">
        <v>145000</v>
      </c>
      <c r="C78" s="53">
        <v>145000</v>
      </c>
      <c r="D78" t="b">
        <f t="shared" ref="D78:D141" si="1">C78=B78</f>
        <v>1</v>
      </c>
    </row>
    <row r="79" spans="1:4" x14ac:dyDescent="0.35">
      <c r="A79" s="52">
        <v>35612</v>
      </c>
      <c r="B79" s="53">
        <v>145900</v>
      </c>
      <c r="C79" s="53">
        <v>145900</v>
      </c>
      <c r="D79" t="b">
        <f t="shared" si="1"/>
        <v>1</v>
      </c>
    </row>
    <row r="80" spans="1:4" x14ac:dyDescent="0.35">
      <c r="A80" s="52">
        <v>35643</v>
      </c>
      <c r="B80" s="53">
        <v>144000</v>
      </c>
      <c r="C80" s="53">
        <v>144000</v>
      </c>
      <c r="D80" t="b">
        <f t="shared" si="1"/>
        <v>1</v>
      </c>
    </row>
    <row r="81" spans="1:4" x14ac:dyDescent="0.35">
      <c r="A81" s="52">
        <v>35674</v>
      </c>
      <c r="B81" s="53">
        <v>146300</v>
      </c>
      <c r="C81" s="53">
        <v>146300</v>
      </c>
      <c r="D81" t="b">
        <f t="shared" si="1"/>
        <v>1</v>
      </c>
    </row>
    <row r="82" spans="1:4" x14ac:dyDescent="0.35">
      <c r="A82" s="52">
        <v>35704</v>
      </c>
      <c r="B82" s="53">
        <v>141500</v>
      </c>
      <c r="C82" s="53">
        <v>141500</v>
      </c>
      <c r="D82" t="b">
        <f t="shared" si="1"/>
        <v>1</v>
      </c>
    </row>
    <row r="83" spans="1:4" x14ac:dyDescent="0.35">
      <c r="A83" s="52">
        <v>35735</v>
      </c>
      <c r="B83" s="53">
        <v>145000</v>
      </c>
      <c r="C83" s="53">
        <v>145000</v>
      </c>
      <c r="D83" t="b">
        <f t="shared" si="1"/>
        <v>1</v>
      </c>
    </row>
    <row r="84" spans="1:4" x14ac:dyDescent="0.35">
      <c r="A84" s="52">
        <v>35765</v>
      </c>
      <c r="B84" s="53">
        <v>145900</v>
      </c>
      <c r="C84" s="53">
        <v>145900</v>
      </c>
      <c r="D84" t="b">
        <f t="shared" si="1"/>
        <v>1</v>
      </c>
    </row>
    <row r="85" spans="1:4" x14ac:dyDescent="0.35">
      <c r="A85" s="52">
        <v>35796</v>
      </c>
      <c r="B85" s="53">
        <v>148000</v>
      </c>
      <c r="C85" s="53">
        <v>148000</v>
      </c>
      <c r="D85" t="b">
        <f t="shared" si="1"/>
        <v>1</v>
      </c>
    </row>
    <row r="86" spans="1:4" x14ac:dyDescent="0.35">
      <c r="A86" s="52">
        <v>35827</v>
      </c>
      <c r="B86" s="53">
        <v>156000</v>
      </c>
      <c r="C86" s="53">
        <v>156000</v>
      </c>
      <c r="D86" t="b">
        <f t="shared" si="1"/>
        <v>1</v>
      </c>
    </row>
    <row r="87" spans="1:4" x14ac:dyDescent="0.35">
      <c r="A87" s="52">
        <v>35855</v>
      </c>
      <c r="B87" s="53">
        <v>152700</v>
      </c>
      <c r="C87" s="53">
        <v>152700</v>
      </c>
      <c r="D87" t="b">
        <f t="shared" si="1"/>
        <v>1</v>
      </c>
    </row>
    <row r="88" spans="1:4" x14ac:dyDescent="0.35">
      <c r="A88" s="52">
        <v>35886</v>
      </c>
      <c r="B88" s="53">
        <v>148000</v>
      </c>
      <c r="C88" s="53">
        <v>148000</v>
      </c>
      <c r="D88" t="b">
        <f t="shared" si="1"/>
        <v>1</v>
      </c>
    </row>
    <row r="89" spans="1:4" x14ac:dyDescent="0.35">
      <c r="A89" s="52">
        <v>35916</v>
      </c>
      <c r="B89" s="53">
        <v>153200</v>
      </c>
      <c r="C89" s="53">
        <v>153200</v>
      </c>
      <c r="D89" t="b">
        <f t="shared" si="1"/>
        <v>1</v>
      </c>
    </row>
    <row r="90" spans="1:4" x14ac:dyDescent="0.35">
      <c r="A90" s="52">
        <v>35947</v>
      </c>
      <c r="B90" s="53">
        <v>148000</v>
      </c>
      <c r="C90" s="53">
        <v>148000</v>
      </c>
      <c r="D90" t="b">
        <f t="shared" si="1"/>
        <v>1</v>
      </c>
    </row>
    <row r="91" spans="1:4" x14ac:dyDescent="0.35">
      <c r="A91" s="52">
        <v>35977</v>
      </c>
      <c r="B91" s="53">
        <v>149900</v>
      </c>
      <c r="C91" s="53">
        <v>149900</v>
      </c>
      <c r="D91" t="b">
        <f t="shared" si="1"/>
        <v>1</v>
      </c>
    </row>
    <row r="92" spans="1:4" x14ac:dyDescent="0.35">
      <c r="A92" s="52">
        <v>36008</v>
      </c>
      <c r="B92" s="53">
        <v>154900</v>
      </c>
      <c r="C92" s="53">
        <v>154900</v>
      </c>
      <c r="D92" t="b">
        <f t="shared" si="1"/>
        <v>1</v>
      </c>
    </row>
    <row r="93" spans="1:4" x14ac:dyDescent="0.35">
      <c r="A93" s="52">
        <v>36039</v>
      </c>
      <c r="B93" s="53">
        <v>155000</v>
      </c>
      <c r="C93" s="53">
        <v>155000</v>
      </c>
      <c r="D93" t="b">
        <f t="shared" si="1"/>
        <v>1</v>
      </c>
    </row>
    <row r="94" spans="1:4" x14ac:dyDescent="0.35">
      <c r="A94" s="52">
        <v>36069</v>
      </c>
      <c r="B94" s="53">
        <v>154500</v>
      </c>
      <c r="C94" s="53">
        <v>154500</v>
      </c>
      <c r="D94" t="b">
        <f t="shared" si="1"/>
        <v>1</v>
      </c>
    </row>
    <row r="95" spans="1:4" x14ac:dyDescent="0.35">
      <c r="A95" s="52">
        <v>36100</v>
      </c>
      <c r="B95" s="53">
        <v>151000</v>
      </c>
      <c r="C95" s="53">
        <v>151000</v>
      </c>
      <c r="D95" t="b">
        <f t="shared" si="1"/>
        <v>1</v>
      </c>
    </row>
    <row r="96" spans="1:4" x14ac:dyDescent="0.35">
      <c r="A96" s="52">
        <v>36130</v>
      </c>
      <c r="B96" s="53">
        <v>152500</v>
      </c>
      <c r="C96" s="53">
        <v>152500</v>
      </c>
      <c r="D96" t="b">
        <f t="shared" si="1"/>
        <v>1</v>
      </c>
    </row>
    <row r="97" spans="1:4" x14ac:dyDescent="0.35">
      <c r="A97" s="52">
        <v>36161</v>
      </c>
      <c r="B97" s="53">
        <v>153100</v>
      </c>
      <c r="C97" s="53">
        <v>153100</v>
      </c>
      <c r="D97" t="b">
        <f t="shared" si="1"/>
        <v>1</v>
      </c>
    </row>
    <row r="98" spans="1:4" x14ac:dyDescent="0.35">
      <c r="A98" s="52">
        <v>36192</v>
      </c>
      <c r="B98" s="53">
        <v>160000</v>
      </c>
      <c r="C98" s="53">
        <v>160000</v>
      </c>
      <c r="D98" t="b">
        <f t="shared" si="1"/>
        <v>1</v>
      </c>
    </row>
    <row r="99" spans="1:4" x14ac:dyDescent="0.35">
      <c r="A99" s="52">
        <v>36220</v>
      </c>
      <c r="B99" s="53">
        <v>157300</v>
      </c>
      <c r="C99" s="53">
        <v>157300</v>
      </c>
      <c r="D99" t="b">
        <f t="shared" si="1"/>
        <v>1</v>
      </c>
    </row>
    <row r="100" spans="1:4" x14ac:dyDescent="0.35">
      <c r="A100" s="52">
        <v>36251</v>
      </c>
      <c r="B100" s="53">
        <v>159900</v>
      </c>
      <c r="C100" s="53">
        <v>159900</v>
      </c>
      <c r="D100" t="b">
        <f t="shared" si="1"/>
        <v>1</v>
      </c>
    </row>
    <row r="101" spans="1:4" x14ac:dyDescent="0.35">
      <c r="A101" s="52">
        <v>36281</v>
      </c>
      <c r="B101" s="53">
        <v>154400</v>
      </c>
      <c r="C101" s="53">
        <v>154400</v>
      </c>
      <c r="D101" t="b">
        <f t="shared" si="1"/>
        <v>1</v>
      </c>
    </row>
    <row r="102" spans="1:4" x14ac:dyDescent="0.35">
      <c r="A102" s="52">
        <v>36312</v>
      </c>
      <c r="B102" s="53">
        <v>159300</v>
      </c>
      <c r="C102" s="53">
        <v>159300</v>
      </c>
      <c r="D102" t="b">
        <f t="shared" si="1"/>
        <v>1</v>
      </c>
    </row>
    <row r="103" spans="1:4" x14ac:dyDescent="0.35">
      <c r="A103" s="52">
        <v>36342</v>
      </c>
      <c r="B103" s="53">
        <v>158200</v>
      </c>
      <c r="C103" s="53">
        <v>158200</v>
      </c>
      <c r="D103" t="b">
        <f t="shared" si="1"/>
        <v>1</v>
      </c>
    </row>
    <row r="104" spans="1:4" x14ac:dyDescent="0.35">
      <c r="A104" s="52">
        <v>36373</v>
      </c>
      <c r="B104" s="53">
        <v>154800</v>
      </c>
      <c r="C104" s="53">
        <v>154800</v>
      </c>
      <c r="D104" t="b">
        <f t="shared" si="1"/>
        <v>1</v>
      </c>
    </row>
    <row r="105" spans="1:4" x14ac:dyDescent="0.35">
      <c r="A105" s="52">
        <v>36404</v>
      </c>
      <c r="B105" s="53">
        <v>163200</v>
      </c>
      <c r="C105" s="53">
        <v>163200</v>
      </c>
      <c r="D105" t="b">
        <f t="shared" si="1"/>
        <v>1</v>
      </c>
    </row>
    <row r="106" spans="1:4" x14ac:dyDescent="0.35">
      <c r="A106" s="52">
        <v>36434</v>
      </c>
      <c r="B106" s="53">
        <v>161100</v>
      </c>
      <c r="C106" s="53">
        <v>161100</v>
      </c>
      <c r="D106" t="b">
        <f t="shared" si="1"/>
        <v>1</v>
      </c>
    </row>
    <row r="107" spans="1:4" x14ac:dyDescent="0.35">
      <c r="A107" s="52">
        <v>36465</v>
      </c>
      <c r="B107" s="53">
        <v>172000</v>
      </c>
      <c r="C107" s="53">
        <v>172000</v>
      </c>
      <c r="D107" t="b">
        <f t="shared" si="1"/>
        <v>1</v>
      </c>
    </row>
    <row r="108" spans="1:4" x14ac:dyDescent="0.35">
      <c r="A108" s="52">
        <v>36495</v>
      </c>
      <c r="B108" s="53">
        <v>164800</v>
      </c>
      <c r="C108" s="53">
        <v>164800</v>
      </c>
      <c r="D108" t="b">
        <f t="shared" si="1"/>
        <v>1</v>
      </c>
    </row>
    <row r="109" spans="1:4" x14ac:dyDescent="0.35">
      <c r="A109" s="52">
        <v>36526</v>
      </c>
      <c r="B109" s="53">
        <v>163500</v>
      </c>
      <c r="C109" s="53">
        <v>163500</v>
      </c>
      <c r="D109" t="b">
        <f t="shared" si="1"/>
        <v>1</v>
      </c>
    </row>
    <row r="110" spans="1:4" x14ac:dyDescent="0.35">
      <c r="A110" s="52">
        <v>36557</v>
      </c>
      <c r="B110" s="53">
        <v>162400</v>
      </c>
      <c r="C110" s="53">
        <v>162400</v>
      </c>
      <c r="D110" t="b">
        <f t="shared" si="1"/>
        <v>1</v>
      </c>
    </row>
    <row r="111" spans="1:4" x14ac:dyDescent="0.35">
      <c r="A111" s="52">
        <v>36586</v>
      </c>
      <c r="B111" s="53">
        <v>165100</v>
      </c>
      <c r="C111" s="53">
        <v>165100</v>
      </c>
      <c r="D111" t="b">
        <f t="shared" si="1"/>
        <v>1</v>
      </c>
    </row>
    <row r="112" spans="1:4" x14ac:dyDescent="0.35">
      <c r="A112" s="52">
        <v>36617</v>
      </c>
      <c r="B112" s="53">
        <v>162600</v>
      </c>
      <c r="C112" s="53">
        <v>162600</v>
      </c>
      <c r="D112" t="b">
        <f t="shared" si="1"/>
        <v>1</v>
      </c>
    </row>
    <row r="113" spans="1:4" x14ac:dyDescent="0.35">
      <c r="A113" s="52">
        <v>36647</v>
      </c>
      <c r="B113" s="53">
        <v>164700</v>
      </c>
      <c r="C113" s="53">
        <v>164700</v>
      </c>
      <c r="D113" t="b">
        <f t="shared" si="1"/>
        <v>1</v>
      </c>
    </row>
    <row r="114" spans="1:4" x14ac:dyDescent="0.35">
      <c r="A114" s="52">
        <v>36678</v>
      </c>
      <c r="B114" s="53">
        <v>160100</v>
      </c>
      <c r="C114" s="53">
        <v>160100</v>
      </c>
      <c r="D114" t="b">
        <f t="shared" si="1"/>
        <v>1</v>
      </c>
    </row>
    <row r="115" spans="1:4" x14ac:dyDescent="0.35">
      <c r="A115" s="52">
        <v>36708</v>
      </c>
      <c r="B115" s="53">
        <v>169000</v>
      </c>
      <c r="C115" s="53">
        <v>169000</v>
      </c>
      <c r="D115" t="b">
        <f t="shared" si="1"/>
        <v>1</v>
      </c>
    </row>
    <row r="116" spans="1:4" x14ac:dyDescent="0.35">
      <c r="A116" s="52">
        <v>36739</v>
      </c>
      <c r="B116" s="53">
        <v>166600</v>
      </c>
      <c r="C116" s="53">
        <v>166600</v>
      </c>
      <c r="D116" t="b">
        <f t="shared" si="1"/>
        <v>1</v>
      </c>
    </row>
    <row r="117" spans="1:4" x14ac:dyDescent="0.35">
      <c r="A117" s="52">
        <v>36770</v>
      </c>
      <c r="B117" s="53">
        <v>171500</v>
      </c>
      <c r="C117" s="53">
        <v>171500</v>
      </c>
      <c r="D117" t="b">
        <f t="shared" si="1"/>
        <v>1</v>
      </c>
    </row>
    <row r="118" spans="1:4" x14ac:dyDescent="0.35">
      <c r="A118" s="52">
        <v>36800</v>
      </c>
      <c r="B118" s="53">
        <v>176300</v>
      </c>
      <c r="C118" s="53">
        <v>176300</v>
      </c>
      <c r="D118" t="b">
        <f t="shared" si="1"/>
        <v>1</v>
      </c>
    </row>
    <row r="119" spans="1:4" x14ac:dyDescent="0.35">
      <c r="A119" s="52">
        <v>36831</v>
      </c>
      <c r="B119" s="53">
        <v>174700</v>
      </c>
      <c r="C119" s="53">
        <v>174700</v>
      </c>
      <c r="D119" t="b">
        <f t="shared" si="1"/>
        <v>1</v>
      </c>
    </row>
    <row r="120" spans="1:4" x14ac:dyDescent="0.35">
      <c r="A120" s="52">
        <v>36861</v>
      </c>
      <c r="B120" s="53">
        <v>162000</v>
      </c>
      <c r="C120" s="53">
        <v>162000</v>
      </c>
      <c r="D120" t="b">
        <f t="shared" si="1"/>
        <v>1</v>
      </c>
    </row>
    <row r="121" spans="1:4" x14ac:dyDescent="0.35">
      <c r="A121" s="52">
        <v>36892</v>
      </c>
      <c r="B121" s="53">
        <v>171300</v>
      </c>
      <c r="C121" s="53">
        <v>171300</v>
      </c>
      <c r="D121" t="b">
        <f t="shared" si="1"/>
        <v>1</v>
      </c>
    </row>
    <row r="122" spans="1:4" x14ac:dyDescent="0.35">
      <c r="A122" s="52">
        <v>36923</v>
      </c>
      <c r="B122" s="53">
        <v>169100</v>
      </c>
      <c r="C122" s="53">
        <v>169100</v>
      </c>
      <c r="D122" t="b">
        <f t="shared" si="1"/>
        <v>1</v>
      </c>
    </row>
    <row r="123" spans="1:4" x14ac:dyDescent="0.35">
      <c r="A123" s="52">
        <v>36951</v>
      </c>
      <c r="B123" s="53">
        <v>166300</v>
      </c>
      <c r="C123" s="53">
        <v>166300</v>
      </c>
      <c r="D123" t="b">
        <f t="shared" si="1"/>
        <v>1</v>
      </c>
    </row>
    <row r="124" spans="1:4" x14ac:dyDescent="0.35">
      <c r="A124" s="52">
        <v>36982</v>
      </c>
      <c r="B124" s="53">
        <v>175200</v>
      </c>
      <c r="C124" s="53">
        <v>175200</v>
      </c>
      <c r="D124" t="b">
        <f t="shared" si="1"/>
        <v>1</v>
      </c>
    </row>
    <row r="125" spans="1:4" x14ac:dyDescent="0.35">
      <c r="A125" s="52">
        <v>37012</v>
      </c>
      <c r="B125" s="53">
        <v>175300</v>
      </c>
      <c r="C125" s="53">
        <v>175300</v>
      </c>
      <c r="D125" t="b">
        <f t="shared" si="1"/>
        <v>1</v>
      </c>
    </row>
    <row r="126" spans="1:4" x14ac:dyDescent="0.35">
      <c r="A126" s="52">
        <v>37043</v>
      </c>
      <c r="B126" s="53">
        <v>179400</v>
      </c>
      <c r="C126" s="53">
        <v>179400</v>
      </c>
      <c r="D126" t="b">
        <f t="shared" si="1"/>
        <v>1</v>
      </c>
    </row>
    <row r="127" spans="1:4" x14ac:dyDescent="0.35">
      <c r="A127" s="52">
        <v>37073</v>
      </c>
      <c r="B127" s="53">
        <v>175000</v>
      </c>
      <c r="C127" s="53">
        <v>175000</v>
      </c>
      <c r="D127" t="b">
        <f t="shared" si="1"/>
        <v>1</v>
      </c>
    </row>
    <row r="128" spans="1:4" x14ac:dyDescent="0.35">
      <c r="A128" s="52">
        <v>37104</v>
      </c>
      <c r="B128" s="53">
        <v>173700</v>
      </c>
      <c r="C128" s="53">
        <v>173700</v>
      </c>
      <c r="D128" t="b">
        <f t="shared" si="1"/>
        <v>1</v>
      </c>
    </row>
    <row r="129" spans="1:4" x14ac:dyDescent="0.35">
      <c r="A129" s="52">
        <v>37135</v>
      </c>
      <c r="B129" s="53">
        <v>166400</v>
      </c>
      <c r="C129" s="53">
        <v>166400</v>
      </c>
      <c r="D129" t="b">
        <f t="shared" si="1"/>
        <v>1</v>
      </c>
    </row>
    <row r="130" spans="1:4" x14ac:dyDescent="0.35">
      <c r="A130" s="52">
        <v>37165</v>
      </c>
      <c r="B130" s="53">
        <v>171300</v>
      </c>
      <c r="C130" s="53">
        <v>171300</v>
      </c>
      <c r="D130" t="b">
        <f t="shared" si="1"/>
        <v>1</v>
      </c>
    </row>
    <row r="131" spans="1:4" x14ac:dyDescent="0.35">
      <c r="A131" s="52">
        <v>37196</v>
      </c>
      <c r="B131" s="53">
        <v>168100</v>
      </c>
      <c r="C131" s="53">
        <v>168100</v>
      </c>
      <c r="D131" t="b">
        <f t="shared" si="1"/>
        <v>1</v>
      </c>
    </row>
    <row r="132" spans="1:4" x14ac:dyDescent="0.35">
      <c r="A132" s="52">
        <v>37226</v>
      </c>
      <c r="B132" s="53">
        <v>180200</v>
      </c>
      <c r="C132" s="53">
        <v>180200</v>
      </c>
      <c r="D132" t="b">
        <f t="shared" si="1"/>
        <v>1</v>
      </c>
    </row>
    <row r="133" spans="1:4" x14ac:dyDescent="0.35">
      <c r="A133" s="52">
        <v>37257</v>
      </c>
      <c r="B133" s="53">
        <v>187100</v>
      </c>
      <c r="C133" s="53">
        <v>187100</v>
      </c>
      <c r="D133" t="b">
        <f t="shared" si="1"/>
        <v>1</v>
      </c>
    </row>
    <row r="134" spans="1:4" x14ac:dyDescent="0.35">
      <c r="A134" s="52">
        <v>37288</v>
      </c>
      <c r="B134" s="53">
        <v>191100</v>
      </c>
      <c r="C134" s="53">
        <v>191100</v>
      </c>
      <c r="D134" t="b">
        <f t="shared" si="1"/>
        <v>1</v>
      </c>
    </row>
    <row r="135" spans="1:4" x14ac:dyDescent="0.35">
      <c r="A135" s="52">
        <v>37316</v>
      </c>
      <c r="B135" s="53">
        <v>183400</v>
      </c>
      <c r="C135" s="53">
        <v>183400</v>
      </c>
      <c r="D135" t="b">
        <f t="shared" si="1"/>
        <v>1</v>
      </c>
    </row>
    <row r="136" spans="1:4" x14ac:dyDescent="0.35">
      <c r="A136" s="52">
        <v>37347</v>
      </c>
      <c r="B136" s="53">
        <v>187100</v>
      </c>
      <c r="C136" s="53">
        <v>187100</v>
      </c>
      <c r="D136" t="b">
        <f t="shared" si="1"/>
        <v>1</v>
      </c>
    </row>
    <row r="137" spans="1:4" x14ac:dyDescent="0.35">
      <c r="A137" s="52">
        <v>37377</v>
      </c>
      <c r="B137" s="53">
        <v>181000</v>
      </c>
      <c r="C137" s="53">
        <v>181000</v>
      </c>
      <c r="D137" t="b">
        <f t="shared" si="1"/>
        <v>1</v>
      </c>
    </row>
    <row r="138" spans="1:4" x14ac:dyDescent="0.35">
      <c r="A138" s="52">
        <v>37408</v>
      </c>
      <c r="B138" s="53">
        <v>190600</v>
      </c>
      <c r="C138" s="53">
        <v>190600</v>
      </c>
      <c r="D138" t="b">
        <f t="shared" si="1"/>
        <v>1</v>
      </c>
    </row>
    <row r="139" spans="1:4" x14ac:dyDescent="0.35">
      <c r="A139" s="52">
        <v>37438</v>
      </c>
      <c r="B139" s="53">
        <v>175600</v>
      </c>
      <c r="C139" s="53">
        <v>175600</v>
      </c>
      <c r="D139" t="b">
        <f t="shared" si="1"/>
        <v>1</v>
      </c>
    </row>
    <row r="140" spans="1:4" x14ac:dyDescent="0.35">
      <c r="A140" s="52">
        <v>37469</v>
      </c>
      <c r="B140" s="53">
        <v>178900</v>
      </c>
      <c r="C140" s="53">
        <v>178900</v>
      </c>
      <c r="D140" t="b">
        <f t="shared" si="1"/>
        <v>1</v>
      </c>
    </row>
    <row r="141" spans="1:4" x14ac:dyDescent="0.35">
      <c r="A141" s="52">
        <v>37500</v>
      </c>
      <c r="B141" s="53">
        <v>177500</v>
      </c>
      <c r="C141" s="53">
        <v>177500</v>
      </c>
      <c r="D141" t="b">
        <f t="shared" si="1"/>
        <v>1</v>
      </c>
    </row>
    <row r="142" spans="1:4" x14ac:dyDescent="0.35">
      <c r="A142" s="52">
        <v>37530</v>
      </c>
      <c r="B142" s="53">
        <v>189200</v>
      </c>
      <c r="C142" s="53">
        <v>189200</v>
      </c>
      <c r="D142" t="b">
        <f t="shared" ref="D142:D205" si="2">C142=B142</f>
        <v>1</v>
      </c>
    </row>
    <row r="143" spans="1:4" x14ac:dyDescent="0.35">
      <c r="A143" s="52">
        <v>37561</v>
      </c>
      <c r="B143" s="53">
        <v>181200</v>
      </c>
      <c r="C143" s="53">
        <v>181200</v>
      </c>
      <c r="D143" t="b">
        <f t="shared" si="2"/>
        <v>1</v>
      </c>
    </row>
    <row r="144" spans="1:4" x14ac:dyDescent="0.35">
      <c r="A144" s="52">
        <v>37591</v>
      </c>
      <c r="B144" s="53">
        <v>197600</v>
      </c>
      <c r="C144" s="53">
        <v>197600</v>
      </c>
      <c r="D144" t="b">
        <f t="shared" si="2"/>
        <v>1</v>
      </c>
    </row>
    <row r="145" spans="1:4" x14ac:dyDescent="0.35">
      <c r="A145" s="52">
        <v>37622</v>
      </c>
      <c r="B145" s="53">
        <v>181700</v>
      </c>
      <c r="C145" s="53">
        <v>181700</v>
      </c>
      <c r="D145" t="b">
        <f t="shared" si="2"/>
        <v>1</v>
      </c>
    </row>
    <row r="146" spans="1:4" x14ac:dyDescent="0.35">
      <c r="A146" s="52">
        <v>37653</v>
      </c>
      <c r="B146" s="53">
        <v>187000</v>
      </c>
      <c r="C146" s="53">
        <v>187000</v>
      </c>
      <c r="D146" t="b">
        <f t="shared" si="2"/>
        <v>1</v>
      </c>
    </row>
    <row r="147" spans="1:4" x14ac:dyDescent="0.35">
      <c r="A147" s="52">
        <v>37681</v>
      </c>
      <c r="B147" s="53">
        <v>185100</v>
      </c>
      <c r="C147" s="53">
        <v>185100</v>
      </c>
      <c r="D147" t="b">
        <f t="shared" si="2"/>
        <v>1</v>
      </c>
    </row>
    <row r="148" spans="1:4" x14ac:dyDescent="0.35">
      <c r="A148" s="52">
        <v>37712</v>
      </c>
      <c r="B148" s="53">
        <v>189500</v>
      </c>
      <c r="C148" s="53">
        <v>189500</v>
      </c>
      <c r="D148" t="b">
        <f t="shared" si="2"/>
        <v>1</v>
      </c>
    </row>
    <row r="149" spans="1:4" x14ac:dyDescent="0.35">
      <c r="A149" s="52">
        <v>37742</v>
      </c>
      <c r="B149" s="53">
        <v>195500</v>
      </c>
      <c r="C149" s="53">
        <v>195500</v>
      </c>
      <c r="D149" t="b">
        <f t="shared" si="2"/>
        <v>1</v>
      </c>
    </row>
    <row r="150" spans="1:4" x14ac:dyDescent="0.35">
      <c r="A150" s="52">
        <v>37773</v>
      </c>
      <c r="B150" s="53">
        <v>187900</v>
      </c>
      <c r="C150" s="53">
        <v>187900</v>
      </c>
      <c r="D150" t="b">
        <f t="shared" si="2"/>
        <v>1</v>
      </c>
    </row>
    <row r="151" spans="1:4" x14ac:dyDescent="0.35">
      <c r="A151" s="52">
        <v>37803</v>
      </c>
      <c r="B151" s="53">
        <v>190200</v>
      </c>
      <c r="C151" s="53">
        <v>190200</v>
      </c>
      <c r="D151" t="b">
        <f t="shared" si="2"/>
        <v>1</v>
      </c>
    </row>
    <row r="152" spans="1:4" x14ac:dyDescent="0.35">
      <c r="A152" s="52">
        <v>37834</v>
      </c>
      <c r="B152" s="53">
        <v>190500</v>
      </c>
      <c r="C152" s="53">
        <v>190500</v>
      </c>
      <c r="D152" t="b">
        <f t="shared" si="2"/>
        <v>1</v>
      </c>
    </row>
    <row r="153" spans="1:4" x14ac:dyDescent="0.35">
      <c r="A153" s="52">
        <v>37865</v>
      </c>
      <c r="B153" s="53">
        <v>192000</v>
      </c>
      <c r="C153" s="53">
        <v>192000</v>
      </c>
      <c r="D153" t="b">
        <f t="shared" si="2"/>
        <v>1</v>
      </c>
    </row>
    <row r="154" spans="1:4" x14ac:dyDescent="0.35">
      <c r="A154" s="52">
        <v>37895</v>
      </c>
      <c r="B154" s="53">
        <v>194100</v>
      </c>
      <c r="C154" s="53">
        <v>194100</v>
      </c>
      <c r="D154" t="b">
        <f t="shared" si="2"/>
        <v>1</v>
      </c>
    </row>
    <row r="155" spans="1:4" x14ac:dyDescent="0.35">
      <c r="A155" s="52">
        <v>37926</v>
      </c>
      <c r="B155" s="53">
        <v>207100</v>
      </c>
      <c r="C155" s="53">
        <v>207100</v>
      </c>
      <c r="D155" t="b">
        <f t="shared" si="2"/>
        <v>1</v>
      </c>
    </row>
    <row r="156" spans="1:4" x14ac:dyDescent="0.35">
      <c r="A156" s="52">
        <v>37956</v>
      </c>
      <c r="B156" s="53">
        <v>196000</v>
      </c>
      <c r="C156" s="53">
        <v>196000</v>
      </c>
      <c r="D156" t="b">
        <f t="shared" si="2"/>
        <v>1</v>
      </c>
    </row>
    <row r="157" spans="1:4" x14ac:dyDescent="0.35">
      <c r="A157" s="52">
        <v>37987</v>
      </c>
      <c r="B157" s="53">
        <v>209500</v>
      </c>
      <c r="C157" s="53">
        <v>209500</v>
      </c>
      <c r="D157" t="b">
        <f t="shared" si="2"/>
        <v>1</v>
      </c>
    </row>
    <row r="158" spans="1:4" x14ac:dyDescent="0.35">
      <c r="A158" s="52">
        <v>38018</v>
      </c>
      <c r="B158" s="53">
        <v>219600</v>
      </c>
      <c r="C158" s="53">
        <v>219600</v>
      </c>
      <c r="D158" t="b">
        <f t="shared" si="2"/>
        <v>1</v>
      </c>
    </row>
    <row r="159" spans="1:4" x14ac:dyDescent="0.35">
      <c r="A159" s="52">
        <v>38047</v>
      </c>
      <c r="B159" s="53">
        <v>209600</v>
      </c>
      <c r="C159" s="53">
        <v>209600</v>
      </c>
      <c r="D159" t="b">
        <f t="shared" si="2"/>
        <v>1</v>
      </c>
    </row>
    <row r="160" spans="1:4" x14ac:dyDescent="0.35">
      <c r="A160" s="52">
        <v>38078</v>
      </c>
      <c r="B160" s="53">
        <v>222300</v>
      </c>
      <c r="C160" s="53">
        <v>222300</v>
      </c>
      <c r="D160" t="b">
        <f t="shared" si="2"/>
        <v>1</v>
      </c>
    </row>
    <row r="161" spans="1:4" x14ac:dyDescent="0.35">
      <c r="A161" s="52">
        <v>38108</v>
      </c>
      <c r="B161" s="53">
        <v>211700</v>
      </c>
      <c r="C161" s="53">
        <v>211700</v>
      </c>
      <c r="D161" t="b">
        <f t="shared" si="2"/>
        <v>1</v>
      </c>
    </row>
    <row r="162" spans="1:4" x14ac:dyDescent="0.35">
      <c r="A162" s="52">
        <v>38139</v>
      </c>
      <c r="B162" s="53">
        <v>215700</v>
      </c>
      <c r="C162" s="53">
        <v>215700</v>
      </c>
      <c r="D162" t="b">
        <f t="shared" si="2"/>
        <v>1</v>
      </c>
    </row>
    <row r="163" spans="1:4" x14ac:dyDescent="0.35">
      <c r="A163" s="52">
        <v>38169</v>
      </c>
      <c r="B163" s="53">
        <v>212400</v>
      </c>
      <c r="C163" s="53">
        <v>212400</v>
      </c>
      <c r="D163" t="b">
        <f t="shared" si="2"/>
        <v>1</v>
      </c>
    </row>
    <row r="164" spans="1:4" x14ac:dyDescent="0.35">
      <c r="A164" s="52">
        <v>38200</v>
      </c>
      <c r="B164" s="53">
        <v>218100</v>
      </c>
      <c r="C164" s="53">
        <v>218100</v>
      </c>
      <c r="D164" t="b">
        <f t="shared" si="2"/>
        <v>1</v>
      </c>
    </row>
    <row r="165" spans="1:4" x14ac:dyDescent="0.35">
      <c r="A165" s="52">
        <v>38231</v>
      </c>
      <c r="B165" s="53">
        <v>211600</v>
      </c>
      <c r="C165" s="53">
        <v>211600</v>
      </c>
      <c r="D165" t="b">
        <f t="shared" si="2"/>
        <v>1</v>
      </c>
    </row>
    <row r="166" spans="1:4" x14ac:dyDescent="0.35">
      <c r="A166" s="52">
        <v>38261</v>
      </c>
      <c r="B166" s="53">
        <v>229200</v>
      </c>
      <c r="C166" s="53">
        <v>229200</v>
      </c>
      <c r="D166" t="b">
        <f t="shared" si="2"/>
        <v>1</v>
      </c>
    </row>
    <row r="167" spans="1:4" x14ac:dyDescent="0.35">
      <c r="A167" s="52">
        <v>38292</v>
      </c>
      <c r="B167" s="53">
        <v>224500</v>
      </c>
      <c r="C167" s="53">
        <v>224500</v>
      </c>
      <c r="D167" t="b">
        <f t="shared" si="2"/>
        <v>1</v>
      </c>
    </row>
    <row r="168" spans="1:4" x14ac:dyDescent="0.35">
      <c r="A168" s="52">
        <v>38322</v>
      </c>
      <c r="B168" s="53">
        <v>229600</v>
      </c>
      <c r="C168" s="53">
        <v>229600</v>
      </c>
      <c r="D168" t="b">
        <f t="shared" si="2"/>
        <v>1</v>
      </c>
    </row>
    <row r="169" spans="1:4" x14ac:dyDescent="0.35">
      <c r="A169" s="52">
        <v>38353</v>
      </c>
      <c r="B169" s="53">
        <v>223100</v>
      </c>
      <c r="C169" s="53">
        <v>223100</v>
      </c>
      <c r="D169" t="b">
        <f t="shared" si="2"/>
        <v>1</v>
      </c>
    </row>
    <row r="170" spans="1:4" x14ac:dyDescent="0.35">
      <c r="A170" s="52">
        <v>38384</v>
      </c>
      <c r="B170" s="53">
        <v>237300</v>
      </c>
      <c r="C170" s="53">
        <v>237300</v>
      </c>
      <c r="D170" t="b">
        <f t="shared" si="2"/>
        <v>1</v>
      </c>
    </row>
    <row r="171" spans="1:4" x14ac:dyDescent="0.35">
      <c r="A171" s="52">
        <v>38412</v>
      </c>
      <c r="B171" s="53">
        <v>229300</v>
      </c>
      <c r="C171" s="53">
        <v>229300</v>
      </c>
      <c r="D171" t="b">
        <f t="shared" si="2"/>
        <v>1</v>
      </c>
    </row>
    <row r="172" spans="1:4" x14ac:dyDescent="0.35">
      <c r="A172" s="52">
        <v>38443</v>
      </c>
      <c r="B172" s="53">
        <v>236300</v>
      </c>
      <c r="C172" s="53">
        <v>236300</v>
      </c>
      <c r="D172" t="b">
        <f t="shared" si="2"/>
        <v>1</v>
      </c>
    </row>
    <row r="173" spans="1:4" x14ac:dyDescent="0.35">
      <c r="A173" s="52">
        <v>38473</v>
      </c>
      <c r="B173" s="53">
        <v>228300</v>
      </c>
      <c r="C173" s="53">
        <v>228300</v>
      </c>
      <c r="D173" t="b">
        <f t="shared" si="2"/>
        <v>1</v>
      </c>
    </row>
    <row r="174" spans="1:4" x14ac:dyDescent="0.35">
      <c r="A174" s="52">
        <v>38504</v>
      </c>
      <c r="B174" s="53">
        <v>226100</v>
      </c>
      <c r="C174" s="53">
        <v>226100</v>
      </c>
      <c r="D174" t="b">
        <f t="shared" si="2"/>
        <v>1</v>
      </c>
    </row>
    <row r="175" spans="1:4" x14ac:dyDescent="0.35">
      <c r="A175" s="52">
        <v>38534</v>
      </c>
      <c r="B175" s="53">
        <v>229200</v>
      </c>
      <c r="C175" s="53">
        <v>229200</v>
      </c>
      <c r="D175" t="b">
        <f t="shared" si="2"/>
        <v>1</v>
      </c>
    </row>
    <row r="176" spans="1:4" x14ac:dyDescent="0.35">
      <c r="A176" s="52">
        <v>38565</v>
      </c>
      <c r="B176" s="53">
        <v>240100</v>
      </c>
      <c r="C176" s="53">
        <v>240100</v>
      </c>
      <c r="D176" t="b">
        <f t="shared" si="2"/>
        <v>1</v>
      </c>
    </row>
    <row r="177" spans="1:4" x14ac:dyDescent="0.35">
      <c r="A177" s="52">
        <v>38596</v>
      </c>
      <c r="B177" s="53">
        <v>240400</v>
      </c>
      <c r="C177" s="53">
        <v>240400</v>
      </c>
      <c r="D177" t="b">
        <f t="shared" si="2"/>
        <v>1</v>
      </c>
    </row>
    <row r="178" spans="1:4" x14ac:dyDescent="0.35">
      <c r="A178" s="52">
        <v>38626</v>
      </c>
      <c r="B178" s="53">
        <v>243900</v>
      </c>
      <c r="C178" s="53">
        <v>243900</v>
      </c>
      <c r="D178" t="b">
        <f t="shared" si="2"/>
        <v>1</v>
      </c>
    </row>
    <row r="179" spans="1:4" x14ac:dyDescent="0.35">
      <c r="A179" s="52">
        <v>38657</v>
      </c>
      <c r="B179" s="53">
        <v>237900</v>
      </c>
      <c r="C179" s="53">
        <v>237900</v>
      </c>
      <c r="D179" t="b">
        <f t="shared" si="2"/>
        <v>1</v>
      </c>
    </row>
    <row r="180" spans="1:4" x14ac:dyDescent="0.35">
      <c r="A180" s="52">
        <v>38687</v>
      </c>
      <c r="B180" s="53">
        <v>238600</v>
      </c>
      <c r="C180" s="53">
        <v>238600</v>
      </c>
      <c r="D180" t="b">
        <f t="shared" si="2"/>
        <v>1</v>
      </c>
    </row>
    <row r="181" spans="1:4" x14ac:dyDescent="0.35">
      <c r="A181" s="52">
        <v>38718</v>
      </c>
      <c r="B181" s="53">
        <v>244900</v>
      </c>
      <c r="C181" s="53">
        <v>244900</v>
      </c>
      <c r="D181" t="b">
        <f t="shared" si="2"/>
        <v>1</v>
      </c>
    </row>
    <row r="182" spans="1:4" x14ac:dyDescent="0.35">
      <c r="A182" s="52">
        <v>38749</v>
      </c>
      <c r="B182" s="53">
        <v>250800</v>
      </c>
      <c r="C182" s="53">
        <v>250800</v>
      </c>
      <c r="D182" t="b">
        <f t="shared" si="2"/>
        <v>1</v>
      </c>
    </row>
    <row r="183" spans="1:4" x14ac:dyDescent="0.35">
      <c r="A183" s="52">
        <v>38777</v>
      </c>
      <c r="B183" s="53">
        <v>238800</v>
      </c>
      <c r="C183" s="53">
        <v>238800</v>
      </c>
      <c r="D183" t="b">
        <f t="shared" si="2"/>
        <v>1</v>
      </c>
    </row>
    <row r="184" spans="1:4" x14ac:dyDescent="0.35">
      <c r="A184" s="52">
        <v>38808</v>
      </c>
      <c r="B184" s="53">
        <v>257000</v>
      </c>
      <c r="C184" s="53">
        <v>257000</v>
      </c>
      <c r="D184" t="b">
        <f t="shared" si="2"/>
        <v>1</v>
      </c>
    </row>
    <row r="185" spans="1:4" x14ac:dyDescent="0.35">
      <c r="A185" s="52">
        <v>38838</v>
      </c>
      <c r="B185" s="53">
        <v>238200</v>
      </c>
      <c r="C185" s="53">
        <v>238200</v>
      </c>
      <c r="D185" t="b">
        <f t="shared" si="2"/>
        <v>1</v>
      </c>
    </row>
    <row r="186" spans="1:4" x14ac:dyDescent="0.35">
      <c r="A186" s="52">
        <v>38869</v>
      </c>
      <c r="B186" s="53">
        <v>243200</v>
      </c>
      <c r="C186" s="53">
        <v>243200</v>
      </c>
      <c r="D186" t="b">
        <f t="shared" si="2"/>
        <v>1</v>
      </c>
    </row>
    <row r="187" spans="1:4" x14ac:dyDescent="0.35">
      <c r="A187" s="52">
        <v>38899</v>
      </c>
      <c r="B187" s="53">
        <v>238100</v>
      </c>
      <c r="C187" s="53">
        <v>238100</v>
      </c>
      <c r="D187" t="b">
        <f t="shared" si="2"/>
        <v>1</v>
      </c>
    </row>
    <row r="188" spans="1:4" x14ac:dyDescent="0.35">
      <c r="A188" s="52">
        <v>38930</v>
      </c>
      <c r="B188" s="53">
        <v>243900</v>
      </c>
      <c r="C188" s="53">
        <v>243900</v>
      </c>
      <c r="D188" t="b">
        <f t="shared" si="2"/>
        <v>1</v>
      </c>
    </row>
    <row r="189" spans="1:4" x14ac:dyDescent="0.35">
      <c r="A189" s="52">
        <v>38961</v>
      </c>
      <c r="B189" s="53">
        <v>226700</v>
      </c>
      <c r="C189" s="53">
        <v>226700</v>
      </c>
      <c r="D189" t="b">
        <f t="shared" si="2"/>
        <v>1</v>
      </c>
    </row>
    <row r="190" spans="1:4" x14ac:dyDescent="0.35">
      <c r="A190" s="52">
        <v>38991</v>
      </c>
      <c r="B190" s="53">
        <v>250400</v>
      </c>
      <c r="C190" s="53">
        <v>250400</v>
      </c>
      <c r="D190" t="b">
        <f t="shared" si="2"/>
        <v>1</v>
      </c>
    </row>
    <row r="191" spans="1:4" x14ac:dyDescent="0.35">
      <c r="A191" s="52">
        <v>39022</v>
      </c>
      <c r="B191" s="53">
        <v>240100</v>
      </c>
      <c r="C191" s="53">
        <v>240100</v>
      </c>
      <c r="D191" t="b">
        <f t="shared" si="2"/>
        <v>1</v>
      </c>
    </row>
    <row r="192" spans="1:4" x14ac:dyDescent="0.35">
      <c r="A192" s="52">
        <v>39052</v>
      </c>
      <c r="B192" s="53">
        <v>244700</v>
      </c>
      <c r="C192" s="53">
        <v>244700</v>
      </c>
      <c r="D192" t="b">
        <f t="shared" si="2"/>
        <v>1</v>
      </c>
    </row>
    <row r="193" spans="1:4" x14ac:dyDescent="0.35">
      <c r="A193" s="52">
        <v>39083</v>
      </c>
      <c r="B193" s="53">
        <v>254400</v>
      </c>
      <c r="C193" s="53">
        <v>254400</v>
      </c>
      <c r="D193" t="b">
        <f t="shared" si="2"/>
        <v>1</v>
      </c>
    </row>
    <row r="194" spans="1:4" x14ac:dyDescent="0.35">
      <c r="A194" s="52">
        <v>39114</v>
      </c>
      <c r="B194" s="53">
        <v>250800</v>
      </c>
      <c r="C194" s="53">
        <v>250800</v>
      </c>
      <c r="D194" t="b">
        <f t="shared" si="2"/>
        <v>1</v>
      </c>
    </row>
    <row r="195" spans="1:4" x14ac:dyDescent="0.35">
      <c r="A195" s="52">
        <v>39142</v>
      </c>
      <c r="B195" s="53">
        <v>262600</v>
      </c>
      <c r="C195" s="53">
        <v>262600</v>
      </c>
      <c r="D195" t="b">
        <f t="shared" si="2"/>
        <v>1</v>
      </c>
    </row>
    <row r="196" spans="1:4" x14ac:dyDescent="0.35">
      <c r="A196" s="52">
        <v>39173</v>
      </c>
      <c r="B196" s="53">
        <v>242500</v>
      </c>
      <c r="C196" s="53">
        <v>242500</v>
      </c>
      <c r="D196" t="b">
        <f t="shared" si="2"/>
        <v>1</v>
      </c>
    </row>
    <row r="197" spans="1:4" x14ac:dyDescent="0.35">
      <c r="A197" s="52">
        <v>39203</v>
      </c>
      <c r="B197" s="53">
        <v>245000</v>
      </c>
      <c r="C197" s="53">
        <v>245000</v>
      </c>
      <c r="D197" t="b">
        <f t="shared" si="2"/>
        <v>1</v>
      </c>
    </row>
    <row r="198" spans="1:4" x14ac:dyDescent="0.35">
      <c r="A198" s="52">
        <v>39234</v>
      </c>
      <c r="B198" s="53">
        <v>235500</v>
      </c>
      <c r="C198" s="53">
        <v>235500</v>
      </c>
      <c r="D198" t="b">
        <f t="shared" si="2"/>
        <v>1</v>
      </c>
    </row>
    <row r="199" spans="1:4" x14ac:dyDescent="0.35">
      <c r="A199" s="52">
        <v>39264</v>
      </c>
      <c r="B199" s="53">
        <v>246200</v>
      </c>
      <c r="C199" s="53">
        <v>246200</v>
      </c>
      <c r="D199" t="b">
        <f t="shared" si="2"/>
        <v>1</v>
      </c>
    </row>
    <row r="200" spans="1:4" x14ac:dyDescent="0.35">
      <c r="A200" s="52">
        <v>39295</v>
      </c>
      <c r="B200" s="53">
        <v>236500</v>
      </c>
      <c r="C200" s="53">
        <v>236500</v>
      </c>
      <c r="D200" t="b">
        <f t="shared" si="2"/>
        <v>1</v>
      </c>
    </row>
    <row r="201" spans="1:4" x14ac:dyDescent="0.35">
      <c r="A201" s="52">
        <v>39326</v>
      </c>
      <c r="B201" s="53">
        <v>240300</v>
      </c>
      <c r="C201" s="53">
        <v>240300</v>
      </c>
      <c r="D201" t="b">
        <f t="shared" si="2"/>
        <v>1</v>
      </c>
    </row>
    <row r="202" spans="1:4" x14ac:dyDescent="0.35">
      <c r="A202" s="52">
        <v>39356</v>
      </c>
      <c r="B202" s="53">
        <v>234300</v>
      </c>
      <c r="C202" s="53">
        <v>234300</v>
      </c>
      <c r="D202" t="b">
        <f t="shared" si="2"/>
        <v>1</v>
      </c>
    </row>
    <row r="203" spans="1:4" x14ac:dyDescent="0.35">
      <c r="A203" s="52">
        <v>39387</v>
      </c>
      <c r="B203" s="53">
        <v>249100</v>
      </c>
      <c r="C203" s="53">
        <v>249100</v>
      </c>
      <c r="D203" t="b">
        <f t="shared" si="2"/>
        <v>1</v>
      </c>
    </row>
    <row r="204" spans="1:4" x14ac:dyDescent="0.35">
      <c r="A204" s="52">
        <v>39417</v>
      </c>
      <c r="B204" s="53">
        <v>227700</v>
      </c>
      <c r="C204" s="53">
        <v>227700</v>
      </c>
      <c r="D204" t="b">
        <f t="shared" si="2"/>
        <v>1</v>
      </c>
    </row>
    <row r="205" spans="1:4" x14ac:dyDescent="0.35">
      <c r="A205" s="52">
        <v>39448</v>
      </c>
      <c r="B205" s="53">
        <v>232400</v>
      </c>
      <c r="C205" s="53">
        <v>232400</v>
      </c>
      <c r="D205" t="b">
        <f t="shared" si="2"/>
        <v>1</v>
      </c>
    </row>
    <row r="206" spans="1:4" x14ac:dyDescent="0.35">
      <c r="A206" s="52">
        <v>39479</v>
      </c>
      <c r="B206" s="53">
        <v>245300</v>
      </c>
      <c r="C206" s="53">
        <v>245300</v>
      </c>
      <c r="D206" t="b">
        <f t="shared" ref="D206:D269" si="3">C206=B206</f>
        <v>1</v>
      </c>
    </row>
    <row r="207" spans="1:4" x14ac:dyDescent="0.35">
      <c r="A207" s="52">
        <v>39508</v>
      </c>
      <c r="B207" s="53">
        <v>229300</v>
      </c>
      <c r="C207" s="53">
        <v>229300</v>
      </c>
      <c r="D207" t="b">
        <f t="shared" si="3"/>
        <v>1</v>
      </c>
    </row>
    <row r="208" spans="1:4" x14ac:dyDescent="0.35">
      <c r="A208" s="52">
        <v>39539</v>
      </c>
      <c r="B208" s="53">
        <v>246400</v>
      </c>
      <c r="C208" s="53">
        <v>246400</v>
      </c>
      <c r="D208" t="b">
        <f t="shared" si="3"/>
        <v>1</v>
      </c>
    </row>
    <row r="209" spans="1:4" x14ac:dyDescent="0.35">
      <c r="A209" s="52">
        <v>39569</v>
      </c>
      <c r="B209" s="53">
        <v>229300</v>
      </c>
      <c r="C209" s="53">
        <v>229300</v>
      </c>
      <c r="D209" t="b">
        <f t="shared" si="3"/>
        <v>1</v>
      </c>
    </row>
    <row r="210" spans="1:4" x14ac:dyDescent="0.35">
      <c r="A210" s="52">
        <v>39600</v>
      </c>
      <c r="B210" s="53">
        <v>234300</v>
      </c>
      <c r="C210" s="53">
        <v>234300</v>
      </c>
      <c r="D210" t="b">
        <f t="shared" si="3"/>
        <v>1</v>
      </c>
    </row>
    <row r="211" spans="1:4" x14ac:dyDescent="0.35">
      <c r="A211" s="52">
        <v>39630</v>
      </c>
      <c r="B211" s="53">
        <v>237300</v>
      </c>
      <c r="C211" s="53">
        <v>237300</v>
      </c>
      <c r="D211" t="b">
        <f t="shared" si="3"/>
        <v>1</v>
      </c>
    </row>
    <row r="212" spans="1:4" x14ac:dyDescent="0.35">
      <c r="A212" s="52">
        <v>39661</v>
      </c>
      <c r="B212" s="53">
        <v>221000</v>
      </c>
      <c r="C212" s="53">
        <v>221000</v>
      </c>
      <c r="D212" t="b">
        <f t="shared" si="3"/>
        <v>1</v>
      </c>
    </row>
    <row r="213" spans="1:4" x14ac:dyDescent="0.35">
      <c r="A213" s="52">
        <v>39692</v>
      </c>
      <c r="B213" s="53">
        <v>225200</v>
      </c>
      <c r="C213" s="53">
        <v>225200</v>
      </c>
      <c r="D213" t="b">
        <f t="shared" si="3"/>
        <v>1</v>
      </c>
    </row>
    <row r="214" spans="1:4" x14ac:dyDescent="0.35">
      <c r="A214" s="52">
        <v>39722</v>
      </c>
      <c r="B214" s="53">
        <v>213200</v>
      </c>
      <c r="C214" s="53">
        <v>213200</v>
      </c>
      <c r="D214" t="b">
        <f t="shared" si="3"/>
        <v>1</v>
      </c>
    </row>
    <row r="215" spans="1:4" x14ac:dyDescent="0.35">
      <c r="A215" s="52">
        <v>39753</v>
      </c>
      <c r="B215" s="53">
        <v>221600</v>
      </c>
      <c r="C215" s="53">
        <v>221600</v>
      </c>
      <c r="D215" t="b">
        <f t="shared" si="3"/>
        <v>1</v>
      </c>
    </row>
    <row r="216" spans="1:4" x14ac:dyDescent="0.35">
      <c r="A216" s="52">
        <v>39783</v>
      </c>
      <c r="B216" s="53">
        <v>229600</v>
      </c>
      <c r="C216" s="53">
        <v>229600</v>
      </c>
      <c r="D216" t="b">
        <f t="shared" si="3"/>
        <v>1</v>
      </c>
    </row>
    <row r="217" spans="1:4" x14ac:dyDescent="0.35">
      <c r="A217" s="52">
        <v>39814</v>
      </c>
      <c r="B217" s="53">
        <v>208600</v>
      </c>
      <c r="C217" s="53">
        <v>208600</v>
      </c>
      <c r="D217" t="b">
        <f t="shared" si="3"/>
        <v>1</v>
      </c>
    </row>
    <row r="218" spans="1:4" x14ac:dyDescent="0.35">
      <c r="A218" s="52">
        <v>39845</v>
      </c>
      <c r="B218" s="53">
        <v>209700</v>
      </c>
      <c r="C218" s="53">
        <v>209700</v>
      </c>
      <c r="D218" t="b">
        <f t="shared" si="3"/>
        <v>1</v>
      </c>
    </row>
    <row r="219" spans="1:4" x14ac:dyDescent="0.35">
      <c r="A219" s="52">
        <v>39873</v>
      </c>
      <c r="B219" s="53">
        <v>205100</v>
      </c>
      <c r="C219" s="53">
        <v>205100</v>
      </c>
      <c r="D219" t="b">
        <f t="shared" si="3"/>
        <v>1</v>
      </c>
    </row>
    <row r="220" spans="1:4" x14ac:dyDescent="0.35">
      <c r="A220" s="52">
        <v>39904</v>
      </c>
      <c r="B220" s="53">
        <v>219200</v>
      </c>
      <c r="C220" s="53">
        <v>219200</v>
      </c>
      <c r="D220" t="b">
        <f t="shared" si="3"/>
        <v>1</v>
      </c>
    </row>
    <row r="221" spans="1:4" x14ac:dyDescent="0.35">
      <c r="A221" s="52">
        <v>39934</v>
      </c>
      <c r="B221" s="53">
        <v>222300</v>
      </c>
      <c r="C221" s="53">
        <v>222300</v>
      </c>
      <c r="D221" t="b">
        <f t="shared" si="3"/>
        <v>1</v>
      </c>
    </row>
    <row r="222" spans="1:4" x14ac:dyDescent="0.35">
      <c r="A222" s="52">
        <v>39965</v>
      </c>
      <c r="B222" s="53">
        <v>214700</v>
      </c>
      <c r="C222" s="53">
        <v>214700</v>
      </c>
      <c r="D222" t="b">
        <f t="shared" si="3"/>
        <v>1</v>
      </c>
    </row>
    <row r="223" spans="1:4" x14ac:dyDescent="0.35">
      <c r="A223" s="52">
        <v>39995</v>
      </c>
      <c r="B223" s="53">
        <v>214200</v>
      </c>
      <c r="C223" s="53">
        <v>214200</v>
      </c>
      <c r="D223" t="b">
        <f t="shared" si="3"/>
        <v>1</v>
      </c>
    </row>
    <row r="224" spans="1:4" x14ac:dyDescent="0.35">
      <c r="A224" s="52">
        <v>40026</v>
      </c>
      <c r="B224" s="53">
        <v>207100</v>
      </c>
      <c r="C224" s="53">
        <v>207100</v>
      </c>
      <c r="D224" t="b">
        <f t="shared" si="3"/>
        <v>1</v>
      </c>
    </row>
    <row r="225" spans="1:4" x14ac:dyDescent="0.35">
      <c r="A225" s="52">
        <v>40057</v>
      </c>
      <c r="B225" s="53">
        <v>216600</v>
      </c>
      <c r="C225" s="53">
        <v>216600</v>
      </c>
      <c r="D225" t="b">
        <f t="shared" si="3"/>
        <v>1</v>
      </c>
    </row>
    <row r="226" spans="1:4" x14ac:dyDescent="0.35">
      <c r="A226" s="52">
        <v>40087</v>
      </c>
      <c r="B226" s="53">
        <v>215100</v>
      </c>
      <c r="C226" s="53">
        <v>215100</v>
      </c>
      <c r="D226" t="b">
        <f t="shared" si="3"/>
        <v>1</v>
      </c>
    </row>
    <row r="227" spans="1:4" x14ac:dyDescent="0.35">
      <c r="A227" s="52">
        <v>40118</v>
      </c>
      <c r="B227" s="53">
        <v>218800</v>
      </c>
      <c r="C227" s="53">
        <v>218800</v>
      </c>
      <c r="D227" t="b">
        <f t="shared" si="3"/>
        <v>1</v>
      </c>
    </row>
    <row r="228" spans="1:4" x14ac:dyDescent="0.35">
      <c r="A228" s="52">
        <v>40148</v>
      </c>
      <c r="B228" s="53">
        <v>222600</v>
      </c>
      <c r="C228" s="53">
        <v>222600</v>
      </c>
      <c r="D228" t="b">
        <f t="shared" si="3"/>
        <v>1</v>
      </c>
    </row>
    <row r="229" spans="1:4" x14ac:dyDescent="0.35">
      <c r="A229" s="52">
        <v>40179</v>
      </c>
      <c r="B229" s="53">
        <v>218200</v>
      </c>
      <c r="C229" s="53">
        <v>218200</v>
      </c>
      <c r="D229" t="b">
        <f t="shared" si="3"/>
        <v>1</v>
      </c>
    </row>
    <row r="230" spans="1:4" x14ac:dyDescent="0.35">
      <c r="A230" s="52">
        <v>40210</v>
      </c>
      <c r="B230" s="53">
        <v>221900</v>
      </c>
      <c r="C230" s="53">
        <v>221900</v>
      </c>
      <c r="D230" t="b">
        <f t="shared" si="3"/>
        <v>1</v>
      </c>
    </row>
    <row r="231" spans="1:4" x14ac:dyDescent="0.35">
      <c r="A231" s="52">
        <v>40238</v>
      </c>
      <c r="B231" s="53">
        <v>224800</v>
      </c>
      <c r="C231" s="53">
        <v>224800</v>
      </c>
      <c r="D231" t="b">
        <f t="shared" si="3"/>
        <v>1</v>
      </c>
    </row>
    <row r="232" spans="1:4" x14ac:dyDescent="0.35">
      <c r="A232" s="52">
        <v>40269</v>
      </c>
      <c r="B232" s="53">
        <v>208300</v>
      </c>
      <c r="C232" s="53">
        <v>208300</v>
      </c>
      <c r="D232" t="b">
        <f t="shared" si="3"/>
        <v>1</v>
      </c>
    </row>
    <row r="233" spans="1:4" x14ac:dyDescent="0.35">
      <c r="A233" s="52">
        <v>40299</v>
      </c>
      <c r="B233" s="53">
        <v>230500</v>
      </c>
      <c r="C233" s="53">
        <v>230500</v>
      </c>
      <c r="D233" t="b">
        <f t="shared" si="3"/>
        <v>1</v>
      </c>
    </row>
    <row r="234" spans="1:4" x14ac:dyDescent="0.35">
      <c r="A234" s="52">
        <v>40330</v>
      </c>
      <c r="B234" s="53">
        <v>219500</v>
      </c>
      <c r="C234" s="53">
        <v>219500</v>
      </c>
      <c r="D234" t="b">
        <f t="shared" si="3"/>
        <v>1</v>
      </c>
    </row>
    <row r="235" spans="1:4" x14ac:dyDescent="0.35">
      <c r="A235" s="52">
        <v>40360</v>
      </c>
      <c r="B235" s="53">
        <v>212100</v>
      </c>
      <c r="C235" s="53">
        <v>212100</v>
      </c>
      <c r="D235" t="b">
        <f t="shared" si="3"/>
        <v>1</v>
      </c>
    </row>
    <row r="236" spans="1:4" x14ac:dyDescent="0.35">
      <c r="A236" s="52">
        <v>40391</v>
      </c>
      <c r="B236" s="53">
        <v>226600</v>
      </c>
      <c r="C236" s="53">
        <v>226600</v>
      </c>
      <c r="D236" t="b">
        <f t="shared" si="3"/>
        <v>1</v>
      </c>
    </row>
    <row r="237" spans="1:4" x14ac:dyDescent="0.35">
      <c r="A237" s="52">
        <v>40422</v>
      </c>
      <c r="B237" s="53">
        <v>228000</v>
      </c>
      <c r="C237" s="53">
        <v>228000</v>
      </c>
      <c r="D237" t="b">
        <f t="shared" si="3"/>
        <v>1</v>
      </c>
    </row>
    <row r="238" spans="1:4" x14ac:dyDescent="0.35">
      <c r="A238" s="52">
        <v>40452</v>
      </c>
      <c r="B238" s="53">
        <v>204200</v>
      </c>
      <c r="C238" s="53">
        <v>204200</v>
      </c>
      <c r="D238" t="b">
        <f t="shared" si="3"/>
        <v>1</v>
      </c>
    </row>
    <row r="239" spans="1:4" x14ac:dyDescent="0.35">
      <c r="A239" s="52">
        <v>40483</v>
      </c>
      <c r="B239" s="53">
        <v>219600</v>
      </c>
      <c r="C239" s="53">
        <v>219600</v>
      </c>
      <c r="D239" t="b">
        <f t="shared" si="3"/>
        <v>1</v>
      </c>
    </row>
    <row r="240" spans="1:4" x14ac:dyDescent="0.35">
      <c r="A240" s="52">
        <v>40513</v>
      </c>
      <c r="B240" s="53">
        <v>241200</v>
      </c>
      <c r="C240" s="53">
        <v>241200</v>
      </c>
      <c r="D240" t="b">
        <f t="shared" si="3"/>
        <v>1</v>
      </c>
    </row>
    <row r="241" spans="1:4" x14ac:dyDescent="0.35">
      <c r="A241" s="52">
        <v>40544</v>
      </c>
      <c r="B241" s="53">
        <v>240100</v>
      </c>
      <c r="C241" s="53">
        <v>240100</v>
      </c>
      <c r="D241" t="b">
        <f t="shared" si="3"/>
        <v>1</v>
      </c>
    </row>
    <row r="242" spans="1:4" x14ac:dyDescent="0.35">
      <c r="A242" s="52">
        <v>40575</v>
      </c>
      <c r="B242" s="53">
        <v>220100</v>
      </c>
      <c r="C242" s="53">
        <v>220100</v>
      </c>
      <c r="D242" t="b">
        <f t="shared" si="3"/>
        <v>1</v>
      </c>
    </row>
    <row r="243" spans="1:4" x14ac:dyDescent="0.35">
      <c r="A243" s="52">
        <v>40603</v>
      </c>
      <c r="B243" s="53">
        <v>220500</v>
      </c>
      <c r="C243" s="53">
        <v>220500</v>
      </c>
      <c r="D243" t="b">
        <f t="shared" si="3"/>
        <v>1</v>
      </c>
    </row>
    <row r="244" spans="1:4" x14ac:dyDescent="0.35">
      <c r="A244" s="52">
        <v>40634</v>
      </c>
      <c r="B244" s="53">
        <v>224700</v>
      </c>
      <c r="C244" s="53">
        <v>224700</v>
      </c>
      <c r="D244" t="b">
        <f t="shared" si="3"/>
        <v>1</v>
      </c>
    </row>
    <row r="245" spans="1:4" x14ac:dyDescent="0.35">
      <c r="A245" s="52">
        <v>40664</v>
      </c>
      <c r="B245" s="53">
        <v>222000</v>
      </c>
      <c r="C245" s="53">
        <v>222000</v>
      </c>
      <c r="D245" t="b">
        <f t="shared" si="3"/>
        <v>1</v>
      </c>
    </row>
    <row r="246" spans="1:4" x14ac:dyDescent="0.35">
      <c r="A246" s="52">
        <v>40695</v>
      </c>
      <c r="B246" s="53">
        <v>240200</v>
      </c>
      <c r="C246" s="53">
        <v>240200</v>
      </c>
      <c r="D246" t="b">
        <f t="shared" si="3"/>
        <v>1</v>
      </c>
    </row>
    <row r="247" spans="1:4" x14ac:dyDescent="0.35">
      <c r="A247" s="52">
        <v>40725</v>
      </c>
      <c r="B247" s="53">
        <v>229900</v>
      </c>
      <c r="C247" s="53">
        <v>229900</v>
      </c>
      <c r="D247" t="b">
        <f t="shared" si="3"/>
        <v>1</v>
      </c>
    </row>
    <row r="248" spans="1:4" x14ac:dyDescent="0.35">
      <c r="A248" s="52">
        <v>40756</v>
      </c>
      <c r="B248" s="53">
        <v>219600</v>
      </c>
      <c r="C248" s="53">
        <v>219600</v>
      </c>
      <c r="D248" t="b">
        <f t="shared" si="3"/>
        <v>1</v>
      </c>
    </row>
    <row r="249" spans="1:4" x14ac:dyDescent="0.35">
      <c r="A249" s="52">
        <v>40787</v>
      </c>
      <c r="B249" s="53">
        <v>217000</v>
      </c>
      <c r="C249" s="53">
        <v>217000</v>
      </c>
      <c r="D249" t="b">
        <f t="shared" si="3"/>
        <v>1</v>
      </c>
    </row>
    <row r="250" spans="1:4" x14ac:dyDescent="0.35">
      <c r="A250" s="52">
        <v>40817</v>
      </c>
      <c r="B250" s="53">
        <v>224800</v>
      </c>
      <c r="C250" s="53">
        <v>224800</v>
      </c>
      <c r="D250" t="b">
        <f t="shared" si="3"/>
        <v>1</v>
      </c>
    </row>
    <row r="251" spans="1:4" x14ac:dyDescent="0.35">
      <c r="A251" s="52">
        <v>40848</v>
      </c>
      <c r="B251" s="53">
        <v>214300</v>
      </c>
      <c r="C251" s="53">
        <v>214300</v>
      </c>
      <c r="D251" t="b">
        <f t="shared" si="3"/>
        <v>1</v>
      </c>
    </row>
    <row r="252" spans="1:4" x14ac:dyDescent="0.35">
      <c r="A252" s="52">
        <v>40878</v>
      </c>
      <c r="B252" s="53">
        <v>218600</v>
      </c>
      <c r="C252" s="53">
        <v>218600</v>
      </c>
      <c r="D252" t="b">
        <f t="shared" si="3"/>
        <v>1</v>
      </c>
    </row>
    <row r="253" spans="1:4" x14ac:dyDescent="0.35">
      <c r="A253" s="52">
        <v>40909</v>
      </c>
      <c r="B253" s="53">
        <v>221700</v>
      </c>
      <c r="C253" s="53">
        <v>221700</v>
      </c>
      <c r="D253" t="b">
        <f t="shared" si="3"/>
        <v>1</v>
      </c>
    </row>
    <row r="254" spans="1:4" x14ac:dyDescent="0.35">
      <c r="A254" s="52">
        <v>40940</v>
      </c>
      <c r="B254" s="53">
        <v>239900</v>
      </c>
      <c r="C254" s="53">
        <v>239900</v>
      </c>
      <c r="D254" t="b">
        <f t="shared" si="3"/>
        <v>1</v>
      </c>
    </row>
    <row r="255" spans="1:4" x14ac:dyDescent="0.35">
      <c r="A255" s="52">
        <v>40969</v>
      </c>
      <c r="B255" s="53">
        <v>239800</v>
      </c>
      <c r="C255" s="53">
        <v>239800</v>
      </c>
      <c r="D255" t="b">
        <f t="shared" si="3"/>
        <v>1</v>
      </c>
    </row>
    <row r="256" spans="1:4" x14ac:dyDescent="0.35">
      <c r="A256" s="52">
        <v>41000</v>
      </c>
      <c r="B256" s="53">
        <v>236400</v>
      </c>
      <c r="C256" s="53">
        <v>236400</v>
      </c>
      <c r="D256" t="b">
        <f t="shared" si="3"/>
        <v>1</v>
      </c>
    </row>
    <row r="257" spans="1:4" x14ac:dyDescent="0.35">
      <c r="A257" s="52">
        <v>41030</v>
      </c>
      <c r="B257" s="53">
        <v>239200</v>
      </c>
      <c r="C257" s="53">
        <v>239200</v>
      </c>
      <c r="D257" t="b">
        <f t="shared" si="3"/>
        <v>1</v>
      </c>
    </row>
    <row r="258" spans="1:4" x14ac:dyDescent="0.35">
      <c r="A258" s="52">
        <v>41061</v>
      </c>
      <c r="B258" s="53">
        <v>232600</v>
      </c>
      <c r="C258" s="53">
        <v>232600</v>
      </c>
      <c r="D258" t="b">
        <f t="shared" si="3"/>
        <v>1</v>
      </c>
    </row>
    <row r="259" spans="1:4" x14ac:dyDescent="0.35">
      <c r="A259" s="52">
        <v>41091</v>
      </c>
      <c r="B259" s="53">
        <v>237400</v>
      </c>
      <c r="C259" s="53">
        <v>237400</v>
      </c>
      <c r="D259" t="b">
        <f t="shared" si="3"/>
        <v>1</v>
      </c>
    </row>
    <row r="260" spans="1:4" x14ac:dyDescent="0.35">
      <c r="A260" s="52">
        <v>41122</v>
      </c>
      <c r="B260" s="53">
        <v>253200</v>
      </c>
      <c r="C260" s="53">
        <v>253200</v>
      </c>
      <c r="D260" t="b">
        <f t="shared" si="3"/>
        <v>1</v>
      </c>
    </row>
    <row r="261" spans="1:4" x14ac:dyDescent="0.35">
      <c r="A261" s="52">
        <v>41153</v>
      </c>
      <c r="B261" s="53">
        <v>254600</v>
      </c>
      <c r="C261" s="53">
        <v>254600</v>
      </c>
      <c r="D261" t="b">
        <f t="shared" si="3"/>
        <v>1</v>
      </c>
    </row>
    <row r="262" spans="1:4" x14ac:dyDescent="0.35">
      <c r="A262" s="52">
        <v>41183</v>
      </c>
      <c r="B262" s="53">
        <v>247200</v>
      </c>
      <c r="C262" s="53">
        <v>247200</v>
      </c>
      <c r="D262" t="b">
        <f t="shared" si="3"/>
        <v>1</v>
      </c>
    </row>
    <row r="263" spans="1:4" x14ac:dyDescent="0.35">
      <c r="A263" s="52">
        <v>41214</v>
      </c>
      <c r="B263" s="53">
        <v>245000</v>
      </c>
      <c r="C263" s="53">
        <v>245000</v>
      </c>
      <c r="D263" t="b">
        <f t="shared" si="3"/>
        <v>1</v>
      </c>
    </row>
    <row r="264" spans="1:4" x14ac:dyDescent="0.35">
      <c r="A264" s="52">
        <v>41244</v>
      </c>
      <c r="B264" s="53">
        <v>258300</v>
      </c>
      <c r="C264" s="53">
        <v>258300</v>
      </c>
      <c r="D264" t="b">
        <f t="shared" si="3"/>
        <v>1</v>
      </c>
    </row>
    <row r="265" spans="1:4" x14ac:dyDescent="0.35">
      <c r="A265" s="52">
        <v>41275</v>
      </c>
      <c r="B265" s="53">
        <v>251500</v>
      </c>
      <c r="C265" s="53">
        <v>251500</v>
      </c>
      <c r="D265" t="b">
        <f t="shared" si="3"/>
        <v>1</v>
      </c>
    </row>
    <row r="266" spans="1:4" x14ac:dyDescent="0.35">
      <c r="A266" s="52">
        <v>41306</v>
      </c>
      <c r="B266" s="53">
        <v>265100</v>
      </c>
      <c r="C266" s="53">
        <v>265100</v>
      </c>
      <c r="D266" t="b">
        <f t="shared" si="3"/>
        <v>1</v>
      </c>
    </row>
    <row r="267" spans="1:4" x14ac:dyDescent="0.35">
      <c r="A267" s="52">
        <v>41334</v>
      </c>
      <c r="B267" s="53">
        <v>257500</v>
      </c>
      <c r="C267" s="53">
        <v>257500</v>
      </c>
      <c r="D267" t="b">
        <f t="shared" si="3"/>
        <v>1</v>
      </c>
    </row>
    <row r="268" spans="1:4" x14ac:dyDescent="0.35">
      <c r="A268" s="52">
        <v>41365</v>
      </c>
      <c r="B268" s="53">
        <v>279300</v>
      </c>
      <c r="C268" s="53">
        <v>279300</v>
      </c>
      <c r="D268" t="b">
        <f t="shared" si="3"/>
        <v>1</v>
      </c>
    </row>
    <row r="269" spans="1:4" x14ac:dyDescent="0.35">
      <c r="A269" s="52">
        <v>41395</v>
      </c>
      <c r="B269" s="53">
        <v>263700</v>
      </c>
      <c r="C269" s="53">
        <v>263700</v>
      </c>
      <c r="D269" t="b">
        <f t="shared" si="3"/>
        <v>1</v>
      </c>
    </row>
    <row r="270" spans="1:4" x14ac:dyDescent="0.35">
      <c r="A270" s="52">
        <v>41426</v>
      </c>
      <c r="B270" s="53">
        <v>259800</v>
      </c>
      <c r="C270" s="53">
        <v>259800</v>
      </c>
      <c r="D270" t="b">
        <f t="shared" ref="D270:D324" si="4">C270=B270</f>
        <v>1</v>
      </c>
    </row>
    <row r="271" spans="1:4" x14ac:dyDescent="0.35">
      <c r="A271" s="52">
        <v>41456</v>
      </c>
      <c r="B271" s="53">
        <v>262200</v>
      </c>
      <c r="C271" s="53">
        <v>262200</v>
      </c>
      <c r="D271" t="b">
        <f t="shared" si="4"/>
        <v>1</v>
      </c>
    </row>
    <row r="272" spans="1:4" x14ac:dyDescent="0.35">
      <c r="A272" s="52">
        <v>41487</v>
      </c>
      <c r="B272" s="53">
        <v>255300</v>
      </c>
      <c r="C272" s="53">
        <v>255300</v>
      </c>
      <c r="D272" t="b">
        <f t="shared" si="4"/>
        <v>1</v>
      </c>
    </row>
    <row r="273" spans="1:4" x14ac:dyDescent="0.35">
      <c r="A273" s="52">
        <v>41518</v>
      </c>
      <c r="B273" s="53">
        <v>269800</v>
      </c>
      <c r="C273" s="53">
        <v>269800</v>
      </c>
      <c r="D273" t="b">
        <f t="shared" si="4"/>
        <v>1</v>
      </c>
    </row>
    <row r="274" spans="1:4" x14ac:dyDescent="0.35">
      <c r="A274" s="52">
        <v>41548</v>
      </c>
      <c r="B274" s="53">
        <v>264300</v>
      </c>
      <c r="C274" s="53">
        <v>264300</v>
      </c>
      <c r="D274" t="b">
        <f t="shared" si="4"/>
        <v>1</v>
      </c>
    </row>
    <row r="275" spans="1:4" x14ac:dyDescent="0.35">
      <c r="A275" s="52">
        <v>41579</v>
      </c>
      <c r="B275" s="53">
        <v>277100</v>
      </c>
      <c r="C275" s="53">
        <v>277100</v>
      </c>
      <c r="D275" t="b">
        <f t="shared" si="4"/>
        <v>1</v>
      </c>
    </row>
    <row r="276" spans="1:4" x14ac:dyDescent="0.35">
      <c r="A276" s="52">
        <v>41609</v>
      </c>
      <c r="B276" s="53">
        <v>275500</v>
      </c>
      <c r="C276" s="53">
        <v>275500</v>
      </c>
      <c r="D276" t="b">
        <f t="shared" si="4"/>
        <v>1</v>
      </c>
    </row>
    <row r="277" spans="1:4" x14ac:dyDescent="0.35">
      <c r="A277" s="52">
        <v>41640</v>
      </c>
      <c r="B277" s="53">
        <v>269800</v>
      </c>
      <c r="C277" s="53">
        <v>269800</v>
      </c>
      <c r="D277" t="b">
        <f t="shared" si="4"/>
        <v>1</v>
      </c>
    </row>
    <row r="278" spans="1:4" x14ac:dyDescent="0.35">
      <c r="A278" s="52">
        <v>41671</v>
      </c>
      <c r="B278" s="53">
        <v>268400</v>
      </c>
      <c r="C278" s="53">
        <v>268400</v>
      </c>
      <c r="D278" t="b">
        <f t="shared" si="4"/>
        <v>1</v>
      </c>
    </row>
    <row r="279" spans="1:4" x14ac:dyDescent="0.35">
      <c r="A279" s="52">
        <v>41699</v>
      </c>
      <c r="B279" s="53">
        <v>282300</v>
      </c>
      <c r="C279" s="53">
        <v>282300</v>
      </c>
      <c r="D279" t="b">
        <f t="shared" si="4"/>
        <v>1</v>
      </c>
    </row>
    <row r="280" spans="1:4" x14ac:dyDescent="0.35">
      <c r="A280" s="52">
        <v>41730</v>
      </c>
      <c r="B280" s="53">
        <v>274500</v>
      </c>
      <c r="C280" s="53">
        <v>274500</v>
      </c>
      <c r="D280" t="b">
        <f t="shared" si="4"/>
        <v>1</v>
      </c>
    </row>
    <row r="281" spans="1:4" x14ac:dyDescent="0.35">
      <c r="A281" s="52">
        <v>41760</v>
      </c>
      <c r="B281" s="53">
        <v>285600</v>
      </c>
      <c r="C281" s="53">
        <v>285600</v>
      </c>
      <c r="D281" t="b">
        <f t="shared" si="4"/>
        <v>1</v>
      </c>
    </row>
    <row r="282" spans="1:4" x14ac:dyDescent="0.35">
      <c r="A282" s="52">
        <v>41791</v>
      </c>
      <c r="B282" s="53">
        <v>287000</v>
      </c>
      <c r="C282" s="53">
        <v>287000</v>
      </c>
      <c r="D282" t="b">
        <f t="shared" si="4"/>
        <v>1</v>
      </c>
    </row>
    <row r="283" spans="1:4" x14ac:dyDescent="0.35">
      <c r="A283" s="52">
        <v>41821</v>
      </c>
      <c r="B283" s="53">
        <v>280400</v>
      </c>
      <c r="C283" s="53">
        <v>280400</v>
      </c>
      <c r="D283" t="b">
        <f t="shared" si="4"/>
        <v>1</v>
      </c>
    </row>
    <row r="284" spans="1:4" x14ac:dyDescent="0.35">
      <c r="A284" s="52">
        <v>41852</v>
      </c>
      <c r="B284" s="53">
        <v>291700</v>
      </c>
      <c r="C284" s="53">
        <v>291700</v>
      </c>
      <c r="D284" t="b">
        <f t="shared" si="4"/>
        <v>1</v>
      </c>
    </row>
    <row r="285" spans="1:4" x14ac:dyDescent="0.35">
      <c r="A285" s="52">
        <v>41883</v>
      </c>
      <c r="B285" s="53">
        <v>261500</v>
      </c>
      <c r="C285" s="53">
        <v>261500</v>
      </c>
      <c r="D285" t="b">
        <f t="shared" si="4"/>
        <v>1</v>
      </c>
    </row>
    <row r="286" spans="1:4" x14ac:dyDescent="0.35">
      <c r="A286" s="52">
        <v>41913</v>
      </c>
      <c r="B286" s="53">
        <v>297000</v>
      </c>
      <c r="C286" s="53">
        <v>297000</v>
      </c>
      <c r="D286" t="b">
        <f t="shared" si="4"/>
        <v>1</v>
      </c>
    </row>
    <row r="287" spans="1:4" x14ac:dyDescent="0.35">
      <c r="A287" s="52">
        <v>41944</v>
      </c>
      <c r="B287" s="53">
        <v>298300</v>
      </c>
      <c r="C287" s="53">
        <v>298300</v>
      </c>
      <c r="D287" t="b">
        <f t="shared" si="4"/>
        <v>1</v>
      </c>
    </row>
    <row r="288" spans="1:4" x14ac:dyDescent="0.35">
      <c r="A288" s="52">
        <v>41974</v>
      </c>
      <c r="B288" s="53">
        <v>301500</v>
      </c>
      <c r="C288" s="53">
        <v>301500</v>
      </c>
      <c r="D288" t="b">
        <f t="shared" si="4"/>
        <v>1</v>
      </c>
    </row>
    <row r="289" spans="1:4" x14ac:dyDescent="0.35">
      <c r="A289" s="52">
        <v>42005</v>
      </c>
      <c r="B289" s="53">
        <v>292000</v>
      </c>
      <c r="C289" s="53">
        <v>292000</v>
      </c>
      <c r="D289" t="b">
        <f t="shared" si="4"/>
        <v>1</v>
      </c>
    </row>
    <row r="290" spans="1:4" x14ac:dyDescent="0.35">
      <c r="A290" s="52">
        <v>42036</v>
      </c>
      <c r="B290" s="53">
        <v>286600</v>
      </c>
      <c r="C290" s="53">
        <v>286600</v>
      </c>
      <c r="D290" t="b">
        <f t="shared" si="4"/>
        <v>1</v>
      </c>
    </row>
    <row r="291" spans="1:4" x14ac:dyDescent="0.35">
      <c r="A291" s="52">
        <v>42064</v>
      </c>
      <c r="B291" s="53">
        <v>286600</v>
      </c>
      <c r="C291" s="53">
        <v>286600</v>
      </c>
      <c r="D291" t="b">
        <f t="shared" si="4"/>
        <v>1</v>
      </c>
    </row>
    <row r="292" spans="1:4" x14ac:dyDescent="0.35">
      <c r="A292" s="52">
        <v>42095</v>
      </c>
      <c r="B292" s="53">
        <v>294500</v>
      </c>
      <c r="C292" s="53">
        <v>294500</v>
      </c>
      <c r="D292" t="b">
        <f t="shared" si="4"/>
        <v>1</v>
      </c>
    </row>
    <row r="293" spans="1:4" x14ac:dyDescent="0.35">
      <c r="A293" s="52">
        <v>42125</v>
      </c>
      <c r="B293" s="53">
        <v>287500</v>
      </c>
      <c r="C293" s="53">
        <v>287500</v>
      </c>
      <c r="D293" t="b">
        <f t="shared" si="4"/>
        <v>1</v>
      </c>
    </row>
    <row r="294" spans="1:4" x14ac:dyDescent="0.35">
      <c r="A294" s="52">
        <v>42156</v>
      </c>
      <c r="B294" s="53">
        <v>285100</v>
      </c>
      <c r="C294" s="53">
        <v>285100</v>
      </c>
      <c r="D294" t="b">
        <f t="shared" si="4"/>
        <v>1</v>
      </c>
    </row>
    <row r="295" spans="1:4" x14ac:dyDescent="0.35">
      <c r="A295" s="52">
        <v>42186</v>
      </c>
      <c r="B295" s="53">
        <v>292300</v>
      </c>
      <c r="C295" s="53">
        <v>292300</v>
      </c>
      <c r="D295" t="b">
        <f t="shared" si="4"/>
        <v>1</v>
      </c>
    </row>
    <row r="296" spans="1:4" x14ac:dyDescent="0.35">
      <c r="A296" s="52">
        <v>42217</v>
      </c>
      <c r="B296" s="53">
        <v>293000</v>
      </c>
      <c r="C296" s="53">
        <v>293000</v>
      </c>
      <c r="D296" t="b">
        <f t="shared" si="4"/>
        <v>1</v>
      </c>
    </row>
    <row r="297" spans="1:4" x14ac:dyDescent="0.35">
      <c r="A297" s="52">
        <v>42248</v>
      </c>
      <c r="B297" s="53">
        <v>299500</v>
      </c>
      <c r="C297" s="53">
        <v>299500</v>
      </c>
      <c r="D297" t="b">
        <f t="shared" si="4"/>
        <v>1</v>
      </c>
    </row>
    <row r="298" spans="1:4" x14ac:dyDescent="0.35">
      <c r="A298" s="52">
        <v>42278</v>
      </c>
      <c r="B298" s="53">
        <v>298000</v>
      </c>
      <c r="C298" s="53">
        <v>298000</v>
      </c>
      <c r="D298" t="b">
        <f t="shared" si="4"/>
        <v>1</v>
      </c>
    </row>
    <row r="299" spans="1:4" x14ac:dyDescent="0.35">
      <c r="A299" s="52">
        <v>42309</v>
      </c>
      <c r="B299" s="53">
        <v>312600</v>
      </c>
      <c r="C299" s="53">
        <v>312600</v>
      </c>
      <c r="D299" t="b">
        <f t="shared" si="4"/>
        <v>1</v>
      </c>
    </row>
    <row r="300" spans="1:4" x14ac:dyDescent="0.35">
      <c r="A300" s="52">
        <v>42339</v>
      </c>
      <c r="B300" s="53">
        <v>297100</v>
      </c>
      <c r="C300" s="53">
        <v>297100</v>
      </c>
      <c r="D300" t="b">
        <f t="shared" si="4"/>
        <v>1</v>
      </c>
    </row>
    <row r="301" spans="1:4" x14ac:dyDescent="0.35">
      <c r="A301" s="52">
        <v>42370</v>
      </c>
      <c r="B301" s="53">
        <v>288400</v>
      </c>
      <c r="C301" s="53">
        <v>288400</v>
      </c>
      <c r="D301" t="b">
        <f t="shared" si="4"/>
        <v>1</v>
      </c>
    </row>
    <row r="302" spans="1:4" x14ac:dyDescent="0.35">
      <c r="A302" s="52">
        <v>42401</v>
      </c>
      <c r="B302" s="53">
        <v>305800</v>
      </c>
      <c r="C302" s="53">
        <v>305800</v>
      </c>
      <c r="D302" t="b">
        <f t="shared" si="4"/>
        <v>1</v>
      </c>
    </row>
    <row r="303" spans="1:4" x14ac:dyDescent="0.35">
      <c r="A303" s="52">
        <v>42430</v>
      </c>
      <c r="B303" s="53">
        <v>303200</v>
      </c>
      <c r="C303" s="53">
        <v>303200</v>
      </c>
      <c r="D303" t="b">
        <f t="shared" si="4"/>
        <v>1</v>
      </c>
    </row>
    <row r="304" spans="1:4" x14ac:dyDescent="0.35">
      <c r="A304" s="52">
        <v>42461</v>
      </c>
      <c r="B304" s="53">
        <v>318300</v>
      </c>
      <c r="C304" s="53">
        <v>318300</v>
      </c>
      <c r="D304" t="b">
        <f t="shared" si="4"/>
        <v>1</v>
      </c>
    </row>
    <row r="305" spans="1:4" x14ac:dyDescent="0.35">
      <c r="A305" s="52">
        <v>42491</v>
      </c>
      <c r="B305" s="53">
        <v>295200</v>
      </c>
      <c r="C305" s="53">
        <v>295200</v>
      </c>
      <c r="D305" t="b">
        <f t="shared" si="4"/>
        <v>1</v>
      </c>
    </row>
    <row r="306" spans="1:4" x14ac:dyDescent="0.35">
      <c r="A306" s="52">
        <v>42522</v>
      </c>
      <c r="B306" s="53">
        <v>311200</v>
      </c>
      <c r="C306" s="53">
        <v>311200</v>
      </c>
      <c r="D306" t="b">
        <f t="shared" si="4"/>
        <v>1</v>
      </c>
    </row>
    <row r="307" spans="1:4" x14ac:dyDescent="0.35">
      <c r="A307" s="52">
        <v>42552</v>
      </c>
      <c r="B307" s="53">
        <v>297400</v>
      </c>
      <c r="C307" s="53">
        <v>297400</v>
      </c>
      <c r="D307" t="b">
        <f t="shared" si="4"/>
        <v>1</v>
      </c>
    </row>
    <row r="308" spans="1:4" x14ac:dyDescent="0.35">
      <c r="A308" s="52">
        <v>42583</v>
      </c>
      <c r="B308" s="53">
        <v>298900</v>
      </c>
      <c r="C308" s="53">
        <v>298900</v>
      </c>
      <c r="D308" t="b">
        <f t="shared" si="4"/>
        <v>1</v>
      </c>
    </row>
    <row r="309" spans="1:4" x14ac:dyDescent="0.35">
      <c r="A309" s="52">
        <v>42614</v>
      </c>
      <c r="B309" s="53">
        <v>314800</v>
      </c>
      <c r="C309" s="53">
        <v>314800</v>
      </c>
      <c r="D309" t="b">
        <f t="shared" si="4"/>
        <v>1</v>
      </c>
    </row>
    <row r="310" spans="1:4" x14ac:dyDescent="0.35">
      <c r="A310" s="52">
        <v>42644</v>
      </c>
      <c r="B310" s="53">
        <v>302800</v>
      </c>
      <c r="C310" s="53">
        <v>302800</v>
      </c>
      <c r="D310" t="b">
        <f t="shared" si="4"/>
        <v>1</v>
      </c>
    </row>
    <row r="311" spans="1:4" x14ac:dyDescent="0.35">
      <c r="A311" s="52">
        <v>42675</v>
      </c>
      <c r="B311" s="53">
        <v>315000</v>
      </c>
      <c r="C311" s="53">
        <v>315000</v>
      </c>
      <c r="D311" t="b">
        <f t="shared" si="4"/>
        <v>1</v>
      </c>
    </row>
    <row r="312" spans="1:4" x14ac:dyDescent="0.35">
      <c r="A312" s="52">
        <v>42705</v>
      </c>
      <c r="B312" s="53">
        <v>327000</v>
      </c>
      <c r="C312" s="53">
        <v>327000</v>
      </c>
      <c r="D312" t="b">
        <f t="shared" si="4"/>
        <v>1</v>
      </c>
    </row>
    <row r="313" spans="1:4" x14ac:dyDescent="0.35">
      <c r="A313" s="52">
        <v>42736</v>
      </c>
      <c r="B313" s="53">
        <v>315200</v>
      </c>
      <c r="C313" s="53">
        <v>315200</v>
      </c>
      <c r="D313" t="b">
        <f t="shared" si="4"/>
        <v>1</v>
      </c>
    </row>
    <row r="314" spans="1:4" x14ac:dyDescent="0.35">
      <c r="A314" s="52">
        <v>42767</v>
      </c>
      <c r="B314" s="53">
        <v>298000</v>
      </c>
      <c r="C314" s="53">
        <v>298000</v>
      </c>
      <c r="D314" t="b">
        <f t="shared" si="4"/>
        <v>1</v>
      </c>
    </row>
    <row r="315" spans="1:4" x14ac:dyDescent="0.35">
      <c r="A315" s="52">
        <v>42795</v>
      </c>
      <c r="B315" s="53">
        <v>321700</v>
      </c>
      <c r="C315" s="53">
        <v>321700</v>
      </c>
      <c r="D315" t="b">
        <f t="shared" si="4"/>
        <v>1</v>
      </c>
    </row>
    <row r="316" spans="1:4" x14ac:dyDescent="0.35">
      <c r="A316" s="52">
        <v>42826</v>
      </c>
      <c r="B316" s="53">
        <v>311100</v>
      </c>
      <c r="C316" s="53">
        <v>311100</v>
      </c>
      <c r="D316" t="b">
        <f t="shared" si="4"/>
        <v>1</v>
      </c>
    </row>
    <row r="317" spans="1:4" x14ac:dyDescent="0.35">
      <c r="A317" s="52">
        <v>42856</v>
      </c>
      <c r="B317" s="53">
        <v>323600</v>
      </c>
      <c r="C317" s="53">
        <v>323600</v>
      </c>
      <c r="D317" t="b">
        <f t="shared" si="4"/>
        <v>1</v>
      </c>
    </row>
    <row r="318" spans="1:4" x14ac:dyDescent="0.35">
      <c r="A318" s="52">
        <v>42887</v>
      </c>
      <c r="B318" s="53">
        <v>315200</v>
      </c>
      <c r="C318" s="53">
        <v>315200</v>
      </c>
      <c r="D318" t="b">
        <f t="shared" si="4"/>
        <v>1</v>
      </c>
    </row>
    <row r="319" spans="1:4" x14ac:dyDescent="0.35">
      <c r="A319" s="52">
        <v>42917</v>
      </c>
      <c r="B319" s="53">
        <v>322900</v>
      </c>
      <c r="C319" s="53">
        <v>322900</v>
      </c>
      <c r="D319" t="b">
        <f t="shared" si="4"/>
        <v>1</v>
      </c>
    </row>
    <row r="320" spans="1:4" x14ac:dyDescent="0.35">
      <c r="A320" s="52">
        <v>42948</v>
      </c>
      <c r="B320" s="53">
        <v>314200</v>
      </c>
      <c r="C320" s="53">
        <v>314200</v>
      </c>
      <c r="D320" t="b">
        <f t="shared" si="4"/>
        <v>1</v>
      </c>
    </row>
    <row r="321" spans="1:4" x14ac:dyDescent="0.35">
      <c r="A321" s="52">
        <v>42979</v>
      </c>
      <c r="B321" s="53">
        <v>331500</v>
      </c>
      <c r="C321" s="53">
        <v>331500</v>
      </c>
      <c r="D321" t="b">
        <f t="shared" si="4"/>
        <v>1</v>
      </c>
    </row>
    <row r="322" spans="1:4" x14ac:dyDescent="0.35">
      <c r="A322" s="52">
        <v>43009</v>
      </c>
      <c r="B322" s="53">
        <v>319500</v>
      </c>
      <c r="C322" s="53">
        <v>319500</v>
      </c>
      <c r="D322" t="b">
        <f t="shared" si="4"/>
        <v>1</v>
      </c>
    </row>
    <row r="323" spans="1:4" x14ac:dyDescent="0.35">
      <c r="A323" s="52">
        <v>43040</v>
      </c>
      <c r="B323" s="53">
        <v>343000</v>
      </c>
      <c r="C323" s="53">
        <v>343400</v>
      </c>
      <c r="D323" t="b">
        <f t="shared" si="4"/>
        <v>0</v>
      </c>
    </row>
    <row r="324" spans="1:4" x14ac:dyDescent="0.35">
      <c r="A324" s="52">
        <v>43070</v>
      </c>
      <c r="B324" s="53">
        <v>336700</v>
      </c>
      <c r="C324" s="53">
        <v>340100</v>
      </c>
      <c r="D324" t="b">
        <f t="shared" si="4"/>
        <v>0</v>
      </c>
    </row>
  </sheetData>
  <autoFilter ref="A12:D324" xr:uid="{7EB77367-A1C1-44F0-8740-5B2DD3001625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A52E2-75DA-4C55-B6FB-5047D2E5ECB6}">
  <sheetPr>
    <tabColor theme="9"/>
  </sheetPr>
  <dimension ref="A1:B325"/>
  <sheetViews>
    <sheetView workbookViewId="0"/>
  </sheetViews>
  <sheetFormatPr defaultRowHeight="14.5" x14ac:dyDescent="0.35"/>
  <cols>
    <col min="1" max="1" width="16.54296875" bestFit="1" customWidth="1"/>
    <col min="2" max="2" width="6.90625" bestFit="1" customWidth="1"/>
  </cols>
  <sheetData>
    <row r="1" spans="1:2" x14ac:dyDescent="0.35">
      <c r="A1" s="48" t="s">
        <v>6</v>
      </c>
      <c r="B1" s="48"/>
    </row>
    <row r="2" spans="1:2" x14ac:dyDescent="0.35">
      <c r="A2" s="48" t="s">
        <v>7</v>
      </c>
      <c r="B2" s="48"/>
    </row>
    <row r="3" spans="1:2" x14ac:dyDescent="0.35">
      <c r="A3" s="48" t="s">
        <v>8</v>
      </c>
      <c r="B3" s="48"/>
    </row>
    <row r="4" spans="1:2" x14ac:dyDescent="0.35">
      <c r="A4" s="48" t="s">
        <v>9</v>
      </c>
      <c r="B4" s="48"/>
    </row>
    <row r="5" spans="1:2" x14ac:dyDescent="0.35">
      <c r="A5" s="48" t="s">
        <v>10</v>
      </c>
      <c r="B5" s="48"/>
    </row>
    <row r="6" spans="1:2" x14ac:dyDescent="0.35">
      <c r="A6" s="48" t="s">
        <v>11</v>
      </c>
      <c r="B6" s="48"/>
    </row>
    <row r="8" spans="1:2" x14ac:dyDescent="0.35">
      <c r="A8" s="48" t="s">
        <v>441</v>
      </c>
      <c r="B8" s="48" t="s">
        <v>442</v>
      </c>
    </row>
    <row r="10" spans="1:2" x14ac:dyDescent="0.35">
      <c r="A10" s="48" t="s">
        <v>14</v>
      </c>
      <c r="B10" s="48"/>
    </row>
    <row r="11" spans="1:2" x14ac:dyDescent="0.35">
      <c r="A11" s="48" t="s">
        <v>15</v>
      </c>
      <c r="B11" s="48" t="s">
        <v>441</v>
      </c>
    </row>
    <row r="12" spans="1:2" x14ac:dyDescent="0.35">
      <c r="A12" s="49">
        <v>33604</v>
      </c>
      <c r="B12" s="50">
        <v>1176</v>
      </c>
    </row>
    <row r="13" spans="1:2" x14ac:dyDescent="0.35">
      <c r="A13" s="49">
        <v>33635</v>
      </c>
      <c r="B13" s="50">
        <v>1250</v>
      </c>
    </row>
    <row r="14" spans="1:2" x14ac:dyDescent="0.35">
      <c r="A14" s="49">
        <v>33664</v>
      </c>
      <c r="B14" s="50">
        <v>1297</v>
      </c>
    </row>
    <row r="15" spans="1:2" x14ac:dyDescent="0.35">
      <c r="A15" s="49">
        <v>33695</v>
      </c>
      <c r="B15" s="50">
        <v>1099</v>
      </c>
    </row>
    <row r="16" spans="1:2" x14ac:dyDescent="0.35">
      <c r="A16" s="49">
        <v>33725</v>
      </c>
      <c r="B16" s="50">
        <v>1214</v>
      </c>
    </row>
    <row r="17" spans="1:2" x14ac:dyDescent="0.35">
      <c r="A17" s="49">
        <v>33756</v>
      </c>
      <c r="B17" s="50">
        <v>1145</v>
      </c>
    </row>
    <row r="18" spans="1:2" x14ac:dyDescent="0.35">
      <c r="A18" s="49">
        <v>33786</v>
      </c>
      <c r="B18" s="50">
        <v>1139</v>
      </c>
    </row>
    <row r="19" spans="1:2" x14ac:dyDescent="0.35">
      <c r="A19" s="49">
        <v>33817</v>
      </c>
      <c r="B19" s="50">
        <v>1226</v>
      </c>
    </row>
    <row r="20" spans="1:2" x14ac:dyDescent="0.35">
      <c r="A20" s="49">
        <v>33848</v>
      </c>
      <c r="B20" s="50">
        <v>1186</v>
      </c>
    </row>
    <row r="21" spans="1:2" x14ac:dyDescent="0.35">
      <c r="A21" s="49">
        <v>33878</v>
      </c>
      <c r="B21" s="50">
        <v>1244</v>
      </c>
    </row>
    <row r="22" spans="1:2" x14ac:dyDescent="0.35">
      <c r="A22" s="49">
        <v>33909</v>
      </c>
      <c r="B22" s="50">
        <v>1214</v>
      </c>
    </row>
    <row r="23" spans="1:2" x14ac:dyDescent="0.35">
      <c r="A23" s="49">
        <v>33939</v>
      </c>
      <c r="B23" s="50">
        <v>1227</v>
      </c>
    </row>
    <row r="24" spans="1:2" x14ac:dyDescent="0.35">
      <c r="A24" s="49">
        <v>33970</v>
      </c>
      <c r="B24" s="50">
        <v>1210</v>
      </c>
    </row>
    <row r="25" spans="1:2" x14ac:dyDescent="0.35">
      <c r="A25" s="49">
        <v>34001</v>
      </c>
      <c r="B25" s="50">
        <v>1210</v>
      </c>
    </row>
    <row r="26" spans="1:2" x14ac:dyDescent="0.35">
      <c r="A26" s="49">
        <v>34029</v>
      </c>
      <c r="B26" s="50">
        <v>1083</v>
      </c>
    </row>
    <row r="27" spans="1:2" x14ac:dyDescent="0.35">
      <c r="A27" s="49">
        <v>34060</v>
      </c>
      <c r="B27" s="50">
        <v>1258</v>
      </c>
    </row>
    <row r="28" spans="1:2" x14ac:dyDescent="0.35">
      <c r="A28" s="49">
        <v>34090</v>
      </c>
      <c r="B28" s="50">
        <v>1260</v>
      </c>
    </row>
    <row r="29" spans="1:2" x14ac:dyDescent="0.35">
      <c r="A29" s="49">
        <v>34121</v>
      </c>
      <c r="B29" s="50">
        <v>1280</v>
      </c>
    </row>
    <row r="30" spans="1:2" x14ac:dyDescent="0.35">
      <c r="A30" s="49">
        <v>34151</v>
      </c>
      <c r="B30" s="50">
        <v>1254</v>
      </c>
    </row>
    <row r="31" spans="1:2" x14ac:dyDescent="0.35">
      <c r="A31" s="49">
        <v>34182</v>
      </c>
      <c r="B31" s="50">
        <v>1300</v>
      </c>
    </row>
    <row r="32" spans="1:2" x14ac:dyDescent="0.35">
      <c r="A32" s="49">
        <v>34213</v>
      </c>
      <c r="B32" s="50">
        <v>1343</v>
      </c>
    </row>
    <row r="33" spans="1:2" x14ac:dyDescent="0.35">
      <c r="A33" s="49">
        <v>34243</v>
      </c>
      <c r="B33" s="50">
        <v>1392</v>
      </c>
    </row>
    <row r="34" spans="1:2" x14ac:dyDescent="0.35">
      <c r="A34" s="49">
        <v>34274</v>
      </c>
      <c r="B34" s="50">
        <v>1376</v>
      </c>
    </row>
    <row r="35" spans="1:2" x14ac:dyDescent="0.35">
      <c r="A35" s="49">
        <v>34304</v>
      </c>
      <c r="B35" s="50">
        <v>1533</v>
      </c>
    </row>
    <row r="36" spans="1:2" x14ac:dyDescent="0.35">
      <c r="A36" s="49">
        <v>34335</v>
      </c>
      <c r="B36" s="50">
        <v>1272</v>
      </c>
    </row>
    <row r="37" spans="1:2" x14ac:dyDescent="0.35">
      <c r="A37" s="49">
        <v>34366</v>
      </c>
      <c r="B37" s="50">
        <v>1337</v>
      </c>
    </row>
    <row r="38" spans="1:2" x14ac:dyDescent="0.35">
      <c r="A38" s="49">
        <v>34394</v>
      </c>
      <c r="B38" s="50">
        <v>1564</v>
      </c>
    </row>
    <row r="39" spans="1:2" x14ac:dyDescent="0.35">
      <c r="A39" s="49">
        <v>34425</v>
      </c>
      <c r="B39" s="50">
        <v>1465</v>
      </c>
    </row>
    <row r="40" spans="1:2" x14ac:dyDescent="0.35">
      <c r="A40" s="49">
        <v>34455</v>
      </c>
      <c r="B40" s="50">
        <v>1526</v>
      </c>
    </row>
    <row r="41" spans="1:2" x14ac:dyDescent="0.35">
      <c r="A41" s="49">
        <v>34486</v>
      </c>
      <c r="B41" s="50">
        <v>1409</v>
      </c>
    </row>
    <row r="42" spans="1:2" x14ac:dyDescent="0.35">
      <c r="A42" s="49">
        <v>34516</v>
      </c>
      <c r="B42" s="50">
        <v>1439</v>
      </c>
    </row>
    <row r="43" spans="1:2" x14ac:dyDescent="0.35">
      <c r="A43" s="49">
        <v>34547</v>
      </c>
      <c r="B43" s="50">
        <v>1450</v>
      </c>
    </row>
    <row r="44" spans="1:2" x14ac:dyDescent="0.35">
      <c r="A44" s="49">
        <v>34578</v>
      </c>
      <c r="B44" s="50">
        <v>1474</v>
      </c>
    </row>
    <row r="45" spans="1:2" x14ac:dyDescent="0.35">
      <c r="A45" s="49">
        <v>34608</v>
      </c>
      <c r="B45" s="50">
        <v>1450</v>
      </c>
    </row>
    <row r="46" spans="1:2" x14ac:dyDescent="0.35">
      <c r="A46" s="49">
        <v>34639</v>
      </c>
      <c r="B46" s="50">
        <v>1511</v>
      </c>
    </row>
    <row r="47" spans="1:2" x14ac:dyDescent="0.35">
      <c r="A47" s="49">
        <v>34669</v>
      </c>
      <c r="B47" s="50">
        <v>1455</v>
      </c>
    </row>
    <row r="48" spans="1:2" x14ac:dyDescent="0.35">
      <c r="A48" s="49">
        <v>34700</v>
      </c>
      <c r="B48" s="50">
        <v>1407</v>
      </c>
    </row>
    <row r="49" spans="1:2" x14ac:dyDescent="0.35">
      <c r="A49" s="49">
        <v>34731</v>
      </c>
      <c r="B49" s="50">
        <v>1316</v>
      </c>
    </row>
    <row r="50" spans="1:2" x14ac:dyDescent="0.35">
      <c r="A50" s="49">
        <v>34759</v>
      </c>
      <c r="B50" s="50">
        <v>1249</v>
      </c>
    </row>
    <row r="51" spans="1:2" x14ac:dyDescent="0.35">
      <c r="A51" s="49">
        <v>34790</v>
      </c>
      <c r="B51" s="50">
        <v>1267</v>
      </c>
    </row>
    <row r="52" spans="1:2" x14ac:dyDescent="0.35">
      <c r="A52" s="49">
        <v>34820</v>
      </c>
      <c r="B52" s="50">
        <v>1314</v>
      </c>
    </row>
    <row r="53" spans="1:2" x14ac:dyDescent="0.35">
      <c r="A53" s="49">
        <v>34851</v>
      </c>
      <c r="B53" s="50">
        <v>1281</v>
      </c>
    </row>
    <row r="54" spans="1:2" x14ac:dyDescent="0.35">
      <c r="A54" s="49">
        <v>34881</v>
      </c>
      <c r="B54" s="50">
        <v>1461</v>
      </c>
    </row>
    <row r="55" spans="1:2" x14ac:dyDescent="0.35">
      <c r="A55" s="49">
        <v>34912</v>
      </c>
      <c r="B55" s="50">
        <v>1416</v>
      </c>
    </row>
    <row r="56" spans="1:2" x14ac:dyDescent="0.35">
      <c r="A56" s="49">
        <v>34943</v>
      </c>
      <c r="B56" s="50">
        <v>1369</v>
      </c>
    </row>
    <row r="57" spans="1:2" x14ac:dyDescent="0.35">
      <c r="A57" s="49">
        <v>34973</v>
      </c>
      <c r="B57" s="50">
        <v>1369</v>
      </c>
    </row>
    <row r="58" spans="1:2" x14ac:dyDescent="0.35">
      <c r="A58" s="49">
        <v>35004</v>
      </c>
      <c r="B58" s="50">
        <v>1452</v>
      </c>
    </row>
    <row r="59" spans="1:2" x14ac:dyDescent="0.35">
      <c r="A59" s="49">
        <v>35034</v>
      </c>
      <c r="B59" s="50">
        <v>1431</v>
      </c>
    </row>
    <row r="60" spans="1:2" x14ac:dyDescent="0.35">
      <c r="A60" s="49">
        <v>35065</v>
      </c>
      <c r="B60" s="50">
        <v>1467</v>
      </c>
    </row>
    <row r="61" spans="1:2" x14ac:dyDescent="0.35">
      <c r="A61" s="49">
        <v>35096</v>
      </c>
      <c r="B61" s="50">
        <v>1491</v>
      </c>
    </row>
    <row r="62" spans="1:2" x14ac:dyDescent="0.35">
      <c r="A62" s="49">
        <v>35125</v>
      </c>
      <c r="B62" s="50">
        <v>1424</v>
      </c>
    </row>
    <row r="63" spans="1:2" x14ac:dyDescent="0.35">
      <c r="A63" s="49">
        <v>35156</v>
      </c>
      <c r="B63" s="50">
        <v>1516</v>
      </c>
    </row>
    <row r="64" spans="1:2" x14ac:dyDescent="0.35">
      <c r="A64" s="49">
        <v>35186</v>
      </c>
      <c r="B64" s="50">
        <v>1504</v>
      </c>
    </row>
    <row r="65" spans="1:2" x14ac:dyDescent="0.35">
      <c r="A65" s="49">
        <v>35217</v>
      </c>
      <c r="B65" s="50">
        <v>1467</v>
      </c>
    </row>
    <row r="66" spans="1:2" x14ac:dyDescent="0.35">
      <c r="A66" s="49">
        <v>35247</v>
      </c>
      <c r="B66" s="50">
        <v>1472</v>
      </c>
    </row>
    <row r="67" spans="1:2" x14ac:dyDescent="0.35">
      <c r="A67" s="49">
        <v>35278</v>
      </c>
      <c r="B67" s="50">
        <v>1557</v>
      </c>
    </row>
    <row r="68" spans="1:2" x14ac:dyDescent="0.35">
      <c r="A68" s="49">
        <v>35309</v>
      </c>
      <c r="B68" s="50">
        <v>1475</v>
      </c>
    </row>
    <row r="69" spans="1:2" x14ac:dyDescent="0.35">
      <c r="A69" s="49">
        <v>35339</v>
      </c>
      <c r="B69" s="50">
        <v>1392</v>
      </c>
    </row>
    <row r="70" spans="1:2" x14ac:dyDescent="0.35">
      <c r="A70" s="49">
        <v>35370</v>
      </c>
      <c r="B70" s="50">
        <v>1489</v>
      </c>
    </row>
    <row r="71" spans="1:2" x14ac:dyDescent="0.35">
      <c r="A71" s="49">
        <v>35400</v>
      </c>
      <c r="B71" s="50">
        <v>1370</v>
      </c>
    </row>
    <row r="72" spans="1:2" x14ac:dyDescent="0.35">
      <c r="A72" s="49">
        <v>35431</v>
      </c>
      <c r="B72" s="50">
        <v>1355</v>
      </c>
    </row>
    <row r="73" spans="1:2" x14ac:dyDescent="0.35">
      <c r="A73" s="49">
        <v>35462</v>
      </c>
      <c r="B73" s="50">
        <v>1486</v>
      </c>
    </row>
    <row r="74" spans="1:2" x14ac:dyDescent="0.35">
      <c r="A74" s="49">
        <v>35490</v>
      </c>
      <c r="B74" s="50">
        <v>1457</v>
      </c>
    </row>
    <row r="75" spans="1:2" x14ac:dyDescent="0.35">
      <c r="A75" s="49">
        <v>35521</v>
      </c>
      <c r="B75" s="50">
        <v>1492</v>
      </c>
    </row>
    <row r="76" spans="1:2" x14ac:dyDescent="0.35">
      <c r="A76" s="49">
        <v>35551</v>
      </c>
      <c r="B76" s="50">
        <v>1442</v>
      </c>
    </row>
    <row r="77" spans="1:2" x14ac:dyDescent="0.35">
      <c r="A77" s="49">
        <v>35582</v>
      </c>
      <c r="B77" s="50">
        <v>1494</v>
      </c>
    </row>
    <row r="78" spans="1:2" x14ac:dyDescent="0.35">
      <c r="A78" s="49">
        <v>35612</v>
      </c>
      <c r="B78" s="50">
        <v>1437</v>
      </c>
    </row>
    <row r="79" spans="1:2" x14ac:dyDescent="0.35">
      <c r="A79" s="49">
        <v>35643</v>
      </c>
      <c r="B79" s="50">
        <v>1390</v>
      </c>
    </row>
    <row r="80" spans="1:2" x14ac:dyDescent="0.35">
      <c r="A80" s="49">
        <v>35674</v>
      </c>
      <c r="B80" s="50">
        <v>1546</v>
      </c>
    </row>
    <row r="81" spans="1:2" x14ac:dyDescent="0.35">
      <c r="A81" s="49">
        <v>35704</v>
      </c>
      <c r="B81" s="50">
        <v>1520</v>
      </c>
    </row>
    <row r="82" spans="1:2" x14ac:dyDescent="0.35">
      <c r="A82" s="49">
        <v>35735</v>
      </c>
      <c r="B82" s="50">
        <v>1510</v>
      </c>
    </row>
    <row r="83" spans="1:2" x14ac:dyDescent="0.35">
      <c r="A83" s="49">
        <v>35765</v>
      </c>
      <c r="B83" s="50">
        <v>1566</v>
      </c>
    </row>
    <row r="84" spans="1:2" x14ac:dyDescent="0.35">
      <c r="A84" s="49">
        <v>35796</v>
      </c>
      <c r="B84" s="50">
        <v>1525</v>
      </c>
    </row>
    <row r="85" spans="1:2" x14ac:dyDescent="0.35">
      <c r="A85" s="49">
        <v>35827</v>
      </c>
      <c r="B85" s="50">
        <v>1584</v>
      </c>
    </row>
    <row r="86" spans="1:2" x14ac:dyDescent="0.35">
      <c r="A86" s="49">
        <v>35855</v>
      </c>
      <c r="B86" s="50">
        <v>1567</v>
      </c>
    </row>
    <row r="87" spans="1:2" x14ac:dyDescent="0.35">
      <c r="A87" s="49">
        <v>35886</v>
      </c>
      <c r="B87" s="50">
        <v>1540</v>
      </c>
    </row>
    <row r="88" spans="1:2" x14ac:dyDescent="0.35">
      <c r="A88" s="49">
        <v>35916</v>
      </c>
      <c r="B88" s="50">
        <v>1536</v>
      </c>
    </row>
    <row r="89" spans="1:2" x14ac:dyDescent="0.35">
      <c r="A89" s="49">
        <v>35947</v>
      </c>
      <c r="B89" s="50">
        <v>1641</v>
      </c>
    </row>
    <row r="90" spans="1:2" x14ac:dyDescent="0.35">
      <c r="A90" s="49">
        <v>35977</v>
      </c>
      <c r="B90" s="50">
        <v>1698</v>
      </c>
    </row>
    <row r="91" spans="1:2" x14ac:dyDescent="0.35">
      <c r="A91" s="49">
        <v>36008</v>
      </c>
      <c r="B91" s="50">
        <v>1614</v>
      </c>
    </row>
    <row r="92" spans="1:2" x14ac:dyDescent="0.35">
      <c r="A92" s="49">
        <v>36039</v>
      </c>
      <c r="B92" s="50">
        <v>1582</v>
      </c>
    </row>
    <row r="93" spans="1:2" x14ac:dyDescent="0.35">
      <c r="A93" s="49">
        <v>36069</v>
      </c>
      <c r="B93" s="50">
        <v>1715</v>
      </c>
    </row>
    <row r="94" spans="1:2" x14ac:dyDescent="0.35">
      <c r="A94" s="49">
        <v>36100</v>
      </c>
      <c r="B94" s="50">
        <v>1660</v>
      </c>
    </row>
    <row r="95" spans="1:2" x14ac:dyDescent="0.35">
      <c r="A95" s="49">
        <v>36130</v>
      </c>
      <c r="B95" s="50">
        <v>1792</v>
      </c>
    </row>
    <row r="96" spans="1:2" x14ac:dyDescent="0.35">
      <c r="A96" s="49">
        <v>36161</v>
      </c>
      <c r="B96" s="50">
        <v>1748</v>
      </c>
    </row>
    <row r="97" spans="1:2" x14ac:dyDescent="0.35">
      <c r="A97" s="49">
        <v>36192</v>
      </c>
      <c r="B97" s="50">
        <v>1670</v>
      </c>
    </row>
    <row r="98" spans="1:2" x14ac:dyDescent="0.35">
      <c r="A98" s="49">
        <v>36220</v>
      </c>
      <c r="B98" s="50">
        <v>1710</v>
      </c>
    </row>
    <row r="99" spans="1:2" x14ac:dyDescent="0.35">
      <c r="A99" s="49">
        <v>36251</v>
      </c>
      <c r="B99" s="50">
        <v>1553</v>
      </c>
    </row>
    <row r="100" spans="1:2" x14ac:dyDescent="0.35">
      <c r="A100" s="49">
        <v>36281</v>
      </c>
      <c r="B100" s="50">
        <v>1611</v>
      </c>
    </row>
    <row r="101" spans="1:2" x14ac:dyDescent="0.35">
      <c r="A101" s="49">
        <v>36312</v>
      </c>
      <c r="B101" s="50">
        <v>1559</v>
      </c>
    </row>
    <row r="102" spans="1:2" x14ac:dyDescent="0.35">
      <c r="A102" s="49">
        <v>36342</v>
      </c>
      <c r="B102" s="50">
        <v>1669</v>
      </c>
    </row>
    <row r="103" spans="1:2" x14ac:dyDescent="0.35">
      <c r="A103" s="49">
        <v>36373</v>
      </c>
      <c r="B103" s="50">
        <v>1648</v>
      </c>
    </row>
    <row r="104" spans="1:2" x14ac:dyDescent="0.35">
      <c r="A104" s="49">
        <v>36404</v>
      </c>
      <c r="B104" s="50">
        <v>1635</v>
      </c>
    </row>
    <row r="105" spans="1:2" x14ac:dyDescent="0.35">
      <c r="A105" s="49">
        <v>36434</v>
      </c>
      <c r="B105" s="50">
        <v>1608</v>
      </c>
    </row>
    <row r="106" spans="1:2" x14ac:dyDescent="0.35">
      <c r="A106" s="49">
        <v>36465</v>
      </c>
      <c r="B106" s="50">
        <v>1648</v>
      </c>
    </row>
    <row r="107" spans="1:2" x14ac:dyDescent="0.35">
      <c r="A107" s="49">
        <v>36495</v>
      </c>
      <c r="B107" s="50">
        <v>1708</v>
      </c>
    </row>
    <row r="108" spans="1:2" x14ac:dyDescent="0.35">
      <c r="A108" s="49">
        <v>36526</v>
      </c>
      <c r="B108" s="50">
        <v>1636</v>
      </c>
    </row>
    <row r="109" spans="1:2" x14ac:dyDescent="0.35">
      <c r="A109" s="49">
        <v>36557</v>
      </c>
      <c r="B109" s="50">
        <v>1737</v>
      </c>
    </row>
    <row r="110" spans="1:2" x14ac:dyDescent="0.35">
      <c r="A110" s="49">
        <v>36586</v>
      </c>
      <c r="B110" s="50">
        <v>1604</v>
      </c>
    </row>
    <row r="111" spans="1:2" x14ac:dyDescent="0.35">
      <c r="A111" s="49">
        <v>36617</v>
      </c>
      <c r="B111" s="50">
        <v>1626</v>
      </c>
    </row>
    <row r="112" spans="1:2" x14ac:dyDescent="0.35">
      <c r="A112" s="49">
        <v>36647</v>
      </c>
      <c r="B112" s="50">
        <v>1575</v>
      </c>
    </row>
    <row r="113" spans="1:2" x14ac:dyDescent="0.35">
      <c r="A113" s="49">
        <v>36678</v>
      </c>
      <c r="B113" s="50">
        <v>1559</v>
      </c>
    </row>
    <row r="114" spans="1:2" x14ac:dyDescent="0.35">
      <c r="A114" s="49">
        <v>36708</v>
      </c>
      <c r="B114" s="50">
        <v>1463</v>
      </c>
    </row>
    <row r="115" spans="1:2" x14ac:dyDescent="0.35">
      <c r="A115" s="49">
        <v>36739</v>
      </c>
      <c r="B115" s="50">
        <v>1541</v>
      </c>
    </row>
    <row r="116" spans="1:2" x14ac:dyDescent="0.35">
      <c r="A116" s="49">
        <v>36770</v>
      </c>
      <c r="B116" s="50">
        <v>1507</v>
      </c>
    </row>
    <row r="117" spans="1:2" x14ac:dyDescent="0.35">
      <c r="A117" s="49">
        <v>36800</v>
      </c>
      <c r="B117" s="50">
        <v>1549</v>
      </c>
    </row>
    <row r="118" spans="1:2" x14ac:dyDescent="0.35">
      <c r="A118" s="49">
        <v>36831</v>
      </c>
      <c r="B118" s="50">
        <v>1551</v>
      </c>
    </row>
    <row r="119" spans="1:2" x14ac:dyDescent="0.35">
      <c r="A119" s="49">
        <v>36861</v>
      </c>
      <c r="B119" s="50">
        <v>1532</v>
      </c>
    </row>
    <row r="120" spans="1:2" x14ac:dyDescent="0.35">
      <c r="A120" s="49">
        <v>36892</v>
      </c>
      <c r="B120" s="50">
        <v>1600</v>
      </c>
    </row>
    <row r="121" spans="1:2" x14ac:dyDescent="0.35">
      <c r="A121" s="49">
        <v>36923</v>
      </c>
      <c r="B121" s="50">
        <v>1625</v>
      </c>
    </row>
    <row r="122" spans="1:2" x14ac:dyDescent="0.35">
      <c r="A122" s="49">
        <v>36951</v>
      </c>
      <c r="B122" s="50">
        <v>1590</v>
      </c>
    </row>
    <row r="123" spans="1:2" x14ac:dyDescent="0.35">
      <c r="A123" s="49">
        <v>36982</v>
      </c>
      <c r="B123" s="50">
        <v>1649</v>
      </c>
    </row>
    <row r="124" spans="1:2" x14ac:dyDescent="0.35">
      <c r="A124" s="49">
        <v>37012</v>
      </c>
      <c r="B124" s="50">
        <v>1605</v>
      </c>
    </row>
    <row r="125" spans="1:2" x14ac:dyDescent="0.35">
      <c r="A125" s="49">
        <v>37043</v>
      </c>
      <c r="B125" s="50">
        <v>1636</v>
      </c>
    </row>
    <row r="126" spans="1:2" x14ac:dyDescent="0.35">
      <c r="A126" s="49">
        <v>37073</v>
      </c>
      <c r="B126" s="50">
        <v>1670</v>
      </c>
    </row>
    <row r="127" spans="1:2" x14ac:dyDescent="0.35">
      <c r="A127" s="49">
        <v>37104</v>
      </c>
      <c r="B127" s="50">
        <v>1567</v>
      </c>
    </row>
    <row r="128" spans="1:2" x14ac:dyDescent="0.35">
      <c r="A128" s="49">
        <v>37135</v>
      </c>
      <c r="B128" s="50">
        <v>1562</v>
      </c>
    </row>
    <row r="129" spans="1:2" x14ac:dyDescent="0.35">
      <c r="A129" s="49">
        <v>37165</v>
      </c>
      <c r="B129" s="50">
        <v>1540</v>
      </c>
    </row>
    <row r="130" spans="1:2" x14ac:dyDescent="0.35">
      <c r="A130" s="49">
        <v>37196</v>
      </c>
      <c r="B130" s="50">
        <v>1602</v>
      </c>
    </row>
    <row r="131" spans="1:2" x14ac:dyDescent="0.35">
      <c r="A131" s="49">
        <v>37226</v>
      </c>
      <c r="B131" s="50">
        <v>1568</v>
      </c>
    </row>
    <row r="132" spans="1:2" x14ac:dyDescent="0.35">
      <c r="A132" s="49">
        <v>37257</v>
      </c>
      <c r="B132" s="50">
        <v>1698</v>
      </c>
    </row>
    <row r="133" spans="1:2" x14ac:dyDescent="0.35">
      <c r="A133" s="49">
        <v>37288</v>
      </c>
      <c r="B133" s="50">
        <v>1829</v>
      </c>
    </row>
    <row r="134" spans="1:2" x14ac:dyDescent="0.35">
      <c r="A134" s="49">
        <v>37316</v>
      </c>
      <c r="B134" s="50">
        <v>1642</v>
      </c>
    </row>
    <row r="135" spans="1:2" x14ac:dyDescent="0.35">
      <c r="A135" s="49">
        <v>37347</v>
      </c>
      <c r="B135" s="50">
        <v>1592</v>
      </c>
    </row>
    <row r="136" spans="1:2" x14ac:dyDescent="0.35">
      <c r="A136" s="49">
        <v>37377</v>
      </c>
      <c r="B136" s="50">
        <v>1764</v>
      </c>
    </row>
    <row r="137" spans="1:2" x14ac:dyDescent="0.35">
      <c r="A137" s="49">
        <v>37408</v>
      </c>
      <c r="B137" s="50">
        <v>1717</v>
      </c>
    </row>
    <row r="138" spans="1:2" x14ac:dyDescent="0.35">
      <c r="A138" s="49">
        <v>37438</v>
      </c>
      <c r="B138" s="50">
        <v>1655</v>
      </c>
    </row>
    <row r="139" spans="1:2" x14ac:dyDescent="0.35">
      <c r="A139" s="49">
        <v>37469</v>
      </c>
      <c r="B139" s="50">
        <v>1633</v>
      </c>
    </row>
    <row r="140" spans="1:2" x14ac:dyDescent="0.35">
      <c r="A140" s="49">
        <v>37500</v>
      </c>
      <c r="B140" s="50">
        <v>1804</v>
      </c>
    </row>
    <row r="141" spans="1:2" x14ac:dyDescent="0.35">
      <c r="A141" s="49">
        <v>37530</v>
      </c>
      <c r="B141" s="50">
        <v>1648</v>
      </c>
    </row>
    <row r="142" spans="1:2" x14ac:dyDescent="0.35">
      <c r="A142" s="49">
        <v>37561</v>
      </c>
      <c r="B142" s="50">
        <v>1753</v>
      </c>
    </row>
    <row r="143" spans="1:2" x14ac:dyDescent="0.35">
      <c r="A143" s="49">
        <v>37591</v>
      </c>
      <c r="B143" s="50">
        <v>1788</v>
      </c>
    </row>
    <row r="144" spans="1:2" x14ac:dyDescent="0.35">
      <c r="A144" s="49">
        <v>37622</v>
      </c>
      <c r="B144" s="50">
        <v>1853</v>
      </c>
    </row>
    <row r="145" spans="1:2" x14ac:dyDescent="0.35">
      <c r="A145" s="49">
        <v>37653</v>
      </c>
      <c r="B145" s="50">
        <v>1629</v>
      </c>
    </row>
    <row r="146" spans="1:2" x14ac:dyDescent="0.35">
      <c r="A146" s="49">
        <v>37681</v>
      </c>
      <c r="B146" s="50">
        <v>1726</v>
      </c>
    </row>
    <row r="147" spans="1:2" x14ac:dyDescent="0.35">
      <c r="A147" s="49">
        <v>37712</v>
      </c>
      <c r="B147" s="50">
        <v>1643</v>
      </c>
    </row>
    <row r="148" spans="1:2" x14ac:dyDescent="0.35">
      <c r="A148" s="49">
        <v>37742</v>
      </c>
      <c r="B148" s="50">
        <v>1751</v>
      </c>
    </row>
    <row r="149" spans="1:2" x14ac:dyDescent="0.35">
      <c r="A149" s="49">
        <v>37773</v>
      </c>
      <c r="B149" s="50">
        <v>1867</v>
      </c>
    </row>
    <row r="150" spans="1:2" x14ac:dyDescent="0.35">
      <c r="A150" s="49">
        <v>37803</v>
      </c>
      <c r="B150" s="50">
        <v>1897</v>
      </c>
    </row>
    <row r="151" spans="1:2" x14ac:dyDescent="0.35">
      <c r="A151" s="49">
        <v>37834</v>
      </c>
      <c r="B151" s="50">
        <v>1833</v>
      </c>
    </row>
    <row r="152" spans="1:2" x14ac:dyDescent="0.35">
      <c r="A152" s="49">
        <v>37865</v>
      </c>
      <c r="B152" s="50">
        <v>1939</v>
      </c>
    </row>
    <row r="153" spans="1:2" x14ac:dyDescent="0.35">
      <c r="A153" s="49">
        <v>37895</v>
      </c>
      <c r="B153" s="50">
        <v>1967</v>
      </c>
    </row>
    <row r="154" spans="1:2" x14ac:dyDescent="0.35">
      <c r="A154" s="49">
        <v>37926</v>
      </c>
      <c r="B154" s="50">
        <v>2083</v>
      </c>
    </row>
    <row r="155" spans="1:2" x14ac:dyDescent="0.35">
      <c r="A155" s="49">
        <v>37956</v>
      </c>
      <c r="B155" s="50">
        <v>2057</v>
      </c>
    </row>
    <row r="156" spans="1:2" x14ac:dyDescent="0.35">
      <c r="A156" s="49">
        <v>37987</v>
      </c>
      <c r="B156" s="50">
        <v>1911</v>
      </c>
    </row>
    <row r="157" spans="1:2" x14ac:dyDescent="0.35">
      <c r="A157" s="49">
        <v>38018</v>
      </c>
      <c r="B157" s="50">
        <v>1846</v>
      </c>
    </row>
    <row r="158" spans="1:2" x14ac:dyDescent="0.35">
      <c r="A158" s="49">
        <v>38047</v>
      </c>
      <c r="B158" s="50">
        <v>1998</v>
      </c>
    </row>
    <row r="159" spans="1:2" x14ac:dyDescent="0.35">
      <c r="A159" s="49">
        <v>38078</v>
      </c>
      <c r="B159" s="50">
        <v>2003</v>
      </c>
    </row>
    <row r="160" spans="1:2" x14ac:dyDescent="0.35">
      <c r="A160" s="49">
        <v>38108</v>
      </c>
      <c r="B160" s="50">
        <v>1981</v>
      </c>
    </row>
    <row r="161" spans="1:2" x14ac:dyDescent="0.35">
      <c r="A161" s="49">
        <v>38139</v>
      </c>
      <c r="B161" s="50">
        <v>1828</v>
      </c>
    </row>
    <row r="162" spans="1:2" x14ac:dyDescent="0.35">
      <c r="A162" s="49">
        <v>38169</v>
      </c>
      <c r="B162" s="50">
        <v>2002</v>
      </c>
    </row>
    <row r="163" spans="1:2" x14ac:dyDescent="0.35">
      <c r="A163" s="49">
        <v>38200</v>
      </c>
      <c r="B163" s="50">
        <v>2024</v>
      </c>
    </row>
    <row r="164" spans="1:2" x14ac:dyDescent="0.35">
      <c r="A164" s="49">
        <v>38231</v>
      </c>
      <c r="B164" s="50">
        <v>1905</v>
      </c>
    </row>
    <row r="165" spans="1:2" x14ac:dyDescent="0.35">
      <c r="A165" s="49">
        <v>38261</v>
      </c>
      <c r="B165" s="50">
        <v>2072</v>
      </c>
    </row>
    <row r="166" spans="1:2" x14ac:dyDescent="0.35">
      <c r="A166" s="49">
        <v>38292</v>
      </c>
      <c r="B166" s="50">
        <v>1782</v>
      </c>
    </row>
    <row r="167" spans="1:2" x14ac:dyDescent="0.35">
      <c r="A167" s="49">
        <v>38322</v>
      </c>
      <c r="B167" s="50">
        <v>2042</v>
      </c>
    </row>
    <row r="168" spans="1:2" x14ac:dyDescent="0.35">
      <c r="A168" s="49">
        <v>38353</v>
      </c>
      <c r="B168" s="50">
        <v>2144</v>
      </c>
    </row>
    <row r="169" spans="1:2" x14ac:dyDescent="0.35">
      <c r="A169" s="49">
        <v>38384</v>
      </c>
      <c r="B169" s="50">
        <v>2207</v>
      </c>
    </row>
    <row r="170" spans="1:2" x14ac:dyDescent="0.35">
      <c r="A170" s="49">
        <v>38412</v>
      </c>
      <c r="B170" s="50">
        <v>1864</v>
      </c>
    </row>
    <row r="171" spans="1:2" x14ac:dyDescent="0.35">
      <c r="A171" s="49">
        <v>38443</v>
      </c>
      <c r="B171" s="50">
        <v>2061</v>
      </c>
    </row>
    <row r="172" spans="1:2" x14ac:dyDescent="0.35">
      <c r="A172" s="49">
        <v>38473</v>
      </c>
      <c r="B172" s="50">
        <v>2025</v>
      </c>
    </row>
    <row r="173" spans="1:2" x14ac:dyDescent="0.35">
      <c r="A173" s="49">
        <v>38504</v>
      </c>
      <c r="B173" s="50">
        <v>2068</v>
      </c>
    </row>
    <row r="174" spans="1:2" x14ac:dyDescent="0.35">
      <c r="A174" s="49">
        <v>38534</v>
      </c>
      <c r="B174" s="50">
        <v>2054</v>
      </c>
    </row>
    <row r="175" spans="1:2" x14ac:dyDescent="0.35">
      <c r="A175" s="49">
        <v>38565</v>
      </c>
      <c r="B175" s="50">
        <v>2095</v>
      </c>
    </row>
    <row r="176" spans="1:2" x14ac:dyDescent="0.35">
      <c r="A176" s="49">
        <v>38596</v>
      </c>
      <c r="B176" s="50">
        <v>2151</v>
      </c>
    </row>
    <row r="177" spans="1:2" x14ac:dyDescent="0.35">
      <c r="A177" s="49">
        <v>38626</v>
      </c>
      <c r="B177" s="50">
        <v>2065</v>
      </c>
    </row>
    <row r="178" spans="1:2" x14ac:dyDescent="0.35">
      <c r="A178" s="49">
        <v>38657</v>
      </c>
      <c r="B178" s="50">
        <v>2147</v>
      </c>
    </row>
    <row r="179" spans="1:2" x14ac:dyDescent="0.35">
      <c r="A179" s="49">
        <v>38687</v>
      </c>
      <c r="B179" s="50">
        <v>1994</v>
      </c>
    </row>
    <row r="180" spans="1:2" x14ac:dyDescent="0.35">
      <c r="A180" s="49">
        <v>38718</v>
      </c>
      <c r="B180" s="50">
        <v>2273</v>
      </c>
    </row>
    <row r="181" spans="1:2" x14ac:dyDescent="0.35">
      <c r="A181" s="49">
        <v>38749</v>
      </c>
      <c r="B181" s="50">
        <v>2119</v>
      </c>
    </row>
    <row r="182" spans="1:2" x14ac:dyDescent="0.35">
      <c r="A182" s="49">
        <v>38777</v>
      </c>
      <c r="B182" s="50">
        <v>1969</v>
      </c>
    </row>
    <row r="183" spans="1:2" x14ac:dyDescent="0.35">
      <c r="A183" s="49">
        <v>38808</v>
      </c>
      <c r="B183" s="50">
        <v>1821</v>
      </c>
    </row>
    <row r="184" spans="1:2" x14ac:dyDescent="0.35">
      <c r="A184" s="49">
        <v>38838</v>
      </c>
      <c r="B184" s="50">
        <v>1942</v>
      </c>
    </row>
    <row r="185" spans="1:2" x14ac:dyDescent="0.35">
      <c r="A185" s="49">
        <v>38869</v>
      </c>
      <c r="B185" s="50">
        <v>1802</v>
      </c>
    </row>
    <row r="186" spans="1:2" x14ac:dyDescent="0.35">
      <c r="A186" s="49">
        <v>38899</v>
      </c>
      <c r="B186" s="50">
        <v>1737</v>
      </c>
    </row>
    <row r="187" spans="1:2" x14ac:dyDescent="0.35">
      <c r="A187" s="49">
        <v>38930</v>
      </c>
      <c r="B187" s="50">
        <v>1650</v>
      </c>
    </row>
    <row r="188" spans="1:2" x14ac:dyDescent="0.35">
      <c r="A188" s="49">
        <v>38961</v>
      </c>
      <c r="B188" s="50">
        <v>1720</v>
      </c>
    </row>
    <row r="189" spans="1:2" x14ac:dyDescent="0.35">
      <c r="A189" s="49">
        <v>38991</v>
      </c>
      <c r="B189" s="50">
        <v>1491</v>
      </c>
    </row>
    <row r="190" spans="1:2" x14ac:dyDescent="0.35">
      <c r="A190" s="49">
        <v>39022</v>
      </c>
      <c r="B190" s="50">
        <v>1570</v>
      </c>
    </row>
    <row r="191" spans="1:2" x14ac:dyDescent="0.35">
      <c r="A191" s="49">
        <v>39052</v>
      </c>
      <c r="B191" s="50">
        <v>1649</v>
      </c>
    </row>
    <row r="192" spans="1:2" x14ac:dyDescent="0.35">
      <c r="A192" s="49">
        <v>39083</v>
      </c>
      <c r="B192" s="50">
        <v>1409</v>
      </c>
    </row>
    <row r="193" spans="1:2" x14ac:dyDescent="0.35">
      <c r="A193" s="49">
        <v>39114</v>
      </c>
      <c r="B193" s="50">
        <v>1480</v>
      </c>
    </row>
    <row r="194" spans="1:2" x14ac:dyDescent="0.35">
      <c r="A194" s="49">
        <v>39142</v>
      </c>
      <c r="B194" s="50">
        <v>1495</v>
      </c>
    </row>
    <row r="195" spans="1:2" x14ac:dyDescent="0.35">
      <c r="A195" s="49">
        <v>39173</v>
      </c>
      <c r="B195" s="50">
        <v>1490</v>
      </c>
    </row>
    <row r="196" spans="1:2" x14ac:dyDescent="0.35">
      <c r="A196" s="49">
        <v>39203</v>
      </c>
      <c r="B196" s="50">
        <v>1415</v>
      </c>
    </row>
    <row r="197" spans="1:2" x14ac:dyDescent="0.35">
      <c r="A197" s="49">
        <v>39234</v>
      </c>
      <c r="B197" s="50">
        <v>1448</v>
      </c>
    </row>
    <row r="198" spans="1:2" x14ac:dyDescent="0.35">
      <c r="A198" s="49">
        <v>39264</v>
      </c>
      <c r="B198" s="50">
        <v>1354</v>
      </c>
    </row>
    <row r="199" spans="1:2" x14ac:dyDescent="0.35">
      <c r="A199" s="49">
        <v>39295</v>
      </c>
      <c r="B199" s="50">
        <v>1330</v>
      </c>
    </row>
    <row r="200" spans="1:2" x14ac:dyDescent="0.35">
      <c r="A200" s="49">
        <v>39326</v>
      </c>
      <c r="B200" s="50">
        <v>1183</v>
      </c>
    </row>
    <row r="201" spans="1:2" x14ac:dyDescent="0.35">
      <c r="A201" s="49">
        <v>39356</v>
      </c>
      <c r="B201" s="50">
        <v>1264</v>
      </c>
    </row>
    <row r="202" spans="1:2" x14ac:dyDescent="0.35">
      <c r="A202" s="49">
        <v>39387</v>
      </c>
      <c r="B202" s="50">
        <v>1197</v>
      </c>
    </row>
    <row r="203" spans="1:2" x14ac:dyDescent="0.35">
      <c r="A203" s="49">
        <v>39417</v>
      </c>
      <c r="B203" s="50">
        <v>1037</v>
      </c>
    </row>
    <row r="204" spans="1:2" x14ac:dyDescent="0.35">
      <c r="A204" s="49">
        <v>39448</v>
      </c>
      <c r="B204" s="50">
        <v>1084</v>
      </c>
    </row>
    <row r="205" spans="1:2" x14ac:dyDescent="0.35">
      <c r="A205" s="49">
        <v>39479</v>
      </c>
      <c r="B205" s="50">
        <v>1103</v>
      </c>
    </row>
    <row r="206" spans="1:2" x14ac:dyDescent="0.35">
      <c r="A206" s="49">
        <v>39508</v>
      </c>
      <c r="B206" s="50">
        <v>1005</v>
      </c>
    </row>
    <row r="207" spans="1:2" x14ac:dyDescent="0.35">
      <c r="A207" s="49">
        <v>39539</v>
      </c>
      <c r="B207" s="50">
        <v>1013</v>
      </c>
    </row>
    <row r="208" spans="1:2" x14ac:dyDescent="0.35">
      <c r="A208" s="49">
        <v>39569</v>
      </c>
      <c r="B208" s="50">
        <v>973</v>
      </c>
    </row>
    <row r="209" spans="1:2" x14ac:dyDescent="0.35">
      <c r="A209" s="49">
        <v>39600</v>
      </c>
      <c r="B209" s="50">
        <v>1046</v>
      </c>
    </row>
    <row r="210" spans="1:2" x14ac:dyDescent="0.35">
      <c r="A210" s="49">
        <v>39630</v>
      </c>
      <c r="B210" s="50">
        <v>923</v>
      </c>
    </row>
    <row r="211" spans="1:2" x14ac:dyDescent="0.35">
      <c r="A211" s="49">
        <v>39661</v>
      </c>
      <c r="B211" s="50">
        <v>844</v>
      </c>
    </row>
    <row r="212" spans="1:2" x14ac:dyDescent="0.35">
      <c r="A212" s="49">
        <v>39692</v>
      </c>
      <c r="B212" s="50">
        <v>820</v>
      </c>
    </row>
    <row r="213" spans="1:2" x14ac:dyDescent="0.35">
      <c r="A213" s="49">
        <v>39722</v>
      </c>
      <c r="B213" s="50">
        <v>777</v>
      </c>
    </row>
    <row r="214" spans="1:2" x14ac:dyDescent="0.35">
      <c r="A214" s="49">
        <v>39753</v>
      </c>
      <c r="B214" s="50">
        <v>652</v>
      </c>
    </row>
    <row r="215" spans="1:2" x14ac:dyDescent="0.35">
      <c r="A215" s="49">
        <v>39783</v>
      </c>
      <c r="B215" s="50">
        <v>560</v>
      </c>
    </row>
    <row r="216" spans="1:2" x14ac:dyDescent="0.35">
      <c r="A216" s="49">
        <v>39814</v>
      </c>
      <c r="B216" s="50">
        <v>490</v>
      </c>
    </row>
    <row r="217" spans="1:2" x14ac:dyDescent="0.35">
      <c r="A217" s="49">
        <v>39845</v>
      </c>
      <c r="B217" s="50">
        <v>582</v>
      </c>
    </row>
    <row r="218" spans="1:2" x14ac:dyDescent="0.35">
      <c r="A218" s="49">
        <v>39873</v>
      </c>
      <c r="B218" s="50">
        <v>505</v>
      </c>
    </row>
    <row r="219" spans="1:2" x14ac:dyDescent="0.35">
      <c r="A219" s="49">
        <v>39904</v>
      </c>
      <c r="B219" s="50">
        <v>478</v>
      </c>
    </row>
    <row r="220" spans="1:2" x14ac:dyDescent="0.35">
      <c r="A220" s="49">
        <v>39934</v>
      </c>
      <c r="B220" s="50">
        <v>540</v>
      </c>
    </row>
    <row r="221" spans="1:2" x14ac:dyDescent="0.35">
      <c r="A221" s="49">
        <v>39965</v>
      </c>
      <c r="B221" s="50">
        <v>585</v>
      </c>
    </row>
    <row r="222" spans="1:2" x14ac:dyDescent="0.35">
      <c r="A222" s="49">
        <v>39995</v>
      </c>
      <c r="B222" s="50">
        <v>594</v>
      </c>
    </row>
    <row r="223" spans="1:2" x14ac:dyDescent="0.35">
      <c r="A223" s="49">
        <v>40026</v>
      </c>
      <c r="B223" s="50">
        <v>586</v>
      </c>
    </row>
    <row r="224" spans="1:2" x14ac:dyDescent="0.35">
      <c r="A224" s="49">
        <v>40057</v>
      </c>
      <c r="B224" s="50">
        <v>585</v>
      </c>
    </row>
    <row r="225" spans="1:2" x14ac:dyDescent="0.35">
      <c r="A225" s="49">
        <v>40087</v>
      </c>
      <c r="B225" s="50">
        <v>534</v>
      </c>
    </row>
    <row r="226" spans="1:2" x14ac:dyDescent="0.35">
      <c r="A226" s="49">
        <v>40118</v>
      </c>
      <c r="B226" s="50">
        <v>588</v>
      </c>
    </row>
    <row r="227" spans="1:2" x14ac:dyDescent="0.35">
      <c r="A227" s="49">
        <v>40148</v>
      </c>
      <c r="B227" s="50">
        <v>581</v>
      </c>
    </row>
    <row r="228" spans="1:2" x14ac:dyDescent="0.35">
      <c r="A228" s="49">
        <v>40179</v>
      </c>
      <c r="B228" s="50">
        <v>614</v>
      </c>
    </row>
    <row r="229" spans="1:2" x14ac:dyDescent="0.35">
      <c r="A229" s="49">
        <v>40210</v>
      </c>
      <c r="B229" s="50">
        <v>604</v>
      </c>
    </row>
    <row r="230" spans="1:2" x14ac:dyDescent="0.35">
      <c r="A230" s="49">
        <v>40238</v>
      </c>
      <c r="B230" s="50">
        <v>636</v>
      </c>
    </row>
    <row r="231" spans="1:2" x14ac:dyDescent="0.35">
      <c r="A231" s="49">
        <v>40269</v>
      </c>
      <c r="B231" s="50">
        <v>687</v>
      </c>
    </row>
    <row r="232" spans="1:2" x14ac:dyDescent="0.35">
      <c r="A232" s="49">
        <v>40299</v>
      </c>
      <c r="B232" s="50">
        <v>583</v>
      </c>
    </row>
    <row r="233" spans="1:2" x14ac:dyDescent="0.35">
      <c r="A233" s="49">
        <v>40330</v>
      </c>
      <c r="B233" s="50">
        <v>536</v>
      </c>
    </row>
    <row r="234" spans="1:2" x14ac:dyDescent="0.35">
      <c r="A234" s="49">
        <v>40360</v>
      </c>
      <c r="B234" s="50">
        <v>546</v>
      </c>
    </row>
    <row r="235" spans="1:2" x14ac:dyDescent="0.35">
      <c r="A235" s="49">
        <v>40391</v>
      </c>
      <c r="B235" s="50">
        <v>599</v>
      </c>
    </row>
    <row r="236" spans="1:2" x14ac:dyDescent="0.35">
      <c r="A236" s="49">
        <v>40422</v>
      </c>
      <c r="B236" s="50">
        <v>594</v>
      </c>
    </row>
    <row r="237" spans="1:2" x14ac:dyDescent="0.35">
      <c r="A237" s="49">
        <v>40452</v>
      </c>
      <c r="B237" s="50">
        <v>543</v>
      </c>
    </row>
    <row r="238" spans="1:2" x14ac:dyDescent="0.35">
      <c r="A238" s="49">
        <v>40483</v>
      </c>
      <c r="B238" s="50">
        <v>545</v>
      </c>
    </row>
    <row r="239" spans="1:2" x14ac:dyDescent="0.35">
      <c r="A239" s="49">
        <v>40513</v>
      </c>
      <c r="B239" s="50">
        <v>539</v>
      </c>
    </row>
    <row r="240" spans="1:2" x14ac:dyDescent="0.35">
      <c r="A240" s="49">
        <v>40544</v>
      </c>
      <c r="B240" s="50">
        <v>630</v>
      </c>
    </row>
    <row r="241" spans="1:2" x14ac:dyDescent="0.35">
      <c r="A241" s="49">
        <v>40575</v>
      </c>
      <c r="B241" s="50">
        <v>517</v>
      </c>
    </row>
    <row r="242" spans="1:2" x14ac:dyDescent="0.35">
      <c r="A242" s="49">
        <v>40603</v>
      </c>
      <c r="B242" s="50">
        <v>600</v>
      </c>
    </row>
    <row r="243" spans="1:2" x14ac:dyDescent="0.35">
      <c r="A243" s="49">
        <v>40634</v>
      </c>
      <c r="B243" s="50">
        <v>554</v>
      </c>
    </row>
    <row r="244" spans="1:2" x14ac:dyDescent="0.35">
      <c r="A244" s="49">
        <v>40664</v>
      </c>
      <c r="B244" s="50">
        <v>561</v>
      </c>
    </row>
    <row r="245" spans="1:2" x14ac:dyDescent="0.35">
      <c r="A245" s="49">
        <v>40695</v>
      </c>
      <c r="B245" s="50">
        <v>608</v>
      </c>
    </row>
    <row r="246" spans="1:2" x14ac:dyDescent="0.35">
      <c r="A246" s="49">
        <v>40725</v>
      </c>
      <c r="B246" s="50">
        <v>623</v>
      </c>
    </row>
    <row r="247" spans="1:2" x14ac:dyDescent="0.35">
      <c r="A247" s="49">
        <v>40756</v>
      </c>
      <c r="B247" s="50">
        <v>585</v>
      </c>
    </row>
    <row r="248" spans="1:2" x14ac:dyDescent="0.35">
      <c r="A248" s="49">
        <v>40787</v>
      </c>
      <c r="B248" s="50">
        <v>650</v>
      </c>
    </row>
    <row r="249" spans="1:2" x14ac:dyDescent="0.35">
      <c r="A249" s="49">
        <v>40817</v>
      </c>
      <c r="B249" s="50">
        <v>610</v>
      </c>
    </row>
    <row r="250" spans="1:2" x14ac:dyDescent="0.35">
      <c r="A250" s="49">
        <v>40848</v>
      </c>
      <c r="B250" s="50">
        <v>711</v>
      </c>
    </row>
    <row r="251" spans="1:2" x14ac:dyDescent="0.35">
      <c r="A251" s="49">
        <v>40878</v>
      </c>
      <c r="B251" s="50">
        <v>694</v>
      </c>
    </row>
    <row r="252" spans="1:2" x14ac:dyDescent="0.35">
      <c r="A252" s="49">
        <v>40909</v>
      </c>
      <c r="B252" s="50">
        <v>723</v>
      </c>
    </row>
    <row r="253" spans="1:2" x14ac:dyDescent="0.35">
      <c r="A253" s="49">
        <v>40940</v>
      </c>
      <c r="B253" s="50">
        <v>704</v>
      </c>
    </row>
    <row r="254" spans="1:2" x14ac:dyDescent="0.35">
      <c r="A254" s="49">
        <v>40969</v>
      </c>
      <c r="B254" s="50">
        <v>695</v>
      </c>
    </row>
    <row r="255" spans="1:2" x14ac:dyDescent="0.35">
      <c r="A255" s="49">
        <v>41000</v>
      </c>
      <c r="B255" s="50">
        <v>753</v>
      </c>
    </row>
    <row r="256" spans="1:2" x14ac:dyDescent="0.35">
      <c r="A256" s="49">
        <v>41030</v>
      </c>
      <c r="B256" s="50">
        <v>708</v>
      </c>
    </row>
    <row r="257" spans="1:2" x14ac:dyDescent="0.35">
      <c r="A257" s="49">
        <v>41061</v>
      </c>
      <c r="B257" s="50">
        <v>757</v>
      </c>
    </row>
    <row r="258" spans="1:2" x14ac:dyDescent="0.35">
      <c r="A258" s="49">
        <v>41091</v>
      </c>
      <c r="B258" s="50">
        <v>740</v>
      </c>
    </row>
    <row r="259" spans="1:2" x14ac:dyDescent="0.35">
      <c r="A259" s="49">
        <v>41122</v>
      </c>
      <c r="B259" s="50">
        <v>754</v>
      </c>
    </row>
    <row r="260" spans="1:2" x14ac:dyDescent="0.35">
      <c r="A260" s="49">
        <v>41153</v>
      </c>
      <c r="B260" s="50">
        <v>847</v>
      </c>
    </row>
    <row r="261" spans="1:2" x14ac:dyDescent="0.35">
      <c r="A261" s="49">
        <v>41183</v>
      </c>
      <c r="B261" s="50">
        <v>915</v>
      </c>
    </row>
    <row r="262" spans="1:2" x14ac:dyDescent="0.35">
      <c r="A262" s="49">
        <v>41214</v>
      </c>
      <c r="B262" s="50">
        <v>833</v>
      </c>
    </row>
    <row r="263" spans="1:2" x14ac:dyDescent="0.35">
      <c r="A263" s="49">
        <v>41244</v>
      </c>
      <c r="B263" s="50">
        <v>976</v>
      </c>
    </row>
    <row r="264" spans="1:2" x14ac:dyDescent="0.35">
      <c r="A264" s="49">
        <v>41275</v>
      </c>
      <c r="B264" s="50">
        <v>888</v>
      </c>
    </row>
    <row r="265" spans="1:2" x14ac:dyDescent="0.35">
      <c r="A265" s="49">
        <v>41306</v>
      </c>
      <c r="B265" s="50">
        <v>970</v>
      </c>
    </row>
    <row r="266" spans="1:2" x14ac:dyDescent="0.35">
      <c r="A266" s="49">
        <v>41334</v>
      </c>
      <c r="B266" s="50">
        <v>999</v>
      </c>
    </row>
    <row r="267" spans="1:2" x14ac:dyDescent="0.35">
      <c r="A267" s="49">
        <v>41365</v>
      </c>
      <c r="B267" s="50">
        <v>826</v>
      </c>
    </row>
    <row r="268" spans="1:2" x14ac:dyDescent="0.35">
      <c r="A268" s="49">
        <v>41395</v>
      </c>
      <c r="B268" s="50">
        <v>920</v>
      </c>
    </row>
    <row r="269" spans="1:2" x14ac:dyDescent="0.35">
      <c r="A269" s="49">
        <v>41426</v>
      </c>
      <c r="B269" s="50">
        <v>852</v>
      </c>
    </row>
    <row r="270" spans="1:2" x14ac:dyDescent="0.35">
      <c r="A270" s="49">
        <v>41456</v>
      </c>
      <c r="B270" s="50">
        <v>891</v>
      </c>
    </row>
    <row r="271" spans="1:2" x14ac:dyDescent="0.35">
      <c r="A271" s="49">
        <v>41487</v>
      </c>
      <c r="B271" s="50">
        <v>898</v>
      </c>
    </row>
    <row r="272" spans="1:2" x14ac:dyDescent="0.35">
      <c r="A272" s="49">
        <v>41518</v>
      </c>
      <c r="B272" s="50">
        <v>860</v>
      </c>
    </row>
    <row r="273" spans="1:2" x14ac:dyDescent="0.35">
      <c r="A273" s="49">
        <v>41548</v>
      </c>
      <c r="B273" s="50">
        <v>921</v>
      </c>
    </row>
    <row r="274" spans="1:2" x14ac:dyDescent="0.35">
      <c r="A274" s="49">
        <v>41579</v>
      </c>
      <c r="B274" s="50">
        <v>1104</v>
      </c>
    </row>
    <row r="275" spans="1:2" x14ac:dyDescent="0.35">
      <c r="A275" s="49">
        <v>41609</v>
      </c>
      <c r="B275" s="50">
        <v>1010</v>
      </c>
    </row>
    <row r="276" spans="1:2" x14ac:dyDescent="0.35">
      <c r="A276" s="49">
        <v>41640</v>
      </c>
      <c r="B276" s="50">
        <v>902</v>
      </c>
    </row>
    <row r="277" spans="1:2" x14ac:dyDescent="0.35">
      <c r="A277" s="49">
        <v>41671</v>
      </c>
      <c r="B277" s="50">
        <v>948</v>
      </c>
    </row>
    <row r="278" spans="1:2" x14ac:dyDescent="0.35">
      <c r="A278" s="49">
        <v>41699</v>
      </c>
      <c r="B278" s="50">
        <v>973</v>
      </c>
    </row>
    <row r="279" spans="1:2" x14ac:dyDescent="0.35">
      <c r="A279" s="49">
        <v>41730</v>
      </c>
      <c r="B279" s="50">
        <v>1038</v>
      </c>
    </row>
    <row r="280" spans="1:2" x14ac:dyDescent="0.35">
      <c r="A280" s="49">
        <v>41760</v>
      </c>
      <c r="B280" s="50">
        <v>987</v>
      </c>
    </row>
    <row r="281" spans="1:2" x14ac:dyDescent="0.35">
      <c r="A281" s="49">
        <v>41791</v>
      </c>
      <c r="B281" s="50">
        <v>928</v>
      </c>
    </row>
    <row r="282" spans="1:2" x14ac:dyDescent="0.35">
      <c r="A282" s="49">
        <v>41821</v>
      </c>
      <c r="B282" s="50">
        <v>1085</v>
      </c>
    </row>
    <row r="283" spans="1:2" x14ac:dyDescent="0.35">
      <c r="A283" s="49">
        <v>41852</v>
      </c>
      <c r="B283" s="50">
        <v>984</v>
      </c>
    </row>
    <row r="284" spans="1:2" x14ac:dyDescent="0.35">
      <c r="A284" s="49">
        <v>41883</v>
      </c>
      <c r="B284" s="50">
        <v>999</v>
      </c>
    </row>
    <row r="285" spans="1:2" x14ac:dyDescent="0.35">
      <c r="A285" s="49">
        <v>41913</v>
      </c>
      <c r="B285" s="50">
        <v>1094</v>
      </c>
    </row>
    <row r="286" spans="1:2" x14ac:dyDescent="0.35">
      <c r="A286" s="49">
        <v>41944</v>
      </c>
      <c r="B286" s="50">
        <v>994</v>
      </c>
    </row>
    <row r="287" spans="1:2" x14ac:dyDescent="0.35">
      <c r="A287" s="49">
        <v>41974</v>
      </c>
      <c r="B287" s="50">
        <v>1081</v>
      </c>
    </row>
    <row r="288" spans="1:2" x14ac:dyDescent="0.35">
      <c r="A288" s="49">
        <v>42005</v>
      </c>
      <c r="B288" s="50">
        <v>1101</v>
      </c>
    </row>
    <row r="289" spans="1:2" x14ac:dyDescent="0.35">
      <c r="A289" s="49">
        <v>42036</v>
      </c>
      <c r="B289" s="50">
        <v>887</v>
      </c>
    </row>
    <row r="290" spans="1:2" x14ac:dyDescent="0.35">
      <c r="A290" s="49">
        <v>42064</v>
      </c>
      <c r="B290" s="50">
        <v>974</v>
      </c>
    </row>
    <row r="291" spans="1:2" x14ac:dyDescent="0.35">
      <c r="A291" s="49">
        <v>42095</v>
      </c>
      <c r="B291" s="50">
        <v>1200</v>
      </c>
    </row>
    <row r="292" spans="1:2" x14ac:dyDescent="0.35">
      <c r="A292" s="49">
        <v>42125</v>
      </c>
      <c r="B292" s="50">
        <v>1066</v>
      </c>
    </row>
    <row r="293" spans="1:2" x14ac:dyDescent="0.35">
      <c r="A293" s="49">
        <v>42156</v>
      </c>
      <c r="B293" s="50">
        <v>1201</v>
      </c>
    </row>
    <row r="294" spans="1:2" x14ac:dyDescent="0.35">
      <c r="A294" s="49">
        <v>42186</v>
      </c>
      <c r="B294" s="50">
        <v>1140</v>
      </c>
    </row>
    <row r="295" spans="1:2" x14ac:dyDescent="0.35">
      <c r="A295" s="49">
        <v>42217</v>
      </c>
      <c r="B295" s="50">
        <v>1134</v>
      </c>
    </row>
    <row r="296" spans="1:2" x14ac:dyDescent="0.35">
      <c r="A296" s="49">
        <v>42248</v>
      </c>
      <c r="B296" s="50">
        <v>1209</v>
      </c>
    </row>
    <row r="297" spans="1:2" x14ac:dyDescent="0.35">
      <c r="A297" s="49">
        <v>42278</v>
      </c>
      <c r="B297" s="50">
        <v>1059</v>
      </c>
    </row>
    <row r="298" spans="1:2" x14ac:dyDescent="0.35">
      <c r="A298" s="49">
        <v>42309</v>
      </c>
      <c r="B298" s="50">
        <v>1176</v>
      </c>
    </row>
    <row r="299" spans="1:2" x14ac:dyDescent="0.35">
      <c r="A299" s="49">
        <v>42339</v>
      </c>
      <c r="B299" s="50">
        <v>1138</v>
      </c>
    </row>
    <row r="300" spans="1:2" x14ac:dyDescent="0.35">
      <c r="A300" s="49">
        <v>42370</v>
      </c>
      <c r="B300" s="50">
        <v>1123</v>
      </c>
    </row>
    <row r="301" spans="1:2" x14ac:dyDescent="0.35">
      <c r="A301" s="49">
        <v>42401</v>
      </c>
      <c r="B301" s="50">
        <v>1209</v>
      </c>
    </row>
    <row r="302" spans="1:2" x14ac:dyDescent="0.35">
      <c r="A302" s="49">
        <v>42430</v>
      </c>
      <c r="B302" s="50">
        <v>1128</v>
      </c>
    </row>
    <row r="303" spans="1:2" x14ac:dyDescent="0.35">
      <c r="A303" s="49">
        <v>42461</v>
      </c>
      <c r="B303" s="50">
        <v>1164</v>
      </c>
    </row>
    <row r="304" spans="1:2" x14ac:dyDescent="0.35">
      <c r="A304" s="49">
        <v>42491</v>
      </c>
      <c r="B304" s="50">
        <v>1119</v>
      </c>
    </row>
    <row r="305" spans="1:2" x14ac:dyDescent="0.35">
      <c r="A305" s="49">
        <v>42522</v>
      </c>
      <c r="B305" s="50">
        <v>1190</v>
      </c>
    </row>
    <row r="306" spans="1:2" x14ac:dyDescent="0.35">
      <c r="A306" s="49">
        <v>42552</v>
      </c>
      <c r="B306" s="50">
        <v>1223</v>
      </c>
    </row>
    <row r="307" spans="1:2" x14ac:dyDescent="0.35">
      <c r="A307" s="49">
        <v>42583</v>
      </c>
      <c r="B307" s="50">
        <v>1164</v>
      </c>
    </row>
    <row r="308" spans="1:2" x14ac:dyDescent="0.35">
      <c r="A308" s="49">
        <v>42614</v>
      </c>
      <c r="B308" s="50">
        <v>1062</v>
      </c>
    </row>
    <row r="309" spans="1:2" x14ac:dyDescent="0.35">
      <c r="A309" s="49">
        <v>42644</v>
      </c>
      <c r="B309" s="50">
        <v>1328</v>
      </c>
    </row>
    <row r="310" spans="1:2" x14ac:dyDescent="0.35">
      <c r="A310" s="49">
        <v>42675</v>
      </c>
      <c r="B310" s="50">
        <v>1149</v>
      </c>
    </row>
    <row r="311" spans="1:2" x14ac:dyDescent="0.35">
      <c r="A311" s="49">
        <v>42705</v>
      </c>
      <c r="B311" s="50">
        <v>1268</v>
      </c>
    </row>
    <row r="312" spans="1:2" x14ac:dyDescent="0.35">
      <c r="A312" s="49">
        <v>42736</v>
      </c>
      <c r="B312" s="50">
        <v>1236</v>
      </c>
    </row>
    <row r="313" spans="1:2" x14ac:dyDescent="0.35">
      <c r="A313" s="49">
        <v>42767</v>
      </c>
      <c r="B313" s="50">
        <v>1288</v>
      </c>
    </row>
    <row r="314" spans="1:2" x14ac:dyDescent="0.35">
      <c r="A314" s="49">
        <v>42795</v>
      </c>
      <c r="B314" s="50">
        <v>1189</v>
      </c>
    </row>
    <row r="315" spans="1:2" x14ac:dyDescent="0.35">
      <c r="A315" s="49">
        <v>42826</v>
      </c>
      <c r="B315" s="50">
        <v>1154</v>
      </c>
    </row>
    <row r="316" spans="1:2" x14ac:dyDescent="0.35">
      <c r="A316" s="49">
        <v>42856</v>
      </c>
      <c r="B316" s="50">
        <v>1129</v>
      </c>
    </row>
    <row r="317" spans="1:2" x14ac:dyDescent="0.35">
      <c r="A317" s="49">
        <v>42887</v>
      </c>
      <c r="B317" s="50">
        <v>1217</v>
      </c>
    </row>
    <row r="318" spans="1:2" x14ac:dyDescent="0.35">
      <c r="A318" s="49">
        <v>42917</v>
      </c>
      <c r="B318" s="50">
        <v>1185</v>
      </c>
    </row>
    <row r="319" spans="1:2" x14ac:dyDescent="0.35">
      <c r="A319" s="49">
        <v>42948</v>
      </c>
      <c r="B319" s="50">
        <v>1172</v>
      </c>
    </row>
    <row r="320" spans="1:2" x14ac:dyDescent="0.35">
      <c r="A320" s="49">
        <v>42979</v>
      </c>
      <c r="B320" s="50">
        <v>1159</v>
      </c>
    </row>
    <row r="321" spans="1:2" x14ac:dyDescent="0.35">
      <c r="A321" s="49">
        <v>43009</v>
      </c>
      <c r="B321" s="50">
        <v>1261</v>
      </c>
    </row>
    <row r="322" spans="1:2" x14ac:dyDescent="0.35">
      <c r="A322" s="49">
        <v>43040</v>
      </c>
      <c r="B322" s="50">
        <v>1299</v>
      </c>
    </row>
    <row r="323" spans="1:2" x14ac:dyDescent="0.35">
      <c r="A323" s="49">
        <v>43070</v>
      </c>
      <c r="B323" s="50">
        <v>1207</v>
      </c>
    </row>
    <row r="324" spans="1:2" x14ac:dyDescent="0.35">
      <c r="A324" s="49">
        <v>43101</v>
      </c>
      <c r="B324" s="50">
        <v>1329</v>
      </c>
    </row>
    <row r="325" spans="1:2" x14ac:dyDescent="0.35">
      <c r="A325" s="49">
        <v>43132</v>
      </c>
      <c r="B325" s="50">
        <v>1236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9C9-FF64-45FB-918F-365DFA197F35}">
  <sheetPr>
    <tabColor theme="9"/>
  </sheetPr>
  <dimension ref="A1:B721"/>
  <sheetViews>
    <sheetView workbookViewId="0">
      <selection activeCell="B8" sqref="B8"/>
    </sheetView>
  </sheetViews>
  <sheetFormatPr defaultRowHeight="14.5" x14ac:dyDescent="0.35"/>
  <cols>
    <col min="1" max="1" width="32.90625" bestFit="1" customWidth="1"/>
    <col min="2" max="2" width="61" bestFit="1" customWidth="1"/>
  </cols>
  <sheetData>
    <row r="1" spans="1:2" x14ac:dyDescent="0.35">
      <c r="A1" s="4" t="s">
        <v>6</v>
      </c>
      <c r="B1" s="4"/>
    </row>
    <row r="2" spans="1:2" x14ac:dyDescent="0.35">
      <c r="A2" s="4" t="s">
        <v>7</v>
      </c>
      <c r="B2" s="4"/>
    </row>
    <row r="3" spans="1:2" x14ac:dyDescent="0.35">
      <c r="A3" s="4" t="s">
        <v>8</v>
      </c>
      <c r="B3" s="4"/>
    </row>
    <row r="4" spans="1:2" x14ac:dyDescent="0.35">
      <c r="A4" s="4" t="s">
        <v>9</v>
      </c>
      <c r="B4" s="4"/>
    </row>
    <row r="5" spans="1:2" x14ac:dyDescent="0.35">
      <c r="A5" s="4" t="s">
        <v>10</v>
      </c>
      <c r="B5" s="4"/>
    </row>
    <row r="6" spans="1:2" x14ac:dyDescent="0.35">
      <c r="A6" s="4" t="s">
        <v>11</v>
      </c>
      <c r="B6" s="4"/>
    </row>
    <row r="8" spans="1:2" x14ac:dyDescent="0.35">
      <c r="A8" s="4" t="s">
        <v>12</v>
      </c>
      <c r="B8" s="4" t="s">
        <v>13</v>
      </c>
    </row>
    <row r="10" spans="1:2" x14ac:dyDescent="0.35">
      <c r="A10" s="4" t="s">
        <v>14</v>
      </c>
      <c r="B10" s="4"/>
    </row>
    <row r="11" spans="1:2" x14ac:dyDescent="0.35">
      <c r="A11" s="4" t="s">
        <v>15</v>
      </c>
      <c r="B11" s="4" t="s">
        <v>12</v>
      </c>
    </row>
    <row r="12" spans="1:2" x14ac:dyDescent="0.35">
      <c r="A12" s="6">
        <v>21551</v>
      </c>
      <c r="B12" s="5">
        <v>11.2</v>
      </c>
    </row>
    <row r="13" spans="1:2" x14ac:dyDescent="0.35">
      <c r="A13" s="6">
        <v>21582</v>
      </c>
      <c r="B13" s="5">
        <v>10.6</v>
      </c>
    </row>
    <row r="14" spans="1:2" x14ac:dyDescent="0.35">
      <c r="A14" s="6">
        <v>21610</v>
      </c>
      <c r="B14" s="5">
        <v>10.3</v>
      </c>
    </row>
    <row r="15" spans="1:2" x14ac:dyDescent="0.35">
      <c r="A15" s="6">
        <v>21641</v>
      </c>
      <c r="B15" s="5">
        <v>11.1</v>
      </c>
    </row>
    <row r="16" spans="1:2" x14ac:dyDescent="0.35">
      <c r="A16" s="6">
        <v>21671</v>
      </c>
      <c r="B16" s="5">
        <v>10.6</v>
      </c>
    </row>
    <row r="17" spans="1:2" x14ac:dyDescent="0.35">
      <c r="A17" s="6">
        <v>21702</v>
      </c>
      <c r="B17" s="5">
        <v>10.5</v>
      </c>
    </row>
    <row r="18" spans="1:2" x14ac:dyDescent="0.35">
      <c r="A18" s="6">
        <v>21732</v>
      </c>
      <c r="B18" s="5">
        <v>10.6</v>
      </c>
    </row>
    <row r="19" spans="1:2" x14ac:dyDescent="0.35">
      <c r="A19" s="6">
        <v>21763</v>
      </c>
      <c r="B19" s="5">
        <v>9.6</v>
      </c>
    </row>
    <row r="20" spans="1:2" x14ac:dyDescent="0.35">
      <c r="A20" s="6">
        <v>21794</v>
      </c>
      <c r="B20" s="5">
        <v>8.6999999999999993</v>
      </c>
    </row>
    <row r="21" spans="1:2" x14ac:dyDescent="0.35">
      <c r="A21" s="6">
        <v>21824</v>
      </c>
      <c r="B21" s="5">
        <v>9.4</v>
      </c>
    </row>
    <row r="22" spans="1:2" x14ac:dyDescent="0.35">
      <c r="A22" s="6">
        <v>21855</v>
      </c>
      <c r="B22" s="5">
        <v>10</v>
      </c>
    </row>
    <row r="23" spans="1:2" x14ac:dyDescent="0.35">
      <c r="A23" s="6">
        <v>21885</v>
      </c>
      <c r="B23" s="5">
        <v>10.9</v>
      </c>
    </row>
    <row r="24" spans="1:2" x14ac:dyDescent="0.35">
      <c r="A24" s="6">
        <v>21916</v>
      </c>
      <c r="B24" s="5">
        <v>11</v>
      </c>
    </row>
    <row r="25" spans="1:2" x14ac:dyDescent="0.35">
      <c r="A25" s="6">
        <v>21947</v>
      </c>
      <c r="B25" s="5">
        <v>10.6</v>
      </c>
    </row>
    <row r="26" spans="1:2" x14ac:dyDescent="0.35">
      <c r="A26" s="6">
        <v>21976</v>
      </c>
      <c r="B26" s="5">
        <v>9.4</v>
      </c>
    </row>
    <row r="27" spans="1:2" x14ac:dyDescent="0.35">
      <c r="A27" s="6">
        <v>22007</v>
      </c>
      <c r="B27" s="5">
        <v>8.3000000000000007</v>
      </c>
    </row>
    <row r="28" spans="1:2" x14ac:dyDescent="0.35">
      <c r="A28" s="6">
        <v>22037</v>
      </c>
      <c r="B28" s="5">
        <v>10.4</v>
      </c>
    </row>
    <row r="29" spans="1:2" x14ac:dyDescent="0.35">
      <c r="A29" s="6">
        <v>22068</v>
      </c>
      <c r="B29" s="5">
        <v>10.4</v>
      </c>
    </row>
    <row r="30" spans="1:2" x14ac:dyDescent="0.35">
      <c r="A30" s="6">
        <v>22098</v>
      </c>
      <c r="B30" s="5">
        <v>10.3</v>
      </c>
    </row>
    <row r="31" spans="1:2" x14ac:dyDescent="0.35">
      <c r="A31" s="6">
        <v>22129</v>
      </c>
      <c r="B31" s="5">
        <v>10.3</v>
      </c>
    </row>
    <row r="32" spans="1:2" x14ac:dyDescent="0.35">
      <c r="A32" s="6">
        <v>22160</v>
      </c>
      <c r="B32" s="5">
        <v>10</v>
      </c>
    </row>
    <row r="33" spans="1:2" x14ac:dyDescent="0.35">
      <c r="A33" s="6">
        <v>22190</v>
      </c>
      <c r="B33" s="5">
        <v>9.9</v>
      </c>
    </row>
    <row r="34" spans="1:2" x14ac:dyDescent="0.35">
      <c r="A34" s="6">
        <v>22221</v>
      </c>
      <c r="B34" s="5">
        <v>9.8000000000000007</v>
      </c>
    </row>
    <row r="35" spans="1:2" x14ac:dyDescent="0.35">
      <c r="A35" s="6">
        <v>22251</v>
      </c>
      <c r="B35" s="5">
        <v>10.4</v>
      </c>
    </row>
    <row r="36" spans="1:2" x14ac:dyDescent="0.35">
      <c r="A36" s="6">
        <v>22282</v>
      </c>
      <c r="B36" s="5">
        <v>11.1</v>
      </c>
    </row>
    <row r="37" spans="1:2" x14ac:dyDescent="0.35">
      <c r="A37" s="6">
        <v>22313</v>
      </c>
      <c r="B37" s="5">
        <v>11.1</v>
      </c>
    </row>
    <row r="38" spans="1:2" x14ac:dyDescent="0.35">
      <c r="A38" s="6">
        <v>22341</v>
      </c>
      <c r="B38" s="5">
        <v>10.4</v>
      </c>
    </row>
    <row r="39" spans="1:2" x14ac:dyDescent="0.35">
      <c r="A39" s="6">
        <v>22372</v>
      </c>
      <c r="B39" s="5">
        <v>10.6</v>
      </c>
    </row>
    <row r="40" spans="1:2" x14ac:dyDescent="0.35">
      <c r="A40" s="6">
        <v>22402</v>
      </c>
      <c r="B40" s="5">
        <v>10.7</v>
      </c>
    </row>
    <row r="41" spans="1:2" x14ac:dyDescent="0.35">
      <c r="A41" s="6">
        <v>22433</v>
      </c>
      <c r="B41" s="5">
        <v>11.5</v>
      </c>
    </row>
    <row r="42" spans="1:2" x14ac:dyDescent="0.35">
      <c r="A42" s="6">
        <v>22463</v>
      </c>
      <c r="B42" s="5">
        <v>12</v>
      </c>
    </row>
    <row r="43" spans="1:2" x14ac:dyDescent="0.35">
      <c r="A43" s="6">
        <v>22494</v>
      </c>
      <c r="B43" s="5">
        <v>11.7</v>
      </c>
    </row>
    <row r="44" spans="1:2" x14ac:dyDescent="0.35">
      <c r="A44" s="6">
        <v>22525</v>
      </c>
      <c r="B44" s="5">
        <v>11.3</v>
      </c>
    </row>
    <row r="45" spans="1:2" x14ac:dyDescent="0.35">
      <c r="A45" s="6">
        <v>22555</v>
      </c>
      <c r="B45" s="5">
        <v>11.6</v>
      </c>
    </row>
    <row r="46" spans="1:2" x14ac:dyDescent="0.35">
      <c r="A46" s="6">
        <v>22586</v>
      </c>
      <c r="B46" s="5">
        <v>11.6</v>
      </c>
    </row>
    <row r="47" spans="1:2" x14ac:dyDescent="0.35">
      <c r="A47" s="6">
        <v>22616</v>
      </c>
      <c r="B47" s="5">
        <v>11.5</v>
      </c>
    </row>
    <row r="48" spans="1:2" x14ac:dyDescent="0.35">
      <c r="A48" s="6">
        <v>22647</v>
      </c>
      <c r="B48" s="5">
        <v>11.2</v>
      </c>
    </row>
    <row r="49" spans="1:2" x14ac:dyDescent="0.35">
      <c r="A49" s="6">
        <v>22678</v>
      </c>
      <c r="B49" s="5">
        <v>11.7</v>
      </c>
    </row>
    <row r="50" spans="1:2" x14ac:dyDescent="0.35">
      <c r="A50" s="6">
        <v>22706</v>
      </c>
      <c r="B50" s="5">
        <v>11.6</v>
      </c>
    </row>
    <row r="51" spans="1:2" x14ac:dyDescent="0.35">
      <c r="A51" s="6">
        <v>22737</v>
      </c>
      <c r="B51" s="5">
        <v>11.6</v>
      </c>
    </row>
    <row r="52" spans="1:2" x14ac:dyDescent="0.35">
      <c r="A52" s="6">
        <v>22767</v>
      </c>
      <c r="B52" s="5">
        <v>10.9</v>
      </c>
    </row>
    <row r="53" spans="1:2" x14ac:dyDescent="0.35">
      <c r="A53" s="6">
        <v>22798</v>
      </c>
      <c r="B53" s="5">
        <v>11.5</v>
      </c>
    </row>
    <row r="54" spans="1:2" x14ac:dyDescent="0.35">
      <c r="A54" s="6">
        <v>22828</v>
      </c>
      <c r="B54" s="5">
        <v>11.5</v>
      </c>
    </row>
    <row r="55" spans="1:2" x14ac:dyDescent="0.35">
      <c r="A55" s="6">
        <v>22859</v>
      </c>
      <c r="B55" s="5">
        <v>11.3</v>
      </c>
    </row>
    <row r="56" spans="1:2" x14ac:dyDescent="0.35">
      <c r="A56" s="6">
        <v>22890</v>
      </c>
      <c r="B56" s="5">
        <v>10.3</v>
      </c>
    </row>
    <row r="57" spans="1:2" x14ac:dyDescent="0.35">
      <c r="A57" s="6">
        <v>22920</v>
      </c>
      <c r="B57" s="5">
        <v>11.1</v>
      </c>
    </row>
    <row r="58" spans="1:2" x14ac:dyDescent="0.35">
      <c r="A58" s="6">
        <v>22951</v>
      </c>
      <c r="B58" s="5">
        <v>10.3</v>
      </c>
    </row>
    <row r="59" spans="1:2" x14ac:dyDescent="0.35">
      <c r="A59" s="6">
        <v>22981</v>
      </c>
      <c r="B59" s="5">
        <v>10.199999999999999</v>
      </c>
    </row>
    <row r="60" spans="1:2" x14ac:dyDescent="0.35">
      <c r="A60" s="6">
        <v>23012</v>
      </c>
      <c r="B60" s="5">
        <v>10.9</v>
      </c>
    </row>
    <row r="61" spans="1:2" x14ac:dyDescent="0.35">
      <c r="A61" s="6">
        <v>23043</v>
      </c>
      <c r="B61" s="5">
        <v>10.6</v>
      </c>
    </row>
    <row r="62" spans="1:2" x14ac:dyDescent="0.35">
      <c r="A62" s="6">
        <v>23071</v>
      </c>
      <c r="B62" s="5">
        <v>10.5</v>
      </c>
    </row>
    <row r="63" spans="1:2" x14ac:dyDescent="0.35">
      <c r="A63" s="6">
        <v>23102</v>
      </c>
      <c r="B63" s="5">
        <v>10.6</v>
      </c>
    </row>
    <row r="64" spans="1:2" x14ac:dyDescent="0.35">
      <c r="A64" s="6">
        <v>23132</v>
      </c>
      <c r="B64" s="5">
        <v>10.8</v>
      </c>
    </row>
    <row r="65" spans="1:2" x14ac:dyDescent="0.35">
      <c r="A65" s="6">
        <v>23163</v>
      </c>
      <c r="B65" s="5">
        <v>10.4</v>
      </c>
    </row>
    <row r="66" spans="1:2" x14ac:dyDescent="0.35">
      <c r="A66" s="6">
        <v>23193</v>
      </c>
      <c r="B66" s="5">
        <v>10</v>
      </c>
    </row>
    <row r="67" spans="1:2" x14ac:dyDescent="0.35">
      <c r="A67" s="6">
        <v>23224</v>
      </c>
      <c r="B67" s="5">
        <v>10.1</v>
      </c>
    </row>
    <row r="68" spans="1:2" x14ac:dyDescent="0.35">
      <c r="A68" s="6">
        <v>23255</v>
      </c>
      <c r="B68" s="5">
        <v>10.9</v>
      </c>
    </row>
    <row r="69" spans="1:2" x14ac:dyDescent="0.35">
      <c r="A69" s="6">
        <v>23285</v>
      </c>
      <c r="B69" s="5">
        <v>11.4</v>
      </c>
    </row>
    <row r="70" spans="1:2" x14ac:dyDescent="0.35">
      <c r="A70" s="6">
        <v>23316</v>
      </c>
      <c r="B70" s="5">
        <v>10.9</v>
      </c>
    </row>
    <row r="71" spans="1:2" x14ac:dyDescent="0.35">
      <c r="A71" s="6">
        <v>23346</v>
      </c>
      <c r="B71" s="5">
        <v>10.6</v>
      </c>
    </row>
    <row r="72" spans="1:2" x14ac:dyDescent="0.35">
      <c r="A72" s="6">
        <v>23377</v>
      </c>
      <c r="B72" s="5">
        <v>10.7</v>
      </c>
    </row>
    <row r="73" spans="1:2" x14ac:dyDescent="0.35">
      <c r="A73" s="6">
        <v>23408</v>
      </c>
      <c r="B73" s="5">
        <v>10.3</v>
      </c>
    </row>
    <row r="74" spans="1:2" x14ac:dyDescent="0.35">
      <c r="A74" s="6">
        <v>23437</v>
      </c>
      <c r="B74" s="5">
        <v>12</v>
      </c>
    </row>
    <row r="75" spans="1:2" x14ac:dyDescent="0.35">
      <c r="A75" s="6">
        <v>23468</v>
      </c>
      <c r="B75" s="5">
        <v>12.3</v>
      </c>
    </row>
    <row r="76" spans="1:2" x14ac:dyDescent="0.35">
      <c r="A76" s="6">
        <v>23498</v>
      </c>
      <c r="B76" s="5">
        <v>11.6</v>
      </c>
    </row>
    <row r="77" spans="1:2" x14ac:dyDescent="0.35">
      <c r="A77" s="6">
        <v>23529</v>
      </c>
      <c r="B77" s="5">
        <v>11.4</v>
      </c>
    </row>
    <row r="78" spans="1:2" x14ac:dyDescent="0.35">
      <c r="A78" s="6">
        <v>23559</v>
      </c>
      <c r="B78" s="5">
        <v>11</v>
      </c>
    </row>
    <row r="79" spans="1:2" x14ac:dyDescent="0.35">
      <c r="A79" s="6">
        <v>23590</v>
      </c>
      <c r="B79" s="5">
        <v>11</v>
      </c>
    </row>
    <row r="80" spans="1:2" x14ac:dyDescent="0.35">
      <c r="A80" s="6">
        <v>23621</v>
      </c>
      <c r="B80" s="5">
        <v>11.7</v>
      </c>
    </row>
    <row r="81" spans="1:2" x14ac:dyDescent="0.35">
      <c r="A81" s="6">
        <v>23651</v>
      </c>
      <c r="B81" s="5">
        <v>11.1</v>
      </c>
    </row>
    <row r="82" spans="1:2" x14ac:dyDescent="0.35">
      <c r="A82" s="6">
        <v>23682</v>
      </c>
      <c r="B82" s="5">
        <v>12.4</v>
      </c>
    </row>
    <row r="83" spans="1:2" x14ac:dyDescent="0.35">
      <c r="A83" s="6">
        <v>23712</v>
      </c>
      <c r="B83" s="5">
        <v>12.4</v>
      </c>
    </row>
    <row r="84" spans="1:2" x14ac:dyDescent="0.35">
      <c r="A84" s="6">
        <v>23743</v>
      </c>
      <c r="B84" s="5">
        <v>12</v>
      </c>
    </row>
    <row r="85" spans="1:2" x14ac:dyDescent="0.35">
      <c r="A85" s="6">
        <v>23774</v>
      </c>
      <c r="B85" s="5">
        <v>10.6</v>
      </c>
    </row>
    <row r="86" spans="1:2" x14ac:dyDescent="0.35">
      <c r="A86" s="6">
        <v>23802</v>
      </c>
      <c r="B86" s="5">
        <v>10.6</v>
      </c>
    </row>
    <row r="87" spans="1:2" x14ac:dyDescent="0.35">
      <c r="A87" s="6">
        <v>23833</v>
      </c>
      <c r="B87" s="5">
        <v>10.1</v>
      </c>
    </row>
    <row r="88" spans="1:2" x14ac:dyDescent="0.35">
      <c r="A88" s="6">
        <v>23863</v>
      </c>
      <c r="B88" s="5">
        <v>11.1</v>
      </c>
    </row>
    <row r="89" spans="1:2" x14ac:dyDescent="0.35">
      <c r="A89" s="6">
        <v>23894</v>
      </c>
      <c r="B89" s="5">
        <v>11.9</v>
      </c>
    </row>
    <row r="90" spans="1:2" x14ac:dyDescent="0.35">
      <c r="A90" s="6">
        <v>23924</v>
      </c>
      <c r="B90" s="5">
        <v>11.8</v>
      </c>
    </row>
    <row r="91" spans="1:2" x14ac:dyDescent="0.35">
      <c r="A91" s="6">
        <v>23955</v>
      </c>
      <c r="B91" s="5">
        <v>11.6</v>
      </c>
    </row>
    <row r="92" spans="1:2" x14ac:dyDescent="0.35">
      <c r="A92" s="6">
        <v>23986</v>
      </c>
      <c r="B92" s="5">
        <v>12.5</v>
      </c>
    </row>
    <row r="93" spans="1:2" x14ac:dyDescent="0.35">
      <c r="A93" s="6">
        <v>24016</v>
      </c>
      <c r="B93" s="5">
        <v>10.8</v>
      </c>
    </row>
    <row r="94" spans="1:2" x14ac:dyDescent="0.35">
      <c r="A94" s="6">
        <v>24047</v>
      </c>
      <c r="B94" s="5">
        <v>11.5</v>
      </c>
    </row>
    <row r="95" spans="1:2" x14ac:dyDescent="0.35">
      <c r="A95" s="6">
        <v>24077</v>
      </c>
      <c r="B95" s="5">
        <v>11.6</v>
      </c>
    </row>
    <row r="96" spans="1:2" x14ac:dyDescent="0.35">
      <c r="A96" s="6">
        <v>24108</v>
      </c>
      <c r="B96" s="5">
        <v>11.2</v>
      </c>
    </row>
    <row r="97" spans="1:2" x14ac:dyDescent="0.35">
      <c r="A97" s="6">
        <v>24139</v>
      </c>
      <c r="B97" s="5">
        <v>10.9</v>
      </c>
    </row>
    <row r="98" spans="1:2" x14ac:dyDescent="0.35">
      <c r="A98" s="6">
        <v>24167</v>
      </c>
      <c r="B98" s="5">
        <v>10.5</v>
      </c>
    </row>
    <row r="99" spans="1:2" x14ac:dyDescent="0.35">
      <c r="A99" s="6">
        <v>24198</v>
      </c>
      <c r="B99" s="5">
        <v>10.199999999999999</v>
      </c>
    </row>
    <row r="100" spans="1:2" x14ac:dyDescent="0.35">
      <c r="A100" s="6">
        <v>24228</v>
      </c>
      <c r="B100" s="5">
        <v>11.1</v>
      </c>
    </row>
    <row r="101" spans="1:2" x14ac:dyDescent="0.35">
      <c r="A101" s="6">
        <v>24259</v>
      </c>
      <c r="B101" s="5">
        <v>11.3</v>
      </c>
    </row>
    <row r="102" spans="1:2" x14ac:dyDescent="0.35">
      <c r="A102" s="6">
        <v>24289</v>
      </c>
      <c r="B102" s="5">
        <v>10.8</v>
      </c>
    </row>
    <row r="103" spans="1:2" x14ac:dyDescent="0.35">
      <c r="A103" s="6">
        <v>24320</v>
      </c>
      <c r="B103" s="5">
        <v>11.1</v>
      </c>
    </row>
    <row r="104" spans="1:2" x14ac:dyDescent="0.35">
      <c r="A104" s="6">
        <v>24351</v>
      </c>
      <c r="B104" s="5">
        <v>10.8</v>
      </c>
    </row>
    <row r="105" spans="1:2" x14ac:dyDescent="0.35">
      <c r="A105" s="6">
        <v>24381</v>
      </c>
      <c r="B105" s="5">
        <v>11.5</v>
      </c>
    </row>
    <row r="106" spans="1:2" x14ac:dyDescent="0.35">
      <c r="A106" s="6">
        <v>24412</v>
      </c>
      <c r="B106" s="5">
        <v>11.7</v>
      </c>
    </row>
    <row r="107" spans="1:2" x14ac:dyDescent="0.35">
      <c r="A107" s="6">
        <v>24442</v>
      </c>
      <c r="B107" s="5">
        <v>11.5</v>
      </c>
    </row>
    <row r="108" spans="1:2" x14ac:dyDescent="0.35">
      <c r="A108" s="6">
        <v>24473</v>
      </c>
      <c r="B108" s="5">
        <v>12</v>
      </c>
    </row>
    <row r="109" spans="1:2" x14ac:dyDescent="0.35">
      <c r="A109" s="6">
        <v>24504</v>
      </c>
      <c r="B109" s="5">
        <v>12.4</v>
      </c>
    </row>
    <row r="110" spans="1:2" x14ac:dyDescent="0.35">
      <c r="A110" s="6">
        <v>24532</v>
      </c>
      <c r="B110" s="5">
        <v>12.6</v>
      </c>
    </row>
    <row r="111" spans="1:2" x14ac:dyDescent="0.35">
      <c r="A111" s="6">
        <v>24563</v>
      </c>
      <c r="B111" s="5">
        <v>11.7</v>
      </c>
    </row>
    <row r="112" spans="1:2" x14ac:dyDescent="0.35">
      <c r="A112" s="6">
        <v>24593</v>
      </c>
      <c r="B112" s="5">
        <v>11.9</v>
      </c>
    </row>
    <row r="113" spans="1:2" x14ac:dyDescent="0.35">
      <c r="A113" s="6">
        <v>24624</v>
      </c>
      <c r="B113" s="5">
        <v>11.7</v>
      </c>
    </row>
    <row r="114" spans="1:2" x14ac:dyDescent="0.35">
      <c r="A114" s="6">
        <v>24654</v>
      </c>
      <c r="B114" s="5">
        <v>12.5</v>
      </c>
    </row>
    <row r="115" spans="1:2" x14ac:dyDescent="0.35">
      <c r="A115" s="6">
        <v>24685</v>
      </c>
      <c r="B115" s="5">
        <v>12.5</v>
      </c>
    </row>
    <row r="116" spans="1:2" x14ac:dyDescent="0.35">
      <c r="A116" s="6">
        <v>24716</v>
      </c>
      <c r="B116" s="5">
        <v>11.7</v>
      </c>
    </row>
    <row r="117" spans="1:2" x14ac:dyDescent="0.35">
      <c r="A117" s="6">
        <v>24746</v>
      </c>
      <c r="B117" s="5">
        <v>12.5</v>
      </c>
    </row>
    <row r="118" spans="1:2" x14ac:dyDescent="0.35">
      <c r="A118" s="6">
        <v>24777</v>
      </c>
      <c r="B118" s="5">
        <v>12.5</v>
      </c>
    </row>
    <row r="119" spans="1:2" x14ac:dyDescent="0.35">
      <c r="A119" s="6">
        <v>24807</v>
      </c>
      <c r="B119" s="5">
        <v>12.1</v>
      </c>
    </row>
    <row r="120" spans="1:2" x14ac:dyDescent="0.35">
      <c r="A120" s="6">
        <v>24838</v>
      </c>
      <c r="B120" s="5">
        <v>11.7</v>
      </c>
    </row>
    <row r="121" spans="1:2" x14ac:dyDescent="0.35">
      <c r="A121" s="6">
        <v>24869</v>
      </c>
      <c r="B121" s="5">
        <v>12.2</v>
      </c>
    </row>
    <row r="122" spans="1:2" x14ac:dyDescent="0.35">
      <c r="A122" s="6">
        <v>24898</v>
      </c>
      <c r="B122" s="5">
        <v>11.6</v>
      </c>
    </row>
    <row r="123" spans="1:2" x14ac:dyDescent="0.35">
      <c r="A123" s="6">
        <v>24929</v>
      </c>
      <c r="B123" s="5">
        <v>12.2</v>
      </c>
    </row>
    <row r="124" spans="1:2" x14ac:dyDescent="0.35">
      <c r="A124" s="6">
        <v>24959</v>
      </c>
      <c r="B124" s="5">
        <v>12</v>
      </c>
    </row>
    <row r="125" spans="1:2" x14ac:dyDescent="0.35">
      <c r="A125" s="6">
        <v>24990</v>
      </c>
      <c r="B125" s="5">
        <v>11.6</v>
      </c>
    </row>
    <row r="126" spans="1:2" x14ac:dyDescent="0.35">
      <c r="A126" s="6">
        <v>25020</v>
      </c>
      <c r="B126" s="5">
        <v>10.6</v>
      </c>
    </row>
    <row r="127" spans="1:2" x14ac:dyDescent="0.35">
      <c r="A127" s="6">
        <v>25051</v>
      </c>
      <c r="B127" s="5">
        <v>10.4</v>
      </c>
    </row>
    <row r="128" spans="1:2" x14ac:dyDescent="0.35">
      <c r="A128" s="6">
        <v>25082</v>
      </c>
      <c r="B128" s="5">
        <v>10.4</v>
      </c>
    </row>
    <row r="129" spans="1:2" x14ac:dyDescent="0.35">
      <c r="A129" s="6">
        <v>25112</v>
      </c>
      <c r="B129" s="5">
        <v>10.6</v>
      </c>
    </row>
    <row r="130" spans="1:2" x14ac:dyDescent="0.35">
      <c r="A130" s="6">
        <v>25143</v>
      </c>
      <c r="B130" s="5">
        <v>10.4</v>
      </c>
    </row>
    <row r="131" spans="1:2" x14ac:dyDescent="0.35">
      <c r="A131" s="6">
        <v>25173</v>
      </c>
      <c r="B131" s="5">
        <v>10.9</v>
      </c>
    </row>
    <row r="132" spans="1:2" x14ac:dyDescent="0.35">
      <c r="A132" s="6">
        <v>25204</v>
      </c>
      <c r="B132" s="5">
        <v>10</v>
      </c>
    </row>
    <row r="133" spans="1:2" x14ac:dyDescent="0.35">
      <c r="A133" s="6">
        <v>25235</v>
      </c>
      <c r="B133" s="5">
        <v>9.4</v>
      </c>
    </row>
    <row r="134" spans="1:2" x14ac:dyDescent="0.35">
      <c r="A134" s="6">
        <v>25263</v>
      </c>
      <c r="B134" s="5">
        <v>9.9</v>
      </c>
    </row>
    <row r="135" spans="1:2" x14ac:dyDescent="0.35">
      <c r="A135" s="6">
        <v>25294</v>
      </c>
      <c r="B135" s="5">
        <v>9.5</v>
      </c>
    </row>
    <row r="136" spans="1:2" x14ac:dyDescent="0.35">
      <c r="A136" s="6">
        <v>25324</v>
      </c>
      <c r="B136" s="5">
        <v>10</v>
      </c>
    </row>
    <row r="137" spans="1:2" x14ac:dyDescent="0.35">
      <c r="A137" s="6">
        <v>25355</v>
      </c>
      <c r="B137" s="5">
        <v>10.9</v>
      </c>
    </row>
    <row r="138" spans="1:2" x14ac:dyDescent="0.35">
      <c r="A138" s="6">
        <v>25385</v>
      </c>
      <c r="B138" s="5">
        <v>11.7</v>
      </c>
    </row>
    <row r="139" spans="1:2" x14ac:dyDescent="0.35">
      <c r="A139" s="6">
        <v>25416</v>
      </c>
      <c r="B139" s="5">
        <v>11.5</v>
      </c>
    </row>
    <row r="140" spans="1:2" x14ac:dyDescent="0.35">
      <c r="A140" s="6">
        <v>25447</v>
      </c>
      <c r="B140" s="5">
        <v>11.5</v>
      </c>
    </row>
    <row r="141" spans="1:2" x14ac:dyDescent="0.35">
      <c r="A141" s="6">
        <v>25477</v>
      </c>
      <c r="B141" s="5">
        <v>11.3</v>
      </c>
    </row>
    <row r="142" spans="1:2" x14ac:dyDescent="0.35">
      <c r="A142" s="6">
        <v>25508</v>
      </c>
      <c r="B142" s="5">
        <v>11.5</v>
      </c>
    </row>
    <row r="143" spans="1:2" x14ac:dyDescent="0.35">
      <c r="A143" s="6">
        <v>25538</v>
      </c>
      <c r="B143" s="5">
        <v>11.7</v>
      </c>
    </row>
    <row r="144" spans="1:2" x14ac:dyDescent="0.35">
      <c r="A144" s="6">
        <v>25569</v>
      </c>
      <c r="B144" s="5">
        <v>11.7</v>
      </c>
    </row>
    <row r="145" spans="1:2" x14ac:dyDescent="0.35">
      <c r="A145" s="6">
        <v>25600</v>
      </c>
      <c r="B145" s="5">
        <v>11.6</v>
      </c>
    </row>
    <row r="146" spans="1:2" x14ac:dyDescent="0.35">
      <c r="A146" s="6">
        <v>25628</v>
      </c>
      <c r="B146" s="5">
        <v>12.3</v>
      </c>
    </row>
    <row r="147" spans="1:2" x14ac:dyDescent="0.35">
      <c r="A147" s="6">
        <v>25659</v>
      </c>
      <c r="B147" s="5">
        <v>13.3</v>
      </c>
    </row>
    <row r="148" spans="1:2" x14ac:dyDescent="0.35">
      <c r="A148" s="6">
        <v>25689</v>
      </c>
      <c r="B148" s="5">
        <v>12.3</v>
      </c>
    </row>
    <row r="149" spans="1:2" x14ac:dyDescent="0.35">
      <c r="A149" s="6">
        <v>25720</v>
      </c>
      <c r="B149" s="5">
        <v>11.7</v>
      </c>
    </row>
    <row r="150" spans="1:2" x14ac:dyDescent="0.35">
      <c r="A150" s="6">
        <v>25750</v>
      </c>
      <c r="B150" s="5">
        <v>13.2</v>
      </c>
    </row>
    <row r="151" spans="1:2" x14ac:dyDescent="0.35">
      <c r="A151" s="6">
        <v>25781</v>
      </c>
      <c r="B151" s="5">
        <v>13.1</v>
      </c>
    </row>
    <row r="152" spans="1:2" x14ac:dyDescent="0.35">
      <c r="A152" s="6">
        <v>25812</v>
      </c>
      <c r="B152" s="5">
        <v>12.9</v>
      </c>
    </row>
    <row r="153" spans="1:2" x14ac:dyDescent="0.35">
      <c r="A153" s="6">
        <v>25842</v>
      </c>
      <c r="B153" s="5">
        <v>13</v>
      </c>
    </row>
    <row r="154" spans="1:2" x14ac:dyDescent="0.35">
      <c r="A154" s="6">
        <v>25873</v>
      </c>
      <c r="B154" s="5">
        <v>13.3</v>
      </c>
    </row>
    <row r="155" spans="1:2" x14ac:dyDescent="0.35">
      <c r="A155" s="6">
        <v>25903</v>
      </c>
      <c r="B155" s="5">
        <v>12.9</v>
      </c>
    </row>
    <row r="156" spans="1:2" x14ac:dyDescent="0.35">
      <c r="A156" s="6">
        <v>25934</v>
      </c>
      <c r="B156" s="5">
        <v>13.1</v>
      </c>
    </row>
    <row r="157" spans="1:2" x14ac:dyDescent="0.35">
      <c r="A157" s="6">
        <v>25965</v>
      </c>
      <c r="B157" s="5">
        <v>13.1</v>
      </c>
    </row>
    <row r="158" spans="1:2" x14ac:dyDescent="0.35">
      <c r="A158" s="6">
        <v>25993</v>
      </c>
      <c r="B158" s="5">
        <v>13.3</v>
      </c>
    </row>
    <row r="159" spans="1:2" x14ac:dyDescent="0.35">
      <c r="A159" s="6">
        <v>26024</v>
      </c>
      <c r="B159" s="5">
        <v>13</v>
      </c>
    </row>
    <row r="160" spans="1:2" x14ac:dyDescent="0.35">
      <c r="A160" s="6">
        <v>26054</v>
      </c>
      <c r="B160" s="5">
        <v>13.4</v>
      </c>
    </row>
    <row r="161" spans="1:2" x14ac:dyDescent="0.35">
      <c r="A161" s="6">
        <v>26085</v>
      </c>
      <c r="B161" s="5">
        <v>14.4</v>
      </c>
    </row>
    <row r="162" spans="1:2" x14ac:dyDescent="0.35">
      <c r="A162" s="6">
        <v>26115</v>
      </c>
      <c r="B162" s="5">
        <v>13.6</v>
      </c>
    </row>
    <row r="163" spans="1:2" x14ac:dyDescent="0.35">
      <c r="A163" s="6">
        <v>26146</v>
      </c>
      <c r="B163" s="5">
        <v>13.6</v>
      </c>
    </row>
    <row r="164" spans="1:2" x14ac:dyDescent="0.35">
      <c r="A164" s="6">
        <v>26177</v>
      </c>
      <c r="B164" s="5">
        <v>12.9</v>
      </c>
    </row>
    <row r="165" spans="1:2" x14ac:dyDescent="0.35">
      <c r="A165" s="6">
        <v>26207</v>
      </c>
      <c r="B165" s="5">
        <v>13</v>
      </c>
    </row>
    <row r="166" spans="1:2" x14ac:dyDescent="0.35">
      <c r="A166" s="6">
        <v>26238</v>
      </c>
      <c r="B166" s="5">
        <v>12.8</v>
      </c>
    </row>
    <row r="167" spans="1:2" x14ac:dyDescent="0.35">
      <c r="A167" s="6">
        <v>26268</v>
      </c>
      <c r="B167" s="5">
        <v>12.9</v>
      </c>
    </row>
    <row r="168" spans="1:2" x14ac:dyDescent="0.35">
      <c r="A168" s="6">
        <v>26299</v>
      </c>
      <c r="B168" s="5">
        <v>12.4</v>
      </c>
    </row>
    <row r="169" spans="1:2" x14ac:dyDescent="0.35">
      <c r="A169" s="6">
        <v>26330</v>
      </c>
      <c r="B169" s="5">
        <v>12.6</v>
      </c>
    </row>
    <row r="170" spans="1:2" x14ac:dyDescent="0.35">
      <c r="A170" s="6">
        <v>26359</v>
      </c>
      <c r="B170" s="5">
        <v>11.5</v>
      </c>
    </row>
    <row r="171" spans="1:2" x14ac:dyDescent="0.35">
      <c r="A171" s="6">
        <v>26390</v>
      </c>
      <c r="B171" s="5">
        <v>11.3</v>
      </c>
    </row>
    <row r="172" spans="1:2" x14ac:dyDescent="0.35">
      <c r="A172" s="6">
        <v>26420</v>
      </c>
      <c r="B172" s="5">
        <v>11.5</v>
      </c>
    </row>
    <row r="173" spans="1:2" x14ac:dyDescent="0.35">
      <c r="A173" s="6">
        <v>26451</v>
      </c>
      <c r="B173" s="5">
        <v>11.4</v>
      </c>
    </row>
    <row r="174" spans="1:2" x14ac:dyDescent="0.35">
      <c r="A174" s="6">
        <v>26481</v>
      </c>
      <c r="B174" s="5">
        <v>11.4</v>
      </c>
    </row>
    <row r="175" spans="1:2" x14ac:dyDescent="0.35">
      <c r="A175" s="6">
        <v>26512</v>
      </c>
      <c r="B175" s="5">
        <v>11.8</v>
      </c>
    </row>
    <row r="176" spans="1:2" x14ac:dyDescent="0.35">
      <c r="A176" s="6">
        <v>26543</v>
      </c>
      <c r="B176" s="5">
        <v>12</v>
      </c>
    </row>
    <row r="177" spans="1:2" x14ac:dyDescent="0.35">
      <c r="A177" s="6">
        <v>26573</v>
      </c>
      <c r="B177" s="5">
        <v>12.7</v>
      </c>
    </row>
    <row r="178" spans="1:2" x14ac:dyDescent="0.35">
      <c r="A178" s="6">
        <v>26604</v>
      </c>
      <c r="B178" s="5">
        <v>13.4</v>
      </c>
    </row>
    <row r="179" spans="1:2" x14ac:dyDescent="0.35">
      <c r="A179" s="6">
        <v>26634</v>
      </c>
      <c r="B179" s="5">
        <v>13.4</v>
      </c>
    </row>
    <row r="180" spans="1:2" x14ac:dyDescent="0.35">
      <c r="A180" s="6">
        <v>26665</v>
      </c>
      <c r="B180" s="5">
        <v>12.1</v>
      </c>
    </row>
    <row r="181" spans="1:2" x14ac:dyDescent="0.35">
      <c r="A181" s="6">
        <v>26696</v>
      </c>
      <c r="B181" s="5">
        <v>12.2</v>
      </c>
    </row>
    <row r="182" spans="1:2" x14ac:dyDescent="0.35">
      <c r="A182" s="6">
        <v>26724</v>
      </c>
      <c r="B182" s="5">
        <v>12.4</v>
      </c>
    </row>
    <row r="183" spans="1:2" x14ac:dyDescent="0.35">
      <c r="A183" s="6">
        <v>26755</v>
      </c>
      <c r="B183" s="5">
        <v>12.8</v>
      </c>
    </row>
    <row r="184" spans="1:2" x14ac:dyDescent="0.35">
      <c r="A184" s="6">
        <v>26785</v>
      </c>
      <c r="B184" s="5">
        <v>12.8</v>
      </c>
    </row>
    <row r="185" spans="1:2" x14ac:dyDescent="0.35">
      <c r="A185" s="6">
        <v>26816</v>
      </c>
      <c r="B185" s="5">
        <v>13.2</v>
      </c>
    </row>
    <row r="186" spans="1:2" x14ac:dyDescent="0.35">
      <c r="A186" s="6">
        <v>26846</v>
      </c>
      <c r="B186" s="5">
        <v>12.8</v>
      </c>
    </row>
    <row r="187" spans="1:2" x14ac:dyDescent="0.35">
      <c r="A187" s="6">
        <v>26877</v>
      </c>
      <c r="B187" s="5">
        <v>13.6</v>
      </c>
    </row>
    <row r="188" spans="1:2" x14ac:dyDescent="0.35">
      <c r="A188" s="6">
        <v>26908</v>
      </c>
      <c r="B188" s="5">
        <v>12.8</v>
      </c>
    </row>
    <row r="189" spans="1:2" x14ac:dyDescent="0.35">
      <c r="A189" s="6">
        <v>26938</v>
      </c>
      <c r="B189" s="5">
        <v>14</v>
      </c>
    </row>
    <row r="190" spans="1:2" x14ac:dyDescent="0.35">
      <c r="A190" s="6">
        <v>26969</v>
      </c>
      <c r="B190" s="5">
        <v>14</v>
      </c>
    </row>
    <row r="191" spans="1:2" x14ac:dyDescent="0.35">
      <c r="A191" s="6">
        <v>26999</v>
      </c>
      <c r="B191" s="5">
        <v>14.4</v>
      </c>
    </row>
    <row r="192" spans="1:2" x14ac:dyDescent="0.35">
      <c r="A192" s="6">
        <v>27030</v>
      </c>
      <c r="B192" s="5">
        <v>14</v>
      </c>
    </row>
    <row r="193" spans="1:2" x14ac:dyDescent="0.35">
      <c r="A193" s="6">
        <v>27061</v>
      </c>
      <c r="B193" s="5">
        <v>13.8</v>
      </c>
    </row>
    <row r="194" spans="1:2" x14ac:dyDescent="0.35">
      <c r="A194" s="6">
        <v>27089</v>
      </c>
      <c r="B194" s="5">
        <v>13</v>
      </c>
    </row>
    <row r="195" spans="1:2" x14ac:dyDescent="0.35">
      <c r="A195" s="6">
        <v>27120</v>
      </c>
      <c r="B195" s="5">
        <v>12.7</v>
      </c>
    </row>
    <row r="196" spans="1:2" x14ac:dyDescent="0.35">
      <c r="A196" s="6">
        <v>27150</v>
      </c>
      <c r="B196" s="5">
        <v>12.3</v>
      </c>
    </row>
    <row r="197" spans="1:2" x14ac:dyDescent="0.35">
      <c r="A197" s="6">
        <v>27181</v>
      </c>
      <c r="B197" s="5">
        <v>12.5</v>
      </c>
    </row>
    <row r="198" spans="1:2" x14ac:dyDescent="0.35">
      <c r="A198" s="6">
        <v>27211</v>
      </c>
      <c r="B198" s="5">
        <v>12.7</v>
      </c>
    </row>
    <row r="199" spans="1:2" x14ac:dyDescent="0.35">
      <c r="A199" s="6">
        <v>27242</v>
      </c>
      <c r="B199" s="5">
        <v>11.6</v>
      </c>
    </row>
    <row r="200" spans="1:2" x14ac:dyDescent="0.35">
      <c r="A200" s="6">
        <v>27273</v>
      </c>
      <c r="B200" s="5">
        <v>12.3</v>
      </c>
    </row>
    <row r="201" spans="1:2" x14ac:dyDescent="0.35">
      <c r="A201" s="6">
        <v>27303</v>
      </c>
      <c r="B201" s="5">
        <v>13</v>
      </c>
    </row>
    <row r="202" spans="1:2" x14ac:dyDescent="0.35">
      <c r="A202" s="6">
        <v>27334</v>
      </c>
      <c r="B202" s="5">
        <v>13.4</v>
      </c>
    </row>
    <row r="203" spans="1:2" x14ac:dyDescent="0.35">
      <c r="A203" s="6">
        <v>27364</v>
      </c>
      <c r="B203" s="5">
        <v>13.6</v>
      </c>
    </row>
    <row r="204" spans="1:2" x14ac:dyDescent="0.35">
      <c r="A204" s="6">
        <v>27395</v>
      </c>
      <c r="B204" s="5">
        <v>12.8</v>
      </c>
    </row>
    <row r="205" spans="1:2" x14ac:dyDescent="0.35">
      <c r="A205" s="6">
        <v>27426</v>
      </c>
      <c r="B205" s="5">
        <v>12.1</v>
      </c>
    </row>
    <row r="206" spans="1:2" x14ac:dyDescent="0.35">
      <c r="A206" s="6">
        <v>27454</v>
      </c>
      <c r="B206" s="5">
        <v>12.3</v>
      </c>
    </row>
    <row r="207" spans="1:2" x14ac:dyDescent="0.35">
      <c r="A207" s="6">
        <v>27485</v>
      </c>
      <c r="B207" s="5">
        <v>13.9</v>
      </c>
    </row>
    <row r="208" spans="1:2" x14ac:dyDescent="0.35">
      <c r="A208" s="6">
        <v>27515</v>
      </c>
      <c r="B208" s="5">
        <v>17</v>
      </c>
    </row>
    <row r="209" spans="1:2" x14ac:dyDescent="0.35">
      <c r="A209" s="6">
        <v>27546</v>
      </c>
      <c r="B209" s="5">
        <v>13.9</v>
      </c>
    </row>
    <row r="210" spans="1:2" x14ac:dyDescent="0.35">
      <c r="A210" s="6">
        <v>27576</v>
      </c>
      <c r="B210" s="5">
        <v>12.3</v>
      </c>
    </row>
    <row r="211" spans="1:2" x14ac:dyDescent="0.35">
      <c r="A211" s="6">
        <v>27607</v>
      </c>
      <c r="B211" s="5">
        <v>12.6</v>
      </c>
    </row>
    <row r="212" spans="1:2" x14ac:dyDescent="0.35">
      <c r="A212" s="6">
        <v>27638</v>
      </c>
      <c r="B212" s="5">
        <v>12.6</v>
      </c>
    </row>
    <row r="213" spans="1:2" x14ac:dyDescent="0.35">
      <c r="A213" s="6">
        <v>27668</v>
      </c>
      <c r="B213" s="5">
        <v>13</v>
      </c>
    </row>
    <row r="214" spans="1:2" x14ac:dyDescent="0.35">
      <c r="A214" s="6">
        <v>27699</v>
      </c>
      <c r="B214" s="5">
        <v>12.3</v>
      </c>
    </row>
    <row r="215" spans="1:2" x14ac:dyDescent="0.35">
      <c r="A215" s="6">
        <v>27729</v>
      </c>
      <c r="B215" s="5">
        <v>11.5</v>
      </c>
    </row>
    <row r="216" spans="1:2" x14ac:dyDescent="0.35">
      <c r="A216" s="6">
        <v>27760</v>
      </c>
      <c r="B216" s="5">
        <v>11.3</v>
      </c>
    </row>
    <row r="217" spans="1:2" x14ac:dyDescent="0.35">
      <c r="A217" s="6">
        <v>27791</v>
      </c>
      <c r="B217" s="5">
        <v>11.9</v>
      </c>
    </row>
    <row r="218" spans="1:2" x14ac:dyDescent="0.35">
      <c r="A218" s="6">
        <v>27820</v>
      </c>
      <c r="B218" s="5">
        <v>11.8</v>
      </c>
    </row>
    <row r="219" spans="1:2" x14ac:dyDescent="0.35">
      <c r="A219" s="6">
        <v>27851</v>
      </c>
      <c r="B219" s="5">
        <v>11.2</v>
      </c>
    </row>
    <row r="220" spans="1:2" x14ac:dyDescent="0.35">
      <c r="A220" s="6">
        <v>27881</v>
      </c>
      <c r="B220" s="5">
        <v>11.8</v>
      </c>
    </row>
    <row r="221" spans="1:2" x14ac:dyDescent="0.35">
      <c r="A221" s="6">
        <v>27912</v>
      </c>
      <c r="B221" s="5">
        <v>10.9</v>
      </c>
    </row>
    <row r="222" spans="1:2" x14ac:dyDescent="0.35">
      <c r="A222" s="6">
        <v>27942</v>
      </c>
      <c r="B222" s="5">
        <v>11.2</v>
      </c>
    </row>
    <row r="223" spans="1:2" x14ac:dyDescent="0.35">
      <c r="A223" s="6">
        <v>27973</v>
      </c>
      <c r="B223" s="5">
        <v>11.2</v>
      </c>
    </row>
    <row r="224" spans="1:2" x14ac:dyDescent="0.35">
      <c r="A224" s="6">
        <v>28004</v>
      </c>
      <c r="B224" s="5">
        <v>10.8</v>
      </c>
    </row>
    <row r="225" spans="1:2" x14ac:dyDescent="0.35">
      <c r="A225" s="6">
        <v>28034</v>
      </c>
      <c r="B225" s="5">
        <v>10.6</v>
      </c>
    </row>
    <row r="226" spans="1:2" x14ac:dyDescent="0.35">
      <c r="A226" s="6">
        <v>28065</v>
      </c>
      <c r="B226" s="5">
        <v>10.9</v>
      </c>
    </row>
    <row r="227" spans="1:2" x14ac:dyDescent="0.35">
      <c r="A227" s="6">
        <v>28095</v>
      </c>
      <c r="B227" s="5">
        <v>9.9</v>
      </c>
    </row>
    <row r="228" spans="1:2" x14ac:dyDescent="0.35">
      <c r="A228" s="6">
        <v>28126</v>
      </c>
      <c r="B228" s="5">
        <v>9.8000000000000007</v>
      </c>
    </row>
    <row r="229" spans="1:2" x14ac:dyDescent="0.35">
      <c r="A229" s="6">
        <v>28157</v>
      </c>
      <c r="B229" s="5">
        <v>8.5</v>
      </c>
    </row>
    <row r="230" spans="1:2" x14ac:dyDescent="0.35">
      <c r="A230" s="6">
        <v>28185</v>
      </c>
      <c r="B230" s="5">
        <v>9.8000000000000007</v>
      </c>
    </row>
    <row r="231" spans="1:2" x14ac:dyDescent="0.35">
      <c r="A231" s="6">
        <v>28216</v>
      </c>
      <c r="B231" s="5">
        <v>9.9</v>
      </c>
    </row>
    <row r="232" spans="1:2" x14ac:dyDescent="0.35">
      <c r="A232" s="6">
        <v>28246</v>
      </c>
      <c r="B232" s="5">
        <v>9.8000000000000007</v>
      </c>
    </row>
    <row r="233" spans="1:2" x14ac:dyDescent="0.35">
      <c r="A233" s="6">
        <v>28277</v>
      </c>
      <c r="B233" s="5">
        <v>10.199999999999999</v>
      </c>
    </row>
    <row r="234" spans="1:2" x14ac:dyDescent="0.35">
      <c r="A234" s="6">
        <v>28307</v>
      </c>
      <c r="B234" s="5">
        <v>10.1</v>
      </c>
    </row>
    <row r="235" spans="1:2" x14ac:dyDescent="0.35">
      <c r="A235" s="6">
        <v>28338</v>
      </c>
      <c r="B235" s="5">
        <v>10.5</v>
      </c>
    </row>
    <row r="236" spans="1:2" x14ac:dyDescent="0.35">
      <c r="A236" s="6">
        <v>28369</v>
      </c>
      <c r="B236" s="5">
        <v>10.7</v>
      </c>
    </row>
    <row r="237" spans="1:2" x14ac:dyDescent="0.35">
      <c r="A237" s="6">
        <v>28399</v>
      </c>
      <c r="B237" s="5">
        <v>10.7</v>
      </c>
    </row>
    <row r="238" spans="1:2" x14ac:dyDescent="0.35">
      <c r="A238" s="6">
        <v>28430</v>
      </c>
      <c r="B238" s="5">
        <v>10.8</v>
      </c>
    </row>
    <row r="239" spans="1:2" x14ac:dyDescent="0.35">
      <c r="A239" s="6">
        <v>28460</v>
      </c>
      <c r="B239" s="5">
        <v>11</v>
      </c>
    </row>
    <row r="240" spans="1:2" x14ac:dyDescent="0.35">
      <c r="A240" s="6">
        <v>28491</v>
      </c>
      <c r="B240" s="5">
        <v>11.4</v>
      </c>
    </row>
    <row r="241" spans="1:2" x14ac:dyDescent="0.35">
      <c r="A241" s="6">
        <v>28522</v>
      </c>
      <c r="B241" s="5">
        <v>10.7</v>
      </c>
    </row>
    <row r="242" spans="1:2" x14ac:dyDescent="0.35">
      <c r="A242" s="6">
        <v>28550</v>
      </c>
      <c r="B242" s="5">
        <v>10.5</v>
      </c>
    </row>
    <row r="243" spans="1:2" x14ac:dyDescent="0.35">
      <c r="A243" s="6">
        <v>28581</v>
      </c>
      <c r="B243" s="5">
        <v>10.3</v>
      </c>
    </row>
    <row r="244" spans="1:2" x14ac:dyDescent="0.35">
      <c r="A244" s="6">
        <v>28611</v>
      </c>
      <c r="B244" s="5">
        <v>9.8000000000000007</v>
      </c>
    </row>
    <row r="245" spans="1:2" x14ac:dyDescent="0.35">
      <c r="A245" s="6">
        <v>28642</v>
      </c>
      <c r="B245" s="5">
        <v>9.5</v>
      </c>
    </row>
    <row r="246" spans="1:2" x14ac:dyDescent="0.35">
      <c r="A246" s="6">
        <v>28672</v>
      </c>
      <c r="B246" s="5">
        <v>10.3</v>
      </c>
    </row>
    <row r="247" spans="1:2" x14ac:dyDescent="0.35">
      <c r="A247" s="6">
        <v>28703</v>
      </c>
      <c r="B247" s="5">
        <v>9.9</v>
      </c>
    </row>
    <row r="248" spans="1:2" x14ac:dyDescent="0.35">
      <c r="A248" s="6">
        <v>28734</v>
      </c>
      <c r="B248" s="5">
        <v>10</v>
      </c>
    </row>
    <row r="249" spans="1:2" x14ac:dyDescent="0.35">
      <c r="A249" s="6">
        <v>28764</v>
      </c>
      <c r="B249" s="5">
        <v>10.199999999999999</v>
      </c>
    </row>
    <row r="250" spans="1:2" x14ac:dyDescent="0.35">
      <c r="A250" s="6">
        <v>28795</v>
      </c>
      <c r="B250" s="5">
        <v>10</v>
      </c>
    </row>
    <row r="251" spans="1:2" x14ac:dyDescent="0.35">
      <c r="A251" s="6">
        <v>28825</v>
      </c>
      <c r="B251" s="5">
        <v>10</v>
      </c>
    </row>
    <row r="252" spans="1:2" x14ac:dyDescent="0.35">
      <c r="A252" s="6">
        <v>28856</v>
      </c>
      <c r="B252" s="5">
        <v>10.6</v>
      </c>
    </row>
    <row r="253" spans="1:2" x14ac:dyDescent="0.35">
      <c r="A253" s="6">
        <v>28887</v>
      </c>
      <c r="B253" s="5">
        <v>10.5</v>
      </c>
    </row>
    <row r="254" spans="1:2" x14ac:dyDescent="0.35">
      <c r="A254" s="6">
        <v>28915</v>
      </c>
      <c r="B254" s="5">
        <v>10.7</v>
      </c>
    </row>
    <row r="255" spans="1:2" x14ac:dyDescent="0.35">
      <c r="A255" s="6">
        <v>28946</v>
      </c>
      <c r="B255" s="5">
        <v>10.4</v>
      </c>
    </row>
    <row r="256" spans="1:2" x14ac:dyDescent="0.35">
      <c r="A256" s="6">
        <v>28976</v>
      </c>
      <c r="B256" s="5">
        <v>9.8000000000000007</v>
      </c>
    </row>
    <row r="257" spans="1:2" x14ac:dyDescent="0.35">
      <c r="A257" s="6">
        <v>29007</v>
      </c>
      <c r="B257" s="5">
        <v>9.3000000000000007</v>
      </c>
    </row>
    <row r="258" spans="1:2" x14ac:dyDescent="0.35">
      <c r="A258" s="6">
        <v>29037</v>
      </c>
      <c r="B258" s="5">
        <v>10</v>
      </c>
    </row>
    <row r="259" spans="1:2" x14ac:dyDescent="0.35">
      <c r="A259" s="6">
        <v>29068</v>
      </c>
      <c r="B259" s="5">
        <v>9.1999999999999993</v>
      </c>
    </row>
    <row r="260" spans="1:2" x14ac:dyDescent="0.35">
      <c r="A260" s="6">
        <v>29099</v>
      </c>
      <c r="B260" s="5">
        <v>8.9</v>
      </c>
    </row>
    <row r="261" spans="1:2" x14ac:dyDescent="0.35">
      <c r="A261" s="6">
        <v>29129</v>
      </c>
      <c r="B261" s="5">
        <v>9.3000000000000007</v>
      </c>
    </row>
    <row r="262" spans="1:2" x14ac:dyDescent="0.35">
      <c r="A262" s="6">
        <v>29160</v>
      </c>
      <c r="B262" s="5">
        <v>9.4</v>
      </c>
    </row>
    <row r="263" spans="1:2" x14ac:dyDescent="0.35">
      <c r="A263" s="6">
        <v>29190</v>
      </c>
      <c r="B263" s="5">
        <v>9.8000000000000007</v>
      </c>
    </row>
    <row r="264" spans="1:2" x14ac:dyDescent="0.35">
      <c r="A264" s="6">
        <v>29221</v>
      </c>
      <c r="B264" s="5">
        <v>9.6</v>
      </c>
    </row>
    <row r="265" spans="1:2" x14ac:dyDescent="0.35">
      <c r="A265" s="6">
        <v>29252</v>
      </c>
      <c r="B265" s="5">
        <v>9.8000000000000007</v>
      </c>
    </row>
    <row r="266" spans="1:2" x14ac:dyDescent="0.35">
      <c r="A266" s="6">
        <v>29281</v>
      </c>
      <c r="B266" s="5">
        <v>9.8000000000000007</v>
      </c>
    </row>
    <row r="267" spans="1:2" x14ac:dyDescent="0.35">
      <c r="A267" s="6">
        <v>29312</v>
      </c>
      <c r="B267" s="5">
        <v>10.5</v>
      </c>
    </row>
    <row r="268" spans="1:2" x14ac:dyDescent="0.35">
      <c r="A268" s="6">
        <v>29342</v>
      </c>
      <c r="B268" s="5">
        <v>10.6</v>
      </c>
    </row>
    <row r="269" spans="1:2" x14ac:dyDescent="0.35">
      <c r="A269" s="6">
        <v>29373</v>
      </c>
      <c r="B269" s="5">
        <v>10.4</v>
      </c>
    </row>
    <row r="270" spans="1:2" x14ac:dyDescent="0.35">
      <c r="A270" s="6">
        <v>29403</v>
      </c>
      <c r="B270" s="5">
        <v>10.5</v>
      </c>
    </row>
    <row r="271" spans="1:2" x14ac:dyDescent="0.35">
      <c r="A271" s="6">
        <v>29434</v>
      </c>
      <c r="B271" s="5">
        <v>10.6</v>
      </c>
    </row>
    <row r="272" spans="1:2" x14ac:dyDescent="0.35">
      <c r="A272" s="6">
        <v>29465</v>
      </c>
      <c r="B272" s="5">
        <v>11.1</v>
      </c>
    </row>
    <row r="273" spans="1:2" x14ac:dyDescent="0.35">
      <c r="A273" s="6">
        <v>29495</v>
      </c>
      <c r="B273" s="5">
        <v>11</v>
      </c>
    </row>
    <row r="274" spans="1:2" x14ac:dyDescent="0.35">
      <c r="A274" s="6">
        <v>29526</v>
      </c>
      <c r="B274" s="5">
        <v>11.5</v>
      </c>
    </row>
    <row r="275" spans="1:2" x14ac:dyDescent="0.35">
      <c r="A275" s="6">
        <v>29556</v>
      </c>
      <c r="B275" s="5">
        <v>11.2</v>
      </c>
    </row>
    <row r="276" spans="1:2" x14ac:dyDescent="0.35">
      <c r="A276" s="6">
        <v>29587</v>
      </c>
      <c r="B276" s="5">
        <v>10.5</v>
      </c>
    </row>
    <row r="277" spans="1:2" x14ac:dyDescent="0.35">
      <c r="A277" s="6">
        <v>29618</v>
      </c>
      <c r="B277" s="5">
        <v>10.4</v>
      </c>
    </row>
    <row r="278" spans="1:2" x14ac:dyDescent="0.35">
      <c r="A278" s="6">
        <v>29646</v>
      </c>
      <c r="B278" s="5">
        <v>10.3</v>
      </c>
    </row>
    <row r="279" spans="1:2" x14ac:dyDescent="0.35">
      <c r="A279" s="6">
        <v>29677</v>
      </c>
      <c r="B279" s="5">
        <v>10.3</v>
      </c>
    </row>
    <row r="280" spans="1:2" x14ac:dyDescent="0.35">
      <c r="A280" s="6">
        <v>29707</v>
      </c>
      <c r="B280" s="5">
        <v>10.4</v>
      </c>
    </row>
    <row r="281" spans="1:2" x14ac:dyDescent="0.35">
      <c r="A281" s="6">
        <v>29738</v>
      </c>
      <c r="B281" s="5">
        <v>10.199999999999999</v>
      </c>
    </row>
    <row r="282" spans="1:2" x14ac:dyDescent="0.35">
      <c r="A282" s="6">
        <v>29768</v>
      </c>
      <c r="B282" s="5">
        <v>11.7</v>
      </c>
    </row>
    <row r="283" spans="1:2" x14ac:dyDescent="0.35">
      <c r="A283" s="6">
        <v>29799</v>
      </c>
      <c r="B283" s="5">
        <v>11.4</v>
      </c>
    </row>
    <row r="284" spans="1:2" x14ac:dyDescent="0.35">
      <c r="A284" s="6">
        <v>29830</v>
      </c>
      <c r="B284" s="5">
        <v>11.9</v>
      </c>
    </row>
    <row r="285" spans="1:2" x14ac:dyDescent="0.35">
      <c r="A285" s="6">
        <v>29860</v>
      </c>
      <c r="B285" s="5">
        <v>12.5</v>
      </c>
    </row>
    <row r="286" spans="1:2" x14ac:dyDescent="0.35">
      <c r="A286" s="6">
        <v>29891</v>
      </c>
      <c r="B286" s="5">
        <v>12.7</v>
      </c>
    </row>
    <row r="287" spans="1:2" x14ac:dyDescent="0.35">
      <c r="A287" s="6">
        <v>29921</v>
      </c>
      <c r="B287" s="5">
        <v>12</v>
      </c>
    </row>
    <row r="288" spans="1:2" x14ac:dyDescent="0.35">
      <c r="A288" s="6">
        <v>29952</v>
      </c>
      <c r="B288" s="5">
        <v>12.2</v>
      </c>
    </row>
    <row r="289" spans="1:2" x14ac:dyDescent="0.35">
      <c r="A289" s="6">
        <v>29983</v>
      </c>
      <c r="B289" s="5">
        <v>11.6</v>
      </c>
    </row>
    <row r="290" spans="1:2" x14ac:dyDescent="0.35">
      <c r="A290" s="6">
        <v>30011</v>
      </c>
      <c r="B290" s="5">
        <v>11.7</v>
      </c>
    </row>
    <row r="291" spans="1:2" x14ac:dyDescent="0.35">
      <c r="A291" s="6">
        <v>30042</v>
      </c>
      <c r="B291" s="5">
        <v>12.4</v>
      </c>
    </row>
    <row r="292" spans="1:2" x14ac:dyDescent="0.35">
      <c r="A292" s="6">
        <v>30072</v>
      </c>
      <c r="B292" s="5">
        <v>11.7</v>
      </c>
    </row>
    <row r="293" spans="1:2" x14ac:dyDescent="0.35">
      <c r="A293" s="6">
        <v>30103</v>
      </c>
      <c r="B293" s="5">
        <v>11.6</v>
      </c>
    </row>
    <row r="294" spans="1:2" x14ac:dyDescent="0.35">
      <c r="A294" s="6">
        <v>30133</v>
      </c>
      <c r="B294" s="5">
        <v>12</v>
      </c>
    </row>
    <row r="295" spans="1:2" x14ac:dyDescent="0.35">
      <c r="A295" s="6">
        <v>30164</v>
      </c>
      <c r="B295" s="5">
        <v>11.9</v>
      </c>
    </row>
    <row r="296" spans="1:2" x14ac:dyDescent="0.35">
      <c r="A296" s="6">
        <v>30195</v>
      </c>
      <c r="B296" s="5">
        <v>11.1</v>
      </c>
    </row>
    <row r="297" spans="1:2" x14ac:dyDescent="0.35">
      <c r="A297" s="6">
        <v>30225</v>
      </c>
      <c r="B297" s="5">
        <v>10.7</v>
      </c>
    </row>
    <row r="298" spans="1:2" x14ac:dyDescent="0.35">
      <c r="A298" s="6">
        <v>30256</v>
      </c>
      <c r="B298" s="5">
        <v>10.3</v>
      </c>
    </row>
    <row r="299" spans="1:2" x14ac:dyDescent="0.35">
      <c r="A299" s="6">
        <v>30286</v>
      </c>
      <c r="B299" s="5">
        <v>10.3</v>
      </c>
    </row>
    <row r="300" spans="1:2" x14ac:dyDescent="0.35">
      <c r="A300" s="6">
        <v>30317</v>
      </c>
      <c r="B300" s="5">
        <v>10.4</v>
      </c>
    </row>
    <row r="301" spans="1:2" x14ac:dyDescent="0.35">
      <c r="A301" s="6">
        <v>30348</v>
      </c>
      <c r="B301" s="5">
        <v>10.5</v>
      </c>
    </row>
    <row r="302" spans="1:2" x14ac:dyDescent="0.35">
      <c r="A302" s="6">
        <v>30376</v>
      </c>
      <c r="B302" s="5">
        <v>10</v>
      </c>
    </row>
    <row r="303" spans="1:2" x14ac:dyDescent="0.35">
      <c r="A303" s="6">
        <v>30407</v>
      </c>
      <c r="B303" s="5">
        <v>9.6</v>
      </c>
    </row>
    <row r="304" spans="1:2" x14ac:dyDescent="0.35">
      <c r="A304" s="6">
        <v>30437</v>
      </c>
      <c r="B304" s="5">
        <v>9.4</v>
      </c>
    </row>
    <row r="305" spans="1:2" x14ac:dyDescent="0.35">
      <c r="A305" s="6">
        <v>30468</v>
      </c>
      <c r="B305" s="5">
        <v>8.5</v>
      </c>
    </row>
    <row r="306" spans="1:2" x14ac:dyDescent="0.35">
      <c r="A306" s="6">
        <v>30498</v>
      </c>
      <c r="B306" s="5">
        <v>9</v>
      </c>
    </row>
    <row r="307" spans="1:2" x14ac:dyDescent="0.35">
      <c r="A307" s="6">
        <v>30529</v>
      </c>
      <c r="B307" s="5">
        <v>8.6999999999999993</v>
      </c>
    </row>
    <row r="308" spans="1:2" x14ac:dyDescent="0.35">
      <c r="A308" s="6">
        <v>30560</v>
      </c>
      <c r="B308" s="5">
        <v>9</v>
      </c>
    </row>
    <row r="309" spans="1:2" x14ac:dyDescent="0.35">
      <c r="A309" s="6">
        <v>30590</v>
      </c>
      <c r="B309" s="5">
        <v>9.1</v>
      </c>
    </row>
    <row r="310" spans="1:2" x14ac:dyDescent="0.35">
      <c r="A310" s="6">
        <v>30621</v>
      </c>
      <c r="B310" s="5">
        <v>9.6999999999999993</v>
      </c>
    </row>
    <row r="311" spans="1:2" x14ac:dyDescent="0.35">
      <c r="A311" s="6">
        <v>30651</v>
      </c>
      <c r="B311" s="5">
        <v>9.5</v>
      </c>
    </row>
    <row r="312" spans="1:2" x14ac:dyDescent="0.35">
      <c r="A312" s="6">
        <v>30682</v>
      </c>
      <c r="B312" s="5">
        <v>9.4</v>
      </c>
    </row>
    <row r="313" spans="1:2" x14ac:dyDescent="0.35">
      <c r="A313" s="6">
        <v>30713</v>
      </c>
      <c r="B313" s="5">
        <v>11.1</v>
      </c>
    </row>
    <row r="314" spans="1:2" x14ac:dyDescent="0.35">
      <c r="A314" s="6">
        <v>30742</v>
      </c>
      <c r="B314" s="5">
        <v>10.9</v>
      </c>
    </row>
    <row r="315" spans="1:2" x14ac:dyDescent="0.35">
      <c r="A315" s="6">
        <v>30773</v>
      </c>
      <c r="B315" s="5">
        <v>10.9</v>
      </c>
    </row>
    <row r="316" spans="1:2" x14ac:dyDescent="0.35">
      <c r="A316" s="6">
        <v>30803</v>
      </c>
      <c r="B316" s="5">
        <v>10.5</v>
      </c>
    </row>
    <row r="317" spans="1:2" x14ac:dyDescent="0.35">
      <c r="A317" s="6">
        <v>30834</v>
      </c>
      <c r="B317" s="5">
        <v>10.5</v>
      </c>
    </row>
    <row r="318" spans="1:2" x14ac:dyDescent="0.35">
      <c r="A318" s="6">
        <v>30864</v>
      </c>
      <c r="B318" s="5">
        <v>11</v>
      </c>
    </row>
    <row r="319" spans="1:2" x14ac:dyDescent="0.35">
      <c r="A319" s="6">
        <v>30895</v>
      </c>
      <c r="B319" s="5">
        <v>11.2</v>
      </c>
    </row>
    <row r="320" spans="1:2" x14ac:dyDescent="0.35">
      <c r="A320" s="6">
        <v>30926</v>
      </c>
      <c r="B320" s="5">
        <v>11.2</v>
      </c>
    </row>
    <row r="321" spans="1:2" x14ac:dyDescent="0.35">
      <c r="A321" s="6">
        <v>30956</v>
      </c>
      <c r="B321" s="5">
        <v>11.2</v>
      </c>
    </row>
    <row r="322" spans="1:2" x14ac:dyDescent="0.35">
      <c r="A322" s="6">
        <v>30987</v>
      </c>
      <c r="B322" s="5">
        <v>10.3</v>
      </c>
    </row>
    <row r="323" spans="1:2" x14ac:dyDescent="0.35">
      <c r="A323" s="6">
        <v>31017</v>
      </c>
      <c r="B323" s="5">
        <v>10.6</v>
      </c>
    </row>
    <row r="324" spans="1:2" x14ac:dyDescent="0.35">
      <c r="A324" s="6">
        <v>31048</v>
      </c>
      <c r="B324" s="5">
        <v>9.6999999999999993</v>
      </c>
    </row>
    <row r="325" spans="1:2" x14ac:dyDescent="0.35">
      <c r="A325" s="6">
        <v>31079</v>
      </c>
      <c r="B325" s="5">
        <v>8.5</v>
      </c>
    </row>
    <row r="326" spans="1:2" x14ac:dyDescent="0.35">
      <c r="A326" s="6">
        <v>31107</v>
      </c>
      <c r="B326" s="5">
        <v>8.1</v>
      </c>
    </row>
    <row r="327" spans="1:2" x14ac:dyDescent="0.35">
      <c r="A327" s="6">
        <v>31138</v>
      </c>
      <c r="B327" s="5">
        <v>9.4</v>
      </c>
    </row>
    <row r="328" spans="1:2" x14ac:dyDescent="0.35">
      <c r="A328" s="6">
        <v>31168</v>
      </c>
      <c r="B328" s="5">
        <v>10.5</v>
      </c>
    </row>
    <row r="329" spans="1:2" x14ac:dyDescent="0.35">
      <c r="A329" s="6">
        <v>31199</v>
      </c>
      <c r="B329" s="5">
        <v>9</v>
      </c>
    </row>
    <row r="330" spans="1:2" x14ac:dyDescent="0.35">
      <c r="A330" s="6">
        <v>31229</v>
      </c>
      <c r="B330" s="5">
        <v>8.5</v>
      </c>
    </row>
    <row r="331" spans="1:2" x14ac:dyDescent="0.35">
      <c r="A331" s="6">
        <v>31260</v>
      </c>
      <c r="B331" s="5">
        <v>7.5</v>
      </c>
    </row>
    <row r="332" spans="1:2" x14ac:dyDescent="0.35">
      <c r="A332" s="6">
        <v>31291</v>
      </c>
      <c r="B332" s="5">
        <v>6.7</v>
      </c>
    </row>
    <row r="333" spans="1:2" x14ac:dyDescent="0.35">
      <c r="A333" s="6">
        <v>31321</v>
      </c>
      <c r="B333" s="5">
        <v>8.5</v>
      </c>
    </row>
    <row r="334" spans="1:2" x14ac:dyDescent="0.35">
      <c r="A334" s="6">
        <v>31352</v>
      </c>
      <c r="B334" s="5">
        <v>8.4</v>
      </c>
    </row>
    <row r="335" spans="1:2" x14ac:dyDescent="0.35">
      <c r="A335" s="6">
        <v>31382</v>
      </c>
      <c r="B335" s="5">
        <v>8</v>
      </c>
    </row>
    <row r="336" spans="1:2" x14ac:dyDescent="0.35">
      <c r="A336" s="6">
        <v>31413</v>
      </c>
      <c r="B336" s="5">
        <v>8</v>
      </c>
    </row>
    <row r="337" spans="1:2" x14ac:dyDescent="0.35">
      <c r="A337" s="6">
        <v>31444</v>
      </c>
      <c r="B337" s="5">
        <v>8.6999999999999993</v>
      </c>
    </row>
    <row r="338" spans="1:2" x14ac:dyDescent="0.35">
      <c r="A338" s="6">
        <v>31472</v>
      </c>
      <c r="B338" s="5">
        <v>9.3000000000000007</v>
      </c>
    </row>
    <row r="339" spans="1:2" x14ac:dyDescent="0.35">
      <c r="A339" s="6">
        <v>31503</v>
      </c>
      <c r="B339" s="5">
        <v>9.1</v>
      </c>
    </row>
    <row r="340" spans="1:2" x14ac:dyDescent="0.35">
      <c r="A340" s="6">
        <v>31533</v>
      </c>
      <c r="B340" s="5">
        <v>8.6</v>
      </c>
    </row>
    <row r="341" spans="1:2" x14ac:dyDescent="0.35">
      <c r="A341" s="6">
        <v>31564</v>
      </c>
      <c r="B341" s="5">
        <v>8.8000000000000007</v>
      </c>
    </row>
    <row r="342" spans="1:2" x14ac:dyDescent="0.35">
      <c r="A342" s="6">
        <v>31594</v>
      </c>
      <c r="B342" s="5">
        <v>8.6999999999999993</v>
      </c>
    </row>
    <row r="343" spans="1:2" x14ac:dyDescent="0.35">
      <c r="A343" s="6">
        <v>31625</v>
      </c>
      <c r="B343" s="5">
        <v>8.4</v>
      </c>
    </row>
    <row r="344" spans="1:2" x14ac:dyDescent="0.35">
      <c r="A344" s="6">
        <v>31656</v>
      </c>
      <c r="B344" s="5">
        <v>6.6</v>
      </c>
    </row>
    <row r="345" spans="1:2" x14ac:dyDescent="0.35">
      <c r="A345" s="6">
        <v>31686</v>
      </c>
      <c r="B345" s="5">
        <v>7.8</v>
      </c>
    </row>
    <row r="346" spans="1:2" x14ac:dyDescent="0.35">
      <c r="A346" s="6">
        <v>31717</v>
      </c>
      <c r="B346" s="5">
        <v>8.1999999999999993</v>
      </c>
    </row>
    <row r="347" spans="1:2" x14ac:dyDescent="0.35">
      <c r="A347" s="6">
        <v>31747</v>
      </c>
      <c r="B347" s="5">
        <v>6.4</v>
      </c>
    </row>
    <row r="348" spans="1:2" x14ac:dyDescent="0.35">
      <c r="A348" s="6">
        <v>31778</v>
      </c>
      <c r="B348" s="5">
        <v>9.1</v>
      </c>
    </row>
    <row r="349" spans="1:2" x14ac:dyDescent="0.35">
      <c r="A349" s="6">
        <v>31809</v>
      </c>
      <c r="B349" s="5">
        <v>7.9</v>
      </c>
    </row>
    <row r="350" spans="1:2" x14ac:dyDescent="0.35">
      <c r="A350" s="6">
        <v>31837</v>
      </c>
      <c r="B350" s="5">
        <v>7.9</v>
      </c>
    </row>
    <row r="351" spans="1:2" x14ac:dyDescent="0.35">
      <c r="A351" s="6">
        <v>31868</v>
      </c>
      <c r="B351" s="5">
        <v>3.8</v>
      </c>
    </row>
    <row r="352" spans="1:2" x14ac:dyDescent="0.35">
      <c r="A352" s="6">
        <v>31898</v>
      </c>
      <c r="B352" s="5">
        <v>7.5</v>
      </c>
    </row>
    <row r="353" spans="1:2" x14ac:dyDescent="0.35">
      <c r="A353" s="6">
        <v>31929</v>
      </c>
      <c r="B353" s="5">
        <v>7</v>
      </c>
    </row>
    <row r="354" spans="1:2" x14ac:dyDescent="0.35">
      <c r="A354" s="6">
        <v>31959</v>
      </c>
      <c r="B354" s="5">
        <v>6.8</v>
      </c>
    </row>
    <row r="355" spans="1:2" x14ac:dyDescent="0.35">
      <c r="A355" s="6">
        <v>31990</v>
      </c>
      <c r="B355" s="5">
        <v>6.5</v>
      </c>
    </row>
    <row r="356" spans="1:2" x14ac:dyDescent="0.35">
      <c r="A356" s="6">
        <v>32021</v>
      </c>
      <c r="B356" s="5">
        <v>7</v>
      </c>
    </row>
    <row r="357" spans="1:2" x14ac:dyDescent="0.35">
      <c r="A357" s="6">
        <v>32051</v>
      </c>
      <c r="B357" s="5">
        <v>7.6</v>
      </c>
    </row>
    <row r="358" spans="1:2" x14ac:dyDescent="0.35">
      <c r="A358" s="6">
        <v>32082</v>
      </c>
      <c r="B358" s="5">
        <v>7.9</v>
      </c>
    </row>
    <row r="359" spans="1:2" x14ac:dyDescent="0.35">
      <c r="A359" s="6">
        <v>32112</v>
      </c>
      <c r="B359" s="5">
        <v>8</v>
      </c>
    </row>
    <row r="360" spans="1:2" x14ac:dyDescent="0.35">
      <c r="A360" s="6">
        <v>32143</v>
      </c>
      <c r="B360" s="5">
        <v>7.5</v>
      </c>
    </row>
    <row r="361" spans="1:2" x14ac:dyDescent="0.35">
      <c r="A361" s="6">
        <v>32174</v>
      </c>
      <c r="B361" s="5">
        <v>7.9</v>
      </c>
    </row>
    <row r="362" spans="1:2" x14ac:dyDescent="0.35">
      <c r="A362" s="6">
        <v>32203</v>
      </c>
      <c r="B362" s="5">
        <v>7.5</v>
      </c>
    </row>
    <row r="363" spans="1:2" x14ac:dyDescent="0.35">
      <c r="A363" s="6">
        <v>32234</v>
      </c>
      <c r="B363" s="5">
        <v>8.1</v>
      </c>
    </row>
    <row r="364" spans="1:2" x14ac:dyDescent="0.35">
      <c r="A364" s="6">
        <v>32264</v>
      </c>
      <c r="B364" s="5">
        <v>7.7</v>
      </c>
    </row>
    <row r="365" spans="1:2" x14ac:dyDescent="0.35">
      <c r="A365" s="6">
        <v>32295</v>
      </c>
      <c r="B365" s="5">
        <v>7.8</v>
      </c>
    </row>
    <row r="366" spans="1:2" x14ac:dyDescent="0.35">
      <c r="A366" s="6">
        <v>32325</v>
      </c>
      <c r="B366" s="5">
        <v>7.9</v>
      </c>
    </row>
    <row r="367" spans="1:2" x14ac:dyDescent="0.35">
      <c r="A367" s="6">
        <v>32356</v>
      </c>
      <c r="B367" s="5">
        <v>7.8</v>
      </c>
    </row>
    <row r="368" spans="1:2" x14ac:dyDescent="0.35">
      <c r="A368" s="6">
        <v>32387</v>
      </c>
      <c r="B368" s="5">
        <v>8.1999999999999993</v>
      </c>
    </row>
    <row r="369" spans="1:2" x14ac:dyDescent="0.35">
      <c r="A369" s="6">
        <v>32417</v>
      </c>
      <c r="B369" s="5">
        <v>8</v>
      </c>
    </row>
    <row r="370" spans="1:2" x14ac:dyDescent="0.35">
      <c r="A370" s="6">
        <v>32448</v>
      </c>
      <c r="B370" s="5">
        <v>7.7</v>
      </c>
    </row>
    <row r="371" spans="1:2" x14ac:dyDescent="0.35">
      <c r="A371" s="6">
        <v>32478</v>
      </c>
      <c r="B371" s="5">
        <v>7.7</v>
      </c>
    </row>
    <row r="372" spans="1:2" x14ac:dyDescent="0.35">
      <c r="A372" s="6">
        <v>32509</v>
      </c>
      <c r="B372" s="5">
        <v>8</v>
      </c>
    </row>
    <row r="373" spans="1:2" x14ac:dyDescent="0.35">
      <c r="A373" s="6">
        <v>32540</v>
      </c>
      <c r="B373" s="5">
        <v>8.4</v>
      </c>
    </row>
    <row r="374" spans="1:2" x14ac:dyDescent="0.35">
      <c r="A374" s="6">
        <v>32568</v>
      </c>
      <c r="B374" s="5">
        <v>8.9</v>
      </c>
    </row>
    <row r="375" spans="1:2" x14ac:dyDescent="0.35">
      <c r="A375" s="6">
        <v>32599</v>
      </c>
      <c r="B375" s="5">
        <v>7.9</v>
      </c>
    </row>
    <row r="376" spans="1:2" x14ac:dyDescent="0.35">
      <c r="A376" s="6">
        <v>32629</v>
      </c>
      <c r="B376" s="5">
        <v>7.6</v>
      </c>
    </row>
    <row r="377" spans="1:2" x14ac:dyDescent="0.35">
      <c r="A377" s="6">
        <v>32660</v>
      </c>
      <c r="B377" s="5">
        <v>7.6</v>
      </c>
    </row>
    <row r="378" spans="1:2" x14ac:dyDescent="0.35">
      <c r="A378" s="6">
        <v>32690</v>
      </c>
      <c r="B378" s="5">
        <v>7.7</v>
      </c>
    </row>
    <row r="379" spans="1:2" x14ac:dyDescent="0.35">
      <c r="A379" s="6">
        <v>32721</v>
      </c>
      <c r="B379" s="5">
        <v>7.1</v>
      </c>
    </row>
    <row r="380" spans="1:2" x14ac:dyDescent="0.35">
      <c r="A380" s="6">
        <v>32752</v>
      </c>
      <c r="B380" s="5">
        <v>7.5</v>
      </c>
    </row>
    <row r="381" spans="1:2" x14ac:dyDescent="0.35">
      <c r="A381" s="6">
        <v>32782</v>
      </c>
      <c r="B381" s="5">
        <v>7.9</v>
      </c>
    </row>
    <row r="382" spans="1:2" x14ac:dyDescent="0.35">
      <c r="A382" s="6">
        <v>32813</v>
      </c>
      <c r="B382" s="5">
        <v>8</v>
      </c>
    </row>
    <row r="383" spans="1:2" x14ac:dyDescent="0.35">
      <c r="A383" s="6">
        <v>32843</v>
      </c>
      <c r="B383" s="5">
        <v>7.2</v>
      </c>
    </row>
    <row r="384" spans="1:2" x14ac:dyDescent="0.35">
      <c r="A384" s="6">
        <v>32874</v>
      </c>
      <c r="B384" s="5">
        <v>7.4</v>
      </c>
    </row>
    <row r="385" spans="1:2" x14ac:dyDescent="0.35">
      <c r="A385" s="6">
        <v>32905</v>
      </c>
      <c r="B385" s="5">
        <v>8.1</v>
      </c>
    </row>
    <row r="386" spans="1:2" x14ac:dyDescent="0.35">
      <c r="A386" s="6">
        <v>32933</v>
      </c>
      <c r="B386" s="5">
        <v>7.8</v>
      </c>
    </row>
    <row r="387" spans="1:2" x14ac:dyDescent="0.35">
      <c r="A387" s="6">
        <v>32964</v>
      </c>
      <c r="B387" s="5">
        <v>8.1999999999999993</v>
      </c>
    </row>
    <row r="388" spans="1:2" x14ac:dyDescent="0.35">
      <c r="A388" s="6">
        <v>32994</v>
      </c>
      <c r="B388" s="5">
        <v>8</v>
      </c>
    </row>
    <row r="389" spans="1:2" x14ac:dyDescent="0.35">
      <c r="A389" s="6">
        <v>33025</v>
      </c>
      <c r="B389" s="5">
        <v>7.9</v>
      </c>
    </row>
    <row r="390" spans="1:2" x14ac:dyDescent="0.35">
      <c r="A390" s="6">
        <v>33055</v>
      </c>
      <c r="B390" s="5">
        <v>8</v>
      </c>
    </row>
    <row r="391" spans="1:2" x14ac:dyDescent="0.35">
      <c r="A391" s="6">
        <v>33086</v>
      </c>
      <c r="B391" s="5">
        <v>7.5</v>
      </c>
    </row>
    <row r="392" spans="1:2" x14ac:dyDescent="0.35">
      <c r="A392" s="6">
        <v>33117</v>
      </c>
      <c r="B392" s="5">
        <v>7.5</v>
      </c>
    </row>
    <row r="393" spans="1:2" x14ac:dyDescent="0.35">
      <c r="A393" s="6">
        <v>33147</v>
      </c>
      <c r="B393" s="5">
        <v>7.3</v>
      </c>
    </row>
    <row r="394" spans="1:2" x14ac:dyDescent="0.35">
      <c r="A394" s="6">
        <v>33178</v>
      </c>
      <c r="B394" s="5">
        <v>7.4</v>
      </c>
    </row>
    <row r="395" spans="1:2" x14ac:dyDescent="0.35">
      <c r="A395" s="6">
        <v>33208</v>
      </c>
      <c r="B395" s="5">
        <v>8.1999999999999993</v>
      </c>
    </row>
    <row r="396" spans="1:2" x14ac:dyDescent="0.35">
      <c r="A396" s="6">
        <v>33239</v>
      </c>
      <c r="B396" s="5">
        <v>8.6999999999999993</v>
      </c>
    </row>
    <row r="397" spans="1:2" x14ac:dyDescent="0.35">
      <c r="A397" s="6">
        <v>33270</v>
      </c>
      <c r="B397" s="5">
        <v>8.3000000000000007</v>
      </c>
    </row>
    <row r="398" spans="1:2" x14ac:dyDescent="0.35">
      <c r="A398" s="6">
        <v>33298</v>
      </c>
      <c r="B398" s="5">
        <v>7.4</v>
      </c>
    </row>
    <row r="399" spans="1:2" x14ac:dyDescent="0.35">
      <c r="A399" s="6">
        <v>33329</v>
      </c>
      <c r="B399" s="5">
        <v>8</v>
      </c>
    </row>
    <row r="400" spans="1:2" x14ac:dyDescent="0.35">
      <c r="A400" s="6">
        <v>33359</v>
      </c>
      <c r="B400" s="5">
        <v>7.7</v>
      </c>
    </row>
    <row r="401" spans="1:2" x14ac:dyDescent="0.35">
      <c r="A401" s="6">
        <v>33390</v>
      </c>
      <c r="B401" s="5">
        <v>8.1999999999999993</v>
      </c>
    </row>
    <row r="402" spans="1:2" x14ac:dyDescent="0.35">
      <c r="A402" s="6">
        <v>33420</v>
      </c>
      <c r="B402" s="5">
        <v>7.6</v>
      </c>
    </row>
    <row r="403" spans="1:2" x14ac:dyDescent="0.35">
      <c r="A403" s="6">
        <v>33451</v>
      </c>
      <c r="B403" s="5">
        <v>7.9</v>
      </c>
    </row>
    <row r="404" spans="1:2" x14ac:dyDescent="0.35">
      <c r="A404" s="6">
        <v>33482</v>
      </c>
      <c r="B404" s="5">
        <v>8.1</v>
      </c>
    </row>
    <row r="405" spans="1:2" x14ac:dyDescent="0.35">
      <c r="A405" s="6">
        <v>33512</v>
      </c>
      <c r="B405" s="5">
        <v>8.6</v>
      </c>
    </row>
    <row r="406" spans="1:2" x14ac:dyDescent="0.35">
      <c r="A406" s="6">
        <v>33543</v>
      </c>
      <c r="B406" s="5">
        <v>8.4</v>
      </c>
    </row>
    <row r="407" spans="1:2" x14ac:dyDescent="0.35">
      <c r="A407" s="6">
        <v>33573</v>
      </c>
      <c r="B407" s="5">
        <v>9.1</v>
      </c>
    </row>
    <row r="408" spans="1:2" x14ac:dyDescent="0.35">
      <c r="A408" s="6">
        <v>33604</v>
      </c>
      <c r="B408" s="5">
        <v>8.8000000000000007</v>
      </c>
    </row>
    <row r="409" spans="1:2" x14ac:dyDescent="0.35">
      <c r="A409" s="6">
        <v>33635</v>
      </c>
      <c r="B409" s="5">
        <v>9.1999999999999993</v>
      </c>
    </row>
    <row r="410" spans="1:2" x14ac:dyDescent="0.35">
      <c r="A410" s="6">
        <v>33664</v>
      </c>
      <c r="B410" s="5">
        <v>9.1999999999999993</v>
      </c>
    </row>
    <row r="411" spans="1:2" x14ac:dyDescent="0.35">
      <c r="A411" s="6">
        <v>33695</v>
      </c>
      <c r="B411" s="5">
        <v>9.4</v>
      </c>
    </row>
    <row r="412" spans="1:2" x14ac:dyDescent="0.35">
      <c r="A412" s="6">
        <v>33725</v>
      </c>
      <c r="B412" s="5">
        <v>9.4</v>
      </c>
    </row>
    <row r="413" spans="1:2" x14ac:dyDescent="0.35">
      <c r="A413" s="6">
        <v>33756</v>
      </c>
      <c r="B413" s="5">
        <v>9.5</v>
      </c>
    </row>
    <row r="414" spans="1:2" x14ac:dyDescent="0.35">
      <c r="A414" s="6">
        <v>33786</v>
      </c>
      <c r="B414" s="5">
        <v>9.1</v>
      </c>
    </row>
    <row r="415" spans="1:2" x14ac:dyDescent="0.35">
      <c r="A415" s="6">
        <v>33817</v>
      </c>
      <c r="B415" s="5">
        <v>9.1999999999999993</v>
      </c>
    </row>
    <row r="416" spans="1:2" x14ac:dyDescent="0.35">
      <c r="A416" s="6">
        <v>33848</v>
      </c>
      <c r="B416" s="5">
        <v>8.1999999999999993</v>
      </c>
    </row>
    <row r="417" spans="1:2" x14ac:dyDescent="0.35">
      <c r="A417" s="6">
        <v>33878</v>
      </c>
      <c r="B417" s="5">
        <v>7.4</v>
      </c>
    </row>
    <row r="418" spans="1:2" x14ac:dyDescent="0.35">
      <c r="A418" s="6">
        <v>33909</v>
      </c>
      <c r="B418" s="5">
        <v>7.3</v>
      </c>
    </row>
    <row r="419" spans="1:2" x14ac:dyDescent="0.35">
      <c r="A419" s="6">
        <v>33939</v>
      </c>
      <c r="B419" s="5">
        <v>9.9</v>
      </c>
    </row>
    <row r="420" spans="1:2" x14ac:dyDescent="0.35">
      <c r="A420" s="6">
        <v>33970</v>
      </c>
      <c r="B420" s="5">
        <v>8.3000000000000007</v>
      </c>
    </row>
    <row r="421" spans="1:2" x14ac:dyDescent="0.35">
      <c r="A421" s="6">
        <v>34001</v>
      </c>
      <c r="B421" s="5">
        <v>8.4</v>
      </c>
    </row>
    <row r="422" spans="1:2" x14ac:dyDescent="0.35">
      <c r="A422" s="6">
        <v>34029</v>
      </c>
      <c r="B422" s="5">
        <v>8.3000000000000007</v>
      </c>
    </row>
    <row r="423" spans="1:2" x14ac:dyDescent="0.35">
      <c r="A423" s="6">
        <v>34060</v>
      </c>
      <c r="B423" s="5">
        <v>8.1999999999999993</v>
      </c>
    </row>
    <row r="424" spans="1:2" x14ac:dyDescent="0.35">
      <c r="A424" s="6">
        <v>34090</v>
      </c>
      <c r="B424" s="5">
        <v>7.7</v>
      </c>
    </row>
    <row r="425" spans="1:2" x14ac:dyDescent="0.35">
      <c r="A425" s="6">
        <v>34121</v>
      </c>
      <c r="B425" s="5">
        <v>7.2</v>
      </c>
    </row>
    <row r="426" spans="1:2" x14ac:dyDescent="0.35">
      <c r="A426" s="6">
        <v>34151</v>
      </c>
      <c r="B426" s="5">
        <v>7</v>
      </c>
    </row>
    <row r="427" spans="1:2" x14ac:dyDescent="0.35">
      <c r="A427" s="6">
        <v>34182</v>
      </c>
      <c r="B427" s="5">
        <v>7.1</v>
      </c>
    </row>
    <row r="428" spans="1:2" x14ac:dyDescent="0.35">
      <c r="A428" s="6">
        <v>34213</v>
      </c>
      <c r="B428" s="5">
        <v>6.3</v>
      </c>
    </row>
    <row r="429" spans="1:2" x14ac:dyDescent="0.35">
      <c r="A429" s="6">
        <v>34243</v>
      </c>
      <c r="B429" s="5">
        <v>5.6</v>
      </c>
    </row>
    <row r="430" spans="1:2" x14ac:dyDescent="0.35">
      <c r="A430" s="6">
        <v>34274</v>
      </c>
      <c r="B430" s="5">
        <v>5.6</v>
      </c>
    </row>
    <row r="431" spans="1:2" x14ac:dyDescent="0.35">
      <c r="A431" s="6">
        <v>34304</v>
      </c>
      <c r="B431" s="5">
        <v>8.4</v>
      </c>
    </row>
    <row r="432" spans="1:2" x14ac:dyDescent="0.35">
      <c r="A432" s="6">
        <v>34335</v>
      </c>
      <c r="B432" s="5">
        <v>6.4</v>
      </c>
    </row>
    <row r="433" spans="1:2" x14ac:dyDescent="0.35">
      <c r="A433" s="6">
        <v>34366</v>
      </c>
      <c r="B433" s="5">
        <v>5.9</v>
      </c>
    </row>
    <row r="434" spans="1:2" x14ac:dyDescent="0.35">
      <c r="A434" s="6">
        <v>34394</v>
      </c>
      <c r="B434" s="5">
        <v>6.2</v>
      </c>
    </row>
    <row r="435" spans="1:2" x14ac:dyDescent="0.35">
      <c r="A435" s="6">
        <v>34425</v>
      </c>
      <c r="B435" s="5">
        <v>5.8</v>
      </c>
    </row>
    <row r="436" spans="1:2" x14ac:dyDescent="0.35">
      <c r="A436" s="6">
        <v>34455</v>
      </c>
      <c r="B436" s="5">
        <v>7.1</v>
      </c>
    </row>
    <row r="437" spans="1:2" x14ac:dyDescent="0.35">
      <c r="A437" s="6">
        <v>34486</v>
      </c>
      <c r="B437" s="5">
        <v>6.3</v>
      </c>
    </row>
    <row r="438" spans="1:2" x14ac:dyDescent="0.35">
      <c r="A438" s="6">
        <v>34516</v>
      </c>
      <c r="B438" s="5">
        <v>6.4</v>
      </c>
    </row>
    <row r="439" spans="1:2" x14ac:dyDescent="0.35">
      <c r="A439" s="6">
        <v>34547</v>
      </c>
      <c r="B439" s="5">
        <v>5.9</v>
      </c>
    </row>
    <row r="440" spans="1:2" x14ac:dyDescent="0.35">
      <c r="A440" s="6">
        <v>34578</v>
      </c>
      <c r="B440" s="5">
        <v>6.2</v>
      </c>
    </row>
    <row r="441" spans="1:2" x14ac:dyDescent="0.35">
      <c r="A441" s="6">
        <v>34608</v>
      </c>
      <c r="B441" s="5">
        <v>6.5</v>
      </c>
    </row>
    <row r="442" spans="1:2" x14ac:dyDescent="0.35">
      <c r="A442" s="6">
        <v>34639</v>
      </c>
      <c r="B442" s="5">
        <v>6.4</v>
      </c>
    </row>
    <row r="443" spans="1:2" x14ac:dyDescent="0.35">
      <c r="A443" s="6">
        <v>34669</v>
      </c>
      <c r="B443" s="5">
        <v>6.5</v>
      </c>
    </row>
    <row r="444" spans="1:2" x14ac:dyDescent="0.35">
      <c r="A444" s="6">
        <v>34700</v>
      </c>
      <c r="B444" s="5">
        <v>6.9</v>
      </c>
    </row>
    <row r="445" spans="1:2" x14ac:dyDescent="0.35">
      <c r="A445" s="6">
        <v>34731</v>
      </c>
      <c r="B445" s="5">
        <v>7.3</v>
      </c>
    </row>
    <row r="446" spans="1:2" x14ac:dyDescent="0.35">
      <c r="A446" s="6">
        <v>34759</v>
      </c>
      <c r="B446" s="5">
        <v>7</v>
      </c>
    </row>
    <row r="447" spans="1:2" x14ac:dyDescent="0.35">
      <c r="A447" s="6">
        <v>34790</v>
      </c>
      <c r="B447" s="5">
        <v>6.3</v>
      </c>
    </row>
    <row r="448" spans="1:2" x14ac:dyDescent="0.35">
      <c r="A448" s="6">
        <v>34820</v>
      </c>
      <c r="B448" s="5">
        <v>6.5</v>
      </c>
    </row>
    <row r="449" spans="1:2" x14ac:dyDescent="0.35">
      <c r="A449" s="6">
        <v>34851</v>
      </c>
      <c r="B449" s="5">
        <v>6.1</v>
      </c>
    </row>
    <row r="450" spans="1:2" x14ac:dyDescent="0.35">
      <c r="A450" s="6">
        <v>34881</v>
      </c>
      <c r="B450" s="5">
        <v>6.4</v>
      </c>
    </row>
    <row r="451" spans="1:2" x14ac:dyDescent="0.35">
      <c r="A451" s="6">
        <v>34912</v>
      </c>
      <c r="B451" s="5">
        <v>6.1</v>
      </c>
    </row>
    <row r="452" spans="1:2" x14ac:dyDescent="0.35">
      <c r="A452" s="6">
        <v>34943</v>
      </c>
      <c r="B452" s="5">
        <v>6.1</v>
      </c>
    </row>
    <row r="453" spans="1:2" x14ac:dyDescent="0.35">
      <c r="A453" s="6">
        <v>34973</v>
      </c>
      <c r="B453" s="5">
        <v>6.5</v>
      </c>
    </row>
    <row r="454" spans="1:2" x14ac:dyDescent="0.35">
      <c r="A454" s="6">
        <v>35004</v>
      </c>
      <c r="B454" s="5">
        <v>6</v>
      </c>
    </row>
    <row r="455" spans="1:2" x14ac:dyDescent="0.35">
      <c r="A455" s="6">
        <v>35034</v>
      </c>
      <c r="B455" s="5">
        <v>5.5</v>
      </c>
    </row>
    <row r="456" spans="1:2" x14ac:dyDescent="0.35">
      <c r="A456" s="6">
        <v>35065</v>
      </c>
      <c r="B456" s="5">
        <v>6.1</v>
      </c>
    </row>
    <row r="457" spans="1:2" x14ac:dyDescent="0.35">
      <c r="A457" s="6">
        <v>35096</v>
      </c>
      <c r="B457" s="5">
        <v>6.1</v>
      </c>
    </row>
    <row r="458" spans="1:2" x14ac:dyDescent="0.35">
      <c r="A458" s="6">
        <v>35125</v>
      </c>
      <c r="B458" s="5">
        <v>6</v>
      </c>
    </row>
    <row r="459" spans="1:2" x14ac:dyDescent="0.35">
      <c r="A459" s="6">
        <v>35156</v>
      </c>
      <c r="B459" s="5">
        <v>5</v>
      </c>
    </row>
    <row r="460" spans="1:2" x14ac:dyDescent="0.35">
      <c r="A460" s="6">
        <v>35186</v>
      </c>
      <c r="B460" s="5">
        <v>6.1</v>
      </c>
    </row>
    <row r="461" spans="1:2" x14ac:dyDescent="0.35">
      <c r="A461" s="6">
        <v>35217</v>
      </c>
      <c r="B461" s="5">
        <v>6.5</v>
      </c>
    </row>
    <row r="462" spans="1:2" x14ac:dyDescent="0.35">
      <c r="A462" s="6">
        <v>35247</v>
      </c>
      <c r="B462" s="5">
        <v>6.1</v>
      </c>
    </row>
    <row r="463" spans="1:2" x14ac:dyDescent="0.35">
      <c r="A463" s="6">
        <v>35278</v>
      </c>
      <c r="B463" s="5">
        <v>5.9</v>
      </c>
    </row>
    <row r="464" spans="1:2" x14ac:dyDescent="0.35">
      <c r="A464" s="6">
        <v>35309</v>
      </c>
      <c r="B464" s="5">
        <v>6</v>
      </c>
    </row>
    <row r="465" spans="1:2" x14ac:dyDescent="0.35">
      <c r="A465" s="6">
        <v>35339</v>
      </c>
      <c r="B465" s="5">
        <v>5.8</v>
      </c>
    </row>
    <row r="466" spans="1:2" x14ac:dyDescent="0.35">
      <c r="A466" s="6">
        <v>35370</v>
      </c>
      <c r="B466" s="5">
        <v>5.8</v>
      </c>
    </row>
    <row r="467" spans="1:2" x14ac:dyDescent="0.35">
      <c r="A467" s="6">
        <v>35400</v>
      </c>
      <c r="B467" s="5">
        <v>5.7</v>
      </c>
    </row>
    <row r="468" spans="1:2" x14ac:dyDescent="0.35">
      <c r="A468" s="6">
        <v>35431</v>
      </c>
      <c r="B468" s="5">
        <v>5.6</v>
      </c>
    </row>
    <row r="469" spans="1:2" x14ac:dyDescent="0.35">
      <c r="A469" s="6">
        <v>35462</v>
      </c>
      <c r="B469" s="5">
        <v>5.7</v>
      </c>
    </row>
    <row r="470" spans="1:2" x14ac:dyDescent="0.35">
      <c r="A470" s="6">
        <v>35490</v>
      </c>
      <c r="B470" s="5">
        <v>5.8</v>
      </c>
    </row>
    <row r="471" spans="1:2" x14ac:dyDescent="0.35">
      <c r="A471" s="6">
        <v>35521</v>
      </c>
      <c r="B471" s="5">
        <v>5.9</v>
      </c>
    </row>
    <row r="472" spans="1:2" x14ac:dyDescent="0.35">
      <c r="A472" s="6">
        <v>35551</v>
      </c>
      <c r="B472" s="5">
        <v>6.2</v>
      </c>
    </row>
    <row r="473" spans="1:2" x14ac:dyDescent="0.35">
      <c r="A473" s="6">
        <v>35582</v>
      </c>
      <c r="B473" s="5">
        <v>6</v>
      </c>
    </row>
    <row r="474" spans="1:2" x14ac:dyDescent="0.35">
      <c r="A474" s="6">
        <v>35612</v>
      </c>
      <c r="B474" s="5">
        <v>5.5</v>
      </c>
    </row>
    <row r="475" spans="1:2" x14ac:dyDescent="0.35">
      <c r="A475" s="6">
        <v>35643</v>
      </c>
      <c r="B475" s="5">
        <v>5.4</v>
      </c>
    </row>
    <row r="476" spans="1:2" x14ac:dyDescent="0.35">
      <c r="A476" s="6">
        <v>35674</v>
      </c>
      <c r="B476" s="5">
        <v>5.6</v>
      </c>
    </row>
    <row r="477" spans="1:2" x14ac:dyDescent="0.35">
      <c r="A477" s="6">
        <v>35704</v>
      </c>
      <c r="B477" s="5">
        <v>5.6</v>
      </c>
    </row>
    <row r="478" spans="1:2" x14ac:dyDescent="0.35">
      <c r="A478" s="6">
        <v>35735</v>
      </c>
      <c r="B478" s="5">
        <v>5.8</v>
      </c>
    </row>
    <row r="479" spans="1:2" x14ac:dyDescent="0.35">
      <c r="A479" s="6">
        <v>35765</v>
      </c>
      <c r="B479" s="5">
        <v>5.8</v>
      </c>
    </row>
    <row r="480" spans="1:2" x14ac:dyDescent="0.35">
      <c r="A480" s="6">
        <v>35796</v>
      </c>
      <c r="B480" s="5">
        <v>6.7</v>
      </c>
    </row>
    <row r="481" spans="1:2" x14ac:dyDescent="0.35">
      <c r="A481" s="6">
        <v>35827</v>
      </c>
      <c r="B481" s="5">
        <v>6.8</v>
      </c>
    </row>
    <row r="482" spans="1:2" x14ac:dyDescent="0.35">
      <c r="A482" s="6">
        <v>35855</v>
      </c>
      <c r="B482" s="5">
        <v>6.9</v>
      </c>
    </row>
    <row r="483" spans="1:2" x14ac:dyDescent="0.35">
      <c r="A483" s="6">
        <v>35886</v>
      </c>
      <c r="B483" s="5">
        <v>6.6</v>
      </c>
    </row>
    <row r="484" spans="1:2" x14ac:dyDescent="0.35">
      <c r="A484" s="6">
        <v>35916</v>
      </c>
      <c r="B484" s="5">
        <v>6.3</v>
      </c>
    </row>
    <row r="485" spans="1:2" x14ac:dyDescent="0.35">
      <c r="A485" s="6">
        <v>35947</v>
      </c>
      <c r="B485" s="5">
        <v>6.2</v>
      </c>
    </row>
    <row r="486" spans="1:2" x14ac:dyDescent="0.35">
      <c r="A486" s="6">
        <v>35977</v>
      </c>
      <c r="B486" s="5">
        <v>6.3</v>
      </c>
    </row>
    <row r="487" spans="1:2" x14ac:dyDescent="0.35">
      <c r="A487" s="6">
        <v>36008</v>
      </c>
      <c r="B487" s="5">
        <v>6.2</v>
      </c>
    </row>
    <row r="488" spans="1:2" x14ac:dyDescent="0.35">
      <c r="A488" s="6">
        <v>36039</v>
      </c>
      <c r="B488" s="5">
        <v>5.8</v>
      </c>
    </row>
    <row r="489" spans="1:2" x14ac:dyDescent="0.35">
      <c r="A489" s="6">
        <v>36069</v>
      </c>
      <c r="B489" s="5">
        <v>5.6</v>
      </c>
    </row>
    <row r="490" spans="1:2" x14ac:dyDescent="0.35">
      <c r="A490" s="6">
        <v>36100</v>
      </c>
      <c r="B490" s="5">
        <v>5.7</v>
      </c>
    </row>
    <row r="491" spans="1:2" x14ac:dyDescent="0.35">
      <c r="A491" s="6">
        <v>36130</v>
      </c>
      <c r="B491" s="5">
        <v>5.2</v>
      </c>
    </row>
    <row r="492" spans="1:2" x14ac:dyDescent="0.35">
      <c r="A492" s="6">
        <v>36161</v>
      </c>
      <c r="B492" s="5">
        <v>5.7</v>
      </c>
    </row>
    <row r="493" spans="1:2" x14ac:dyDescent="0.35">
      <c r="A493" s="6">
        <v>36192</v>
      </c>
      <c r="B493" s="5">
        <v>5.6</v>
      </c>
    </row>
    <row r="494" spans="1:2" x14ac:dyDescent="0.35">
      <c r="A494" s="6">
        <v>36220</v>
      </c>
      <c r="B494" s="5">
        <v>5.3</v>
      </c>
    </row>
    <row r="495" spans="1:2" x14ac:dyDescent="0.35">
      <c r="A495" s="6">
        <v>36251</v>
      </c>
      <c r="B495" s="5">
        <v>4.5</v>
      </c>
    </row>
    <row r="496" spans="1:2" x14ac:dyDescent="0.35">
      <c r="A496" s="6">
        <v>36281</v>
      </c>
      <c r="B496" s="5">
        <v>4.3</v>
      </c>
    </row>
    <row r="497" spans="1:2" x14ac:dyDescent="0.35">
      <c r="A497" s="6">
        <v>36312</v>
      </c>
      <c r="B497" s="5">
        <v>4.2</v>
      </c>
    </row>
    <row r="498" spans="1:2" x14ac:dyDescent="0.35">
      <c r="A498" s="6">
        <v>36342</v>
      </c>
      <c r="B498" s="5">
        <v>4.0999999999999996</v>
      </c>
    </row>
    <row r="499" spans="1:2" x14ac:dyDescent="0.35">
      <c r="A499" s="6">
        <v>36373</v>
      </c>
      <c r="B499" s="5">
        <v>4</v>
      </c>
    </row>
    <row r="500" spans="1:2" x14ac:dyDescent="0.35">
      <c r="A500" s="6">
        <v>36404</v>
      </c>
      <c r="B500" s="5">
        <v>3.5</v>
      </c>
    </row>
    <row r="501" spans="1:2" x14ac:dyDescent="0.35">
      <c r="A501" s="6">
        <v>36434</v>
      </c>
      <c r="B501" s="5">
        <v>3.9</v>
      </c>
    </row>
    <row r="502" spans="1:2" x14ac:dyDescent="0.35">
      <c r="A502" s="6">
        <v>36465</v>
      </c>
      <c r="B502" s="5">
        <v>4.0999999999999996</v>
      </c>
    </row>
    <row r="503" spans="1:2" x14ac:dyDescent="0.35">
      <c r="A503" s="6">
        <v>36495</v>
      </c>
      <c r="B503" s="5">
        <v>3.7</v>
      </c>
    </row>
    <row r="504" spans="1:2" x14ac:dyDescent="0.35">
      <c r="A504" s="6">
        <v>36526</v>
      </c>
      <c r="B504" s="5">
        <v>4.7</v>
      </c>
    </row>
    <row r="505" spans="1:2" x14ac:dyDescent="0.35">
      <c r="A505" s="6">
        <v>36557</v>
      </c>
      <c r="B505" s="5">
        <v>4.2</v>
      </c>
    </row>
    <row r="506" spans="1:2" x14ac:dyDescent="0.35">
      <c r="A506" s="6">
        <v>36586</v>
      </c>
      <c r="B506" s="5">
        <v>3.9</v>
      </c>
    </row>
    <row r="507" spans="1:2" x14ac:dyDescent="0.35">
      <c r="A507" s="6">
        <v>36617</v>
      </c>
      <c r="B507" s="5">
        <v>4.4000000000000004</v>
      </c>
    </row>
    <row r="508" spans="1:2" x14ac:dyDescent="0.35">
      <c r="A508" s="6">
        <v>36647</v>
      </c>
      <c r="B508" s="5">
        <v>4.3</v>
      </c>
    </row>
    <row r="509" spans="1:2" x14ac:dyDescent="0.35">
      <c r="A509" s="6">
        <v>36678</v>
      </c>
      <c r="B509" s="5">
        <v>4.2</v>
      </c>
    </row>
    <row r="510" spans="1:2" x14ac:dyDescent="0.35">
      <c r="A510" s="6">
        <v>36708</v>
      </c>
      <c r="B510" s="5">
        <v>4.5999999999999996</v>
      </c>
    </row>
    <row r="511" spans="1:2" x14ac:dyDescent="0.35">
      <c r="A511" s="6">
        <v>36739</v>
      </c>
      <c r="B511" s="5">
        <v>4.5999999999999996</v>
      </c>
    </row>
    <row r="512" spans="1:2" x14ac:dyDescent="0.35">
      <c r="A512" s="6">
        <v>36770</v>
      </c>
      <c r="B512" s="5">
        <v>3.8</v>
      </c>
    </row>
    <row r="513" spans="1:2" x14ac:dyDescent="0.35">
      <c r="A513" s="6">
        <v>36800</v>
      </c>
      <c r="B513" s="5">
        <v>4</v>
      </c>
    </row>
    <row r="514" spans="1:2" x14ac:dyDescent="0.35">
      <c r="A514" s="6">
        <v>36831</v>
      </c>
      <c r="B514" s="5">
        <v>3.8</v>
      </c>
    </row>
    <row r="515" spans="1:2" x14ac:dyDescent="0.35">
      <c r="A515" s="6">
        <v>36861</v>
      </c>
      <c r="B515" s="5">
        <v>3.5</v>
      </c>
    </row>
    <row r="516" spans="1:2" x14ac:dyDescent="0.35">
      <c r="A516" s="6">
        <v>36892</v>
      </c>
      <c r="B516" s="5">
        <v>4</v>
      </c>
    </row>
    <row r="517" spans="1:2" x14ac:dyDescent="0.35">
      <c r="A517" s="6">
        <v>36923</v>
      </c>
      <c r="B517" s="5">
        <v>4.0999999999999996</v>
      </c>
    </row>
    <row r="518" spans="1:2" x14ac:dyDescent="0.35">
      <c r="A518" s="6">
        <v>36951</v>
      </c>
      <c r="B518" s="5">
        <v>4.5</v>
      </c>
    </row>
    <row r="519" spans="1:2" x14ac:dyDescent="0.35">
      <c r="A519" s="6">
        <v>36982</v>
      </c>
      <c r="B519" s="5">
        <v>4.3</v>
      </c>
    </row>
    <row r="520" spans="1:2" x14ac:dyDescent="0.35">
      <c r="A520" s="6">
        <v>37012</v>
      </c>
      <c r="B520" s="5">
        <v>3.7</v>
      </c>
    </row>
    <row r="521" spans="1:2" x14ac:dyDescent="0.35">
      <c r="A521" s="6">
        <v>37043</v>
      </c>
      <c r="B521" s="5">
        <v>3.7</v>
      </c>
    </row>
    <row r="522" spans="1:2" x14ac:dyDescent="0.35">
      <c r="A522" s="6">
        <v>37073</v>
      </c>
      <c r="B522" s="5">
        <v>5</v>
      </c>
    </row>
    <row r="523" spans="1:2" x14ac:dyDescent="0.35">
      <c r="A523" s="6">
        <v>37104</v>
      </c>
      <c r="B523" s="5">
        <v>6.1</v>
      </c>
    </row>
    <row r="524" spans="1:2" x14ac:dyDescent="0.35">
      <c r="A524" s="6">
        <v>37135</v>
      </c>
      <c r="B524" s="5">
        <v>6.3</v>
      </c>
    </row>
    <row r="525" spans="1:2" x14ac:dyDescent="0.35">
      <c r="A525" s="6">
        <v>37165</v>
      </c>
      <c r="B525" s="5">
        <v>2.7</v>
      </c>
    </row>
    <row r="526" spans="1:2" x14ac:dyDescent="0.35">
      <c r="A526" s="6">
        <v>37196</v>
      </c>
      <c r="B526" s="5">
        <v>3.4</v>
      </c>
    </row>
    <row r="527" spans="1:2" x14ac:dyDescent="0.35">
      <c r="A527" s="6">
        <v>37226</v>
      </c>
      <c r="B527" s="5">
        <v>3.8</v>
      </c>
    </row>
    <row r="528" spans="1:2" x14ac:dyDescent="0.35">
      <c r="A528" s="6">
        <v>37257</v>
      </c>
      <c r="B528" s="5">
        <v>5.6</v>
      </c>
    </row>
    <row r="529" spans="1:2" x14ac:dyDescent="0.35">
      <c r="A529" s="6">
        <v>37288</v>
      </c>
      <c r="B529" s="5">
        <v>5.3</v>
      </c>
    </row>
    <row r="530" spans="1:2" x14ac:dyDescent="0.35">
      <c r="A530" s="6">
        <v>37316</v>
      </c>
      <c r="B530" s="5">
        <v>5.3</v>
      </c>
    </row>
    <row r="531" spans="1:2" x14ac:dyDescent="0.35">
      <c r="A531" s="6">
        <v>37347</v>
      </c>
      <c r="B531" s="5">
        <v>5.0999999999999996</v>
      </c>
    </row>
    <row r="532" spans="1:2" x14ac:dyDescent="0.35">
      <c r="A532" s="6">
        <v>37377</v>
      </c>
      <c r="B532" s="5">
        <v>5.6</v>
      </c>
    </row>
    <row r="533" spans="1:2" x14ac:dyDescent="0.35">
      <c r="A533" s="6">
        <v>37408</v>
      </c>
      <c r="B533" s="5">
        <v>5.4</v>
      </c>
    </row>
    <row r="534" spans="1:2" x14ac:dyDescent="0.35">
      <c r="A534" s="6">
        <v>37438</v>
      </c>
      <c r="B534" s="5">
        <v>4.5999999999999996</v>
      </c>
    </row>
    <row r="535" spans="1:2" x14ac:dyDescent="0.35">
      <c r="A535" s="6">
        <v>37469</v>
      </c>
      <c r="B535" s="5">
        <v>4.4000000000000004</v>
      </c>
    </row>
    <row r="536" spans="1:2" x14ac:dyDescent="0.35">
      <c r="A536" s="6">
        <v>37500</v>
      </c>
      <c r="B536" s="5">
        <v>4.9000000000000004</v>
      </c>
    </row>
    <row r="537" spans="1:2" x14ac:dyDescent="0.35">
      <c r="A537" s="6">
        <v>37530</v>
      </c>
      <c r="B537" s="5">
        <v>4.7</v>
      </c>
    </row>
    <row r="538" spans="1:2" x14ac:dyDescent="0.35">
      <c r="A538" s="6">
        <v>37561</v>
      </c>
      <c r="B538" s="5">
        <v>4.7</v>
      </c>
    </row>
    <row r="539" spans="1:2" x14ac:dyDescent="0.35">
      <c r="A539" s="6">
        <v>37591</v>
      </c>
      <c r="B539" s="5">
        <v>4.5</v>
      </c>
    </row>
    <row r="540" spans="1:2" x14ac:dyDescent="0.35">
      <c r="A540" s="6">
        <v>37622</v>
      </c>
      <c r="B540" s="5">
        <v>4.5</v>
      </c>
    </row>
    <row r="541" spans="1:2" x14ac:dyDescent="0.35">
      <c r="A541" s="6">
        <v>37653</v>
      </c>
      <c r="B541" s="5">
        <v>4.8</v>
      </c>
    </row>
    <row r="542" spans="1:2" x14ac:dyDescent="0.35">
      <c r="A542" s="6">
        <v>37681</v>
      </c>
      <c r="B542" s="5">
        <v>4.5999999999999996</v>
      </c>
    </row>
    <row r="543" spans="1:2" x14ac:dyDescent="0.35">
      <c r="A543" s="6">
        <v>37712</v>
      </c>
      <c r="B543" s="5">
        <v>4.5999999999999996</v>
      </c>
    </row>
    <row r="544" spans="1:2" x14ac:dyDescent="0.35">
      <c r="A544" s="6">
        <v>37742</v>
      </c>
      <c r="B544" s="5">
        <v>5.0999999999999996</v>
      </c>
    </row>
    <row r="545" spans="1:2" x14ac:dyDescent="0.35">
      <c r="A545" s="6">
        <v>37773</v>
      </c>
      <c r="B545" s="5">
        <v>4.9000000000000004</v>
      </c>
    </row>
    <row r="546" spans="1:2" x14ac:dyDescent="0.35">
      <c r="A546" s="6">
        <v>37803</v>
      </c>
      <c r="B546" s="5">
        <v>5.5</v>
      </c>
    </row>
    <row r="547" spans="1:2" x14ac:dyDescent="0.35">
      <c r="A547" s="6">
        <v>37834</v>
      </c>
      <c r="B547" s="5">
        <v>5.3</v>
      </c>
    </row>
    <row r="548" spans="1:2" x14ac:dyDescent="0.35">
      <c r="A548" s="6">
        <v>37865</v>
      </c>
      <c r="B548" s="5">
        <v>4.5</v>
      </c>
    </row>
    <row r="549" spans="1:2" x14ac:dyDescent="0.35">
      <c r="A549" s="6">
        <v>37895</v>
      </c>
      <c r="B549" s="5">
        <v>4.5999999999999996</v>
      </c>
    </row>
    <row r="550" spans="1:2" x14ac:dyDescent="0.35">
      <c r="A550" s="6">
        <v>37926</v>
      </c>
      <c r="B550" s="5">
        <v>4.7</v>
      </c>
    </row>
    <row r="551" spans="1:2" x14ac:dyDescent="0.35">
      <c r="A551" s="6">
        <v>37956</v>
      </c>
      <c r="B551" s="5">
        <v>4.8</v>
      </c>
    </row>
    <row r="552" spans="1:2" x14ac:dyDescent="0.35">
      <c r="A552" s="6">
        <v>37987</v>
      </c>
      <c r="B552" s="5">
        <v>4.5</v>
      </c>
    </row>
    <row r="553" spans="1:2" x14ac:dyDescent="0.35">
      <c r="A553" s="6">
        <v>38018</v>
      </c>
      <c r="B553" s="5">
        <v>4.5</v>
      </c>
    </row>
    <row r="554" spans="1:2" x14ac:dyDescent="0.35">
      <c r="A554" s="6">
        <v>38047</v>
      </c>
      <c r="B554" s="5">
        <v>4.5</v>
      </c>
    </row>
    <row r="555" spans="1:2" x14ac:dyDescent="0.35">
      <c r="A555" s="6">
        <v>38078</v>
      </c>
      <c r="B555" s="5">
        <v>4.7</v>
      </c>
    </row>
    <row r="556" spans="1:2" x14ac:dyDescent="0.35">
      <c r="A556" s="6">
        <v>38108</v>
      </c>
      <c r="B556" s="5">
        <v>4.7</v>
      </c>
    </row>
    <row r="557" spans="1:2" x14ac:dyDescent="0.35">
      <c r="A557" s="6">
        <v>38139</v>
      </c>
      <c r="B557" s="5">
        <v>5</v>
      </c>
    </row>
    <row r="558" spans="1:2" x14ac:dyDescent="0.35">
      <c r="A558" s="6">
        <v>38169</v>
      </c>
      <c r="B558" s="5">
        <v>4.5999999999999996</v>
      </c>
    </row>
    <row r="559" spans="1:2" x14ac:dyDescent="0.35">
      <c r="A559" s="6">
        <v>38200</v>
      </c>
      <c r="B559" s="5">
        <v>4.5999999999999996</v>
      </c>
    </row>
    <row r="560" spans="1:2" x14ac:dyDescent="0.35">
      <c r="A560" s="6">
        <v>38231</v>
      </c>
      <c r="B560" s="5">
        <v>3.9</v>
      </c>
    </row>
    <row r="561" spans="1:2" x14ac:dyDescent="0.35">
      <c r="A561" s="6">
        <v>38261</v>
      </c>
      <c r="B561" s="5">
        <v>3.8</v>
      </c>
    </row>
    <row r="562" spans="1:2" x14ac:dyDescent="0.35">
      <c r="A562" s="6">
        <v>38292</v>
      </c>
      <c r="B562" s="5">
        <v>3.5</v>
      </c>
    </row>
    <row r="563" spans="1:2" x14ac:dyDescent="0.35">
      <c r="A563" s="6">
        <v>38322</v>
      </c>
      <c r="B563" s="5">
        <v>6.3</v>
      </c>
    </row>
    <row r="564" spans="1:2" x14ac:dyDescent="0.35">
      <c r="A564" s="6">
        <v>38353</v>
      </c>
      <c r="B564" s="5">
        <v>3.2</v>
      </c>
    </row>
    <row r="565" spans="1:2" x14ac:dyDescent="0.35">
      <c r="A565" s="6">
        <v>38384</v>
      </c>
      <c r="B565" s="5">
        <v>2.9</v>
      </c>
    </row>
    <row r="566" spans="1:2" x14ac:dyDescent="0.35">
      <c r="A566" s="6">
        <v>38412</v>
      </c>
      <c r="B566" s="5">
        <v>2.9</v>
      </c>
    </row>
    <row r="567" spans="1:2" x14ac:dyDescent="0.35">
      <c r="A567" s="6">
        <v>38443</v>
      </c>
      <c r="B567" s="5">
        <v>2.2000000000000002</v>
      </c>
    </row>
    <row r="568" spans="1:2" x14ac:dyDescent="0.35">
      <c r="A568" s="6">
        <v>38473</v>
      </c>
      <c r="B568" s="5">
        <v>3</v>
      </c>
    </row>
    <row r="569" spans="1:2" x14ac:dyDescent="0.35">
      <c r="A569" s="6">
        <v>38504</v>
      </c>
      <c r="B569" s="5">
        <v>2.2999999999999998</v>
      </c>
    </row>
    <row r="570" spans="1:2" x14ac:dyDescent="0.35">
      <c r="A570" s="6">
        <v>38534</v>
      </c>
      <c r="B570" s="5">
        <v>1.9</v>
      </c>
    </row>
    <row r="571" spans="1:2" x14ac:dyDescent="0.35">
      <c r="A571" s="6">
        <v>38565</v>
      </c>
      <c r="B571" s="5">
        <v>2.4</v>
      </c>
    </row>
    <row r="572" spans="1:2" x14ac:dyDescent="0.35">
      <c r="A572" s="6">
        <v>38596</v>
      </c>
      <c r="B572" s="5">
        <v>2.2999999999999998</v>
      </c>
    </row>
    <row r="573" spans="1:2" x14ac:dyDescent="0.35">
      <c r="A573" s="6">
        <v>38626</v>
      </c>
      <c r="B573" s="5">
        <v>2.6</v>
      </c>
    </row>
    <row r="574" spans="1:2" x14ac:dyDescent="0.35">
      <c r="A574" s="6">
        <v>38657</v>
      </c>
      <c r="B574" s="5">
        <v>2.7</v>
      </c>
    </row>
    <row r="575" spans="1:2" x14ac:dyDescent="0.35">
      <c r="A575" s="6">
        <v>38687</v>
      </c>
      <c r="B575" s="5">
        <v>2.8</v>
      </c>
    </row>
    <row r="576" spans="1:2" x14ac:dyDescent="0.35">
      <c r="A576" s="6">
        <v>38718</v>
      </c>
      <c r="B576" s="5">
        <v>3.8</v>
      </c>
    </row>
    <row r="577" spans="1:2" x14ac:dyDescent="0.35">
      <c r="A577" s="6">
        <v>38749</v>
      </c>
      <c r="B577" s="5">
        <v>3.8</v>
      </c>
    </row>
    <row r="578" spans="1:2" x14ac:dyDescent="0.35">
      <c r="A578" s="6">
        <v>38777</v>
      </c>
      <c r="B578" s="5">
        <v>3.8</v>
      </c>
    </row>
    <row r="579" spans="1:2" x14ac:dyDescent="0.35">
      <c r="A579" s="6">
        <v>38808</v>
      </c>
      <c r="B579" s="5">
        <v>3.4</v>
      </c>
    </row>
    <row r="580" spans="1:2" x14ac:dyDescent="0.35">
      <c r="A580" s="6">
        <v>38838</v>
      </c>
      <c r="B580" s="5">
        <v>3.2</v>
      </c>
    </row>
    <row r="581" spans="1:2" x14ac:dyDescent="0.35">
      <c r="A581" s="6">
        <v>38869</v>
      </c>
      <c r="B581" s="5">
        <v>3.4</v>
      </c>
    </row>
    <row r="582" spans="1:2" x14ac:dyDescent="0.35">
      <c r="A582" s="6">
        <v>38899</v>
      </c>
      <c r="B582" s="5">
        <v>2.9</v>
      </c>
    </row>
    <row r="583" spans="1:2" x14ac:dyDescent="0.35">
      <c r="A583" s="6">
        <v>38930</v>
      </c>
      <c r="B583" s="5">
        <v>3</v>
      </c>
    </row>
    <row r="584" spans="1:2" x14ac:dyDescent="0.35">
      <c r="A584" s="6">
        <v>38961</v>
      </c>
      <c r="B584" s="5">
        <v>3</v>
      </c>
    </row>
    <row r="585" spans="1:2" x14ac:dyDescent="0.35">
      <c r="A585" s="6">
        <v>38991</v>
      </c>
      <c r="B585" s="5">
        <v>3.1</v>
      </c>
    </row>
    <row r="586" spans="1:2" x14ac:dyDescent="0.35">
      <c r="A586" s="6">
        <v>39022</v>
      </c>
      <c r="B586" s="5">
        <v>3.2</v>
      </c>
    </row>
    <row r="587" spans="1:2" x14ac:dyDescent="0.35">
      <c r="A587" s="6">
        <v>39052</v>
      </c>
      <c r="B587" s="5">
        <v>3</v>
      </c>
    </row>
    <row r="588" spans="1:2" x14ac:dyDescent="0.35">
      <c r="A588" s="6">
        <v>39083</v>
      </c>
      <c r="B588" s="5">
        <v>3</v>
      </c>
    </row>
    <row r="589" spans="1:2" x14ac:dyDescent="0.35">
      <c r="A589" s="6">
        <v>39114</v>
      </c>
      <c r="B589" s="5">
        <v>3.3</v>
      </c>
    </row>
    <row r="590" spans="1:2" x14ac:dyDescent="0.35">
      <c r="A590" s="6">
        <v>39142</v>
      </c>
      <c r="B590" s="5">
        <v>3.6</v>
      </c>
    </row>
    <row r="591" spans="1:2" x14ac:dyDescent="0.35">
      <c r="A591" s="6">
        <v>39173</v>
      </c>
      <c r="B591" s="5">
        <v>3.2</v>
      </c>
    </row>
    <row r="592" spans="1:2" x14ac:dyDescent="0.35">
      <c r="A592" s="6">
        <v>39203</v>
      </c>
      <c r="B592" s="5">
        <v>3</v>
      </c>
    </row>
    <row r="593" spans="1:2" x14ac:dyDescent="0.35">
      <c r="A593" s="6">
        <v>39234</v>
      </c>
      <c r="B593" s="5">
        <v>2.8</v>
      </c>
    </row>
    <row r="594" spans="1:2" x14ac:dyDescent="0.35">
      <c r="A594" s="6">
        <v>39264</v>
      </c>
      <c r="B594" s="5">
        <v>2.8</v>
      </c>
    </row>
    <row r="595" spans="1:2" x14ac:dyDescent="0.35">
      <c r="A595" s="6">
        <v>39295</v>
      </c>
      <c r="B595" s="5">
        <v>2.6</v>
      </c>
    </row>
    <row r="596" spans="1:2" x14ac:dyDescent="0.35">
      <c r="A596" s="6">
        <v>39326</v>
      </c>
      <c r="B596" s="5">
        <v>2.8</v>
      </c>
    </row>
    <row r="597" spans="1:2" x14ac:dyDescent="0.35">
      <c r="A597" s="6">
        <v>39356</v>
      </c>
      <c r="B597" s="5">
        <v>2.8</v>
      </c>
    </row>
    <row r="598" spans="1:2" x14ac:dyDescent="0.35">
      <c r="A598" s="6">
        <v>39387</v>
      </c>
      <c r="B598" s="5">
        <v>2.5</v>
      </c>
    </row>
    <row r="599" spans="1:2" x14ac:dyDescent="0.35">
      <c r="A599" s="6">
        <v>39417</v>
      </c>
      <c r="B599" s="5">
        <v>3</v>
      </c>
    </row>
    <row r="600" spans="1:2" x14ac:dyDescent="0.35">
      <c r="A600" s="6">
        <v>39448</v>
      </c>
      <c r="B600" s="5">
        <v>3.3</v>
      </c>
    </row>
    <row r="601" spans="1:2" x14ac:dyDescent="0.35">
      <c r="A601" s="6">
        <v>39479</v>
      </c>
      <c r="B601" s="5">
        <v>3.8</v>
      </c>
    </row>
    <row r="602" spans="1:2" x14ac:dyDescent="0.35">
      <c r="A602" s="6">
        <v>39508</v>
      </c>
      <c r="B602" s="5">
        <v>3.9</v>
      </c>
    </row>
    <row r="603" spans="1:2" x14ac:dyDescent="0.35">
      <c r="A603" s="6">
        <v>39539</v>
      </c>
      <c r="B603" s="5">
        <v>3.5</v>
      </c>
    </row>
    <row r="604" spans="1:2" x14ac:dyDescent="0.35">
      <c r="A604" s="6">
        <v>39569</v>
      </c>
      <c r="B604" s="5">
        <v>7.9</v>
      </c>
    </row>
    <row r="605" spans="1:2" x14ac:dyDescent="0.35">
      <c r="A605" s="6">
        <v>39600</v>
      </c>
      <c r="B605" s="5">
        <v>5.5</v>
      </c>
    </row>
    <row r="606" spans="1:2" x14ac:dyDescent="0.35">
      <c r="A606" s="6">
        <v>39630</v>
      </c>
      <c r="B606" s="5">
        <v>4.4000000000000004</v>
      </c>
    </row>
    <row r="607" spans="1:2" x14ac:dyDescent="0.35">
      <c r="A607" s="6">
        <v>39661</v>
      </c>
      <c r="B607" s="5">
        <v>3.7</v>
      </c>
    </row>
    <row r="608" spans="1:2" x14ac:dyDescent="0.35">
      <c r="A608" s="6">
        <v>39692</v>
      </c>
      <c r="B608" s="5">
        <v>4.4000000000000004</v>
      </c>
    </row>
    <row r="609" spans="1:2" x14ac:dyDescent="0.35">
      <c r="A609" s="6">
        <v>39722</v>
      </c>
      <c r="B609" s="5">
        <v>5.4</v>
      </c>
    </row>
    <row r="610" spans="1:2" x14ac:dyDescent="0.35">
      <c r="A610" s="6">
        <v>39753</v>
      </c>
      <c r="B610" s="5">
        <v>6.2</v>
      </c>
    </row>
    <row r="611" spans="1:2" x14ac:dyDescent="0.35">
      <c r="A611" s="6">
        <v>39783</v>
      </c>
      <c r="B611" s="5">
        <v>6.4</v>
      </c>
    </row>
    <row r="612" spans="1:2" x14ac:dyDescent="0.35">
      <c r="A612" s="6">
        <v>39814</v>
      </c>
      <c r="B612" s="5">
        <v>6.4</v>
      </c>
    </row>
    <row r="613" spans="1:2" x14ac:dyDescent="0.35">
      <c r="A613" s="6">
        <v>39845</v>
      </c>
      <c r="B613" s="5">
        <v>5.9</v>
      </c>
    </row>
    <row r="614" spans="1:2" x14ac:dyDescent="0.35">
      <c r="A614" s="6">
        <v>39873</v>
      </c>
      <c r="B614" s="5">
        <v>6.1</v>
      </c>
    </row>
    <row r="615" spans="1:2" x14ac:dyDescent="0.35">
      <c r="A615" s="6">
        <v>39904</v>
      </c>
      <c r="B615" s="5">
        <v>6.7</v>
      </c>
    </row>
    <row r="616" spans="1:2" x14ac:dyDescent="0.35">
      <c r="A616" s="6">
        <v>39934</v>
      </c>
      <c r="B616" s="5">
        <v>8.1</v>
      </c>
    </row>
    <row r="617" spans="1:2" x14ac:dyDescent="0.35">
      <c r="A617" s="6">
        <v>39965</v>
      </c>
      <c r="B617" s="5">
        <v>6.6</v>
      </c>
    </row>
    <row r="618" spans="1:2" x14ac:dyDescent="0.35">
      <c r="A618" s="6">
        <v>39995</v>
      </c>
      <c r="B618" s="5">
        <v>6</v>
      </c>
    </row>
    <row r="619" spans="1:2" x14ac:dyDescent="0.35">
      <c r="A619" s="6">
        <v>40026</v>
      </c>
      <c r="B619" s="5">
        <v>4.9000000000000004</v>
      </c>
    </row>
    <row r="620" spans="1:2" x14ac:dyDescent="0.35">
      <c r="A620" s="6">
        <v>40057</v>
      </c>
      <c r="B620" s="5">
        <v>5.9</v>
      </c>
    </row>
    <row r="621" spans="1:2" x14ac:dyDescent="0.35">
      <c r="A621" s="6">
        <v>40087</v>
      </c>
      <c r="B621" s="5">
        <v>5.4</v>
      </c>
    </row>
    <row r="622" spans="1:2" x14ac:dyDescent="0.35">
      <c r="A622" s="6">
        <v>40118</v>
      </c>
      <c r="B622" s="5">
        <v>5.7</v>
      </c>
    </row>
    <row r="623" spans="1:2" x14ac:dyDescent="0.35">
      <c r="A623" s="6">
        <v>40148</v>
      </c>
      <c r="B623" s="5">
        <v>5.7</v>
      </c>
    </row>
    <row r="624" spans="1:2" x14ac:dyDescent="0.35">
      <c r="A624" s="6">
        <v>40179</v>
      </c>
      <c r="B624" s="5">
        <v>5.6</v>
      </c>
    </row>
    <row r="625" spans="1:2" x14ac:dyDescent="0.35">
      <c r="A625" s="6">
        <v>40210</v>
      </c>
      <c r="B625" s="5">
        <v>5.2</v>
      </c>
    </row>
    <row r="626" spans="1:2" x14ac:dyDescent="0.35">
      <c r="A626" s="6">
        <v>40238</v>
      </c>
      <c r="B626" s="5">
        <v>5</v>
      </c>
    </row>
    <row r="627" spans="1:2" x14ac:dyDescent="0.35">
      <c r="A627" s="6">
        <v>40269</v>
      </c>
      <c r="B627" s="5">
        <v>5.6</v>
      </c>
    </row>
    <row r="628" spans="1:2" x14ac:dyDescent="0.35">
      <c r="A628" s="6">
        <v>40299</v>
      </c>
      <c r="B628" s="5">
        <v>6</v>
      </c>
    </row>
    <row r="629" spans="1:2" x14ac:dyDescent="0.35">
      <c r="A629" s="6">
        <v>40330</v>
      </c>
      <c r="B629" s="5">
        <v>5.9</v>
      </c>
    </row>
    <row r="630" spans="1:2" x14ac:dyDescent="0.35">
      <c r="A630" s="6">
        <v>40360</v>
      </c>
      <c r="B630" s="5">
        <v>5.9</v>
      </c>
    </row>
    <row r="631" spans="1:2" x14ac:dyDescent="0.35">
      <c r="A631" s="6">
        <v>40391</v>
      </c>
      <c r="B631" s="5">
        <v>5.8</v>
      </c>
    </row>
    <row r="632" spans="1:2" x14ac:dyDescent="0.35">
      <c r="A632" s="6">
        <v>40422</v>
      </c>
      <c r="B632" s="5">
        <v>5.6</v>
      </c>
    </row>
    <row r="633" spans="1:2" x14ac:dyDescent="0.35">
      <c r="A633" s="6">
        <v>40452</v>
      </c>
      <c r="B633" s="5">
        <v>5.4</v>
      </c>
    </row>
    <row r="634" spans="1:2" x14ac:dyDescent="0.35">
      <c r="A634" s="6">
        <v>40483</v>
      </c>
      <c r="B634" s="5">
        <v>5.3</v>
      </c>
    </row>
    <row r="635" spans="1:2" x14ac:dyDescent="0.35">
      <c r="A635" s="6">
        <v>40513</v>
      </c>
      <c r="B635" s="5">
        <v>5.9</v>
      </c>
    </row>
    <row r="636" spans="1:2" x14ac:dyDescent="0.35">
      <c r="A636" s="6">
        <v>40544</v>
      </c>
      <c r="B636" s="5">
        <v>6.3</v>
      </c>
    </row>
    <row r="637" spans="1:2" x14ac:dyDescent="0.35">
      <c r="A637" s="6">
        <v>40575</v>
      </c>
      <c r="B637" s="5">
        <v>6.4</v>
      </c>
    </row>
    <row r="638" spans="1:2" x14ac:dyDescent="0.35">
      <c r="A638" s="6">
        <v>40603</v>
      </c>
      <c r="B638" s="5">
        <v>6.1</v>
      </c>
    </row>
    <row r="639" spans="1:2" x14ac:dyDescent="0.35">
      <c r="A639" s="6">
        <v>40634</v>
      </c>
      <c r="B639" s="5">
        <v>5.8</v>
      </c>
    </row>
    <row r="640" spans="1:2" x14ac:dyDescent="0.35">
      <c r="A640" s="6">
        <v>40664</v>
      </c>
      <c r="B640" s="5">
        <v>5.9</v>
      </c>
    </row>
    <row r="641" spans="1:2" x14ac:dyDescent="0.35">
      <c r="A641" s="6">
        <v>40695</v>
      </c>
      <c r="B641" s="5">
        <v>6.1</v>
      </c>
    </row>
    <row r="642" spans="1:2" x14ac:dyDescent="0.35">
      <c r="A642" s="6">
        <v>40725</v>
      </c>
      <c r="B642" s="5">
        <v>6.2</v>
      </c>
    </row>
    <row r="643" spans="1:2" x14ac:dyDescent="0.35">
      <c r="A643" s="6">
        <v>40756</v>
      </c>
      <c r="B643" s="5">
        <v>6.2</v>
      </c>
    </row>
    <row r="644" spans="1:2" x14ac:dyDescent="0.35">
      <c r="A644" s="6">
        <v>40787</v>
      </c>
      <c r="B644" s="5">
        <v>5.7</v>
      </c>
    </row>
    <row r="645" spans="1:2" x14ac:dyDescent="0.35">
      <c r="A645" s="6">
        <v>40817</v>
      </c>
      <c r="B645" s="5">
        <v>5.5</v>
      </c>
    </row>
    <row r="646" spans="1:2" x14ac:dyDescent="0.35">
      <c r="A646" s="6">
        <v>40848</v>
      </c>
      <c r="B646" s="5">
        <v>5.6</v>
      </c>
    </row>
    <row r="647" spans="1:2" x14ac:dyDescent="0.35">
      <c r="A647" s="6">
        <v>40878</v>
      </c>
      <c r="B647" s="5">
        <v>6.4</v>
      </c>
    </row>
    <row r="648" spans="1:2" x14ac:dyDescent="0.35">
      <c r="A648" s="6">
        <v>40909</v>
      </c>
      <c r="B648" s="5">
        <v>6.6</v>
      </c>
    </row>
    <row r="649" spans="1:2" x14ac:dyDescent="0.35">
      <c r="A649" s="6">
        <v>40940</v>
      </c>
      <c r="B649" s="5">
        <v>6.7</v>
      </c>
    </row>
    <row r="650" spans="1:2" x14ac:dyDescent="0.35">
      <c r="A650" s="6">
        <v>40969</v>
      </c>
      <c r="B650" s="5">
        <v>7</v>
      </c>
    </row>
    <row r="651" spans="1:2" x14ac:dyDescent="0.35">
      <c r="A651" s="6">
        <v>41000</v>
      </c>
      <c r="B651" s="5">
        <v>7.2</v>
      </c>
    </row>
    <row r="652" spans="1:2" x14ac:dyDescent="0.35">
      <c r="A652" s="6">
        <v>41030</v>
      </c>
      <c r="B652" s="5">
        <v>7.3</v>
      </c>
    </row>
    <row r="653" spans="1:2" x14ac:dyDescent="0.35">
      <c r="A653" s="6">
        <v>41061</v>
      </c>
      <c r="B653" s="5">
        <v>7.6</v>
      </c>
    </row>
    <row r="654" spans="1:2" x14ac:dyDescent="0.35">
      <c r="A654" s="6">
        <v>41091</v>
      </c>
      <c r="B654" s="5">
        <v>7.1</v>
      </c>
    </row>
    <row r="655" spans="1:2" x14ac:dyDescent="0.35">
      <c r="A655" s="6">
        <v>41122</v>
      </c>
      <c r="B655" s="5">
        <v>7.1</v>
      </c>
    </row>
    <row r="656" spans="1:2" x14ac:dyDescent="0.35">
      <c r="A656" s="6">
        <v>41153</v>
      </c>
      <c r="B656" s="5">
        <v>7.2</v>
      </c>
    </row>
    <row r="657" spans="1:2" x14ac:dyDescent="0.35">
      <c r="A657" s="6">
        <v>41183</v>
      </c>
      <c r="B657" s="5">
        <v>7.8</v>
      </c>
    </row>
    <row r="658" spans="1:2" x14ac:dyDescent="0.35">
      <c r="A658" s="6">
        <v>41214</v>
      </c>
      <c r="B658" s="5">
        <v>8.8000000000000007</v>
      </c>
    </row>
    <row r="659" spans="1:2" x14ac:dyDescent="0.35">
      <c r="A659" s="6">
        <v>41244</v>
      </c>
      <c r="B659" s="5">
        <v>11</v>
      </c>
    </row>
    <row r="660" spans="1:2" x14ac:dyDescent="0.35">
      <c r="A660" s="6">
        <v>41275</v>
      </c>
      <c r="B660" s="5">
        <v>4.9000000000000004</v>
      </c>
    </row>
    <row r="661" spans="1:2" x14ac:dyDescent="0.35">
      <c r="A661" s="6">
        <v>41306</v>
      </c>
      <c r="B661" s="5">
        <v>4.7</v>
      </c>
    </row>
    <row r="662" spans="1:2" x14ac:dyDescent="0.35">
      <c r="A662" s="6">
        <v>41334</v>
      </c>
      <c r="B662" s="5">
        <v>4.8</v>
      </c>
    </row>
    <row r="663" spans="1:2" x14ac:dyDescent="0.35">
      <c r="A663" s="6">
        <v>41365</v>
      </c>
      <c r="B663" s="5">
        <v>4.9000000000000004</v>
      </c>
    </row>
    <row r="664" spans="1:2" x14ac:dyDescent="0.35">
      <c r="A664" s="6">
        <v>41395</v>
      </c>
      <c r="B664" s="5">
        <v>5.3</v>
      </c>
    </row>
    <row r="665" spans="1:2" x14ac:dyDescent="0.35">
      <c r="A665" s="6">
        <v>41426</v>
      </c>
      <c r="B665" s="5">
        <v>5.4</v>
      </c>
    </row>
    <row r="666" spans="1:2" x14ac:dyDescent="0.35">
      <c r="A666" s="6">
        <v>41456</v>
      </c>
      <c r="B666" s="5">
        <v>5.2</v>
      </c>
    </row>
    <row r="667" spans="1:2" x14ac:dyDescent="0.35">
      <c r="A667" s="6">
        <v>41487</v>
      </c>
      <c r="B667" s="5">
        <v>5.4</v>
      </c>
    </row>
    <row r="668" spans="1:2" x14ac:dyDescent="0.35">
      <c r="A668" s="6">
        <v>41518</v>
      </c>
      <c r="B668" s="5">
        <v>5.3</v>
      </c>
    </row>
    <row r="669" spans="1:2" x14ac:dyDescent="0.35">
      <c r="A669" s="6">
        <v>41548</v>
      </c>
      <c r="B669" s="5">
        <v>4.8</v>
      </c>
    </row>
    <row r="670" spans="1:2" x14ac:dyDescent="0.35">
      <c r="A670" s="6">
        <v>41579</v>
      </c>
      <c r="B670" s="5">
        <v>4.5999999999999996</v>
      </c>
    </row>
    <row r="671" spans="1:2" x14ac:dyDescent="0.35">
      <c r="A671" s="6">
        <v>41609</v>
      </c>
      <c r="B671" s="5">
        <v>4.7</v>
      </c>
    </row>
    <row r="672" spans="1:2" x14ac:dyDescent="0.35">
      <c r="A672" s="6">
        <v>41640</v>
      </c>
      <c r="B672" s="5">
        <v>5.0999999999999996</v>
      </c>
    </row>
    <row r="673" spans="1:2" x14ac:dyDescent="0.35">
      <c r="A673" s="6">
        <v>41671</v>
      </c>
      <c r="B673" s="5">
        <v>5.4</v>
      </c>
    </row>
    <row r="674" spans="1:2" x14ac:dyDescent="0.35">
      <c r="A674" s="6">
        <v>41699</v>
      </c>
      <c r="B674" s="5">
        <v>5.4</v>
      </c>
    </row>
    <row r="675" spans="1:2" x14ac:dyDescent="0.35">
      <c r="A675" s="6">
        <v>41730</v>
      </c>
      <c r="B675" s="5">
        <v>5.5</v>
      </c>
    </row>
    <row r="676" spans="1:2" x14ac:dyDescent="0.35">
      <c r="A676" s="6">
        <v>41760</v>
      </c>
      <c r="B676" s="5">
        <v>5.7</v>
      </c>
    </row>
    <row r="677" spans="1:2" x14ac:dyDescent="0.35">
      <c r="A677" s="6">
        <v>41791</v>
      </c>
      <c r="B677" s="5">
        <v>5.9</v>
      </c>
    </row>
    <row r="678" spans="1:2" x14ac:dyDescent="0.35">
      <c r="A678" s="6">
        <v>41821</v>
      </c>
      <c r="B678" s="5">
        <v>5.8</v>
      </c>
    </row>
    <row r="679" spans="1:2" x14ac:dyDescent="0.35">
      <c r="A679" s="6">
        <v>41852</v>
      </c>
      <c r="B679" s="5">
        <v>5.6</v>
      </c>
    </row>
    <row r="680" spans="1:2" x14ac:dyDescent="0.35">
      <c r="A680" s="6">
        <v>41883</v>
      </c>
      <c r="B680" s="5">
        <v>5.8</v>
      </c>
    </row>
    <row r="681" spans="1:2" x14ac:dyDescent="0.35">
      <c r="A681" s="6">
        <v>41913</v>
      </c>
      <c r="B681" s="5">
        <v>5.8</v>
      </c>
    </row>
    <row r="682" spans="1:2" x14ac:dyDescent="0.35">
      <c r="A682" s="6">
        <v>41944</v>
      </c>
      <c r="B682" s="5">
        <v>5.8</v>
      </c>
    </row>
    <row r="683" spans="1:2" x14ac:dyDescent="0.35">
      <c r="A683" s="6">
        <v>41974</v>
      </c>
      <c r="B683" s="5">
        <v>6.1</v>
      </c>
    </row>
    <row r="684" spans="1:2" x14ac:dyDescent="0.35">
      <c r="A684" s="6">
        <v>42005</v>
      </c>
      <c r="B684" s="5">
        <v>6.1</v>
      </c>
    </row>
    <row r="685" spans="1:2" x14ac:dyDescent="0.35">
      <c r="A685" s="6">
        <v>42036</v>
      </c>
      <c r="B685" s="5">
        <v>6.3</v>
      </c>
    </row>
    <row r="686" spans="1:2" x14ac:dyDescent="0.35">
      <c r="A686" s="6">
        <v>42064</v>
      </c>
      <c r="B686" s="5">
        <v>5.8</v>
      </c>
    </row>
    <row r="687" spans="1:2" x14ac:dyDescent="0.35">
      <c r="A687" s="6">
        <v>42095</v>
      </c>
      <c r="B687" s="5">
        <v>6.2</v>
      </c>
    </row>
    <row r="688" spans="1:2" x14ac:dyDescent="0.35">
      <c r="A688" s="6">
        <v>42125</v>
      </c>
      <c r="B688" s="5">
        <v>6.2</v>
      </c>
    </row>
    <row r="689" spans="1:2" x14ac:dyDescent="0.35">
      <c r="A689" s="6">
        <v>42156</v>
      </c>
      <c r="B689" s="5">
        <v>6.3</v>
      </c>
    </row>
    <row r="690" spans="1:2" x14ac:dyDescent="0.35">
      <c r="A690" s="6">
        <v>42186</v>
      </c>
      <c r="B690" s="5">
        <v>6</v>
      </c>
    </row>
    <row r="691" spans="1:2" x14ac:dyDescent="0.35">
      <c r="A691" s="6">
        <v>42217</v>
      </c>
      <c r="B691" s="5">
        <v>6</v>
      </c>
    </row>
    <row r="692" spans="1:2" x14ac:dyDescent="0.35">
      <c r="A692" s="6">
        <v>42248</v>
      </c>
      <c r="B692" s="5">
        <v>6</v>
      </c>
    </row>
    <row r="693" spans="1:2" x14ac:dyDescent="0.35">
      <c r="A693" s="6">
        <v>42278</v>
      </c>
      <c r="B693" s="5">
        <v>6.3</v>
      </c>
    </row>
    <row r="694" spans="1:2" x14ac:dyDescent="0.35">
      <c r="A694" s="6">
        <v>42309</v>
      </c>
      <c r="B694" s="5">
        <v>6.1</v>
      </c>
    </row>
    <row r="695" spans="1:2" x14ac:dyDescent="0.35">
      <c r="A695" s="6">
        <v>42339</v>
      </c>
      <c r="B695" s="5">
        <v>5.8</v>
      </c>
    </row>
    <row r="696" spans="1:2" x14ac:dyDescent="0.35">
      <c r="A696" s="6">
        <v>42370</v>
      </c>
      <c r="B696" s="5">
        <v>5.9</v>
      </c>
    </row>
    <row r="697" spans="1:2" x14ac:dyDescent="0.35">
      <c r="A697" s="6">
        <v>42401</v>
      </c>
      <c r="B697" s="5">
        <v>5.5</v>
      </c>
    </row>
    <row r="698" spans="1:2" x14ac:dyDescent="0.35">
      <c r="A698" s="6">
        <v>42430</v>
      </c>
      <c r="B698" s="5">
        <v>5.7</v>
      </c>
    </row>
    <row r="699" spans="1:2" x14ac:dyDescent="0.35">
      <c r="A699" s="6">
        <v>42461</v>
      </c>
      <c r="B699" s="5">
        <v>5.5</v>
      </c>
    </row>
    <row r="700" spans="1:2" x14ac:dyDescent="0.35">
      <c r="A700" s="6">
        <v>42491</v>
      </c>
      <c r="B700" s="5">
        <v>5.4</v>
      </c>
    </row>
    <row r="701" spans="1:2" x14ac:dyDescent="0.35">
      <c r="A701" s="6">
        <v>42522</v>
      </c>
      <c r="B701" s="5">
        <v>5.0999999999999996</v>
      </c>
    </row>
    <row r="702" spans="1:2" x14ac:dyDescent="0.35">
      <c r="A702" s="6">
        <v>42552</v>
      </c>
      <c r="B702" s="5">
        <v>5.0999999999999996</v>
      </c>
    </row>
    <row r="703" spans="1:2" x14ac:dyDescent="0.35">
      <c r="A703" s="6">
        <v>42583</v>
      </c>
      <c r="B703" s="5">
        <v>4.9000000000000004</v>
      </c>
    </row>
    <row r="704" spans="1:2" x14ac:dyDescent="0.35">
      <c r="A704" s="6">
        <v>42614</v>
      </c>
      <c r="B704" s="5">
        <v>4.5</v>
      </c>
    </row>
    <row r="705" spans="1:2" x14ac:dyDescent="0.35">
      <c r="A705" s="6">
        <v>42644</v>
      </c>
      <c r="B705" s="5">
        <v>4.0999999999999996</v>
      </c>
    </row>
    <row r="706" spans="1:2" x14ac:dyDescent="0.35">
      <c r="A706" s="6">
        <v>42675</v>
      </c>
      <c r="B706" s="5">
        <v>3.7</v>
      </c>
    </row>
    <row r="707" spans="1:2" x14ac:dyDescent="0.35">
      <c r="A707" s="6">
        <v>42705</v>
      </c>
      <c r="B707" s="5">
        <v>3.2</v>
      </c>
    </row>
    <row r="708" spans="1:2" x14ac:dyDescent="0.35">
      <c r="A708" s="6">
        <v>42736</v>
      </c>
      <c r="B708" s="5">
        <v>3.7</v>
      </c>
    </row>
    <row r="709" spans="1:2" x14ac:dyDescent="0.35">
      <c r="A709" s="6">
        <v>42767</v>
      </c>
      <c r="B709" s="5">
        <v>4.0999999999999996</v>
      </c>
    </row>
    <row r="710" spans="1:2" x14ac:dyDescent="0.35">
      <c r="A710" s="6">
        <v>42795</v>
      </c>
      <c r="B710" s="5">
        <v>3.9</v>
      </c>
    </row>
    <row r="711" spans="1:2" x14ac:dyDescent="0.35">
      <c r="A711" s="6">
        <v>42826</v>
      </c>
      <c r="B711" s="5">
        <v>3.7</v>
      </c>
    </row>
    <row r="712" spans="1:2" x14ac:dyDescent="0.35">
      <c r="A712" s="6">
        <v>42856</v>
      </c>
      <c r="B712" s="5">
        <v>3.8</v>
      </c>
    </row>
    <row r="713" spans="1:2" x14ac:dyDescent="0.35">
      <c r="A713" s="6">
        <v>42887</v>
      </c>
      <c r="B713" s="5">
        <v>3.6</v>
      </c>
    </row>
    <row r="714" spans="1:2" x14ac:dyDescent="0.35">
      <c r="A714" s="6">
        <v>42917</v>
      </c>
      <c r="B714" s="5">
        <v>3.5</v>
      </c>
    </row>
    <row r="715" spans="1:2" x14ac:dyDescent="0.35">
      <c r="A715" s="6">
        <v>42948</v>
      </c>
      <c r="B715" s="5">
        <v>3.5</v>
      </c>
    </row>
    <row r="716" spans="1:2" x14ac:dyDescent="0.35">
      <c r="A716" s="6">
        <v>42979</v>
      </c>
      <c r="B716" s="5">
        <v>3</v>
      </c>
    </row>
    <row r="717" spans="1:2" x14ac:dyDescent="0.35">
      <c r="A717" s="6">
        <v>43009</v>
      </c>
      <c r="B717" s="5">
        <v>2.9</v>
      </c>
    </row>
    <row r="718" spans="1:2" x14ac:dyDescent="0.35">
      <c r="A718" s="6">
        <v>43040</v>
      </c>
      <c r="B718" s="5">
        <v>2.5</v>
      </c>
    </row>
    <row r="719" spans="1:2" x14ac:dyDescent="0.35">
      <c r="A719" s="6">
        <v>43070</v>
      </c>
      <c r="B719" s="5">
        <v>2.4</v>
      </c>
    </row>
    <row r="720" spans="1:2" x14ac:dyDescent="0.35">
      <c r="A720" s="6">
        <v>43101</v>
      </c>
      <c r="B720" s="5">
        <v>3.2</v>
      </c>
    </row>
    <row r="721" spans="1:2" x14ac:dyDescent="0.35">
      <c r="A721" s="6">
        <v>43132</v>
      </c>
      <c r="B721" s="5">
        <v>3.4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EF6A8-CE56-4CFD-B71B-85F8A56B4F85}">
  <dimension ref="A1:M39"/>
  <sheetViews>
    <sheetView workbookViewId="0">
      <selection activeCell="A5" sqref="A5:F5"/>
    </sheetView>
  </sheetViews>
  <sheetFormatPr defaultRowHeight="14.5" x14ac:dyDescent="0.35"/>
  <cols>
    <col min="1" max="1" width="20" style="7" customWidth="1"/>
    <col min="2" max="255" width="8" style="7" customWidth="1"/>
    <col min="256" max="16384" width="8.7265625" style="7"/>
  </cols>
  <sheetData>
    <row r="1" spans="1:13" ht="15.5" x14ac:dyDescent="0.35">
      <c r="A1" s="67" t="s">
        <v>387</v>
      </c>
      <c r="B1" s="65"/>
      <c r="C1" s="65"/>
      <c r="D1" s="65"/>
      <c r="E1" s="65"/>
      <c r="F1" s="65"/>
    </row>
    <row r="2" spans="1:13" ht="15.5" x14ac:dyDescent="0.35">
      <c r="A2" s="67" t="s">
        <v>388</v>
      </c>
      <c r="B2" s="65"/>
      <c r="C2" s="65"/>
      <c r="D2" s="65"/>
      <c r="E2" s="65"/>
      <c r="F2" s="65"/>
    </row>
    <row r="3" spans="1:13" x14ac:dyDescent="0.35">
      <c r="A3" s="65"/>
      <c r="B3" s="65"/>
      <c r="C3" s="65"/>
      <c r="D3" s="65"/>
      <c r="E3" s="65"/>
      <c r="F3" s="65"/>
    </row>
    <row r="4" spans="1:13" x14ac:dyDescent="0.35">
      <c r="A4" s="9" t="s">
        <v>389</v>
      </c>
      <c r="B4" s="64" t="s">
        <v>390</v>
      </c>
      <c r="C4" s="65"/>
      <c r="D4" s="65"/>
      <c r="E4" s="65"/>
      <c r="F4" s="65"/>
    </row>
    <row r="5" spans="1:13" x14ac:dyDescent="0.35">
      <c r="A5" s="68" t="s">
        <v>391</v>
      </c>
      <c r="B5" s="65"/>
      <c r="C5" s="65"/>
      <c r="D5" s="65"/>
      <c r="E5" s="65"/>
      <c r="F5" s="65"/>
    </row>
    <row r="6" spans="1:13" x14ac:dyDescent="0.35">
      <c r="A6" s="9" t="s">
        <v>392</v>
      </c>
      <c r="B6" s="64" t="s">
        <v>393</v>
      </c>
      <c r="C6" s="65"/>
      <c r="D6" s="65"/>
      <c r="E6" s="65"/>
      <c r="F6" s="65"/>
    </row>
    <row r="7" spans="1:13" x14ac:dyDescent="0.35">
      <c r="A7" s="9" t="s">
        <v>394</v>
      </c>
      <c r="B7" s="64" t="s">
        <v>395</v>
      </c>
      <c r="C7" s="65"/>
      <c r="D7" s="65"/>
      <c r="E7" s="65"/>
      <c r="F7" s="65"/>
    </row>
    <row r="8" spans="1:13" x14ac:dyDescent="0.35">
      <c r="A8" s="9" t="s">
        <v>396</v>
      </c>
      <c r="B8" s="64" t="s">
        <v>397</v>
      </c>
      <c r="C8" s="65"/>
      <c r="D8" s="65"/>
      <c r="E8" s="65"/>
      <c r="F8" s="65"/>
    </row>
    <row r="9" spans="1:13" x14ac:dyDescent="0.35">
      <c r="A9" s="9" t="s">
        <v>398</v>
      </c>
      <c r="B9" s="64" t="s">
        <v>399</v>
      </c>
      <c r="C9" s="65"/>
      <c r="D9" s="65"/>
      <c r="E9" s="65"/>
      <c r="F9" s="65"/>
    </row>
    <row r="10" spans="1:13" x14ac:dyDescent="0.35">
      <c r="A10" s="9" t="s">
        <v>400</v>
      </c>
      <c r="B10" s="66" t="s">
        <v>401</v>
      </c>
      <c r="C10" s="65"/>
      <c r="D10" s="65"/>
      <c r="E10" s="65"/>
      <c r="F10" s="65"/>
    </row>
    <row r="11" spans="1:13" x14ac:dyDescent="0.35"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>
        <v>7</v>
      </c>
      <c r="I11" s="7">
        <v>8</v>
      </c>
      <c r="J11" s="7">
        <v>9</v>
      </c>
      <c r="K11" s="7">
        <v>10</v>
      </c>
      <c r="L11" s="7">
        <v>11</v>
      </c>
      <c r="M11" s="7">
        <v>12</v>
      </c>
    </row>
    <row r="12" spans="1:13" ht="15" thickBot="1" x14ac:dyDescent="0.4">
      <c r="A12" s="10" t="s">
        <v>402</v>
      </c>
      <c r="B12" s="10" t="s">
        <v>403</v>
      </c>
      <c r="C12" s="10" t="s">
        <v>404</v>
      </c>
      <c r="D12" s="10" t="s">
        <v>405</v>
      </c>
      <c r="E12" s="10" t="s">
        <v>406</v>
      </c>
      <c r="F12" s="10" t="s">
        <v>407</v>
      </c>
      <c r="G12" s="10" t="s">
        <v>408</v>
      </c>
      <c r="H12" s="10" t="s">
        <v>409</v>
      </c>
      <c r="I12" s="10" t="s">
        <v>410</v>
      </c>
      <c r="J12" s="10" t="s">
        <v>411</v>
      </c>
      <c r="K12" s="10" t="s">
        <v>412</v>
      </c>
      <c r="L12" s="10" t="s">
        <v>413</v>
      </c>
      <c r="M12" s="10" t="s">
        <v>414</v>
      </c>
    </row>
    <row r="13" spans="1:13" ht="15" thickTop="1" x14ac:dyDescent="0.35">
      <c r="A13" s="11">
        <v>1992</v>
      </c>
      <c r="B13" s="12">
        <v>7.3</v>
      </c>
      <c r="C13" s="12">
        <v>7.4</v>
      </c>
      <c r="D13" s="12">
        <v>7.4</v>
      </c>
      <c r="E13" s="12">
        <v>7.4</v>
      </c>
      <c r="F13" s="12">
        <v>7.6</v>
      </c>
      <c r="G13" s="12">
        <v>7.8</v>
      </c>
      <c r="H13" s="12">
        <v>7.7</v>
      </c>
      <c r="I13" s="12">
        <v>7.6</v>
      </c>
      <c r="J13" s="12">
        <v>7.6</v>
      </c>
      <c r="K13" s="12">
        <v>7.3</v>
      </c>
      <c r="L13" s="12">
        <v>7.4</v>
      </c>
      <c r="M13" s="12">
        <v>7.4</v>
      </c>
    </row>
    <row r="14" spans="1:13" x14ac:dyDescent="0.35">
      <c r="A14" s="11">
        <v>1993</v>
      </c>
      <c r="B14" s="12">
        <v>7.3</v>
      </c>
      <c r="C14" s="12">
        <v>7.1</v>
      </c>
      <c r="D14" s="12">
        <v>7</v>
      </c>
      <c r="E14" s="12">
        <v>7.1</v>
      </c>
      <c r="F14" s="12">
        <v>7.1</v>
      </c>
      <c r="G14" s="12">
        <v>7</v>
      </c>
      <c r="H14" s="12">
        <v>6.9</v>
      </c>
      <c r="I14" s="12">
        <v>6.8</v>
      </c>
      <c r="J14" s="12">
        <v>6.7</v>
      </c>
      <c r="K14" s="12">
        <v>6.8</v>
      </c>
      <c r="L14" s="12">
        <v>6.6</v>
      </c>
      <c r="M14" s="12">
        <v>6.5</v>
      </c>
    </row>
    <row r="15" spans="1:13" x14ac:dyDescent="0.35">
      <c r="A15" s="11">
        <v>1994</v>
      </c>
      <c r="B15" s="12">
        <v>6.6</v>
      </c>
      <c r="C15" s="12">
        <v>6.6</v>
      </c>
      <c r="D15" s="12">
        <v>6.5</v>
      </c>
      <c r="E15" s="12">
        <v>6.4</v>
      </c>
      <c r="F15" s="12">
        <v>6.1</v>
      </c>
      <c r="G15" s="12">
        <v>6.1</v>
      </c>
      <c r="H15" s="12">
        <v>6.1</v>
      </c>
      <c r="I15" s="12">
        <v>6</v>
      </c>
      <c r="J15" s="12">
        <v>5.9</v>
      </c>
      <c r="K15" s="12">
        <v>5.8</v>
      </c>
      <c r="L15" s="12">
        <v>5.6</v>
      </c>
      <c r="M15" s="12">
        <v>5.5</v>
      </c>
    </row>
    <row r="16" spans="1:13" x14ac:dyDescent="0.35">
      <c r="A16" s="11">
        <v>1995</v>
      </c>
      <c r="B16" s="12">
        <v>5.6</v>
      </c>
      <c r="C16" s="12">
        <v>5.4</v>
      </c>
      <c r="D16" s="12">
        <v>5.4</v>
      </c>
      <c r="E16" s="12">
        <v>5.8</v>
      </c>
      <c r="F16" s="12">
        <v>5.6</v>
      </c>
      <c r="G16" s="12">
        <v>5.6</v>
      </c>
      <c r="H16" s="12">
        <v>5.7</v>
      </c>
      <c r="I16" s="12">
        <v>5.7</v>
      </c>
      <c r="J16" s="12">
        <v>5.6</v>
      </c>
      <c r="K16" s="12">
        <v>5.5</v>
      </c>
      <c r="L16" s="12">
        <v>5.6</v>
      </c>
      <c r="M16" s="12">
        <v>5.6</v>
      </c>
    </row>
    <row r="17" spans="1:13" x14ac:dyDescent="0.35">
      <c r="A17" s="11">
        <v>1996</v>
      </c>
      <c r="B17" s="12">
        <v>5.6</v>
      </c>
      <c r="C17" s="12">
        <v>5.5</v>
      </c>
      <c r="D17" s="12">
        <v>5.5</v>
      </c>
      <c r="E17" s="12">
        <v>5.6</v>
      </c>
      <c r="F17" s="12">
        <v>5.6</v>
      </c>
      <c r="G17" s="12">
        <v>5.3</v>
      </c>
      <c r="H17" s="12">
        <v>5.5</v>
      </c>
      <c r="I17" s="12">
        <v>5.0999999999999996</v>
      </c>
      <c r="J17" s="12">
        <v>5.2</v>
      </c>
      <c r="K17" s="12">
        <v>5.2</v>
      </c>
      <c r="L17" s="12">
        <v>5.4</v>
      </c>
      <c r="M17" s="12">
        <v>5.4</v>
      </c>
    </row>
    <row r="18" spans="1:13" x14ac:dyDescent="0.35">
      <c r="A18" s="11">
        <v>1997</v>
      </c>
      <c r="B18" s="12">
        <v>5.3</v>
      </c>
      <c r="C18" s="12">
        <v>5.2</v>
      </c>
      <c r="D18" s="12">
        <v>5.2</v>
      </c>
      <c r="E18" s="12">
        <v>5.0999999999999996</v>
      </c>
      <c r="F18" s="12">
        <v>4.9000000000000004</v>
      </c>
      <c r="G18" s="12">
        <v>5</v>
      </c>
      <c r="H18" s="12">
        <v>4.9000000000000004</v>
      </c>
      <c r="I18" s="12">
        <v>4.8</v>
      </c>
      <c r="J18" s="12">
        <v>4.9000000000000004</v>
      </c>
      <c r="K18" s="12">
        <v>4.7</v>
      </c>
      <c r="L18" s="12">
        <v>4.5999999999999996</v>
      </c>
      <c r="M18" s="12">
        <v>4.7</v>
      </c>
    </row>
    <row r="19" spans="1:13" x14ac:dyDescent="0.35">
      <c r="A19" s="11">
        <v>1998</v>
      </c>
      <c r="B19" s="12">
        <v>4.5999999999999996</v>
      </c>
      <c r="C19" s="12">
        <v>4.5999999999999996</v>
      </c>
      <c r="D19" s="12">
        <v>4.7</v>
      </c>
      <c r="E19" s="12">
        <v>4.3</v>
      </c>
      <c r="F19" s="12">
        <v>4.4000000000000004</v>
      </c>
      <c r="G19" s="12">
        <v>4.5</v>
      </c>
      <c r="H19" s="12">
        <v>4.5</v>
      </c>
      <c r="I19" s="12">
        <v>4.5</v>
      </c>
      <c r="J19" s="12">
        <v>4.5999999999999996</v>
      </c>
      <c r="K19" s="12">
        <v>4.5</v>
      </c>
      <c r="L19" s="12">
        <v>4.4000000000000004</v>
      </c>
      <c r="M19" s="12">
        <v>4.4000000000000004</v>
      </c>
    </row>
    <row r="20" spans="1:13" x14ac:dyDescent="0.35">
      <c r="A20" s="11">
        <v>1999</v>
      </c>
      <c r="B20" s="12">
        <v>4.3</v>
      </c>
      <c r="C20" s="12">
        <v>4.4000000000000004</v>
      </c>
      <c r="D20" s="12">
        <v>4.2</v>
      </c>
      <c r="E20" s="12">
        <v>4.3</v>
      </c>
      <c r="F20" s="12">
        <v>4.2</v>
      </c>
      <c r="G20" s="12">
        <v>4.3</v>
      </c>
      <c r="H20" s="12">
        <v>4.3</v>
      </c>
      <c r="I20" s="12">
        <v>4.2</v>
      </c>
      <c r="J20" s="12">
        <v>4.2</v>
      </c>
      <c r="K20" s="12">
        <v>4.0999999999999996</v>
      </c>
      <c r="L20" s="12">
        <v>4.0999999999999996</v>
      </c>
      <c r="M20" s="12">
        <v>4</v>
      </c>
    </row>
    <row r="21" spans="1:13" x14ac:dyDescent="0.35">
      <c r="A21" s="11">
        <v>2000</v>
      </c>
      <c r="B21" s="12">
        <v>4</v>
      </c>
      <c r="C21" s="12">
        <v>4.0999999999999996</v>
      </c>
      <c r="D21" s="12">
        <v>4</v>
      </c>
      <c r="E21" s="12">
        <v>3.8</v>
      </c>
      <c r="F21" s="12">
        <v>4</v>
      </c>
      <c r="G21" s="12">
        <v>4</v>
      </c>
      <c r="H21" s="12">
        <v>4</v>
      </c>
      <c r="I21" s="12">
        <v>4.0999999999999996</v>
      </c>
      <c r="J21" s="12">
        <v>3.9</v>
      </c>
      <c r="K21" s="12">
        <v>3.9</v>
      </c>
      <c r="L21" s="12">
        <v>3.9</v>
      </c>
      <c r="M21" s="12">
        <v>3.9</v>
      </c>
    </row>
    <row r="22" spans="1:13" x14ac:dyDescent="0.35">
      <c r="A22" s="11">
        <v>2001</v>
      </c>
      <c r="B22" s="12">
        <v>4.2</v>
      </c>
      <c r="C22" s="12">
        <v>4.2</v>
      </c>
      <c r="D22" s="12">
        <v>4.3</v>
      </c>
      <c r="E22" s="12">
        <v>4.4000000000000004</v>
      </c>
      <c r="F22" s="12">
        <v>4.3</v>
      </c>
      <c r="G22" s="12">
        <v>4.5</v>
      </c>
      <c r="H22" s="12">
        <v>4.5999999999999996</v>
      </c>
      <c r="I22" s="12">
        <v>4.9000000000000004</v>
      </c>
      <c r="J22" s="12">
        <v>5</v>
      </c>
      <c r="K22" s="12">
        <v>5.3</v>
      </c>
      <c r="L22" s="12">
        <v>5.5</v>
      </c>
      <c r="M22" s="12">
        <v>5.7</v>
      </c>
    </row>
    <row r="23" spans="1:13" x14ac:dyDescent="0.35">
      <c r="A23" s="11">
        <v>2002</v>
      </c>
      <c r="B23" s="12">
        <v>5.7</v>
      </c>
      <c r="C23" s="12">
        <v>5.7</v>
      </c>
      <c r="D23" s="12">
        <v>5.7</v>
      </c>
      <c r="E23" s="12">
        <v>5.9</v>
      </c>
      <c r="F23" s="12">
        <v>5.8</v>
      </c>
      <c r="G23" s="12">
        <v>5.8</v>
      </c>
      <c r="H23" s="12">
        <v>5.8</v>
      </c>
      <c r="I23" s="12">
        <v>5.7</v>
      </c>
      <c r="J23" s="12">
        <v>5.7</v>
      </c>
      <c r="K23" s="12">
        <v>5.7</v>
      </c>
      <c r="L23" s="12">
        <v>5.9</v>
      </c>
      <c r="M23" s="12">
        <v>6</v>
      </c>
    </row>
    <row r="24" spans="1:13" x14ac:dyDescent="0.35">
      <c r="A24" s="11">
        <v>2003</v>
      </c>
      <c r="B24" s="12">
        <v>5.8</v>
      </c>
      <c r="C24" s="12">
        <v>5.9</v>
      </c>
      <c r="D24" s="12">
        <v>5.9</v>
      </c>
      <c r="E24" s="12">
        <v>6</v>
      </c>
      <c r="F24" s="12">
        <v>6.1</v>
      </c>
      <c r="G24" s="12">
        <v>6.3</v>
      </c>
      <c r="H24" s="12">
        <v>6.2</v>
      </c>
      <c r="I24" s="12">
        <v>6.1</v>
      </c>
      <c r="J24" s="12">
        <v>6.1</v>
      </c>
      <c r="K24" s="12">
        <v>6</v>
      </c>
      <c r="L24" s="12">
        <v>5.8</v>
      </c>
      <c r="M24" s="12">
        <v>5.7</v>
      </c>
    </row>
    <row r="25" spans="1:13" x14ac:dyDescent="0.35">
      <c r="A25" s="11">
        <v>2004</v>
      </c>
      <c r="B25" s="12">
        <v>5.7</v>
      </c>
      <c r="C25" s="12">
        <v>5.6</v>
      </c>
      <c r="D25" s="12">
        <v>5.8</v>
      </c>
      <c r="E25" s="12">
        <v>5.6</v>
      </c>
      <c r="F25" s="12">
        <v>5.6</v>
      </c>
      <c r="G25" s="12">
        <v>5.6</v>
      </c>
      <c r="H25" s="12">
        <v>5.5</v>
      </c>
      <c r="I25" s="12">
        <v>5.4</v>
      </c>
      <c r="J25" s="12">
        <v>5.4</v>
      </c>
      <c r="K25" s="12">
        <v>5.5</v>
      </c>
      <c r="L25" s="12">
        <v>5.4</v>
      </c>
      <c r="M25" s="12">
        <v>5.4</v>
      </c>
    </row>
    <row r="26" spans="1:13" x14ac:dyDescent="0.35">
      <c r="A26" s="11">
        <v>2005</v>
      </c>
      <c r="B26" s="12">
        <v>5.3</v>
      </c>
      <c r="C26" s="12">
        <v>5.4</v>
      </c>
      <c r="D26" s="12">
        <v>5.2</v>
      </c>
      <c r="E26" s="12">
        <v>5.2</v>
      </c>
      <c r="F26" s="12">
        <v>5.0999999999999996</v>
      </c>
      <c r="G26" s="12">
        <v>5</v>
      </c>
      <c r="H26" s="12">
        <v>5</v>
      </c>
      <c r="I26" s="12">
        <v>4.9000000000000004</v>
      </c>
      <c r="J26" s="12">
        <v>5</v>
      </c>
      <c r="K26" s="12">
        <v>5</v>
      </c>
      <c r="L26" s="12">
        <v>5</v>
      </c>
      <c r="M26" s="12">
        <v>4.9000000000000004</v>
      </c>
    </row>
    <row r="27" spans="1:13" x14ac:dyDescent="0.35">
      <c r="A27" s="11">
        <v>2006</v>
      </c>
      <c r="B27" s="12">
        <v>4.7</v>
      </c>
      <c r="C27" s="12">
        <v>4.8</v>
      </c>
      <c r="D27" s="12">
        <v>4.7</v>
      </c>
      <c r="E27" s="12">
        <v>4.7</v>
      </c>
      <c r="F27" s="12">
        <v>4.5999999999999996</v>
      </c>
      <c r="G27" s="12">
        <v>4.5999999999999996</v>
      </c>
      <c r="H27" s="12">
        <v>4.7</v>
      </c>
      <c r="I27" s="12">
        <v>4.7</v>
      </c>
      <c r="J27" s="12">
        <v>4.5</v>
      </c>
      <c r="K27" s="12">
        <v>4.4000000000000004</v>
      </c>
      <c r="L27" s="12">
        <v>4.5</v>
      </c>
      <c r="M27" s="12">
        <v>4.4000000000000004</v>
      </c>
    </row>
    <row r="28" spans="1:13" x14ac:dyDescent="0.35">
      <c r="A28" s="11">
        <v>2007</v>
      </c>
      <c r="B28" s="12">
        <v>4.5999999999999996</v>
      </c>
      <c r="C28" s="12">
        <v>4.5</v>
      </c>
      <c r="D28" s="12">
        <v>4.4000000000000004</v>
      </c>
      <c r="E28" s="12">
        <v>4.5</v>
      </c>
      <c r="F28" s="12">
        <v>4.4000000000000004</v>
      </c>
      <c r="G28" s="12">
        <v>4.5999999999999996</v>
      </c>
      <c r="H28" s="12">
        <v>4.7</v>
      </c>
      <c r="I28" s="12">
        <v>4.5999999999999996</v>
      </c>
      <c r="J28" s="12">
        <v>4.7</v>
      </c>
      <c r="K28" s="12">
        <v>4.7</v>
      </c>
      <c r="L28" s="12">
        <v>4.7</v>
      </c>
      <c r="M28" s="12">
        <v>5</v>
      </c>
    </row>
    <row r="29" spans="1:13" x14ac:dyDescent="0.35">
      <c r="A29" s="11">
        <v>2008</v>
      </c>
      <c r="B29" s="12">
        <v>5</v>
      </c>
      <c r="C29" s="12">
        <v>4.9000000000000004</v>
      </c>
      <c r="D29" s="12">
        <v>5.0999999999999996</v>
      </c>
      <c r="E29" s="12">
        <v>5</v>
      </c>
      <c r="F29" s="12">
        <v>5.4</v>
      </c>
      <c r="G29" s="12">
        <v>5.6</v>
      </c>
      <c r="H29" s="12">
        <v>5.8</v>
      </c>
      <c r="I29" s="12">
        <v>6.1</v>
      </c>
      <c r="J29" s="12">
        <v>6.1</v>
      </c>
      <c r="K29" s="12">
        <v>6.5</v>
      </c>
      <c r="L29" s="12">
        <v>6.8</v>
      </c>
      <c r="M29" s="12">
        <v>7.3</v>
      </c>
    </row>
    <row r="30" spans="1:13" x14ac:dyDescent="0.35">
      <c r="A30" s="11">
        <v>2009</v>
      </c>
      <c r="B30" s="12">
        <v>7.8</v>
      </c>
      <c r="C30" s="12">
        <v>8.3000000000000007</v>
      </c>
      <c r="D30" s="12">
        <v>8.6999999999999993</v>
      </c>
      <c r="E30" s="12">
        <v>9</v>
      </c>
      <c r="F30" s="12">
        <v>9.4</v>
      </c>
      <c r="G30" s="12">
        <v>9.5</v>
      </c>
      <c r="H30" s="12">
        <v>9.5</v>
      </c>
      <c r="I30" s="12">
        <v>9.6</v>
      </c>
      <c r="J30" s="12">
        <v>9.8000000000000007</v>
      </c>
      <c r="K30" s="12">
        <v>10</v>
      </c>
      <c r="L30" s="12">
        <v>9.9</v>
      </c>
      <c r="M30" s="12">
        <v>9.9</v>
      </c>
    </row>
    <row r="31" spans="1:13" x14ac:dyDescent="0.35">
      <c r="A31" s="11">
        <v>2010</v>
      </c>
      <c r="B31" s="12">
        <v>9.8000000000000007</v>
      </c>
      <c r="C31" s="12">
        <v>9.8000000000000007</v>
      </c>
      <c r="D31" s="12">
        <v>9.9</v>
      </c>
      <c r="E31" s="12">
        <v>9.9</v>
      </c>
      <c r="F31" s="12">
        <v>9.6</v>
      </c>
      <c r="G31" s="12">
        <v>9.4</v>
      </c>
      <c r="H31" s="12">
        <v>9.4</v>
      </c>
      <c r="I31" s="12">
        <v>9.5</v>
      </c>
      <c r="J31" s="12">
        <v>9.5</v>
      </c>
      <c r="K31" s="12">
        <v>9.4</v>
      </c>
      <c r="L31" s="12">
        <v>9.8000000000000007</v>
      </c>
      <c r="M31" s="12">
        <v>9.3000000000000007</v>
      </c>
    </row>
    <row r="32" spans="1:13" x14ac:dyDescent="0.35">
      <c r="A32" s="11">
        <v>2011</v>
      </c>
      <c r="B32" s="12">
        <v>9.1</v>
      </c>
      <c r="C32" s="12">
        <v>9</v>
      </c>
      <c r="D32" s="12">
        <v>9</v>
      </c>
      <c r="E32" s="12">
        <v>9.1</v>
      </c>
      <c r="F32" s="12">
        <v>9</v>
      </c>
      <c r="G32" s="12">
        <v>9.1</v>
      </c>
      <c r="H32" s="12">
        <v>9</v>
      </c>
      <c r="I32" s="12">
        <v>9</v>
      </c>
      <c r="J32" s="12">
        <v>9</v>
      </c>
      <c r="K32" s="12">
        <v>8.8000000000000007</v>
      </c>
      <c r="L32" s="12">
        <v>8.6</v>
      </c>
      <c r="M32" s="12">
        <v>8.5</v>
      </c>
    </row>
    <row r="33" spans="1:13" x14ac:dyDescent="0.35">
      <c r="A33" s="11">
        <v>2012</v>
      </c>
      <c r="B33" s="12">
        <v>8.3000000000000007</v>
      </c>
      <c r="C33" s="12">
        <v>8.3000000000000007</v>
      </c>
      <c r="D33" s="12">
        <v>8.1999999999999993</v>
      </c>
      <c r="E33" s="12">
        <v>8.1999999999999993</v>
      </c>
      <c r="F33" s="12">
        <v>8.1999999999999993</v>
      </c>
      <c r="G33" s="12">
        <v>8.1999999999999993</v>
      </c>
      <c r="H33" s="12">
        <v>8.1999999999999993</v>
      </c>
      <c r="I33" s="12">
        <v>8.1</v>
      </c>
      <c r="J33" s="12">
        <v>7.8</v>
      </c>
      <c r="K33" s="12">
        <v>7.8</v>
      </c>
      <c r="L33" s="12">
        <v>7.7</v>
      </c>
      <c r="M33" s="12">
        <v>7.9</v>
      </c>
    </row>
    <row r="34" spans="1:13" x14ac:dyDescent="0.35">
      <c r="A34" s="11">
        <v>2013</v>
      </c>
      <c r="B34" s="12">
        <v>8</v>
      </c>
      <c r="C34" s="12">
        <v>7.7</v>
      </c>
      <c r="D34" s="12">
        <v>7.5</v>
      </c>
      <c r="E34" s="12">
        <v>7.6</v>
      </c>
      <c r="F34" s="12">
        <v>7.5</v>
      </c>
      <c r="G34" s="12">
        <v>7.5</v>
      </c>
      <c r="H34" s="12">
        <v>7.3</v>
      </c>
      <c r="I34" s="12">
        <v>7.2</v>
      </c>
      <c r="J34" s="12">
        <v>7.2</v>
      </c>
      <c r="K34" s="12">
        <v>7.2</v>
      </c>
      <c r="L34" s="12">
        <v>6.9</v>
      </c>
      <c r="M34" s="12">
        <v>6.7</v>
      </c>
    </row>
    <row r="35" spans="1:13" x14ac:dyDescent="0.35">
      <c r="A35" s="11">
        <v>2014</v>
      </c>
      <c r="B35" s="12">
        <v>6.6</v>
      </c>
      <c r="C35" s="12">
        <v>6.7</v>
      </c>
      <c r="D35" s="12">
        <v>6.7</v>
      </c>
      <c r="E35" s="12">
        <v>6.3</v>
      </c>
      <c r="F35" s="12">
        <v>6.3</v>
      </c>
      <c r="G35" s="12">
        <v>6.1</v>
      </c>
      <c r="H35" s="12">
        <v>6.2</v>
      </c>
      <c r="I35" s="12">
        <v>6.2</v>
      </c>
      <c r="J35" s="12">
        <v>5.9</v>
      </c>
      <c r="K35" s="12">
        <v>5.7</v>
      </c>
      <c r="L35" s="12">
        <v>5.8</v>
      </c>
      <c r="M35" s="12">
        <v>5.6</v>
      </c>
    </row>
    <row r="36" spans="1:13" x14ac:dyDescent="0.35">
      <c r="A36" s="11">
        <v>2015</v>
      </c>
      <c r="B36" s="12">
        <v>5.7</v>
      </c>
      <c r="C36" s="12">
        <v>5.5</v>
      </c>
      <c r="D36" s="12">
        <v>5.5</v>
      </c>
      <c r="E36" s="12">
        <v>5.4</v>
      </c>
      <c r="F36" s="12">
        <v>5.5</v>
      </c>
      <c r="G36" s="12">
        <v>5.3</v>
      </c>
      <c r="H36" s="12">
        <v>5.2</v>
      </c>
      <c r="I36" s="12">
        <v>5.0999999999999996</v>
      </c>
      <c r="J36" s="12">
        <v>5</v>
      </c>
      <c r="K36" s="12">
        <v>5</v>
      </c>
      <c r="L36" s="12">
        <v>5</v>
      </c>
      <c r="M36" s="12">
        <v>5</v>
      </c>
    </row>
    <row r="37" spans="1:13" x14ac:dyDescent="0.35">
      <c r="A37" s="11">
        <v>2016</v>
      </c>
      <c r="B37" s="12">
        <v>4.9000000000000004</v>
      </c>
      <c r="C37" s="12">
        <v>4.9000000000000004</v>
      </c>
      <c r="D37" s="12">
        <v>5</v>
      </c>
      <c r="E37" s="12">
        <v>5</v>
      </c>
      <c r="F37" s="12">
        <v>4.7</v>
      </c>
      <c r="G37" s="12">
        <v>4.9000000000000004</v>
      </c>
      <c r="H37" s="12">
        <v>4.9000000000000004</v>
      </c>
      <c r="I37" s="12">
        <v>4.9000000000000004</v>
      </c>
      <c r="J37" s="12">
        <v>5</v>
      </c>
      <c r="K37" s="12">
        <v>4.9000000000000004</v>
      </c>
      <c r="L37" s="12">
        <v>4.5999999999999996</v>
      </c>
      <c r="M37" s="12">
        <v>4.7</v>
      </c>
    </row>
    <row r="38" spans="1:13" x14ac:dyDescent="0.35">
      <c r="A38" s="11">
        <v>2017</v>
      </c>
      <c r="B38" s="12">
        <v>4.8</v>
      </c>
      <c r="C38" s="12">
        <v>4.7</v>
      </c>
      <c r="D38" s="12">
        <v>4.5</v>
      </c>
      <c r="E38" s="12">
        <v>4.4000000000000004</v>
      </c>
      <c r="F38" s="12">
        <v>4.3</v>
      </c>
      <c r="G38" s="12">
        <v>4.3</v>
      </c>
      <c r="H38" s="12">
        <v>4.3</v>
      </c>
      <c r="I38" s="12">
        <v>4.4000000000000004</v>
      </c>
      <c r="J38" s="12">
        <v>4.2</v>
      </c>
      <c r="K38" s="12">
        <v>4.0999999999999996</v>
      </c>
      <c r="L38" s="12">
        <v>4.0999999999999996</v>
      </c>
      <c r="M38" s="12">
        <v>4.0999999999999996</v>
      </c>
    </row>
    <row r="39" spans="1:13" x14ac:dyDescent="0.35">
      <c r="A39" s="11">
        <v>2018</v>
      </c>
      <c r="B39" s="12">
        <v>4.0999999999999996</v>
      </c>
      <c r="C39" s="12">
        <v>4.0999999999999996</v>
      </c>
      <c r="D39" s="12">
        <v>4.0999999999999996</v>
      </c>
    </row>
  </sheetData>
  <mergeCells count="10">
    <mergeCell ref="B7:F7"/>
    <mergeCell ref="B8:F8"/>
    <mergeCell ref="B9:F9"/>
    <mergeCell ref="B10:F10"/>
    <mergeCell ref="A1:F1"/>
    <mergeCell ref="A2:F2"/>
    <mergeCell ref="A3:F3"/>
    <mergeCell ref="B4:F4"/>
    <mergeCell ref="A5:F5"/>
    <mergeCell ref="B6:F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E534E-ACA9-451D-B202-1AE3E2EA4EEF}">
  <dimension ref="A1:I317"/>
  <sheetViews>
    <sheetView workbookViewId="0">
      <selection activeCell="H1" sqref="H1"/>
    </sheetView>
  </sheetViews>
  <sheetFormatPr defaultRowHeight="14.5" x14ac:dyDescent="0.35"/>
  <cols>
    <col min="1" max="1" width="9.453125" bestFit="1" customWidth="1"/>
    <col min="2" max="2" width="10.1796875" bestFit="1" customWidth="1"/>
    <col min="3" max="3" width="9.6328125" bestFit="1" customWidth="1"/>
    <col min="4" max="4" width="10.08984375" bestFit="1" customWidth="1"/>
    <col min="5" max="5" width="10.81640625" bestFit="1" customWidth="1"/>
    <col min="6" max="6" width="9.453125" bestFit="1" customWidth="1"/>
    <col min="7" max="7" width="7.453125" bestFit="1" customWidth="1"/>
    <col min="8" max="8" width="8.81640625" bestFit="1" customWidth="1"/>
  </cols>
  <sheetData>
    <row r="1" spans="1:9" x14ac:dyDescent="0.35">
      <c r="A1" s="7" t="s">
        <v>17</v>
      </c>
      <c r="B1" s="7" t="s">
        <v>18</v>
      </c>
      <c r="C1" s="7" t="s">
        <v>19</v>
      </c>
      <c r="D1" s="7" t="s">
        <v>20</v>
      </c>
      <c r="E1" s="7" t="s">
        <v>21</v>
      </c>
      <c r="G1" s="7" t="s">
        <v>22</v>
      </c>
      <c r="H1" s="7" t="s">
        <v>23</v>
      </c>
    </row>
    <row r="2" spans="1:9" x14ac:dyDescent="0.35">
      <c r="A2" s="7" t="s">
        <v>359</v>
      </c>
      <c r="B2" s="7" t="s">
        <v>26</v>
      </c>
      <c r="C2" s="7" t="s">
        <v>27</v>
      </c>
      <c r="D2" s="7" t="s">
        <v>28</v>
      </c>
      <c r="E2" s="7" t="s">
        <v>29</v>
      </c>
      <c r="F2" s="1">
        <f t="shared" ref="F2:F65" si="0">DATEVALUE(I2)</f>
        <v>33543</v>
      </c>
      <c r="G2" s="7" t="s">
        <v>30</v>
      </c>
      <c r="H2" s="7">
        <v>98.255930000000006</v>
      </c>
      <c r="I2" s="7" t="str">
        <f>CONCATENATE(G2,"-01")</f>
        <v>1991-11-01</v>
      </c>
    </row>
    <row r="3" spans="1:9" x14ac:dyDescent="0.35">
      <c r="A3" s="7" t="s">
        <v>359</v>
      </c>
      <c r="B3" s="7" t="s">
        <v>26</v>
      </c>
      <c r="C3" s="7" t="s">
        <v>27</v>
      </c>
      <c r="D3" s="7" t="s">
        <v>28</v>
      </c>
      <c r="E3" s="7" t="s">
        <v>29</v>
      </c>
      <c r="F3" s="1">
        <f t="shared" si="0"/>
        <v>33573</v>
      </c>
      <c r="G3" s="7" t="s">
        <v>31</v>
      </c>
      <c r="H3" s="7">
        <v>97.911379999999994</v>
      </c>
      <c r="I3" t="str">
        <f t="shared" ref="I3:I66" si="1">CONCATENATE(G3,"-01")</f>
        <v>1991-12-01</v>
      </c>
    </row>
    <row r="4" spans="1:9" x14ac:dyDescent="0.35">
      <c r="A4" s="7" t="s">
        <v>359</v>
      </c>
      <c r="B4" s="7" t="s">
        <v>26</v>
      </c>
      <c r="C4" s="7" t="s">
        <v>27</v>
      </c>
      <c r="D4" s="7" t="s">
        <v>28</v>
      </c>
      <c r="E4" s="7" t="s">
        <v>29</v>
      </c>
      <c r="F4" s="1">
        <f t="shared" si="0"/>
        <v>33604</v>
      </c>
      <c r="G4" s="7" t="s">
        <v>32</v>
      </c>
      <c r="H4" s="7">
        <v>97.863020000000006</v>
      </c>
      <c r="I4" t="str">
        <f t="shared" si="1"/>
        <v>1992-01-01</v>
      </c>
    </row>
    <row r="5" spans="1:9" x14ac:dyDescent="0.35">
      <c r="A5" s="7" t="s">
        <v>359</v>
      </c>
      <c r="B5" s="7" t="s">
        <v>26</v>
      </c>
      <c r="C5" s="7" t="s">
        <v>27</v>
      </c>
      <c r="D5" s="7" t="s">
        <v>28</v>
      </c>
      <c r="E5" s="7" t="s">
        <v>29</v>
      </c>
      <c r="F5" s="1">
        <f t="shared" si="0"/>
        <v>33635</v>
      </c>
      <c r="G5" s="7" t="s">
        <v>33</v>
      </c>
      <c r="H5" s="7">
        <v>98.106099999999998</v>
      </c>
      <c r="I5" t="str">
        <f t="shared" si="1"/>
        <v>1992-02-01</v>
      </c>
    </row>
    <row r="6" spans="1:9" x14ac:dyDescent="0.35">
      <c r="A6" s="7" t="s">
        <v>359</v>
      </c>
      <c r="B6" s="7" t="s">
        <v>26</v>
      </c>
      <c r="C6" s="7" t="s">
        <v>27</v>
      </c>
      <c r="D6" s="7" t="s">
        <v>28</v>
      </c>
      <c r="E6" s="7" t="s">
        <v>29</v>
      </c>
      <c r="F6" s="1">
        <f t="shared" si="0"/>
        <v>33664</v>
      </c>
      <c r="G6" s="7" t="s">
        <v>34</v>
      </c>
      <c r="H6" s="7">
        <v>98.542240000000007</v>
      </c>
      <c r="I6" t="str">
        <f t="shared" si="1"/>
        <v>1992-03-01</v>
      </c>
    </row>
    <row r="7" spans="1:9" x14ac:dyDescent="0.35">
      <c r="A7" s="7" t="s">
        <v>359</v>
      </c>
      <c r="B7" s="7" t="s">
        <v>26</v>
      </c>
      <c r="C7" s="7" t="s">
        <v>27</v>
      </c>
      <c r="D7" s="7" t="s">
        <v>28</v>
      </c>
      <c r="E7" s="7" t="s">
        <v>29</v>
      </c>
      <c r="F7" s="1">
        <f t="shared" si="0"/>
        <v>33695</v>
      </c>
      <c r="G7" s="7" t="s">
        <v>35</v>
      </c>
      <c r="H7" s="7">
        <v>98.888710000000003</v>
      </c>
      <c r="I7" t="str">
        <f t="shared" si="1"/>
        <v>1992-04-01</v>
      </c>
    </row>
    <row r="8" spans="1:9" x14ac:dyDescent="0.35">
      <c r="A8" s="7" t="s">
        <v>359</v>
      </c>
      <c r="B8" s="7" t="s">
        <v>26</v>
      </c>
      <c r="C8" s="7" t="s">
        <v>27</v>
      </c>
      <c r="D8" s="7" t="s">
        <v>28</v>
      </c>
      <c r="E8" s="7" t="s">
        <v>29</v>
      </c>
      <c r="F8" s="1">
        <f t="shared" si="0"/>
        <v>33725</v>
      </c>
      <c r="G8" s="7" t="s">
        <v>36</v>
      </c>
      <c r="H8" s="7">
        <v>99.08596</v>
      </c>
      <c r="I8" t="str">
        <f t="shared" si="1"/>
        <v>1992-05-01</v>
      </c>
    </row>
    <row r="9" spans="1:9" x14ac:dyDescent="0.35">
      <c r="A9" s="7" t="s">
        <v>359</v>
      </c>
      <c r="B9" s="7" t="s">
        <v>26</v>
      </c>
      <c r="C9" s="7" t="s">
        <v>27</v>
      </c>
      <c r="D9" s="7" t="s">
        <v>28</v>
      </c>
      <c r="E9" s="7" t="s">
        <v>29</v>
      </c>
      <c r="F9" s="1">
        <f t="shared" si="0"/>
        <v>33756</v>
      </c>
      <c r="G9" s="7" t="s">
        <v>37</v>
      </c>
      <c r="H9" s="7">
        <v>99.091769999999997</v>
      </c>
      <c r="I9" t="str">
        <f t="shared" si="1"/>
        <v>1992-06-01</v>
      </c>
    </row>
    <row r="10" spans="1:9" x14ac:dyDescent="0.35">
      <c r="A10" s="7" t="s">
        <v>359</v>
      </c>
      <c r="B10" s="7" t="s">
        <v>26</v>
      </c>
      <c r="C10" s="7" t="s">
        <v>27</v>
      </c>
      <c r="D10" s="7" t="s">
        <v>28</v>
      </c>
      <c r="E10" s="7" t="s">
        <v>29</v>
      </c>
      <c r="F10" s="1">
        <f t="shared" si="0"/>
        <v>33786</v>
      </c>
      <c r="G10" s="7" t="s">
        <v>38</v>
      </c>
      <c r="H10" s="7">
        <v>98.918329999999997</v>
      </c>
      <c r="I10" t="str">
        <f t="shared" si="1"/>
        <v>1992-07-01</v>
      </c>
    </row>
    <row r="11" spans="1:9" x14ac:dyDescent="0.35">
      <c r="A11" s="7" t="s">
        <v>359</v>
      </c>
      <c r="B11" s="7" t="s">
        <v>26</v>
      </c>
      <c r="C11" s="7" t="s">
        <v>27</v>
      </c>
      <c r="D11" s="7" t="s">
        <v>28</v>
      </c>
      <c r="E11" s="7" t="s">
        <v>29</v>
      </c>
      <c r="F11" s="1">
        <f t="shared" si="0"/>
        <v>33817</v>
      </c>
      <c r="G11" s="7" t="s">
        <v>39</v>
      </c>
      <c r="H11" s="7">
        <v>98.767009999999999</v>
      </c>
      <c r="I11" t="str">
        <f t="shared" si="1"/>
        <v>1992-08-01</v>
      </c>
    </row>
    <row r="12" spans="1:9" x14ac:dyDescent="0.35">
      <c r="A12" s="7" t="s">
        <v>359</v>
      </c>
      <c r="B12" s="7" t="s">
        <v>26</v>
      </c>
      <c r="C12" s="7" t="s">
        <v>27</v>
      </c>
      <c r="D12" s="7" t="s">
        <v>28</v>
      </c>
      <c r="E12" s="7" t="s">
        <v>29</v>
      </c>
      <c r="F12" s="1">
        <f t="shared" si="0"/>
        <v>33848</v>
      </c>
      <c r="G12" s="7" t="s">
        <v>40</v>
      </c>
      <c r="H12" s="7">
        <v>98.756609999999995</v>
      </c>
      <c r="I12" t="str">
        <f t="shared" si="1"/>
        <v>1992-09-01</v>
      </c>
    </row>
    <row r="13" spans="1:9" x14ac:dyDescent="0.35">
      <c r="A13" s="7" t="s">
        <v>359</v>
      </c>
      <c r="B13" s="7" t="s">
        <v>26</v>
      </c>
      <c r="C13" s="7" t="s">
        <v>27</v>
      </c>
      <c r="D13" s="7" t="s">
        <v>28</v>
      </c>
      <c r="E13" s="7" t="s">
        <v>29</v>
      </c>
      <c r="F13" s="1">
        <f t="shared" si="0"/>
        <v>33878</v>
      </c>
      <c r="G13" s="7" t="s">
        <v>41</v>
      </c>
      <c r="H13" s="7">
        <v>99.016009999999994</v>
      </c>
      <c r="I13" t="str">
        <f t="shared" si="1"/>
        <v>1992-10-01</v>
      </c>
    </row>
    <row r="14" spans="1:9" x14ac:dyDescent="0.35">
      <c r="A14" s="7" t="s">
        <v>359</v>
      </c>
      <c r="B14" s="7" t="s">
        <v>26</v>
      </c>
      <c r="C14" s="7" t="s">
        <v>27</v>
      </c>
      <c r="D14" s="7" t="s">
        <v>28</v>
      </c>
      <c r="E14" s="7" t="s">
        <v>29</v>
      </c>
      <c r="F14" s="1">
        <f t="shared" si="0"/>
        <v>33909</v>
      </c>
      <c r="G14" s="7" t="s">
        <v>42</v>
      </c>
      <c r="H14" s="7">
        <v>99.636070000000004</v>
      </c>
      <c r="I14" t="str">
        <f t="shared" si="1"/>
        <v>1992-11-01</v>
      </c>
    </row>
    <row r="15" spans="1:9" x14ac:dyDescent="0.35">
      <c r="A15" s="7" t="s">
        <v>359</v>
      </c>
      <c r="B15" s="7" t="s">
        <v>26</v>
      </c>
      <c r="C15" s="7" t="s">
        <v>27</v>
      </c>
      <c r="D15" s="7" t="s">
        <v>28</v>
      </c>
      <c r="E15" s="7" t="s">
        <v>29</v>
      </c>
      <c r="F15" s="1">
        <f t="shared" si="0"/>
        <v>33939</v>
      </c>
      <c r="G15" s="7" t="s">
        <v>43</v>
      </c>
      <c r="H15" s="7">
        <v>100.14060000000001</v>
      </c>
      <c r="I15" t="str">
        <f t="shared" si="1"/>
        <v>1992-12-01</v>
      </c>
    </row>
    <row r="16" spans="1:9" x14ac:dyDescent="0.35">
      <c r="A16" s="7" t="s">
        <v>359</v>
      </c>
      <c r="B16" s="7" t="s">
        <v>26</v>
      </c>
      <c r="C16" s="7" t="s">
        <v>27</v>
      </c>
      <c r="D16" s="7" t="s">
        <v>28</v>
      </c>
      <c r="E16" s="7" t="s">
        <v>29</v>
      </c>
      <c r="F16" s="1">
        <f t="shared" si="0"/>
        <v>33970</v>
      </c>
      <c r="G16" s="7" t="s">
        <v>44</v>
      </c>
      <c r="H16" s="7">
        <v>100.2727</v>
      </c>
      <c r="I16" t="str">
        <f t="shared" si="1"/>
        <v>1993-01-01</v>
      </c>
    </row>
    <row r="17" spans="1:9" x14ac:dyDescent="0.35">
      <c r="A17" s="7" t="s">
        <v>359</v>
      </c>
      <c r="B17" s="7" t="s">
        <v>26</v>
      </c>
      <c r="C17" s="7" t="s">
        <v>27</v>
      </c>
      <c r="D17" s="7" t="s">
        <v>28</v>
      </c>
      <c r="E17" s="7" t="s">
        <v>29</v>
      </c>
      <c r="F17" s="1">
        <f t="shared" si="0"/>
        <v>34001</v>
      </c>
      <c r="G17" s="7" t="s">
        <v>45</v>
      </c>
      <c r="H17" s="7">
        <v>100.1575</v>
      </c>
      <c r="I17" t="str">
        <f t="shared" si="1"/>
        <v>1993-02-01</v>
      </c>
    </row>
    <row r="18" spans="1:9" x14ac:dyDescent="0.35">
      <c r="A18" s="7" t="s">
        <v>359</v>
      </c>
      <c r="B18" s="7" t="s">
        <v>26</v>
      </c>
      <c r="C18" s="7" t="s">
        <v>27</v>
      </c>
      <c r="D18" s="7" t="s">
        <v>28</v>
      </c>
      <c r="E18" s="7" t="s">
        <v>29</v>
      </c>
      <c r="F18" s="1">
        <f t="shared" si="0"/>
        <v>34029</v>
      </c>
      <c r="G18" s="7" t="s">
        <v>46</v>
      </c>
      <c r="H18" s="7">
        <v>99.971580000000003</v>
      </c>
      <c r="I18" t="str">
        <f t="shared" si="1"/>
        <v>1993-03-01</v>
      </c>
    </row>
    <row r="19" spans="1:9" x14ac:dyDescent="0.35">
      <c r="A19" s="7" t="s">
        <v>359</v>
      </c>
      <c r="B19" s="7" t="s">
        <v>26</v>
      </c>
      <c r="C19" s="7" t="s">
        <v>27</v>
      </c>
      <c r="D19" s="7" t="s">
        <v>28</v>
      </c>
      <c r="E19" s="7" t="s">
        <v>29</v>
      </c>
      <c r="F19" s="1">
        <f t="shared" si="0"/>
        <v>34060</v>
      </c>
      <c r="G19" s="7" t="s">
        <v>47</v>
      </c>
      <c r="H19" s="7">
        <v>99.741489999999999</v>
      </c>
      <c r="I19" t="str">
        <f t="shared" si="1"/>
        <v>1993-04-01</v>
      </c>
    </row>
    <row r="20" spans="1:9" x14ac:dyDescent="0.35">
      <c r="A20" s="7" t="s">
        <v>359</v>
      </c>
      <c r="B20" s="7" t="s">
        <v>26</v>
      </c>
      <c r="C20" s="7" t="s">
        <v>27</v>
      </c>
      <c r="D20" s="7" t="s">
        <v>28</v>
      </c>
      <c r="E20" s="7" t="s">
        <v>29</v>
      </c>
      <c r="F20" s="1">
        <f t="shared" si="0"/>
        <v>34090</v>
      </c>
      <c r="G20" s="7" t="s">
        <v>48</v>
      </c>
      <c r="H20" s="7">
        <v>99.447590000000005</v>
      </c>
      <c r="I20" t="str">
        <f t="shared" si="1"/>
        <v>1993-05-01</v>
      </c>
    </row>
    <row r="21" spans="1:9" x14ac:dyDescent="0.35">
      <c r="A21" s="7" t="s">
        <v>359</v>
      </c>
      <c r="B21" s="7" t="s">
        <v>26</v>
      </c>
      <c r="C21" s="7" t="s">
        <v>27</v>
      </c>
      <c r="D21" s="7" t="s">
        <v>28</v>
      </c>
      <c r="E21" s="7" t="s">
        <v>29</v>
      </c>
      <c r="F21" s="1">
        <f t="shared" si="0"/>
        <v>34121</v>
      </c>
      <c r="G21" s="7" t="s">
        <v>49</v>
      </c>
      <c r="H21" s="7">
        <v>99.21902</v>
      </c>
      <c r="I21" t="str">
        <f t="shared" si="1"/>
        <v>1993-06-01</v>
      </c>
    </row>
    <row r="22" spans="1:9" x14ac:dyDescent="0.35">
      <c r="A22" s="7" t="s">
        <v>359</v>
      </c>
      <c r="B22" s="7" t="s">
        <v>26</v>
      </c>
      <c r="C22" s="7" t="s">
        <v>27</v>
      </c>
      <c r="D22" s="7" t="s">
        <v>28</v>
      </c>
      <c r="E22" s="7" t="s">
        <v>29</v>
      </c>
      <c r="F22" s="1">
        <f t="shared" si="0"/>
        <v>34151</v>
      </c>
      <c r="G22" s="7" t="s">
        <v>50</v>
      </c>
      <c r="H22" s="7">
        <v>99.00667</v>
      </c>
      <c r="I22" t="str">
        <f t="shared" si="1"/>
        <v>1993-07-01</v>
      </c>
    </row>
    <row r="23" spans="1:9" x14ac:dyDescent="0.35">
      <c r="A23" s="7" t="s">
        <v>359</v>
      </c>
      <c r="B23" s="7" t="s">
        <v>26</v>
      </c>
      <c r="C23" s="7" t="s">
        <v>27</v>
      </c>
      <c r="D23" s="7" t="s">
        <v>28</v>
      </c>
      <c r="E23" s="7" t="s">
        <v>29</v>
      </c>
      <c r="F23" s="1">
        <f t="shared" si="0"/>
        <v>34182</v>
      </c>
      <c r="G23" s="7" t="s">
        <v>51</v>
      </c>
      <c r="H23" s="7">
        <v>98.952219999999997</v>
      </c>
      <c r="I23" t="str">
        <f t="shared" si="1"/>
        <v>1993-08-01</v>
      </c>
    </row>
    <row r="24" spans="1:9" x14ac:dyDescent="0.35">
      <c r="A24" s="7" t="s">
        <v>359</v>
      </c>
      <c r="B24" s="7" t="s">
        <v>26</v>
      </c>
      <c r="C24" s="7" t="s">
        <v>27</v>
      </c>
      <c r="D24" s="7" t="s">
        <v>28</v>
      </c>
      <c r="E24" s="7" t="s">
        <v>29</v>
      </c>
      <c r="F24" s="1">
        <f t="shared" si="0"/>
        <v>34213</v>
      </c>
      <c r="G24" s="7" t="s">
        <v>52</v>
      </c>
      <c r="H24" s="7">
        <v>99.073329999999999</v>
      </c>
      <c r="I24" t="str">
        <f t="shared" si="1"/>
        <v>1993-09-01</v>
      </c>
    </row>
    <row r="25" spans="1:9" x14ac:dyDescent="0.35">
      <c r="A25" s="7" t="s">
        <v>359</v>
      </c>
      <c r="B25" s="7" t="s">
        <v>26</v>
      </c>
      <c r="C25" s="7" t="s">
        <v>27</v>
      </c>
      <c r="D25" s="7" t="s">
        <v>28</v>
      </c>
      <c r="E25" s="7" t="s">
        <v>29</v>
      </c>
      <c r="F25" s="1">
        <f t="shared" si="0"/>
        <v>34243</v>
      </c>
      <c r="G25" s="7" t="s">
        <v>53</v>
      </c>
      <c r="H25" s="7">
        <v>99.353149999999999</v>
      </c>
      <c r="I25" t="str">
        <f t="shared" si="1"/>
        <v>1993-10-01</v>
      </c>
    </row>
    <row r="26" spans="1:9" x14ac:dyDescent="0.35">
      <c r="A26" s="7" t="s">
        <v>359</v>
      </c>
      <c r="B26" s="7" t="s">
        <v>26</v>
      </c>
      <c r="C26" s="7" t="s">
        <v>27</v>
      </c>
      <c r="D26" s="7" t="s">
        <v>28</v>
      </c>
      <c r="E26" s="7" t="s">
        <v>29</v>
      </c>
      <c r="F26" s="1">
        <f t="shared" si="0"/>
        <v>34274</v>
      </c>
      <c r="G26" s="7" t="s">
        <v>54</v>
      </c>
      <c r="H26" s="7">
        <v>99.689539999999994</v>
      </c>
      <c r="I26" t="str">
        <f t="shared" si="1"/>
        <v>1993-11-01</v>
      </c>
    </row>
    <row r="27" spans="1:9" x14ac:dyDescent="0.35">
      <c r="A27" s="7" t="s">
        <v>359</v>
      </c>
      <c r="B27" s="7" t="s">
        <v>26</v>
      </c>
      <c r="C27" s="7" t="s">
        <v>27</v>
      </c>
      <c r="D27" s="7" t="s">
        <v>28</v>
      </c>
      <c r="E27" s="7" t="s">
        <v>29</v>
      </c>
      <c r="F27" s="1">
        <f t="shared" si="0"/>
        <v>34304</v>
      </c>
      <c r="G27" s="7" t="s">
        <v>55</v>
      </c>
      <c r="H27" s="7">
        <v>100.1777</v>
      </c>
      <c r="I27" t="str">
        <f t="shared" si="1"/>
        <v>1993-12-01</v>
      </c>
    </row>
    <row r="28" spans="1:9" x14ac:dyDescent="0.35">
      <c r="A28" s="7" t="s">
        <v>359</v>
      </c>
      <c r="B28" s="7" t="s">
        <v>26</v>
      </c>
      <c r="C28" s="7" t="s">
        <v>27</v>
      </c>
      <c r="D28" s="7" t="s">
        <v>28</v>
      </c>
      <c r="E28" s="7" t="s">
        <v>29</v>
      </c>
      <c r="F28" s="1">
        <f t="shared" si="0"/>
        <v>34335</v>
      </c>
      <c r="G28" s="7" t="s">
        <v>56</v>
      </c>
      <c r="H28" s="7">
        <v>100.598</v>
      </c>
      <c r="I28" t="str">
        <f t="shared" si="1"/>
        <v>1994-01-01</v>
      </c>
    </row>
    <row r="29" spans="1:9" x14ac:dyDescent="0.35">
      <c r="A29" s="7" t="s">
        <v>359</v>
      </c>
      <c r="B29" s="7" t="s">
        <v>26</v>
      </c>
      <c r="C29" s="7" t="s">
        <v>27</v>
      </c>
      <c r="D29" s="7" t="s">
        <v>28</v>
      </c>
      <c r="E29" s="7" t="s">
        <v>29</v>
      </c>
      <c r="F29" s="1">
        <f t="shared" si="0"/>
        <v>34366</v>
      </c>
      <c r="G29" s="7" t="s">
        <v>57</v>
      </c>
      <c r="H29" s="7">
        <v>100.7482</v>
      </c>
      <c r="I29" t="str">
        <f t="shared" si="1"/>
        <v>1994-02-01</v>
      </c>
    </row>
    <row r="30" spans="1:9" x14ac:dyDescent="0.35">
      <c r="A30" s="7" t="s">
        <v>359</v>
      </c>
      <c r="B30" s="7" t="s">
        <v>26</v>
      </c>
      <c r="C30" s="7" t="s">
        <v>27</v>
      </c>
      <c r="D30" s="7" t="s">
        <v>28</v>
      </c>
      <c r="E30" s="7" t="s">
        <v>29</v>
      </c>
      <c r="F30" s="1">
        <f t="shared" si="0"/>
        <v>34394</v>
      </c>
      <c r="G30" s="7" t="s">
        <v>58</v>
      </c>
      <c r="H30" s="7">
        <v>100.73739999999999</v>
      </c>
      <c r="I30" t="str">
        <f t="shared" si="1"/>
        <v>1994-03-01</v>
      </c>
    </row>
    <row r="31" spans="1:9" x14ac:dyDescent="0.35">
      <c r="A31" s="7" t="s">
        <v>359</v>
      </c>
      <c r="B31" s="7" t="s">
        <v>26</v>
      </c>
      <c r="C31" s="7" t="s">
        <v>27</v>
      </c>
      <c r="D31" s="7" t="s">
        <v>28</v>
      </c>
      <c r="E31" s="7" t="s">
        <v>29</v>
      </c>
      <c r="F31" s="1">
        <f t="shared" si="0"/>
        <v>34425</v>
      </c>
      <c r="G31" s="7" t="s">
        <v>59</v>
      </c>
      <c r="H31" s="7">
        <v>100.70780000000001</v>
      </c>
      <c r="I31" t="str">
        <f t="shared" si="1"/>
        <v>1994-04-01</v>
      </c>
    </row>
    <row r="32" spans="1:9" x14ac:dyDescent="0.35">
      <c r="A32" s="7" t="s">
        <v>359</v>
      </c>
      <c r="B32" s="7" t="s">
        <v>26</v>
      </c>
      <c r="C32" s="7" t="s">
        <v>27</v>
      </c>
      <c r="D32" s="7" t="s">
        <v>28</v>
      </c>
      <c r="E32" s="7" t="s">
        <v>29</v>
      </c>
      <c r="F32" s="1">
        <f t="shared" si="0"/>
        <v>34455</v>
      </c>
      <c r="G32" s="7" t="s">
        <v>60</v>
      </c>
      <c r="H32" s="7">
        <v>100.6454</v>
      </c>
      <c r="I32" t="str">
        <f t="shared" si="1"/>
        <v>1994-05-01</v>
      </c>
    </row>
    <row r="33" spans="1:9" x14ac:dyDescent="0.35">
      <c r="A33" s="7" t="s">
        <v>359</v>
      </c>
      <c r="B33" s="7" t="s">
        <v>26</v>
      </c>
      <c r="C33" s="7" t="s">
        <v>27</v>
      </c>
      <c r="D33" s="7" t="s">
        <v>28</v>
      </c>
      <c r="E33" s="7" t="s">
        <v>29</v>
      </c>
      <c r="F33" s="1">
        <f t="shared" si="0"/>
        <v>34486</v>
      </c>
      <c r="G33" s="7" t="s">
        <v>61</v>
      </c>
      <c r="H33" s="7">
        <v>100.5393</v>
      </c>
      <c r="I33" t="str">
        <f t="shared" si="1"/>
        <v>1994-06-01</v>
      </c>
    </row>
    <row r="34" spans="1:9" x14ac:dyDescent="0.35">
      <c r="A34" s="7" t="s">
        <v>359</v>
      </c>
      <c r="B34" s="7" t="s">
        <v>26</v>
      </c>
      <c r="C34" s="7" t="s">
        <v>27</v>
      </c>
      <c r="D34" s="7" t="s">
        <v>28</v>
      </c>
      <c r="E34" s="7" t="s">
        <v>29</v>
      </c>
      <c r="F34" s="1">
        <f t="shared" si="0"/>
        <v>34516</v>
      </c>
      <c r="G34" s="7" t="s">
        <v>62</v>
      </c>
      <c r="H34" s="7">
        <v>100.4669</v>
      </c>
      <c r="I34" t="str">
        <f t="shared" si="1"/>
        <v>1994-07-01</v>
      </c>
    </row>
    <row r="35" spans="1:9" x14ac:dyDescent="0.35">
      <c r="A35" s="7" t="s">
        <v>359</v>
      </c>
      <c r="B35" s="7" t="s">
        <v>26</v>
      </c>
      <c r="C35" s="7" t="s">
        <v>27</v>
      </c>
      <c r="D35" s="7" t="s">
        <v>28</v>
      </c>
      <c r="E35" s="7" t="s">
        <v>29</v>
      </c>
      <c r="F35" s="1">
        <f t="shared" si="0"/>
        <v>34547</v>
      </c>
      <c r="G35" s="7" t="s">
        <v>63</v>
      </c>
      <c r="H35" s="7">
        <v>100.5128</v>
      </c>
      <c r="I35" t="str">
        <f t="shared" si="1"/>
        <v>1994-08-01</v>
      </c>
    </row>
    <row r="36" spans="1:9" x14ac:dyDescent="0.35">
      <c r="A36" s="7" t="s">
        <v>359</v>
      </c>
      <c r="B36" s="7" t="s">
        <v>26</v>
      </c>
      <c r="C36" s="7" t="s">
        <v>27</v>
      </c>
      <c r="D36" s="7" t="s">
        <v>28</v>
      </c>
      <c r="E36" s="7" t="s">
        <v>29</v>
      </c>
      <c r="F36" s="1">
        <f t="shared" si="0"/>
        <v>34578</v>
      </c>
      <c r="G36" s="7" t="s">
        <v>64</v>
      </c>
      <c r="H36" s="7">
        <v>100.5834</v>
      </c>
      <c r="I36" t="str">
        <f t="shared" si="1"/>
        <v>1994-09-01</v>
      </c>
    </row>
    <row r="37" spans="1:9" x14ac:dyDescent="0.35">
      <c r="A37" s="7" t="s">
        <v>359</v>
      </c>
      <c r="B37" s="7" t="s">
        <v>26</v>
      </c>
      <c r="C37" s="7" t="s">
        <v>27</v>
      </c>
      <c r="D37" s="7" t="s">
        <v>28</v>
      </c>
      <c r="E37" s="7" t="s">
        <v>29</v>
      </c>
      <c r="F37" s="1">
        <f t="shared" si="0"/>
        <v>34608</v>
      </c>
      <c r="G37" s="7" t="s">
        <v>65</v>
      </c>
      <c r="H37" s="7">
        <v>100.6773</v>
      </c>
      <c r="I37" t="str">
        <f t="shared" si="1"/>
        <v>1994-10-01</v>
      </c>
    </row>
    <row r="38" spans="1:9" x14ac:dyDescent="0.35">
      <c r="A38" s="7" t="s">
        <v>359</v>
      </c>
      <c r="B38" s="7" t="s">
        <v>26</v>
      </c>
      <c r="C38" s="7" t="s">
        <v>27</v>
      </c>
      <c r="D38" s="7" t="s">
        <v>28</v>
      </c>
      <c r="E38" s="7" t="s">
        <v>29</v>
      </c>
      <c r="F38" s="1">
        <f t="shared" si="0"/>
        <v>34639</v>
      </c>
      <c r="G38" s="7" t="s">
        <v>66</v>
      </c>
      <c r="H38" s="7">
        <v>100.7914</v>
      </c>
      <c r="I38" t="str">
        <f t="shared" si="1"/>
        <v>1994-11-01</v>
      </c>
    </row>
    <row r="39" spans="1:9" x14ac:dyDescent="0.35">
      <c r="A39" s="7" t="s">
        <v>359</v>
      </c>
      <c r="B39" s="7" t="s">
        <v>26</v>
      </c>
      <c r="C39" s="7" t="s">
        <v>27</v>
      </c>
      <c r="D39" s="7" t="s">
        <v>28</v>
      </c>
      <c r="E39" s="7" t="s">
        <v>29</v>
      </c>
      <c r="F39" s="1">
        <f t="shared" si="0"/>
        <v>34669</v>
      </c>
      <c r="G39" s="7" t="s">
        <v>67</v>
      </c>
      <c r="H39" s="7">
        <v>100.9676</v>
      </c>
      <c r="I39" t="str">
        <f t="shared" si="1"/>
        <v>1994-12-01</v>
      </c>
    </row>
    <row r="40" spans="1:9" x14ac:dyDescent="0.35">
      <c r="A40" s="7" t="s">
        <v>359</v>
      </c>
      <c r="B40" s="7" t="s">
        <v>26</v>
      </c>
      <c r="C40" s="7" t="s">
        <v>27</v>
      </c>
      <c r="D40" s="7" t="s">
        <v>28</v>
      </c>
      <c r="E40" s="7" t="s">
        <v>29</v>
      </c>
      <c r="F40" s="1">
        <f t="shared" si="0"/>
        <v>34700</v>
      </c>
      <c r="G40" s="7" t="s">
        <v>68</v>
      </c>
      <c r="H40" s="7">
        <v>101.04949999999999</v>
      </c>
      <c r="I40" t="str">
        <f t="shared" si="1"/>
        <v>1995-01-01</v>
      </c>
    </row>
    <row r="41" spans="1:9" x14ac:dyDescent="0.35">
      <c r="A41" s="7" t="s">
        <v>359</v>
      </c>
      <c r="B41" s="7" t="s">
        <v>26</v>
      </c>
      <c r="C41" s="7" t="s">
        <v>27</v>
      </c>
      <c r="D41" s="7" t="s">
        <v>28</v>
      </c>
      <c r="E41" s="7" t="s">
        <v>29</v>
      </c>
      <c r="F41" s="1">
        <f t="shared" si="0"/>
        <v>34731</v>
      </c>
      <c r="G41" s="7" t="s">
        <v>69</v>
      </c>
      <c r="H41" s="7">
        <v>100.9169</v>
      </c>
      <c r="I41" t="str">
        <f t="shared" si="1"/>
        <v>1995-02-01</v>
      </c>
    </row>
    <row r="42" spans="1:9" x14ac:dyDescent="0.35">
      <c r="A42" s="7" t="s">
        <v>359</v>
      </c>
      <c r="B42" s="7" t="s">
        <v>26</v>
      </c>
      <c r="C42" s="7" t="s">
        <v>27</v>
      </c>
      <c r="D42" s="7" t="s">
        <v>28</v>
      </c>
      <c r="E42" s="7" t="s">
        <v>29</v>
      </c>
      <c r="F42" s="1">
        <f t="shared" si="0"/>
        <v>34759</v>
      </c>
      <c r="G42" s="7" t="s">
        <v>70</v>
      </c>
      <c r="H42" s="7">
        <v>100.6961</v>
      </c>
      <c r="I42" t="str">
        <f t="shared" si="1"/>
        <v>1995-03-01</v>
      </c>
    </row>
    <row r="43" spans="1:9" x14ac:dyDescent="0.35">
      <c r="A43" s="7" t="s">
        <v>359</v>
      </c>
      <c r="B43" s="7" t="s">
        <v>26</v>
      </c>
      <c r="C43" s="7" t="s">
        <v>27</v>
      </c>
      <c r="D43" s="7" t="s">
        <v>28</v>
      </c>
      <c r="E43" s="7" t="s">
        <v>29</v>
      </c>
      <c r="F43" s="1">
        <f t="shared" si="0"/>
        <v>34790</v>
      </c>
      <c r="G43" s="7" t="s">
        <v>71</v>
      </c>
      <c r="H43" s="7">
        <v>100.60039999999999</v>
      </c>
      <c r="I43" t="str">
        <f t="shared" si="1"/>
        <v>1995-04-01</v>
      </c>
    </row>
    <row r="44" spans="1:9" x14ac:dyDescent="0.35">
      <c r="A44" s="7" t="s">
        <v>359</v>
      </c>
      <c r="B44" s="7" t="s">
        <v>26</v>
      </c>
      <c r="C44" s="7" t="s">
        <v>27</v>
      </c>
      <c r="D44" s="7" t="s">
        <v>28</v>
      </c>
      <c r="E44" s="7" t="s">
        <v>29</v>
      </c>
      <c r="F44" s="1">
        <f t="shared" si="0"/>
        <v>34820</v>
      </c>
      <c r="G44" s="7" t="s">
        <v>72</v>
      </c>
      <c r="H44" s="7">
        <v>100.5878</v>
      </c>
      <c r="I44" t="str">
        <f t="shared" si="1"/>
        <v>1995-05-01</v>
      </c>
    </row>
    <row r="45" spans="1:9" x14ac:dyDescent="0.35">
      <c r="A45" s="7" t="s">
        <v>359</v>
      </c>
      <c r="B45" s="7" t="s">
        <v>26</v>
      </c>
      <c r="C45" s="7" t="s">
        <v>27</v>
      </c>
      <c r="D45" s="7" t="s">
        <v>28</v>
      </c>
      <c r="E45" s="7" t="s">
        <v>29</v>
      </c>
      <c r="F45" s="1">
        <f t="shared" si="0"/>
        <v>34851</v>
      </c>
      <c r="G45" s="7" t="s">
        <v>73</v>
      </c>
      <c r="H45" s="7">
        <v>100.7146</v>
      </c>
      <c r="I45" t="str">
        <f t="shared" si="1"/>
        <v>1995-06-01</v>
      </c>
    </row>
    <row r="46" spans="1:9" x14ac:dyDescent="0.35">
      <c r="A46" s="7" t="s">
        <v>359</v>
      </c>
      <c r="B46" s="7" t="s">
        <v>26</v>
      </c>
      <c r="C46" s="7" t="s">
        <v>27</v>
      </c>
      <c r="D46" s="7" t="s">
        <v>28</v>
      </c>
      <c r="E46" s="7" t="s">
        <v>29</v>
      </c>
      <c r="F46" s="1">
        <f t="shared" si="0"/>
        <v>34881</v>
      </c>
      <c r="G46" s="7" t="s">
        <v>74</v>
      </c>
      <c r="H46" s="7">
        <v>100.8317</v>
      </c>
      <c r="I46" t="str">
        <f t="shared" si="1"/>
        <v>1995-07-01</v>
      </c>
    </row>
    <row r="47" spans="1:9" x14ac:dyDescent="0.35">
      <c r="A47" s="7" t="s">
        <v>359</v>
      </c>
      <c r="B47" s="7" t="s">
        <v>26</v>
      </c>
      <c r="C47" s="7" t="s">
        <v>27</v>
      </c>
      <c r="D47" s="7" t="s">
        <v>28</v>
      </c>
      <c r="E47" s="7" t="s">
        <v>29</v>
      </c>
      <c r="F47" s="1">
        <f t="shared" si="0"/>
        <v>34912</v>
      </c>
      <c r="G47" s="7" t="s">
        <v>75</v>
      </c>
      <c r="H47" s="7">
        <v>100.7978</v>
      </c>
      <c r="I47" t="str">
        <f t="shared" si="1"/>
        <v>1995-08-01</v>
      </c>
    </row>
    <row r="48" spans="1:9" x14ac:dyDescent="0.35">
      <c r="A48" s="7" t="s">
        <v>359</v>
      </c>
      <c r="B48" s="7" t="s">
        <v>26</v>
      </c>
      <c r="C48" s="7" t="s">
        <v>27</v>
      </c>
      <c r="D48" s="7" t="s">
        <v>28</v>
      </c>
      <c r="E48" s="7" t="s">
        <v>29</v>
      </c>
      <c r="F48" s="1">
        <f t="shared" si="0"/>
        <v>34943</v>
      </c>
      <c r="G48" s="7" t="s">
        <v>76</v>
      </c>
      <c r="H48" s="7">
        <v>100.5613</v>
      </c>
      <c r="I48" t="str">
        <f t="shared" si="1"/>
        <v>1995-09-01</v>
      </c>
    </row>
    <row r="49" spans="1:9" x14ac:dyDescent="0.35">
      <c r="A49" s="7" t="s">
        <v>359</v>
      </c>
      <c r="B49" s="7" t="s">
        <v>26</v>
      </c>
      <c r="C49" s="7" t="s">
        <v>27</v>
      </c>
      <c r="D49" s="7" t="s">
        <v>28</v>
      </c>
      <c r="E49" s="7" t="s">
        <v>29</v>
      </c>
      <c r="F49" s="1">
        <f t="shared" si="0"/>
        <v>34973</v>
      </c>
      <c r="G49" s="7" t="s">
        <v>77</v>
      </c>
      <c r="H49" s="7">
        <v>100.4049</v>
      </c>
      <c r="I49" t="str">
        <f t="shared" si="1"/>
        <v>1995-10-01</v>
      </c>
    </row>
    <row r="50" spans="1:9" x14ac:dyDescent="0.35">
      <c r="A50" s="7" t="s">
        <v>359</v>
      </c>
      <c r="B50" s="7" t="s">
        <v>26</v>
      </c>
      <c r="C50" s="7" t="s">
        <v>27</v>
      </c>
      <c r="D50" s="7" t="s">
        <v>28</v>
      </c>
      <c r="E50" s="7" t="s">
        <v>29</v>
      </c>
      <c r="F50" s="1">
        <f t="shared" si="0"/>
        <v>35004</v>
      </c>
      <c r="G50" s="7" t="s">
        <v>78</v>
      </c>
      <c r="H50" s="7">
        <v>100.3272</v>
      </c>
      <c r="I50" t="str">
        <f t="shared" si="1"/>
        <v>1995-11-01</v>
      </c>
    </row>
    <row r="51" spans="1:9" x14ac:dyDescent="0.35">
      <c r="A51" s="7" t="s">
        <v>359</v>
      </c>
      <c r="B51" s="7" t="s">
        <v>26</v>
      </c>
      <c r="C51" s="7" t="s">
        <v>27</v>
      </c>
      <c r="D51" s="7" t="s">
        <v>28</v>
      </c>
      <c r="E51" s="7" t="s">
        <v>29</v>
      </c>
      <c r="F51" s="1">
        <f t="shared" si="0"/>
        <v>35034</v>
      </c>
      <c r="G51" s="7" t="s">
        <v>79</v>
      </c>
      <c r="H51" s="7">
        <v>100.35120000000001</v>
      </c>
      <c r="I51" t="str">
        <f t="shared" si="1"/>
        <v>1995-12-01</v>
      </c>
    </row>
    <row r="52" spans="1:9" x14ac:dyDescent="0.35">
      <c r="A52" s="7" t="s">
        <v>359</v>
      </c>
      <c r="B52" s="7" t="s">
        <v>26</v>
      </c>
      <c r="C52" s="7" t="s">
        <v>27</v>
      </c>
      <c r="D52" s="7" t="s">
        <v>28</v>
      </c>
      <c r="E52" s="7" t="s">
        <v>29</v>
      </c>
      <c r="F52" s="1">
        <f t="shared" si="0"/>
        <v>35065</v>
      </c>
      <c r="G52" s="7" t="s">
        <v>80</v>
      </c>
      <c r="H52" s="7">
        <v>100.36750000000001</v>
      </c>
      <c r="I52" t="str">
        <f t="shared" si="1"/>
        <v>1996-01-01</v>
      </c>
    </row>
    <row r="53" spans="1:9" x14ac:dyDescent="0.35">
      <c r="A53" s="7" t="s">
        <v>359</v>
      </c>
      <c r="B53" s="7" t="s">
        <v>26</v>
      </c>
      <c r="C53" s="7" t="s">
        <v>27</v>
      </c>
      <c r="D53" s="7" t="s">
        <v>28</v>
      </c>
      <c r="E53" s="7" t="s">
        <v>29</v>
      </c>
      <c r="F53" s="1">
        <f t="shared" si="0"/>
        <v>35096</v>
      </c>
      <c r="G53" s="7" t="s">
        <v>81</v>
      </c>
      <c r="H53" s="7">
        <v>100.4385</v>
      </c>
      <c r="I53" t="str">
        <f t="shared" si="1"/>
        <v>1996-02-01</v>
      </c>
    </row>
    <row r="54" spans="1:9" x14ac:dyDescent="0.35">
      <c r="A54" s="7" t="s">
        <v>359</v>
      </c>
      <c r="B54" s="7" t="s">
        <v>26</v>
      </c>
      <c r="C54" s="7" t="s">
        <v>27</v>
      </c>
      <c r="D54" s="7" t="s">
        <v>28</v>
      </c>
      <c r="E54" s="7" t="s">
        <v>29</v>
      </c>
      <c r="F54" s="1">
        <f t="shared" si="0"/>
        <v>35125</v>
      </c>
      <c r="G54" s="7" t="s">
        <v>82</v>
      </c>
      <c r="H54" s="7">
        <v>100.583</v>
      </c>
      <c r="I54" t="str">
        <f t="shared" si="1"/>
        <v>1996-03-01</v>
      </c>
    </row>
    <row r="55" spans="1:9" x14ac:dyDescent="0.35">
      <c r="A55" s="7" t="s">
        <v>359</v>
      </c>
      <c r="B55" s="7" t="s">
        <v>26</v>
      </c>
      <c r="C55" s="7" t="s">
        <v>27</v>
      </c>
      <c r="D55" s="7" t="s">
        <v>28</v>
      </c>
      <c r="E55" s="7" t="s">
        <v>29</v>
      </c>
      <c r="F55" s="1">
        <f t="shared" si="0"/>
        <v>35156</v>
      </c>
      <c r="G55" s="7" t="s">
        <v>83</v>
      </c>
      <c r="H55" s="7">
        <v>100.6116</v>
      </c>
      <c r="I55" t="str">
        <f t="shared" si="1"/>
        <v>1996-04-01</v>
      </c>
    </row>
    <row r="56" spans="1:9" x14ac:dyDescent="0.35">
      <c r="A56" s="7" t="s">
        <v>359</v>
      </c>
      <c r="B56" s="7" t="s">
        <v>26</v>
      </c>
      <c r="C56" s="7" t="s">
        <v>27</v>
      </c>
      <c r="D56" s="7" t="s">
        <v>28</v>
      </c>
      <c r="E56" s="7" t="s">
        <v>29</v>
      </c>
      <c r="F56" s="1">
        <f t="shared" si="0"/>
        <v>35186</v>
      </c>
      <c r="G56" s="7" t="s">
        <v>84</v>
      </c>
      <c r="H56" s="7">
        <v>100.59099999999999</v>
      </c>
      <c r="I56" t="str">
        <f t="shared" si="1"/>
        <v>1996-05-01</v>
      </c>
    </row>
    <row r="57" spans="1:9" x14ac:dyDescent="0.35">
      <c r="A57" s="7" t="s">
        <v>359</v>
      </c>
      <c r="B57" s="7" t="s">
        <v>26</v>
      </c>
      <c r="C57" s="7" t="s">
        <v>27</v>
      </c>
      <c r="D57" s="7" t="s">
        <v>28</v>
      </c>
      <c r="E57" s="7" t="s">
        <v>29</v>
      </c>
      <c r="F57" s="1">
        <f t="shared" si="0"/>
        <v>35217</v>
      </c>
      <c r="G57" s="7" t="s">
        <v>85</v>
      </c>
      <c r="H57" s="7">
        <v>100.69880000000001</v>
      </c>
      <c r="I57" t="str">
        <f t="shared" si="1"/>
        <v>1996-06-01</v>
      </c>
    </row>
    <row r="58" spans="1:9" x14ac:dyDescent="0.35">
      <c r="A58" s="7" t="s">
        <v>359</v>
      </c>
      <c r="B58" s="7" t="s">
        <v>26</v>
      </c>
      <c r="C58" s="7" t="s">
        <v>27</v>
      </c>
      <c r="D58" s="7" t="s">
        <v>28</v>
      </c>
      <c r="E58" s="7" t="s">
        <v>29</v>
      </c>
      <c r="F58" s="1">
        <f t="shared" si="0"/>
        <v>35247</v>
      </c>
      <c r="G58" s="7" t="s">
        <v>86</v>
      </c>
      <c r="H58" s="7">
        <v>100.8571</v>
      </c>
      <c r="I58" t="str">
        <f t="shared" si="1"/>
        <v>1996-07-01</v>
      </c>
    </row>
    <row r="59" spans="1:9" x14ac:dyDescent="0.35">
      <c r="A59" s="7" t="s">
        <v>359</v>
      </c>
      <c r="B59" s="7" t="s">
        <v>26</v>
      </c>
      <c r="C59" s="7" t="s">
        <v>27</v>
      </c>
      <c r="D59" s="7" t="s">
        <v>28</v>
      </c>
      <c r="E59" s="7" t="s">
        <v>29</v>
      </c>
      <c r="F59" s="1">
        <f t="shared" si="0"/>
        <v>35278</v>
      </c>
      <c r="G59" s="7" t="s">
        <v>87</v>
      </c>
      <c r="H59" s="7">
        <v>100.9764</v>
      </c>
      <c r="I59" t="str">
        <f t="shared" si="1"/>
        <v>1996-08-01</v>
      </c>
    </row>
    <row r="60" spans="1:9" x14ac:dyDescent="0.35">
      <c r="A60" s="7" t="s">
        <v>359</v>
      </c>
      <c r="B60" s="7" t="s">
        <v>26</v>
      </c>
      <c r="C60" s="7" t="s">
        <v>27</v>
      </c>
      <c r="D60" s="7" t="s">
        <v>28</v>
      </c>
      <c r="E60" s="7" t="s">
        <v>29</v>
      </c>
      <c r="F60" s="1">
        <f t="shared" si="0"/>
        <v>35309</v>
      </c>
      <c r="G60" s="7" t="s">
        <v>88</v>
      </c>
      <c r="H60" s="7">
        <v>101.0665</v>
      </c>
      <c r="I60" t="str">
        <f t="shared" si="1"/>
        <v>1996-09-01</v>
      </c>
    </row>
    <row r="61" spans="1:9" x14ac:dyDescent="0.35">
      <c r="A61" s="7" t="s">
        <v>359</v>
      </c>
      <c r="B61" s="7" t="s">
        <v>26</v>
      </c>
      <c r="C61" s="7" t="s">
        <v>27</v>
      </c>
      <c r="D61" s="7" t="s">
        <v>28</v>
      </c>
      <c r="E61" s="7" t="s">
        <v>29</v>
      </c>
      <c r="F61" s="1">
        <f t="shared" si="0"/>
        <v>35339</v>
      </c>
      <c r="G61" s="7" t="s">
        <v>89</v>
      </c>
      <c r="H61" s="7">
        <v>101.1878</v>
      </c>
      <c r="I61" t="str">
        <f t="shared" si="1"/>
        <v>1996-10-01</v>
      </c>
    </row>
    <row r="62" spans="1:9" x14ac:dyDescent="0.35">
      <c r="A62" s="7" t="s">
        <v>359</v>
      </c>
      <c r="B62" s="7" t="s">
        <v>26</v>
      </c>
      <c r="C62" s="7" t="s">
        <v>27</v>
      </c>
      <c r="D62" s="7" t="s">
        <v>28</v>
      </c>
      <c r="E62" s="7" t="s">
        <v>29</v>
      </c>
      <c r="F62" s="1">
        <f t="shared" si="0"/>
        <v>35370</v>
      </c>
      <c r="G62" s="7" t="s">
        <v>90</v>
      </c>
      <c r="H62" s="7">
        <v>101.29089999999999</v>
      </c>
      <c r="I62" t="str">
        <f t="shared" si="1"/>
        <v>1996-11-01</v>
      </c>
    </row>
    <row r="63" spans="1:9" x14ac:dyDescent="0.35">
      <c r="A63" s="7" t="s">
        <v>359</v>
      </c>
      <c r="B63" s="7" t="s">
        <v>26</v>
      </c>
      <c r="C63" s="7" t="s">
        <v>27</v>
      </c>
      <c r="D63" s="7" t="s">
        <v>28</v>
      </c>
      <c r="E63" s="7" t="s">
        <v>29</v>
      </c>
      <c r="F63" s="1">
        <f t="shared" si="0"/>
        <v>35400</v>
      </c>
      <c r="G63" s="7" t="s">
        <v>91</v>
      </c>
      <c r="H63" s="7">
        <v>101.3061</v>
      </c>
      <c r="I63" t="str">
        <f t="shared" si="1"/>
        <v>1996-12-01</v>
      </c>
    </row>
    <row r="64" spans="1:9" x14ac:dyDescent="0.35">
      <c r="A64" s="7" t="s">
        <v>359</v>
      </c>
      <c r="B64" s="7" t="s">
        <v>26</v>
      </c>
      <c r="C64" s="7" t="s">
        <v>27</v>
      </c>
      <c r="D64" s="7" t="s">
        <v>28</v>
      </c>
      <c r="E64" s="7" t="s">
        <v>29</v>
      </c>
      <c r="F64" s="1">
        <f t="shared" si="0"/>
        <v>35431</v>
      </c>
      <c r="G64" s="7" t="s">
        <v>92</v>
      </c>
      <c r="H64" s="7">
        <v>101.35639999999999</v>
      </c>
      <c r="I64" t="str">
        <f t="shared" si="1"/>
        <v>1997-01-01</v>
      </c>
    </row>
    <row r="65" spans="1:9" x14ac:dyDescent="0.35">
      <c r="A65" s="7" t="s">
        <v>359</v>
      </c>
      <c r="B65" s="7" t="s">
        <v>26</v>
      </c>
      <c r="C65" s="7" t="s">
        <v>27</v>
      </c>
      <c r="D65" s="7" t="s">
        <v>28</v>
      </c>
      <c r="E65" s="7" t="s">
        <v>29</v>
      </c>
      <c r="F65" s="1">
        <f t="shared" si="0"/>
        <v>35462</v>
      </c>
      <c r="G65" s="7" t="s">
        <v>93</v>
      </c>
      <c r="H65" s="7">
        <v>101.4734</v>
      </c>
      <c r="I65" t="str">
        <f t="shared" si="1"/>
        <v>1997-02-01</v>
      </c>
    </row>
    <row r="66" spans="1:9" x14ac:dyDescent="0.35">
      <c r="A66" s="7" t="s">
        <v>359</v>
      </c>
      <c r="B66" s="7" t="s">
        <v>26</v>
      </c>
      <c r="C66" s="7" t="s">
        <v>27</v>
      </c>
      <c r="D66" s="7" t="s">
        <v>28</v>
      </c>
      <c r="E66" s="7" t="s">
        <v>29</v>
      </c>
      <c r="F66" s="1">
        <f t="shared" ref="F66:F129" si="2">DATEVALUE(I66)</f>
        <v>35490</v>
      </c>
      <c r="G66" s="7" t="s">
        <v>94</v>
      </c>
      <c r="H66" s="7">
        <v>101.6052</v>
      </c>
      <c r="I66" t="str">
        <f t="shared" si="1"/>
        <v>1997-03-01</v>
      </c>
    </row>
    <row r="67" spans="1:9" x14ac:dyDescent="0.35">
      <c r="A67" s="7" t="s">
        <v>359</v>
      </c>
      <c r="B67" s="7" t="s">
        <v>26</v>
      </c>
      <c r="C67" s="7" t="s">
        <v>27</v>
      </c>
      <c r="D67" s="7" t="s">
        <v>28</v>
      </c>
      <c r="E67" s="7" t="s">
        <v>29</v>
      </c>
      <c r="F67" s="1">
        <f t="shared" si="2"/>
        <v>35521</v>
      </c>
      <c r="G67" s="7" t="s">
        <v>95</v>
      </c>
      <c r="H67" s="7">
        <v>101.7688</v>
      </c>
      <c r="I67" t="str">
        <f t="shared" ref="I67:I130" si="3">CONCATENATE(G67,"-01")</f>
        <v>1997-04-01</v>
      </c>
    </row>
    <row r="68" spans="1:9" x14ac:dyDescent="0.35">
      <c r="A68" s="7" t="s">
        <v>359</v>
      </c>
      <c r="B68" s="7" t="s">
        <v>26</v>
      </c>
      <c r="C68" s="7" t="s">
        <v>27</v>
      </c>
      <c r="D68" s="7" t="s">
        <v>28</v>
      </c>
      <c r="E68" s="7" t="s">
        <v>29</v>
      </c>
      <c r="F68" s="1">
        <f t="shared" si="2"/>
        <v>35551</v>
      </c>
      <c r="G68" s="7" t="s">
        <v>96</v>
      </c>
      <c r="H68" s="7">
        <v>101.95350000000001</v>
      </c>
      <c r="I68" t="str">
        <f t="shared" si="3"/>
        <v>1997-05-01</v>
      </c>
    </row>
    <row r="69" spans="1:9" x14ac:dyDescent="0.35">
      <c r="A69" s="7" t="s">
        <v>359</v>
      </c>
      <c r="B69" s="7" t="s">
        <v>26</v>
      </c>
      <c r="C69" s="7" t="s">
        <v>27</v>
      </c>
      <c r="D69" s="7" t="s">
        <v>28</v>
      </c>
      <c r="E69" s="7" t="s">
        <v>29</v>
      </c>
      <c r="F69" s="1">
        <f t="shared" si="2"/>
        <v>35582</v>
      </c>
      <c r="G69" s="7" t="s">
        <v>97</v>
      </c>
      <c r="H69" s="7">
        <v>102.1219</v>
      </c>
      <c r="I69" t="str">
        <f t="shared" si="3"/>
        <v>1997-06-01</v>
      </c>
    </row>
    <row r="70" spans="1:9" x14ac:dyDescent="0.35">
      <c r="A70" s="7" t="s">
        <v>359</v>
      </c>
      <c r="B70" s="7" t="s">
        <v>26</v>
      </c>
      <c r="C70" s="7" t="s">
        <v>27</v>
      </c>
      <c r="D70" s="7" t="s">
        <v>28</v>
      </c>
      <c r="E70" s="7" t="s">
        <v>29</v>
      </c>
      <c r="F70" s="1">
        <f t="shared" si="2"/>
        <v>35612</v>
      </c>
      <c r="G70" s="7" t="s">
        <v>98</v>
      </c>
      <c r="H70" s="7">
        <v>102.23520000000001</v>
      </c>
      <c r="I70" t="str">
        <f t="shared" si="3"/>
        <v>1997-07-01</v>
      </c>
    </row>
    <row r="71" spans="1:9" x14ac:dyDescent="0.35">
      <c r="A71" s="7" t="s">
        <v>359</v>
      </c>
      <c r="B71" s="7" t="s">
        <v>26</v>
      </c>
      <c r="C71" s="7" t="s">
        <v>27</v>
      </c>
      <c r="D71" s="7" t="s">
        <v>28</v>
      </c>
      <c r="E71" s="7" t="s">
        <v>29</v>
      </c>
      <c r="F71" s="1">
        <f t="shared" si="2"/>
        <v>35643</v>
      </c>
      <c r="G71" s="7" t="s">
        <v>99</v>
      </c>
      <c r="H71" s="7">
        <v>102.23779999999999</v>
      </c>
      <c r="I71" t="str">
        <f t="shared" si="3"/>
        <v>1997-08-01</v>
      </c>
    </row>
    <row r="72" spans="1:9" x14ac:dyDescent="0.35">
      <c r="A72" s="7" t="s">
        <v>359</v>
      </c>
      <c r="B72" s="7" t="s">
        <v>26</v>
      </c>
      <c r="C72" s="7" t="s">
        <v>27</v>
      </c>
      <c r="D72" s="7" t="s">
        <v>28</v>
      </c>
      <c r="E72" s="7" t="s">
        <v>29</v>
      </c>
      <c r="F72" s="1">
        <f t="shared" si="2"/>
        <v>35674</v>
      </c>
      <c r="G72" s="7" t="s">
        <v>100</v>
      </c>
      <c r="H72" s="7">
        <v>102.2486</v>
      </c>
      <c r="I72" t="str">
        <f t="shared" si="3"/>
        <v>1997-09-01</v>
      </c>
    </row>
    <row r="73" spans="1:9" x14ac:dyDescent="0.35">
      <c r="A73" s="7" t="s">
        <v>359</v>
      </c>
      <c r="B73" s="7" t="s">
        <v>26</v>
      </c>
      <c r="C73" s="7" t="s">
        <v>27</v>
      </c>
      <c r="D73" s="7" t="s">
        <v>28</v>
      </c>
      <c r="E73" s="7" t="s">
        <v>29</v>
      </c>
      <c r="F73" s="1">
        <f t="shared" si="2"/>
        <v>35704</v>
      </c>
      <c r="G73" s="7" t="s">
        <v>101</v>
      </c>
      <c r="H73" s="7">
        <v>102.2418</v>
      </c>
      <c r="I73" t="str">
        <f t="shared" si="3"/>
        <v>1997-10-01</v>
      </c>
    </row>
    <row r="74" spans="1:9" x14ac:dyDescent="0.35">
      <c r="A74" s="7" t="s">
        <v>359</v>
      </c>
      <c r="B74" s="7" t="s">
        <v>26</v>
      </c>
      <c r="C74" s="7" t="s">
        <v>27</v>
      </c>
      <c r="D74" s="7" t="s">
        <v>28</v>
      </c>
      <c r="E74" s="7" t="s">
        <v>29</v>
      </c>
      <c r="F74" s="1">
        <f t="shared" si="2"/>
        <v>35735</v>
      </c>
      <c r="G74" s="7" t="s">
        <v>102</v>
      </c>
      <c r="H74" s="7">
        <v>102.2235</v>
      </c>
      <c r="I74" t="str">
        <f t="shared" si="3"/>
        <v>1997-11-01</v>
      </c>
    </row>
    <row r="75" spans="1:9" x14ac:dyDescent="0.35">
      <c r="A75" s="7" t="s">
        <v>359</v>
      </c>
      <c r="B75" s="7" t="s">
        <v>26</v>
      </c>
      <c r="C75" s="7" t="s">
        <v>27</v>
      </c>
      <c r="D75" s="7" t="s">
        <v>28</v>
      </c>
      <c r="E75" s="7" t="s">
        <v>29</v>
      </c>
      <c r="F75" s="1">
        <f t="shared" si="2"/>
        <v>35765</v>
      </c>
      <c r="G75" s="7" t="s">
        <v>103</v>
      </c>
      <c r="H75" s="7">
        <v>102.1921</v>
      </c>
      <c r="I75" t="str">
        <f t="shared" si="3"/>
        <v>1997-12-01</v>
      </c>
    </row>
    <row r="76" spans="1:9" x14ac:dyDescent="0.35">
      <c r="A76" s="7" t="s">
        <v>359</v>
      </c>
      <c r="B76" s="7" t="s">
        <v>26</v>
      </c>
      <c r="C76" s="7" t="s">
        <v>27</v>
      </c>
      <c r="D76" s="7" t="s">
        <v>28</v>
      </c>
      <c r="E76" s="7" t="s">
        <v>29</v>
      </c>
      <c r="F76" s="1">
        <f t="shared" si="2"/>
        <v>35796</v>
      </c>
      <c r="G76" s="7" t="s">
        <v>104</v>
      </c>
      <c r="H76" s="7">
        <v>102.3436</v>
      </c>
      <c r="I76" t="str">
        <f t="shared" si="3"/>
        <v>1998-01-01</v>
      </c>
    </row>
    <row r="77" spans="1:9" x14ac:dyDescent="0.35">
      <c r="A77" s="7" t="s">
        <v>359</v>
      </c>
      <c r="B77" s="7" t="s">
        <v>26</v>
      </c>
      <c r="C77" s="7" t="s">
        <v>27</v>
      </c>
      <c r="D77" s="7" t="s">
        <v>28</v>
      </c>
      <c r="E77" s="7" t="s">
        <v>29</v>
      </c>
      <c r="F77" s="1">
        <f t="shared" si="2"/>
        <v>35827</v>
      </c>
      <c r="G77" s="7" t="s">
        <v>105</v>
      </c>
      <c r="H77" s="7">
        <v>102.5056</v>
      </c>
      <c r="I77" t="str">
        <f t="shared" si="3"/>
        <v>1998-02-01</v>
      </c>
    </row>
    <row r="78" spans="1:9" x14ac:dyDescent="0.35">
      <c r="A78" s="7" t="s">
        <v>359</v>
      </c>
      <c r="B78" s="7" t="s">
        <v>26</v>
      </c>
      <c r="C78" s="7" t="s">
        <v>27</v>
      </c>
      <c r="D78" s="7" t="s">
        <v>28</v>
      </c>
      <c r="E78" s="7" t="s">
        <v>29</v>
      </c>
      <c r="F78" s="1">
        <f t="shared" si="2"/>
        <v>35855</v>
      </c>
      <c r="G78" s="7" t="s">
        <v>106</v>
      </c>
      <c r="H78" s="7">
        <v>102.51309999999999</v>
      </c>
      <c r="I78" t="str">
        <f t="shared" si="3"/>
        <v>1998-03-01</v>
      </c>
    </row>
    <row r="79" spans="1:9" x14ac:dyDescent="0.35">
      <c r="A79" s="7" t="s">
        <v>359</v>
      </c>
      <c r="B79" s="7" t="s">
        <v>26</v>
      </c>
      <c r="C79" s="7" t="s">
        <v>27</v>
      </c>
      <c r="D79" s="7" t="s">
        <v>28</v>
      </c>
      <c r="E79" s="7" t="s">
        <v>29</v>
      </c>
      <c r="F79" s="1">
        <f t="shared" si="2"/>
        <v>35886</v>
      </c>
      <c r="G79" s="7" t="s">
        <v>107</v>
      </c>
      <c r="H79" s="7">
        <v>102.4918</v>
      </c>
      <c r="I79" t="str">
        <f t="shared" si="3"/>
        <v>1998-04-01</v>
      </c>
    </row>
    <row r="80" spans="1:9" x14ac:dyDescent="0.35">
      <c r="A80" s="7" t="s">
        <v>359</v>
      </c>
      <c r="B80" s="7" t="s">
        <v>26</v>
      </c>
      <c r="C80" s="7" t="s">
        <v>27</v>
      </c>
      <c r="D80" s="7" t="s">
        <v>28</v>
      </c>
      <c r="E80" s="7" t="s">
        <v>29</v>
      </c>
      <c r="F80" s="1">
        <f t="shared" si="2"/>
        <v>35916</v>
      </c>
      <c r="G80" s="7" t="s">
        <v>108</v>
      </c>
      <c r="H80" s="7">
        <v>102.3935</v>
      </c>
      <c r="I80" t="str">
        <f t="shared" si="3"/>
        <v>1998-05-01</v>
      </c>
    </row>
    <row r="81" spans="1:9" x14ac:dyDescent="0.35">
      <c r="A81" s="7" t="s">
        <v>359</v>
      </c>
      <c r="B81" s="7" t="s">
        <v>26</v>
      </c>
      <c r="C81" s="7" t="s">
        <v>27</v>
      </c>
      <c r="D81" s="7" t="s">
        <v>28</v>
      </c>
      <c r="E81" s="7" t="s">
        <v>29</v>
      </c>
      <c r="F81" s="1">
        <f t="shared" si="2"/>
        <v>35947</v>
      </c>
      <c r="G81" s="7" t="s">
        <v>109</v>
      </c>
      <c r="H81" s="7">
        <v>102.2754</v>
      </c>
      <c r="I81" t="str">
        <f t="shared" si="3"/>
        <v>1998-06-01</v>
      </c>
    </row>
    <row r="82" spans="1:9" x14ac:dyDescent="0.35">
      <c r="A82" s="7" t="s">
        <v>359</v>
      </c>
      <c r="B82" s="7" t="s">
        <v>26</v>
      </c>
      <c r="C82" s="7" t="s">
        <v>27</v>
      </c>
      <c r="D82" s="7" t="s">
        <v>28</v>
      </c>
      <c r="E82" s="7" t="s">
        <v>29</v>
      </c>
      <c r="F82" s="1">
        <f t="shared" si="2"/>
        <v>35977</v>
      </c>
      <c r="G82" s="7" t="s">
        <v>110</v>
      </c>
      <c r="H82" s="7">
        <v>102.1403</v>
      </c>
      <c r="I82" t="str">
        <f t="shared" si="3"/>
        <v>1998-07-01</v>
      </c>
    </row>
    <row r="83" spans="1:9" x14ac:dyDescent="0.35">
      <c r="A83" s="7" t="s">
        <v>359</v>
      </c>
      <c r="B83" s="7" t="s">
        <v>26</v>
      </c>
      <c r="C83" s="7" t="s">
        <v>27</v>
      </c>
      <c r="D83" s="7" t="s">
        <v>28</v>
      </c>
      <c r="E83" s="7" t="s">
        <v>29</v>
      </c>
      <c r="F83" s="1">
        <f t="shared" si="2"/>
        <v>36008</v>
      </c>
      <c r="G83" s="7" t="s">
        <v>111</v>
      </c>
      <c r="H83" s="7">
        <v>101.9494</v>
      </c>
      <c r="I83" t="str">
        <f t="shared" si="3"/>
        <v>1998-08-01</v>
      </c>
    </row>
    <row r="84" spans="1:9" x14ac:dyDescent="0.35">
      <c r="A84" s="7" t="s">
        <v>359</v>
      </c>
      <c r="B84" s="7" t="s">
        <v>26</v>
      </c>
      <c r="C84" s="7" t="s">
        <v>27</v>
      </c>
      <c r="D84" s="7" t="s">
        <v>28</v>
      </c>
      <c r="E84" s="7" t="s">
        <v>29</v>
      </c>
      <c r="F84" s="1">
        <f t="shared" si="2"/>
        <v>36039</v>
      </c>
      <c r="G84" s="7" t="s">
        <v>112</v>
      </c>
      <c r="H84" s="7">
        <v>101.7107</v>
      </c>
      <c r="I84" t="str">
        <f t="shared" si="3"/>
        <v>1998-09-01</v>
      </c>
    </row>
    <row r="85" spans="1:9" x14ac:dyDescent="0.35">
      <c r="A85" s="7" t="s">
        <v>359</v>
      </c>
      <c r="B85" s="7" t="s">
        <v>26</v>
      </c>
      <c r="C85" s="7" t="s">
        <v>27</v>
      </c>
      <c r="D85" s="7" t="s">
        <v>28</v>
      </c>
      <c r="E85" s="7" t="s">
        <v>29</v>
      </c>
      <c r="F85" s="1">
        <f t="shared" si="2"/>
        <v>36069</v>
      </c>
      <c r="G85" s="7" t="s">
        <v>113</v>
      </c>
      <c r="H85" s="7">
        <v>101.5757</v>
      </c>
      <c r="I85" t="str">
        <f t="shared" si="3"/>
        <v>1998-10-01</v>
      </c>
    </row>
    <row r="86" spans="1:9" x14ac:dyDescent="0.35">
      <c r="A86" s="7" t="s">
        <v>359</v>
      </c>
      <c r="B86" s="7" t="s">
        <v>26</v>
      </c>
      <c r="C86" s="7" t="s">
        <v>27</v>
      </c>
      <c r="D86" s="7" t="s">
        <v>28</v>
      </c>
      <c r="E86" s="7" t="s">
        <v>29</v>
      </c>
      <c r="F86" s="1">
        <f t="shared" si="2"/>
        <v>36100</v>
      </c>
      <c r="G86" s="7" t="s">
        <v>114</v>
      </c>
      <c r="H86" s="7">
        <v>101.66840000000001</v>
      </c>
      <c r="I86" t="str">
        <f t="shared" si="3"/>
        <v>1998-11-01</v>
      </c>
    </row>
    <row r="87" spans="1:9" x14ac:dyDescent="0.35">
      <c r="A87" s="7" t="s">
        <v>359</v>
      </c>
      <c r="B87" s="7" t="s">
        <v>26</v>
      </c>
      <c r="C87" s="7" t="s">
        <v>27</v>
      </c>
      <c r="D87" s="7" t="s">
        <v>28</v>
      </c>
      <c r="E87" s="7" t="s">
        <v>29</v>
      </c>
      <c r="F87" s="1">
        <f t="shared" si="2"/>
        <v>36130</v>
      </c>
      <c r="G87" s="7" t="s">
        <v>115</v>
      </c>
      <c r="H87" s="7">
        <v>101.81019999999999</v>
      </c>
      <c r="I87" t="str">
        <f t="shared" si="3"/>
        <v>1998-12-01</v>
      </c>
    </row>
    <row r="88" spans="1:9" x14ac:dyDescent="0.35">
      <c r="A88" s="7" t="s">
        <v>359</v>
      </c>
      <c r="B88" s="7" t="s">
        <v>26</v>
      </c>
      <c r="C88" s="7" t="s">
        <v>27</v>
      </c>
      <c r="D88" s="7" t="s">
        <v>28</v>
      </c>
      <c r="E88" s="7" t="s">
        <v>29</v>
      </c>
      <c r="F88" s="1">
        <f t="shared" si="2"/>
        <v>36161</v>
      </c>
      <c r="G88" s="7" t="s">
        <v>116</v>
      </c>
      <c r="H88" s="7">
        <v>102.0479</v>
      </c>
      <c r="I88" t="str">
        <f t="shared" si="3"/>
        <v>1999-01-01</v>
      </c>
    </row>
    <row r="89" spans="1:9" x14ac:dyDescent="0.35">
      <c r="A89" s="7" t="s">
        <v>359</v>
      </c>
      <c r="B89" s="7" t="s">
        <v>26</v>
      </c>
      <c r="C89" s="7" t="s">
        <v>27</v>
      </c>
      <c r="D89" s="7" t="s">
        <v>28</v>
      </c>
      <c r="E89" s="7" t="s">
        <v>29</v>
      </c>
      <c r="F89" s="1">
        <f t="shared" si="2"/>
        <v>36192</v>
      </c>
      <c r="G89" s="7" t="s">
        <v>117</v>
      </c>
      <c r="H89" s="7">
        <v>102.25449999999999</v>
      </c>
      <c r="I89" t="str">
        <f t="shared" si="3"/>
        <v>1999-02-01</v>
      </c>
    </row>
    <row r="90" spans="1:9" x14ac:dyDescent="0.35">
      <c r="A90" s="7" t="s">
        <v>359</v>
      </c>
      <c r="B90" s="7" t="s">
        <v>26</v>
      </c>
      <c r="C90" s="7" t="s">
        <v>27</v>
      </c>
      <c r="D90" s="7" t="s">
        <v>28</v>
      </c>
      <c r="E90" s="7" t="s">
        <v>29</v>
      </c>
      <c r="F90" s="1">
        <f t="shared" si="2"/>
        <v>36220</v>
      </c>
      <c r="G90" s="7" t="s">
        <v>118</v>
      </c>
      <c r="H90" s="7">
        <v>102.2895</v>
      </c>
      <c r="I90" t="str">
        <f t="shared" si="3"/>
        <v>1999-03-01</v>
      </c>
    </row>
    <row r="91" spans="1:9" x14ac:dyDescent="0.35">
      <c r="A91" s="7" t="s">
        <v>359</v>
      </c>
      <c r="B91" s="7" t="s">
        <v>26</v>
      </c>
      <c r="C91" s="7" t="s">
        <v>27</v>
      </c>
      <c r="D91" s="7" t="s">
        <v>28</v>
      </c>
      <c r="E91" s="7" t="s">
        <v>29</v>
      </c>
      <c r="F91" s="1">
        <f t="shared" si="2"/>
        <v>36251</v>
      </c>
      <c r="G91" s="7" t="s">
        <v>119</v>
      </c>
      <c r="H91" s="7">
        <v>102.2847</v>
      </c>
      <c r="I91" t="str">
        <f t="shared" si="3"/>
        <v>1999-04-01</v>
      </c>
    </row>
    <row r="92" spans="1:9" x14ac:dyDescent="0.35">
      <c r="A92" s="7" t="s">
        <v>359</v>
      </c>
      <c r="B92" s="7" t="s">
        <v>26</v>
      </c>
      <c r="C92" s="7" t="s">
        <v>27</v>
      </c>
      <c r="D92" s="7" t="s">
        <v>28</v>
      </c>
      <c r="E92" s="7" t="s">
        <v>29</v>
      </c>
      <c r="F92" s="1">
        <f t="shared" si="2"/>
        <v>36281</v>
      </c>
      <c r="G92" s="7" t="s">
        <v>120</v>
      </c>
      <c r="H92" s="7">
        <v>102.328</v>
      </c>
      <c r="I92" t="str">
        <f t="shared" si="3"/>
        <v>1999-05-01</v>
      </c>
    </row>
    <row r="93" spans="1:9" x14ac:dyDescent="0.35">
      <c r="A93" s="7" t="s">
        <v>359</v>
      </c>
      <c r="B93" s="7" t="s">
        <v>26</v>
      </c>
      <c r="C93" s="7" t="s">
        <v>27</v>
      </c>
      <c r="D93" s="7" t="s">
        <v>28</v>
      </c>
      <c r="E93" s="7" t="s">
        <v>29</v>
      </c>
      <c r="F93" s="1">
        <f t="shared" si="2"/>
        <v>36312</v>
      </c>
      <c r="G93" s="7" t="s">
        <v>121</v>
      </c>
      <c r="H93" s="7">
        <v>102.339</v>
      </c>
      <c r="I93" t="str">
        <f t="shared" si="3"/>
        <v>1999-06-01</v>
      </c>
    </row>
    <row r="94" spans="1:9" x14ac:dyDescent="0.35">
      <c r="A94" s="7" t="s">
        <v>359</v>
      </c>
      <c r="B94" s="7" t="s">
        <v>26</v>
      </c>
      <c r="C94" s="7" t="s">
        <v>27</v>
      </c>
      <c r="D94" s="7" t="s">
        <v>28</v>
      </c>
      <c r="E94" s="7" t="s">
        <v>29</v>
      </c>
      <c r="F94" s="1">
        <f t="shared" si="2"/>
        <v>36342</v>
      </c>
      <c r="G94" s="7" t="s">
        <v>122</v>
      </c>
      <c r="H94" s="7">
        <v>102.2839</v>
      </c>
      <c r="I94" t="str">
        <f t="shared" si="3"/>
        <v>1999-07-01</v>
      </c>
    </row>
    <row r="95" spans="1:9" x14ac:dyDescent="0.35">
      <c r="A95" s="7" t="s">
        <v>359</v>
      </c>
      <c r="B95" s="7" t="s">
        <v>26</v>
      </c>
      <c r="C95" s="7" t="s">
        <v>27</v>
      </c>
      <c r="D95" s="7" t="s">
        <v>28</v>
      </c>
      <c r="E95" s="7" t="s">
        <v>29</v>
      </c>
      <c r="F95" s="1">
        <f t="shared" si="2"/>
        <v>36373</v>
      </c>
      <c r="G95" s="7" t="s">
        <v>123</v>
      </c>
      <c r="H95" s="7">
        <v>102.22280000000001</v>
      </c>
      <c r="I95" t="str">
        <f t="shared" si="3"/>
        <v>1999-08-01</v>
      </c>
    </row>
    <row r="96" spans="1:9" x14ac:dyDescent="0.35">
      <c r="A96" s="7" t="s">
        <v>359</v>
      </c>
      <c r="B96" s="7" t="s">
        <v>26</v>
      </c>
      <c r="C96" s="7" t="s">
        <v>27</v>
      </c>
      <c r="D96" s="7" t="s">
        <v>28</v>
      </c>
      <c r="E96" s="7" t="s">
        <v>29</v>
      </c>
      <c r="F96" s="1">
        <f t="shared" si="2"/>
        <v>36404</v>
      </c>
      <c r="G96" s="7" t="s">
        <v>124</v>
      </c>
      <c r="H96" s="7">
        <v>102.21259999999999</v>
      </c>
      <c r="I96" t="str">
        <f t="shared" si="3"/>
        <v>1999-09-01</v>
      </c>
    </row>
    <row r="97" spans="1:9" x14ac:dyDescent="0.35">
      <c r="A97" s="7" t="s">
        <v>359</v>
      </c>
      <c r="B97" s="7" t="s">
        <v>26</v>
      </c>
      <c r="C97" s="7" t="s">
        <v>27</v>
      </c>
      <c r="D97" s="7" t="s">
        <v>28</v>
      </c>
      <c r="E97" s="7" t="s">
        <v>29</v>
      </c>
      <c r="F97" s="1">
        <f t="shared" si="2"/>
        <v>36434</v>
      </c>
      <c r="G97" s="7" t="s">
        <v>125</v>
      </c>
      <c r="H97" s="7">
        <v>102.1922</v>
      </c>
      <c r="I97" t="str">
        <f t="shared" si="3"/>
        <v>1999-10-01</v>
      </c>
    </row>
    <row r="98" spans="1:9" x14ac:dyDescent="0.35">
      <c r="A98" s="7" t="s">
        <v>359</v>
      </c>
      <c r="B98" s="7" t="s">
        <v>26</v>
      </c>
      <c r="C98" s="7" t="s">
        <v>27</v>
      </c>
      <c r="D98" s="7" t="s">
        <v>28</v>
      </c>
      <c r="E98" s="7" t="s">
        <v>29</v>
      </c>
      <c r="F98" s="1">
        <f t="shared" si="2"/>
        <v>36465</v>
      </c>
      <c r="G98" s="7" t="s">
        <v>126</v>
      </c>
      <c r="H98" s="7">
        <v>102.3092</v>
      </c>
      <c r="I98" t="str">
        <f t="shared" si="3"/>
        <v>1999-11-01</v>
      </c>
    </row>
    <row r="99" spans="1:9" x14ac:dyDescent="0.35">
      <c r="A99" s="7" t="s">
        <v>359</v>
      </c>
      <c r="B99" s="7" t="s">
        <v>26</v>
      </c>
      <c r="C99" s="7" t="s">
        <v>27</v>
      </c>
      <c r="D99" s="7" t="s">
        <v>28</v>
      </c>
      <c r="E99" s="7" t="s">
        <v>29</v>
      </c>
      <c r="F99" s="1">
        <f t="shared" si="2"/>
        <v>36495</v>
      </c>
      <c r="G99" s="7" t="s">
        <v>127</v>
      </c>
      <c r="H99" s="7">
        <v>102.47150000000001</v>
      </c>
      <c r="I99" t="str">
        <f t="shared" si="3"/>
        <v>1999-12-01</v>
      </c>
    </row>
    <row r="100" spans="1:9" x14ac:dyDescent="0.35">
      <c r="A100" s="7" t="s">
        <v>359</v>
      </c>
      <c r="B100" s="7" t="s">
        <v>26</v>
      </c>
      <c r="C100" s="7" t="s">
        <v>27</v>
      </c>
      <c r="D100" s="7" t="s">
        <v>28</v>
      </c>
      <c r="E100" s="7" t="s">
        <v>29</v>
      </c>
      <c r="F100" s="1">
        <f t="shared" si="2"/>
        <v>36526</v>
      </c>
      <c r="G100" s="7" t="s">
        <v>128</v>
      </c>
      <c r="H100" s="7">
        <v>102.6992</v>
      </c>
      <c r="I100" t="str">
        <f t="shared" si="3"/>
        <v>2000-01-01</v>
      </c>
    </row>
    <row r="101" spans="1:9" x14ac:dyDescent="0.35">
      <c r="A101" s="7" t="s">
        <v>359</v>
      </c>
      <c r="B101" s="7" t="s">
        <v>26</v>
      </c>
      <c r="C101" s="7" t="s">
        <v>27</v>
      </c>
      <c r="D101" s="7" t="s">
        <v>28</v>
      </c>
      <c r="E101" s="7" t="s">
        <v>29</v>
      </c>
      <c r="F101" s="1">
        <f t="shared" si="2"/>
        <v>36557</v>
      </c>
      <c r="G101" s="7" t="s">
        <v>129</v>
      </c>
      <c r="H101" s="7">
        <v>102.7514</v>
      </c>
      <c r="I101" t="str">
        <f t="shared" si="3"/>
        <v>2000-02-01</v>
      </c>
    </row>
    <row r="102" spans="1:9" x14ac:dyDescent="0.35">
      <c r="A102" s="7" t="s">
        <v>359</v>
      </c>
      <c r="B102" s="7" t="s">
        <v>26</v>
      </c>
      <c r="C102" s="7" t="s">
        <v>27</v>
      </c>
      <c r="D102" s="7" t="s">
        <v>28</v>
      </c>
      <c r="E102" s="7" t="s">
        <v>29</v>
      </c>
      <c r="F102" s="1">
        <f t="shared" si="2"/>
        <v>36586</v>
      </c>
      <c r="G102" s="7" t="s">
        <v>130</v>
      </c>
      <c r="H102" s="7">
        <v>102.6716</v>
      </c>
      <c r="I102" t="str">
        <f t="shared" si="3"/>
        <v>2000-03-01</v>
      </c>
    </row>
    <row r="103" spans="1:9" x14ac:dyDescent="0.35">
      <c r="A103" s="7" t="s">
        <v>359</v>
      </c>
      <c r="B103" s="7" t="s">
        <v>26</v>
      </c>
      <c r="C103" s="7" t="s">
        <v>27</v>
      </c>
      <c r="D103" s="7" t="s">
        <v>28</v>
      </c>
      <c r="E103" s="7" t="s">
        <v>29</v>
      </c>
      <c r="F103" s="1">
        <f t="shared" si="2"/>
        <v>36617</v>
      </c>
      <c r="G103" s="7" t="s">
        <v>131</v>
      </c>
      <c r="H103" s="7">
        <v>102.6533</v>
      </c>
      <c r="I103" t="str">
        <f t="shared" si="3"/>
        <v>2000-04-01</v>
      </c>
    </row>
    <row r="104" spans="1:9" x14ac:dyDescent="0.35">
      <c r="A104" s="7" t="s">
        <v>359</v>
      </c>
      <c r="B104" s="7" t="s">
        <v>26</v>
      </c>
      <c r="C104" s="7" t="s">
        <v>27</v>
      </c>
      <c r="D104" s="7" t="s">
        <v>28</v>
      </c>
      <c r="E104" s="7" t="s">
        <v>29</v>
      </c>
      <c r="F104" s="1">
        <f t="shared" si="2"/>
        <v>36647</v>
      </c>
      <c r="G104" s="7" t="s">
        <v>132</v>
      </c>
      <c r="H104" s="7">
        <v>102.6283</v>
      </c>
      <c r="I104" t="str">
        <f t="shared" si="3"/>
        <v>2000-05-01</v>
      </c>
    </row>
    <row r="105" spans="1:9" x14ac:dyDescent="0.35">
      <c r="A105" s="7" t="s">
        <v>359</v>
      </c>
      <c r="B105" s="7" t="s">
        <v>26</v>
      </c>
      <c r="C105" s="7" t="s">
        <v>27</v>
      </c>
      <c r="D105" s="7" t="s">
        <v>28</v>
      </c>
      <c r="E105" s="7" t="s">
        <v>29</v>
      </c>
      <c r="F105" s="1">
        <f t="shared" si="2"/>
        <v>36678</v>
      </c>
      <c r="G105" s="7" t="s">
        <v>133</v>
      </c>
      <c r="H105" s="7">
        <v>102.5307</v>
      </c>
      <c r="I105" t="str">
        <f t="shared" si="3"/>
        <v>2000-06-01</v>
      </c>
    </row>
    <row r="106" spans="1:9" x14ac:dyDescent="0.35">
      <c r="A106" s="7" t="s">
        <v>359</v>
      </c>
      <c r="B106" s="7" t="s">
        <v>26</v>
      </c>
      <c r="C106" s="7" t="s">
        <v>27</v>
      </c>
      <c r="D106" s="7" t="s">
        <v>28</v>
      </c>
      <c r="E106" s="7" t="s">
        <v>29</v>
      </c>
      <c r="F106" s="1">
        <f t="shared" si="2"/>
        <v>36708</v>
      </c>
      <c r="G106" s="7" t="s">
        <v>134</v>
      </c>
      <c r="H106" s="7">
        <v>102.49760000000001</v>
      </c>
      <c r="I106" t="str">
        <f t="shared" si="3"/>
        <v>2000-07-01</v>
      </c>
    </row>
    <row r="107" spans="1:9" x14ac:dyDescent="0.35">
      <c r="A107" s="7" t="s">
        <v>359</v>
      </c>
      <c r="B107" s="7" t="s">
        <v>26</v>
      </c>
      <c r="C107" s="7" t="s">
        <v>27</v>
      </c>
      <c r="D107" s="7" t="s">
        <v>28</v>
      </c>
      <c r="E107" s="7" t="s">
        <v>29</v>
      </c>
      <c r="F107" s="1">
        <f t="shared" si="2"/>
        <v>36739</v>
      </c>
      <c r="G107" s="7" t="s">
        <v>135</v>
      </c>
      <c r="H107" s="7">
        <v>102.4632</v>
      </c>
      <c r="I107" t="str">
        <f t="shared" si="3"/>
        <v>2000-08-01</v>
      </c>
    </row>
    <row r="108" spans="1:9" x14ac:dyDescent="0.35">
      <c r="A108" s="7" t="s">
        <v>359</v>
      </c>
      <c r="B108" s="7" t="s">
        <v>26</v>
      </c>
      <c r="C108" s="7" t="s">
        <v>27</v>
      </c>
      <c r="D108" s="7" t="s">
        <v>28</v>
      </c>
      <c r="E108" s="7" t="s">
        <v>29</v>
      </c>
      <c r="F108" s="1">
        <f t="shared" si="2"/>
        <v>36770</v>
      </c>
      <c r="G108" s="7" t="s">
        <v>136</v>
      </c>
      <c r="H108" s="7">
        <v>102.414</v>
      </c>
      <c r="I108" t="str">
        <f t="shared" si="3"/>
        <v>2000-09-01</v>
      </c>
    </row>
    <row r="109" spans="1:9" x14ac:dyDescent="0.35">
      <c r="A109" s="7" t="s">
        <v>359</v>
      </c>
      <c r="B109" s="7" t="s">
        <v>26</v>
      </c>
      <c r="C109" s="7" t="s">
        <v>27</v>
      </c>
      <c r="D109" s="7" t="s">
        <v>28</v>
      </c>
      <c r="E109" s="7" t="s">
        <v>29</v>
      </c>
      <c r="F109" s="1">
        <f t="shared" si="2"/>
        <v>36800</v>
      </c>
      <c r="G109" s="7" t="s">
        <v>137</v>
      </c>
      <c r="H109" s="7">
        <v>102.3064</v>
      </c>
      <c r="I109" t="str">
        <f t="shared" si="3"/>
        <v>2000-10-01</v>
      </c>
    </row>
    <row r="110" spans="1:9" x14ac:dyDescent="0.35">
      <c r="A110" s="7" t="s">
        <v>359</v>
      </c>
      <c r="B110" s="7" t="s">
        <v>26</v>
      </c>
      <c r="C110" s="7" t="s">
        <v>27</v>
      </c>
      <c r="D110" s="7" t="s">
        <v>28</v>
      </c>
      <c r="E110" s="7" t="s">
        <v>29</v>
      </c>
      <c r="F110" s="1">
        <f t="shared" si="2"/>
        <v>36831</v>
      </c>
      <c r="G110" s="7" t="s">
        <v>138</v>
      </c>
      <c r="H110" s="7">
        <v>102.05719999999999</v>
      </c>
      <c r="I110" t="str">
        <f t="shared" si="3"/>
        <v>2000-11-01</v>
      </c>
    </row>
    <row r="111" spans="1:9" x14ac:dyDescent="0.35">
      <c r="A111" s="7" t="s">
        <v>359</v>
      </c>
      <c r="B111" s="7" t="s">
        <v>26</v>
      </c>
      <c r="C111" s="7" t="s">
        <v>27</v>
      </c>
      <c r="D111" s="7" t="s">
        <v>28</v>
      </c>
      <c r="E111" s="7" t="s">
        <v>29</v>
      </c>
      <c r="F111" s="1">
        <f t="shared" si="2"/>
        <v>36861</v>
      </c>
      <c r="G111" s="7" t="s">
        <v>139</v>
      </c>
      <c r="H111" s="7">
        <v>101.53400000000001</v>
      </c>
      <c r="I111" t="str">
        <f t="shared" si="3"/>
        <v>2000-12-01</v>
      </c>
    </row>
    <row r="112" spans="1:9" x14ac:dyDescent="0.35">
      <c r="A112" s="7" t="s">
        <v>359</v>
      </c>
      <c r="B112" s="7" t="s">
        <v>26</v>
      </c>
      <c r="C112" s="7" t="s">
        <v>27</v>
      </c>
      <c r="D112" s="7" t="s">
        <v>28</v>
      </c>
      <c r="E112" s="7" t="s">
        <v>29</v>
      </c>
      <c r="F112" s="1">
        <f t="shared" si="2"/>
        <v>36892</v>
      </c>
      <c r="G112" s="7" t="s">
        <v>140</v>
      </c>
      <c r="H112" s="7">
        <v>101.01560000000001</v>
      </c>
      <c r="I112" t="str">
        <f t="shared" si="3"/>
        <v>2001-01-01</v>
      </c>
    </row>
    <row r="113" spans="1:9" x14ac:dyDescent="0.35">
      <c r="A113" s="7" t="s">
        <v>359</v>
      </c>
      <c r="B113" s="7" t="s">
        <v>26</v>
      </c>
      <c r="C113" s="7" t="s">
        <v>27</v>
      </c>
      <c r="D113" s="7" t="s">
        <v>28</v>
      </c>
      <c r="E113" s="7" t="s">
        <v>29</v>
      </c>
      <c r="F113" s="1">
        <f t="shared" si="2"/>
        <v>36923</v>
      </c>
      <c r="G113" s="7" t="s">
        <v>141</v>
      </c>
      <c r="H113" s="7">
        <v>100.6367</v>
      </c>
      <c r="I113" t="str">
        <f t="shared" si="3"/>
        <v>2001-02-01</v>
      </c>
    </row>
    <row r="114" spans="1:9" x14ac:dyDescent="0.35">
      <c r="A114" s="7" t="s">
        <v>359</v>
      </c>
      <c r="B114" s="7" t="s">
        <v>26</v>
      </c>
      <c r="C114" s="7" t="s">
        <v>27</v>
      </c>
      <c r="D114" s="7" t="s">
        <v>28</v>
      </c>
      <c r="E114" s="7" t="s">
        <v>29</v>
      </c>
      <c r="F114" s="1">
        <f t="shared" si="2"/>
        <v>36951</v>
      </c>
      <c r="G114" s="7" t="s">
        <v>142</v>
      </c>
      <c r="H114" s="7">
        <v>100.4731</v>
      </c>
      <c r="I114" t="str">
        <f t="shared" si="3"/>
        <v>2001-03-01</v>
      </c>
    </row>
    <row r="115" spans="1:9" x14ac:dyDescent="0.35">
      <c r="A115" s="7" t="s">
        <v>359</v>
      </c>
      <c r="B115" s="7" t="s">
        <v>26</v>
      </c>
      <c r="C115" s="7" t="s">
        <v>27</v>
      </c>
      <c r="D115" s="7" t="s">
        <v>28</v>
      </c>
      <c r="E115" s="7" t="s">
        <v>29</v>
      </c>
      <c r="F115" s="1">
        <f t="shared" si="2"/>
        <v>36982</v>
      </c>
      <c r="G115" s="7" t="s">
        <v>143</v>
      </c>
      <c r="H115" s="7">
        <v>100.4404</v>
      </c>
      <c r="I115" t="str">
        <f t="shared" si="3"/>
        <v>2001-04-01</v>
      </c>
    </row>
    <row r="116" spans="1:9" x14ac:dyDescent="0.35">
      <c r="A116" s="7" t="s">
        <v>359</v>
      </c>
      <c r="B116" s="7" t="s">
        <v>26</v>
      </c>
      <c r="C116" s="7" t="s">
        <v>27</v>
      </c>
      <c r="D116" s="7" t="s">
        <v>28</v>
      </c>
      <c r="E116" s="7" t="s">
        <v>29</v>
      </c>
      <c r="F116" s="1">
        <f t="shared" si="2"/>
        <v>37012</v>
      </c>
      <c r="G116" s="7" t="s">
        <v>144</v>
      </c>
      <c r="H116" s="7">
        <v>100.5622</v>
      </c>
      <c r="I116" t="str">
        <f t="shared" si="3"/>
        <v>2001-05-01</v>
      </c>
    </row>
    <row r="117" spans="1:9" x14ac:dyDescent="0.35">
      <c r="A117" s="7" t="s">
        <v>359</v>
      </c>
      <c r="B117" s="7" t="s">
        <v>26</v>
      </c>
      <c r="C117" s="7" t="s">
        <v>27</v>
      </c>
      <c r="D117" s="7" t="s">
        <v>28</v>
      </c>
      <c r="E117" s="7" t="s">
        <v>29</v>
      </c>
      <c r="F117" s="1">
        <f t="shared" si="2"/>
        <v>37043</v>
      </c>
      <c r="G117" s="7" t="s">
        <v>145</v>
      </c>
      <c r="H117" s="7">
        <v>100.6405</v>
      </c>
      <c r="I117" t="str">
        <f t="shared" si="3"/>
        <v>2001-06-01</v>
      </c>
    </row>
    <row r="118" spans="1:9" x14ac:dyDescent="0.35">
      <c r="A118" s="7" t="s">
        <v>359</v>
      </c>
      <c r="B118" s="7" t="s">
        <v>26</v>
      </c>
      <c r="C118" s="7" t="s">
        <v>27</v>
      </c>
      <c r="D118" s="7" t="s">
        <v>28</v>
      </c>
      <c r="E118" s="7" t="s">
        <v>29</v>
      </c>
      <c r="F118" s="1">
        <f t="shared" si="2"/>
        <v>37073</v>
      </c>
      <c r="G118" s="7" t="s">
        <v>146</v>
      </c>
      <c r="H118" s="7">
        <v>100.5552</v>
      </c>
      <c r="I118" t="str">
        <f t="shared" si="3"/>
        <v>2001-07-01</v>
      </c>
    </row>
    <row r="119" spans="1:9" x14ac:dyDescent="0.35">
      <c r="A119" s="7" t="s">
        <v>359</v>
      </c>
      <c r="B119" s="7" t="s">
        <v>26</v>
      </c>
      <c r="C119" s="7" t="s">
        <v>27</v>
      </c>
      <c r="D119" s="7" t="s">
        <v>28</v>
      </c>
      <c r="E119" s="7" t="s">
        <v>29</v>
      </c>
      <c r="F119" s="1">
        <f t="shared" si="2"/>
        <v>37104</v>
      </c>
      <c r="G119" s="7" t="s">
        <v>147</v>
      </c>
      <c r="H119" s="7">
        <v>100.2564</v>
      </c>
      <c r="I119" t="str">
        <f t="shared" si="3"/>
        <v>2001-08-01</v>
      </c>
    </row>
    <row r="120" spans="1:9" x14ac:dyDescent="0.35">
      <c r="A120" s="7" t="s">
        <v>359</v>
      </c>
      <c r="B120" s="7" t="s">
        <v>26</v>
      </c>
      <c r="C120" s="7" t="s">
        <v>27</v>
      </c>
      <c r="D120" s="7" t="s">
        <v>28</v>
      </c>
      <c r="E120" s="7" t="s">
        <v>29</v>
      </c>
      <c r="F120" s="1">
        <f t="shared" si="2"/>
        <v>37135</v>
      </c>
      <c r="G120" s="7" t="s">
        <v>148</v>
      </c>
      <c r="H120" s="7">
        <v>99.825800000000001</v>
      </c>
      <c r="I120" t="str">
        <f t="shared" si="3"/>
        <v>2001-09-01</v>
      </c>
    </row>
    <row r="121" spans="1:9" x14ac:dyDescent="0.35">
      <c r="A121" s="7" t="s">
        <v>359</v>
      </c>
      <c r="B121" s="7" t="s">
        <v>26</v>
      </c>
      <c r="C121" s="7" t="s">
        <v>27</v>
      </c>
      <c r="D121" s="7" t="s">
        <v>28</v>
      </c>
      <c r="E121" s="7" t="s">
        <v>29</v>
      </c>
      <c r="F121" s="1">
        <f t="shared" si="2"/>
        <v>37165</v>
      </c>
      <c r="G121" s="7" t="s">
        <v>149</v>
      </c>
      <c r="H121" s="7">
        <v>99.670559999999995</v>
      </c>
      <c r="I121" t="str">
        <f t="shared" si="3"/>
        <v>2001-10-01</v>
      </c>
    </row>
    <row r="122" spans="1:9" x14ac:dyDescent="0.35">
      <c r="A122" s="7" t="s">
        <v>359</v>
      </c>
      <c r="B122" s="7" t="s">
        <v>26</v>
      </c>
      <c r="C122" s="7" t="s">
        <v>27</v>
      </c>
      <c r="D122" s="7" t="s">
        <v>28</v>
      </c>
      <c r="E122" s="7" t="s">
        <v>29</v>
      </c>
      <c r="F122" s="1">
        <f t="shared" si="2"/>
        <v>37196</v>
      </c>
      <c r="G122" s="7" t="s">
        <v>150</v>
      </c>
      <c r="H122" s="7">
        <v>99.816980000000001</v>
      </c>
      <c r="I122" t="str">
        <f t="shared" si="3"/>
        <v>2001-11-01</v>
      </c>
    </row>
    <row r="123" spans="1:9" x14ac:dyDescent="0.35">
      <c r="A123" s="7" t="s">
        <v>359</v>
      </c>
      <c r="B123" s="7" t="s">
        <v>26</v>
      </c>
      <c r="C123" s="7" t="s">
        <v>27</v>
      </c>
      <c r="D123" s="7" t="s">
        <v>28</v>
      </c>
      <c r="E123" s="7" t="s">
        <v>29</v>
      </c>
      <c r="F123" s="1">
        <f t="shared" si="2"/>
        <v>37226</v>
      </c>
      <c r="G123" s="7" t="s">
        <v>151</v>
      </c>
      <c r="H123" s="7">
        <v>100.1713</v>
      </c>
      <c r="I123" t="str">
        <f t="shared" si="3"/>
        <v>2001-12-01</v>
      </c>
    </row>
    <row r="124" spans="1:9" x14ac:dyDescent="0.35">
      <c r="A124" s="7" t="s">
        <v>359</v>
      </c>
      <c r="B124" s="7" t="s">
        <v>26</v>
      </c>
      <c r="C124" s="7" t="s">
        <v>27</v>
      </c>
      <c r="D124" s="7" t="s">
        <v>28</v>
      </c>
      <c r="E124" s="7" t="s">
        <v>29</v>
      </c>
      <c r="F124" s="1">
        <f t="shared" si="2"/>
        <v>37257</v>
      </c>
      <c r="G124" s="7" t="s">
        <v>152</v>
      </c>
      <c r="H124" s="7">
        <v>100.514</v>
      </c>
      <c r="I124" t="str">
        <f t="shared" si="3"/>
        <v>2002-01-01</v>
      </c>
    </row>
    <row r="125" spans="1:9" x14ac:dyDescent="0.35">
      <c r="A125" s="7" t="s">
        <v>359</v>
      </c>
      <c r="B125" s="7" t="s">
        <v>26</v>
      </c>
      <c r="C125" s="7" t="s">
        <v>27</v>
      </c>
      <c r="D125" s="7" t="s">
        <v>28</v>
      </c>
      <c r="E125" s="7" t="s">
        <v>29</v>
      </c>
      <c r="F125" s="1">
        <f t="shared" si="2"/>
        <v>37288</v>
      </c>
      <c r="G125" s="7" t="s">
        <v>153</v>
      </c>
      <c r="H125" s="7">
        <v>100.7193</v>
      </c>
      <c r="I125" t="str">
        <f t="shared" si="3"/>
        <v>2002-02-01</v>
      </c>
    </row>
    <row r="126" spans="1:9" x14ac:dyDescent="0.35">
      <c r="A126" s="7" t="s">
        <v>359</v>
      </c>
      <c r="B126" s="7" t="s">
        <v>26</v>
      </c>
      <c r="C126" s="7" t="s">
        <v>27</v>
      </c>
      <c r="D126" s="7" t="s">
        <v>28</v>
      </c>
      <c r="E126" s="7" t="s">
        <v>29</v>
      </c>
      <c r="F126" s="1">
        <f t="shared" si="2"/>
        <v>37316</v>
      </c>
      <c r="G126" s="7" t="s">
        <v>154</v>
      </c>
      <c r="H126" s="7">
        <v>100.9049</v>
      </c>
      <c r="I126" t="str">
        <f t="shared" si="3"/>
        <v>2002-03-01</v>
      </c>
    </row>
    <row r="127" spans="1:9" x14ac:dyDescent="0.35">
      <c r="A127" s="7" t="s">
        <v>359</v>
      </c>
      <c r="B127" s="7" t="s">
        <v>26</v>
      </c>
      <c r="C127" s="7" t="s">
        <v>27</v>
      </c>
      <c r="D127" s="7" t="s">
        <v>28</v>
      </c>
      <c r="E127" s="7" t="s">
        <v>29</v>
      </c>
      <c r="F127" s="1">
        <f t="shared" si="2"/>
        <v>37347</v>
      </c>
      <c r="G127" s="7" t="s">
        <v>155</v>
      </c>
      <c r="H127" s="7">
        <v>100.9572</v>
      </c>
      <c r="I127" t="str">
        <f t="shared" si="3"/>
        <v>2002-04-01</v>
      </c>
    </row>
    <row r="128" spans="1:9" x14ac:dyDescent="0.35">
      <c r="A128" s="7" t="s">
        <v>359</v>
      </c>
      <c r="B128" s="7" t="s">
        <v>26</v>
      </c>
      <c r="C128" s="7" t="s">
        <v>27</v>
      </c>
      <c r="D128" s="7" t="s">
        <v>28</v>
      </c>
      <c r="E128" s="7" t="s">
        <v>29</v>
      </c>
      <c r="F128" s="1">
        <f t="shared" si="2"/>
        <v>37377</v>
      </c>
      <c r="G128" s="7" t="s">
        <v>156</v>
      </c>
      <c r="H128" s="7">
        <v>100.93129999999999</v>
      </c>
      <c r="I128" t="str">
        <f t="shared" si="3"/>
        <v>2002-05-01</v>
      </c>
    </row>
    <row r="129" spans="1:9" x14ac:dyDescent="0.35">
      <c r="A129" s="7" t="s">
        <v>359</v>
      </c>
      <c r="B129" s="7" t="s">
        <v>26</v>
      </c>
      <c r="C129" s="7" t="s">
        <v>27</v>
      </c>
      <c r="D129" s="7" t="s">
        <v>28</v>
      </c>
      <c r="E129" s="7" t="s">
        <v>29</v>
      </c>
      <c r="F129" s="1">
        <f t="shared" si="2"/>
        <v>37408</v>
      </c>
      <c r="G129" s="7" t="s">
        <v>157</v>
      </c>
      <c r="H129" s="7">
        <v>100.6828</v>
      </c>
      <c r="I129" t="str">
        <f t="shared" si="3"/>
        <v>2002-06-01</v>
      </c>
    </row>
    <row r="130" spans="1:9" x14ac:dyDescent="0.35">
      <c r="A130" s="7" t="s">
        <v>359</v>
      </c>
      <c r="B130" s="7" t="s">
        <v>26</v>
      </c>
      <c r="C130" s="7" t="s">
        <v>27</v>
      </c>
      <c r="D130" s="7" t="s">
        <v>28</v>
      </c>
      <c r="E130" s="7" t="s">
        <v>29</v>
      </c>
      <c r="F130" s="1">
        <f t="shared" ref="F130:F193" si="4">DATEVALUE(I130)</f>
        <v>37438</v>
      </c>
      <c r="G130" s="7" t="s">
        <v>158</v>
      </c>
      <c r="H130" s="7">
        <v>100.3502</v>
      </c>
      <c r="I130" t="str">
        <f t="shared" si="3"/>
        <v>2002-07-01</v>
      </c>
    </row>
    <row r="131" spans="1:9" x14ac:dyDescent="0.35">
      <c r="A131" s="7" t="s">
        <v>359</v>
      </c>
      <c r="B131" s="7" t="s">
        <v>26</v>
      </c>
      <c r="C131" s="7" t="s">
        <v>27</v>
      </c>
      <c r="D131" s="7" t="s">
        <v>28</v>
      </c>
      <c r="E131" s="7" t="s">
        <v>29</v>
      </c>
      <c r="F131" s="1">
        <f t="shared" si="4"/>
        <v>37469</v>
      </c>
      <c r="G131" s="7" t="s">
        <v>159</v>
      </c>
      <c r="H131" s="7">
        <v>100.07599999999999</v>
      </c>
      <c r="I131" t="str">
        <f t="shared" ref="I131:I194" si="5">CONCATENATE(G131,"-01")</f>
        <v>2002-08-01</v>
      </c>
    </row>
    <row r="132" spans="1:9" x14ac:dyDescent="0.35">
      <c r="A132" s="7" t="s">
        <v>359</v>
      </c>
      <c r="B132" s="7" t="s">
        <v>26</v>
      </c>
      <c r="C132" s="7" t="s">
        <v>27</v>
      </c>
      <c r="D132" s="7" t="s">
        <v>28</v>
      </c>
      <c r="E132" s="7" t="s">
        <v>29</v>
      </c>
      <c r="F132" s="1">
        <f t="shared" si="4"/>
        <v>37500</v>
      </c>
      <c r="G132" s="7" t="s">
        <v>160</v>
      </c>
      <c r="H132" s="7">
        <v>99.836129999999997</v>
      </c>
      <c r="I132" t="str">
        <f t="shared" si="5"/>
        <v>2002-09-01</v>
      </c>
    </row>
    <row r="133" spans="1:9" x14ac:dyDescent="0.35">
      <c r="A133" s="7" t="s">
        <v>359</v>
      </c>
      <c r="B133" s="7" t="s">
        <v>26</v>
      </c>
      <c r="C133" s="7" t="s">
        <v>27</v>
      </c>
      <c r="D133" s="7" t="s">
        <v>28</v>
      </c>
      <c r="E133" s="7" t="s">
        <v>29</v>
      </c>
      <c r="F133" s="1">
        <f t="shared" si="4"/>
        <v>37530</v>
      </c>
      <c r="G133" s="7" t="s">
        <v>161</v>
      </c>
      <c r="H133" s="7">
        <v>99.655050000000003</v>
      </c>
      <c r="I133" t="str">
        <f t="shared" si="5"/>
        <v>2002-10-01</v>
      </c>
    </row>
    <row r="134" spans="1:9" x14ac:dyDescent="0.35">
      <c r="A134" s="7" t="s">
        <v>359</v>
      </c>
      <c r="B134" s="7" t="s">
        <v>26</v>
      </c>
      <c r="C134" s="7" t="s">
        <v>27</v>
      </c>
      <c r="D134" s="7" t="s">
        <v>28</v>
      </c>
      <c r="E134" s="7" t="s">
        <v>29</v>
      </c>
      <c r="F134" s="1">
        <f t="shared" si="4"/>
        <v>37561</v>
      </c>
      <c r="G134" s="7" t="s">
        <v>162</v>
      </c>
      <c r="H134" s="7">
        <v>99.669970000000006</v>
      </c>
      <c r="I134" t="str">
        <f t="shared" si="5"/>
        <v>2002-11-01</v>
      </c>
    </row>
    <row r="135" spans="1:9" x14ac:dyDescent="0.35">
      <c r="A135" s="7" t="s">
        <v>359</v>
      </c>
      <c r="B135" s="7" t="s">
        <v>26</v>
      </c>
      <c r="C135" s="7" t="s">
        <v>27</v>
      </c>
      <c r="D135" s="7" t="s">
        <v>28</v>
      </c>
      <c r="E135" s="7" t="s">
        <v>29</v>
      </c>
      <c r="F135" s="1">
        <f t="shared" si="4"/>
        <v>37591</v>
      </c>
      <c r="G135" s="7" t="s">
        <v>163</v>
      </c>
      <c r="H135" s="7">
        <v>99.667460000000005</v>
      </c>
      <c r="I135" t="str">
        <f t="shared" si="5"/>
        <v>2002-12-01</v>
      </c>
    </row>
    <row r="136" spans="1:9" x14ac:dyDescent="0.35">
      <c r="A136" s="7" t="s">
        <v>359</v>
      </c>
      <c r="B136" s="7" t="s">
        <v>26</v>
      </c>
      <c r="C136" s="7" t="s">
        <v>27</v>
      </c>
      <c r="D136" s="7" t="s">
        <v>28</v>
      </c>
      <c r="E136" s="7" t="s">
        <v>29</v>
      </c>
      <c r="F136" s="1">
        <f t="shared" si="4"/>
        <v>37622</v>
      </c>
      <c r="G136" s="7" t="s">
        <v>164</v>
      </c>
      <c r="H136" s="7">
        <v>99.490369999999999</v>
      </c>
      <c r="I136" t="str">
        <f t="shared" si="5"/>
        <v>2003-01-01</v>
      </c>
    </row>
    <row r="137" spans="1:9" x14ac:dyDescent="0.35">
      <c r="A137" s="7" t="s">
        <v>359</v>
      </c>
      <c r="B137" s="7" t="s">
        <v>26</v>
      </c>
      <c r="C137" s="7" t="s">
        <v>27</v>
      </c>
      <c r="D137" s="7" t="s">
        <v>28</v>
      </c>
      <c r="E137" s="7" t="s">
        <v>29</v>
      </c>
      <c r="F137" s="1">
        <f t="shared" si="4"/>
        <v>37653</v>
      </c>
      <c r="G137" s="7" t="s">
        <v>165</v>
      </c>
      <c r="H137" s="7">
        <v>99.333309999999997</v>
      </c>
      <c r="I137" t="str">
        <f t="shared" si="5"/>
        <v>2003-02-01</v>
      </c>
    </row>
    <row r="138" spans="1:9" x14ac:dyDescent="0.35">
      <c r="A138" s="7" t="s">
        <v>359</v>
      </c>
      <c r="B138" s="7" t="s">
        <v>26</v>
      </c>
      <c r="C138" s="7" t="s">
        <v>27</v>
      </c>
      <c r="D138" s="7" t="s">
        <v>28</v>
      </c>
      <c r="E138" s="7" t="s">
        <v>29</v>
      </c>
      <c r="F138" s="1">
        <f t="shared" si="4"/>
        <v>37681</v>
      </c>
      <c r="G138" s="7" t="s">
        <v>166</v>
      </c>
      <c r="H138" s="7">
        <v>99.415819999999997</v>
      </c>
      <c r="I138" t="str">
        <f t="shared" si="5"/>
        <v>2003-03-01</v>
      </c>
    </row>
    <row r="139" spans="1:9" x14ac:dyDescent="0.35">
      <c r="A139" s="7" t="s">
        <v>359</v>
      </c>
      <c r="B139" s="7" t="s">
        <v>26</v>
      </c>
      <c r="C139" s="7" t="s">
        <v>27</v>
      </c>
      <c r="D139" s="7" t="s">
        <v>28</v>
      </c>
      <c r="E139" s="7" t="s">
        <v>29</v>
      </c>
      <c r="F139" s="1">
        <f t="shared" si="4"/>
        <v>37712</v>
      </c>
      <c r="G139" s="7" t="s">
        <v>167</v>
      </c>
      <c r="H139" s="7">
        <v>99.846540000000005</v>
      </c>
      <c r="I139" t="str">
        <f t="shared" si="5"/>
        <v>2003-04-01</v>
      </c>
    </row>
    <row r="140" spans="1:9" x14ac:dyDescent="0.35">
      <c r="A140" s="7" t="s">
        <v>359</v>
      </c>
      <c r="B140" s="7" t="s">
        <v>26</v>
      </c>
      <c r="C140" s="7" t="s">
        <v>27</v>
      </c>
      <c r="D140" s="7" t="s">
        <v>28</v>
      </c>
      <c r="E140" s="7" t="s">
        <v>29</v>
      </c>
      <c r="F140" s="1">
        <f t="shared" si="4"/>
        <v>37742</v>
      </c>
      <c r="G140" s="7" t="s">
        <v>168</v>
      </c>
      <c r="H140" s="7">
        <v>100.27119999999999</v>
      </c>
      <c r="I140" t="str">
        <f t="shared" si="5"/>
        <v>2003-05-01</v>
      </c>
    </row>
    <row r="141" spans="1:9" x14ac:dyDescent="0.35">
      <c r="A141" s="7" t="s">
        <v>359</v>
      </c>
      <c r="B141" s="7" t="s">
        <v>26</v>
      </c>
      <c r="C141" s="7" t="s">
        <v>27</v>
      </c>
      <c r="D141" s="7" t="s">
        <v>28</v>
      </c>
      <c r="E141" s="7" t="s">
        <v>29</v>
      </c>
      <c r="F141" s="1">
        <f t="shared" si="4"/>
        <v>37773</v>
      </c>
      <c r="G141" s="7" t="s">
        <v>169</v>
      </c>
      <c r="H141" s="7">
        <v>100.42610000000001</v>
      </c>
      <c r="I141" t="str">
        <f t="shared" si="5"/>
        <v>2003-06-01</v>
      </c>
    </row>
    <row r="142" spans="1:9" x14ac:dyDescent="0.35">
      <c r="A142" s="7" t="s">
        <v>359</v>
      </c>
      <c r="B142" s="7" t="s">
        <v>26</v>
      </c>
      <c r="C142" s="7" t="s">
        <v>27</v>
      </c>
      <c r="D142" s="7" t="s">
        <v>28</v>
      </c>
      <c r="E142" s="7" t="s">
        <v>29</v>
      </c>
      <c r="F142" s="1">
        <f t="shared" si="4"/>
        <v>37803</v>
      </c>
      <c r="G142" s="7" t="s">
        <v>170</v>
      </c>
      <c r="H142" s="7">
        <v>100.4284</v>
      </c>
      <c r="I142" t="str">
        <f t="shared" si="5"/>
        <v>2003-07-01</v>
      </c>
    </row>
    <row r="143" spans="1:9" x14ac:dyDescent="0.35">
      <c r="A143" s="7" t="s">
        <v>359</v>
      </c>
      <c r="B143" s="7" t="s">
        <v>26</v>
      </c>
      <c r="C143" s="7" t="s">
        <v>27</v>
      </c>
      <c r="D143" s="7" t="s">
        <v>28</v>
      </c>
      <c r="E143" s="7" t="s">
        <v>29</v>
      </c>
      <c r="F143" s="1">
        <f t="shared" si="4"/>
        <v>37834</v>
      </c>
      <c r="G143" s="7" t="s">
        <v>171</v>
      </c>
      <c r="H143" s="7">
        <v>100.33969999999999</v>
      </c>
      <c r="I143" t="str">
        <f t="shared" si="5"/>
        <v>2003-08-01</v>
      </c>
    </row>
    <row r="144" spans="1:9" x14ac:dyDescent="0.35">
      <c r="A144" s="7" t="s">
        <v>359</v>
      </c>
      <c r="B144" s="7" t="s">
        <v>26</v>
      </c>
      <c r="C144" s="7" t="s">
        <v>27</v>
      </c>
      <c r="D144" s="7" t="s">
        <v>28</v>
      </c>
      <c r="E144" s="7" t="s">
        <v>29</v>
      </c>
      <c r="F144" s="1">
        <f t="shared" si="4"/>
        <v>37865</v>
      </c>
      <c r="G144" s="7" t="s">
        <v>172</v>
      </c>
      <c r="H144" s="7">
        <v>100.3045</v>
      </c>
      <c r="I144" t="str">
        <f t="shared" si="5"/>
        <v>2003-09-01</v>
      </c>
    </row>
    <row r="145" spans="1:9" x14ac:dyDescent="0.35">
      <c r="A145" s="7" t="s">
        <v>359</v>
      </c>
      <c r="B145" s="7" t="s">
        <v>26</v>
      </c>
      <c r="C145" s="7" t="s">
        <v>27</v>
      </c>
      <c r="D145" s="7" t="s">
        <v>28</v>
      </c>
      <c r="E145" s="7" t="s">
        <v>29</v>
      </c>
      <c r="F145" s="1">
        <f t="shared" si="4"/>
        <v>37895</v>
      </c>
      <c r="G145" s="7" t="s">
        <v>173</v>
      </c>
      <c r="H145" s="7">
        <v>100.4517</v>
      </c>
      <c r="I145" t="str">
        <f t="shared" si="5"/>
        <v>2003-10-01</v>
      </c>
    </row>
    <row r="146" spans="1:9" x14ac:dyDescent="0.35">
      <c r="A146" s="7" t="s">
        <v>359</v>
      </c>
      <c r="B146" s="7" t="s">
        <v>26</v>
      </c>
      <c r="C146" s="7" t="s">
        <v>27</v>
      </c>
      <c r="D146" s="7" t="s">
        <v>28</v>
      </c>
      <c r="E146" s="7" t="s">
        <v>29</v>
      </c>
      <c r="F146" s="1">
        <f t="shared" si="4"/>
        <v>37926</v>
      </c>
      <c r="G146" s="7" t="s">
        <v>174</v>
      </c>
      <c r="H146" s="7">
        <v>100.74169999999999</v>
      </c>
      <c r="I146" t="str">
        <f t="shared" si="5"/>
        <v>2003-11-01</v>
      </c>
    </row>
    <row r="147" spans="1:9" x14ac:dyDescent="0.35">
      <c r="A147" s="7" t="s">
        <v>359</v>
      </c>
      <c r="B147" s="7" t="s">
        <v>26</v>
      </c>
      <c r="C147" s="7" t="s">
        <v>27</v>
      </c>
      <c r="D147" s="7" t="s">
        <v>28</v>
      </c>
      <c r="E147" s="7" t="s">
        <v>29</v>
      </c>
      <c r="F147" s="1">
        <f t="shared" si="4"/>
        <v>37956</v>
      </c>
      <c r="G147" s="7" t="s">
        <v>175</v>
      </c>
      <c r="H147" s="7">
        <v>101.0427</v>
      </c>
      <c r="I147" t="str">
        <f t="shared" si="5"/>
        <v>2003-12-01</v>
      </c>
    </row>
    <row r="148" spans="1:9" x14ac:dyDescent="0.35">
      <c r="A148" s="7" t="s">
        <v>359</v>
      </c>
      <c r="B148" s="7" t="s">
        <v>26</v>
      </c>
      <c r="C148" s="7" t="s">
        <v>27</v>
      </c>
      <c r="D148" s="7" t="s">
        <v>28</v>
      </c>
      <c r="E148" s="7" t="s">
        <v>29</v>
      </c>
      <c r="F148" s="1">
        <f t="shared" si="4"/>
        <v>37987</v>
      </c>
      <c r="G148" s="7" t="s">
        <v>176</v>
      </c>
      <c r="H148" s="7">
        <v>101.32</v>
      </c>
      <c r="I148" t="str">
        <f t="shared" si="5"/>
        <v>2004-01-01</v>
      </c>
    </row>
    <row r="149" spans="1:9" x14ac:dyDescent="0.35">
      <c r="A149" s="7" t="s">
        <v>359</v>
      </c>
      <c r="B149" s="7" t="s">
        <v>26</v>
      </c>
      <c r="C149" s="7" t="s">
        <v>27</v>
      </c>
      <c r="D149" s="7" t="s">
        <v>28</v>
      </c>
      <c r="E149" s="7" t="s">
        <v>29</v>
      </c>
      <c r="F149" s="1">
        <f t="shared" si="4"/>
        <v>38018</v>
      </c>
      <c r="G149" s="7" t="s">
        <v>177</v>
      </c>
      <c r="H149" s="7">
        <v>101.2072</v>
      </c>
      <c r="I149" t="str">
        <f t="shared" si="5"/>
        <v>2004-02-01</v>
      </c>
    </row>
    <row r="150" spans="1:9" x14ac:dyDescent="0.35">
      <c r="A150" s="7" t="s">
        <v>359</v>
      </c>
      <c r="B150" s="7" t="s">
        <v>26</v>
      </c>
      <c r="C150" s="7" t="s">
        <v>27</v>
      </c>
      <c r="D150" s="7" t="s">
        <v>28</v>
      </c>
      <c r="E150" s="7" t="s">
        <v>29</v>
      </c>
      <c r="F150" s="1">
        <f t="shared" si="4"/>
        <v>38047</v>
      </c>
      <c r="G150" s="7" t="s">
        <v>178</v>
      </c>
      <c r="H150" s="7">
        <v>101.0406</v>
      </c>
      <c r="I150" t="str">
        <f t="shared" si="5"/>
        <v>2004-03-01</v>
      </c>
    </row>
    <row r="151" spans="1:9" x14ac:dyDescent="0.35">
      <c r="A151" s="7" t="s">
        <v>359</v>
      </c>
      <c r="B151" s="7" t="s">
        <v>26</v>
      </c>
      <c r="C151" s="7" t="s">
        <v>27</v>
      </c>
      <c r="D151" s="7" t="s">
        <v>28</v>
      </c>
      <c r="E151" s="7" t="s">
        <v>29</v>
      </c>
      <c r="F151" s="1">
        <f t="shared" si="4"/>
        <v>38078</v>
      </c>
      <c r="G151" s="7" t="s">
        <v>179</v>
      </c>
      <c r="H151" s="7">
        <v>100.8707</v>
      </c>
      <c r="I151" t="str">
        <f t="shared" si="5"/>
        <v>2004-04-01</v>
      </c>
    </row>
    <row r="152" spans="1:9" x14ac:dyDescent="0.35">
      <c r="A152" s="7" t="s">
        <v>359</v>
      </c>
      <c r="B152" s="7" t="s">
        <v>26</v>
      </c>
      <c r="C152" s="7" t="s">
        <v>27</v>
      </c>
      <c r="D152" s="7" t="s">
        <v>28</v>
      </c>
      <c r="E152" s="7" t="s">
        <v>29</v>
      </c>
      <c r="F152" s="1">
        <f t="shared" si="4"/>
        <v>38108</v>
      </c>
      <c r="G152" s="7" t="s">
        <v>180</v>
      </c>
      <c r="H152" s="7">
        <v>100.7929</v>
      </c>
      <c r="I152" t="str">
        <f t="shared" si="5"/>
        <v>2004-05-01</v>
      </c>
    </row>
    <row r="153" spans="1:9" x14ac:dyDescent="0.35">
      <c r="A153" s="7" t="s">
        <v>359</v>
      </c>
      <c r="B153" s="7" t="s">
        <v>26</v>
      </c>
      <c r="C153" s="7" t="s">
        <v>27</v>
      </c>
      <c r="D153" s="7" t="s">
        <v>28</v>
      </c>
      <c r="E153" s="7" t="s">
        <v>29</v>
      </c>
      <c r="F153" s="1">
        <f t="shared" si="4"/>
        <v>38139</v>
      </c>
      <c r="G153" s="7" t="s">
        <v>181</v>
      </c>
      <c r="H153" s="7">
        <v>100.9299</v>
      </c>
      <c r="I153" t="str">
        <f t="shared" si="5"/>
        <v>2004-06-01</v>
      </c>
    </row>
    <row r="154" spans="1:9" x14ac:dyDescent="0.35">
      <c r="A154" s="7" t="s">
        <v>359</v>
      </c>
      <c r="B154" s="7" t="s">
        <v>26</v>
      </c>
      <c r="C154" s="7" t="s">
        <v>27</v>
      </c>
      <c r="D154" s="7" t="s">
        <v>28</v>
      </c>
      <c r="E154" s="7" t="s">
        <v>29</v>
      </c>
      <c r="F154" s="1">
        <f t="shared" si="4"/>
        <v>38169</v>
      </c>
      <c r="G154" s="7" t="s">
        <v>182</v>
      </c>
      <c r="H154" s="7">
        <v>101.04049999999999</v>
      </c>
      <c r="I154" t="str">
        <f t="shared" si="5"/>
        <v>2004-07-01</v>
      </c>
    </row>
    <row r="155" spans="1:9" x14ac:dyDescent="0.35">
      <c r="A155" s="7" t="s">
        <v>359</v>
      </c>
      <c r="B155" s="7" t="s">
        <v>26</v>
      </c>
      <c r="C155" s="7" t="s">
        <v>27</v>
      </c>
      <c r="D155" s="7" t="s">
        <v>28</v>
      </c>
      <c r="E155" s="7" t="s">
        <v>29</v>
      </c>
      <c r="F155" s="1">
        <f t="shared" si="4"/>
        <v>38200</v>
      </c>
      <c r="G155" s="7" t="s">
        <v>183</v>
      </c>
      <c r="H155" s="7">
        <v>101.0159</v>
      </c>
      <c r="I155" t="str">
        <f t="shared" si="5"/>
        <v>2004-08-01</v>
      </c>
    </row>
    <row r="156" spans="1:9" x14ac:dyDescent="0.35">
      <c r="A156" s="7" t="s">
        <v>359</v>
      </c>
      <c r="B156" s="7" t="s">
        <v>26</v>
      </c>
      <c r="C156" s="7" t="s">
        <v>27</v>
      </c>
      <c r="D156" s="7" t="s">
        <v>28</v>
      </c>
      <c r="E156" s="7" t="s">
        <v>29</v>
      </c>
      <c r="F156" s="1">
        <f t="shared" si="4"/>
        <v>38231</v>
      </c>
      <c r="G156" s="7" t="s">
        <v>184</v>
      </c>
      <c r="H156" s="7">
        <v>100.89790000000001</v>
      </c>
      <c r="I156" t="str">
        <f t="shared" si="5"/>
        <v>2004-09-01</v>
      </c>
    </row>
    <row r="157" spans="1:9" x14ac:dyDescent="0.35">
      <c r="A157" s="7" t="s">
        <v>359</v>
      </c>
      <c r="B157" s="7" t="s">
        <v>26</v>
      </c>
      <c r="C157" s="7" t="s">
        <v>27</v>
      </c>
      <c r="D157" s="7" t="s">
        <v>28</v>
      </c>
      <c r="E157" s="7" t="s">
        <v>29</v>
      </c>
      <c r="F157" s="1">
        <f t="shared" si="4"/>
        <v>38261</v>
      </c>
      <c r="G157" s="7" t="s">
        <v>185</v>
      </c>
      <c r="H157" s="7">
        <v>100.80929999999999</v>
      </c>
      <c r="I157" t="str">
        <f t="shared" si="5"/>
        <v>2004-10-01</v>
      </c>
    </row>
    <row r="158" spans="1:9" x14ac:dyDescent="0.35">
      <c r="A158" s="7" t="s">
        <v>359</v>
      </c>
      <c r="B158" s="7" t="s">
        <v>26</v>
      </c>
      <c r="C158" s="7" t="s">
        <v>27</v>
      </c>
      <c r="D158" s="7" t="s">
        <v>28</v>
      </c>
      <c r="E158" s="7" t="s">
        <v>29</v>
      </c>
      <c r="F158" s="1">
        <f t="shared" si="4"/>
        <v>38292</v>
      </c>
      <c r="G158" s="7" t="s">
        <v>186</v>
      </c>
      <c r="H158" s="7">
        <v>100.87309999999999</v>
      </c>
      <c r="I158" t="str">
        <f t="shared" si="5"/>
        <v>2004-11-01</v>
      </c>
    </row>
    <row r="159" spans="1:9" x14ac:dyDescent="0.35">
      <c r="A159" s="7" t="s">
        <v>359</v>
      </c>
      <c r="B159" s="7" t="s">
        <v>26</v>
      </c>
      <c r="C159" s="7" t="s">
        <v>27</v>
      </c>
      <c r="D159" s="7" t="s">
        <v>28</v>
      </c>
      <c r="E159" s="7" t="s">
        <v>29</v>
      </c>
      <c r="F159" s="1">
        <f t="shared" si="4"/>
        <v>38322</v>
      </c>
      <c r="G159" s="7" t="s">
        <v>187</v>
      </c>
      <c r="H159" s="7">
        <v>101.00790000000001</v>
      </c>
      <c r="I159" t="str">
        <f t="shared" si="5"/>
        <v>2004-12-01</v>
      </c>
    </row>
    <row r="160" spans="1:9" x14ac:dyDescent="0.35">
      <c r="A160" s="7" t="s">
        <v>359</v>
      </c>
      <c r="B160" s="7" t="s">
        <v>26</v>
      </c>
      <c r="C160" s="7" t="s">
        <v>27</v>
      </c>
      <c r="D160" s="7" t="s">
        <v>28</v>
      </c>
      <c r="E160" s="7" t="s">
        <v>29</v>
      </c>
      <c r="F160" s="1">
        <f t="shared" si="4"/>
        <v>38353</v>
      </c>
      <c r="G160" s="7" t="s">
        <v>188</v>
      </c>
      <c r="H160" s="7">
        <v>100.9933</v>
      </c>
      <c r="I160" t="str">
        <f t="shared" si="5"/>
        <v>2005-01-01</v>
      </c>
    </row>
    <row r="161" spans="1:9" x14ac:dyDescent="0.35">
      <c r="A161" s="7" t="s">
        <v>359</v>
      </c>
      <c r="B161" s="7" t="s">
        <v>26</v>
      </c>
      <c r="C161" s="7" t="s">
        <v>27</v>
      </c>
      <c r="D161" s="7" t="s">
        <v>28</v>
      </c>
      <c r="E161" s="7" t="s">
        <v>29</v>
      </c>
      <c r="F161" s="1">
        <f t="shared" si="4"/>
        <v>38384</v>
      </c>
      <c r="G161" s="7" t="s">
        <v>189</v>
      </c>
      <c r="H161" s="7">
        <v>100.8387</v>
      </c>
      <c r="I161" t="str">
        <f t="shared" si="5"/>
        <v>2005-02-01</v>
      </c>
    </row>
    <row r="162" spans="1:9" x14ac:dyDescent="0.35">
      <c r="A162" s="7" t="s">
        <v>359</v>
      </c>
      <c r="B162" s="7" t="s">
        <v>26</v>
      </c>
      <c r="C162" s="7" t="s">
        <v>27</v>
      </c>
      <c r="D162" s="7" t="s">
        <v>28</v>
      </c>
      <c r="E162" s="7" t="s">
        <v>29</v>
      </c>
      <c r="F162" s="1">
        <f t="shared" si="4"/>
        <v>38412</v>
      </c>
      <c r="G162" s="7" t="s">
        <v>190</v>
      </c>
      <c r="H162" s="7">
        <v>100.6109</v>
      </c>
      <c r="I162" t="str">
        <f t="shared" si="5"/>
        <v>2005-03-01</v>
      </c>
    </row>
    <row r="163" spans="1:9" x14ac:dyDescent="0.35">
      <c r="A163" s="7" t="s">
        <v>359</v>
      </c>
      <c r="B163" s="7" t="s">
        <v>26</v>
      </c>
      <c r="C163" s="7" t="s">
        <v>27</v>
      </c>
      <c r="D163" s="7" t="s">
        <v>28</v>
      </c>
      <c r="E163" s="7" t="s">
        <v>29</v>
      </c>
      <c r="F163" s="1">
        <f t="shared" si="4"/>
        <v>38443</v>
      </c>
      <c r="G163" s="7" t="s">
        <v>191</v>
      </c>
      <c r="H163" s="7">
        <v>100.4238</v>
      </c>
      <c r="I163" t="str">
        <f t="shared" si="5"/>
        <v>2005-04-01</v>
      </c>
    </row>
    <row r="164" spans="1:9" x14ac:dyDescent="0.35">
      <c r="A164" s="7" t="s">
        <v>359</v>
      </c>
      <c r="B164" s="7" t="s">
        <v>26</v>
      </c>
      <c r="C164" s="7" t="s">
        <v>27</v>
      </c>
      <c r="D164" s="7" t="s">
        <v>28</v>
      </c>
      <c r="E164" s="7" t="s">
        <v>29</v>
      </c>
      <c r="F164" s="1">
        <f t="shared" si="4"/>
        <v>38473</v>
      </c>
      <c r="G164" s="7" t="s">
        <v>192</v>
      </c>
      <c r="H164" s="7">
        <v>100.49120000000001</v>
      </c>
      <c r="I164" t="str">
        <f t="shared" si="5"/>
        <v>2005-05-01</v>
      </c>
    </row>
    <row r="165" spans="1:9" x14ac:dyDescent="0.35">
      <c r="A165" s="7" t="s">
        <v>359</v>
      </c>
      <c r="B165" s="7" t="s">
        <v>26</v>
      </c>
      <c r="C165" s="7" t="s">
        <v>27</v>
      </c>
      <c r="D165" s="7" t="s">
        <v>28</v>
      </c>
      <c r="E165" s="7" t="s">
        <v>29</v>
      </c>
      <c r="F165" s="1">
        <f t="shared" si="4"/>
        <v>38504</v>
      </c>
      <c r="G165" s="7" t="s">
        <v>193</v>
      </c>
      <c r="H165" s="7">
        <v>100.7396</v>
      </c>
      <c r="I165" t="str">
        <f t="shared" si="5"/>
        <v>2005-06-01</v>
      </c>
    </row>
    <row r="166" spans="1:9" x14ac:dyDescent="0.35">
      <c r="A166" s="7" t="s">
        <v>359</v>
      </c>
      <c r="B166" s="7" t="s">
        <v>26</v>
      </c>
      <c r="C166" s="7" t="s">
        <v>27</v>
      </c>
      <c r="D166" s="7" t="s">
        <v>28</v>
      </c>
      <c r="E166" s="7" t="s">
        <v>29</v>
      </c>
      <c r="F166" s="1">
        <f t="shared" si="4"/>
        <v>38534</v>
      </c>
      <c r="G166" s="7" t="s">
        <v>194</v>
      </c>
      <c r="H166" s="7">
        <v>100.6468</v>
      </c>
      <c r="I166" t="str">
        <f t="shared" si="5"/>
        <v>2005-07-01</v>
      </c>
    </row>
    <row r="167" spans="1:9" x14ac:dyDescent="0.35">
      <c r="A167" s="7" t="s">
        <v>359</v>
      </c>
      <c r="B167" s="7" t="s">
        <v>26</v>
      </c>
      <c r="C167" s="7" t="s">
        <v>27</v>
      </c>
      <c r="D167" s="7" t="s">
        <v>28</v>
      </c>
      <c r="E167" s="7" t="s">
        <v>29</v>
      </c>
      <c r="F167" s="1">
        <f t="shared" si="4"/>
        <v>38565</v>
      </c>
      <c r="G167" s="7" t="s">
        <v>195</v>
      </c>
      <c r="H167" s="7">
        <v>100.0596</v>
      </c>
      <c r="I167" t="str">
        <f t="shared" si="5"/>
        <v>2005-08-01</v>
      </c>
    </row>
    <row r="168" spans="1:9" x14ac:dyDescent="0.35">
      <c r="A168" s="7" t="s">
        <v>359</v>
      </c>
      <c r="B168" s="7" t="s">
        <v>26</v>
      </c>
      <c r="C168" s="7" t="s">
        <v>27</v>
      </c>
      <c r="D168" s="7" t="s">
        <v>28</v>
      </c>
      <c r="E168" s="7" t="s">
        <v>29</v>
      </c>
      <c r="F168" s="1">
        <f t="shared" si="4"/>
        <v>38596</v>
      </c>
      <c r="G168" s="7" t="s">
        <v>196</v>
      </c>
      <c r="H168" s="7">
        <v>99.346019999999996</v>
      </c>
      <c r="I168" t="str">
        <f t="shared" si="5"/>
        <v>2005-09-01</v>
      </c>
    </row>
    <row r="169" spans="1:9" x14ac:dyDescent="0.35">
      <c r="A169" s="7" t="s">
        <v>359</v>
      </c>
      <c r="B169" s="7" t="s">
        <v>26</v>
      </c>
      <c r="C169" s="7" t="s">
        <v>27</v>
      </c>
      <c r="D169" s="7" t="s">
        <v>28</v>
      </c>
      <c r="E169" s="7" t="s">
        <v>29</v>
      </c>
      <c r="F169" s="1">
        <f t="shared" si="4"/>
        <v>38626</v>
      </c>
      <c r="G169" s="7" t="s">
        <v>197</v>
      </c>
      <c r="H169" s="7">
        <v>99.114410000000007</v>
      </c>
      <c r="I169" t="str">
        <f t="shared" si="5"/>
        <v>2005-10-01</v>
      </c>
    </row>
    <row r="170" spans="1:9" x14ac:dyDescent="0.35">
      <c r="A170" s="7" t="s">
        <v>359</v>
      </c>
      <c r="B170" s="7" t="s">
        <v>26</v>
      </c>
      <c r="C170" s="7" t="s">
        <v>27</v>
      </c>
      <c r="D170" s="7" t="s">
        <v>28</v>
      </c>
      <c r="E170" s="7" t="s">
        <v>29</v>
      </c>
      <c r="F170" s="1">
        <f t="shared" si="4"/>
        <v>38657</v>
      </c>
      <c r="G170" s="7" t="s">
        <v>198</v>
      </c>
      <c r="H170" s="7">
        <v>99.498230000000007</v>
      </c>
      <c r="I170" t="str">
        <f t="shared" si="5"/>
        <v>2005-11-01</v>
      </c>
    </row>
    <row r="171" spans="1:9" x14ac:dyDescent="0.35">
      <c r="A171" s="7" t="s">
        <v>359</v>
      </c>
      <c r="B171" s="7" t="s">
        <v>26</v>
      </c>
      <c r="C171" s="7" t="s">
        <v>27</v>
      </c>
      <c r="D171" s="7" t="s">
        <v>28</v>
      </c>
      <c r="E171" s="7" t="s">
        <v>29</v>
      </c>
      <c r="F171" s="1">
        <f t="shared" si="4"/>
        <v>38687</v>
      </c>
      <c r="G171" s="7" t="s">
        <v>199</v>
      </c>
      <c r="H171" s="7">
        <v>100.07089999999999</v>
      </c>
      <c r="I171" t="str">
        <f t="shared" si="5"/>
        <v>2005-12-01</v>
      </c>
    </row>
    <row r="172" spans="1:9" x14ac:dyDescent="0.35">
      <c r="A172" s="7" t="s">
        <v>359</v>
      </c>
      <c r="B172" s="7" t="s">
        <v>26</v>
      </c>
      <c r="C172" s="7" t="s">
        <v>27</v>
      </c>
      <c r="D172" s="7" t="s">
        <v>28</v>
      </c>
      <c r="E172" s="7" t="s">
        <v>29</v>
      </c>
      <c r="F172" s="1">
        <f t="shared" si="4"/>
        <v>38718</v>
      </c>
      <c r="G172" s="7" t="s">
        <v>200</v>
      </c>
      <c r="H172" s="7">
        <v>100.32940000000001</v>
      </c>
      <c r="I172" t="str">
        <f t="shared" si="5"/>
        <v>2006-01-01</v>
      </c>
    </row>
    <row r="173" spans="1:9" x14ac:dyDescent="0.35">
      <c r="A173" s="7" t="s">
        <v>359</v>
      </c>
      <c r="B173" s="7" t="s">
        <v>26</v>
      </c>
      <c r="C173" s="7" t="s">
        <v>27</v>
      </c>
      <c r="D173" s="7" t="s">
        <v>28</v>
      </c>
      <c r="E173" s="7" t="s">
        <v>29</v>
      </c>
      <c r="F173" s="1">
        <f t="shared" si="4"/>
        <v>38749</v>
      </c>
      <c r="G173" s="7" t="s">
        <v>201</v>
      </c>
      <c r="H173" s="7">
        <v>100.28100000000001</v>
      </c>
      <c r="I173" t="str">
        <f t="shared" si="5"/>
        <v>2006-02-01</v>
      </c>
    </row>
    <row r="174" spans="1:9" x14ac:dyDescent="0.35">
      <c r="A174" s="7" t="s">
        <v>359</v>
      </c>
      <c r="B174" s="7" t="s">
        <v>26</v>
      </c>
      <c r="C174" s="7" t="s">
        <v>27</v>
      </c>
      <c r="D174" s="7" t="s">
        <v>28</v>
      </c>
      <c r="E174" s="7" t="s">
        <v>29</v>
      </c>
      <c r="F174" s="1">
        <f t="shared" si="4"/>
        <v>38777</v>
      </c>
      <c r="G174" s="7" t="s">
        <v>202</v>
      </c>
      <c r="H174" s="7">
        <v>100.1506</v>
      </c>
      <c r="I174" t="str">
        <f t="shared" si="5"/>
        <v>2006-03-01</v>
      </c>
    </row>
    <row r="175" spans="1:9" x14ac:dyDescent="0.35">
      <c r="A175" s="7" t="s">
        <v>359</v>
      </c>
      <c r="B175" s="7" t="s">
        <v>26</v>
      </c>
      <c r="C175" s="7" t="s">
        <v>27</v>
      </c>
      <c r="D175" s="7" t="s">
        <v>28</v>
      </c>
      <c r="E175" s="7" t="s">
        <v>29</v>
      </c>
      <c r="F175" s="1">
        <f t="shared" si="4"/>
        <v>38808</v>
      </c>
      <c r="G175" s="7" t="s">
        <v>203</v>
      </c>
      <c r="H175" s="7">
        <v>99.900869999999998</v>
      </c>
      <c r="I175" t="str">
        <f t="shared" si="5"/>
        <v>2006-04-01</v>
      </c>
    </row>
    <row r="176" spans="1:9" x14ac:dyDescent="0.35">
      <c r="A176" s="7" t="s">
        <v>359</v>
      </c>
      <c r="B176" s="7" t="s">
        <v>26</v>
      </c>
      <c r="C176" s="7" t="s">
        <v>27</v>
      </c>
      <c r="D176" s="7" t="s">
        <v>28</v>
      </c>
      <c r="E176" s="7" t="s">
        <v>29</v>
      </c>
      <c r="F176" s="1">
        <f t="shared" si="4"/>
        <v>38838</v>
      </c>
      <c r="G176" s="7" t="s">
        <v>204</v>
      </c>
      <c r="H176" s="7">
        <v>99.620940000000004</v>
      </c>
      <c r="I176" t="str">
        <f t="shared" si="5"/>
        <v>2006-05-01</v>
      </c>
    </row>
    <row r="177" spans="1:9" x14ac:dyDescent="0.35">
      <c r="A177" s="7" t="s">
        <v>359</v>
      </c>
      <c r="B177" s="7" t="s">
        <v>26</v>
      </c>
      <c r="C177" s="7" t="s">
        <v>27</v>
      </c>
      <c r="D177" s="7" t="s">
        <v>28</v>
      </c>
      <c r="E177" s="7" t="s">
        <v>29</v>
      </c>
      <c r="F177" s="1">
        <f t="shared" si="4"/>
        <v>38869</v>
      </c>
      <c r="G177" s="7" t="s">
        <v>205</v>
      </c>
      <c r="H177" s="7">
        <v>99.60033</v>
      </c>
      <c r="I177" t="str">
        <f t="shared" si="5"/>
        <v>2006-06-01</v>
      </c>
    </row>
    <row r="178" spans="1:9" x14ac:dyDescent="0.35">
      <c r="A178" s="7" t="s">
        <v>359</v>
      </c>
      <c r="B178" s="7" t="s">
        <v>26</v>
      </c>
      <c r="C178" s="7" t="s">
        <v>27</v>
      </c>
      <c r="D178" s="7" t="s">
        <v>28</v>
      </c>
      <c r="E178" s="7" t="s">
        <v>29</v>
      </c>
      <c r="F178" s="1">
        <f t="shared" si="4"/>
        <v>38899</v>
      </c>
      <c r="G178" s="7" t="s">
        <v>206</v>
      </c>
      <c r="H178" s="7">
        <v>99.636219999999994</v>
      </c>
      <c r="I178" t="str">
        <f t="shared" si="5"/>
        <v>2006-07-01</v>
      </c>
    </row>
    <row r="179" spans="1:9" x14ac:dyDescent="0.35">
      <c r="A179" s="7" t="s">
        <v>359</v>
      </c>
      <c r="B179" s="7" t="s">
        <v>26</v>
      </c>
      <c r="C179" s="7" t="s">
        <v>27</v>
      </c>
      <c r="D179" s="7" t="s">
        <v>28</v>
      </c>
      <c r="E179" s="7" t="s">
        <v>29</v>
      </c>
      <c r="F179" s="1">
        <f t="shared" si="4"/>
        <v>38930</v>
      </c>
      <c r="G179" s="7" t="s">
        <v>207</v>
      </c>
      <c r="H179" s="7">
        <v>99.733760000000004</v>
      </c>
      <c r="I179" t="str">
        <f t="shared" si="5"/>
        <v>2006-08-01</v>
      </c>
    </row>
    <row r="180" spans="1:9" x14ac:dyDescent="0.35">
      <c r="A180" s="7" t="s">
        <v>359</v>
      </c>
      <c r="B180" s="7" t="s">
        <v>26</v>
      </c>
      <c r="C180" s="7" t="s">
        <v>27</v>
      </c>
      <c r="D180" s="7" t="s">
        <v>28</v>
      </c>
      <c r="E180" s="7" t="s">
        <v>29</v>
      </c>
      <c r="F180" s="1">
        <f t="shared" si="4"/>
        <v>38961</v>
      </c>
      <c r="G180" s="7" t="s">
        <v>208</v>
      </c>
      <c r="H180" s="7">
        <v>100.0467</v>
      </c>
      <c r="I180" t="str">
        <f t="shared" si="5"/>
        <v>2006-09-01</v>
      </c>
    </row>
    <row r="181" spans="1:9" x14ac:dyDescent="0.35">
      <c r="A181" s="7" t="s">
        <v>359</v>
      </c>
      <c r="B181" s="7" t="s">
        <v>26</v>
      </c>
      <c r="C181" s="7" t="s">
        <v>27</v>
      </c>
      <c r="D181" s="7" t="s">
        <v>28</v>
      </c>
      <c r="E181" s="7" t="s">
        <v>29</v>
      </c>
      <c r="F181" s="1">
        <f t="shared" si="4"/>
        <v>38991</v>
      </c>
      <c r="G181" s="7" t="s">
        <v>209</v>
      </c>
      <c r="H181" s="7">
        <v>100.4635</v>
      </c>
      <c r="I181" t="str">
        <f t="shared" si="5"/>
        <v>2006-10-01</v>
      </c>
    </row>
    <row r="182" spans="1:9" x14ac:dyDescent="0.35">
      <c r="A182" s="7" t="s">
        <v>359</v>
      </c>
      <c r="B182" s="7" t="s">
        <v>26</v>
      </c>
      <c r="C182" s="7" t="s">
        <v>27</v>
      </c>
      <c r="D182" s="7" t="s">
        <v>28</v>
      </c>
      <c r="E182" s="7" t="s">
        <v>29</v>
      </c>
      <c r="F182" s="1">
        <f t="shared" si="4"/>
        <v>39022</v>
      </c>
      <c r="G182" s="7" t="s">
        <v>210</v>
      </c>
      <c r="H182" s="7">
        <v>100.69280000000001</v>
      </c>
      <c r="I182" t="str">
        <f t="shared" si="5"/>
        <v>2006-11-01</v>
      </c>
    </row>
    <row r="183" spans="1:9" x14ac:dyDescent="0.35">
      <c r="A183" s="7" t="s">
        <v>359</v>
      </c>
      <c r="B183" s="7" t="s">
        <v>26</v>
      </c>
      <c r="C183" s="7" t="s">
        <v>27</v>
      </c>
      <c r="D183" s="7" t="s">
        <v>28</v>
      </c>
      <c r="E183" s="7" t="s">
        <v>29</v>
      </c>
      <c r="F183" s="1">
        <f t="shared" si="4"/>
        <v>39052</v>
      </c>
      <c r="G183" s="7" t="s">
        <v>211</v>
      </c>
      <c r="H183" s="7">
        <v>100.8074</v>
      </c>
      <c r="I183" t="str">
        <f t="shared" si="5"/>
        <v>2006-12-01</v>
      </c>
    </row>
    <row r="184" spans="1:9" x14ac:dyDescent="0.35">
      <c r="A184" s="7" t="s">
        <v>359</v>
      </c>
      <c r="B184" s="7" t="s">
        <v>26</v>
      </c>
      <c r="C184" s="7" t="s">
        <v>27</v>
      </c>
      <c r="D184" s="7" t="s">
        <v>28</v>
      </c>
      <c r="E184" s="7" t="s">
        <v>29</v>
      </c>
      <c r="F184" s="1">
        <f t="shared" si="4"/>
        <v>39083</v>
      </c>
      <c r="G184" s="7" t="s">
        <v>212</v>
      </c>
      <c r="H184" s="7">
        <v>100.8391</v>
      </c>
      <c r="I184" t="str">
        <f t="shared" si="5"/>
        <v>2007-01-01</v>
      </c>
    </row>
    <row r="185" spans="1:9" x14ac:dyDescent="0.35">
      <c r="A185" s="7" t="s">
        <v>359</v>
      </c>
      <c r="B185" s="7" t="s">
        <v>26</v>
      </c>
      <c r="C185" s="7" t="s">
        <v>27</v>
      </c>
      <c r="D185" s="7" t="s">
        <v>28</v>
      </c>
      <c r="E185" s="7" t="s">
        <v>29</v>
      </c>
      <c r="F185" s="1">
        <f t="shared" si="4"/>
        <v>39114</v>
      </c>
      <c r="G185" s="7" t="s">
        <v>213</v>
      </c>
      <c r="H185" s="7">
        <v>100.6177</v>
      </c>
      <c r="I185" t="str">
        <f t="shared" si="5"/>
        <v>2007-02-01</v>
      </c>
    </row>
    <row r="186" spans="1:9" x14ac:dyDescent="0.35">
      <c r="A186" s="7" t="s">
        <v>359</v>
      </c>
      <c r="B186" s="7" t="s">
        <v>26</v>
      </c>
      <c r="C186" s="7" t="s">
        <v>27</v>
      </c>
      <c r="D186" s="7" t="s">
        <v>28</v>
      </c>
      <c r="E186" s="7" t="s">
        <v>29</v>
      </c>
      <c r="F186" s="1">
        <f t="shared" si="4"/>
        <v>39142</v>
      </c>
      <c r="G186" s="7" t="s">
        <v>214</v>
      </c>
      <c r="H186" s="7">
        <v>100.3479</v>
      </c>
      <c r="I186" t="str">
        <f t="shared" si="5"/>
        <v>2007-03-01</v>
      </c>
    </row>
    <row r="187" spans="1:9" x14ac:dyDescent="0.35">
      <c r="A187" s="7" t="s">
        <v>359</v>
      </c>
      <c r="B187" s="7" t="s">
        <v>26</v>
      </c>
      <c r="C187" s="7" t="s">
        <v>27</v>
      </c>
      <c r="D187" s="7" t="s">
        <v>28</v>
      </c>
      <c r="E187" s="7" t="s">
        <v>29</v>
      </c>
      <c r="F187" s="1">
        <f t="shared" si="4"/>
        <v>39173</v>
      </c>
      <c r="G187" s="7" t="s">
        <v>215</v>
      </c>
      <c r="H187" s="7">
        <v>100.1752</v>
      </c>
      <c r="I187" t="str">
        <f t="shared" si="5"/>
        <v>2007-04-01</v>
      </c>
    </row>
    <row r="188" spans="1:9" x14ac:dyDescent="0.35">
      <c r="A188" s="7" t="s">
        <v>359</v>
      </c>
      <c r="B188" s="7" t="s">
        <v>26</v>
      </c>
      <c r="C188" s="7" t="s">
        <v>27</v>
      </c>
      <c r="D188" s="7" t="s">
        <v>28</v>
      </c>
      <c r="E188" s="7" t="s">
        <v>29</v>
      </c>
      <c r="F188" s="1">
        <f t="shared" si="4"/>
        <v>39203</v>
      </c>
      <c r="G188" s="7" t="s">
        <v>216</v>
      </c>
      <c r="H188" s="7">
        <v>100.11539999999999</v>
      </c>
      <c r="I188" t="str">
        <f t="shared" si="5"/>
        <v>2007-05-01</v>
      </c>
    </row>
    <row r="189" spans="1:9" x14ac:dyDescent="0.35">
      <c r="A189" s="7" t="s">
        <v>359</v>
      </c>
      <c r="B189" s="7" t="s">
        <v>26</v>
      </c>
      <c r="C189" s="7" t="s">
        <v>27</v>
      </c>
      <c r="D189" s="7" t="s">
        <v>28</v>
      </c>
      <c r="E189" s="7" t="s">
        <v>29</v>
      </c>
      <c r="F189" s="1">
        <f t="shared" si="4"/>
        <v>39234</v>
      </c>
      <c r="G189" s="7" t="s">
        <v>217</v>
      </c>
      <c r="H189" s="7">
        <v>100.075</v>
      </c>
      <c r="I189" t="str">
        <f t="shared" si="5"/>
        <v>2007-06-01</v>
      </c>
    </row>
    <row r="190" spans="1:9" x14ac:dyDescent="0.35">
      <c r="A190" s="7" t="s">
        <v>359</v>
      </c>
      <c r="B190" s="7" t="s">
        <v>26</v>
      </c>
      <c r="C190" s="7" t="s">
        <v>27</v>
      </c>
      <c r="D190" s="7" t="s">
        <v>28</v>
      </c>
      <c r="E190" s="7" t="s">
        <v>29</v>
      </c>
      <c r="F190" s="1">
        <f t="shared" si="4"/>
        <v>39264</v>
      </c>
      <c r="G190" s="7" t="s">
        <v>218</v>
      </c>
      <c r="H190" s="7">
        <v>100.0521</v>
      </c>
      <c r="I190" t="str">
        <f t="shared" si="5"/>
        <v>2007-07-01</v>
      </c>
    </row>
    <row r="191" spans="1:9" x14ac:dyDescent="0.35">
      <c r="A191" s="7" t="s">
        <v>359</v>
      </c>
      <c r="B191" s="7" t="s">
        <v>26</v>
      </c>
      <c r="C191" s="7" t="s">
        <v>27</v>
      </c>
      <c r="D191" s="7" t="s">
        <v>28</v>
      </c>
      <c r="E191" s="7" t="s">
        <v>29</v>
      </c>
      <c r="F191" s="1">
        <f t="shared" si="4"/>
        <v>39295</v>
      </c>
      <c r="G191" s="7" t="s">
        <v>219</v>
      </c>
      <c r="H191" s="7">
        <v>99.824619999999996</v>
      </c>
      <c r="I191" t="str">
        <f t="shared" si="5"/>
        <v>2007-08-01</v>
      </c>
    </row>
    <row r="192" spans="1:9" x14ac:dyDescent="0.35">
      <c r="A192" s="7" t="s">
        <v>359</v>
      </c>
      <c r="B192" s="7" t="s">
        <v>26</v>
      </c>
      <c r="C192" s="7" t="s">
        <v>27</v>
      </c>
      <c r="D192" s="7" t="s">
        <v>28</v>
      </c>
      <c r="E192" s="7" t="s">
        <v>29</v>
      </c>
      <c r="F192" s="1">
        <f t="shared" si="4"/>
        <v>39326</v>
      </c>
      <c r="G192" s="7" t="s">
        <v>220</v>
      </c>
      <c r="H192" s="7">
        <v>99.571439999999996</v>
      </c>
      <c r="I192" t="str">
        <f t="shared" si="5"/>
        <v>2007-09-01</v>
      </c>
    </row>
    <row r="193" spans="1:9" x14ac:dyDescent="0.35">
      <c r="A193" s="7" t="s">
        <v>359</v>
      </c>
      <c r="B193" s="7" t="s">
        <v>26</v>
      </c>
      <c r="C193" s="7" t="s">
        <v>27</v>
      </c>
      <c r="D193" s="7" t="s">
        <v>28</v>
      </c>
      <c r="E193" s="7" t="s">
        <v>29</v>
      </c>
      <c r="F193" s="1">
        <f t="shared" si="4"/>
        <v>39356</v>
      </c>
      <c r="G193" s="7" t="s">
        <v>221</v>
      </c>
      <c r="H193" s="7">
        <v>99.279169999999993</v>
      </c>
      <c r="I193" t="str">
        <f t="shared" si="5"/>
        <v>2007-10-01</v>
      </c>
    </row>
    <row r="194" spans="1:9" x14ac:dyDescent="0.35">
      <c r="A194" s="7" t="s">
        <v>359</v>
      </c>
      <c r="B194" s="7" t="s">
        <v>26</v>
      </c>
      <c r="C194" s="7" t="s">
        <v>27</v>
      </c>
      <c r="D194" s="7" t="s">
        <v>28</v>
      </c>
      <c r="E194" s="7" t="s">
        <v>29</v>
      </c>
      <c r="F194" s="1">
        <f t="shared" ref="F194:F257" si="6">DATEVALUE(I194)</f>
        <v>39387</v>
      </c>
      <c r="G194" s="7" t="s">
        <v>222</v>
      </c>
      <c r="H194" s="7">
        <v>98.995540000000005</v>
      </c>
      <c r="I194" t="str">
        <f t="shared" si="5"/>
        <v>2007-11-01</v>
      </c>
    </row>
    <row r="195" spans="1:9" x14ac:dyDescent="0.35">
      <c r="A195" s="7" t="s">
        <v>359</v>
      </c>
      <c r="B195" s="7" t="s">
        <v>26</v>
      </c>
      <c r="C195" s="7" t="s">
        <v>27</v>
      </c>
      <c r="D195" s="7" t="s">
        <v>28</v>
      </c>
      <c r="E195" s="7" t="s">
        <v>29</v>
      </c>
      <c r="F195" s="1">
        <f t="shared" si="6"/>
        <v>39417</v>
      </c>
      <c r="G195" s="7" t="s">
        <v>223</v>
      </c>
      <c r="H195" s="7">
        <v>98.828659999999999</v>
      </c>
      <c r="I195" t="str">
        <f t="shared" ref="I195:I258" si="7">CONCATENATE(G195,"-01")</f>
        <v>2007-12-01</v>
      </c>
    </row>
    <row r="196" spans="1:9" x14ac:dyDescent="0.35">
      <c r="A196" s="7" t="s">
        <v>359</v>
      </c>
      <c r="B196" s="7" t="s">
        <v>26</v>
      </c>
      <c r="C196" s="7" t="s">
        <v>27</v>
      </c>
      <c r="D196" s="7" t="s">
        <v>28</v>
      </c>
      <c r="E196" s="7" t="s">
        <v>29</v>
      </c>
      <c r="F196" s="1">
        <f t="shared" si="6"/>
        <v>39448</v>
      </c>
      <c r="G196" s="7" t="s">
        <v>224</v>
      </c>
      <c r="H196" s="7">
        <v>98.66825</v>
      </c>
      <c r="I196" t="str">
        <f t="shared" si="7"/>
        <v>2008-01-01</v>
      </c>
    </row>
    <row r="197" spans="1:9" x14ac:dyDescent="0.35">
      <c r="A197" s="7" t="s">
        <v>359</v>
      </c>
      <c r="B197" s="7" t="s">
        <v>26</v>
      </c>
      <c r="C197" s="7" t="s">
        <v>27</v>
      </c>
      <c r="D197" s="7" t="s">
        <v>28</v>
      </c>
      <c r="E197" s="7" t="s">
        <v>29</v>
      </c>
      <c r="F197" s="1">
        <f t="shared" si="6"/>
        <v>39479</v>
      </c>
      <c r="G197" s="7" t="s">
        <v>225</v>
      </c>
      <c r="H197" s="7">
        <v>98.282200000000003</v>
      </c>
      <c r="I197" t="str">
        <f t="shared" si="7"/>
        <v>2008-02-01</v>
      </c>
    </row>
    <row r="198" spans="1:9" x14ac:dyDescent="0.35">
      <c r="A198" s="7" t="s">
        <v>359</v>
      </c>
      <c r="B198" s="7" t="s">
        <v>26</v>
      </c>
      <c r="C198" s="7" t="s">
        <v>27</v>
      </c>
      <c r="D198" s="7" t="s">
        <v>28</v>
      </c>
      <c r="E198" s="7" t="s">
        <v>29</v>
      </c>
      <c r="F198" s="1">
        <f t="shared" si="6"/>
        <v>39508</v>
      </c>
      <c r="G198" s="7" t="s">
        <v>226</v>
      </c>
      <c r="H198" s="7">
        <v>97.816789999999997</v>
      </c>
      <c r="I198" t="str">
        <f t="shared" si="7"/>
        <v>2008-03-01</v>
      </c>
    </row>
    <row r="199" spans="1:9" x14ac:dyDescent="0.35">
      <c r="A199" s="7" t="s">
        <v>359</v>
      </c>
      <c r="B199" s="7" t="s">
        <v>26</v>
      </c>
      <c r="C199" s="7" t="s">
        <v>27</v>
      </c>
      <c r="D199" s="7" t="s">
        <v>28</v>
      </c>
      <c r="E199" s="7" t="s">
        <v>29</v>
      </c>
      <c r="F199" s="1">
        <f t="shared" si="6"/>
        <v>39539</v>
      </c>
      <c r="G199" s="7" t="s">
        <v>227</v>
      </c>
      <c r="H199" s="7">
        <v>97.292169999999999</v>
      </c>
      <c r="I199" t="str">
        <f t="shared" si="7"/>
        <v>2008-04-01</v>
      </c>
    </row>
    <row r="200" spans="1:9" x14ac:dyDescent="0.35">
      <c r="A200" s="7" t="s">
        <v>359</v>
      </c>
      <c r="B200" s="7" t="s">
        <v>26</v>
      </c>
      <c r="C200" s="7" t="s">
        <v>27</v>
      </c>
      <c r="D200" s="7" t="s">
        <v>28</v>
      </c>
      <c r="E200" s="7" t="s">
        <v>29</v>
      </c>
      <c r="F200" s="1">
        <f t="shared" si="6"/>
        <v>39569</v>
      </c>
      <c r="G200" s="7" t="s">
        <v>228</v>
      </c>
      <c r="H200" s="7">
        <v>96.915499999999994</v>
      </c>
      <c r="I200" t="str">
        <f t="shared" si="7"/>
        <v>2008-05-01</v>
      </c>
    </row>
    <row r="201" spans="1:9" x14ac:dyDescent="0.35">
      <c r="A201" s="7" t="s">
        <v>359</v>
      </c>
      <c r="B201" s="7" t="s">
        <v>26</v>
      </c>
      <c r="C201" s="7" t="s">
        <v>27</v>
      </c>
      <c r="D201" s="7" t="s">
        <v>28</v>
      </c>
      <c r="E201" s="7" t="s">
        <v>29</v>
      </c>
      <c r="F201" s="1">
        <f t="shared" si="6"/>
        <v>39600</v>
      </c>
      <c r="G201" s="7" t="s">
        <v>229</v>
      </c>
      <c r="H201" s="7">
        <v>96.797049999999999</v>
      </c>
      <c r="I201" t="str">
        <f t="shared" si="7"/>
        <v>2008-06-01</v>
      </c>
    </row>
    <row r="202" spans="1:9" x14ac:dyDescent="0.35">
      <c r="A202" s="7" t="s">
        <v>359</v>
      </c>
      <c r="B202" s="7" t="s">
        <v>26</v>
      </c>
      <c r="C202" s="7" t="s">
        <v>27</v>
      </c>
      <c r="D202" s="7" t="s">
        <v>28</v>
      </c>
      <c r="E202" s="7" t="s">
        <v>29</v>
      </c>
      <c r="F202" s="1">
        <f t="shared" si="6"/>
        <v>39630</v>
      </c>
      <c r="G202" s="7" t="s">
        <v>230</v>
      </c>
      <c r="H202" s="7">
        <v>96.998760000000004</v>
      </c>
      <c r="I202" t="str">
        <f t="shared" si="7"/>
        <v>2008-07-01</v>
      </c>
    </row>
    <row r="203" spans="1:9" x14ac:dyDescent="0.35">
      <c r="A203" s="7" t="s">
        <v>359</v>
      </c>
      <c r="B203" s="7" t="s">
        <v>26</v>
      </c>
      <c r="C203" s="7" t="s">
        <v>27</v>
      </c>
      <c r="D203" s="7" t="s">
        <v>28</v>
      </c>
      <c r="E203" s="7" t="s">
        <v>29</v>
      </c>
      <c r="F203" s="1">
        <f t="shared" si="6"/>
        <v>39661</v>
      </c>
      <c r="G203" s="7" t="s">
        <v>231</v>
      </c>
      <c r="H203" s="7">
        <v>97.254300000000001</v>
      </c>
      <c r="I203" t="str">
        <f t="shared" si="7"/>
        <v>2008-08-01</v>
      </c>
    </row>
    <row r="204" spans="1:9" x14ac:dyDescent="0.35">
      <c r="A204" s="7" t="s">
        <v>359</v>
      </c>
      <c r="B204" s="7" t="s">
        <v>26</v>
      </c>
      <c r="C204" s="7" t="s">
        <v>27</v>
      </c>
      <c r="D204" s="7" t="s">
        <v>28</v>
      </c>
      <c r="E204" s="7" t="s">
        <v>29</v>
      </c>
      <c r="F204" s="1">
        <f t="shared" si="6"/>
        <v>39692</v>
      </c>
      <c r="G204" s="7" t="s">
        <v>232</v>
      </c>
      <c r="H204" s="7">
        <v>97.329819999999998</v>
      </c>
      <c r="I204" t="str">
        <f t="shared" si="7"/>
        <v>2008-09-01</v>
      </c>
    </row>
    <row r="205" spans="1:9" x14ac:dyDescent="0.35">
      <c r="A205" s="7" t="s">
        <v>359</v>
      </c>
      <c r="B205" s="7" t="s">
        <v>26</v>
      </c>
      <c r="C205" s="7" t="s">
        <v>27</v>
      </c>
      <c r="D205" s="7" t="s">
        <v>28</v>
      </c>
      <c r="E205" s="7" t="s">
        <v>29</v>
      </c>
      <c r="F205" s="1">
        <f t="shared" si="6"/>
        <v>39722</v>
      </c>
      <c r="G205" s="7" t="s">
        <v>233</v>
      </c>
      <c r="H205" s="7">
        <v>96.979320000000001</v>
      </c>
      <c r="I205" t="str">
        <f t="shared" si="7"/>
        <v>2008-10-01</v>
      </c>
    </row>
    <row r="206" spans="1:9" x14ac:dyDescent="0.35">
      <c r="A206" s="7" t="s">
        <v>359</v>
      </c>
      <c r="B206" s="7" t="s">
        <v>26</v>
      </c>
      <c r="C206" s="7" t="s">
        <v>27</v>
      </c>
      <c r="D206" s="7" t="s">
        <v>28</v>
      </c>
      <c r="E206" s="7" t="s">
        <v>29</v>
      </c>
      <c r="F206" s="1">
        <f t="shared" si="6"/>
        <v>39753</v>
      </c>
      <c r="G206" s="7" t="s">
        <v>234</v>
      </c>
      <c r="H206" s="7">
        <v>96.724490000000003</v>
      </c>
      <c r="I206" t="str">
        <f t="shared" si="7"/>
        <v>2008-11-01</v>
      </c>
    </row>
    <row r="207" spans="1:9" x14ac:dyDescent="0.35">
      <c r="A207" s="7" t="s">
        <v>359</v>
      </c>
      <c r="B207" s="7" t="s">
        <v>26</v>
      </c>
      <c r="C207" s="7" t="s">
        <v>27</v>
      </c>
      <c r="D207" s="7" t="s">
        <v>28</v>
      </c>
      <c r="E207" s="7" t="s">
        <v>29</v>
      </c>
      <c r="F207" s="1">
        <f t="shared" si="6"/>
        <v>39783</v>
      </c>
      <c r="G207" s="7" t="s">
        <v>235</v>
      </c>
      <c r="H207" s="7">
        <v>96.717079999999996</v>
      </c>
      <c r="I207" t="str">
        <f t="shared" si="7"/>
        <v>2008-12-01</v>
      </c>
    </row>
    <row r="208" spans="1:9" x14ac:dyDescent="0.35">
      <c r="A208" s="7" t="s">
        <v>359</v>
      </c>
      <c r="B208" s="7" t="s">
        <v>26</v>
      </c>
      <c r="C208" s="7" t="s">
        <v>27</v>
      </c>
      <c r="D208" s="7" t="s">
        <v>28</v>
      </c>
      <c r="E208" s="7" t="s">
        <v>29</v>
      </c>
      <c r="F208" s="1">
        <f t="shared" si="6"/>
        <v>39814</v>
      </c>
      <c r="G208" s="7" t="s">
        <v>236</v>
      </c>
      <c r="H208" s="7">
        <v>96.724239999999995</v>
      </c>
      <c r="I208" t="str">
        <f t="shared" si="7"/>
        <v>2009-01-01</v>
      </c>
    </row>
    <row r="209" spans="1:9" x14ac:dyDescent="0.35">
      <c r="A209" s="7" t="s">
        <v>359</v>
      </c>
      <c r="B209" s="7" t="s">
        <v>26</v>
      </c>
      <c r="C209" s="7" t="s">
        <v>27</v>
      </c>
      <c r="D209" s="7" t="s">
        <v>28</v>
      </c>
      <c r="E209" s="7" t="s">
        <v>29</v>
      </c>
      <c r="F209" s="1">
        <f t="shared" si="6"/>
        <v>39845</v>
      </c>
      <c r="G209" s="7" t="s">
        <v>237</v>
      </c>
      <c r="H209" s="7">
        <v>96.69838</v>
      </c>
      <c r="I209" t="str">
        <f t="shared" si="7"/>
        <v>2009-02-01</v>
      </c>
    </row>
    <row r="210" spans="1:9" x14ac:dyDescent="0.35">
      <c r="A210" s="7" t="s">
        <v>359</v>
      </c>
      <c r="B210" s="7" t="s">
        <v>26</v>
      </c>
      <c r="C210" s="7" t="s">
        <v>27</v>
      </c>
      <c r="D210" s="7" t="s">
        <v>28</v>
      </c>
      <c r="E210" s="7" t="s">
        <v>29</v>
      </c>
      <c r="F210" s="1">
        <f t="shared" si="6"/>
        <v>39873</v>
      </c>
      <c r="G210" s="7" t="s">
        <v>238</v>
      </c>
      <c r="H210" s="7">
        <v>96.898899999999998</v>
      </c>
      <c r="I210" t="str">
        <f t="shared" si="7"/>
        <v>2009-03-01</v>
      </c>
    </row>
    <row r="211" spans="1:9" x14ac:dyDescent="0.35">
      <c r="A211" s="7" t="s">
        <v>359</v>
      </c>
      <c r="B211" s="7" t="s">
        <v>26</v>
      </c>
      <c r="C211" s="7" t="s">
        <v>27</v>
      </c>
      <c r="D211" s="7" t="s">
        <v>28</v>
      </c>
      <c r="E211" s="7" t="s">
        <v>29</v>
      </c>
      <c r="F211" s="1">
        <f t="shared" si="6"/>
        <v>39904</v>
      </c>
      <c r="G211" s="7" t="s">
        <v>239</v>
      </c>
      <c r="H211" s="7">
        <v>97.343909999999994</v>
      </c>
      <c r="I211" t="str">
        <f t="shared" si="7"/>
        <v>2009-04-01</v>
      </c>
    </row>
    <row r="212" spans="1:9" x14ac:dyDescent="0.35">
      <c r="A212" s="7" t="s">
        <v>359</v>
      </c>
      <c r="B212" s="7" t="s">
        <v>26</v>
      </c>
      <c r="C212" s="7" t="s">
        <v>27</v>
      </c>
      <c r="D212" s="7" t="s">
        <v>28</v>
      </c>
      <c r="E212" s="7" t="s">
        <v>29</v>
      </c>
      <c r="F212" s="1">
        <f t="shared" si="6"/>
        <v>39934</v>
      </c>
      <c r="G212" s="7" t="s">
        <v>240</v>
      </c>
      <c r="H212" s="7">
        <v>97.72681</v>
      </c>
      <c r="I212" t="str">
        <f t="shared" si="7"/>
        <v>2009-05-01</v>
      </c>
    </row>
    <row r="213" spans="1:9" x14ac:dyDescent="0.35">
      <c r="A213" s="7" t="s">
        <v>359</v>
      </c>
      <c r="B213" s="7" t="s">
        <v>26</v>
      </c>
      <c r="C213" s="7" t="s">
        <v>27</v>
      </c>
      <c r="D213" s="7" t="s">
        <v>28</v>
      </c>
      <c r="E213" s="7" t="s">
        <v>29</v>
      </c>
      <c r="F213" s="1">
        <f t="shared" si="6"/>
        <v>39965</v>
      </c>
      <c r="G213" s="7" t="s">
        <v>241</v>
      </c>
      <c r="H213" s="7">
        <v>97.885339999999999</v>
      </c>
      <c r="I213" t="str">
        <f t="shared" si="7"/>
        <v>2009-06-01</v>
      </c>
    </row>
    <row r="214" spans="1:9" x14ac:dyDescent="0.35">
      <c r="A214" s="7" t="s">
        <v>359</v>
      </c>
      <c r="B214" s="7" t="s">
        <v>26</v>
      </c>
      <c r="C214" s="7" t="s">
        <v>27</v>
      </c>
      <c r="D214" s="7" t="s">
        <v>28</v>
      </c>
      <c r="E214" s="7" t="s">
        <v>29</v>
      </c>
      <c r="F214" s="1">
        <f t="shared" si="6"/>
        <v>39995</v>
      </c>
      <c r="G214" s="7" t="s">
        <v>242</v>
      </c>
      <c r="H214" s="7">
        <v>97.840440000000001</v>
      </c>
      <c r="I214" t="str">
        <f t="shared" si="7"/>
        <v>2009-07-01</v>
      </c>
    </row>
    <row r="215" spans="1:9" x14ac:dyDescent="0.35">
      <c r="A215" s="7" t="s">
        <v>359</v>
      </c>
      <c r="B215" s="7" t="s">
        <v>26</v>
      </c>
      <c r="C215" s="7" t="s">
        <v>27</v>
      </c>
      <c r="D215" s="7" t="s">
        <v>28</v>
      </c>
      <c r="E215" s="7" t="s">
        <v>29</v>
      </c>
      <c r="F215" s="1">
        <f t="shared" si="6"/>
        <v>40026</v>
      </c>
      <c r="G215" s="7" t="s">
        <v>243</v>
      </c>
      <c r="H215" s="7">
        <v>97.883830000000003</v>
      </c>
      <c r="I215" t="str">
        <f t="shared" si="7"/>
        <v>2009-08-01</v>
      </c>
    </row>
    <row r="216" spans="1:9" x14ac:dyDescent="0.35">
      <c r="A216" s="7" t="s">
        <v>359</v>
      </c>
      <c r="B216" s="7" t="s">
        <v>26</v>
      </c>
      <c r="C216" s="7" t="s">
        <v>27</v>
      </c>
      <c r="D216" s="7" t="s">
        <v>28</v>
      </c>
      <c r="E216" s="7" t="s">
        <v>29</v>
      </c>
      <c r="F216" s="1">
        <f t="shared" si="6"/>
        <v>40057</v>
      </c>
      <c r="G216" s="7" t="s">
        <v>244</v>
      </c>
      <c r="H216" s="7">
        <v>98.060419999999993</v>
      </c>
      <c r="I216" t="str">
        <f t="shared" si="7"/>
        <v>2009-09-01</v>
      </c>
    </row>
    <row r="217" spans="1:9" x14ac:dyDescent="0.35">
      <c r="A217" s="7" t="s">
        <v>359</v>
      </c>
      <c r="B217" s="7" t="s">
        <v>26</v>
      </c>
      <c r="C217" s="7" t="s">
        <v>27</v>
      </c>
      <c r="D217" s="7" t="s">
        <v>28</v>
      </c>
      <c r="E217" s="7" t="s">
        <v>29</v>
      </c>
      <c r="F217" s="1">
        <f t="shared" si="6"/>
        <v>40087</v>
      </c>
      <c r="G217" s="7" t="s">
        <v>245</v>
      </c>
      <c r="H217" s="7">
        <v>98.089860000000002</v>
      </c>
      <c r="I217" t="str">
        <f t="shared" si="7"/>
        <v>2009-10-01</v>
      </c>
    </row>
    <row r="218" spans="1:9" x14ac:dyDescent="0.35">
      <c r="A218" s="7" t="s">
        <v>359</v>
      </c>
      <c r="B218" s="7" t="s">
        <v>26</v>
      </c>
      <c r="C218" s="7" t="s">
        <v>27</v>
      </c>
      <c r="D218" s="7" t="s">
        <v>28</v>
      </c>
      <c r="E218" s="7" t="s">
        <v>29</v>
      </c>
      <c r="F218" s="1">
        <f t="shared" si="6"/>
        <v>40118</v>
      </c>
      <c r="G218" s="7" t="s">
        <v>246</v>
      </c>
      <c r="H218" s="7">
        <v>98.103800000000007</v>
      </c>
      <c r="I218" t="str">
        <f t="shared" si="7"/>
        <v>2009-11-01</v>
      </c>
    </row>
    <row r="219" spans="1:9" x14ac:dyDescent="0.35">
      <c r="A219" s="7" t="s">
        <v>359</v>
      </c>
      <c r="B219" s="7" t="s">
        <v>26</v>
      </c>
      <c r="C219" s="7" t="s">
        <v>27</v>
      </c>
      <c r="D219" s="7" t="s">
        <v>28</v>
      </c>
      <c r="E219" s="7" t="s">
        <v>29</v>
      </c>
      <c r="F219" s="1">
        <f t="shared" si="6"/>
        <v>40148</v>
      </c>
      <c r="G219" s="7" t="s">
        <v>247</v>
      </c>
      <c r="H219" s="7">
        <v>98.276700000000005</v>
      </c>
      <c r="I219" t="str">
        <f t="shared" si="7"/>
        <v>2009-12-01</v>
      </c>
    </row>
    <row r="220" spans="1:9" x14ac:dyDescent="0.35">
      <c r="A220" s="7" t="s">
        <v>359</v>
      </c>
      <c r="B220" s="7" t="s">
        <v>26</v>
      </c>
      <c r="C220" s="7" t="s">
        <v>27</v>
      </c>
      <c r="D220" s="7" t="s">
        <v>28</v>
      </c>
      <c r="E220" s="7" t="s">
        <v>29</v>
      </c>
      <c r="F220" s="1">
        <f t="shared" si="6"/>
        <v>40179</v>
      </c>
      <c r="G220" s="7" t="s">
        <v>248</v>
      </c>
      <c r="H220" s="7">
        <v>98.436980000000005</v>
      </c>
      <c r="I220" t="str">
        <f t="shared" si="7"/>
        <v>2010-01-01</v>
      </c>
    </row>
    <row r="221" spans="1:9" x14ac:dyDescent="0.35">
      <c r="A221" s="7" t="s">
        <v>359</v>
      </c>
      <c r="B221" s="7" t="s">
        <v>26</v>
      </c>
      <c r="C221" s="7" t="s">
        <v>27</v>
      </c>
      <c r="D221" s="7" t="s">
        <v>28</v>
      </c>
      <c r="E221" s="7" t="s">
        <v>29</v>
      </c>
      <c r="F221" s="1">
        <f t="shared" si="6"/>
        <v>40210</v>
      </c>
      <c r="G221" s="7" t="s">
        <v>249</v>
      </c>
      <c r="H221" s="7">
        <v>98.491619999999998</v>
      </c>
      <c r="I221" t="str">
        <f t="shared" si="7"/>
        <v>2010-02-01</v>
      </c>
    </row>
    <row r="222" spans="1:9" x14ac:dyDescent="0.35">
      <c r="A222" s="7" t="s">
        <v>359</v>
      </c>
      <c r="B222" s="7" t="s">
        <v>26</v>
      </c>
      <c r="C222" s="7" t="s">
        <v>27</v>
      </c>
      <c r="D222" s="7" t="s">
        <v>28</v>
      </c>
      <c r="E222" s="7" t="s">
        <v>29</v>
      </c>
      <c r="F222" s="1">
        <f t="shared" si="6"/>
        <v>40238</v>
      </c>
      <c r="G222" s="7" t="s">
        <v>250</v>
      </c>
      <c r="H222" s="7">
        <v>98.48854</v>
      </c>
      <c r="I222" t="str">
        <f t="shared" si="7"/>
        <v>2010-03-01</v>
      </c>
    </row>
    <row r="223" spans="1:9" x14ac:dyDescent="0.35">
      <c r="A223" s="7" t="s">
        <v>359</v>
      </c>
      <c r="B223" s="7" t="s">
        <v>26</v>
      </c>
      <c r="C223" s="7" t="s">
        <v>27</v>
      </c>
      <c r="D223" s="7" t="s">
        <v>28</v>
      </c>
      <c r="E223" s="7" t="s">
        <v>29</v>
      </c>
      <c r="F223" s="1">
        <f t="shared" si="6"/>
        <v>40269</v>
      </c>
      <c r="G223" s="7" t="s">
        <v>251</v>
      </c>
      <c r="H223" s="7">
        <v>98.468289999999996</v>
      </c>
      <c r="I223" t="str">
        <f t="shared" si="7"/>
        <v>2010-04-01</v>
      </c>
    </row>
    <row r="224" spans="1:9" x14ac:dyDescent="0.35">
      <c r="A224" s="7" t="s">
        <v>359</v>
      </c>
      <c r="B224" s="7" t="s">
        <v>26</v>
      </c>
      <c r="C224" s="7" t="s">
        <v>27</v>
      </c>
      <c r="D224" s="7" t="s">
        <v>28</v>
      </c>
      <c r="E224" s="7" t="s">
        <v>29</v>
      </c>
      <c r="F224" s="1">
        <f t="shared" si="6"/>
        <v>40299</v>
      </c>
      <c r="G224" s="7" t="s">
        <v>252</v>
      </c>
      <c r="H224" s="7">
        <v>98.467029999999994</v>
      </c>
      <c r="I224" t="str">
        <f t="shared" si="7"/>
        <v>2010-05-01</v>
      </c>
    </row>
    <row r="225" spans="1:9" x14ac:dyDescent="0.35">
      <c r="A225" s="7" t="s">
        <v>359</v>
      </c>
      <c r="B225" s="7" t="s">
        <v>26</v>
      </c>
      <c r="C225" s="7" t="s">
        <v>27</v>
      </c>
      <c r="D225" s="7" t="s">
        <v>28</v>
      </c>
      <c r="E225" s="7" t="s">
        <v>29</v>
      </c>
      <c r="F225" s="1">
        <f t="shared" si="6"/>
        <v>40330</v>
      </c>
      <c r="G225" s="7" t="s">
        <v>253</v>
      </c>
      <c r="H225" s="7">
        <v>98.372799999999998</v>
      </c>
      <c r="I225" t="str">
        <f t="shared" si="7"/>
        <v>2010-06-01</v>
      </c>
    </row>
    <row r="226" spans="1:9" x14ac:dyDescent="0.35">
      <c r="A226" s="7" t="s">
        <v>359</v>
      </c>
      <c r="B226" s="7" t="s">
        <v>26</v>
      </c>
      <c r="C226" s="7" t="s">
        <v>27</v>
      </c>
      <c r="D226" s="7" t="s">
        <v>28</v>
      </c>
      <c r="E226" s="7" t="s">
        <v>29</v>
      </c>
      <c r="F226" s="1">
        <f t="shared" si="6"/>
        <v>40360</v>
      </c>
      <c r="G226" s="7" t="s">
        <v>254</v>
      </c>
      <c r="H226" s="7">
        <v>98.090770000000006</v>
      </c>
      <c r="I226" t="str">
        <f t="shared" si="7"/>
        <v>2010-07-01</v>
      </c>
    </row>
    <row r="227" spans="1:9" x14ac:dyDescent="0.35">
      <c r="A227" s="7" t="s">
        <v>359</v>
      </c>
      <c r="B227" s="7" t="s">
        <v>26</v>
      </c>
      <c r="C227" s="7" t="s">
        <v>27</v>
      </c>
      <c r="D227" s="7" t="s">
        <v>28</v>
      </c>
      <c r="E227" s="7" t="s">
        <v>29</v>
      </c>
      <c r="F227" s="1">
        <f t="shared" si="6"/>
        <v>40391</v>
      </c>
      <c r="G227" s="7" t="s">
        <v>255</v>
      </c>
      <c r="H227" s="7">
        <v>97.918760000000006</v>
      </c>
      <c r="I227" t="str">
        <f t="shared" si="7"/>
        <v>2010-08-01</v>
      </c>
    </row>
    <row r="228" spans="1:9" x14ac:dyDescent="0.35">
      <c r="A228" s="7" t="s">
        <v>359</v>
      </c>
      <c r="B228" s="7" t="s">
        <v>26</v>
      </c>
      <c r="C228" s="7" t="s">
        <v>27</v>
      </c>
      <c r="D228" s="7" t="s">
        <v>28</v>
      </c>
      <c r="E228" s="7" t="s">
        <v>29</v>
      </c>
      <c r="F228" s="1">
        <f t="shared" si="6"/>
        <v>40422</v>
      </c>
      <c r="G228" s="7" t="s">
        <v>256</v>
      </c>
      <c r="H228" s="7">
        <v>97.868390000000005</v>
      </c>
      <c r="I228" t="str">
        <f t="shared" si="7"/>
        <v>2010-09-01</v>
      </c>
    </row>
    <row r="229" spans="1:9" x14ac:dyDescent="0.35">
      <c r="A229" s="7" t="s">
        <v>359</v>
      </c>
      <c r="B229" s="7" t="s">
        <v>26</v>
      </c>
      <c r="C229" s="7" t="s">
        <v>27</v>
      </c>
      <c r="D229" s="7" t="s">
        <v>28</v>
      </c>
      <c r="E229" s="7" t="s">
        <v>29</v>
      </c>
      <c r="F229" s="1">
        <f t="shared" si="6"/>
        <v>40452</v>
      </c>
      <c r="G229" s="7" t="s">
        <v>257</v>
      </c>
      <c r="H229" s="7">
        <v>97.965990000000005</v>
      </c>
      <c r="I229" t="str">
        <f t="shared" si="7"/>
        <v>2010-10-01</v>
      </c>
    </row>
    <row r="230" spans="1:9" x14ac:dyDescent="0.35">
      <c r="A230" s="7" t="s">
        <v>359</v>
      </c>
      <c r="B230" s="7" t="s">
        <v>26</v>
      </c>
      <c r="C230" s="7" t="s">
        <v>27</v>
      </c>
      <c r="D230" s="7" t="s">
        <v>28</v>
      </c>
      <c r="E230" s="7" t="s">
        <v>29</v>
      </c>
      <c r="F230" s="1">
        <f t="shared" si="6"/>
        <v>40483</v>
      </c>
      <c r="G230" s="7" t="s">
        <v>258</v>
      </c>
      <c r="H230" s="7">
        <v>98.220920000000007</v>
      </c>
      <c r="I230" t="str">
        <f t="shared" si="7"/>
        <v>2010-11-01</v>
      </c>
    </row>
    <row r="231" spans="1:9" x14ac:dyDescent="0.35">
      <c r="A231" s="7" t="s">
        <v>359</v>
      </c>
      <c r="B231" s="7" t="s">
        <v>26</v>
      </c>
      <c r="C231" s="7" t="s">
        <v>27</v>
      </c>
      <c r="D231" s="7" t="s">
        <v>28</v>
      </c>
      <c r="E231" s="7" t="s">
        <v>29</v>
      </c>
      <c r="F231" s="1">
        <f t="shared" si="6"/>
        <v>40513</v>
      </c>
      <c r="G231" s="7" t="s">
        <v>259</v>
      </c>
      <c r="H231" s="7">
        <v>98.469449999999995</v>
      </c>
      <c r="I231" t="str">
        <f t="shared" si="7"/>
        <v>2010-12-01</v>
      </c>
    </row>
    <row r="232" spans="1:9" x14ac:dyDescent="0.35">
      <c r="A232" s="7" t="s">
        <v>359</v>
      </c>
      <c r="B232" s="7" t="s">
        <v>26</v>
      </c>
      <c r="C232" s="7" t="s">
        <v>27</v>
      </c>
      <c r="D232" s="7" t="s">
        <v>28</v>
      </c>
      <c r="E232" s="7" t="s">
        <v>29</v>
      </c>
      <c r="F232" s="1">
        <f t="shared" si="6"/>
        <v>40544</v>
      </c>
      <c r="G232" s="7" t="s">
        <v>260</v>
      </c>
      <c r="H232" s="7">
        <v>98.576719999999995</v>
      </c>
      <c r="I232" t="str">
        <f t="shared" si="7"/>
        <v>2011-01-01</v>
      </c>
    </row>
    <row r="233" spans="1:9" x14ac:dyDescent="0.35">
      <c r="A233" s="7" t="s">
        <v>359</v>
      </c>
      <c r="B233" s="7" t="s">
        <v>26</v>
      </c>
      <c r="C233" s="7" t="s">
        <v>27</v>
      </c>
      <c r="D233" s="7" t="s">
        <v>28</v>
      </c>
      <c r="E233" s="7" t="s">
        <v>29</v>
      </c>
      <c r="F233" s="1">
        <f t="shared" si="6"/>
        <v>40575</v>
      </c>
      <c r="G233" s="7" t="s">
        <v>261</v>
      </c>
      <c r="H233" s="7">
        <v>98.528120000000001</v>
      </c>
      <c r="I233" t="str">
        <f t="shared" si="7"/>
        <v>2011-02-01</v>
      </c>
    </row>
    <row r="234" spans="1:9" x14ac:dyDescent="0.35">
      <c r="A234" s="7" t="s">
        <v>359</v>
      </c>
      <c r="B234" s="7" t="s">
        <v>26</v>
      </c>
      <c r="C234" s="7" t="s">
        <v>27</v>
      </c>
      <c r="D234" s="7" t="s">
        <v>28</v>
      </c>
      <c r="E234" s="7" t="s">
        <v>29</v>
      </c>
      <c r="F234" s="1">
        <f t="shared" si="6"/>
        <v>40603</v>
      </c>
      <c r="G234" s="7" t="s">
        <v>262</v>
      </c>
      <c r="H234" s="7">
        <v>98.286789999999996</v>
      </c>
      <c r="I234" t="str">
        <f t="shared" si="7"/>
        <v>2011-03-01</v>
      </c>
    </row>
    <row r="235" spans="1:9" x14ac:dyDescent="0.35">
      <c r="A235" s="7" t="s">
        <v>359</v>
      </c>
      <c r="B235" s="7" t="s">
        <v>26</v>
      </c>
      <c r="C235" s="7" t="s">
        <v>27</v>
      </c>
      <c r="D235" s="7" t="s">
        <v>28</v>
      </c>
      <c r="E235" s="7" t="s">
        <v>29</v>
      </c>
      <c r="F235" s="1">
        <f t="shared" si="6"/>
        <v>40634</v>
      </c>
      <c r="G235" s="7" t="s">
        <v>263</v>
      </c>
      <c r="H235" s="7">
        <v>98.228920000000002</v>
      </c>
      <c r="I235" t="str">
        <f t="shared" si="7"/>
        <v>2011-04-01</v>
      </c>
    </row>
    <row r="236" spans="1:9" x14ac:dyDescent="0.35">
      <c r="A236" s="7" t="s">
        <v>359</v>
      </c>
      <c r="B236" s="7" t="s">
        <v>26</v>
      </c>
      <c r="C236" s="7" t="s">
        <v>27</v>
      </c>
      <c r="D236" s="7" t="s">
        <v>28</v>
      </c>
      <c r="E236" s="7" t="s">
        <v>29</v>
      </c>
      <c r="F236" s="1">
        <f t="shared" si="6"/>
        <v>40664</v>
      </c>
      <c r="G236" s="7" t="s">
        <v>264</v>
      </c>
      <c r="H236" s="7">
        <v>98.213369999999998</v>
      </c>
      <c r="I236" t="str">
        <f t="shared" si="7"/>
        <v>2011-05-01</v>
      </c>
    </row>
    <row r="237" spans="1:9" x14ac:dyDescent="0.35">
      <c r="A237" s="7" t="s">
        <v>359</v>
      </c>
      <c r="B237" s="7" t="s">
        <v>26</v>
      </c>
      <c r="C237" s="7" t="s">
        <v>27</v>
      </c>
      <c r="D237" s="7" t="s">
        <v>28</v>
      </c>
      <c r="E237" s="7" t="s">
        <v>29</v>
      </c>
      <c r="F237" s="1">
        <f t="shared" si="6"/>
        <v>40695</v>
      </c>
      <c r="G237" s="7" t="s">
        <v>265</v>
      </c>
      <c r="H237" s="7">
        <v>97.908969999999997</v>
      </c>
      <c r="I237" t="str">
        <f t="shared" si="7"/>
        <v>2011-06-01</v>
      </c>
    </row>
    <row r="238" spans="1:9" x14ac:dyDescent="0.35">
      <c r="A238" s="7" t="s">
        <v>359</v>
      </c>
      <c r="B238" s="7" t="s">
        <v>26</v>
      </c>
      <c r="C238" s="7" t="s">
        <v>27</v>
      </c>
      <c r="D238" s="7" t="s">
        <v>28</v>
      </c>
      <c r="E238" s="7" t="s">
        <v>29</v>
      </c>
      <c r="F238" s="1">
        <f t="shared" si="6"/>
        <v>40725</v>
      </c>
      <c r="G238" s="7" t="s">
        <v>266</v>
      </c>
      <c r="H238" s="7">
        <v>97.337429999999998</v>
      </c>
      <c r="I238" t="str">
        <f t="shared" si="7"/>
        <v>2011-07-01</v>
      </c>
    </row>
    <row r="239" spans="1:9" x14ac:dyDescent="0.35">
      <c r="A239" s="7" t="s">
        <v>359</v>
      </c>
      <c r="B239" s="7" t="s">
        <v>26</v>
      </c>
      <c r="C239" s="7" t="s">
        <v>27</v>
      </c>
      <c r="D239" s="7" t="s">
        <v>28</v>
      </c>
      <c r="E239" s="7" t="s">
        <v>29</v>
      </c>
      <c r="F239" s="1">
        <f t="shared" si="6"/>
        <v>40756</v>
      </c>
      <c r="G239" s="7" t="s">
        <v>267</v>
      </c>
      <c r="H239" s="7">
        <v>96.849580000000003</v>
      </c>
      <c r="I239" t="str">
        <f t="shared" si="7"/>
        <v>2011-08-01</v>
      </c>
    </row>
    <row r="240" spans="1:9" x14ac:dyDescent="0.35">
      <c r="A240" s="7" t="s">
        <v>359</v>
      </c>
      <c r="B240" s="7" t="s">
        <v>26</v>
      </c>
      <c r="C240" s="7" t="s">
        <v>27</v>
      </c>
      <c r="D240" s="7" t="s">
        <v>28</v>
      </c>
      <c r="E240" s="7" t="s">
        <v>29</v>
      </c>
      <c r="F240" s="1">
        <f t="shared" si="6"/>
        <v>40787</v>
      </c>
      <c r="G240" s="7" t="s">
        <v>268</v>
      </c>
      <c r="H240" s="7">
        <v>96.783029999999997</v>
      </c>
      <c r="I240" t="str">
        <f t="shared" si="7"/>
        <v>2011-09-01</v>
      </c>
    </row>
    <row r="241" spans="1:9" x14ac:dyDescent="0.35">
      <c r="A241" s="7" t="s">
        <v>359</v>
      </c>
      <c r="B241" s="7" t="s">
        <v>26</v>
      </c>
      <c r="C241" s="7" t="s">
        <v>27</v>
      </c>
      <c r="D241" s="7" t="s">
        <v>28</v>
      </c>
      <c r="E241" s="7" t="s">
        <v>29</v>
      </c>
      <c r="F241" s="1">
        <f t="shared" si="6"/>
        <v>40817</v>
      </c>
      <c r="G241" s="7" t="s">
        <v>269</v>
      </c>
      <c r="H241" s="7">
        <v>97.012540000000001</v>
      </c>
      <c r="I241" t="str">
        <f t="shared" si="7"/>
        <v>2011-10-01</v>
      </c>
    </row>
    <row r="242" spans="1:9" x14ac:dyDescent="0.35">
      <c r="A242" s="7" t="s">
        <v>359</v>
      </c>
      <c r="B242" s="7" t="s">
        <v>26</v>
      </c>
      <c r="C242" s="7" t="s">
        <v>27</v>
      </c>
      <c r="D242" s="7" t="s">
        <v>28</v>
      </c>
      <c r="E242" s="7" t="s">
        <v>29</v>
      </c>
      <c r="F242" s="1">
        <f t="shared" si="6"/>
        <v>40848</v>
      </c>
      <c r="G242" s="7" t="s">
        <v>270</v>
      </c>
      <c r="H242" s="7">
        <v>97.450159999999997</v>
      </c>
      <c r="I242" t="str">
        <f t="shared" si="7"/>
        <v>2011-11-01</v>
      </c>
    </row>
    <row r="243" spans="1:9" x14ac:dyDescent="0.35">
      <c r="A243" s="7" t="s">
        <v>359</v>
      </c>
      <c r="B243" s="7" t="s">
        <v>26</v>
      </c>
      <c r="C243" s="7" t="s">
        <v>27</v>
      </c>
      <c r="D243" s="7" t="s">
        <v>28</v>
      </c>
      <c r="E243" s="7" t="s">
        <v>29</v>
      </c>
      <c r="F243" s="1">
        <f t="shared" si="6"/>
        <v>40878</v>
      </c>
      <c r="G243" s="7" t="s">
        <v>271</v>
      </c>
      <c r="H243" s="7">
        <v>97.991479999999996</v>
      </c>
      <c r="I243" t="str">
        <f t="shared" si="7"/>
        <v>2011-12-01</v>
      </c>
    </row>
    <row r="244" spans="1:9" x14ac:dyDescent="0.35">
      <c r="A244" s="7" t="s">
        <v>359</v>
      </c>
      <c r="B244" s="7" t="s">
        <v>26</v>
      </c>
      <c r="C244" s="7" t="s">
        <v>27</v>
      </c>
      <c r="D244" s="7" t="s">
        <v>28</v>
      </c>
      <c r="E244" s="7" t="s">
        <v>29</v>
      </c>
      <c r="F244" s="1">
        <f t="shared" si="6"/>
        <v>40909</v>
      </c>
      <c r="G244" s="7" t="s">
        <v>272</v>
      </c>
      <c r="H244" s="7">
        <v>98.452960000000004</v>
      </c>
      <c r="I244" t="str">
        <f t="shared" si="7"/>
        <v>2012-01-01</v>
      </c>
    </row>
    <row r="245" spans="1:9" x14ac:dyDescent="0.35">
      <c r="A245" s="7" t="s">
        <v>359</v>
      </c>
      <c r="B245" s="7" t="s">
        <v>26</v>
      </c>
      <c r="C245" s="7" t="s">
        <v>27</v>
      </c>
      <c r="D245" s="7" t="s">
        <v>28</v>
      </c>
      <c r="E245" s="7" t="s">
        <v>29</v>
      </c>
      <c r="F245" s="1">
        <f t="shared" si="6"/>
        <v>40940</v>
      </c>
      <c r="G245" s="7" t="s">
        <v>273</v>
      </c>
      <c r="H245" s="7">
        <v>98.710239999999999</v>
      </c>
      <c r="I245" t="str">
        <f t="shared" si="7"/>
        <v>2012-02-01</v>
      </c>
    </row>
    <row r="246" spans="1:9" x14ac:dyDescent="0.35">
      <c r="A246" s="7" t="s">
        <v>359</v>
      </c>
      <c r="B246" s="7" t="s">
        <v>26</v>
      </c>
      <c r="C246" s="7" t="s">
        <v>27</v>
      </c>
      <c r="D246" s="7" t="s">
        <v>28</v>
      </c>
      <c r="E246" s="7" t="s">
        <v>29</v>
      </c>
      <c r="F246" s="1">
        <f t="shared" si="6"/>
        <v>40969</v>
      </c>
      <c r="G246" s="7" t="s">
        <v>274</v>
      </c>
      <c r="H246" s="7">
        <v>98.834230000000005</v>
      </c>
      <c r="I246" t="str">
        <f t="shared" si="7"/>
        <v>2012-03-01</v>
      </c>
    </row>
    <row r="247" spans="1:9" x14ac:dyDescent="0.35">
      <c r="A247" s="7" t="s">
        <v>359</v>
      </c>
      <c r="B247" s="7" t="s">
        <v>26</v>
      </c>
      <c r="C247" s="7" t="s">
        <v>27</v>
      </c>
      <c r="D247" s="7" t="s">
        <v>28</v>
      </c>
      <c r="E247" s="7" t="s">
        <v>29</v>
      </c>
      <c r="F247" s="1">
        <f t="shared" si="6"/>
        <v>41000</v>
      </c>
      <c r="G247" s="7" t="s">
        <v>275</v>
      </c>
      <c r="H247" s="7">
        <v>98.868970000000004</v>
      </c>
      <c r="I247" t="str">
        <f t="shared" si="7"/>
        <v>2012-04-01</v>
      </c>
    </row>
    <row r="248" spans="1:9" x14ac:dyDescent="0.35">
      <c r="A248" s="7" t="s">
        <v>359</v>
      </c>
      <c r="B248" s="7" t="s">
        <v>26</v>
      </c>
      <c r="C248" s="7" t="s">
        <v>27</v>
      </c>
      <c r="D248" s="7" t="s">
        <v>28</v>
      </c>
      <c r="E248" s="7" t="s">
        <v>29</v>
      </c>
      <c r="F248" s="1">
        <f t="shared" si="6"/>
        <v>41030</v>
      </c>
      <c r="G248" s="7" t="s">
        <v>276</v>
      </c>
      <c r="H248" s="7">
        <v>98.813159999999996</v>
      </c>
      <c r="I248" t="str">
        <f t="shared" si="7"/>
        <v>2012-05-01</v>
      </c>
    </row>
    <row r="249" spans="1:9" x14ac:dyDescent="0.35">
      <c r="A249" s="7" t="s">
        <v>359</v>
      </c>
      <c r="B249" s="7" t="s">
        <v>26</v>
      </c>
      <c r="C249" s="7" t="s">
        <v>27</v>
      </c>
      <c r="D249" s="7" t="s">
        <v>28</v>
      </c>
      <c r="E249" s="7" t="s">
        <v>29</v>
      </c>
      <c r="F249" s="1">
        <f t="shared" si="6"/>
        <v>41061</v>
      </c>
      <c r="G249" s="7" t="s">
        <v>277</v>
      </c>
      <c r="H249" s="7">
        <v>98.608789999999999</v>
      </c>
      <c r="I249" t="str">
        <f t="shared" si="7"/>
        <v>2012-06-01</v>
      </c>
    </row>
    <row r="250" spans="1:9" x14ac:dyDescent="0.35">
      <c r="A250" s="7" t="s">
        <v>359</v>
      </c>
      <c r="B250" s="7" t="s">
        <v>26</v>
      </c>
      <c r="C250" s="7" t="s">
        <v>27</v>
      </c>
      <c r="D250" s="7" t="s">
        <v>28</v>
      </c>
      <c r="E250" s="7" t="s">
        <v>29</v>
      </c>
      <c r="F250" s="1">
        <f t="shared" si="6"/>
        <v>41091</v>
      </c>
      <c r="G250" s="7" t="s">
        <v>278</v>
      </c>
      <c r="H250" s="7">
        <v>98.536770000000004</v>
      </c>
      <c r="I250" t="str">
        <f t="shared" si="7"/>
        <v>2012-07-01</v>
      </c>
    </row>
    <row r="251" spans="1:9" x14ac:dyDescent="0.35">
      <c r="A251" s="7" t="s">
        <v>359</v>
      </c>
      <c r="B251" s="7" t="s">
        <v>26</v>
      </c>
      <c r="C251" s="7" t="s">
        <v>27</v>
      </c>
      <c r="D251" s="7" t="s">
        <v>28</v>
      </c>
      <c r="E251" s="7" t="s">
        <v>29</v>
      </c>
      <c r="F251" s="1">
        <f t="shared" si="6"/>
        <v>41122</v>
      </c>
      <c r="G251" s="7" t="s">
        <v>279</v>
      </c>
      <c r="H251" s="7">
        <v>98.706580000000002</v>
      </c>
      <c r="I251" t="str">
        <f t="shared" si="7"/>
        <v>2012-08-01</v>
      </c>
    </row>
    <row r="252" spans="1:9" x14ac:dyDescent="0.35">
      <c r="A252" s="7" t="s">
        <v>359</v>
      </c>
      <c r="B252" s="7" t="s">
        <v>26</v>
      </c>
      <c r="C252" s="7" t="s">
        <v>27</v>
      </c>
      <c r="D252" s="7" t="s">
        <v>28</v>
      </c>
      <c r="E252" s="7" t="s">
        <v>29</v>
      </c>
      <c r="F252" s="1">
        <f t="shared" si="6"/>
        <v>41153</v>
      </c>
      <c r="G252" s="7" t="s">
        <v>280</v>
      </c>
      <c r="H252" s="7">
        <v>99.022760000000005</v>
      </c>
      <c r="I252" t="str">
        <f t="shared" si="7"/>
        <v>2012-09-01</v>
      </c>
    </row>
    <row r="253" spans="1:9" x14ac:dyDescent="0.35">
      <c r="A253" s="7" t="s">
        <v>359</v>
      </c>
      <c r="B253" s="7" t="s">
        <v>26</v>
      </c>
      <c r="C253" s="7" t="s">
        <v>27</v>
      </c>
      <c r="D253" s="7" t="s">
        <v>28</v>
      </c>
      <c r="E253" s="7" t="s">
        <v>29</v>
      </c>
      <c r="F253" s="1">
        <f t="shared" si="6"/>
        <v>41183</v>
      </c>
      <c r="G253" s="7" t="s">
        <v>281</v>
      </c>
      <c r="H253" s="7">
        <v>99.249499999999998</v>
      </c>
      <c r="I253" t="str">
        <f t="shared" si="7"/>
        <v>2012-10-01</v>
      </c>
    </row>
    <row r="254" spans="1:9" x14ac:dyDescent="0.35">
      <c r="A254" s="7" t="s">
        <v>359</v>
      </c>
      <c r="B254" s="7" t="s">
        <v>26</v>
      </c>
      <c r="C254" s="7" t="s">
        <v>27</v>
      </c>
      <c r="D254" s="7" t="s">
        <v>28</v>
      </c>
      <c r="E254" s="7" t="s">
        <v>29</v>
      </c>
      <c r="F254" s="1">
        <f t="shared" si="6"/>
        <v>41214</v>
      </c>
      <c r="G254" s="7" t="s">
        <v>282</v>
      </c>
      <c r="H254" s="7">
        <v>99.163139999999999</v>
      </c>
      <c r="I254" t="str">
        <f t="shared" si="7"/>
        <v>2012-11-01</v>
      </c>
    </row>
    <row r="255" spans="1:9" x14ac:dyDescent="0.35">
      <c r="A255" s="7" t="s">
        <v>359</v>
      </c>
      <c r="B255" s="7" t="s">
        <v>26</v>
      </c>
      <c r="C255" s="7" t="s">
        <v>27</v>
      </c>
      <c r="D255" s="7" t="s">
        <v>28</v>
      </c>
      <c r="E255" s="7" t="s">
        <v>29</v>
      </c>
      <c r="F255" s="1">
        <f t="shared" si="6"/>
        <v>41244</v>
      </c>
      <c r="G255" s="7" t="s">
        <v>283</v>
      </c>
      <c r="H255" s="7">
        <v>98.829310000000007</v>
      </c>
      <c r="I255" t="str">
        <f t="shared" si="7"/>
        <v>2012-12-01</v>
      </c>
    </row>
    <row r="256" spans="1:9" x14ac:dyDescent="0.35">
      <c r="A256" s="7" t="s">
        <v>359</v>
      </c>
      <c r="B256" s="7" t="s">
        <v>26</v>
      </c>
      <c r="C256" s="7" t="s">
        <v>27</v>
      </c>
      <c r="D256" s="7" t="s">
        <v>28</v>
      </c>
      <c r="E256" s="7" t="s">
        <v>29</v>
      </c>
      <c r="F256" s="1">
        <f t="shared" si="6"/>
        <v>41275</v>
      </c>
      <c r="G256" s="7" t="s">
        <v>284</v>
      </c>
      <c r="H256" s="7">
        <v>98.700950000000006</v>
      </c>
      <c r="I256" t="str">
        <f t="shared" si="7"/>
        <v>2013-01-01</v>
      </c>
    </row>
    <row r="257" spans="1:9" x14ac:dyDescent="0.35">
      <c r="A257" s="7" t="s">
        <v>359</v>
      </c>
      <c r="B257" s="7" t="s">
        <v>26</v>
      </c>
      <c r="C257" s="7" t="s">
        <v>27</v>
      </c>
      <c r="D257" s="7" t="s">
        <v>28</v>
      </c>
      <c r="E257" s="7" t="s">
        <v>29</v>
      </c>
      <c r="F257" s="1">
        <f t="shared" si="6"/>
        <v>41306</v>
      </c>
      <c r="G257" s="7" t="s">
        <v>285</v>
      </c>
      <c r="H257" s="7">
        <v>98.803910000000002</v>
      </c>
      <c r="I257" t="str">
        <f t="shared" si="7"/>
        <v>2013-02-01</v>
      </c>
    </row>
    <row r="258" spans="1:9" x14ac:dyDescent="0.35">
      <c r="A258" s="7" t="s">
        <v>359</v>
      </c>
      <c r="B258" s="7" t="s">
        <v>26</v>
      </c>
      <c r="C258" s="7" t="s">
        <v>27</v>
      </c>
      <c r="D258" s="7" t="s">
        <v>28</v>
      </c>
      <c r="E258" s="7" t="s">
        <v>29</v>
      </c>
      <c r="F258" s="1">
        <f t="shared" ref="F258:F317" si="8">DATEVALUE(I258)</f>
        <v>41334</v>
      </c>
      <c r="G258" s="7" t="s">
        <v>286</v>
      </c>
      <c r="H258" s="7">
        <v>98.970669999999998</v>
      </c>
      <c r="I258" t="str">
        <f t="shared" si="7"/>
        <v>2013-03-01</v>
      </c>
    </row>
    <row r="259" spans="1:9" x14ac:dyDescent="0.35">
      <c r="A259" s="7" t="s">
        <v>359</v>
      </c>
      <c r="B259" s="7" t="s">
        <v>26</v>
      </c>
      <c r="C259" s="7" t="s">
        <v>27</v>
      </c>
      <c r="D259" s="7" t="s">
        <v>28</v>
      </c>
      <c r="E259" s="7" t="s">
        <v>29</v>
      </c>
      <c r="F259" s="1">
        <f t="shared" si="8"/>
        <v>41365</v>
      </c>
      <c r="G259" s="7" t="s">
        <v>287</v>
      </c>
      <c r="H259" s="7">
        <v>99.182749999999999</v>
      </c>
      <c r="I259" t="str">
        <f t="shared" ref="I259:I317" si="9">CONCATENATE(G259,"-01")</f>
        <v>2013-04-01</v>
      </c>
    </row>
    <row r="260" spans="1:9" x14ac:dyDescent="0.35">
      <c r="A260" s="7" t="s">
        <v>359</v>
      </c>
      <c r="B260" s="7" t="s">
        <v>26</v>
      </c>
      <c r="C260" s="7" t="s">
        <v>27</v>
      </c>
      <c r="D260" s="7" t="s">
        <v>28</v>
      </c>
      <c r="E260" s="7" t="s">
        <v>29</v>
      </c>
      <c r="F260" s="1">
        <f t="shared" si="8"/>
        <v>41395</v>
      </c>
      <c r="G260" s="7" t="s">
        <v>288</v>
      </c>
      <c r="H260" s="7">
        <v>99.521019999999993</v>
      </c>
      <c r="I260" t="str">
        <f t="shared" si="9"/>
        <v>2013-05-01</v>
      </c>
    </row>
    <row r="261" spans="1:9" x14ac:dyDescent="0.35">
      <c r="A261" s="7" t="s">
        <v>359</v>
      </c>
      <c r="B261" s="7" t="s">
        <v>26</v>
      </c>
      <c r="C261" s="7" t="s">
        <v>27</v>
      </c>
      <c r="D261" s="7" t="s">
        <v>28</v>
      </c>
      <c r="E261" s="7" t="s">
        <v>29</v>
      </c>
      <c r="F261" s="1">
        <f t="shared" si="8"/>
        <v>41426</v>
      </c>
      <c r="G261" s="7" t="s">
        <v>289</v>
      </c>
      <c r="H261" s="7">
        <v>99.695909999999998</v>
      </c>
      <c r="I261" t="str">
        <f t="shared" si="9"/>
        <v>2013-06-01</v>
      </c>
    </row>
    <row r="262" spans="1:9" x14ac:dyDescent="0.35">
      <c r="A262" s="7" t="s">
        <v>359</v>
      </c>
      <c r="B262" s="7" t="s">
        <v>26</v>
      </c>
      <c r="C262" s="7" t="s">
        <v>27</v>
      </c>
      <c r="D262" s="7" t="s">
        <v>28</v>
      </c>
      <c r="E262" s="7" t="s">
        <v>29</v>
      </c>
      <c r="F262" s="1">
        <f t="shared" si="8"/>
        <v>41456</v>
      </c>
      <c r="G262" s="7" t="s">
        <v>290</v>
      </c>
      <c r="H262" s="7">
        <v>99.65822</v>
      </c>
      <c r="I262" t="str">
        <f t="shared" si="9"/>
        <v>2013-07-01</v>
      </c>
    </row>
    <row r="263" spans="1:9" x14ac:dyDescent="0.35">
      <c r="A263" s="7" t="s">
        <v>359</v>
      </c>
      <c r="B263" s="7" t="s">
        <v>26</v>
      </c>
      <c r="C263" s="7" t="s">
        <v>27</v>
      </c>
      <c r="D263" s="7" t="s">
        <v>28</v>
      </c>
      <c r="E263" s="7" t="s">
        <v>29</v>
      </c>
      <c r="F263" s="1">
        <f t="shared" si="8"/>
        <v>41487</v>
      </c>
      <c r="G263" s="7" t="s">
        <v>291</v>
      </c>
      <c r="H263" s="7">
        <v>99.377380000000002</v>
      </c>
      <c r="I263" t="str">
        <f t="shared" si="9"/>
        <v>2013-08-01</v>
      </c>
    </row>
    <row r="264" spans="1:9" x14ac:dyDescent="0.35">
      <c r="A264" s="7" t="s">
        <v>359</v>
      </c>
      <c r="B264" s="7" t="s">
        <v>26</v>
      </c>
      <c r="C264" s="7" t="s">
        <v>27</v>
      </c>
      <c r="D264" s="7" t="s">
        <v>28</v>
      </c>
      <c r="E264" s="7" t="s">
        <v>29</v>
      </c>
      <c r="F264" s="1">
        <f t="shared" si="8"/>
        <v>41518</v>
      </c>
      <c r="G264" s="7" t="s">
        <v>292</v>
      </c>
      <c r="H264" s="7">
        <v>98.996319999999997</v>
      </c>
      <c r="I264" t="str">
        <f t="shared" si="9"/>
        <v>2013-09-01</v>
      </c>
    </row>
    <row r="265" spans="1:9" x14ac:dyDescent="0.35">
      <c r="A265" s="7" t="s">
        <v>359</v>
      </c>
      <c r="B265" s="7" t="s">
        <v>26</v>
      </c>
      <c r="C265" s="7" t="s">
        <v>27</v>
      </c>
      <c r="D265" s="7" t="s">
        <v>28</v>
      </c>
      <c r="E265" s="7" t="s">
        <v>29</v>
      </c>
      <c r="F265" s="1">
        <f t="shared" si="8"/>
        <v>41548</v>
      </c>
      <c r="G265" s="7" t="s">
        <v>293</v>
      </c>
      <c r="H265" s="7">
        <v>98.760729999999995</v>
      </c>
      <c r="I265" t="str">
        <f t="shared" si="9"/>
        <v>2013-10-01</v>
      </c>
    </row>
    <row r="266" spans="1:9" x14ac:dyDescent="0.35">
      <c r="A266" s="7" t="s">
        <v>359</v>
      </c>
      <c r="B266" s="7" t="s">
        <v>26</v>
      </c>
      <c r="C266" s="7" t="s">
        <v>27</v>
      </c>
      <c r="D266" s="7" t="s">
        <v>28</v>
      </c>
      <c r="E266" s="7" t="s">
        <v>29</v>
      </c>
      <c r="F266" s="1">
        <f t="shared" si="8"/>
        <v>41579</v>
      </c>
      <c r="G266" s="7" t="s">
        <v>294</v>
      </c>
      <c r="H266" s="7">
        <v>98.86121</v>
      </c>
      <c r="I266" t="str">
        <f t="shared" si="9"/>
        <v>2013-11-01</v>
      </c>
    </row>
    <row r="267" spans="1:9" x14ac:dyDescent="0.35">
      <c r="A267" s="7" t="s">
        <v>359</v>
      </c>
      <c r="B267" s="7" t="s">
        <v>26</v>
      </c>
      <c r="C267" s="7" t="s">
        <v>27</v>
      </c>
      <c r="D267" s="7" t="s">
        <v>28</v>
      </c>
      <c r="E267" s="7" t="s">
        <v>29</v>
      </c>
      <c r="F267" s="1">
        <f t="shared" si="8"/>
        <v>41609</v>
      </c>
      <c r="G267" s="7" t="s">
        <v>295</v>
      </c>
      <c r="H267" s="7">
        <v>99.164929999999998</v>
      </c>
      <c r="I267" t="str">
        <f t="shared" si="9"/>
        <v>2013-12-01</v>
      </c>
    </row>
    <row r="268" spans="1:9" x14ac:dyDescent="0.35">
      <c r="A268" s="7" t="s">
        <v>359</v>
      </c>
      <c r="B268" s="7" t="s">
        <v>26</v>
      </c>
      <c r="C268" s="7" t="s">
        <v>27</v>
      </c>
      <c r="D268" s="7" t="s">
        <v>28</v>
      </c>
      <c r="E268" s="7" t="s">
        <v>29</v>
      </c>
      <c r="F268" s="1">
        <f t="shared" si="8"/>
        <v>41640</v>
      </c>
      <c r="G268" s="7" t="s">
        <v>296</v>
      </c>
      <c r="H268" s="7">
        <v>99.337819999999994</v>
      </c>
      <c r="I268" t="str">
        <f t="shared" si="9"/>
        <v>2014-01-01</v>
      </c>
    </row>
    <row r="269" spans="1:9" x14ac:dyDescent="0.35">
      <c r="A269" s="7" t="s">
        <v>359</v>
      </c>
      <c r="B269" s="7" t="s">
        <v>26</v>
      </c>
      <c r="C269" s="7" t="s">
        <v>27</v>
      </c>
      <c r="D269" s="7" t="s">
        <v>28</v>
      </c>
      <c r="E269" s="7" t="s">
        <v>29</v>
      </c>
      <c r="F269" s="1">
        <f t="shared" si="8"/>
        <v>41671</v>
      </c>
      <c r="G269" s="7" t="s">
        <v>297</v>
      </c>
      <c r="H269" s="7">
        <v>99.407920000000004</v>
      </c>
      <c r="I269" t="str">
        <f t="shared" si="9"/>
        <v>2014-02-01</v>
      </c>
    </row>
    <row r="270" spans="1:9" x14ac:dyDescent="0.35">
      <c r="A270" s="7" t="s">
        <v>359</v>
      </c>
      <c r="B270" s="7" t="s">
        <v>26</v>
      </c>
      <c r="C270" s="7" t="s">
        <v>27</v>
      </c>
      <c r="D270" s="7" t="s">
        <v>28</v>
      </c>
      <c r="E270" s="7" t="s">
        <v>29</v>
      </c>
      <c r="F270" s="1">
        <f t="shared" si="8"/>
        <v>41699</v>
      </c>
      <c r="G270" s="7" t="s">
        <v>298</v>
      </c>
      <c r="H270" s="7">
        <v>99.440179999999998</v>
      </c>
      <c r="I270" t="str">
        <f t="shared" si="9"/>
        <v>2014-03-01</v>
      </c>
    </row>
    <row r="271" spans="1:9" x14ac:dyDescent="0.35">
      <c r="A271" s="7" t="s">
        <v>359</v>
      </c>
      <c r="B271" s="7" t="s">
        <v>26</v>
      </c>
      <c r="C271" s="7" t="s">
        <v>27</v>
      </c>
      <c r="D271" s="7" t="s">
        <v>28</v>
      </c>
      <c r="E271" s="7" t="s">
        <v>29</v>
      </c>
      <c r="F271" s="1">
        <f t="shared" si="8"/>
        <v>41730</v>
      </c>
      <c r="G271" s="7" t="s">
        <v>299</v>
      </c>
      <c r="H271" s="7">
        <v>99.513220000000004</v>
      </c>
      <c r="I271" t="str">
        <f t="shared" si="9"/>
        <v>2014-04-01</v>
      </c>
    </row>
    <row r="272" spans="1:9" x14ac:dyDescent="0.35">
      <c r="A272" s="7" t="s">
        <v>359</v>
      </c>
      <c r="B272" s="7" t="s">
        <v>26</v>
      </c>
      <c r="C272" s="7" t="s">
        <v>27</v>
      </c>
      <c r="D272" s="7" t="s">
        <v>28</v>
      </c>
      <c r="E272" s="7" t="s">
        <v>29</v>
      </c>
      <c r="F272" s="1">
        <f t="shared" si="8"/>
        <v>41760</v>
      </c>
      <c r="G272" s="7" t="s">
        <v>300</v>
      </c>
      <c r="H272" s="7">
        <v>99.499600000000001</v>
      </c>
      <c r="I272" t="str">
        <f t="shared" si="9"/>
        <v>2014-05-01</v>
      </c>
    </row>
    <row r="273" spans="1:9" x14ac:dyDescent="0.35">
      <c r="A273" s="7" t="s">
        <v>359</v>
      </c>
      <c r="B273" s="7" t="s">
        <v>26</v>
      </c>
      <c r="C273" s="7" t="s">
        <v>27</v>
      </c>
      <c r="D273" s="7" t="s">
        <v>28</v>
      </c>
      <c r="E273" s="7" t="s">
        <v>29</v>
      </c>
      <c r="F273" s="1">
        <f t="shared" si="8"/>
        <v>41791</v>
      </c>
      <c r="G273" s="7" t="s">
        <v>301</v>
      </c>
      <c r="H273" s="7">
        <v>99.473179999999999</v>
      </c>
      <c r="I273" t="str">
        <f t="shared" si="9"/>
        <v>2014-06-01</v>
      </c>
    </row>
    <row r="274" spans="1:9" x14ac:dyDescent="0.35">
      <c r="A274" s="7" t="s">
        <v>359</v>
      </c>
      <c r="B274" s="7" t="s">
        <v>26</v>
      </c>
      <c r="C274" s="7" t="s">
        <v>27</v>
      </c>
      <c r="D274" s="7" t="s">
        <v>28</v>
      </c>
      <c r="E274" s="7" t="s">
        <v>29</v>
      </c>
      <c r="F274" s="1">
        <f t="shared" si="8"/>
        <v>41821</v>
      </c>
      <c r="G274" s="7" t="s">
        <v>302</v>
      </c>
      <c r="H274" s="7">
        <v>99.46499</v>
      </c>
      <c r="I274" t="str">
        <f t="shared" si="9"/>
        <v>2014-07-01</v>
      </c>
    </row>
    <row r="275" spans="1:9" x14ac:dyDescent="0.35">
      <c r="A275" s="7" t="s">
        <v>359</v>
      </c>
      <c r="B275" s="7" t="s">
        <v>26</v>
      </c>
      <c r="C275" s="7" t="s">
        <v>27</v>
      </c>
      <c r="D275" s="7" t="s">
        <v>28</v>
      </c>
      <c r="E275" s="7" t="s">
        <v>29</v>
      </c>
      <c r="F275" s="1">
        <f t="shared" si="8"/>
        <v>41852</v>
      </c>
      <c r="G275" s="7" t="s">
        <v>303</v>
      </c>
      <c r="H275" s="7">
        <v>99.559920000000005</v>
      </c>
      <c r="I275" t="str">
        <f t="shared" si="9"/>
        <v>2014-08-01</v>
      </c>
    </row>
    <row r="276" spans="1:9" x14ac:dyDescent="0.35">
      <c r="A276" s="7" t="s">
        <v>359</v>
      </c>
      <c r="B276" s="7" t="s">
        <v>26</v>
      </c>
      <c r="C276" s="7" t="s">
        <v>27</v>
      </c>
      <c r="D276" s="7" t="s">
        <v>28</v>
      </c>
      <c r="E276" s="7" t="s">
        <v>29</v>
      </c>
      <c r="F276" s="1">
        <f t="shared" si="8"/>
        <v>41883</v>
      </c>
      <c r="G276" s="7" t="s">
        <v>304</v>
      </c>
      <c r="H276" s="7">
        <v>99.764340000000004</v>
      </c>
      <c r="I276" t="str">
        <f t="shared" si="9"/>
        <v>2014-09-01</v>
      </c>
    </row>
    <row r="277" spans="1:9" x14ac:dyDescent="0.35">
      <c r="A277" s="7" t="s">
        <v>359</v>
      </c>
      <c r="B277" s="7" t="s">
        <v>26</v>
      </c>
      <c r="C277" s="7" t="s">
        <v>27</v>
      </c>
      <c r="D277" s="7" t="s">
        <v>28</v>
      </c>
      <c r="E277" s="7" t="s">
        <v>29</v>
      </c>
      <c r="F277" s="1">
        <f t="shared" si="8"/>
        <v>41913</v>
      </c>
      <c r="G277" s="7" t="s">
        <v>305</v>
      </c>
      <c r="H277" s="7">
        <v>100.0517</v>
      </c>
      <c r="I277" t="str">
        <f t="shared" si="9"/>
        <v>2014-10-01</v>
      </c>
    </row>
    <row r="278" spans="1:9" x14ac:dyDescent="0.35">
      <c r="A278" s="7" t="s">
        <v>359</v>
      </c>
      <c r="B278" s="7" t="s">
        <v>26</v>
      </c>
      <c r="C278" s="7" t="s">
        <v>27</v>
      </c>
      <c r="D278" s="7" t="s">
        <v>28</v>
      </c>
      <c r="E278" s="7" t="s">
        <v>29</v>
      </c>
      <c r="F278" s="1">
        <f t="shared" si="8"/>
        <v>41944</v>
      </c>
      <c r="G278" s="7" t="s">
        <v>306</v>
      </c>
      <c r="H278" s="7">
        <v>100.4044</v>
      </c>
      <c r="I278" t="str">
        <f t="shared" si="9"/>
        <v>2014-11-01</v>
      </c>
    </row>
    <row r="279" spans="1:9" x14ac:dyDescent="0.35">
      <c r="A279" s="7" t="s">
        <v>359</v>
      </c>
      <c r="B279" s="7" t="s">
        <v>26</v>
      </c>
      <c r="C279" s="7" t="s">
        <v>27</v>
      </c>
      <c r="D279" s="7" t="s">
        <v>28</v>
      </c>
      <c r="E279" s="7" t="s">
        <v>29</v>
      </c>
      <c r="F279" s="1">
        <f t="shared" si="8"/>
        <v>41974</v>
      </c>
      <c r="G279" s="7" t="s">
        <v>307</v>
      </c>
      <c r="H279" s="7">
        <v>100.7953</v>
      </c>
      <c r="I279" t="str">
        <f t="shared" si="9"/>
        <v>2014-12-01</v>
      </c>
    </row>
    <row r="280" spans="1:9" x14ac:dyDescent="0.35">
      <c r="A280" s="7" t="s">
        <v>359</v>
      </c>
      <c r="B280" s="7" t="s">
        <v>26</v>
      </c>
      <c r="C280" s="7" t="s">
        <v>27</v>
      </c>
      <c r="D280" s="7" t="s">
        <v>28</v>
      </c>
      <c r="E280" s="7" t="s">
        <v>29</v>
      </c>
      <c r="F280" s="1">
        <f t="shared" si="8"/>
        <v>42005</v>
      </c>
      <c r="G280" s="7" t="s">
        <v>308</v>
      </c>
      <c r="H280" s="7">
        <v>101.05880000000001</v>
      </c>
      <c r="I280" t="str">
        <f t="shared" si="9"/>
        <v>2015-01-01</v>
      </c>
    </row>
    <row r="281" spans="1:9" x14ac:dyDescent="0.35">
      <c r="A281" s="7" t="s">
        <v>359</v>
      </c>
      <c r="B281" s="7" t="s">
        <v>26</v>
      </c>
      <c r="C281" s="7" t="s">
        <v>27</v>
      </c>
      <c r="D281" s="7" t="s">
        <v>28</v>
      </c>
      <c r="E281" s="7" t="s">
        <v>29</v>
      </c>
      <c r="F281" s="1">
        <f t="shared" si="8"/>
        <v>42036</v>
      </c>
      <c r="G281" s="7" t="s">
        <v>309</v>
      </c>
      <c r="H281" s="7">
        <v>101.0611</v>
      </c>
      <c r="I281" t="str">
        <f t="shared" si="9"/>
        <v>2015-02-01</v>
      </c>
    </row>
    <row r="282" spans="1:9" x14ac:dyDescent="0.35">
      <c r="A282" s="7" t="s">
        <v>359</v>
      </c>
      <c r="B282" s="7" t="s">
        <v>26</v>
      </c>
      <c r="C282" s="7" t="s">
        <v>27</v>
      </c>
      <c r="D282" s="7" t="s">
        <v>28</v>
      </c>
      <c r="E282" s="7" t="s">
        <v>29</v>
      </c>
      <c r="F282" s="1">
        <f t="shared" si="8"/>
        <v>42064</v>
      </c>
      <c r="G282" s="7" t="s">
        <v>310</v>
      </c>
      <c r="H282" s="7">
        <v>100.9648</v>
      </c>
      <c r="I282" t="str">
        <f t="shared" si="9"/>
        <v>2015-03-01</v>
      </c>
    </row>
    <row r="283" spans="1:9" x14ac:dyDescent="0.35">
      <c r="A283" s="7" t="s">
        <v>359</v>
      </c>
      <c r="B283" s="7" t="s">
        <v>26</v>
      </c>
      <c r="C283" s="7" t="s">
        <v>27</v>
      </c>
      <c r="D283" s="7" t="s">
        <v>28</v>
      </c>
      <c r="E283" s="7" t="s">
        <v>29</v>
      </c>
      <c r="F283" s="1">
        <f t="shared" si="8"/>
        <v>42095</v>
      </c>
      <c r="G283" s="7" t="s">
        <v>311</v>
      </c>
      <c r="H283" s="7">
        <v>100.91030000000001</v>
      </c>
      <c r="I283" t="str">
        <f t="shared" si="9"/>
        <v>2015-04-01</v>
      </c>
    </row>
    <row r="284" spans="1:9" x14ac:dyDescent="0.35">
      <c r="A284" s="7" t="s">
        <v>359</v>
      </c>
      <c r="B284" s="7" t="s">
        <v>26</v>
      </c>
      <c r="C284" s="7" t="s">
        <v>27</v>
      </c>
      <c r="D284" s="7" t="s">
        <v>28</v>
      </c>
      <c r="E284" s="7" t="s">
        <v>29</v>
      </c>
      <c r="F284" s="1">
        <f t="shared" si="8"/>
        <v>42125</v>
      </c>
      <c r="G284" s="7" t="s">
        <v>312</v>
      </c>
      <c r="H284" s="7">
        <v>100.8301</v>
      </c>
      <c r="I284" t="str">
        <f t="shared" si="9"/>
        <v>2015-05-01</v>
      </c>
    </row>
    <row r="285" spans="1:9" x14ac:dyDescent="0.35">
      <c r="A285" s="7" t="s">
        <v>359</v>
      </c>
      <c r="B285" s="7" t="s">
        <v>26</v>
      </c>
      <c r="C285" s="7" t="s">
        <v>27</v>
      </c>
      <c r="D285" s="7" t="s">
        <v>28</v>
      </c>
      <c r="E285" s="7" t="s">
        <v>29</v>
      </c>
      <c r="F285" s="1">
        <f t="shared" si="8"/>
        <v>42156</v>
      </c>
      <c r="G285" s="7" t="s">
        <v>313</v>
      </c>
      <c r="H285" s="7">
        <v>100.8442</v>
      </c>
      <c r="I285" t="str">
        <f t="shared" si="9"/>
        <v>2015-06-01</v>
      </c>
    </row>
    <row r="286" spans="1:9" x14ac:dyDescent="0.35">
      <c r="A286" s="7" t="s">
        <v>359</v>
      </c>
      <c r="B286" s="7" t="s">
        <v>26</v>
      </c>
      <c r="C286" s="7" t="s">
        <v>27</v>
      </c>
      <c r="D286" s="7" t="s">
        <v>28</v>
      </c>
      <c r="E286" s="7" t="s">
        <v>29</v>
      </c>
      <c r="F286" s="1">
        <f t="shared" si="8"/>
        <v>42186</v>
      </c>
      <c r="G286" s="7" t="s">
        <v>314</v>
      </c>
      <c r="H286" s="7">
        <v>100.7298</v>
      </c>
      <c r="I286" t="str">
        <f t="shared" si="9"/>
        <v>2015-07-01</v>
      </c>
    </row>
    <row r="287" spans="1:9" x14ac:dyDescent="0.35">
      <c r="A287" s="7" t="s">
        <v>359</v>
      </c>
      <c r="B287" s="7" t="s">
        <v>26</v>
      </c>
      <c r="C287" s="7" t="s">
        <v>27</v>
      </c>
      <c r="D287" s="7" t="s">
        <v>28</v>
      </c>
      <c r="E287" s="7" t="s">
        <v>29</v>
      </c>
      <c r="F287" s="1">
        <f t="shared" si="8"/>
        <v>42217</v>
      </c>
      <c r="G287" s="7" t="s">
        <v>315</v>
      </c>
      <c r="H287" s="7">
        <v>100.541</v>
      </c>
      <c r="I287" t="str">
        <f t="shared" si="9"/>
        <v>2015-08-01</v>
      </c>
    </row>
    <row r="288" spans="1:9" x14ac:dyDescent="0.35">
      <c r="A288" s="7" t="s">
        <v>359</v>
      </c>
      <c r="B288" s="7" t="s">
        <v>26</v>
      </c>
      <c r="C288" s="7" t="s">
        <v>27</v>
      </c>
      <c r="D288" s="7" t="s">
        <v>28</v>
      </c>
      <c r="E288" s="7" t="s">
        <v>29</v>
      </c>
      <c r="F288" s="1">
        <f t="shared" si="8"/>
        <v>42248</v>
      </c>
      <c r="G288" s="7" t="s">
        <v>316</v>
      </c>
      <c r="H288" s="7">
        <v>100.3708</v>
      </c>
      <c r="I288" t="str">
        <f t="shared" si="9"/>
        <v>2015-09-01</v>
      </c>
    </row>
    <row r="289" spans="1:9" x14ac:dyDescent="0.35">
      <c r="A289" s="7" t="s">
        <v>359</v>
      </c>
      <c r="B289" s="7" t="s">
        <v>26</v>
      </c>
      <c r="C289" s="7" t="s">
        <v>27</v>
      </c>
      <c r="D289" s="7" t="s">
        <v>28</v>
      </c>
      <c r="E289" s="7" t="s">
        <v>29</v>
      </c>
      <c r="F289" s="1">
        <f t="shared" si="8"/>
        <v>42278</v>
      </c>
      <c r="G289" s="7" t="s">
        <v>317</v>
      </c>
      <c r="H289" s="7">
        <v>100.3999</v>
      </c>
      <c r="I289" t="str">
        <f t="shared" si="9"/>
        <v>2015-10-01</v>
      </c>
    </row>
    <row r="290" spans="1:9" x14ac:dyDescent="0.35">
      <c r="A290" s="7" t="s">
        <v>359</v>
      </c>
      <c r="B290" s="7" t="s">
        <v>26</v>
      </c>
      <c r="C290" s="7" t="s">
        <v>27</v>
      </c>
      <c r="D290" s="7" t="s">
        <v>28</v>
      </c>
      <c r="E290" s="7" t="s">
        <v>29</v>
      </c>
      <c r="F290" s="1">
        <f t="shared" si="8"/>
        <v>42309</v>
      </c>
      <c r="G290" s="7" t="s">
        <v>318</v>
      </c>
      <c r="H290" s="7">
        <v>100.51609999999999</v>
      </c>
      <c r="I290" t="str">
        <f t="shared" si="9"/>
        <v>2015-11-01</v>
      </c>
    </row>
    <row r="291" spans="1:9" x14ac:dyDescent="0.35">
      <c r="A291" s="7" t="s">
        <v>359</v>
      </c>
      <c r="B291" s="7" t="s">
        <v>26</v>
      </c>
      <c r="C291" s="7" t="s">
        <v>27</v>
      </c>
      <c r="D291" s="7" t="s">
        <v>28</v>
      </c>
      <c r="E291" s="7" t="s">
        <v>29</v>
      </c>
      <c r="F291" s="1">
        <f t="shared" si="8"/>
        <v>42339</v>
      </c>
      <c r="G291" s="7" t="s">
        <v>319</v>
      </c>
      <c r="H291" s="7">
        <v>100.61279999999999</v>
      </c>
      <c r="I291" t="str">
        <f t="shared" si="9"/>
        <v>2015-12-01</v>
      </c>
    </row>
    <row r="292" spans="1:9" x14ac:dyDescent="0.35">
      <c r="A292" s="7" t="s">
        <v>359</v>
      </c>
      <c r="B292" s="7" t="s">
        <v>26</v>
      </c>
      <c r="C292" s="7" t="s">
        <v>27</v>
      </c>
      <c r="D292" s="7" t="s">
        <v>28</v>
      </c>
      <c r="E292" s="7" t="s">
        <v>29</v>
      </c>
      <c r="F292" s="1">
        <f t="shared" si="8"/>
        <v>42370</v>
      </c>
      <c r="G292" s="7" t="s">
        <v>320</v>
      </c>
      <c r="H292" s="7">
        <v>100.6259</v>
      </c>
      <c r="I292" t="str">
        <f t="shared" si="9"/>
        <v>2016-01-01</v>
      </c>
    </row>
    <row r="293" spans="1:9" x14ac:dyDescent="0.35">
      <c r="A293" s="7" t="s">
        <v>359</v>
      </c>
      <c r="B293" s="7" t="s">
        <v>26</v>
      </c>
      <c r="C293" s="7" t="s">
        <v>27</v>
      </c>
      <c r="D293" s="7" t="s">
        <v>28</v>
      </c>
      <c r="E293" s="7" t="s">
        <v>29</v>
      </c>
      <c r="F293" s="1">
        <f t="shared" si="8"/>
        <v>42401</v>
      </c>
      <c r="G293" s="7" t="s">
        <v>321</v>
      </c>
      <c r="H293" s="7">
        <v>100.5886</v>
      </c>
      <c r="I293" t="str">
        <f t="shared" si="9"/>
        <v>2016-02-01</v>
      </c>
    </row>
    <row r="294" spans="1:9" x14ac:dyDescent="0.35">
      <c r="A294" s="7" t="s">
        <v>359</v>
      </c>
      <c r="B294" s="7" t="s">
        <v>26</v>
      </c>
      <c r="C294" s="7" t="s">
        <v>27</v>
      </c>
      <c r="D294" s="7" t="s">
        <v>28</v>
      </c>
      <c r="E294" s="7" t="s">
        <v>29</v>
      </c>
      <c r="F294" s="1">
        <f t="shared" si="8"/>
        <v>42430</v>
      </c>
      <c r="G294" s="7" t="s">
        <v>322</v>
      </c>
      <c r="H294" s="7">
        <v>100.5489</v>
      </c>
      <c r="I294" t="str">
        <f t="shared" si="9"/>
        <v>2016-03-01</v>
      </c>
    </row>
    <row r="295" spans="1:9" x14ac:dyDescent="0.35">
      <c r="A295" s="7" t="s">
        <v>359</v>
      </c>
      <c r="B295" s="7" t="s">
        <v>26</v>
      </c>
      <c r="C295" s="7" t="s">
        <v>27</v>
      </c>
      <c r="D295" s="7" t="s">
        <v>28</v>
      </c>
      <c r="E295" s="7" t="s">
        <v>29</v>
      </c>
      <c r="F295" s="1">
        <f t="shared" si="8"/>
        <v>42461</v>
      </c>
      <c r="G295" s="7" t="s">
        <v>323</v>
      </c>
      <c r="H295" s="7">
        <v>100.57089999999999</v>
      </c>
      <c r="I295" t="str">
        <f t="shared" si="9"/>
        <v>2016-04-01</v>
      </c>
    </row>
    <row r="296" spans="1:9" x14ac:dyDescent="0.35">
      <c r="A296" s="7" t="s">
        <v>359</v>
      </c>
      <c r="B296" s="7" t="s">
        <v>26</v>
      </c>
      <c r="C296" s="7" t="s">
        <v>27</v>
      </c>
      <c r="D296" s="7" t="s">
        <v>28</v>
      </c>
      <c r="E296" s="7" t="s">
        <v>29</v>
      </c>
      <c r="F296" s="1">
        <f t="shared" si="8"/>
        <v>42491</v>
      </c>
      <c r="G296" s="7" t="s">
        <v>324</v>
      </c>
      <c r="H296" s="7">
        <v>100.69289999999999</v>
      </c>
      <c r="I296" t="str">
        <f t="shared" si="9"/>
        <v>2016-05-01</v>
      </c>
    </row>
    <row r="297" spans="1:9" x14ac:dyDescent="0.35">
      <c r="A297" s="7" t="s">
        <v>359</v>
      </c>
      <c r="B297" s="7" t="s">
        <v>26</v>
      </c>
      <c r="C297" s="7" t="s">
        <v>27</v>
      </c>
      <c r="D297" s="7" t="s">
        <v>28</v>
      </c>
      <c r="E297" s="7" t="s">
        <v>29</v>
      </c>
      <c r="F297" s="1">
        <f t="shared" si="8"/>
        <v>42522</v>
      </c>
      <c r="G297" s="7" t="s">
        <v>325</v>
      </c>
      <c r="H297" s="7">
        <v>100.6709</v>
      </c>
      <c r="I297" t="str">
        <f t="shared" si="9"/>
        <v>2016-06-01</v>
      </c>
    </row>
    <row r="298" spans="1:9" x14ac:dyDescent="0.35">
      <c r="A298" s="7" t="s">
        <v>359</v>
      </c>
      <c r="B298" s="7" t="s">
        <v>26</v>
      </c>
      <c r="C298" s="7" t="s">
        <v>27</v>
      </c>
      <c r="D298" s="7" t="s">
        <v>28</v>
      </c>
      <c r="E298" s="7" t="s">
        <v>29</v>
      </c>
      <c r="F298" s="1">
        <f t="shared" si="8"/>
        <v>42552</v>
      </c>
      <c r="G298" s="7" t="s">
        <v>326</v>
      </c>
      <c r="H298" s="7">
        <v>100.5247</v>
      </c>
      <c r="I298" t="str">
        <f t="shared" si="9"/>
        <v>2016-07-01</v>
      </c>
    </row>
    <row r="299" spans="1:9" x14ac:dyDescent="0.35">
      <c r="A299" s="7" t="s">
        <v>359</v>
      </c>
      <c r="B299" s="7" t="s">
        <v>26</v>
      </c>
      <c r="C299" s="7" t="s">
        <v>27</v>
      </c>
      <c r="D299" s="7" t="s">
        <v>28</v>
      </c>
      <c r="E299" s="7" t="s">
        <v>29</v>
      </c>
      <c r="F299" s="1">
        <f t="shared" si="8"/>
        <v>42583</v>
      </c>
      <c r="G299" s="7" t="s">
        <v>327</v>
      </c>
      <c r="H299" s="7">
        <v>100.4191</v>
      </c>
      <c r="I299" t="str">
        <f t="shared" si="9"/>
        <v>2016-08-01</v>
      </c>
    </row>
    <row r="300" spans="1:9" x14ac:dyDescent="0.35">
      <c r="A300" s="7" t="s">
        <v>359</v>
      </c>
      <c r="B300" s="7" t="s">
        <v>26</v>
      </c>
      <c r="C300" s="7" t="s">
        <v>27</v>
      </c>
      <c r="D300" s="7" t="s">
        <v>28</v>
      </c>
      <c r="E300" s="7" t="s">
        <v>29</v>
      </c>
      <c r="F300" s="1">
        <f t="shared" si="8"/>
        <v>42614</v>
      </c>
      <c r="G300" s="7" t="s">
        <v>328</v>
      </c>
      <c r="H300" s="7">
        <v>100.4</v>
      </c>
      <c r="I300" t="str">
        <f t="shared" si="9"/>
        <v>2016-09-01</v>
      </c>
    </row>
    <row r="301" spans="1:9" x14ac:dyDescent="0.35">
      <c r="A301" s="7" t="s">
        <v>359</v>
      </c>
      <c r="B301" s="7" t="s">
        <v>26</v>
      </c>
      <c r="C301" s="7" t="s">
        <v>27</v>
      </c>
      <c r="D301" s="7" t="s">
        <v>28</v>
      </c>
      <c r="E301" s="7" t="s">
        <v>29</v>
      </c>
      <c r="F301" s="1">
        <f t="shared" si="8"/>
        <v>42644</v>
      </c>
      <c r="G301" s="7" t="s">
        <v>329</v>
      </c>
      <c r="H301" s="7">
        <v>100.47669999999999</v>
      </c>
      <c r="I301" t="str">
        <f t="shared" si="9"/>
        <v>2016-10-01</v>
      </c>
    </row>
    <row r="302" spans="1:9" x14ac:dyDescent="0.35">
      <c r="A302" s="7" t="s">
        <v>359</v>
      </c>
      <c r="B302" s="7" t="s">
        <v>26</v>
      </c>
      <c r="C302" s="7" t="s">
        <v>27</v>
      </c>
      <c r="D302" s="7" t="s">
        <v>28</v>
      </c>
      <c r="E302" s="7" t="s">
        <v>29</v>
      </c>
      <c r="F302" s="1">
        <f t="shared" si="8"/>
        <v>42675</v>
      </c>
      <c r="G302" s="7" t="s">
        <v>330</v>
      </c>
      <c r="H302" s="7">
        <v>100.8048</v>
      </c>
      <c r="I302" t="str">
        <f t="shared" si="9"/>
        <v>2016-11-01</v>
      </c>
    </row>
    <row r="303" spans="1:9" x14ac:dyDescent="0.35">
      <c r="A303" s="7" t="s">
        <v>359</v>
      </c>
      <c r="B303" s="7" t="s">
        <v>26</v>
      </c>
      <c r="C303" s="7" t="s">
        <v>27</v>
      </c>
      <c r="D303" s="7" t="s">
        <v>28</v>
      </c>
      <c r="E303" s="7" t="s">
        <v>29</v>
      </c>
      <c r="F303" s="1">
        <f t="shared" si="8"/>
        <v>42705</v>
      </c>
      <c r="G303" s="7" t="s">
        <v>331</v>
      </c>
      <c r="H303" s="7">
        <v>101.14109999999999</v>
      </c>
      <c r="I303" t="str">
        <f t="shared" si="9"/>
        <v>2016-12-01</v>
      </c>
    </row>
    <row r="304" spans="1:9" x14ac:dyDescent="0.35">
      <c r="A304" s="7" t="s">
        <v>359</v>
      </c>
      <c r="B304" s="7" t="s">
        <v>26</v>
      </c>
      <c r="C304" s="7" t="s">
        <v>27</v>
      </c>
      <c r="D304" s="7" t="s">
        <v>28</v>
      </c>
      <c r="E304" s="7" t="s">
        <v>29</v>
      </c>
      <c r="F304" s="1">
        <f t="shared" si="8"/>
        <v>42736</v>
      </c>
      <c r="G304" s="7" t="s">
        <v>332</v>
      </c>
      <c r="H304" s="7">
        <v>101.28879999999999</v>
      </c>
      <c r="I304" t="str">
        <f t="shared" si="9"/>
        <v>2017-01-01</v>
      </c>
    </row>
    <row r="305" spans="1:9" x14ac:dyDescent="0.35">
      <c r="A305" s="7" t="s">
        <v>359</v>
      </c>
      <c r="B305" s="7" t="s">
        <v>26</v>
      </c>
      <c r="C305" s="7" t="s">
        <v>27</v>
      </c>
      <c r="D305" s="7" t="s">
        <v>28</v>
      </c>
      <c r="E305" s="7" t="s">
        <v>29</v>
      </c>
      <c r="F305" s="1">
        <f t="shared" si="8"/>
        <v>42767</v>
      </c>
      <c r="G305" s="7" t="s">
        <v>333</v>
      </c>
      <c r="H305" s="7">
        <v>101.2766</v>
      </c>
      <c r="I305" t="str">
        <f t="shared" si="9"/>
        <v>2017-02-01</v>
      </c>
    </row>
    <row r="306" spans="1:9" x14ac:dyDescent="0.35">
      <c r="A306" s="7" t="s">
        <v>359</v>
      </c>
      <c r="B306" s="7" t="s">
        <v>26</v>
      </c>
      <c r="C306" s="7" t="s">
        <v>27</v>
      </c>
      <c r="D306" s="7" t="s">
        <v>28</v>
      </c>
      <c r="E306" s="7" t="s">
        <v>29</v>
      </c>
      <c r="F306" s="1">
        <f t="shared" si="8"/>
        <v>42795</v>
      </c>
      <c r="G306" s="7" t="s">
        <v>334</v>
      </c>
      <c r="H306" s="7">
        <v>101.2461</v>
      </c>
      <c r="I306" t="str">
        <f t="shared" si="9"/>
        <v>2017-03-01</v>
      </c>
    </row>
    <row r="307" spans="1:9" x14ac:dyDescent="0.35">
      <c r="A307" s="7" t="s">
        <v>359</v>
      </c>
      <c r="B307" s="7" t="s">
        <v>26</v>
      </c>
      <c r="C307" s="7" t="s">
        <v>27</v>
      </c>
      <c r="D307" s="7" t="s">
        <v>28</v>
      </c>
      <c r="E307" s="7" t="s">
        <v>29</v>
      </c>
      <c r="F307" s="1">
        <f t="shared" si="8"/>
        <v>42826</v>
      </c>
      <c r="G307" s="7" t="s">
        <v>335</v>
      </c>
      <c r="H307" s="7">
        <v>101.20659999999999</v>
      </c>
      <c r="I307" t="str">
        <f t="shared" si="9"/>
        <v>2017-04-01</v>
      </c>
    </row>
    <row r="308" spans="1:9" x14ac:dyDescent="0.35">
      <c r="A308" s="7" t="s">
        <v>359</v>
      </c>
      <c r="B308" s="7" t="s">
        <v>26</v>
      </c>
      <c r="C308" s="7" t="s">
        <v>27</v>
      </c>
      <c r="D308" s="7" t="s">
        <v>28</v>
      </c>
      <c r="E308" s="7" t="s">
        <v>29</v>
      </c>
      <c r="F308" s="1">
        <f t="shared" si="8"/>
        <v>42856</v>
      </c>
      <c r="G308" s="7" t="s">
        <v>336</v>
      </c>
      <c r="H308" s="7">
        <v>101.1356</v>
      </c>
      <c r="I308" t="str">
        <f t="shared" si="9"/>
        <v>2017-05-01</v>
      </c>
    </row>
    <row r="309" spans="1:9" x14ac:dyDescent="0.35">
      <c r="A309" s="7" t="s">
        <v>359</v>
      </c>
      <c r="B309" s="7" t="s">
        <v>26</v>
      </c>
      <c r="C309" s="7" t="s">
        <v>27</v>
      </c>
      <c r="D309" s="7" t="s">
        <v>28</v>
      </c>
      <c r="E309" s="7" t="s">
        <v>29</v>
      </c>
      <c r="F309" s="1">
        <f t="shared" si="8"/>
        <v>42887</v>
      </c>
      <c r="G309" s="7" t="s">
        <v>337</v>
      </c>
      <c r="H309" s="7">
        <v>101.0303</v>
      </c>
      <c r="I309" t="str">
        <f t="shared" si="9"/>
        <v>2017-06-01</v>
      </c>
    </row>
    <row r="310" spans="1:9" x14ac:dyDescent="0.35">
      <c r="A310" s="7" t="s">
        <v>359</v>
      </c>
      <c r="B310" s="7" t="s">
        <v>26</v>
      </c>
      <c r="C310" s="7" t="s">
        <v>27</v>
      </c>
      <c r="D310" s="7" t="s">
        <v>28</v>
      </c>
      <c r="E310" s="7" t="s">
        <v>29</v>
      </c>
      <c r="F310" s="1">
        <f t="shared" si="8"/>
        <v>42917</v>
      </c>
      <c r="G310" s="7" t="s">
        <v>338</v>
      </c>
      <c r="H310" s="7">
        <v>100.9897</v>
      </c>
      <c r="I310" t="str">
        <f t="shared" si="9"/>
        <v>2017-07-01</v>
      </c>
    </row>
    <row r="311" spans="1:9" x14ac:dyDescent="0.35">
      <c r="A311" s="7" t="s">
        <v>359</v>
      </c>
      <c r="B311" s="7" t="s">
        <v>26</v>
      </c>
      <c r="C311" s="7" t="s">
        <v>27</v>
      </c>
      <c r="D311" s="7" t="s">
        <v>28</v>
      </c>
      <c r="E311" s="7" t="s">
        <v>29</v>
      </c>
      <c r="F311" s="1">
        <f t="shared" si="8"/>
        <v>42948</v>
      </c>
      <c r="G311" s="7" t="s">
        <v>339</v>
      </c>
      <c r="H311" s="7">
        <v>101.08629999999999</v>
      </c>
      <c r="I311" t="str">
        <f t="shared" si="9"/>
        <v>2017-08-01</v>
      </c>
    </row>
    <row r="312" spans="1:9" x14ac:dyDescent="0.35">
      <c r="A312" s="7" t="s">
        <v>359</v>
      </c>
      <c r="B312" s="7" t="s">
        <v>26</v>
      </c>
      <c r="C312" s="7" t="s">
        <v>27</v>
      </c>
      <c r="D312" s="7" t="s">
        <v>28</v>
      </c>
      <c r="E312" s="7" t="s">
        <v>29</v>
      </c>
      <c r="F312" s="1">
        <f t="shared" si="8"/>
        <v>42979</v>
      </c>
      <c r="G312" s="7" t="s">
        <v>340</v>
      </c>
      <c r="H312" s="7">
        <v>101.2071</v>
      </c>
      <c r="I312" t="str">
        <f t="shared" si="9"/>
        <v>2017-09-01</v>
      </c>
    </row>
    <row r="313" spans="1:9" x14ac:dyDescent="0.35">
      <c r="A313" s="7" t="s">
        <v>359</v>
      </c>
      <c r="B313" s="7" t="s">
        <v>26</v>
      </c>
      <c r="C313" s="7" t="s">
        <v>27</v>
      </c>
      <c r="D313" s="7" t="s">
        <v>28</v>
      </c>
      <c r="E313" s="7" t="s">
        <v>29</v>
      </c>
      <c r="F313" s="1">
        <f t="shared" si="8"/>
        <v>43009</v>
      </c>
      <c r="G313" s="7" t="s">
        <v>341</v>
      </c>
      <c r="H313" s="7">
        <v>101.3554</v>
      </c>
      <c r="I313" t="str">
        <f t="shared" si="9"/>
        <v>2017-10-01</v>
      </c>
    </row>
    <row r="314" spans="1:9" x14ac:dyDescent="0.35">
      <c r="A314" s="7" t="s">
        <v>359</v>
      </c>
      <c r="B314" s="7" t="s">
        <v>26</v>
      </c>
      <c r="C314" s="7" t="s">
        <v>27</v>
      </c>
      <c r="D314" s="7" t="s">
        <v>28</v>
      </c>
      <c r="E314" s="7" t="s">
        <v>29</v>
      </c>
      <c r="F314" s="1">
        <f t="shared" si="8"/>
        <v>43040</v>
      </c>
      <c r="G314" s="7" t="s">
        <v>342</v>
      </c>
      <c r="H314" s="7">
        <v>101.3308</v>
      </c>
      <c r="I314" t="str">
        <f t="shared" si="9"/>
        <v>2017-11-01</v>
      </c>
    </row>
    <row r="315" spans="1:9" x14ac:dyDescent="0.35">
      <c r="A315" s="7" t="s">
        <v>359</v>
      </c>
      <c r="B315" s="7" t="s">
        <v>26</v>
      </c>
      <c r="C315" s="7" t="s">
        <v>27</v>
      </c>
      <c r="D315" s="7" t="s">
        <v>28</v>
      </c>
      <c r="E315" s="7" t="s">
        <v>29</v>
      </c>
      <c r="F315" s="1">
        <f t="shared" si="8"/>
        <v>43070</v>
      </c>
      <c r="G315" s="7" t="s">
        <v>343</v>
      </c>
      <c r="H315" s="7">
        <v>101.2372</v>
      </c>
      <c r="I315" t="str">
        <f t="shared" si="9"/>
        <v>2017-12-01</v>
      </c>
    </row>
    <row r="316" spans="1:9" x14ac:dyDescent="0.35">
      <c r="A316" s="7" t="s">
        <v>359</v>
      </c>
      <c r="B316" s="7" t="s">
        <v>26</v>
      </c>
      <c r="C316" s="7" t="s">
        <v>27</v>
      </c>
      <c r="D316" s="7" t="s">
        <v>28</v>
      </c>
      <c r="E316" s="7" t="s">
        <v>29</v>
      </c>
      <c r="F316" s="1">
        <f t="shared" si="8"/>
        <v>43101</v>
      </c>
      <c r="G316" s="7" t="s">
        <v>344</v>
      </c>
      <c r="H316" s="7">
        <v>101.2492</v>
      </c>
      <c r="I316" t="str">
        <f t="shared" si="9"/>
        <v>2018-01-01</v>
      </c>
    </row>
    <row r="317" spans="1:9" x14ac:dyDescent="0.35">
      <c r="A317" s="7" t="s">
        <v>359</v>
      </c>
      <c r="B317" s="7" t="s">
        <v>26</v>
      </c>
      <c r="C317" s="7" t="s">
        <v>27</v>
      </c>
      <c r="D317" s="7" t="s">
        <v>28</v>
      </c>
      <c r="E317" s="7" t="s">
        <v>29</v>
      </c>
      <c r="F317" s="1">
        <f t="shared" si="8"/>
        <v>43132</v>
      </c>
      <c r="G317" s="7" t="s">
        <v>345</v>
      </c>
      <c r="H317" s="7">
        <v>101.4019</v>
      </c>
      <c r="I317" t="str">
        <f t="shared" si="9"/>
        <v>2018-02-01</v>
      </c>
    </row>
  </sheetData>
  <autoFilter ref="A1:H317" xr:uid="{F09B5553-04A1-4B77-9930-B3CC48ACD32A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383E8-83D6-45BA-AC0C-E3C33C7A5C9F}">
  <dimension ref="A1:E11"/>
  <sheetViews>
    <sheetView workbookViewId="0">
      <selection activeCell="A2" sqref="A2"/>
    </sheetView>
  </sheetViews>
  <sheetFormatPr defaultRowHeight="14.5" x14ac:dyDescent="0.35"/>
  <sheetData>
    <row r="1" spans="1:5" x14ac:dyDescent="0.35">
      <c r="B1" t="s">
        <v>5</v>
      </c>
      <c r="C1" t="s">
        <v>2</v>
      </c>
      <c r="D1" t="s">
        <v>3</v>
      </c>
      <c r="E1" t="s">
        <v>4</v>
      </c>
    </row>
    <row r="2" spans="1:5" x14ac:dyDescent="0.35">
      <c r="A2">
        <v>2008</v>
      </c>
      <c r="B2">
        <v>2745035409</v>
      </c>
      <c r="C2">
        <v>1425990183</v>
      </c>
      <c r="D2">
        <v>354315825</v>
      </c>
      <c r="E2">
        <v>964729401</v>
      </c>
    </row>
    <row r="3" spans="1:5" x14ac:dyDescent="0.35">
      <c r="A3">
        <v>2009</v>
      </c>
      <c r="B3">
        <v>2345337177</v>
      </c>
      <c r="C3">
        <v>1190382757</v>
      </c>
      <c r="D3">
        <v>225481588</v>
      </c>
      <c r="E3">
        <v>929472832</v>
      </c>
    </row>
    <row r="4" spans="1:5" x14ac:dyDescent="0.35">
      <c r="A4">
        <v>2010</v>
      </c>
      <c r="B4">
        <v>2345055978</v>
      </c>
      <c r="C4">
        <v>1175989528</v>
      </c>
      <c r="D4">
        <v>277937220</v>
      </c>
      <c r="E4">
        <v>891129230</v>
      </c>
    </row>
    <row r="5" spans="1:5" x14ac:dyDescent="0.35">
      <c r="A5">
        <v>2011</v>
      </c>
      <c r="B5">
        <v>2414952109</v>
      </c>
      <c r="C5">
        <v>1346182227</v>
      </c>
      <c r="D5">
        <v>242848122</v>
      </c>
      <c r="E5">
        <v>825921760</v>
      </c>
    </row>
    <row r="6" spans="1:5" x14ac:dyDescent="0.35">
      <c r="A6">
        <v>2012</v>
      </c>
      <c r="B6">
        <v>2524320134</v>
      </c>
      <c r="C6">
        <v>1387836515</v>
      </c>
      <c r="D6">
        <v>281461580</v>
      </c>
      <c r="E6">
        <v>855022039</v>
      </c>
    </row>
    <row r="7" spans="1:5" x14ac:dyDescent="0.35">
      <c r="A7">
        <v>2013</v>
      </c>
      <c r="B7">
        <v>2855059420</v>
      </c>
      <c r="C7">
        <v>1564354494</v>
      </c>
      <c r="D7">
        <v>311993954</v>
      </c>
      <c r="E7">
        <v>978710972</v>
      </c>
    </row>
    <row r="8" spans="1:5" x14ac:dyDescent="0.35">
      <c r="A8">
        <v>2014</v>
      </c>
      <c r="B8">
        <v>3064301358</v>
      </c>
      <c r="C8">
        <v>1643623968</v>
      </c>
      <c r="D8">
        <v>353141112</v>
      </c>
      <c r="E8">
        <v>1067536278</v>
      </c>
    </row>
    <row r="9" spans="1:5" x14ac:dyDescent="0.35">
      <c r="A9">
        <v>2015</v>
      </c>
      <c r="B9">
        <v>3302677258</v>
      </c>
      <c r="C9">
        <v>1793185699</v>
      </c>
      <c r="D9">
        <v>389888722</v>
      </c>
      <c r="E9">
        <v>1119602837</v>
      </c>
    </row>
    <row r="10" spans="1:5" x14ac:dyDescent="0.35">
      <c r="A10">
        <v>2016</v>
      </c>
      <c r="B10">
        <v>3333449083</v>
      </c>
      <c r="C10">
        <v>1815819135</v>
      </c>
      <c r="D10">
        <v>345552427</v>
      </c>
      <c r="E10">
        <v>1172077521</v>
      </c>
    </row>
    <row r="11" spans="1:5" x14ac:dyDescent="0.35">
      <c r="A11">
        <v>2017</v>
      </c>
      <c r="B11">
        <v>3416714139</v>
      </c>
      <c r="C11">
        <v>1867427797</v>
      </c>
      <c r="D11">
        <v>338529154</v>
      </c>
      <c r="E11">
        <v>1210757188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31CE7-B4D5-48F3-AA1B-9688CDEE9B1A}">
  <dimension ref="A1:B325"/>
  <sheetViews>
    <sheetView workbookViewId="0">
      <selection activeCell="C5" sqref="A1:XFD1048576"/>
    </sheetView>
  </sheetViews>
  <sheetFormatPr defaultColWidth="20.7265625" defaultRowHeight="14.5" x14ac:dyDescent="0.35"/>
  <cols>
    <col min="1" max="1" width="20.7265625" style="8" customWidth="1"/>
    <col min="2" max="16384" width="20.7265625" style="8"/>
  </cols>
  <sheetData>
    <row r="1" spans="1:2" x14ac:dyDescent="0.35">
      <c r="A1" s="8" t="s">
        <v>6</v>
      </c>
    </row>
    <row r="2" spans="1:2" x14ac:dyDescent="0.35">
      <c r="A2" s="8" t="s">
        <v>7</v>
      </c>
    </row>
    <row r="3" spans="1:2" x14ac:dyDescent="0.35">
      <c r="A3" s="8" t="s">
        <v>8</v>
      </c>
    </row>
    <row r="4" spans="1:2" x14ac:dyDescent="0.35">
      <c r="A4" s="8" t="s">
        <v>9</v>
      </c>
    </row>
    <row r="5" spans="1:2" x14ac:dyDescent="0.35">
      <c r="A5" s="8" t="s">
        <v>10</v>
      </c>
    </row>
    <row r="6" spans="1:2" x14ac:dyDescent="0.35">
      <c r="A6" s="8" t="s">
        <v>11</v>
      </c>
    </row>
    <row r="8" spans="1:2" x14ac:dyDescent="0.35">
      <c r="A8" s="8" t="s">
        <v>467</v>
      </c>
      <c r="B8" s="8" t="s">
        <v>468</v>
      </c>
    </row>
    <row r="10" spans="1:2" x14ac:dyDescent="0.35">
      <c r="A10" s="8" t="s">
        <v>14</v>
      </c>
    </row>
    <row r="11" spans="1:2" x14ac:dyDescent="0.35">
      <c r="A11" s="8" t="s">
        <v>15</v>
      </c>
      <c r="B11" s="8" t="s">
        <v>467</v>
      </c>
    </row>
    <row r="12" spans="1:2" x14ac:dyDescent="0.35">
      <c r="A12" s="57">
        <v>33604</v>
      </c>
      <c r="B12" s="58">
        <v>10845</v>
      </c>
    </row>
    <row r="13" spans="1:2" x14ac:dyDescent="0.35">
      <c r="A13" s="57">
        <v>33635</v>
      </c>
      <c r="B13" s="58">
        <v>10904</v>
      </c>
    </row>
    <row r="14" spans="1:2" x14ac:dyDescent="0.35">
      <c r="A14" s="57">
        <v>33664</v>
      </c>
      <c r="B14" s="58">
        <v>10986</v>
      </c>
    </row>
    <row r="15" spans="1:2" x14ac:dyDescent="0.35">
      <c r="A15" s="57">
        <v>33695</v>
      </c>
      <c r="B15" s="58">
        <v>10738</v>
      </c>
    </row>
    <row r="16" spans="1:2" x14ac:dyDescent="0.35">
      <c r="A16" s="57">
        <v>33725</v>
      </c>
      <c r="B16" s="58">
        <v>10777</v>
      </c>
    </row>
    <row r="17" spans="1:2" x14ac:dyDescent="0.35">
      <c r="A17" s="57">
        <v>33756</v>
      </c>
      <c r="B17" s="58">
        <v>10790</v>
      </c>
    </row>
    <row r="18" spans="1:2" x14ac:dyDescent="0.35">
      <c r="A18" s="57">
        <v>33786</v>
      </c>
      <c r="B18" s="58">
        <v>10785</v>
      </c>
    </row>
    <row r="19" spans="1:2" x14ac:dyDescent="0.35">
      <c r="A19" s="57">
        <v>33817</v>
      </c>
      <c r="B19" s="58">
        <v>10915</v>
      </c>
    </row>
    <row r="20" spans="1:2" x14ac:dyDescent="0.35">
      <c r="A20" s="57">
        <v>33848</v>
      </c>
      <c r="B20" s="58">
        <v>10980</v>
      </c>
    </row>
    <row r="21" spans="1:2" x14ac:dyDescent="0.35">
      <c r="A21" s="57">
        <v>33878</v>
      </c>
      <c r="B21" s="58">
        <v>10971</v>
      </c>
    </row>
    <row r="22" spans="1:2" x14ac:dyDescent="0.35">
      <c r="A22" s="57">
        <v>33909</v>
      </c>
      <c r="B22" s="58">
        <v>10873</v>
      </c>
    </row>
    <row r="23" spans="1:2" x14ac:dyDescent="0.35">
      <c r="A23" s="57">
        <v>33939</v>
      </c>
      <c r="B23" s="58">
        <v>11082</v>
      </c>
    </row>
    <row r="24" spans="1:2" x14ac:dyDescent="0.35">
      <c r="A24" s="57">
        <v>33970</v>
      </c>
      <c r="B24" s="58">
        <v>11333</v>
      </c>
    </row>
    <row r="25" spans="1:2" x14ac:dyDescent="0.35">
      <c r="A25" s="57">
        <v>34001</v>
      </c>
      <c r="B25" s="58">
        <v>11410</v>
      </c>
    </row>
    <row r="26" spans="1:2" x14ac:dyDescent="0.35">
      <c r="A26" s="57">
        <v>34029</v>
      </c>
      <c r="B26" s="58">
        <v>11184</v>
      </c>
    </row>
    <row r="27" spans="1:2" x14ac:dyDescent="0.35">
      <c r="A27" s="57">
        <v>34060</v>
      </c>
      <c r="B27" s="58">
        <v>11417</v>
      </c>
    </row>
    <row r="28" spans="1:2" x14ac:dyDescent="0.35">
      <c r="A28" s="57">
        <v>34090</v>
      </c>
      <c r="B28" s="58">
        <v>11720</v>
      </c>
    </row>
    <row r="29" spans="1:2" x14ac:dyDescent="0.35">
      <c r="A29" s="57">
        <v>34121</v>
      </c>
      <c r="B29" s="58">
        <v>11669</v>
      </c>
    </row>
    <row r="30" spans="1:2" x14ac:dyDescent="0.35">
      <c r="A30" s="57">
        <v>34151</v>
      </c>
      <c r="B30" s="58">
        <v>11781</v>
      </c>
    </row>
    <row r="31" spans="1:2" x14ac:dyDescent="0.35">
      <c r="A31" s="57">
        <v>34182</v>
      </c>
      <c r="B31" s="58">
        <v>11875</v>
      </c>
    </row>
    <row r="32" spans="1:2" x14ac:dyDescent="0.35">
      <c r="A32" s="57">
        <v>34213</v>
      </c>
      <c r="B32" s="58">
        <v>11786</v>
      </c>
    </row>
    <row r="33" spans="1:2" x14ac:dyDescent="0.35">
      <c r="A33" s="57">
        <v>34243</v>
      </c>
      <c r="B33" s="58">
        <v>11908</v>
      </c>
    </row>
    <row r="34" spans="1:2" x14ac:dyDescent="0.35">
      <c r="A34" s="57">
        <v>34274</v>
      </c>
      <c r="B34" s="58">
        <v>12297</v>
      </c>
    </row>
    <row r="35" spans="1:2" x14ac:dyDescent="0.35">
      <c r="A35" s="57">
        <v>34304</v>
      </c>
      <c r="B35" s="58">
        <v>12583</v>
      </c>
    </row>
    <row r="36" spans="1:2" x14ac:dyDescent="0.35">
      <c r="A36" s="57">
        <v>34335</v>
      </c>
      <c r="B36" s="58">
        <v>12316</v>
      </c>
    </row>
    <row r="37" spans="1:2" x14ac:dyDescent="0.35">
      <c r="A37" s="57">
        <v>34366</v>
      </c>
      <c r="B37" s="58">
        <v>12233</v>
      </c>
    </row>
    <row r="38" spans="1:2" x14ac:dyDescent="0.35">
      <c r="A38" s="57">
        <v>34394</v>
      </c>
      <c r="B38" s="58">
        <v>12767</v>
      </c>
    </row>
    <row r="39" spans="1:2" x14ac:dyDescent="0.35">
      <c r="A39" s="57">
        <v>34425</v>
      </c>
      <c r="B39" s="58">
        <v>13076</v>
      </c>
    </row>
    <row r="40" spans="1:2" x14ac:dyDescent="0.35">
      <c r="A40" s="57">
        <v>34455</v>
      </c>
      <c r="B40" s="58">
        <v>13033</v>
      </c>
    </row>
    <row r="41" spans="1:2" x14ac:dyDescent="0.35">
      <c r="A41" s="57">
        <v>34486</v>
      </c>
      <c r="B41" s="58">
        <v>12987</v>
      </c>
    </row>
    <row r="42" spans="1:2" x14ac:dyDescent="0.35">
      <c r="A42" s="57">
        <v>34516</v>
      </c>
      <c r="B42" s="58">
        <v>13130</v>
      </c>
    </row>
    <row r="43" spans="1:2" x14ac:dyDescent="0.35">
      <c r="A43" s="57">
        <v>34547</v>
      </c>
      <c r="B43" s="58">
        <v>13224</v>
      </c>
    </row>
    <row r="44" spans="1:2" x14ac:dyDescent="0.35">
      <c r="A44" s="57">
        <v>34578</v>
      </c>
      <c r="B44" s="58">
        <v>13375</v>
      </c>
    </row>
    <row r="45" spans="1:2" x14ac:dyDescent="0.35">
      <c r="A45" s="57">
        <v>34608</v>
      </c>
      <c r="B45" s="58">
        <v>13550</v>
      </c>
    </row>
    <row r="46" spans="1:2" x14ac:dyDescent="0.35">
      <c r="A46" s="57">
        <v>34639</v>
      </c>
      <c r="B46" s="58">
        <v>13384</v>
      </c>
    </row>
    <row r="47" spans="1:2" x14ac:dyDescent="0.35">
      <c r="A47" s="57">
        <v>34669</v>
      </c>
      <c r="B47" s="58">
        <v>13981</v>
      </c>
    </row>
    <row r="48" spans="1:2" x14ac:dyDescent="0.35">
      <c r="A48" s="57">
        <v>34700</v>
      </c>
      <c r="B48" s="58">
        <v>13738</v>
      </c>
    </row>
    <row r="49" spans="1:2" x14ac:dyDescent="0.35">
      <c r="A49" s="57">
        <v>34731</v>
      </c>
      <c r="B49" s="58">
        <v>13613</v>
      </c>
    </row>
    <row r="50" spans="1:2" x14ac:dyDescent="0.35">
      <c r="A50" s="57">
        <v>34759</v>
      </c>
      <c r="B50" s="58">
        <v>13587</v>
      </c>
    </row>
    <row r="51" spans="1:2" x14ac:dyDescent="0.35">
      <c r="A51" s="57">
        <v>34790</v>
      </c>
      <c r="B51" s="58">
        <v>13415</v>
      </c>
    </row>
    <row r="52" spans="1:2" x14ac:dyDescent="0.35">
      <c r="A52" s="57">
        <v>34820</v>
      </c>
      <c r="B52" s="58">
        <v>13370</v>
      </c>
    </row>
    <row r="53" spans="1:2" x14ac:dyDescent="0.35">
      <c r="A53" s="57">
        <v>34851</v>
      </c>
      <c r="B53" s="58">
        <v>13548</v>
      </c>
    </row>
    <row r="54" spans="1:2" x14ac:dyDescent="0.35">
      <c r="A54" s="57">
        <v>34881</v>
      </c>
      <c r="B54" s="58">
        <v>13645</v>
      </c>
    </row>
    <row r="55" spans="1:2" x14ac:dyDescent="0.35">
      <c r="A55" s="57">
        <v>34912</v>
      </c>
      <c r="B55" s="58">
        <v>13683</v>
      </c>
    </row>
    <row r="56" spans="1:2" x14ac:dyDescent="0.35">
      <c r="A56" s="57">
        <v>34943</v>
      </c>
      <c r="B56" s="58">
        <v>13837</v>
      </c>
    </row>
    <row r="57" spans="1:2" x14ac:dyDescent="0.35">
      <c r="A57" s="57">
        <v>34973</v>
      </c>
      <c r="B57" s="58">
        <v>13932</v>
      </c>
    </row>
    <row r="58" spans="1:2" x14ac:dyDescent="0.35">
      <c r="A58" s="57">
        <v>35004</v>
      </c>
      <c r="B58" s="58">
        <v>14092</v>
      </c>
    </row>
    <row r="59" spans="1:2" x14ac:dyDescent="0.35">
      <c r="A59" s="57">
        <v>35034</v>
      </c>
      <c r="B59" s="58">
        <v>14683</v>
      </c>
    </row>
    <row r="60" spans="1:2" x14ac:dyDescent="0.35">
      <c r="A60" s="57">
        <v>35065</v>
      </c>
      <c r="B60" s="58">
        <v>14023</v>
      </c>
    </row>
    <row r="61" spans="1:2" x14ac:dyDescent="0.35">
      <c r="A61" s="57">
        <v>35096</v>
      </c>
      <c r="B61" s="58">
        <v>14036</v>
      </c>
    </row>
    <row r="62" spans="1:2" x14ac:dyDescent="0.35">
      <c r="A62" s="57">
        <v>35125</v>
      </c>
      <c r="B62" s="58">
        <v>14153</v>
      </c>
    </row>
    <row r="63" spans="1:2" x14ac:dyDescent="0.35">
      <c r="A63" s="57">
        <v>35156</v>
      </c>
      <c r="B63" s="58">
        <v>14340</v>
      </c>
    </row>
    <row r="64" spans="1:2" x14ac:dyDescent="0.35">
      <c r="A64" s="57">
        <v>35186</v>
      </c>
      <c r="B64" s="58">
        <v>14450</v>
      </c>
    </row>
    <row r="65" spans="1:2" x14ac:dyDescent="0.35">
      <c r="A65" s="57">
        <v>35217</v>
      </c>
      <c r="B65" s="58">
        <v>14902</v>
      </c>
    </row>
    <row r="66" spans="1:2" x14ac:dyDescent="0.35">
      <c r="A66" s="57">
        <v>35247</v>
      </c>
      <c r="B66" s="58">
        <v>14826</v>
      </c>
    </row>
    <row r="67" spans="1:2" x14ac:dyDescent="0.35">
      <c r="A67" s="57">
        <v>35278</v>
      </c>
      <c r="B67" s="58">
        <v>14981</v>
      </c>
    </row>
    <row r="68" spans="1:2" x14ac:dyDescent="0.35">
      <c r="A68" s="57">
        <v>35309</v>
      </c>
      <c r="B68" s="58">
        <v>14989</v>
      </c>
    </row>
    <row r="69" spans="1:2" x14ac:dyDescent="0.35">
      <c r="A69" s="57">
        <v>35339</v>
      </c>
      <c r="B69" s="58">
        <v>15040</v>
      </c>
    </row>
    <row r="70" spans="1:2" x14ac:dyDescent="0.35">
      <c r="A70" s="57">
        <v>35370</v>
      </c>
      <c r="B70" s="58">
        <v>15264</v>
      </c>
    </row>
    <row r="71" spans="1:2" x14ac:dyDescent="0.35">
      <c r="A71" s="57">
        <v>35400</v>
      </c>
      <c r="B71" s="58">
        <v>14980</v>
      </c>
    </row>
    <row r="72" spans="1:2" x14ac:dyDescent="0.35">
      <c r="A72" s="57">
        <v>35431</v>
      </c>
      <c r="B72" s="58">
        <v>15197</v>
      </c>
    </row>
    <row r="73" spans="1:2" x14ac:dyDescent="0.35">
      <c r="A73" s="57">
        <v>35462</v>
      </c>
      <c r="B73" s="58">
        <v>15561</v>
      </c>
    </row>
    <row r="74" spans="1:2" x14ac:dyDescent="0.35">
      <c r="A74" s="57">
        <v>35490</v>
      </c>
      <c r="B74" s="58">
        <v>15862</v>
      </c>
    </row>
    <row r="75" spans="1:2" x14ac:dyDescent="0.35">
      <c r="A75" s="57">
        <v>35521</v>
      </c>
      <c r="B75" s="58">
        <v>15709</v>
      </c>
    </row>
    <row r="76" spans="1:2" x14ac:dyDescent="0.35">
      <c r="A76" s="57">
        <v>35551</v>
      </c>
      <c r="B76" s="58">
        <v>15805</v>
      </c>
    </row>
    <row r="77" spans="1:2" x14ac:dyDescent="0.35">
      <c r="A77" s="57">
        <v>35582</v>
      </c>
      <c r="B77" s="58">
        <v>15918</v>
      </c>
    </row>
    <row r="78" spans="1:2" x14ac:dyDescent="0.35">
      <c r="A78" s="57">
        <v>35612</v>
      </c>
      <c r="B78" s="58">
        <v>15973</v>
      </c>
    </row>
    <row r="79" spans="1:2" x14ac:dyDescent="0.35">
      <c r="A79" s="57">
        <v>35643</v>
      </c>
      <c r="B79" s="58">
        <v>16027</v>
      </c>
    </row>
    <row r="80" spans="1:2" x14ac:dyDescent="0.35">
      <c r="A80" s="57">
        <v>35674</v>
      </c>
      <c r="B80" s="58">
        <v>16283</v>
      </c>
    </row>
    <row r="81" spans="1:2" x14ac:dyDescent="0.35">
      <c r="A81" s="57">
        <v>35704</v>
      </c>
      <c r="B81" s="58">
        <v>16232</v>
      </c>
    </row>
    <row r="82" spans="1:2" x14ac:dyDescent="0.35">
      <c r="A82" s="57">
        <v>35735</v>
      </c>
      <c r="B82" s="58">
        <v>16158</v>
      </c>
    </row>
    <row r="83" spans="1:2" x14ac:dyDescent="0.35">
      <c r="A83" s="57">
        <v>35765</v>
      </c>
      <c r="B83" s="58">
        <v>16356</v>
      </c>
    </row>
    <row r="84" spans="1:2" x14ac:dyDescent="0.35">
      <c r="A84" s="57">
        <v>35796</v>
      </c>
      <c r="B84" s="58">
        <v>16436</v>
      </c>
    </row>
    <row r="85" spans="1:2" x14ac:dyDescent="0.35">
      <c r="A85" s="57">
        <v>35827</v>
      </c>
      <c r="B85" s="58">
        <v>16462</v>
      </c>
    </row>
    <row r="86" spans="1:2" x14ac:dyDescent="0.35">
      <c r="A86" s="57">
        <v>35855</v>
      </c>
      <c r="B86" s="58">
        <v>16511</v>
      </c>
    </row>
    <row r="87" spans="1:2" x14ac:dyDescent="0.35">
      <c r="A87" s="57">
        <v>35886</v>
      </c>
      <c r="B87" s="58">
        <v>16716</v>
      </c>
    </row>
    <row r="88" spans="1:2" x14ac:dyDescent="0.35">
      <c r="A88" s="57">
        <v>35916</v>
      </c>
      <c r="B88" s="58">
        <v>16741</v>
      </c>
    </row>
    <row r="89" spans="1:2" x14ac:dyDescent="0.35">
      <c r="A89" s="57">
        <v>35947</v>
      </c>
      <c r="B89" s="58">
        <v>16662</v>
      </c>
    </row>
    <row r="90" spans="1:2" x14ac:dyDescent="0.35">
      <c r="A90" s="57">
        <v>35977</v>
      </c>
      <c r="B90" s="58">
        <v>16819</v>
      </c>
    </row>
    <row r="91" spans="1:2" x14ac:dyDescent="0.35">
      <c r="A91" s="57">
        <v>36008</v>
      </c>
      <c r="B91" s="58">
        <v>16828</v>
      </c>
    </row>
    <row r="92" spans="1:2" x14ac:dyDescent="0.35">
      <c r="A92" s="57">
        <v>36039</v>
      </c>
      <c r="B92" s="58">
        <v>16972</v>
      </c>
    </row>
    <row r="93" spans="1:2" x14ac:dyDescent="0.35">
      <c r="A93" s="57">
        <v>36069</v>
      </c>
      <c r="B93" s="58">
        <v>17209</v>
      </c>
    </row>
    <row r="94" spans="1:2" x14ac:dyDescent="0.35">
      <c r="A94" s="57">
        <v>36100</v>
      </c>
      <c r="B94" s="58">
        <v>17341</v>
      </c>
    </row>
    <row r="95" spans="1:2" x14ac:dyDescent="0.35">
      <c r="A95" s="57">
        <v>36130</v>
      </c>
      <c r="B95" s="58">
        <v>17702</v>
      </c>
    </row>
    <row r="96" spans="1:2" x14ac:dyDescent="0.35">
      <c r="A96" s="57">
        <v>36161</v>
      </c>
      <c r="B96" s="58">
        <v>17732</v>
      </c>
    </row>
    <row r="97" spans="1:2" x14ac:dyDescent="0.35">
      <c r="A97" s="57">
        <v>36192</v>
      </c>
      <c r="B97" s="58">
        <v>17943</v>
      </c>
    </row>
    <row r="98" spans="1:2" x14ac:dyDescent="0.35">
      <c r="A98" s="57">
        <v>36220</v>
      </c>
      <c r="B98" s="58">
        <v>17760</v>
      </c>
    </row>
    <row r="99" spans="1:2" x14ac:dyDescent="0.35">
      <c r="A99" s="57">
        <v>36251</v>
      </c>
      <c r="B99" s="58">
        <v>17791</v>
      </c>
    </row>
    <row r="100" spans="1:2" x14ac:dyDescent="0.35">
      <c r="A100" s="57">
        <v>36281</v>
      </c>
      <c r="B100" s="58">
        <v>17914</v>
      </c>
    </row>
    <row r="101" spans="1:2" x14ac:dyDescent="0.35">
      <c r="A101" s="57">
        <v>36312</v>
      </c>
      <c r="B101" s="58">
        <v>17969</v>
      </c>
    </row>
    <row r="102" spans="1:2" x14ac:dyDescent="0.35">
      <c r="A102" s="57">
        <v>36342</v>
      </c>
      <c r="B102" s="58">
        <v>18183</v>
      </c>
    </row>
    <row r="103" spans="1:2" x14ac:dyDescent="0.35">
      <c r="A103" s="57">
        <v>36373</v>
      </c>
      <c r="B103" s="58">
        <v>18341</v>
      </c>
    </row>
    <row r="104" spans="1:2" x14ac:dyDescent="0.35">
      <c r="A104" s="57">
        <v>36404</v>
      </c>
      <c r="B104" s="58">
        <v>18175</v>
      </c>
    </row>
    <row r="105" spans="1:2" x14ac:dyDescent="0.35">
      <c r="A105" s="57">
        <v>36434</v>
      </c>
      <c r="B105" s="58">
        <v>18606</v>
      </c>
    </row>
    <row r="106" spans="1:2" x14ac:dyDescent="0.35">
      <c r="A106" s="57">
        <v>36465</v>
      </c>
      <c r="B106" s="58">
        <v>18944</v>
      </c>
    </row>
    <row r="107" spans="1:2" x14ac:dyDescent="0.35">
      <c r="A107" s="57">
        <v>36495</v>
      </c>
      <c r="B107" s="58">
        <v>19125</v>
      </c>
    </row>
    <row r="108" spans="1:2" x14ac:dyDescent="0.35">
      <c r="A108" s="57">
        <v>36526</v>
      </c>
      <c r="B108" s="58">
        <v>19613</v>
      </c>
    </row>
    <row r="109" spans="1:2" x14ac:dyDescent="0.35">
      <c r="A109" s="57">
        <v>36557</v>
      </c>
      <c r="B109" s="58">
        <v>19193</v>
      </c>
    </row>
    <row r="110" spans="1:2" x14ac:dyDescent="0.35">
      <c r="A110" s="57">
        <v>36586</v>
      </c>
      <c r="B110" s="58">
        <v>20175</v>
      </c>
    </row>
    <row r="111" spans="1:2" x14ac:dyDescent="0.35">
      <c r="A111" s="57">
        <v>36617</v>
      </c>
      <c r="B111" s="58">
        <v>18986</v>
      </c>
    </row>
    <row r="112" spans="1:2" x14ac:dyDescent="0.35">
      <c r="A112" s="57">
        <v>36647</v>
      </c>
      <c r="B112" s="58">
        <v>18941</v>
      </c>
    </row>
    <row r="113" spans="1:2" x14ac:dyDescent="0.35">
      <c r="A113" s="57">
        <v>36678</v>
      </c>
      <c r="B113" s="58">
        <v>18878</v>
      </c>
    </row>
    <row r="114" spans="1:2" x14ac:dyDescent="0.35">
      <c r="A114" s="57">
        <v>36708</v>
      </c>
      <c r="B114" s="58">
        <v>18982</v>
      </c>
    </row>
    <row r="115" spans="1:2" x14ac:dyDescent="0.35">
      <c r="A115" s="57">
        <v>36739</v>
      </c>
      <c r="B115" s="58">
        <v>18951</v>
      </c>
    </row>
    <row r="116" spans="1:2" x14ac:dyDescent="0.35">
      <c r="A116" s="57">
        <v>36770</v>
      </c>
      <c r="B116" s="58">
        <v>18926</v>
      </c>
    </row>
    <row r="117" spans="1:2" x14ac:dyDescent="0.35">
      <c r="A117" s="57">
        <v>36800</v>
      </c>
      <c r="B117" s="58">
        <v>18965</v>
      </c>
    </row>
    <row r="118" spans="1:2" x14ac:dyDescent="0.35">
      <c r="A118" s="57">
        <v>36831</v>
      </c>
      <c r="B118" s="58">
        <v>18689</v>
      </c>
    </row>
    <row r="119" spans="1:2" x14ac:dyDescent="0.35">
      <c r="A119" s="57">
        <v>36861</v>
      </c>
      <c r="B119" s="58">
        <v>19356</v>
      </c>
    </row>
    <row r="120" spans="1:2" x14ac:dyDescent="0.35">
      <c r="A120" s="57">
        <v>36892</v>
      </c>
      <c r="B120" s="58">
        <v>19248</v>
      </c>
    </row>
    <row r="121" spans="1:2" x14ac:dyDescent="0.35">
      <c r="A121" s="57">
        <v>36923</v>
      </c>
      <c r="B121" s="58">
        <v>19698</v>
      </c>
    </row>
    <row r="122" spans="1:2" x14ac:dyDescent="0.35">
      <c r="A122" s="57">
        <v>36951</v>
      </c>
      <c r="B122" s="58">
        <v>19562</v>
      </c>
    </row>
    <row r="123" spans="1:2" x14ac:dyDescent="0.35">
      <c r="A123" s="57">
        <v>36982</v>
      </c>
      <c r="B123" s="58">
        <v>20373</v>
      </c>
    </row>
    <row r="124" spans="1:2" x14ac:dyDescent="0.35">
      <c r="A124" s="57">
        <v>37012</v>
      </c>
      <c r="B124" s="58">
        <v>20147</v>
      </c>
    </row>
    <row r="125" spans="1:2" x14ac:dyDescent="0.35">
      <c r="A125" s="57">
        <v>37043</v>
      </c>
      <c r="B125" s="58">
        <v>19900</v>
      </c>
    </row>
    <row r="126" spans="1:2" x14ac:dyDescent="0.35">
      <c r="A126" s="57">
        <v>37073</v>
      </c>
      <c r="B126" s="58">
        <v>19838</v>
      </c>
    </row>
    <row r="127" spans="1:2" x14ac:dyDescent="0.35">
      <c r="A127" s="57">
        <v>37104</v>
      </c>
      <c r="B127" s="58">
        <v>19920</v>
      </c>
    </row>
    <row r="128" spans="1:2" x14ac:dyDescent="0.35">
      <c r="A128" s="57">
        <v>37135</v>
      </c>
      <c r="B128" s="58">
        <v>19664</v>
      </c>
    </row>
    <row r="129" spans="1:2" x14ac:dyDescent="0.35">
      <c r="A129" s="57">
        <v>37165</v>
      </c>
      <c r="B129" s="58">
        <v>20054</v>
      </c>
    </row>
    <row r="130" spans="1:2" x14ac:dyDescent="0.35">
      <c r="A130" s="57">
        <v>37196</v>
      </c>
      <c r="B130" s="58">
        <v>19982</v>
      </c>
    </row>
    <row r="131" spans="1:2" x14ac:dyDescent="0.35">
      <c r="A131" s="57">
        <v>37226</v>
      </c>
      <c r="B131" s="58">
        <v>20120</v>
      </c>
    </row>
    <row r="132" spans="1:2" x14ac:dyDescent="0.35">
      <c r="A132" s="57">
        <v>37257</v>
      </c>
      <c r="B132" s="58">
        <v>20359</v>
      </c>
    </row>
    <row r="133" spans="1:2" x14ac:dyDescent="0.35">
      <c r="A133" s="57">
        <v>37288</v>
      </c>
      <c r="B133" s="58">
        <v>20515</v>
      </c>
    </row>
    <row r="134" spans="1:2" x14ac:dyDescent="0.35">
      <c r="A134" s="57">
        <v>37316</v>
      </c>
      <c r="B134" s="58">
        <v>20370</v>
      </c>
    </row>
    <row r="135" spans="1:2" x14ac:dyDescent="0.35">
      <c r="A135" s="57">
        <v>37347</v>
      </c>
      <c r="B135" s="58">
        <v>21274</v>
      </c>
    </row>
    <row r="136" spans="1:2" x14ac:dyDescent="0.35">
      <c r="A136" s="57">
        <v>37377</v>
      </c>
      <c r="B136" s="58">
        <v>20874</v>
      </c>
    </row>
    <row r="137" spans="1:2" x14ac:dyDescent="0.35">
      <c r="A137" s="57">
        <v>37408</v>
      </c>
      <c r="B137" s="58">
        <v>20725</v>
      </c>
    </row>
    <row r="138" spans="1:2" x14ac:dyDescent="0.35">
      <c r="A138" s="57">
        <v>37438</v>
      </c>
      <c r="B138" s="58">
        <v>20674</v>
      </c>
    </row>
    <row r="139" spans="1:2" x14ac:dyDescent="0.35">
      <c r="A139" s="57">
        <v>37469</v>
      </c>
      <c r="B139" s="58">
        <v>20683</v>
      </c>
    </row>
    <row r="140" spans="1:2" x14ac:dyDescent="0.35">
      <c r="A140" s="57">
        <v>37500</v>
      </c>
      <c r="B140" s="58">
        <v>20732</v>
      </c>
    </row>
    <row r="141" spans="1:2" x14ac:dyDescent="0.35">
      <c r="A141" s="57">
        <v>37530</v>
      </c>
      <c r="B141" s="58">
        <v>20603</v>
      </c>
    </row>
    <row r="142" spans="1:2" x14ac:dyDescent="0.35">
      <c r="A142" s="57">
        <v>37561</v>
      </c>
      <c r="B142" s="58">
        <v>20969</v>
      </c>
    </row>
    <row r="143" spans="1:2" x14ac:dyDescent="0.35">
      <c r="A143" s="57">
        <v>37591</v>
      </c>
      <c r="B143" s="58">
        <v>20415</v>
      </c>
    </row>
    <row r="144" spans="1:2" x14ac:dyDescent="0.35">
      <c r="A144" s="57">
        <v>37622</v>
      </c>
      <c r="B144" s="58">
        <v>21270</v>
      </c>
    </row>
    <row r="145" spans="1:2" x14ac:dyDescent="0.35">
      <c r="A145" s="57">
        <v>37653</v>
      </c>
      <c r="B145" s="58">
        <v>20041</v>
      </c>
    </row>
    <row r="146" spans="1:2" x14ac:dyDescent="0.35">
      <c r="A146" s="57">
        <v>37681</v>
      </c>
      <c r="B146" s="58">
        <v>21326</v>
      </c>
    </row>
    <row r="147" spans="1:2" x14ac:dyDescent="0.35">
      <c r="A147" s="57">
        <v>37712</v>
      </c>
      <c r="B147" s="58">
        <v>21139</v>
      </c>
    </row>
    <row r="148" spans="1:2" x14ac:dyDescent="0.35">
      <c r="A148" s="57">
        <v>37742</v>
      </c>
      <c r="B148" s="58">
        <v>21328</v>
      </c>
    </row>
    <row r="149" spans="1:2" x14ac:dyDescent="0.35">
      <c r="A149" s="57">
        <v>37773</v>
      </c>
      <c r="B149" s="58">
        <v>22003</v>
      </c>
    </row>
    <row r="150" spans="1:2" x14ac:dyDescent="0.35">
      <c r="A150" s="57">
        <v>37803</v>
      </c>
      <c r="B150" s="58">
        <v>22372</v>
      </c>
    </row>
    <row r="151" spans="1:2" x14ac:dyDescent="0.35">
      <c r="A151" s="57">
        <v>37834</v>
      </c>
      <c r="B151" s="58">
        <v>22489</v>
      </c>
    </row>
    <row r="152" spans="1:2" x14ac:dyDescent="0.35">
      <c r="A152" s="57">
        <v>37865</v>
      </c>
      <c r="B152" s="58">
        <v>22630</v>
      </c>
    </row>
    <row r="153" spans="1:2" x14ac:dyDescent="0.35">
      <c r="A153" s="57">
        <v>37895</v>
      </c>
      <c r="B153" s="58">
        <v>22869</v>
      </c>
    </row>
    <row r="154" spans="1:2" x14ac:dyDescent="0.35">
      <c r="A154" s="57">
        <v>37926</v>
      </c>
      <c r="B154" s="58">
        <v>22864</v>
      </c>
    </row>
    <row r="155" spans="1:2" x14ac:dyDescent="0.35">
      <c r="A155" s="57">
        <v>37956</v>
      </c>
      <c r="B155" s="58">
        <v>22748</v>
      </c>
    </row>
    <row r="156" spans="1:2" x14ac:dyDescent="0.35">
      <c r="A156" s="57">
        <v>37987</v>
      </c>
      <c r="B156" s="58">
        <v>22637</v>
      </c>
    </row>
    <row r="157" spans="1:2" x14ac:dyDescent="0.35">
      <c r="A157" s="57">
        <v>38018</v>
      </c>
      <c r="B157" s="58">
        <v>22727</v>
      </c>
    </row>
    <row r="158" spans="1:2" x14ac:dyDescent="0.35">
      <c r="A158" s="57">
        <v>38047</v>
      </c>
      <c r="B158" s="58">
        <v>24992</v>
      </c>
    </row>
    <row r="159" spans="1:2" x14ac:dyDescent="0.35">
      <c r="A159" s="57">
        <v>38078</v>
      </c>
      <c r="B159" s="58">
        <v>24565</v>
      </c>
    </row>
    <row r="160" spans="1:2" x14ac:dyDescent="0.35">
      <c r="A160" s="57">
        <v>38108</v>
      </c>
      <c r="B160" s="58">
        <v>24420</v>
      </c>
    </row>
    <row r="161" spans="1:2" x14ac:dyDescent="0.35">
      <c r="A161" s="57">
        <v>38139</v>
      </c>
      <c r="B161" s="58">
        <v>24622</v>
      </c>
    </row>
    <row r="162" spans="1:2" x14ac:dyDescent="0.35">
      <c r="A162" s="57">
        <v>38169</v>
      </c>
      <c r="B162" s="58">
        <v>24538</v>
      </c>
    </row>
    <row r="163" spans="1:2" x14ac:dyDescent="0.35">
      <c r="A163" s="57">
        <v>38200</v>
      </c>
      <c r="B163" s="58">
        <v>24713</v>
      </c>
    </row>
    <row r="164" spans="1:2" x14ac:dyDescent="0.35">
      <c r="A164" s="57">
        <v>38231</v>
      </c>
      <c r="B164" s="58">
        <v>25045</v>
      </c>
    </row>
    <row r="165" spans="1:2" x14ac:dyDescent="0.35">
      <c r="A165" s="57">
        <v>38261</v>
      </c>
      <c r="B165" s="58">
        <v>24842</v>
      </c>
    </row>
    <row r="166" spans="1:2" x14ac:dyDescent="0.35">
      <c r="A166" s="57">
        <v>38292</v>
      </c>
      <c r="B166" s="58">
        <v>24974</v>
      </c>
    </row>
    <row r="167" spans="1:2" x14ac:dyDescent="0.35">
      <c r="A167" s="57">
        <v>38322</v>
      </c>
      <c r="B167" s="58">
        <v>25679</v>
      </c>
    </row>
    <row r="168" spans="1:2" x14ac:dyDescent="0.35">
      <c r="A168" s="57">
        <v>38353</v>
      </c>
      <c r="B168" s="58">
        <v>26009</v>
      </c>
    </row>
    <row r="169" spans="1:2" x14ac:dyDescent="0.35">
      <c r="A169" s="57">
        <v>38384</v>
      </c>
      <c r="B169" s="58">
        <v>25793</v>
      </c>
    </row>
    <row r="170" spans="1:2" x14ac:dyDescent="0.35">
      <c r="A170" s="57">
        <v>38412</v>
      </c>
      <c r="B170" s="58">
        <v>26253</v>
      </c>
    </row>
    <row r="171" spans="1:2" x14ac:dyDescent="0.35">
      <c r="A171" s="57">
        <v>38443</v>
      </c>
      <c r="B171" s="58">
        <v>26551</v>
      </c>
    </row>
    <row r="172" spans="1:2" x14ac:dyDescent="0.35">
      <c r="A172" s="57">
        <v>38473</v>
      </c>
      <c r="B172" s="58">
        <v>26463</v>
      </c>
    </row>
    <row r="173" spans="1:2" x14ac:dyDescent="0.35">
      <c r="A173" s="57">
        <v>38504</v>
      </c>
      <c r="B173" s="58">
        <v>26653</v>
      </c>
    </row>
    <row r="174" spans="1:2" x14ac:dyDescent="0.35">
      <c r="A174" s="57">
        <v>38534</v>
      </c>
      <c r="B174" s="58">
        <v>26578</v>
      </c>
    </row>
    <row r="175" spans="1:2" x14ac:dyDescent="0.35">
      <c r="A175" s="57">
        <v>38565</v>
      </c>
      <c r="B175" s="58">
        <v>26745</v>
      </c>
    </row>
    <row r="176" spans="1:2" x14ac:dyDescent="0.35">
      <c r="A176" s="57">
        <v>38596</v>
      </c>
      <c r="B176" s="58">
        <v>27123</v>
      </c>
    </row>
    <row r="177" spans="1:2" x14ac:dyDescent="0.35">
      <c r="A177" s="57">
        <v>38626</v>
      </c>
      <c r="B177" s="58">
        <v>27640</v>
      </c>
    </row>
    <row r="178" spans="1:2" x14ac:dyDescent="0.35">
      <c r="A178" s="57">
        <v>38657</v>
      </c>
      <c r="B178" s="58">
        <v>27725</v>
      </c>
    </row>
    <row r="179" spans="1:2" x14ac:dyDescent="0.35">
      <c r="A179" s="57">
        <v>38687</v>
      </c>
      <c r="B179" s="58">
        <v>27308</v>
      </c>
    </row>
    <row r="180" spans="1:2" x14ac:dyDescent="0.35">
      <c r="A180" s="57">
        <v>38718</v>
      </c>
      <c r="B180" s="58">
        <v>29549</v>
      </c>
    </row>
    <row r="181" spans="1:2" x14ac:dyDescent="0.35">
      <c r="A181" s="57">
        <v>38749</v>
      </c>
      <c r="B181" s="58">
        <v>29508</v>
      </c>
    </row>
    <row r="182" spans="1:2" x14ac:dyDescent="0.35">
      <c r="A182" s="57">
        <v>38777</v>
      </c>
      <c r="B182" s="58">
        <v>29443</v>
      </c>
    </row>
    <row r="183" spans="1:2" x14ac:dyDescent="0.35">
      <c r="A183" s="57">
        <v>38808</v>
      </c>
      <c r="B183" s="58">
        <v>28900</v>
      </c>
    </row>
    <row r="184" spans="1:2" x14ac:dyDescent="0.35">
      <c r="A184" s="57">
        <v>38838</v>
      </c>
      <c r="B184" s="58">
        <v>27793</v>
      </c>
    </row>
    <row r="185" spans="1:2" x14ac:dyDescent="0.35">
      <c r="A185" s="57">
        <v>38869</v>
      </c>
      <c r="B185" s="58">
        <v>27391</v>
      </c>
    </row>
    <row r="186" spans="1:2" x14ac:dyDescent="0.35">
      <c r="A186" s="57">
        <v>38899</v>
      </c>
      <c r="B186" s="58">
        <v>27306</v>
      </c>
    </row>
    <row r="187" spans="1:2" x14ac:dyDescent="0.35">
      <c r="A187" s="57">
        <v>38930</v>
      </c>
      <c r="B187" s="58">
        <v>27380</v>
      </c>
    </row>
    <row r="188" spans="1:2" x14ac:dyDescent="0.35">
      <c r="A188" s="57">
        <v>38961</v>
      </c>
      <c r="B188" s="58">
        <v>26963</v>
      </c>
    </row>
    <row r="189" spans="1:2" x14ac:dyDescent="0.35">
      <c r="A189" s="57">
        <v>38991</v>
      </c>
      <c r="B189" s="58">
        <v>27158</v>
      </c>
    </row>
    <row r="190" spans="1:2" x14ac:dyDescent="0.35">
      <c r="A190" s="57">
        <v>39022</v>
      </c>
      <c r="B190" s="58">
        <v>26696</v>
      </c>
    </row>
    <row r="191" spans="1:2" x14ac:dyDescent="0.35">
      <c r="A191" s="57">
        <v>39052</v>
      </c>
      <c r="B191" s="58">
        <v>27151</v>
      </c>
    </row>
    <row r="192" spans="1:2" x14ac:dyDescent="0.35">
      <c r="A192" s="57">
        <v>39083</v>
      </c>
      <c r="B192" s="58">
        <v>27380</v>
      </c>
    </row>
    <row r="193" spans="1:2" x14ac:dyDescent="0.35">
      <c r="A193" s="57">
        <v>39114</v>
      </c>
      <c r="B193" s="58">
        <v>27083</v>
      </c>
    </row>
    <row r="194" spans="1:2" x14ac:dyDescent="0.35">
      <c r="A194" s="57">
        <v>39142</v>
      </c>
      <c r="B194" s="58">
        <v>27583</v>
      </c>
    </row>
    <row r="195" spans="1:2" x14ac:dyDescent="0.35">
      <c r="A195" s="57">
        <v>39173</v>
      </c>
      <c r="B195" s="58">
        <v>26569</v>
      </c>
    </row>
    <row r="196" spans="1:2" x14ac:dyDescent="0.35">
      <c r="A196" s="57">
        <v>39203</v>
      </c>
      <c r="B196" s="58">
        <v>27164</v>
      </c>
    </row>
    <row r="197" spans="1:2" x14ac:dyDescent="0.35">
      <c r="A197" s="57">
        <v>39234</v>
      </c>
      <c r="B197" s="58">
        <v>26656</v>
      </c>
    </row>
    <row r="198" spans="1:2" x14ac:dyDescent="0.35">
      <c r="A198" s="57">
        <v>39264</v>
      </c>
      <c r="B198" s="58">
        <v>26842</v>
      </c>
    </row>
    <row r="199" spans="1:2" x14ac:dyDescent="0.35">
      <c r="A199" s="57">
        <v>39295</v>
      </c>
      <c r="B199" s="58">
        <v>26654</v>
      </c>
    </row>
    <row r="200" spans="1:2" x14ac:dyDescent="0.35">
      <c r="A200" s="57">
        <v>39326</v>
      </c>
      <c r="B200" s="58">
        <v>26455</v>
      </c>
    </row>
    <row r="201" spans="1:2" x14ac:dyDescent="0.35">
      <c r="A201" s="57">
        <v>39356</v>
      </c>
      <c r="B201" s="58">
        <v>26194</v>
      </c>
    </row>
    <row r="202" spans="1:2" x14ac:dyDescent="0.35">
      <c r="A202" s="57">
        <v>39387</v>
      </c>
      <c r="B202" s="58">
        <v>26581</v>
      </c>
    </row>
    <row r="203" spans="1:2" x14ac:dyDescent="0.35">
      <c r="A203" s="57">
        <v>39417</v>
      </c>
      <c r="B203" s="58">
        <v>25653</v>
      </c>
    </row>
    <row r="204" spans="1:2" x14ac:dyDescent="0.35">
      <c r="A204" s="57">
        <v>39448</v>
      </c>
      <c r="B204" s="58">
        <v>25665</v>
      </c>
    </row>
    <row r="205" spans="1:2" x14ac:dyDescent="0.35">
      <c r="A205" s="57">
        <v>39479</v>
      </c>
      <c r="B205" s="58">
        <v>25649</v>
      </c>
    </row>
    <row r="206" spans="1:2" x14ac:dyDescent="0.35">
      <c r="A206" s="57">
        <v>39508</v>
      </c>
      <c r="B206" s="58">
        <v>25385</v>
      </c>
    </row>
    <row r="207" spans="1:2" x14ac:dyDescent="0.35">
      <c r="A207" s="57">
        <v>39539</v>
      </c>
      <c r="B207" s="58">
        <v>25358</v>
      </c>
    </row>
    <row r="208" spans="1:2" x14ac:dyDescent="0.35">
      <c r="A208" s="57">
        <v>39569</v>
      </c>
      <c r="B208" s="58">
        <v>25622</v>
      </c>
    </row>
    <row r="209" spans="1:2" x14ac:dyDescent="0.35">
      <c r="A209" s="57">
        <v>39600</v>
      </c>
      <c r="B209" s="58">
        <v>25728</v>
      </c>
    </row>
    <row r="210" spans="1:2" x14ac:dyDescent="0.35">
      <c r="A210" s="57">
        <v>39630</v>
      </c>
      <c r="B210" s="58">
        <v>25943</v>
      </c>
    </row>
    <row r="211" spans="1:2" x14ac:dyDescent="0.35">
      <c r="A211" s="57">
        <v>39661</v>
      </c>
      <c r="B211" s="58">
        <v>25343</v>
      </c>
    </row>
    <row r="212" spans="1:2" x14ac:dyDescent="0.35">
      <c r="A212" s="57">
        <v>39692</v>
      </c>
      <c r="B212" s="58">
        <v>25187</v>
      </c>
    </row>
    <row r="213" spans="1:2" x14ac:dyDescent="0.35">
      <c r="A213" s="57">
        <v>39722</v>
      </c>
      <c r="B213" s="58">
        <v>24592</v>
      </c>
    </row>
    <row r="214" spans="1:2" x14ac:dyDescent="0.35">
      <c r="A214" s="57">
        <v>39753</v>
      </c>
      <c r="B214" s="58">
        <v>23225</v>
      </c>
    </row>
    <row r="215" spans="1:2" x14ac:dyDescent="0.35">
      <c r="A215" s="57">
        <v>39783</v>
      </c>
      <c r="B215" s="58">
        <v>22911</v>
      </c>
    </row>
    <row r="216" spans="1:2" x14ac:dyDescent="0.35">
      <c r="A216" s="57">
        <v>39814</v>
      </c>
      <c r="B216" s="58">
        <v>22705</v>
      </c>
    </row>
    <row r="217" spans="1:2" x14ac:dyDescent="0.35">
      <c r="A217" s="57">
        <v>39845</v>
      </c>
      <c r="B217" s="58">
        <v>22495</v>
      </c>
    </row>
    <row r="218" spans="1:2" x14ac:dyDescent="0.35">
      <c r="A218" s="57">
        <v>39873</v>
      </c>
      <c r="B218" s="58">
        <v>22167</v>
      </c>
    </row>
    <row r="219" spans="1:2" x14ac:dyDescent="0.35">
      <c r="A219" s="57">
        <v>39904</v>
      </c>
      <c r="B219" s="58">
        <v>22106</v>
      </c>
    </row>
    <row r="220" spans="1:2" x14ac:dyDescent="0.35">
      <c r="A220" s="57">
        <v>39934</v>
      </c>
      <c r="B220" s="58">
        <v>22321</v>
      </c>
    </row>
    <row r="221" spans="1:2" x14ac:dyDescent="0.35">
      <c r="A221" s="57">
        <v>39965</v>
      </c>
      <c r="B221" s="58">
        <v>22294</v>
      </c>
    </row>
    <row r="222" spans="1:2" x14ac:dyDescent="0.35">
      <c r="A222" s="57">
        <v>39995</v>
      </c>
      <c r="B222" s="58">
        <v>21904</v>
      </c>
    </row>
    <row r="223" spans="1:2" x14ac:dyDescent="0.35">
      <c r="A223" s="57">
        <v>40026</v>
      </c>
      <c r="B223" s="58">
        <v>21439</v>
      </c>
    </row>
    <row r="224" spans="1:2" x14ac:dyDescent="0.35">
      <c r="A224" s="57">
        <v>40057</v>
      </c>
      <c r="B224" s="58">
        <v>21401</v>
      </c>
    </row>
    <row r="225" spans="1:2" x14ac:dyDescent="0.35">
      <c r="A225" s="57">
        <v>40087</v>
      </c>
      <c r="B225" s="58">
        <v>20626</v>
      </c>
    </row>
    <row r="226" spans="1:2" x14ac:dyDescent="0.35">
      <c r="A226" s="57">
        <v>40118</v>
      </c>
      <c r="B226" s="58">
        <v>20927</v>
      </c>
    </row>
    <row r="227" spans="1:2" x14ac:dyDescent="0.35">
      <c r="A227" s="57">
        <v>40148</v>
      </c>
      <c r="B227" s="58">
        <v>20904</v>
      </c>
    </row>
    <row r="228" spans="1:2" x14ac:dyDescent="0.35">
      <c r="A228" s="57">
        <v>40179</v>
      </c>
      <c r="B228" s="58">
        <v>20561</v>
      </c>
    </row>
    <row r="229" spans="1:2" x14ac:dyDescent="0.35">
      <c r="A229" s="57">
        <v>40210</v>
      </c>
      <c r="B229" s="58">
        <v>20448</v>
      </c>
    </row>
    <row r="230" spans="1:2" x14ac:dyDescent="0.35">
      <c r="A230" s="57">
        <v>40238</v>
      </c>
      <c r="B230" s="58">
        <v>21862</v>
      </c>
    </row>
    <row r="231" spans="1:2" x14ac:dyDescent="0.35">
      <c r="A231" s="57">
        <v>40269</v>
      </c>
      <c r="B231" s="58">
        <v>23489</v>
      </c>
    </row>
    <row r="232" spans="1:2" x14ac:dyDescent="0.35">
      <c r="A232" s="57">
        <v>40299</v>
      </c>
      <c r="B232" s="58">
        <v>21728</v>
      </c>
    </row>
    <row r="233" spans="1:2" x14ac:dyDescent="0.35">
      <c r="A233" s="57">
        <v>40330</v>
      </c>
      <c r="B233" s="58">
        <v>21575</v>
      </c>
    </row>
    <row r="234" spans="1:2" x14ac:dyDescent="0.35">
      <c r="A234" s="57">
        <v>40360</v>
      </c>
      <c r="B234" s="58">
        <v>21476</v>
      </c>
    </row>
    <row r="235" spans="1:2" x14ac:dyDescent="0.35">
      <c r="A235" s="57">
        <v>40391</v>
      </c>
      <c r="B235" s="58">
        <v>21252</v>
      </c>
    </row>
    <row r="236" spans="1:2" x14ac:dyDescent="0.35">
      <c r="A236" s="57">
        <v>40422</v>
      </c>
      <c r="B236" s="58">
        <v>21389</v>
      </c>
    </row>
    <row r="237" spans="1:2" x14ac:dyDescent="0.35">
      <c r="A237" s="57">
        <v>40452</v>
      </c>
      <c r="B237" s="58">
        <v>22062</v>
      </c>
    </row>
    <row r="238" spans="1:2" x14ac:dyDescent="0.35">
      <c r="A238" s="57">
        <v>40483</v>
      </c>
      <c r="B238" s="58">
        <v>21906</v>
      </c>
    </row>
    <row r="239" spans="1:2" x14ac:dyDescent="0.35">
      <c r="A239" s="57">
        <v>40513</v>
      </c>
      <c r="B239" s="58">
        <v>22155</v>
      </c>
    </row>
    <row r="240" spans="1:2" x14ac:dyDescent="0.35">
      <c r="A240" s="57">
        <v>40544</v>
      </c>
      <c r="B240" s="58">
        <v>21469</v>
      </c>
    </row>
    <row r="241" spans="1:2" x14ac:dyDescent="0.35">
      <c r="A241" s="57">
        <v>40575</v>
      </c>
      <c r="B241" s="58">
        <v>21196</v>
      </c>
    </row>
    <row r="242" spans="1:2" x14ac:dyDescent="0.35">
      <c r="A242" s="57">
        <v>40603</v>
      </c>
      <c r="B242" s="58">
        <v>21880</v>
      </c>
    </row>
    <row r="243" spans="1:2" x14ac:dyDescent="0.35">
      <c r="A243" s="57">
        <v>40634</v>
      </c>
      <c r="B243" s="58">
        <v>22050</v>
      </c>
    </row>
    <row r="244" spans="1:2" x14ac:dyDescent="0.35">
      <c r="A244" s="57">
        <v>40664</v>
      </c>
      <c r="B244" s="58">
        <v>22311</v>
      </c>
    </row>
    <row r="245" spans="1:2" x14ac:dyDescent="0.35">
      <c r="A245" s="57">
        <v>40695</v>
      </c>
      <c r="B245" s="58">
        <v>22745</v>
      </c>
    </row>
    <row r="246" spans="1:2" x14ac:dyDescent="0.35">
      <c r="A246" s="57">
        <v>40725</v>
      </c>
      <c r="B246" s="58">
        <v>22762</v>
      </c>
    </row>
    <row r="247" spans="1:2" x14ac:dyDescent="0.35">
      <c r="A247" s="57">
        <v>40756</v>
      </c>
      <c r="B247" s="58">
        <v>22752</v>
      </c>
    </row>
    <row r="248" spans="1:2" x14ac:dyDescent="0.35">
      <c r="A248" s="57">
        <v>40787</v>
      </c>
      <c r="B248" s="58">
        <v>22640</v>
      </c>
    </row>
    <row r="249" spans="1:2" x14ac:dyDescent="0.35">
      <c r="A249" s="57">
        <v>40817</v>
      </c>
      <c r="B249" s="58">
        <v>23228</v>
      </c>
    </row>
    <row r="250" spans="1:2" x14ac:dyDescent="0.35">
      <c r="A250" s="57">
        <v>40848</v>
      </c>
      <c r="B250" s="58">
        <v>22953</v>
      </c>
    </row>
    <row r="251" spans="1:2" x14ac:dyDescent="0.35">
      <c r="A251" s="57">
        <v>40878</v>
      </c>
      <c r="B251" s="58">
        <v>23450</v>
      </c>
    </row>
    <row r="252" spans="1:2" x14ac:dyDescent="0.35">
      <c r="A252" s="57">
        <v>40909</v>
      </c>
      <c r="B252" s="58">
        <v>23590</v>
      </c>
    </row>
    <row r="253" spans="1:2" x14ac:dyDescent="0.35">
      <c r="A253" s="57">
        <v>40940</v>
      </c>
      <c r="B253" s="58">
        <v>23599</v>
      </c>
    </row>
    <row r="254" spans="1:2" x14ac:dyDescent="0.35">
      <c r="A254" s="57">
        <v>40969</v>
      </c>
      <c r="B254" s="58">
        <v>24561</v>
      </c>
    </row>
    <row r="255" spans="1:2" x14ac:dyDescent="0.35">
      <c r="A255" s="57">
        <v>41000</v>
      </c>
      <c r="B255" s="58">
        <v>23395</v>
      </c>
    </row>
    <row r="256" spans="1:2" x14ac:dyDescent="0.35">
      <c r="A256" s="57">
        <v>41030</v>
      </c>
      <c r="B256" s="58">
        <v>22771</v>
      </c>
    </row>
    <row r="257" spans="1:2" x14ac:dyDescent="0.35">
      <c r="A257" s="57">
        <v>41061</v>
      </c>
      <c r="B257" s="58">
        <v>22503</v>
      </c>
    </row>
    <row r="258" spans="1:2" x14ac:dyDescent="0.35">
      <c r="A258" s="57">
        <v>41091</v>
      </c>
      <c r="B258" s="58">
        <v>22663</v>
      </c>
    </row>
    <row r="259" spans="1:2" x14ac:dyDescent="0.35">
      <c r="A259" s="57">
        <v>41122</v>
      </c>
      <c r="B259" s="58">
        <v>23106</v>
      </c>
    </row>
    <row r="260" spans="1:2" x14ac:dyDescent="0.35">
      <c r="A260" s="57">
        <v>41153</v>
      </c>
      <c r="B260" s="58">
        <v>23719</v>
      </c>
    </row>
    <row r="261" spans="1:2" x14ac:dyDescent="0.35">
      <c r="A261" s="57">
        <v>41183</v>
      </c>
      <c r="B261" s="58">
        <v>23790</v>
      </c>
    </row>
    <row r="262" spans="1:2" x14ac:dyDescent="0.35">
      <c r="A262" s="57">
        <v>41214</v>
      </c>
      <c r="B262" s="58">
        <v>24126</v>
      </c>
    </row>
    <row r="263" spans="1:2" x14ac:dyDescent="0.35">
      <c r="A263" s="57">
        <v>41244</v>
      </c>
      <c r="B263" s="58">
        <v>24135</v>
      </c>
    </row>
    <row r="264" spans="1:2" x14ac:dyDescent="0.35">
      <c r="A264" s="57">
        <v>41275</v>
      </c>
      <c r="B264" s="58">
        <v>24431</v>
      </c>
    </row>
    <row r="265" spans="1:2" x14ac:dyDescent="0.35">
      <c r="A265" s="57">
        <v>41306</v>
      </c>
      <c r="B265" s="58">
        <v>24818</v>
      </c>
    </row>
    <row r="266" spans="1:2" x14ac:dyDescent="0.35">
      <c r="A266" s="57">
        <v>41334</v>
      </c>
      <c r="B266" s="58">
        <v>24709</v>
      </c>
    </row>
    <row r="267" spans="1:2" x14ac:dyDescent="0.35">
      <c r="A267" s="57">
        <v>41365</v>
      </c>
      <c r="B267" s="58">
        <v>24984</v>
      </c>
    </row>
    <row r="268" spans="1:2" x14ac:dyDescent="0.35">
      <c r="A268" s="57">
        <v>41395</v>
      </c>
      <c r="B268" s="58">
        <v>25470</v>
      </c>
    </row>
    <row r="269" spans="1:2" x14ac:dyDescent="0.35">
      <c r="A269" s="57">
        <v>41426</v>
      </c>
      <c r="B269" s="58">
        <v>24998</v>
      </c>
    </row>
    <row r="270" spans="1:2" x14ac:dyDescent="0.35">
      <c r="A270" s="57">
        <v>41456</v>
      </c>
      <c r="B270" s="58">
        <v>25534</v>
      </c>
    </row>
    <row r="271" spans="1:2" x14ac:dyDescent="0.35">
      <c r="A271" s="57">
        <v>41487</v>
      </c>
      <c r="B271" s="58">
        <v>25504</v>
      </c>
    </row>
    <row r="272" spans="1:2" x14ac:dyDescent="0.35">
      <c r="A272" s="57">
        <v>41518</v>
      </c>
      <c r="B272" s="58">
        <v>25525</v>
      </c>
    </row>
    <row r="273" spans="1:2" x14ac:dyDescent="0.35">
      <c r="A273" s="57">
        <v>41548</v>
      </c>
      <c r="B273" s="58">
        <v>25223</v>
      </c>
    </row>
    <row r="274" spans="1:2" x14ac:dyDescent="0.35">
      <c r="A274" s="57">
        <v>41579</v>
      </c>
      <c r="B274" s="58">
        <v>25115</v>
      </c>
    </row>
    <row r="275" spans="1:2" x14ac:dyDescent="0.35">
      <c r="A275" s="57">
        <v>41609</v>
      </c>
      <c r="B275" s="58">
        <v>25301</v>
      </c>
    </row>
    <row r="276" spans="1:2" x14ac:dyDescent="0.35">
      <c r="A276" s="57">
        <v>41640</v>
      </c>
      <c r="B276" s="58">
        <v>25234</v>
      </c>
    </row>
    <row r="277" spans="1:2" x14ac:dyDescent="0.35">
      <c r="A277" s="57">
        <v>41671</v>
      </c>
      <c r="B277" s="58">
        <v>25163</v>
      </c>
    </row>
    <row r="278" spans="1:2" x14ac:dyDescent="0.35">
      <c r="A278" s="57">
        <v>41699</v>
      </c>
      <c r="B278" s="58">
        <v>25481</v>
      </c>
    </row>
    <row r="279" spans="1:2" x14ac:dyDescent="0.35">
      <c r="A279" s="57">
        <v>41730</v>
      </c>
      <c r="B279" s="58">
        <v>26557</v>
      </c>
    </row>
    <row r="280" spans="1:2" x14ac:dyDescent="0.35">
      <c r="A280" s="57">
        <v>41760</v>
      </c>
      <c r="B280" s="58">
        <v>26722</v>
      </c>
    </row>
    <row r="281" spans="1:2" x14ac:dyDescent="0.35">
      <c r="A281" s="57">
        <v>41791</v>
      </c>
      <c r="B281" s="58">
        <v>26944</v>
      </c>
    </row>
    <row r="282" spans="1:2" x14ac:dyDescent="0.35">
      <c r="A282" s="57">
        <v>41821</v>
      </c>
      <c r="B282" s="58">
        <v>26525</v>
      </c>
    </row>
    <row r="283" spans="1:2" x14ac:dyDescent="0.35">
      <c r="A283" s="57">
        <v>41852</v>
      </c>
      <c r="B283" s="58">
        <v>27047</v>
      </c>
    </row>
    <row r="284" spans="1:2" x14ac:dyDescent="0.35">
      <c r="A284" s="57">
        <v>41883</v>
      </c>
      <c r="B284" s="58">
        <v>26954</v>
      </c>
    </row>
    <row r="285" spans="1:2" x14ac:dyDescent="0.35">
      <c r="A285" s="57">
        <v>41913</v>
      </c>
      <c r="B285" s="58">
        <v>26997</v>
      </c>
    </row>
    <row r="286" spans="1:2" x14ac:dyDescent="0.35">
      <c r="A286" s="57">
        <v>41944</v>
      </c>
      <c r="B286" s="58">
        <v>27190</v>
      </c>
    </row>
    <row r="287" spans="1:2" x14ac:dyDescent="0.35">
      <c r="A287" s="57">
        <v>41974</v>
      </c>
      <c r="B287" s="58">
        <v>26905</v>
      </c>
    </row>
    <row r="288" spans="1:2" x14ac:dyDescent="0.35">
      <c r="A288" s="57">
        <v>42005</v>
      </c>
      <c r="B288" s="58">
        <v>27015</v>
      </c>
    </row>
    <row r="289" spans="1:2" x14ac:dyDescent="0.35">
      <c r="A289" s="57">
        <v>42036</v>
      </c>
      <c r="B289" s="58">
        <v>26191</v>
      </c>
    </row>
    <row r="290" spans="1:2" x14ac:dyDescent="0.35">
      <c r="A290" s="57">
        <v>42064</v>
      </c>
      <c r="B290" s="58">
        <v>26869</v>
      </c>
    </row>
    <row r="291" spans="1:2" x14ac:dyDescent="0.35">
      <c r="A291" s="57">
        <v>42095</v>
      </c>
      <c r="B291" s="58">
        <v>27301</v>
      </c>
    </row>
    <row r="292" spans="1:2" x14ac:dyDescent="0.35">
      <c r="A292" s="57">
        <v>42125</v>
      </c>
      <c r="B292" s="58">
        <v>27330</v>
      </c>
    </row>
    <row r="293" spans="1:2" x14ac:dyDescent="0.35">
      <c r="A293" s="57">
        <v>42156</v>
      </c>
      <c r="B293" s="58">
        <v>27123</v>
      </c>
    </row>
    <row r="294" spans="1:2" x14ac:dyDescent="0.35">
      <c r="A294" s="57">
        <v>42186</v>
      </c>
      <c r="B294" s="58">
        <v>28030</v>
      </c>
    </row>
    <row r="295" spans="1:2" x14ac:dyDescent="0.35">
      <c r="A295" s="57">
        <v>42217</v>
      </c>
      <c r="B295" s="58">
        <v>28005</v>
      </c>
    </row>
    <row r="296" spans="1:2" x14ac:dyDescent="0.35">
      <c r="A296" s="57">
        <v>42248</v>
      </c>
      <c r="B296" s="58">
        <v>28005</v>
      </c>
    </row>
    <row r="297" spans="1:2" x14ac:dyDescent="0.35">
      <c r="A297" s="57">
        <v>42278</v>
      </c>
      <c r="B297" s="58">
        <v>28136</v>
      </c>
    </row>
    <row r="298" spans="1:2" x14ac:dyDescent="0.35">
      <c r="A298" s="57">
        <v>42309</v>
      </c>
      <c r="B298" s="58">
        <v>28369</v>
      </c>
    </row>
    <row r="299" spans="1:2" x14ac:dyDescent="0.35">
      <c r="A299" s="57">
        <v>42339</v>
      </c>
      <c r="B299" s="58">
        <v>29179</v>
      </c>
    </row>
    <row r="300" spans="1:2" x14ac:dyDescent="0.35">
      <c r="A300" s="57">
        <v>42370</v>
      </c>
      <c r="B300" s="58">
        <v>28938</v>
      </c>
    </row>
    <row r="301" spans="1:2" x14ac:dyDescent="0.35">
      <c r="A301" s="57">
        <v>42401</v>
      </c>
      <c r="B301" s="58">
        <v>29117</v>
      </c>
    </row>
    <row r="302" spans="1:2" x14ac:dyDescent="0.35">
      <c r="A302" s="57">
        <v>42430</v>
      </c>
      <c r="B302" s="58">
        <v>29628</v>
      </c>
    </row>
    <row r="303" spans="1:2" x14ac:dyDescent="0.35">
      <c r="A303" s="57">
        <v>42461</v>
      </c>
      <c r="B303" s="58">
        <v>28621</v>
      </c>
    </row>
    <row r="304" spans="1:2" x14ac:dyDescent="0.35">
      <c r="A304" s="57">
        <v>42491</v>
      </c>
      <c r="B304" s="58">
        <v>28090</v>
      </c>
    </row>
    <row r="305" spans="1:2" x14ac:dyDescent="0.35">
      <c r="A305" s="57">
        <v>42522</v>
      </c>
      <c r="B305" s="58">
        <v>29284</v>
      </c>
    </row>
    <row r="306" spans="1:2" x14ac:dyDescent="0.35">
      <c r="A306" s="57">
        <v>42552</v>
      </c>
      <c r="B306" s="58">
        <v>28966</v>
      </c>
    </row>
    <row r="307" spans="1:2" x14ac:dyDescent="0.35">
      <c r="A307" s="57">
        <v>42583</v>
      </c>
      <c r="B307" s="58">
        <v>28986</v>
      </c>
    </row>
    <row r="308" spans="1:2" x14ac:dyDescent="0.35">
      <c r="A308" s="57">
        <v>42614</v>
      </c>
      <c r="B308" s="58">
        <v>29186</v>
      </c>
    </row>
    <row r="309" spans="1:2" x14ac:dyDescent="0.35">
      <c r="A309" s="57">
        <v>42644</v>
      </c>
      <c r="B309" s="58">
        <v>29548</v>
      </c>
    </row>
    <row r="310" spans="1:2" x14ac:dyDescent="0.35">
      <c r="A310" s="57">
        <v>42675</v>
      </c>
      <c r="B310" s="58">
        <v>29797</v>
      </c>
    </row>
    <row r="311" spans="1:2" x14ac:dyDescent="0.35">
      <c r="A311" s="57">
        <v>42705</v>
      </c>
      <c r="B311" s="58">
        <v>29760</v>
      </c>
    </row>
    <row r="312" spans="1:2" x14ac:dyDescent="0.35">
      <c r="A312" s="57">
        <v>42736</v>
      </c>
      <c r="B312" s="58">
        <v>30820</v>
      </c>
    </row>
    <row r="313" spans="1:2" x14ac:dyDescent="0.35">
      <c r="A313" s="57">
        <v>42767</v>
      </c>
      <c r="B313" s="58">
        <v>31359</v>
      </c>
    </row>
    <row r="314" spans="1:2" x14ac:dyDescent="0.35">
      <c r="A314" s="57">
        <v>42795</v>
      </c>
      <c r="B314" s="58">
        <v>30835</v>
      </c>
    </row>
    <row r="315" spans="1:2" x14ac:dyDescent="0.35">
      <c r="A315" s="57">
        <v>42826</v>
      </c>
      <c r="B315" s="58">
        <v>30817</v>
      </c>
    </row>
    <row r="316" spans="1:2" x14ac:dyDescent="0.35">
      <c r="A316" s="57">
        <v>42856</v>
      </c>
      <c r="B316" s="58">
        <v>30742</v>
      </c>
    </row>
    <row r="317" spans="1:2" x14ac:dyDescent="0.35">
      <c r="A317" s="57">
        <v>42887</v>
      </c>
      <c r="B317" s="58">
        <v>30986</v>
      </c>
    </row>
    <row r="318" spans="1:2" x14ac:dyDescent="0.35">
      <c r="A318" s="57">
        <v>42917</v>
      </c>
      <c r="B318" s="58">
        <v>31458</v>
      </c>
    </row>
    <row r="319" spans="1:2" x14ac:dyDescent="0.35">
      <c r="A319" s="57">
        <v>42948</v>
      </c>
      <c r="B319" s="58">
        <v>31584</v>
      </c>
    </row>
    <row r="320" spans="1:2" x14ac:dyDescent="0.35">
      <c r="A320" s="57">
        <v>42979</v>
      </c>
      <c r="B320" s="58">
        <v>32549</v>
      </c>
    </row>
    <row r="321" spans="1:2" x14ac:dyDescent="0.35">
      <c r="A321" s="57">
        <v>43009</v>
      </c>
      <c r="B321" s="58">
        <v>32436</v>
      </c>
    </row>
    <row r="322" spans="1:2" x14ac:dyDescent="0.35">
      <c r="A322" s="57">
        <v>43040</v>
      </c>
      <c r="B322" s="58">
        <v>32438</v>
      </c>
    </row>
    <row r="323" spans="1:2" x14ac:dyDescent="0.35">
      <c r="A323" s="57">
        <v>43070</v>
      </c>
      <c r="B323" s="58">
        <v>32777</v>
      </c>
    </row>
    <row r="324" spans="1:2" x14ac:dyDescent="0.35">
      <c r="A324" s="57">
        <v>43101</v>
      </c>
      <c r="B324" s="58">
        <v>32204</v>
      </c>
    </row>
    <row r="325" spans="1:2" x14ac:dyDescent="0.35">
      <c r="A325" s="57">
        <v>43132</v>
      </c>
      <c r="B325" s="58">
        <v>32807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C7840-2454-4114-B4E9-281CEE65EDF6}">
  <dimension ref="A1:K11240"/>
  <sheetViews>
    <sheetView workbookViewId="0">
      <selection activeCell="A2" sqref="A2"/>
    </sheetView>
  </sheetViews>
  <sheetFormatPr defaultRowHeight="14.5" x14ac:dyDescent="0.35"/>
  <cols>
    <col min="1" max="1" width="9.453125" bestFit="1" customWidth="1"/>
    <col min="2" max="2" width="10.1796875" bestFit="1" customWidth="1"/>
    <col min="3" max="3" width="9.6328125" bestFit="1" customWidth="1"/>
    <col min="4" max="4" width="10.08984375" bestFit="1" customWidth="1"/>
    <col min="5" max="5" width="10.81640625" bestFit="1" customWidth="1"/>
    <col min="6" max="6" width="7.453125" bestFit="1" customWidth="1"/>
    <col min="7" max="7" width="8.81640625" bestFit="1" customWidth="1"/>
    <col min="8" max="8" width="9.6328125" bestFit="1" customWidth="1"/>
  </cols>
  <sheetData>
    <row r="1" spans="1:11" x14ac:dyDescent="0.35">
      <c r="A1" s="7" t="s">
        <v>17</v>
      </c>
      <c r="B1" s="7" t="s">
        <v>18</v>
      </c>
      <c r="C1" s="7" t="s">
        <v>19</v>
      </c>
      <c r="D1" s="7" t="s">
        <v>20</v>
      </c>
      <c r="E1" s="7" t="s">
        <v>21</v>
      </c>
      <c r="F1" s="7" t="s">
        <v>22</v>
      </c>
      <c r="G1" s="7" t="s">
        <v>23</v>
      </c>
      <c r="H1" s="7" t="s">
        <v>24</v>
      </c>
    </row>
    <row r="2" spans="1:11" x14ac:dyDescent="0.35">
      <c r="A2" s="7" t="s">
        <v>25</v>
      </c>
      <c r="B2" s="7" t="s">
        <v>26</v>
      </c>
      <c r="C2" s="7" t="s">
        <v>27</v>
      </c>
      <c r="D2" s="7" t="s">
        <v>28</v>
      </c>
      <c r="E2" s="7" t="s">
        <v>29</v>
      </c>
      <c r="F2" s="7" t="s">
        <v>30</v>
      </c>
      <c r="G2" s="7">
        <v>99.388999999999996</v>
      </c>
      <c r="H2" s="7"/>
      <c r="K2" s="14" t="s">
        <v>386</v>
      </c>
    </row>
    <row r="3" spans="1:11" x14ac:dyDescent="0.35">
      <c r="A3" s="7" t="s">
        <v>25</v>
      </c>
      <c r="B3" s="7" t="s">
        <v>26</v>
      </c>
      <c r="C3" s="7" t="s">
        <v>27</v>
      </c>
      <c r="D3" s="7" t="s">
        <v>28</v>
      </c>
      <c r="E3" s="7" t="s">
        <v>29</v>
      </c>
      <c r="F3" s="7" t="s">
        <v>31</v>
      </c>
      <c r="G3" s="7">
        <v>99.46893</v>
      </c>
      <c r="H3" s="7"/>
    </row>
    <row r="4" spans="1:11" x14ac:dyDescent="0.35">
      <c r="A4" s="7" t="s">
        <v>25</v>
      </c>
      <c r="B4" s="7" t="s">
        <v>26</v>
      </c>
      <c r="C4" s="7" t="s">
        <v>27</v>
      </c>
      <c r="D4" s="7" t="s">
        <v>28</v>
      </c>
      <c r="E4" s="7" t="s">
        <v>29</v>
      </c>
      <c r="F4" s="7" t="s">
        <v>32</v>
      </c>
      <c r="G4" s="7">
        <v>99.540499999999994</v>
      </c>
      <c r="H4" s="7"/>
    </row>
    <row r="5" spans="1:11" x14ac:dyDescent="0.35">
      <c r="A5" s="7" t="s">
        <v>25</v>
      </c>
      <c r="B5" s="7" t="s">
        <v>26</v>
      </c>
      <c r="C5" s="7" t="s">
        <v>27</v>
      </c>
      <c r="D5" s="7" t="s">
        <v>28</v>
      </c>
      <c r="E5" s="7" t="s">
        <v>29</v>
      </c>
      <c r="F5" s="7" t="s">
        <v>33</v>
      </c>
      <c r="G5" s="7">
        <v>99.586920000000006</v>
      </c>
      <c r="H5" s="7"/>
    </row>
    <row r="6" spans="1:11" x14ac:dyDescent="0.35">
      <c r="A6" s="7" t="s">
        <v>25</v>
      </c>
      <c r="B6" s="7" t="s">
        <v>26</v>
      </c>
      <c r="C6" s="7" t="s">
        <v>27</v>
      </c>
      <c r="D6" s="7" t="s">
        <v>28</v>
      </c>
      <c r="E6" s="7" t="s">
        <v>29</v>
      </c>
      <c r="F6" s="7" t="s">
        <v>34</v>
      </c>
      <c r="G6" s="7">
        <v>99.615809999999996</v>
      </c>
      <c r="H6" s="7"/>
    </row>
    <row r="7" spans="1:11" x14ac:dyDescent="0.35">
      <c r="A7" s="7" t="s">
        <v>25</v>
      </c>
      <c r="B7" s="7" t="s">
        <v>26</v>
      </c>
      <c r="C7" s="7" t="s">
        <v>27</v>
      </c>
      <c r="D7" s="7" t="s">
        <v>28</v>
      </c>
      <c r="E7" s="7" t="s">
        <v>29</v>
      </c>
      <c r="F7" s="7" t="s">
        <v>35</v>
      </c>
      <c r="G7" s="7">
        <v>99.694320000000005</v>
      </c>
      <c r="H7" s="7"/>
    </row>
    <row r="8" spans="1:11" x14ac:dyDescent="0.35">
      <c r="A8" s="7" t="s">
        <v>25</v>
      </c>
      <c r="B8" s="7" t="s">
        <v>26</v>
      </c>
      <c r="C8" s="7" t="s">
        <v>27</v>
      </c>
      <c r="D8" s="7" t="s">
        <v>28</v>
      </c>
      <c r="E8" s="7" t="s">
        <v>29</v>
      </c>
      <c r="F8" s="7" t="s">
        <v>36</v>
      </c>
      <c r="G8" s="7">
        <v>99.847790000000003</v>
      </c>
      <c r="H8" s="7"/>
    </row>
    <row r="9" spans="1:11" x14ac:dyDescent="0.35">
      <c r="A9" s="7" t="s">
        <v>25</v>
      </c>
      <c r="B9" s="7" t="s">
        <v>26</v>
      </c>
      <c r="C9" s="7" t="s">
        <v>27</v>
      </c>
      <c r="D9" s="7" t="s">
        <v>28</v>
      </c>
      <c r="E9" s="7" t="s">
        <v>29</v>
      </c>
      <c r="F9" s="7" t="s">
        <v>37</v>
      </c>
      <c r="G9" s="7">
        <v>99.999300000000005</v>
      </c>
      <c r="H9" s="7"/>
    </row>
    <row r="10" spans="1:11" x14ac:dyDescent="0.35">
      <c r="A10" s="7" t="s">
        <v>25</v>
      </c>
      <c r="B10" s="7" t="s">
        <v>26</v>
      </c>
      <c r="C10" s="7" t="s">
        <v>27</v>
      </c>
      <c r="D10" s="7" t="s">
        <v>28</v>
      </c>
      <c r="E10" s="7" t="s">
        <v>29</v>
      </c>
      <c r="F10" s="7" t="s">
        <v>38</v>
      </c>
      <c r="G10" s="7">
        <v>100.0882</v>
      </c>
      <c r="H10" s="7"/>
    </row>
    <row r="11" spans="1:11" x14ac:dyDescent="0.35">
      <c r="A11" s="7" t="s">
        <v>25</v>
      </c>
      <c r="B11" s="7" t="s">
        <v>26</v>
      </c>
      <c r="C11" s="7" t="s">
        <v>27</v>
      </c>
      <c r="D11" s="7" t="s">
        <v>28</v>
      </c>
      <c r="E11" s="7" t="s">
        <v>29</v>
      </c>
      <c r="F11" s="7" t="s">
        <v>39</v>
      </c>
      <c r="G11" s="7">
        <v>100.0911</v>
      </c>
      <c r="H11" s="7"/>
    </row>
    <row r="12" spans="1:11" x14ac:dyDescent="0.35">
      <c r="A12" s="7" t="s">
        <v>25</v>
      </c>
      <c r="B12" s="7" t="s">
        <v>26</v>
      </c>
      <c r="C12" s="7" t="s">
        <v>27</v>
      </c>
      <c r="D12" s="7" t="s">
        <v>28</v>
      </c>
      <c r="E12" s="7" t="s">
        <v>29</v>
      </c>
      <c r="F12" s="7" t="s">
        <v>40</v>
      </c>
      <c r="G12" s="7">
        <v>99.959789999999998</v>
      </c>
      <c r="H12" s="7"/>
    </row>
    <row r="13" spans="1:11" x14ac:dyDescent="0.35">
      <c r="A13" s="7" t="s">
        <v>25</v>
      </c>
      <c r="B13" s="7" t="s">
        <v>26</v>
      </c>
      <c r="C13" s="7" t="s">
        <v>27</v>
      </c>
      <c r="D13" s="7" t="s">
        <v>28</v>
      </c>
      <c r="E13" s="7" t="s">
        <v>29</v>
      </c>
      <c r="F13" s="7" t="s">
        <v>41</v>
      </c>
      <c r="G13" s="7">
        <v>99.66404</v>
      </c>
      <c r="H13" s="7"/>
    </row>
    <row r="14" spans="1:11" x14ac:dyDescent="0.35">
      <c r="A14" s="7" t="s">
        <v>25</v>
      </c>
      <c r="B14" s="7" t="s">
        <v>26</v>
      </c>
      <c r="C14" s="7" t="s">
        <v>27</v>
      </c>
      <c r="D14" s="7" t="s">
        <v>28</v>
      </c>
      <c r="E14" s="7" t="s">
        <v>29</v>
      </c>
      <c r="F14" s="7" t="s">
        <v>42</v>
      </c>
      <c r="G14" s="7">
        <v>99.304599999999994</v>
      </c>
      <c r="H14" s="7"/>
    </row>
    <row r="15" spans="1:11" x14ac:dyDescent="0.35">
      <c r="A15" s="7" t="s">
        <v>25</v>
      </c>
      <c r="B15" s="7" t="s">
        <v>26</v>
      </c>
      <c r="C15" s="7" t="s">
        <v>27</v>
      </c>
      <c r="D15" s="7" t="s">
        <v>28</v>
      </c>
      <c r="E15" s="7" t="s">
        <v>29</v>
      </c>
      <c r="F15" s="7" t="s">
        <v>43</v>
      </c>
      <c r="G15" s="7">
        <v>99.082549999999998</v>
      </c>
      <c r="H15" s="7"/>
    </row>
    <row r="16" spans="1:11" x14ac:dyDescent="0.35">
      <c r="A16" s="7" t="s">
        <v>25</v>
      </c>
      <c r="B16" s="7" t="s">
        <v>26</v>
      </c>
      <c r="C16" s="7" t="s">
        <v>27</v>
      </c>
      <c r="D16" s="7" t="s">
        <v>28</v>
      </c>
      <c r="E16" s="7" t="s">
        <v>29</v>
      </c>
      <c r="F16" s="7" t="s">
        <v>44</v>
      </c>
      <c r="G16" s="7">
        <v>98.95147</v>
      </c>
      <c r="H16" s="7"/>
    </row>
    <row r="17" spans="1:8" x14ac:dyDescent="0.35">
      <c r="A17" s="7" t="s">
        <v>25</v>
      </c>
      <c r="B17" s="7" t="s">
        <v>26</v>
      </c>
      <c r="C17" s="7" t="s">
        <v>27</v>
      </c>
      <c r="D17" s="7" t="s">
        <v>28</v>
      </c>
      <c r="E17" s="7" t="s">
        <v>29</v>
      </c>
      <c r="F17" s="7" t="s">
        <v>45</v>
      </c>
      <c r="G17" s="7">
        <v>98.712490000000003</v>
      </c>
      <c r="H17" s="7"/>
    </row>
    <row r="18" spans="1:8" x14ac:dyDescent="0.35">
      <c r="A18" s="7" t="s">
        <v>25</v>
      </c>
      <c r="B18" s="7" t="s">
        <v>26</v>
      </c>
      <c r="C18" s="7" t="s">
        <v>27</v>
      </c>
      <c r="D18" s="7" t="s">
        <v>28</v>
      </c>
      <c r="E18" s="7" t="s">
        <v>29</v>
      </c>
      <c r="F18" s="7" t="s">
        <v>46</v>
      </c>
      <c r="G18" s="7">
        <v>98.490009999999998</v>
      </c>
      <c r="H18" s="7"/>
    </row>
    <row r="19" spans="1:8" x14ac:dyDescent="0.35">
      <c r="A19" s="7" t="s">
        <v>25</v>
      </c>
      <c r="B19" s="7" t="s">
        <v>26</v>
      </c>
      <c r="C19" s="7" t="s">
        <v>27</v>
      </c>
      <c r="D19" s="7" t="s">
        <v>28</v>
      </c>
      <c r="E19" s="7" t="s">
        <v>29</v>
      </c>
      <c r="F19" s="7" t="s">
        <v>47</v>
      </c>
      <c r="G19" s="7">
        <v>98.46284</v>
      </c>
      <c r="H19" s="7"/>
    </row>
    <row r="20" spans="1:8" x14ac:dyDescent="0.35">
      <c r="A20" s="7" t="s">
        <v>25</v>
      </c>
      <c r="B20" s="7" t="s">
        <v>26</v>
      </c>
      <c r="C20" s="7" t="s">
        <v>27</v>
      </c>
      <c r="D20" s="7" t="s">
        <v>28</v>
      </c>
      <c r="E20" s="7" t="s">
        <v>29</v>
      </c>
      <c r="F20" s="7" t="s">
        <v>48</v>
      </c>
      <c r="G20" s="7">
        <v>98.5154</v>
      </c>
      <c r="H20" s="7"/>
    </row>
    <row r="21" spans="1:8" x14ac:dyDescent="0.35">
      <c r="A21" s="7" t="s">
        <v>25</v>
      </c>
      <c r="B21" s="7" t="s">
        <v>26</v>
      </c>
      <c r="C21" s="7" t="s">
        <v>27</v>
      </c>
      <c r="D21" s="7" t="s">
        <v>28</v>
      </c>
      <c r="E21" s="7" t="s">
        <v>29</v>
      </c>
      <c r="F21" s="7" t="s">
        <v>49</v>
      </c>
      <c r="G21" s="7">
        <v>98.546059999999997</v>
      </c>
      <c r="H21" s="7"/>
    </row>
    <row r="22" spans="1:8" x14ac:dyDescent="0.35">
      <c r="A22" s="7" t="s">
        <v>25</v>
      </c>
      <c r="B22" s="7" t="s">
        <v>26</v>
      </c>
      <c r="C22" s="7" t="s">
        <v>27</v>
      </c>
      <c r="D22" s="7" t="s">
        <v>28</v>
      </c>
      <c r="E22" s="7" t="s">
        <v>29</v>
      </c>
      <c r="F22" s="7" t="s">
        <v>50</v>
      </c>
      <c r="G22" s="7">
        <v>98.623040000000003</v>
      </c>
      <c r="H22" s="7"/>
    </row>
    <row r="23" spans="1:8" x14ac:dyDescent="0.35">
      <c r="A23" s="7" t="s">
        <v>25</v>
      </c>
      <c r="B23" s="7" t="s">
        <v>26</v>
      </c>
      <c r="C23" s="7" t="s">
        <v>27</v>
      </c>
      <c r="D23" s="7" t="s">
        <v>28</v>
      </c>
      <c r="E23" s="7" t="s">
        <v>29</v>
      </c>
      <c r="F23" s="7" t="s">
        <v>51</v>
      </c>
      <c r="G23" s="7">
        <v>98.82687</v>
      </c>
      <c r="H23" s="7"/>
    </row>
    <row r="24" spans="1:8" x14ac:dyDescent="0.35">
      <c r="A24" s="7" t="s">
        <v>25</v>
      </c>
      <c r="B24" s="7" t="s">
        <v>26</v>
      </c>
      <c r="C24" s="7" t="s">
        <v>27</v>
      </c>
      <c r="D24" s="7" t="s">
        <v>28</v>
      </c>
      <c r="E24" s="7" t="s">
        <v>29</v>
      </c>
      <c r="F24" s="7" t="s">
        <v>52</v>
      </c>
      <c r="G24" s="7">
        <v>99.001140000000007</v>
      </c>
      <c r="H24" s="7"/>
    </row>
    <row r="25" spans="1:8" x14ac:dyDescent="0.35">
      <c r="A25" s="7" t="s">
        <v>25</v>
      </c>
      <c r="B25" s="7" t="s">
        <v>26</v>
      </c>
      <c r="C25" s="7" t="s">
        <v>27</v>
      </c>
      <c r="D25" s="7" t="s">
        <v>28</v>
      </c>
      <c r="E25" s="7" t="s">
        <v>29</v>
      </c>
      <c r="F25" s="7" t="s">
        <v>53</v>
      </c>
      <c r="G25" s="7">
        <v>99.011030000000005</v>
      </c>
      <c r="H25" s="7"/>
    </row>
    <row r="26" spans="1:8" x14ac:dyDescent="0.35">
      <c r="A26" s="7" t="s">
        <v>25</v>
      </c>
      <c r="B26" s="7" t="s">
        <v>26</v>
      </c>
      <c r="C26" s="7" t="s">
        <v>27</v>
      </c>
      <c r="D26" s="7" t="s">
        <v>28</v>
      </c>
      <c r="E26" s="7" t="s">
        <v>29</v>
      </c>
      <c r="F26" s="7" t="s">
        <v>54</v>
      </c>
      <c r="G26" s="7">
        <v>99.013480000000001</v>
      </c>
      <c r="H26" s="7"/>
    </row>
    <row r="27" spans="1:8" x14ac:dyDescent="0.35">
      <c r="A27" s="7" t="s">
        <v>25</v>
      </c>
      <c r="B27" s="7" t="s">
        <v>26</v>
      </c>
      <c r="C27" s="7" t="s">
        <v>27</v>
      </c>
      <c r="D27" s="7" t="s">
        <v>28</v>
      </c>
      <c r="E27" s="7" t="s">
        <v>29</v>
      </c>
      <c r="F27" s="7" t="s">
        <v>55</v>
      </c>
      <c r="G27" s="7">
        <v>99.011960000000002</v>
      </c>
      <c r="H27" s="7"/>
    </row>
    <row r="28" spans="1:8" x14ac:dyDescent="0.35">
      <c r="A28" s="7" t="s">
        <v>25</v>
      </c>
      <c r="B28" s="7" t="s">
        <v>26</v>
      </c>
      <c r="C28" s="7" t="s">
        <v>27</v>
      </c>
      <c r="D28" s="7" t="s">
        <v>28</v>
      </c>
      <c r="E28" s="7" t="s">
        <v>29</v>
      </c>
      <c r="F28" s="7" t="s">
        <v>56</v>
      </c>
      <c r="G28" s="7">
        <v>99.135149999999996</v>
      </c>
      <c r="H28" s="7"/>
    </row>
    <row r="29" spans="1:8" x14ac:dyDescent="0.35">
      <c r="A29" s="7" t="s">
        <v>25</v>
      </c>
      <c r="B29" s="7" t="s">
        <v>26</v>
      </c>
      <c r="C29" s="7" t="s">
        <v>27</v>
      </c>
      <c r="D29" s="7" t="s">
        <v>28</v>
      </c>
      <c r="E29" s="7" t="s">
        <v>29</v>
      </c>
      <c r="F29" s="7" t="s">
        <v>57</v>
      </c>
      <c r="G29" s="7">
        <v>99.339219999999997</v>
      </c>
      <c r="H29" s="7"/>
    </row>
    <row r="30" spans="1:8" x14ac:dyDescent="0.35">
      <c r="A30" s="7" t="s">
        <v>25</v>
      </c>
      <c r="B30" s="7" t="s">
        <v>26</v>
      </c>
      <c r="C30" s="7" t="s">
        <v>27</v>
      </c>
      <c r="D30" s="7" t="s">
        <v>28</v>
      </c>
      <c r="E30" s="7" t="s">
        <v>29</v>
      </c>
      <c r="F30" s="7" t="s">
        <v>58</v>
      </c>
      <c r="G30" s="7">
        <v>99.520420000000001</v>
      </c>
      <c r="H30" s="7"/>
    </row>
    <row r="31" spans="1:8" x14ac:dyDescent="0.35">
      <c r="A31" s="7" t="s">
        <v>25</v>
      </c>
      <c r="B31" s="7" t="s">
        <v>26</v>
      </c>
      <c r="C31" s="7" t="s">
        <v>27</v>
      </c>
      <c r="D31" s="7" t="s">
        <v>28</v>
      </c>
      <c r="E31" s="7" t="s">
        <v>29</v>
      </c>
      <c r="F31" s="7" t="s">
        <v>59</v>
      </c>
      <c r="G31" s="7">
        <v>99.691850000000002</v>
      </c>
      <c r="H31" s="7"/>
    </row>
    <row r="32" spans="1:8" x14ac:dyDescent="0.35">
      <c r="A32" s="7" t="s">
        <v>25</v>
      </c>
      <c r="B32" s="7" t="s">
        <v>26</v>
      </c>
      <c r="C32" s="7" t="s">
        <v>27</v>
      </c>
      <c r="D32" s="7" t="s">
        <v>28</v>
      </c>
      <c r="E32" s="7" t="s">
        <v>29</v>
      </c>
      <c r="F32" s="7" t="s">
        <v>60</v>
      </c>
      <c r="G32" s="7">
        <v>99.902000000000001</v>
      </c>
      <c r="H32" s="7"/>
    </row>
    <row r="33" spans="1:8" x14ac:dyDescent="0.35">
      <c r="A33" s="7" t="s">
        <v>25</v>
      </c>
      <c r="B33" s="7" t="s">
        <v>26</v>
      </c>
      <c r="C33" s="7" t="s">
        <v>27</v>
      </c>
      <c r="D33" s="7" t="s">
        <v>28</v>
      </c>
      <c r="E33" s="7" t="s">
        <v>29</v>
      </c>
      <c r="F33" s="7" t="s">
        <v>61</v>
      </c>
      <c r="G33" s="7">
        <v>100.1631</v>
      </c>
      <c r="H33" s="7"/>
    </row>
    <row r="34" spans="1:8" x14ac:dyDescent="0.35">
      <c r="A34" s="7" t="s">
        <v>25</v>
      </c>
      <c r="B34" s="7" t="s">
        <v>26</v>
      </c>
      <c r="C34" s="7" t="s">
        <v>27</v>
      </c>
      <c r="D34" s="7" t="s">
        <v>28</v>
      </c>
      <c r="E34" s="7" t="s">
        <v>29</v>
      </c>
      <c r="F34" s="7" t="s">
        <v>62</v>
      </c>
      <c r="G34" s="7">
        <v>100.4131</v>
      </c>
      <c r="H34" s="7"/>
    </row>
    <row r="35" spans="1:8" x14ac:dyDescent="0.35">
      <c r="A35" s="7" t="s">
        <v>25</v>
      </c>
      <c r="B35" s="7" t="s">
        <v>26</v>
      </c>
      <c r="C35" s="7" t="s">
        <v>27</v>
      </c>
      <c r="D35" s="7" t="s">
        <v>28</v>
      </c>
      <c r="E35" s="7" t="s">
        <v>29</v>
      </c>
      <c r="F35" s="7" t="s">
        <v>63</v>
      </c>
      <c r="G35" s="7">
        <v>100.6902</v>
      </c>
      <c r="H35" s="7"/>
    </row>
    <row r="36" spans="1:8" x14ac:dyDescent="0.35">
      <c r="A36" s="7" t="s">
        <v>25</v>
      </c>
      <c r="B36" s="7" t="s">
        <v>26</v>
      </c>
      <c r="C36" s="7" t="s">
        <v>27</v>
      </c>
      <c r="D36" s="7" t="s">
        <v>28</v>
      </c>
      <c r="E36" s="7" t="s">
        <v>29</v>
      </c>
      <c r="F36" s="7" t="s">
        <v>64</v>
      </c>
      <c r="G36" s="7">
        <v>100.828</v>
      </c>
      <c r="H36" s="7"/>
    </row>
    <row r="37" spans="1:8" x14ac:dyDescent="0.35">
      <c r="A37" s="7" t="s">
        <v>25</v>
      </c>
      <c r="B37" s="7" t="s">
        <v>26</v>
      </c>
      <c r="C37" s="7" t="s">
        <v>27</v>
      </c>
      <c r="D37" s="7" t="s">
        <v>28</v>
      </c>
      <c r="E37" s="7" t="s">
        <v>29</v>
      </c>
      <c r="F37" s="7" t="s">
        <v>65</v>
      </c>
      <c r="G37" s="7">
        <v>100.7591</v>
      </c>
      <c r="H37" s="7"/>
    </row>
    <row r="38" spans="1:8" x14ac:dyDescent="0.35">
      <c r="A38" s="7" t="s">
        <v>25</v>
      </c>
      <c r="B38" s="7" t="s">
        <v>26</v>
      </c>
      <c r="C38" s="7" t="s">
        <v>27</v>
      </c>
      <c r="D38" s="7" t="s">
        <v>28</v>
      </c>
      <c r="E38" s="7" t="s">
        <v>29</v>
      </c>
      <c r="F38" s="7" t="s">
        <v>66</v>
      </c>
      <c r="G38" s="7">
        <v>100.6039</v>
      </c>
      <c r="H38" s="7"/>
    </row>
    <row r="39" spans="1:8" x14ac:dyDescent="0.35">
      <c r="A39" s="7" t="s">
        <v>25</v>
      </c>
      <c r="B39" s="7" t="s">
        <v>26</v>
      </c>
      <c r="C39" s="7" t="s">
        <v>27</v>
      </c>
      <c r="D39" s="7" t="s">
        <v>28</v>
      </c>
      <c r="E39" s="7" t="s">
        <v>29</v>
      </c>
      <c r="F39" s="7" t="s">
        <v>67</v>
      </c>
      <c r="G39" s="7">
        <v>100.5217</v>
      </c>
      <c r="H39" s="7"/>
    </row>
    <row r="40" spans="1:8" x14ac:dyDescent="0.35">
      <c r="A40" s="7" t="s">
        <v>25</v>
      </c>
      <c r="B40" s="7" t="s">
        <v>26</v>
      </c>
      <c r="C40" s="7" t="s">
        <v>27</v>
      </c>
      <c r="D40" s="7" t="s">
        <v>28</v>
      </c>
      <c r="E40" s="7" t="s">
        <v>29</v>
      </c>
      <c r="F40" s="7" t="s">
        <v>68</v>
      </c>
      <c r="G40" s="7">
        <v>100.5758</v>
      </c>
      <c r="H40" s="7"/>
    </row>
    <row r="41" spans="1:8" x14ac:dyDescent="0.35">
      <c r="A41" s="7" t="s">
        <v>25</v>
      </c>
      <c r="B41" s="7" t="s">
        <v>26</v>
      </c>
      <c r="C41" s="7" t="s">
        <v>27</v>
      </c>
      <c r="D41" s="7" t="s">
        <v>28</v>
      </c>
      <c r="E41" s="7" t="s">
        <v>29</v>
      </c>
      <c r="F41" s="7" t="s">
        <v>69</v>
      </c>
      <c r="G41" s="7">
        <v>100.6709</v>
      </c>
      <c r="H41" s="7"/>
    </row>
    <row r="42" spans="1:8" x14ac:dyDescent="0.35">
      <c r="A42" s="7" t="s">
        <v>25</v>
      </c>
      <c r="B42" s="7" t="s">
        <v>26</v>
      </c>
      <c r="C42" s="7" t="s">
        <v>27</v>
      </c>
      <c r="D42" s="7" t="s">
        <v>28</v>
      </c>
      <c r="E42" s="7" t="s">
        <v>29</v>
      </c>
      <c r="F42" s="7" t="s">
        <v>70</v>
      </c>
      <c r="G42" s="7">
        <v>100.6889</v>
      </c>
      <c r="H42" s="7"/>
    </row>
    <row r="43" spans="1:8" x14ac:dyDescent="0.35">
      <c r="A43" s="7" t="s">
        <v>25</v>
      </c>
      <c r="B43" s="7" t="s">
        <v>26</v>
      </c>
      <c r="C43" s="7" t="s">
        <v>27</v>
      </c>
      <c r="D43" s="7" t="s">
        <v>28</v>
      </c>
      <c r="E43" s="7" t="s">
        <v>29</v>
      </c>
      <c r="F43" s="7" t="s">
        <v>71</v>
      </c>
      <c r="G43" s="7">
        <v>100.6572</v>
      </c>
      <c r="H43" s="7"/>
    </row>
    <row r="44" spans="1:8" x14ac:dyDescent="0.35">
      <c r="A44" s="7" t="s">
        <v>25</v>
      </c>
      <c r="B44" s="7" t="s">
        <v>26</v>
      </c>
      <c r="C44" s="7" t="s">
        <v>27</v>
      </c>
      <c r="D44" s="7" t="s">
        <v>28</v>
      </c>
      <c r="E44" s="7" t="s">
        <v>29</v>
      </c>
      <c r="F44" s="7" t="s">
        <v>72</v>
      </c>
      <c r="G44" s="7">
        <v>100.6217</v>
      </c>
      <c r="H44" s="7"/>
    </row>
    <row r="45" spans="1:8" x14ac:dyDescent="0.35">
      <c r="A45" s="7" t="s">
        <v>25</v>
      </c>
      <c r="B45" s="7" t="s">
        <v>26</v>
      </c>
      <c r="C45" s="7" t="s">
        <v>27</v>
      </c>
      <c r="D45" s="7" t="s">
        <v>28</v>
      </c>
      <c r="E45" s="7" t="s">
        <v>29</v>
      </c>
      <c r="F45" s="7" t="s">
        <v>73</v>
      </c>
      <c r="G45" s="7">
        <v>100.5878</v>
      </c>
      <c r="H45" s="7"/>
    </row>
    <row r="46" spans="1:8" x14ac:dyDescent="0.35">
      <c r="A46" s="7" t="s">
        <v>25</v>
      </c>
      <c r="B46" s="7" t="s">
        <v>26</v>
      </c>
      <c r="C46" s="7" t="s">
        <v>27</v>
      </c>
      <c r="D46" s="7" t="s">
        <v>28</v>
      </c>
      <c r="E46" s="7" t="s">
        <v>29</v>
      </c>
      <c r="F46" s="7" t="s">
        <v>74</v>
      </c>
      <c r="G46" s="7">
        <v>100.6285</v>
      </c>
      <c r="H46" s="7"/>
    </row>
    <row r="47" spans="1:8" x14ac:dyDescent="0.35">
      <c r="A47" s="7" t="s">
        <v>25</v>
      </c>
      <c r="B47" s="7" t="s">
        <v>26</v>
      </c>
      <c r="C47" s="7" t="s">
        <v>27</v>
      </c>
      <c r="D47" s="7" t="s">
        <v>28</v>
      </c>
      <c r="E47" s="7" t="s">
        <v>29</v>
      </c>
      <c r="F47" s="7" t="s">
        <v>75</v>
      </c>
      <c r="G47" s="7">
        <v>100.7552</v>
      </c>
      <c r="H47" s="7"/>
    </row>
    <row r="48" spans="1:8" x14ac:dyDescent="0.35">
      <c r="A48" s="7" t="s">
        <v>25</v>
      </c>
      <c r="B48" s="7" t="s">
        <v>26</v>
      </c>
      <c r="C48" s="7" t="s">
        <v>27</v>
      </c>
      <c r="D48" s="7" t="s">
        <v>28</v>
      </c>
      <c r="E48" s="7" t="s">
        <v>29</v>
      </c>
      <c r="F48" s="7" t="s">
        <v>76</v>
      </c>
      <c r="G48" s="7">
        <v>100.8496</v>
      </c>
      <c r="H48" s="7"/>
    </row>
    <row r="49" spans="1:8" x14ac:dyDescent="0.35">
      <c r="A49" s="7" t="s">
        <v>25</v>
      </c>
      <c r="B49" s="7" t="s">
        <v>26</v>
      </c>
      <c r="C49" s="7" t="s">
        <v>27</v>
      </c>
      <c r="D49" s="7" t="s">
        <v>28</v>
      </c>
      <c r="E49" s="7" t="s">
        <v>29</v>
      </c>
      <c r="F49" s="7" t="s">
        <v>77</v>
      </c>
      <c r="G49" s="7">
        <v>100.9359</v>
      </c>
      <c r="H49" s="7"/>
    </row>
    <row r="50" spans="1:8" x14ac:dyDescent="0.35">
      <c r="A50" s="7" t="s">
        <v>25</v>
      </c>
      <c r="B50" s="7" t="s">
        <v>26</v>
      </c>
      <c r="C50" s="7" t="s">
        <v>27</v>
      </c>
      <c r="D50" s="7" t="s">
        <v>28</v>
      </c>
      <c r="E50" s="7" t="s">
        <v>29</v>
      </c>
      <c r="F50" s="7" t="s">
        <v>78</v>
      </c>
      <c r="G50" s="7">
        <v>100.96899999999999</v>
      </c>
      <c r="H50" s="7"/>
    </row>
    <row r="51" spans="1:8" x14ac:dyDescent="0.35">
      <c r="A51" s="7" t="s">
        <v>25</v>
      </c>
      <c r="B51" s="7" t="s">
        <v>26</v>
      </c>
      <c r="C51" s="7" t="s">
        <v>27</v>
      </c>
      <c r="D51" s="7" t="s">
        <v>28</v>
      </c>
      <c r="E51" s="7" t="s">
        <v>29</v>
      </c>
      <c r="F51" s="7" t="s">
        <v>79</v>
      </c>
      <c r="G51" s="7">
        <v>100.8927</v>
      </c>
      <c r="H51" s="7"/>
    </row>
    <row r="52" spans="1:8" x14ac:dyDescent="0.35">
      <c r="A52" s="7" t="s">
        <v>25</v>
      </c>
      <c r="B52" s="7" t="s">
        <v>26</v>
      </c>
      <c r="C52" s="7" t="s">
        <v>27</v>
      </c>
      <c r="D52" s="7" t="s">
        <v>28</v>
      </c>
      <c r="E52" s="7" t="s">
        <v>29</v>
      </c>
      <c r="F52" s="7" t="s">
        <v>80</v>
      </c>
      <c r="G52" s="7">
        <v>100.7068</v>
      </c>
      <c r="H52" s="7"/>
    </row>
    <row r="53" spans="1:8" x14ac:dyDescent="0.35">
      <c r="A53" s="7" t="s">
        <v>25</v>
      </c>
      <c r="B53" s="7" t="s">
        <v>26</v>
      </c>
      <c r="C53" s="7" t="s">
        <v>27</v>
      </c>
      <c r="D53" s="7" t="s">
        <v>28</v>
      </c>
      <c r="E53" s="7" t="s">
        <v>29</v>
      </c>
      <c r="F53" s="7" t="s">
        <v>81</v>
      </c>
      <c r="G53" s="7">
        <v>100.4251</v>
      </c>
      <c r="H53" s="7"/>
    </row>
    <row r="54" spans="1:8" x14ac:dyDescent="0.35">
      <c r="A54" s="7" t="s">
        <v>25</v>
      </c>
      <c r="B54" s="7" t="s">
        <v>26</v>
      </c>
      <c r="C54" s="7" t="s">
        <v>27</v>
      </c>
      <c r="D54" s="7" t="s">
        <v>28</v>
      </c>
      <c r="E54" s="7" t="s">
        <v>29</v>
      </c>
      <c r="F54" s="7" t="s">
        <v>82</v>
      </c>
      <c r="G54" s="7">
        <v>100.2253</v>
      </c>
      <c r="H54" s="7"/>
    </row>
    <row r="55" spans="1:8" x14ac:dyDescent="0.35">
      <c r="A55" s="7" t="s">
        <v>25</v>
      </c>
      <c r="B55" s="7" t="s">
        <v>26</v>
      </c>
      <c r="C55" s="7" t="s">
        <v>27</v>
      </c>
      <c r="D55" s="7" t="s">
        <v>28</v>
      </c>
      <c r="E55" s="7" t="s">
        <v>29</v>
      </c>
      <c r="F55" s="7" t="s">
        <v>83</v>
      </c>
      <c r="G55" s="7">
        <v>100.17749999999999</v>
      </c>
      <c r="H55" s="7"/>
    </row>
    <row r="56" spans="1:8" x14ac:dyDescent="0.35">
      <c r="A56" s="7" t="s">
        <v>25</v>
      </c>
      <c r="B56" s="7" t="s">
        <v>26</v>
      </c>
      <c r="C56" s="7" t="s">
        <v>27</v>
      </c>
      <c r="D56" s="7" t="s">
        <v>28</v>
      </c>
      <c r="E56" s="7" t="s">
        <v>29</v>
      </c>
      <c r="F56" s="7" t="s">
        <v>84</v>
      </c>
      <c r="G56" s="7">
        <v>100.29900000000001</v>
      </c>
      <c r="H56" s="7"/>
    </row>
    <row r="57" spans="1:8" x14ac:dyDescent="0.35">
      <c r="A57" s="7" t="s">
        <v>25</v>
      </c>
      <c r="B57" s="7" t="s">
        <v>26</v>
      </c>
      <c r="C57" s="7" t="s">
        <v>27</v>
      </c>
      <c r="D57" s="7" t="s">
        <v>28</v>
      </c>
      <c r="E57" s="7" t="s">
        <v>29</v>
      </c>
      <c r="F57" s="7" t="s">
        <v>85</v>
      </c>
      <c r="G57" s="7">
        <v>100.4479</v>
      </c>
      <c r="H57" s="7"/>
    </row>
    <row r="58" spans="1:8" x14ac:dyDescent="0.35">
      <c r="A58" s="7" t="s">
        <v>25</v>
      </c>
      <c r="B58" s="7" t="s">
        <v>26</v>
      </c>
      <c r="C58" s="7" t="s">
        <v>27</v>
      </c>
      <c r="D58" s="7" t="s">
        <v>28</v>
      </c>
      <c r="E58" s="7" t="s">
        <v>29</v>
      </c>
      <c r="F58" s="7" t="s">
        <v>86</v>
      </c>
      <c r="G58" s="7">
        <v>100.6187</v>
      </c>
      <c r="H58" s="7"/>
    </row>
    <row r="59" spans="1:8" x14ac:dyDescent="0.35">
      <c r="A59" s="7" t="s">
        <v>25</v>
      </c>
      <c r="B59" s="7" t="s">
        <v>26</v>
      </c>
      <c r="C59" s="7" t="s">
        <v>27</v>
      </c>
      <c r="D59" s="7" t="s">
        <v>28</v>
      </c>
      <c r="E59" s="7" t="s">
        <v>29</v>
      </c>
      <c r="F59" s="7" t="s">
        <v>87</v>
      </c>
      <c r="G59" s="7">
        <v>100.77500000000001</v>
      </c>
      <c r="H59" s="7"/>
    </row>
    <row r="60" spans="1:8" x14ac:dyDescent="0.35">
      <c r="A60" s="7" t="s">
        <v>25</v>
      </c>
      <c r="B60" s="7" t="s">
        <v>26</v>
      </c>
      <c r="C60" s="7" t="s">
        <v>27</v>
      </c>
      <c r="D60" s="7" t="s">
        <v>28</v>
      </c>
      <c r="E60" s="7" t="s">
        <v>29</v>
      </c>
      <c r="F60" s="7" t="s">
        <v>88</v>
      </c>
      <c r="G60" s="7">
        <v>100.9786</v>
      </c>
      <c r="H60" s="7"/>
    </row>
    <row r="61" spans="1:8" x14ac:dyDescent="0.35">
      <c r="A61" s="7" t="s">
        <v>25</v>
      </c>
      <c r="B61" s="7" t="s">
        <v>26</v>
      </c>
      <c r="C61" s="7" t="s">
        <v>27</v>
      </c>
      <c r="D61" s="7" t="s">
        <v>28</v>
      </c>
      <c r="E61" s="7" t="s">
        <v>29</v>
      </c>
      <c r="F61" s="7" t="s">
        <v>89</v>
      </c>
      <c r="G61" s="7">
        <v>101.09650000000001</v>
      </c>
      <c r="H61" s="7"/>
    </row>
    <row r="62" spans="1:8" x14ac:dyDescent="0.35">
      <c r="A62" s="7" t="s">
        <v>25</v>
      </c>
      <c r="B62" s="7" t="s">
        <v>26</v>
      </c>
      <c r="C62" s="7" t="s">
        <v>27</v>
      </c>
      <c r="D62" s="7" t="s">
        <v>28</v>
      </c>
      <c r="E62" s="7" t="s">
        <v>29</v>
      </c>
      <c r="F62" s="7" t="s">
        <v>90</v>
      </c>
      <c r="G62" s="7">
        <v>101.0692</v>
      </c>
      <c r="H62" s="7"/>
    </row>
    <row r="63" spans="1:8" x14ac:dyDescent="0.35">
      <c r="A63" s="7" t="s">
        <v>25</v>
      </c>
      <c r="B63" s="7" t="s">
        <v>26</v>
      </c>
      <c r="C63" s="7" t="s">
        <v>27</v>
      </c>
      <c r="D63" s="7" t="s">
        <v>28</v>
      </c>
      <c r="E63" s="7" t="s">
        <v>29</v>
      </c>
      <c r="F63" s="7" t="s">
        <v>91</v>
      </c>
      <c r="G63" s="7">
        <v>101.1099</v>
      </c>
      <c r="H63" s="7"/>
    </row>
    <row r="64" spans="1:8" x14ac:dyDescent="0.35">
      <c r="A64" s="7" t="s">
        <v>25</v>
      </c>
      <c r="B64" s="7" t="s">
        <v>26</v>
      </c>
      <c r="C64" s="7" t="s">
        <v>27</v>
      </c>
      <c r="D64" s="7" t="s">
        <v>28</v>
      </c>
      <c r="E64" s="7" t="s">
        <v>29</v>
      </c>
      <c r="F64" s="7" t="s">
        <v>92</v>
      </c>
      <c r="G64" s="7">
        <v>101.2334</v>
      </c>
      <c r="H64" s="7"/>
    </row>
    <row r="65" spans="1:8" x14ac:dyDescent="0.35">
      <c r="A65" s="7" t="s">
        <v>25</v>
      </c>
      <c r="B65" s="7" t="s">
        <v>26</v>
      </c>
      <c r="C65" s="7" t="s">
        <v>27</v>
      </c>
      <c r="D65" s="7" t="s">
        <v>28</v>
      </c>
      <c r="E65" s="7" t="s">
        <v>29</v>
      </c>
      <c r="F65" s="7" t="s">
        <v>93</v>
      </c>
      <c r="G65" s="7">
        <v>101.3329</v>
      </c>
      <c r="H65" s="7"/>
    </row>
    <row r="66" spans="1:8" x14ac:dyDescent="0.35">
      <c r="A66" s="7" t="s">
        <v>25</v>
      </c>
      <c r="B66" s="7" t="s">
        <v>26</v>
      </c>
      <c r="C66" s="7" t="s">
        <v>27</v>
      </c>
      <c r="D66" s="7" t="s">
        <v>28</v>
      </c>
      <c r="E66" s="7" t="s">
        <v>29</v>
      </c>
      <c r="F66" s="7" t="s">
        <v>94</v>
      </c>
      <c r="G66" s="7">
        <v>101.39230000000001</v>
      </c>
      <c r="H66" s="7"/>
    </row>
    <row r="67" spans="1:8" x14ac:dyDescent="0.35">
      <c r="A67" s="7" t="s">
        <v>25</v>
      </c>
      <c r="B67" s="7" t="s">
        <v>26</v>
      </c>
      <c r="C67" s="7" t="s">
        <v>27</v>
      </c>
      <c r="D67" s="7" t="s">
        <v>28</v>
      </c>
      <c r="E67" s="7" t="s">
        <v>29</v>
      </c>
      <c r="F67" s="7" t="s">
        <v>95</v>
      </c>
      <c r="G67" s="7">
        <v>101.4593</v>
      </c>
      <c r="H67" s="7"/>
    </row>
    <row r="68" spans="1:8" x14ac:dyDescent="0.35">
      <c r="A68" s="7" t="s">
        <v>25</v>
      </c>
      <c r="B68" s="7" t="s">
        <v>26</v>
      </c>
      <c r="C68" s="7" t="s">
        <v>27</v>
      </c>
      <c r="D68" s="7" t="s">
        <v>28</v>
      </c>
      <c r="E68" s="7" t="s">
        <v>29</v>
      </c>
      <c r="F68" s="7" t="s">
        <v>96</v>
      </c>
      <c r="G68" s="7">
        <v>101.51300000000001</v>
      </c>
      <c r="H68" s="7"/>
    </row>
    <row r="69" spans="1:8" x14ac:dyDescent="0.35">
      <c r="A69" s="7" t="s">
        <v>25</v>
      </c>
      <c r="B69" s="7" t="s">
        <v>26</v>
      </c>
      <c r="C69" s="7" t="s">
        <v>27</v>
      </c>
      <c r="D69" s="7" t="s">
        <v>28</v>
      </c>
      <c r="E69" s="7" t="s">
        <v>29</v>
      </c>
      <c r="F69" s="7" t="s">
        <v>97</v>
      </c>
      <c r="G69" s="7">
        <v>101.5697</v>
      </c>
      <c r="H69" s="7"/>
    </row>
    <row r="70" spans="1:8" x14ac:dyDescent="0.35">
      <c r="A70" s="7" t="s">
        <v>25</v>
      </c>
      <c r="B70" s="7" t="s">
        <v>26</v>
      </c>
      <c r="C70" s="7" t="s">
        <v>27</v>
      </c>
      <c r="D70" s="7" t="s">
        <v>28</v>
      </c>
      <c r="E70" s="7" t="s">
        <v>29</v>
      </c>
      <c r="F70" s="7" t="s">
        <v>98</v>
      </c>
      <c r="G70" s="7">
        <v>101.611</v>
      </c>
      <c r="H70" s="7"/>
    </row>
    <row r="71" spans="1:8" x14ac:dyDescent="0.35">
      <c r="A71" s="7" t="s">
        <v>25</v>
      </c>
      <c r="B71" s="7" t="s">
        <v>26</v>
      </c>
      <c r="C71" s="7" t="s">
        <v>27</v>
      </c>
      <c r="D71" s="7" t="s">
        <v>28</v>
      </c>
      <c r="E71" s="7" t="s">
        <v>29</v>
      </c>
      <c r="F71" s="7" t="s">
        <v>99</v>
      </c>
      <c r="G71" s="7">
        <v>101.61750000000001</v>
      </c>
      <c r="H71" s="7"/>
    </row>
    <row r="72" spans="1:8" x14ac:dyDescent="0.35">
      <c r="A72" s="7" t="s">
        <v>25</v>
      </c>
      <c r="B72" s="7" t="s">
        <v>26</v>
      </c>
      <c r="C72" s="7" t="s">
        <v>27</v>
      </c>
      <c r="D72" s="7" t="s">
        <v>28</v>
      </c>
      <c r="E72" s="7" t="s">
        <v>29</v>
      </c>
      <c r="F72" s="7" t="s">
        <v>100</v>
      </c>
      <c r="G72" s="7">
        <v>101.60039999999999</v>
      </c>
      <c r="H72" s="7"/>
    </row>
    <row r="73" spans="1:8" x14ac:dyDescent="0.35">
      <c r="A73" s="7" t="s">
        <v>25</v>
      </c>
      <c r="B73" s="7" t="s">
        <v>26</v>
      </c>
      <c r="C73" s="7" t="s">
        <v>27</v>
      </c>
      <c r="D73" s="7" t="s">
        <v>28</v>
      </c>
      <c r="E73" s="7" t="s">
        <v>29</v>
      </c>
      <c r="F73" s="7" t="s">
        <v>101</v>
      </c>
      <c r="G73" s="7">
        <v>101.6036</v>
      </c>
      <c r="H73" s="7"/>
    </row>
    <row r="74" spans="1:8" x14ac:dyDescent="0.35">
      <c r="A74" s="7" t="s">
        <v>25</v>
      </c>
      <c r="B74" s="7" t="s">
        <v>26</v>
      </c>
      <c r="C74" s="7" t="s">
        <v>27</v>
      </c>
      <c r="D74" s="7" t="s">
        <v>28</v>
      </c>
      <c r="E74" s="7" t="s">
        <v>29</v>
      </c>
      <c r="F74" s="7" t="s">
        <v>102</v>
      </c>
      <c r="G74" s="7">
        <v>101.66670000000001</v>
      </c>
      <c r="H74" s="7"/>
    </row>
    <row r="75" spans="1:8" x14ac:dyDescent="0.35">
      <c r="A75" s="7" t="s">
        <v>25</v>
      </c>
      <c r="B75" s="7" t="s">
        <v>26</v>
      </c>
      <c r="C75" s="7" t="s">
        <v>27</v>
      </c>
      <c r="D75" s="7" t="s">
        <v>28</v>
      </c>
      <c r="E75" s="7" t="s">
        <v>29</v>
      </c>
      <c r="F75" s="7" t="s">
        <v>103</v>
      </c>
      <c r="G75" s="7">
        <v>101.7315</v>
      </c>
      <c r="H75" s="7"/>
    </row>
    <row r="76" spans="1:8" x14ac:dyDescent="0.35">
      <c r="A76" s="7" t="s">
        <v>25</v>
      </c>
      <c r="B76" s="7" t="s">
        <v>26</v>
      </c>
      <c r="C76" s="7" t="s">
        <v>27</v>
      </c>
      <c r="D76" s="7" t="s">
        <v>28</v>
      </c>
      <c r="E76" s="7" t="s">
        <v>29</v>
      </c>
      <c r="F76" s="7" t="s">
        <v>104</v>
      </c>
      <c r="G76" s="7">
        <v>101.7955</v>
      </c>
      <c r="H76" s="7"/>
    </row>
    <row r="77" spans="1:8" x14ac:dyDescent="0.35">
      <c r="A77" s="7" t="s">
        <v>25</v>
      </c>
      <c r="B77" s="7" t="s">
        <v>26</v>
      </c>
      <c r="C77" s="7" t="s">
        <v>27</v>
      </c>
      <c r="D77" s="7" t="s">
        <v>28</v>
      </c>
      <c r="E77" s="7" t="s">
        <v>29</v>
      </c>
      <c r="F77" s="7" t="s">
        <v>105</v>
      </c>
      <c r="G77" s="7">
        <v>101.9118</v>
      </c>
      <c r="H77" s="7"/>
    </row>
    <row r="78" spans="1:8" x14ac:dyDescent="0.35">
      <c r="A78" s="7" t="s">
        <v>25</v>
      </c>
      <c r="B78" s="7" t="s">
        <v>26</v>
      </c>
      <c r="C78" s="7" t="s">
        <v>27</v>
      </c>
      <c r="D78" s="7" t="s">
        <v>28</v>
      </c>
      <c r="E78" s="7" t="s">
        <v>29</v>
      </c>
      <c r="F78" s="7" t="s">
        <v>106</v>
      </c>
      <c r="G78" s="7">
        <v>102.00620000000001</v>
      </c>
      <c r="H78" s="7"/>
    </row>
    <row r="79" spans="1:8" x14ac:dyDescent="0.35">
      <c r="A79" s="7" t="s">
        <v>25</v>
      </c>
      <c r="B79" s="7" t="s">
        <v>26</v>
      </c>
      <c r="C79" s="7" t="s">
        <v>27</v>
      </c>
      <c r="D79" s="7" t="s">
        <v>28</v>
      </c>
      <c r="E79" s="7" t="s">
        <v>29</v>
      </c>
      <c r="F79" s="7" t="s">
        <v>107</v>
      </c>
      <c r="G79" s="7">
        <v>102.0334</v>
      </c>
      <c r="H79" s="7"/>
    </row>
    <row r="80" spans="1:8" x14ac:dyDescent="0.35">
      <c r="A80" s="7" t="s">
        <v>25</v>
      </c>
      <c r="B80" s="7" t="s">
        <v>26</v>
      </c>
      <c r="C80" s="7" t="s">
        <v>27</v>
      </c>
      <c r="D80" s="7" t="s">
        <v>28</v>
      </c>
      <c r="E80" s="7" t="s">
        <v>29</v>
      </c>
      <c r="F80" s="7" t="s">
        <v>108</v>
      </c>
      <c r="G80" s="7">
        <v>102.04600000000001</v>
      </c>
      <c r="H80" s="7"/>
    </row>
    <row r="81" spans="1:8" x14ac:dyDescent="0.35">
      <c r="A81" s="7" t="s">
        <v>25</v>
      </c>
      <c r="B81" s="7" t="s">
        <v>26</v>
      </c>
      <c r="C81" s="7" t="s">
        <v>27</v>
      </c>
      <c r="D81" s="7" t="s">
        <v>28</v>
      </c>
      <c r="E81" s="7" t="s">
        <v>29</v>
      </c>
      <c r="F81" s="7" t="s">
        <v>109</v>
      </c>
      <c r="G81" s="7">
        <v>102.0215</v>
      </c>
      <c r="H81" s="7"/>
    </row>
    <row r="82" spans="1:8" x14ac:dyDescent="0.35">
      <c r="A82" s="7" t="s">
        <v>25</v>
      </c>
      <c r="B82" s="7" t="s">
        <v>26</v>
      </c>
      <c r="C82" s="7" t="s">
        <v>27</v>
      </c>
      <c r="D82" s="7" t="s">
        <v>28</v>
      </c>
      <c r="E82" s="7" t="s">
        <v>29</v>
      </c>
      <c r="F82" s="7" t="s">
        <v>110</v>
      </c>
      <c r="G82" s="7">
        <v>101.9233</v>
      </c>
      <c r="H82" s="7"/>
    </row>
    <row r="83" spans="1:8" x14ac:dyDescent="0.35">
      <c r="A83" s="7" t="s">
        <v>25</v>
      </c>
      <c r="B83" s="7" t="s">
        <v>26</v>
      </c>
      <c r="C83" s="7" t="s">
        <v>27</v>
      </c>
      <c r="D83" s="7" t="s">
        <v>28</v>
      </c>
      <c r="E83" s="7" t="s">
        <v>29</v>
      </c>
      <c r="F83" s="7" t="s">
        <v>111</v>
      </c>
      <c r="G83" s="7">
        <v>101.6606</v>
      </c>
      <c r="H83" s="7"/>
    </row>
    <row r="84" spans="1:8" x14ac:dyDescent="0.35">
      <c r="A84" s="7" t="s">
        <v>25</v>
      </c>
      <c r="B84" s="7" t="s">
        <v>26</v>
      </c>
      <c r="C84" s="7" t="s">
        <v>27</v>
      </c>
      <c r="D84" s="7" t="s">
        <v>28</v>
      </c>
      <c r="E84" s="7" t="s">
        <v>29</v>
      </c>
      <c r="F84" s="7" t="s">
        <v>112</v>
      </c>
      <c r="G84" s="7">
        <v>101.251</v>
      </c>
      <c r="H84" s="7"/>
    </row>
    <row r="85" spans="1:8" x14ac:dyDescent="0.35">
      <c r="A85" s="7" t="s">
        <v>25</v>
      </c>
      <c r="B85" s="7" t="s">
        <v>26</v>
      </c>
      <c r="C85" s="7" t="s">
        <v>27</v>
      </c>
      <c r="D85" s="7" t="s">
        <v>28</v>
      </c>
      <c r="E85" s="7" t="s">
        <v>29</v>
      </c>
      <c r="F85" s="7" t="s">
        <v>113</v>
      </c>
      <c r="G85" s="7">
        <v>100.90130000000001</v>
      </c>
      <c r="H85" s="7"/>
    </row>
    <row r="86" spans="1:8" x14ac:dyDescent="0.35">
      <c r="A86" s="7" t="s">
        <v>25</v>
      </c>
      <c r="B86" s="7" t="s">
        <v>26</v>
      </c>
      <c r="C86" s="7" t="s">
        <v>27</v>
      </c>
      <c r="D86" s="7" t="s">
        <v>28</v>
      </c>
      <c r="E86" s="7" t="s">
        <v>29</v>
      </c>
      <c r="F86" s="7" t="s">
        <v>114</v>
      </c>
      <c r="G86" s="7">
        <v>100.80970000000001</v>
      </c>
      <c r="H86" s="7"/>
    </row>
    <row r="87" spans="1:8" x14ac:dyDescent="0.35">
      <c r="A87" s="7" t="s">
        <v>25</v>
      </c>
      <c r="B87" s="7" t="s">
        <v>26</v>
      </c>
      <c r="C87" s="7" t="s">
        <v>27</v>
      </c>
      <c r="D87" s="7" t="s">
        <v>28</v>
      </c>
      <c r="E87" s="7" t="s">
        <v>29</v>
      </c>
      <c r="F87" s="7" t="s">
        <v>115</v>
      </c>
      <c r="G87" s="7">
        <v>100.8172</v>
      </c>
      <c r="H87" s="7"/>
    </row>
    <row r="88" spans="1:8" x14ac:dyDescent="0.35">
      <c r="A88" s="7" t="s">
        <v>25</v>
      </c>
      <c r="B88" s="7" t="s">
        <v>26</v>
      </c>
      <c r="C88" s="7" t="s">
        <v>27</v>
      </c>
      <c r="D88" s="7" t="s">
        <v>28</v>
      </c>
      <c r="E88" s="7" t="s">
        <v>29</v>
      </c>
      <c r="F88" s="7" t="s">
        <v>116</v>
      </c>
      <c r="G88" s="7">
        <v>100.7988</v>
      </c>
      <c r="H88" s="7"/>
    </row>
    <row r="89" spans="1:8" x14ac:dyDescent="0.35">
      <c r="A89" s="7" t="s">
        <v>25</v>
      </c>
      <c r="B89" s="7" t="s">
        <v>26</v>
      </c>
      <c r="C89" s="7" t="s">
        <v>27</v>
      </c>
      <c r="D89" s="7" t="s">
        <v>28</v>
      </c>
      <c r="E89" s="7" t="s">
        <v>29</v>
      </c>
      <c r="F89" s="7" t="s">
        <v>117</v>
      </c>
      <c r="G89" s="7">
        <v>100.7735</v>
      </c>
      <c r="H89" s="7"/>
    </row>
    <row r="90" spans="1:8" x14ac:dyDescent="0.35">
      <c r="A90" s="7" t="s">
        <v>25</v>
      </c>
      <c r="B90" s="7" t="s">
        <v>26</v>
      </c>
      <c r="C90" s="7" t="s">
        <v>27</v>
      </c>
      <c r="D90" s="7" t="s">
        <v>28</v>
      </c>
      <c r="E90" s="7" t="s">
        <v>29</v>
      </c>
      <c r="F90" s="7" t="s">
        <v>118</v>
      </c>
      <c r="G90" s="7">
        <v>100.78660000000001</v>
      </c>
      <c r="H90" s="7"/>
    </row>
    <row r="91" spans="1:8" x14ac:dyDescent="0.35">
      <c r="A91" s="7" t="s">
        <v>25</v>
      </c>
      <c r="B91" s="7" t="s">
        <v>26</v>
      </c>
      <c r="C91" s="7" t="s">
        <v>27</v>
      </c>
      <c r="D91" s="7" t="s">
        <v>28</v>
      </c>
      <c r="E91" s="7" t="s">
        <v>29</v>
      </c>
      <c r="F91" s="7" t="s">
        <v>119</v>
      </c>
      <c r="G91" s="7">
        <v>100.8539</v>
      </c>
      <c r="H91" s="7"/>
    </row>
    <row r="92" spans="1:8" x14ac:dyDescent="0.35">
      <c r="A92" s="7" t="s">
        <v>25</v>
      </c>
      <c r="B92" s="7" t="s">
        <v>26</v>
      </c>
      <c r="C92" s="7" t="s">
        <v>27</v>
      </c>
      <c r="D92" s="7" t="s">
        <v>28</v>
      </c>
      <c r="E92" s="7" t="s">
        <v>29</v>
      </c>
      <c r="F92" s="7" t="s">
        <v>120</v>
      </c>
      <c r="G92" s="7">
        <v>100.9481</v>
      </c>
      <c r="H92" s="7"/>
    </row>
    <row r="93" spans="1:8" x14ac:dyDescent="0.35">
      <c r="A93" s="7" t="s">
        <v>25</v>
      </c>
      <c r="B93" s="7" t="s">
        <v>26</v>
      </c>
      <c r="C93" s="7" t="s">
        <v>27</v>
      </c>
      <c r="D93" s="7" t="s">
        <v>28</v>
      </c>
      <c r="E93" s="7" t="s">
        <v>29</v>
      </c>
      <c r="F93" s="7" t="s">
        <v>121</v>
      </c>
      <c r="G93" s="7">
        <v>101.0861</v>
      </c>
      <c r="H93" s="7"/>
    </row>
    <row r="94" spans="1:8" x14ac:dyDescent="0.35">
      <c r="A94" s="7" t="s">
        <v>25</v>
      </c>
      <c r="B94" s="7" t="s">
        <v>26</v>
      </c>
      <c r="C94" s="7" t="s">
        <v>27</v>
      </c>
      <c r="D94" s="7" t="s">
        <v>28</v>
      </c>
      <c r="E94" s="7" t="s">
        <v>29</v>
      </c>
      <c r="F94" s="7" t="s">
        <v>122</v>
      </c>
      <c r="G94" s="7">
        <v>101.2979</v>
      </c>
      <c r="H94" s="7"/>
    </row>
    <row r="95" spans="1:8" x14ac:dyDescent="0.35">
      <c r="A95" s="7" t="s">
        <v>25</v>
      </c>
      <c r="B95" s="7" t="s">
        <v>26</v>
      </c>
      <c r="C95" s="7" t="s">
        <v>27</v>
      </c>
      <c r="D95" s="7" t="s">
        <v>28</v>
      </c>
      <c r="E95" s="7" t="s">
        <v>29</v>
      </c>
      <c r="F95" s="7" t="s">
        <v>123</v>
      </c>
      <c r="G95" s="7">
        <v>101.5067</v>
      </c>
      <c r="H95" s="7"/>
    </row>
    <row r="96" spans="1:8" x14ac:dyDescent="0.35">
      <c r="A96" s="7" t="s">
        <v>25</v>
      </c>
      <c r="B96" s="7" t="s">
        <v>26</v>
      </c>
      <c r="C96" s="7" t="s">
        <v>27</v>
      </c>
      <c r="D96" s="7" t="s">
        <v>28</v>
      </c>
      <c r="E96" s="7" t="s">
        <v>29</v>
      </c>
      <c r="F96" s="7" t="s">
        <v>124</v>
      </c>
      <c r="G96" s="7">
        <v>101.7347</v>
      </c>
      <c r="H96" s="7"/>
    </row>
    <row r="97" spans="1:8" x14ac:dyDescent="0.35">
      <c r="A97" s="7" t="s">
        <v>25</v>
      </c>
      <c r="B97" s="7" t="s">
        <v>26</v>
      </c>
      <c r="C97" s="7" t="s">
        <v>27</v>
      </c>
      <c r="D97" s="7" t="s">
        <v>28</v>
      </c>
      <c r="E97" s="7" t="s">
        <v>29</v>
      </c>
      <c r="F97" s="7" t="s">
        <v>125</v>
      </c>
      <c r="G97" s="7">
        <v>101.8665</v>
      </c>
      <c r="H97" s="7"/>
    </row>
    <row r="98" spans="1:8" x14ac:dyDescent="0.35">
      <c r="A98" s="7" t="s">
        <v>25</v>
      </c>
      <c r="B98" s="7" t="s">
        <v>26</v>
      </c>
      <c r="C98" s="7" t="s">
        <v>27</v>
      </c>
      <c r="D98" s="7" t="s">
        <v>28</v>
      </c>
      <c r="E98" s="7" t="s">
        <v>29</v>
      </c>
      <c r="F98" s="7" t="s">
        <v>126</v>
      </c>
      <c r="G98" s="7">
        <v>101.8567</v>
      </c>
      <c r="H98" s="7"/>
    </row>
    <row r="99" spans="1:8" x14ac:dyDescent="0.35">
      <c r="A99" s="7" t="s">
        <v>25</v>
      </c>
      <c r="B99" s="7" t="s">
        <v>26</v>
      </c>
      <c r="C99" s="7" t="s">
        <v>27</v>
      </c>
      <c r="D99" s="7" t="s">
        <v>28</v>
      </c>
      <c r="E99" s="7" t="s">
        <v>29</v>
      </c>
      <c r="F99" s="7" t="s">
        <v>127</v>
      </c>
      <c r="G99" s="7">
        <v>101.83369999999999</v>
      </c>
      <c r="H99" s="7"/>
    </row>
    <row r="100" spans="1:8" x14ac:dyDescent="0.35">
      <c r="A100" s="7" t="s">
        <v>25</v>
      </c>
      <c r="B100" s="7" t="s">
        <v>26</v>
      </c>
      <c r="C100" s="7" t="s">
        <v>27</v>
      </c>
      <c r="D100" s="7" t="s">
        <v>28</v>
      </c>
      <c r="E100" s="7" t="s">
        <v>29</v>
      </c>
      <c r="F100" s="7" t="s">
        <v>128</v>
      </c>
      <c r="G100" s="7">
        <v>101.8741</v>
      </c>
      <c r="H100" s="7"/>
    </row>
    <row r="101" spans="1:8" x14ac:dyDescent="0.35">
      <c r="A101" s="7" t="s">
        <v>25</v>
      </c>
      <c r="B101" s="7" t="s">
        <v>26</v>
      </c>
      <c r="C101" s="7" t="s">
        <v>27</v>
      </c>
      <c r="D101" s="7" t="s">
        <v>28</v>
      </c>
      <c r="E101" s="7" t="s">
        <v>29</v>
      </c>
      <c r="F101" s="7" t="s">
        <v>129</v>
      </c>
      <c r="G101" s="7">
        <v>101.9525</v>
      </c>
      <c r="H101" s="7"/>
    </row>
    <row r="102" spans="1:8" x14ac:dyDescent="0.35">
      <c r="A102" s="7" t="s">
        <v>25</v>
      </c>
      <c r="B102" s="7" t="s">
        <v>26</v>
      </c>
      <c r="C102" s="7" t="s">
        <v>27</v>
      </c>
      <c r="D102" s="7" t="s">
        <v>28</v>
      </c>
      <c r="E102" s="7" t="s">
        <v>29</v>
      </c>
      <c r="F102" s="7" t="s">
        <v>130</v>
      </c>
      <c r="G102" s="7">
        <v>102.0377</v>
      </c>
      <c r="H102" s="7"/>
    </row>
    <row r="103" spans="1:8" x14ac:dyDescent="0.35">
      <c r="A103" s="7" t="s">
        <v>25</v>
      </c>
      <c r="B103" s="7" t="s">
        <v>26</v>
      </c>
      <c r="C103" s="7" t="s">
        <v>27</v>
      </c>
      <c r="D103" s="7" t="s">
        <v>28</v>
      </c>
      <c r="E103" s="7" t="s">
        <v>29</v>
      </c>
      <c r="F103" s="7" t="s">
        <v>131</v>
      </c>
      <c r="G103" s="7">
        <v>102.08669999999999</v>
      </c>
      <c r="H103" s="7"/>
    </row>
    <row r="104" spans="1:8" x14ac:dyDescent="0.35">
      <c r="A104" s="7" t="s">
        <v>25</v>
      </c>
      <c r="B104" s="7" t="s">
        <v>26</v>
      </c>
      <c r="C104" s="7" t="s">
        <v>27</v>
      </c>
      <c r="D104" s="7" t="s">
        <v>28</v>
      </c>
      <c r="E104" s="7" t="s">
        <v>29</v>
      </c>
      <c r="F104" s="7" t="s">
        <v>132</v>
      </c>
      <c r="G104" s="7">
        <v>101.99550000000001</v>
      </c>
      <c r="H104" s="7"/>
    </row>
    <row r="105" spans="1:8" x14ac:dyDescent="0.35">
      <c r="A105" s="7" t="s">
        <v>25</v>
      </c>
      <c r="B105" s="7" t="s">
        <v>26</v>
      </c>
      <c r="C105" s="7" t="s">
        <v>27</v>
      </c>
      <c r="D105" s="7" t="s">
        <v>28</v>
      </c>
      <c r="E105" s="7" t="s">
        <v>29</v>
      </c>
      <c r="F105" s="7" t="s">
        <v>133</v>
      </c>
      <c r="G105" s="7">
        <v>101.9131</v>
      </c>
      <c r="H105" s="7"/>
    </row>
    <row r="106" spans="1:8" x14ac:dyDescent="0.35">
      <c r="A106" s="7" t="s">
        <v>25</v>
      </c>
      <c r="B106" s="7" t="s">
        <v>26</v>
      </c>
      <c r="C106" s="7" t="s">
        <v>27</v>
      </c>
      <c r="D106" s="7" t="s">
        <v>28</v>
      </c>
      <c r="E106" s="7" t="s">
        <v>29</v>
      </c>
      <c r="F106" s="7" t="s">
        <v>134</v>
      </c>
      <c r="G106" s="7">
        <v>101.843</v>
      </c>
      <c r="H106" s="7"/>
    </row>
    <row r="107" spans="1:8" x14ac:dyDescent="0.35">
      <c r="A107" s="7" t="s">
        <v>25</v>
      </c>
      <c r="B107" s="7" t="s">
        <v>26</v>
      </c>
      <c r="C107" s="7" t="s">
        <v>27</v>
      </c>
      <c r="D107" s="7" t="s">
        <v>28</v>
      </c>
      <c r="E107" s="7" t="s">
        <v>29</v>
      </c>
      <c r="F107" s="7" t="s">
        <v>135</v>
      </c>
      <c r="G107" s="7">
        <v>101.8527</v>
      </c>
      <c r="H107" s="7"/>
    </row>
    <row r="108" spans="1:8" x14ac:dyDescent="0.35">
      <c r="A108" s="7" t="s">
        <v>25</v>
      </c>
      <c r="B108" s="7" t="s">
        <v>26</v>
      </c>
      <c r="C108" s="7" t="s">
        <v>27</v>
      </c>
      <c r="D108" s="7" t="s">
        <v>28</v>
      </c>
      <c r="E108" s="7" t="s">
        <v>29</v>
      </c>
      <c r="F108" s="7" t="s">
        <v>136</v>
      </c>
      <c r="G108" s="7">
        <v>101.8986</v>
      </c>
      <c r="H108" s="7"/>
    </row>
    <row r="109" spans="1:8" x14ac:dyDescent="0.35">
      <c r="A109" s="7" t="s">
        <v>25</v>
      </c>
      <c r="B109" s="7" t="s">
        <v>26</v>
      </c>
      <c r="C109" s="7" t="s">
        <v>27</v>
      </c>
      <c r="D109" s="7" t="s">
        <v>28</v>
      </c>
      <c r="E109" s="7" t="s">
        <v>29</v>
      </c>
      <c r="F109" s="7" t="s">
        <v>137</v>
      </c>
      <c r="G109" s="7">
        <v>101.9436</v>
      </c>
      <c r="H109" s="7"/>
    </row>
    <row r="110" spans="1:8" x14ac:dyDescent="0.35">
      <c r="A110" s="7" t="s">
        <v>25</v>
      </c>
      <c r="B110" s="7" t="s">
        <v>26</v>
      </c>
      <c r="C110" s="7" t="s">
        <v>27</v>
      </c>
      <c r="D110" s="7" t="s">
        <v>28</v>
      </c>
      <c r="E110" s="7" t="s">
        <v>29</v>
      </c>
      <c r="F110" s="7" t="s">
        <v>138</v>
      </c>
      <c r="G110" s="7">
        <v>101.8471</v>
      </c>
      <c r="H110" s="7"/>
    </row>
    <row r="111" spans="1:8" x14ac:dyDescent="0.35">
      <c r="A111" s="7" t="s">
        <v>25</v>
      </c>
      <c r="B111" s="7" t="s">
        <v>26</v>
      </c>
      <c r="C111" s="7" t="s">
        <v>27</v>
      </c>
      <c r="D111" s="7" t="s">
        <v>28</v>
      </c>
      <c r="E111" s="7" t="s">
        <v>29</v>
      </c>
      <c r="F111" s="7" t="s">
        <v>139</v>
      </c>
      <c r="G111" s="7">
        <v>101.68380000000001</v>
      </c>
      <c r="H111" s="7"/>
    </row>
    <row r="112" spans="1:8" x14ac:dyDescent="0.35">
      <c r="A112" s="7" t="s">
        <v>25</v>
      </c>
      <c r="B112" s="7" t="s">
        <v>26</v>
      </c>
      <c r="C112" s="7" t="s">
        <v>27</v>
      </c>
      <c r="D112" s="7" t="s">
        <v>28</v>
      </c>
      <c r="E112" s="7" t="s">
        <v>29</v>
      </c>
      <c r="F112" s="7" t="s">
        <v>140</v>
      </c>
      <c r="G112" s="7">
        <v>101.4128</v>
      </c>
      <c r="H112" s="7"/>
    </row>
    <row r="113" spans="1:8" x14ac:dyDescent="0.35">
      <c r="A113" s="7" t="s">
        <v>25</v>
      </c>
      <c r="B113" s="7" t="s">
        <v>26</v>
      </c>
      <c r="C113" s="7" t="s">
        <v>27</v>
      </c>
      <c r="D113" s="7" t="s">
        <v>28</v>
      </c>
      <c r="E113" s="7" t="s">
        <v>29</v>
      </c>
      <c r="F113" s="7" t="s">
        <v>141</v>
      </c>
      <c r="G113" s="7">
        <v>101.11450000000001</v>
      </c>
      <c r="H113" s="7"/>
    </row>
    <row r="114" spans="1:8" x14ac:dyDescent="0.35">
      <c r="A114" s="7" t="s">
        <v>25</v>
      </c>
      <c r="B114" s="7" t="s">
        <v>26</v>
      </c>
      <c r="C114" s="7" t="s">
        <v>27</v>
      </c>
      <c r="D114" s="7" t="s">
        <v>28</v>
      </c>
      <c r="E114" s="7" t="s">
        <v>29</v>
      </c>
      <c r="F114" s="7" t="s">
        <v>142</v>
      </c>
      <c r="G114" s="7">
        <v>100.8438</v>
      </c>
      <c r="H114" s="7"/>
    </row>
    <row r="115" spans="1:8" x14ac:dyDescent="0.35">
      <c r="A115" s="7" t="s">
        <v>25</v>
      </c>
      <c r="B115" s="7" t="s">
        <v>26</v>
      </c>
      <c r="C115" s="7" t="s">
        <v>27</v>
      </c>
      <c r="D115" s="7" t="s">
        <v>28</v>
      </c>
      <c r="E115" s="7" t="s">
        <v>29</v>
      </c>
      <c r="F115" s="7" t="s">
        <v>143</v>
      </c>
      <c r="G115" s="7">
        <v>100.6747</v>
      </c>
      <c r="H115" s="7"/>
    </row>
    <row r="116" spans="1:8" x14ac:dyDescent="0.35">
      <c r="A116" s="7" t="s">
        <v>25</v>
      </c>
      <c r="B116" s="7" t="s">
        <v>26</v>
      </c>
      <c r="C116" s="7" t="s">
        <v>27</v>
      </c>
      <c r="D116" s="7" t="s">
        <v>28</v>
      </c>
      <c r="E116" s="7" t="s">
        <v>29</v>
      </c>
      <c r="F116" s="7" t="s">
        <v>144</v>
      </c>
      <c r="G116" s="7">
        <v>100.5994</v>
      </c>
      <c r="H116" s="7"/>
    </row>
    <row r="117" spans="1:8" x14ac:dyDescent="0.35">
      <c r="A117" s="7" t="s">
        <v>25</v>
      </c>
      <c r="B117" s="7" t="s">
        <v>26</v>
      </c>
      <c r="C117" s="7" t="s">
        <v>27</v>
      </c>
      <c r="D117" s="7" t="s">
        <v>28</v>
      </c>
      <c r="E117" s="7" t="s">
        <v>29</v>
      </c>
      <c r="F117" s="7" t="s">
        <v>145</v>
      </c>
      <c r="G117" s="7">
        <v>100.4795</v>
      </c>
      <c r="H117" s="7"/>
    </row>
    <row r="118" spans="1:8" x14ac:dyDescent="0.35">
      <c r="A118" s="7" t="s">
        <v>25</v>
      </c>
      <c r="B118" s="7" t="s">
        <v>26</v>
      </c>
      <c r="C118" s="7" t="s">
        <v>27</v>
      </c>
      <c r="D118" s="7" t="s">
        <v>28</v>
      </c>
      <c r="E118" s="7" t="s">
        <v>29</v>
      </c>
      <c r="F118" s="7" t="s">
        <v>146</v>
      </c>
      <c r="G118" s="7">
        <v>100.2937</v>
      </c>
      <c r="H118" s="7"/>
    </row>
    <row r="119" spans="1:8" x14ac:dyDescent="0.35">
      <c r="A119" s="7" t="s">
        <v>25</v>
      </c>
      <c r="B119" s="7" t="s">
        <v>26</v>
      </c>
      <c r="C119" s="7" t="s">
        <v>27</v>
      </c>
      <c r="D119" s="7" t="s">
        <v>28</v>
      </c>
      <c r="E119" s="7" t="s">
        <v>29</v>
      </c>
      <c r="F119" s="7" t="s">
        <v>147</v>
      </c>
      <c r="G119" s="7">
        <v>99.985590000000002</v>
      </c>
      <c r="H119" s="7"/>
    </row>
    <row r="120" spans="1:8" x14ac:dyDescent="0.35">
      <c r="A120" s="7" t="s">
        <v>25</v>
      </c>
      <c r="B120" s="7" t="s">
        <v>26</v>
      </c>
      <c r="C120" s="7" t="s">
        <v>27</v>
      </c>
      <c r="D120" s="7" t="s">
        <v>28</v>
      </c>
      <c r="E120" s="7" t="s">
        <v>29</v>
      </c>
      <c r="F120" s="7" t="s">
        <v>148</v>
      </c>
      <c r="G120" s="7">
        <v>99.722229999999996</v>
      </c>
      <c r="H120" s="7"/>
    </row>
    <row r="121" spans="1:8" x14ac:dyDescent="0.35">
      <c r="A121" s="7" t="s">
        <v>25</v>
      </c>
      <c r="B121" s="7" t="s">
        <v>26</v>
      </c>
      <c r="C121" s="7" t="s">
        <v>27</v>
      </c>
      <c r="D121" s="7" t="s">
        <v>28</v>
      </c>
      <c r="E121" s="7" t="s">
        <v>29</v>
      </c>
      <c r="F121" s="7" t="s">
        <v>149</v>
      </c>
      <c r="G121" s="7">
        <v>99.503780000000006</v>
      </c>
      <c r="H121" s="7"/>
    </row>
    <row r="122" spans="1:8" x14ac:dyDescent="0.35">
      <c r="A122" s="7" t="s">
        <v>25</v>
      </c>
      <c r="B122" s="7" t="s">
        <v>26</v>
      </c>
      <c r="C122" s="7" t="s">
        <v>27</v>
      </c>
      <c r="D122" s="7" t="s">
        <v>28</v>
      </c>
      <c r="E122" s="7" t="s">
        <v>29</v>
      </c>
      <c r="F122" s="7" t="s">
        <v>150</v>
      </c>
      <c r="G122" s="7">
        <v>99.535769999999999</v>
      </c>
      <c r="H122" s="7"/>
    </row>
    <row r="123" spans="1:8" x14ac:dyDescent="0.35">
      <c r="A123" s="7" t="s">
        <v>25</v>
      </c>
      <c r="B123" s="7" t="s">
        <v>26</v>
      </c>
      <c r="C123" s="7" t="s">
        <v>27</v>
      </c>
      <c r="D123" s="7" t="s">
        <v>28</v>
      </c>
      <c r="E123" s="7" t="s">
        <v>29</v>
      </c>
      <c r="F123" s="7" t="s">
        <v>151</v>
      </c>
      <c r="G123" s="7">
        <v>99.86721</v>
      </c>
      <c r="H123" s="7"/>
    </row>
    <row r="124" spans="1:8" x14ac:dyDescent="0.35">
      <c r="A124" s="7" t="s">
        <v>25</v>
      </c>
      <c r="B124" s="7" t="s">
        <v>26</v>
      </c>
      <c r="C124" s="7" t="s">
        <v>27</v>
      </c>
      <c r="D124" s="7" t="s">
        <v>28</v>
      </c>
      <c r="E124" s="7" t="s">
        <v>29</v>
      </c>
      <c r="F124" s="7" t="s">
        <v>152</v>
      </c>
      <c r="G124" s="7">
        <v>100.277</v>
      </c>
      <c r="H124" s="7"/>
    </row>
    <row r="125" spans="1:8" x14ac:dyDescent="0.35">
      <c r="A125" s="7" t="s">
        <v>25</v>
      </c>
      <c r="B125" s="7" t="s">
        <v>26</v>
      </c>
      <c r="C125" s="7" t="s">
        <v>27</v>
      </c>
      <c r="D125" s="7" t="s">
        <v>28</v>
      </c>
      <c r="E125" s="7" t="s">
        <v>29</v>
      </c>
      <c r="F125" s="7" t="s">
        <v>153</v>
      </c>
      <c r="G125" s="7">
        <v>100.54089999999999</v>
      </c>
      <c r="H125" s="7"/>
    </row>
    <row r="126" spans="1:8" x14ac:dyDescent="0.35">
      <c r="A126" s="7" t="s">
        <v>25</v>
      </c>
      <c r="B126" s="7" t="s">
        <v>26</v>
      </c>
      <c r="C126" s="7" t="s">
        <v>27</v>
      </c>
      <c r="D126" s="7" t="s">
        <v>28</v>
      </c>
      <c r="E126" s="7" t="s">
        <v>29</v>
      </c>
      <c r="F126" s="7" t="s">
        <v>154</v>
      </c>
      <c r="G126" s="7">
        <v>100.6294</v>
      </c>
      <c r="H126" s="7"/>
    </row>
    <row r="127" spans="1:8" x14ac:dyDescent="0.35">
      <c r="A127" s="7" t="s">
        <v>25</v>
      </c>
      <c r="B127" s="7" t="s">
        <v>26</v>
      </c>
      <c r="C127" s="7" t="s">
        <v>27</v>
      </c>
      <c r="D127" s="7" t="s">
        <v>28</v>
      </c>
      <c r="E127" s="7" t="s">
        <v>29</v>
      </c>
      <c r="F127" s="7" t="s">
        <v>155</v>
      </c>
      <c r="G127" s="7">
        <v>100.54340000000001</v>
      </c>
      <c r="H127" s="7"/>
    </row>
    <row r="128" spans="1:8" x14ac:dyDescent="0.35">
      <c r="A128" s="7" t="s">
        <v>25</v>
      </c>
      <c r="B128" s="7" t="s">
        <v>26</v>
      </c>
      <c r="C128" s="7" t="s">
        <v>27</v>
      </c>
      <c r="D128" s="7" t="s">
        <v>28</v>
      </c>
      <c r="E128" s="7" t="s">
        <v>29</v>
      </c>
      <c r="F128" s="7" t="s">
        <v>156</v>
      </c>
      <c r="G128" s="7">
        <v>100.36190000000001</v>
      </c>
      <c r="H128" s="7"/>
    </row>
    <row r="129" spans="1:8" x14ac:dyDescent="0.35">
      <c r="A129" s="7" t="s">
        <v>25</v>
      </c>
      <c r="B129" s="7" t="s">
        <v>26</v>
      </c>
      <c r="C129" s="7" t="s">
        <v>27</v>
      </c>
      <c r="D129" s="7" t="s">
        <v>28</v>
      </c>
      <c r="E129" s="7" t="s">
        <v>29</v>
      </c>
      <c r="F129" s="7" t="s">
        <v>157</v>
      </c>
      <c r="G129" s="7">
        <v>100.0737</v>
      </c>
      <c r="H129" s="7"/>
    </row>
    <row r="130" spans="1:8" x14ac:dyDescent="0.35">
      <c r="A130" s="7" t="s">
        <v>25</v>
      </c>
      <c r="B130" s="7" t="s">
        <v>26</v>
      </c>
      <c r="C130" s="7" t="s">
        <v>27</v>
      </c>
      <c r="D130" s="7" t="s">
        <v>28</v>
      </c>
      <c r="E130" s="7" t="s">
        <v>29</v>
      </c>
      <c r="F130" s="7" t="s">
        <v>158</v>
      </c>
      <c r="G130" s="7">
        <v>99.823120000000003</v>
      </c>
      <c r="H130" s="7"/>
    </row>
    <row r="131" spans="1:8" x14ac:dyDescent="0.35">
      <c r="A131" s="7" t="s">
        <v>25</v>
      </c>
      <c r="B131" s="7" t="s">
        <v>26</v>
      </c>
      <c r="C131" s="7" t="s">
        <v>27</v>
      </c>
      <c r="D131" s="7" t="s">
        <v>28</v>
      </c>
      <c r="E131" s="7" t="s">
        <v>29</v>
      </c>
      <c r="F131" s="7" t="s">
        <v>159</v>
      </c>
      <c r="G131" s="7">
        <v>99.626170000000002</v>
      </c>
      <c r="H131" s="7"/>
    </row>
    <row r="132" spans="1:8" x14ac:dyDescent="0.35">
      <c r="A132" s="7" t="s">
        <v>25</v>
      </c>
      <c r="B132" s="7" t="s">
        <v>26</v>
      </c>
      <c r="C132" s="7" t="s">
        <v>27</v>
      </c>
      <c r="D132" s="7" t="s">
        <v>28</v>
      </c>
      <c r="E132" s="7" t="s">
        <v>29</v>
      </c>
      <c r="F132" s="7" t="s">
        <v>160</v>
      </c>
      <c r="G132" s="7">
        <v>99.476550000000003</v>
      </c>
      <c r="H132" s="7"/>
    </row>
    <row r="133" spans="1:8" x14ac:dyDescent="0.35">
      <c r="A133" s="7" t="s">
        <v>25</v>
      </c>
      <c r="B133" s="7" t="s">
        <v>26</v>
      </c>
      <c r="C133" s="7" t="s">
        <v>27</v>
      </c>
      <c r="D133" s="7" t="s">
        <v>28</v>
      </c>
      <c r="E133" s="7" t="s">
        <v>29</v>
      </c>
      <c r="F133" s="7" t="s">
        <v>161</v>
      </c>
      <c r="G133" s="7">
        <v>99.40634</v>
      </c>
      <c r="H133" s="7"/>
    </row>
    <row r="134" spans="1:8" x14ac:dyDescent="0.35">
      <c r="A134" s="7" t="s">
        <v>25</v>
      </c>
      <c r="B134" s="7" t="s">
        <v>26</v>
      </c>
      <c r="C134" s="7" t="s">
        <v>27</v>
      </c>
      <c r="D134" s="7" t="s">
        <v>28</v>
      </c>
      <c r="E134" s="7" t="s">
        <v>29</v>
      </c>
      <c r="F134" s="7" t="s">
        <v>162</v>
      </c>
      <c r="G134" s="7">
        <v>99.354609999999994</v>
      </c>
      <c r="H134" s="7"/>
    </row>
    <row r="135" spans="1:8" x14ac:dyDescent="0.35">
      <c r="A135" s="7" t="s">
        <v>25</v>
      </c>
      <c r="B135" s="7" t="s">
        <v>26</v>
      </c>
      <c r="C135" s="7" t="s">
        <v>27</v>
      </c>
      <c r="D135" s="7" t="s">
        <v>28</v>
      </c>
      <c r="E135" s="7" t="s">
        <v>29</v>
      </c>
      <c r="F135" s="7" t="s">
        <v>163</v>
      </c>
      <c r="G135" s="7">
        <v>99.210430000000002</v>
      </c>
      <c r="H135" s="7"/>
    </row>
    <row r="136" spans="1:8" x14ac:dyDescent="0.35">
      <c r="A136" s="7" t="s">
        <v>25</v>
      </c>
      <c r="B136" s="7" t="s">
        <v>26</v>
      </c>
      <c r="C136" s="7" t="s">
        <v>27</v>
      </c>
      <c r="D136" s="7" t="s">
        <v>28</v>
      </c>
      <c r="E136" s="7" t="s">
        <v>29</v>
      </c>
      <c r="F136" s="7" t="s">
        <v>164</v>
      </c>
      <c r="G136" s="7">
        <v>98.973349999999996</v>
      </c>
      <c r="H136" s="7"/>
    </row>
    <row r="137" spans="1:8" x14ac:dyDescent="0.35">
      <c r="A137" s="7" t="s">
        <v>25</v>
      </c>
      <c r="B137" s="7" t="s">
        <v>26</v>
      </c>
      <c r="C137" s="7" t="s">
        <v>27</v>
      </c>
      <c r="D137" s="7" t="s">
        <v>28</v>
      </c>
      <c r="E137" s="7" t="s">
        <v>29</v>
      </c>
      <c r="F137" s="7" t="s">
        <v>165</v>
      </c>
      <c r="G137" s="7">
        <v>98.761660000000006</v>
      </c>
      <c r="H137" s="7"/>
    </row>
    <row r="138" spans="1:8" x14ac:dyDescent="0.35">
      <c r="A138" s="7" t="s">
        <v>25</v>
      </c>
      <c r="B138" s="7" t="s">
        <v>26</v>
      </c>
      <c r="C138" s="7" t="s">
        <v>27</v>
      </c>
      <c r="D138" s="7" t="s">
        <v>28</v>
      </c>
      <c r="E138" s="7" t="s">
        <v>29</v>
      </c>
      <c r="F138" s="7" t="s">
        <v>166</v>
      </c>
      <c r="G138" s="7">
        <v>98.64134</v>
      </c>
      <c r="H138" s="7"/>
    </row>
    <row r="139" spans="1:8" x14ac:dyDescent="0.35">
      <c r="A139" s="7" t="s">
        <v>25</v>
      </c>
      <c r="B139" s="7" t="s">
        <v>26</v>
      </c>
      <c r="C139" s="7" t="s">
        <v>27</v>
      </c>
      <c r="D139" s="7" t="s">
        <v>28</v>
      </c>
      <c r="E139" s="7" t="s">
        <v>29</v>
      </c>
      <c r="F139" s="7" t="s">
        <v>167</v>
      </c>
      <c r="G139" s="7">
        <v>98.629230000000007</v>
      </c>
      <c r="H139" s="7"/>
    </row>
    <row r="140" spans="1:8" x14ac:dyDescent="0.35">
      <c r="A140" s="7" t="s">
        <v>25</v>
      </c>
      <c r="B140" s="7" t="s">
        <v>26</v>
      </c>
      <c r="C140" s="7" t="s">
        <v>27</v>
      </c>
      <c r="D140" s="7" t="s">
        <v>28</v>
      </c>
      <c r="E140" s="7" t="s">
        <v>29</v>
      </c>
      <c r="F140" s="7" t="s">
        <v>168</v>
      </c>
      <c r="G140" s="7">
        <v>98.731710000000007</v>
      </c>
      <c r="H140" s="7"/>
    </row>
    <row r="141" spans="1:8" x14ac:dyDescent="0.35">
      <c r="A141" s="7" t="s">
        <v>25</v>
      </c>
      <c r="B141" s="7" t="s">
        <v>26</v>
      </c>
      <c r="C141" s="7" t="s">
        <v>27</v>
      </c>
      <c r="D141" s="7" t="s">
        <v>28</v>
      </c>
      <c r="E141" s="7" t="s">
        <v>29</v>
      </c>
      <c r="F141" s="7" t="s">
        <v>169</v>
      </c>
      <c r="G141" s="7">
        <v>98.748279999999994</v>
      </c>
      <c r="H141" s="7"/>
    </row>
    <row r="142" spans="1:8" x14ac:dyDescent="0.35">
      <c r="A142" s="7" t="s">
        <v>25</v>
      </c>
      <c r="B142" s="7" t="s">
        <v>26</v>
      </c>
      <c r="C142" s="7" t="s">
        <v>27</v>
      </c>
      <c r="D142" s="7" t="s">
        <v>28</v>
      </c>
      <c r="E142" s="7" t="s">
        <v>29</v>
      </c>
      <c r="F142" s="7" t="s">
        <v>170</v>
      </c>
      <c r="G142" s="7">
        <v>98.767560000000003</v>
      </c>
      <c r="H142" s="7"/>
    </row>
    <row r="143" spans="1:8" x14ac:dyDescent="0.35">
      <c r="A143" s="7" t="s">
        <v>25</v>
      </c>
      <c r="B143" s="7" t="s">
        <v>26</v>
      </c>
      <c r="C143" s="7" t="s">
        <v>27</v>
      </c>
      <c r="D143" s="7" t="s">
        <v>28</v>
      </c>
      <c r="E143" s="7" t="s">
        <v>29</v>
      </c>
      <c r="F143" s="7" t="s">
        <v>171</v>
      </c>
      <c r="G143" s="7">
        <v>98.91489</v>
      </c>
      <c r="H143" s="7"/>
    </row>
    <row r="144" spans="1:8" x14ac:dyDescent="0.35">
      <c r="A144" s="7" t="s">
        <v>25</v>
      </c>
      <c r="B144" s="7" t="s">
        <v>26</v>
      </c>
      <c r="C144" s="7" t="s">
        <v>27</v>
      </c>
      <c r="D144" s="7" t="s">
        <v>28</v>
      </c>
      <c r="E144" s="7" t="s">
        <v>29</v>
      </c>
      <c r="F144" s="7" t="s">
        <v>172</v>
      </c>
      <c r="G144" s="7">
        <v>98.997630000000001</v>
      </c>
      <c r="H144" s="7"/>
    </row>
    <row r="145" spans="1:8" x14ac:dyDescent="0.35">
      <c r="A145" s="7" t="s">
        <v>25</v>
      </c>
      <c r="B145" s="7" t="s">
        <v>26</v>
      </c>
      <c r="C145" s="7" t="s">
        <v>27</v>
      </c>
      <c r="D145" s="7" t="s">
        <v>28</v>
      </c>
      <c r="E145" s="7" t="s">
        <v>29</v>
      </c>
      <c r="F145" s="7" t="s">
        <v>173</v>
      </c>
      <c r="G145" s="7">
        <v>99.065089999999998</v>
      </c>
      <c r="H145" s="7"/>
    </row>
    <row r="146" spans="1:8" x14ac:dyDescent="0.35">
      <c r="A146" s="7" t="s">
        <v>25</v>
      </c>
      <c r="B146" s="7" t="s">
        <v>26</v>
      </c>
      <c r="C146" s="7" t="s">
        <v>27</v>
      </c>
      <c r="D146" s="7" t="s">
        <v>28</v>
      </c>
      <c r="E146" s="7" t="s">
        <v>29</v>
      </c>
      <c r="F146" s="7" t="s">
        <v>174</v>
      </c>
      <c r="G146" s="7">
        <v>99.189700000000002</v>
      </c>
      <c r="H146" s="7"/>
    </row>
    <row r="147" spans="1:8" x14ac:dyDescent="0.35">
      <c r="A147" s="7" t="s">
        <v>25</v>
      </c>
      <c r="B147" s="7" t="s">
        <v>26</v>
      </c>
      <c r="C147" s="7" t="s">
        <v>27</v>
      </c>
      <c r="D147" s="7" t="s">
        <v>28</v>
      </c>
      <c r="E147" s="7" t="s">
        <v>29</v>
      </c>
      <c r="F147" s="7" t="s">
        <v>175</v>
      </c>
      <c r="G147" s="7">
        <v>99.308980000000005</v>
      </c>
      <c r="H147" s="7"/>
    </row>
    <row r="148" spans="1:8" x14ac:dyDescent="0.35">
      <c r="A148" s="7" t="s">
        <v>25</v>
      </c>
      <c r="B148" s="7" t="s">
        <v>26</v>
      </c>
      <c r="C148" s="7" t="s">
        <v>27</v>
      </c>
      <c r="D148" s="7" t="s">
        <v>28</v>
      </c>
      <c r="E148" s="7" t="s">
        <v>29</v>
      </c>
      <c r="F148" s="7" t="s">
        <v>176</v>
      </c>
      <c r="G148" s="7">
        <v>99.41825</v>
      </c>
      <c r="H148" s="7"/>
    </row>
    <row r="149" spans="1:8" x14ac:dyDescent="0.35">
      <c r="A149" s="7" t="s">
        <v>25</v>
      </c>
      <c r="B149" s="7" t="s">
        <v>26</v>
      </c>
      <c r="C149" s="7" t="s">
        <v>27</v>
      </c>
      <c r="D149" s="7" t="s">
        <v>28</v>
      </c>
      <c r="E149" s="7" t="s">
        <v>29</v>
      </c>
      <c r="F149" s="7" t="s">
        <v>177</v>
      </c>
      <c r="G149" s="7">
        <v>99.560169999999999</v>
      </c>
      <c r="H149" s="7"/>
    </row>
    <row r="150" spans="1:8" x14ac:dyDescent="0.35">
      <c r="A150" s="7" t="s">
        <v>25</v>
      </c>
      <c r="B150" s="7" t="s">
        <v>26</v>
      </c>
      <c r="C150" s="7" t="s">
        <v>27</v>
      </c>
      <c r="D150" s="7" t="s">
        <v>28</v>
      </c>
      <c r="E150" s="7" t="s">
        <v>29</v>
      </c>
      <c r="F150" s="7" t="s">
        <v>178</v>
      </c>
      <c r="G150" s="7">
        <v>99.570369999999997</v>
      </c>
      <c r="H150" s="7"/>
    </row>
    <row r="151" spans="1:8" x14ac:dyDescent="0.35">
      <c r="A151" s="7" t="s">
        <v>25</v>
      </c>
      <c r="B151" s="7" t="s">
        <v>26</v>
      </c>
      <c r="C151" s="7" t="s">
        <v>27</v>
      </c>
      <c r="D151" s="7" t="s">
        <v>28</v>
      </c>
      <c r="E151" s="7" t="s">
        <v>29</v>
      </c>
      <c r="F151" s="7" t="s">
        <v>179</v>
      </c>
      <c r="G151" s="7">
        <v>99.588470000000001</v>
      </c>
      <c r="H151" s="7"/>
    </row>
    <row r="152" spans="1:8" x14ac:dyDescent="0.35">
      <c r="A152" s="7" t="s">
        <v>25</v>
      </c>
      <c r="B152" s="7" t="s">
        <v>26</v>
      </c>
      <c r="C152" s="7" t="s">
        <v>27</v>
      </c>
      <c r="D152" s="7" t="s">
        <v>28</v>
      </c>
      <c r="E152" s="7" t="s">
        <v>29</v>
      </c>
      <c r="F152" s="7" t="s">
        <v>180</v>
      </c>
      <c r="G152" s="7">
        <v>99.648809999999997</v>
      </c>
      <c r="H152" s="7"/>
    </row>
    <row r="153" spans="1:8" x14ac:dyDescent="0.35">
      <c r="A153" s="7" t="s">
        <v>25</v>
      </c>
      <c r="B153" s="7" t="s">
        <v>26</v>
      </c>
      <c r="C153" s="7" t="s">
        <v>27</v>
      </c>
      <c r="D153" s="7" t="s">
        <v>28</v>
      </c>
      <c r="E153" s="7" t="s">
        <v>29</v>
      </c>
      <c r="F153" s="7" t="s">
        <v>181</v>
      </c>
      <c r="G153" s="7">
        <v>99.84375</v>
      </c>
      <c r="H153" s="7"/>
    </row>
    <row r="154" spans="1:8" x14ac:dyDescent="0.35">
      <c r="A154" s="7" t="s">
        <v>25</v>
      </c>
      <c r="B154" s="7" t="s">
        <v>26</v>
      </c>
      <c r="C154" s="7" t="s">
        <v>27</v>
      </c>
      <c r="D154" s="7" t="s">
        <v>28</v>
      </c>
      <c r="E154" s="7" t="s">
        <v>29</v>
      </c>
      <c r="F154" s="7" t="s">
        <v>182</v>
      </c>
      <c r="G154" s="7">
        <v>100.1092</v>
      </c>
      <c r="H154" s="7"/>
    </row>
    <row r="155" spans="1:8" x14ac:dyDescent="0.35">
      <c r="A155" s="7" t="s">
        <v>25</v>
      </c>
      <c r="B155" s="7" t="s">
        <v>26</v>
      </c>
      <c r="C155" s="7" t="s">
        <v>27</v>
      </c>
      <c r="D155" s="7" t="s">
        <v>28</v>
      </c>
      <c r="E155" s="7" t="s">
        <v>29</v>
      </c>
      <c r="F155" s="7" t="s">
        <v>183</v>
      </c>
      <c r="G155" s="7">
        <v>100.3017</v>
      </c>
      <c r="H155" s="7"/>
    </row>
    <row r="156" spans="1:8" x14ac:dyDescent="0.35">
      <c r="A156" s="7" t="s">
        <v>25</v>
      </c>
      <c r="B156" s="7" t="s">
        <v>26</v>
      </c>
      <c r="C156" s="7" t="s">
        <v>27</v>
      </c>
      <c r="D156" s="7" t="s">
        <v>28</v>
      </c>
      <c r="E156" s="7" t="s">
        <v>29</v>
      </c>
      <c r="F156" s="7" t="s">
        <v>184</v>
      </c>
      <c r="G156" s="7">
        <v>100.2774</v>
      </c>
      <c r="H156" s="7"/>
    </row>
    <row r="157" spans="1:8" x14ac:dyDescent="0.35">
      <c r="A157" s="7" t="s">
        <v>25</v>
      </c>
      <c r="B157" s="7" t="s">
        <v>26</v>
      </c>
      <c r="C157" s="7" t="s">
        <v>27</v>
      </c>
      <c r="D157" s="7" t="s">
        <v>28</v>
      </c>
      <c r="E157" s="7" t="s">
        <v>29</v>
      </c>
      <c r="F157" s="7" t="s">
        <v>185</v>
      </c>
      <c r="G157" s="7">
        <v>100.06270000000001</v>
      </c>
      <c r="H157" s="7"/>
    </row>
    <row r="158" spans="1:8" x14ac:dyDescent="0.35">
      <c r="A158" s="7" t="s">
        <v>25</v>
      </c>
      <c r="B158" s="7" t="s">
        <v>26</v>
      </c>
      <c r="C158" s="7" t="s">
        <v>27</v>
      </c>
      <c r="D158" s="7" t="s">
        <v>28</v>
      </c>
      <c r="E158" s="7" t="s">
        <v>29</v>
      </c>
      <c r="F158" s="7" t="s">
        <v>186</v>
      </c>
      <c r="G158" s="7">
        <v>99.887159999999994</v>
      </c>
      <c r="H158" s="7"/>
    </row>
    <row r="159" spans="1:8" x14ac:dyDescent="0.35">
      <c r="A159" s="7" t="s">
        <v>25</v>
      </c>
      <c r="B159" s="7" t="s">
        <v>26</v>
      </c>
      <c r="C159" s="7" t="s">
        <v>27</v>
      </c>
      <c r="D159" s="7" t="s">
        <v>28</v>
      </c>
      <c r="E159" s="7" t="s">
        <v>29</v>
      </c>
      <c r="F159" s="7" t="s">
        <v>187</v>
      </c>
      <c r="G159" s="7">
        <v>99.790660000000003</v>
      </c>
      <c r="H159" s="7"/>
    </row>
    <row r="160" spans="1:8" x14ac:dyDescent="0.35">
      <c r="A160" s="7" t="s">
        <v>25</v>
      </c>
      <c r="B160" s="7" t="s">
        <v>26</v>
      </c>
      <c r="C160" s="7" t="s">
        <v>27</v>
      </c>
      <c r="D160" s="7" t="s">
        <v>28</v>
      </c>
      <c r="E160" s="7" t="s">
        <v>29</v>
      </c>
      <c r="F160" s="7" t="s">
        <v>188</v>
      </c>
      <c r="G160" s="7">
        <v>99.880899999999997</v>
      </c>
      <c r="H160" s="7"/>
    </row>
    <row r="161" spans="1:8" x14ac:dyDescent="0.35">
      <c r="A161" s="7" t="s">
        <v>25</v>
      </c>
      <c r="B161" s="7" t="s">
        <v>26</v>
      </c>
      <c r="C161" s="7" t="s">
        <v>27</v>
      </c>
      <c r="D161" s="7" t="s">
        <v>28</v>
      </c>
      <c r="E161" s="7" t="s">
        <v>29</v>
      </c>
      <c r="F161" s="7" t="s">
        <v>189</v>
      </c>
      <c r="G161" s="7">
        <v>100.0397</v>
      </c>
      <c r="H161" s="7"/>
    </row>
    <row r="162" spans="1:8" x14ac:dyDescent="0.35">
      <c r="A162" s="7" t="s">
        <v>25</v>
      </c>
      <c r="B162" s="7" t="s">
        <v>26</v>
      </c>
      <c r="C162" s="7" t="s">
        <v>27</v>
      </c>
      <c r="D162" s="7" t="s">
        <v>28</v>
      </c>
      <c r="E162" s="7" t="s">
        <v>29</v>
      </c>
      <c r="F162" s="7" t="s">
        <v>190</v>
      </c>
      <c r="G162" s="7">
        <v>100.17740000000001</v>
      </c>
      <c r="H162" s="7"/>
    </row>
    <row r="163" spans="1:8" x14ac:dyDescent="0.35">
      <c r="A163" s="7" t="s">
        <v>25</v>
      </c>
      <c r="B163" s="7" t="s">
        <v>26</v>
      </c>
      <c r="C163" s="7" t="s">
        <v>27</v>
      </c>
      <c r="D163" s="7" t="s">
        <v>28</v>
      </c>
      <c r="E163" s="7" t="s">
        <v>29</v>
      </c>
      <c r="F163" s="7" t="s">
        <v>191</v>
      </c>
      <c r="G163" s="7">
        <v>100.21939999999999</v>
      </c>
      <c r="H163" s="7"/>
    </row>
    <row r="164" spans="1:8" x14ac:dyDescent="0.35">
      <c r="A164" s="7" t="s">
        <v>25</v>
      </c>
      <c r="B164" s="7" t="s">
        <v>26</v>
      </c>
      <c r="C164" s="7" t="s">
        <v>27</v>
      </c>
      <c r="D164" s="7" t="s">
        <v>28</v>
      </c>
      <c r="E164" s="7" t="s">
        <v>29</v>
      </c>
      <c r="F164" s="7" t="s">
        <v>192</v>
      </c>
      <c r="G164" s="7">
        <v>100.0586</v>
      </c>
      <c r="H164" s="7"/>
    </row>
    <row r="165" spans="1:8" x14ac:dyDescent="0.35">
      <c r="A165" s="7" t="s">
        <v>25</v>
      </c>
      <c r="B165" s="7" t="s">
        <v>26</v>
      </c>
      <c r="C165" s="7" t="s">
        <v>27</v>
      </c>
      <c r="D165" s="7" t="s">
        <v>28</v>
      </c>
      <c r="E165" s="7" t="s">
        <v>29</v>
      </c>
      <c r="F165" s="7" t="s">
        <v>193</v>
      </c>
      <c r="G165" s="7">
        <v>99.903760000000005</v>
      </c>
      <c r="H165" s="7"/>
    </row>
    <row r="166" spans="1:8" x14ac:dyDescent="0.35">
      <c r="A166" s="7" t="s">
        <v>25</v>
      </c>
      <c r="B166" s="7" t="s">
        <v>26</v>
      </c>
      <c r="C166" s="7" t="s">
        <v>27</v>
      </c>
      <c r="D166" s="7" t="s">
        <v>28</v>
      </c>
      <c r="E166" s="7" t="s">
        <v>29</v>
      </c>
      <c r="F166" s="7" t="s">
        <v>194</v>
      </c>
      <c r="G166" s="7">
        <v>99.841800000000006</v>
      </c>
      <c r="H166" s="7"/>
    </row>
    <row r="167" spans="1:8" x14ac:dyDescent="0.35">
      <c r="A167" s="7" t="s">
        <v>25</v>
      </c>
      <c r="B167" s="7" t="s">
        <v>26</v>
      </c>
      <c r="C167" s="7" t="s">
        <v>27</v>
      </c>
      <c r="D167" s="7" t="s">
        <v>28</v>
      </c>
      <c r="E167" s="7" t="s">
        <v>29</v>
      </c>
      <c r="F167" s="7" t="s">
        <v>195</v>
      </c>
      <c r="G167" s="7">
        <v>99.838290000000001</v>
      </c>
      <c r="H167" s="7"/>
    </row>
    <row r="168" spans="1:8" x14ac:dyDescent="0.35">
      <c r="A168" s="7" t="s">
        <v>25</v>
      </c>
      <c r="B168" s="7" t="s">
        <v>26</v>
      </c>
      <c r="C168" s="7" t="s">
        <v>27</v>
      </c>
      <c r="D168" s="7" t="s">
        <v>28</v>
      </c>
      <c r="E168" s="7" t="s">
        <v>29</v>
      </c>
      <c r="F168" s="7" t="s">
        <v>196</v>
      </c>
      <c r="G168" s="7">
        <v>99.944599999999994</v>
      </c>
      <c r="H168" s="7"/>
    </row>
    <row r="169" spans="1:8" x14ac:dyDescent="0.35">
      <c r="A169" s="7" t="s">
        <v>25</v>
      </c>
      <c r="B169" s="7" t="s">
        <v>26</v>
      </c>
      <c r="C169" s="7" t="s">
        <v>27</v>
      </c>
      <c r="D169" s="7" t="s">
        <v>28</v>
      </c>
      <c r="E169" s="7" t="s">
        <v>29</v>
      </c>
      <c r="F169" s="7" t="s">
        <v>197</v>
      </c>
      <c r="G169" s="7">
        <v>100.12009999999999</v>
      </c>
      <c r="H169" s="7"/>
    </row>
    <row r="170" spans="1:8" x14ac:dyDescent="0.35">
      <c r="A170" s="7" t="s">
        <v>25</v>
      </c>
      <c r="B170" s="7" t="s">
        <v>26</v>
      </c>
      <c r="C170" s="7" t="s">
        <v>27</v>
      </c>
      <c r="D170" s="7" t="s">
        <v>28</v>
      </c>
      <c r="E170" s="7" t="s">
        <v>29</v>
      </c>
      <c r="F170" s="7" t="s">
        <v>198</v>
      </c>
      <c r="G170" s="7">
        <v>100.307</v>
      </c>
      <c r="H170" s="7"/>
    </row>
    <row r="171" spans="1:8" x14ac:dyDescent="0.35">
      <c r="A171" s="7" t="s">
        <v>25</v>
      </c>
      <c r="B171" s="7" t="s">
        <v>26</v>
      </c>
      <c r="C171" s="7" t="s">
        <v>27</v>
      </c>
      <c r="D171" s="7" t="s">
        <v>28</v>
      </c>
      <c r="E171" s="7" t="s">
        <v>29</v>
      </c>
      <c r="F171" s="7" t="s">
        <v>199</v>
      </c>
      <c r="G171" s="7">
        <v>100.5364</v>
      </c>
      <c r="H171" s="7"/>
    </row>
    <row r="172" spans="1:8" x14ac:dyDescent="0.35">
      <c r="A172" s="7" t="s">
        <v>25</v>
      </c>
      <c r="B172" s="7" t="s">
        <v>26</v>
      </c>
      <c r="C172" s="7" t="s">
        <v>27</v>
      </c>
      <c r="D172" s="7" t="s">
        <v>28</v>
      </c>
      <c r="E172" s="7" t="s">
        <v>29</v>
      </c>
      <c r="F172" s="7" t="s">
        <v>200</v>
      </c>
      <c r="G172" s="7">
        <v>100.6863</v>
      </c>
      <c r="H172" s="7"/>
    </row>
    <row r="173" spans="1:8" x14ac:dyDescent="0.35">
      <c r="A173" s="7" t="s">
        <v>25</v>
      </c>
      <c r="B173" s="7" t="s">
        <v>26</v>
      </c>
      <c r="C173" s="7" t="s">
        <v>27</v>
      </c>
      <c r="D173" s="7" t="s">
        <v>28</v>
      </c>
      <c r="E173" s="7" t="s">
        <v>29</v>
      </c>
      <c r="F173" s="7" t="s">
        <v>201</v>
      </c>
      <c r="G173" s="7">
        <v>100.788</v>
      </c>
      <c r="H173" s="7"/>
    </row>
    <row r="174" spans="1:8" x14ac:dyDescent="0.35">
      <c r="A174" s="7" t="s">
        <v>25</v>
      </c>
      <c r="B174" s="7" t="s">
        <v>26</v>
      </c>
      <c r="C174" s="7" t="s">
        <v>27</v>
      </c>
      <c r="D174" s="7" t="s">
        <v>28</v>
      </c>
      <c r="E174" s="7" t="s">
        <v>29</v>
      </c>
      <c r="F174" s="7" t="s">
        <v>202</v>
      </c>
      <c r="G174" s="7">
        <v>100.8845</v>
      </c>
      <c r="H174" s="7"/>
    </row>
    <row r="175" spans="1:8" x14ac:dyDescent="0.35">
      <c r="A175" s="7" t="s">
        <v>25</v>
      </c>
      <c r="B175" s="7" t="s">
        <v>26</v>
      </c>
      <c r="C175" s="7" t="s">
        <v>27</v>
      </c>
      <c r="D175" s="7" t="s">
        <v>28</v>
      </c>
      <c r="E175" s="7" t="s">
        <v>29</v>
      </c>
      <c r="F175" s="7" t="s">
        <v>203</v>
      </c>
      <c r="G175" s="7">
        <v>100.9657</v>
      </c>
      <c r="H175" s="7"/>
    </row>
    <row r="176" spans="1:8" x14ac:dyDescent="0.35">
      <c r="A176" s="7" t="s">
        <v>25</v>
      </c>
      <c r="B176" s="7" t="s">
        <v>26</v>
      </c>
      <c r="C176" s="7" t="s">
        <v>27</v>
      </c>
      <c r="D176" s="7" t="s">
        <v>28</v>
      </c>
      <c r="E176" s="7" t="s">
        <v>29</v>
      </c>
      <c r="F176" s="7" t="s">
        <v>204</v>
      </c>
      <c r="G176" s="7">
        <v>101.1437</v>
      </c>
      <c r="H176" s="7"/>
    </row>
    <row r="177" spans="1:8" x14ac:dyDescent="0.35">
      <c r="A177" s="7" t="s">
        <v>25</v>
      </c>
      <c r="B177" s="7" t="s">
        <v>26</v>
      </c>
      <c r="C177" s="7" t="s">
        <v>27</v>
      </c>
      <c r="D177" s="7" t="s">
        <v>28</v>
      </c>
      <c r="E177" s="7" t="s">
        <v>29</v>
      </c>
      <c r="F177" s="7" t="s">
        <v>205</v>
      </c>
      <c r="G177" s="7">
        <v>101.36279999999999</v>
      </c>
      <c r="H177" s="7"/>
    </row>
    <row r="178" spans="1:8" x14ac:dyDescent="0.35">
      <c r="A178" s="7" t="s">
        <v>25</v>
      </c>
      <c r="B178" s="7" t="s">
        <v>26</v>
      </c>
      <c r="C178" s="7" t="s">
        <v>27</v>
      </c>
      <c r="D178" s="7" t="s">
        <v>28</v>
      </c>
      <c r="E178" s="7" t="s">
        <v>29</v>
      </c>
      <c r="F178" s="7" t="s">
        <v>206</v>
      </c>
      <c r="G178" s="7">
        <v>101.4667</v>
      </c>
      <c r="H178" s="7"/>
    </row>
    <row r="179" spans="1:8" x14ac:dyDescent="0.35">
      <c r="A179" s="7" t="s">
        <v>25</v>
      </c>
      <c r="B179" s="7" t="s">
        <v>26</v>
      </c>
      <c r="C179" s="7" t="s">
        <v>27</v>
      </c>
      <c r="D179" s="7" t="s">
        <v>28</v>
      </c>
      <c r="E179" s="7" t="s">
        <v>29</v>
      </c>
      <c r="F179" s="7" t="s">
        <v>207</v>
      </c>
      <c r="G179" s="7">
        <v>101.55029999999999</v>
      </c>
      <c r="H179" s="7"/>
    </row>
    <row r="180" spans="1:8" x14ac:dyDescent="0.35">
      <c r="A180" s="7" t="s">
        <v>25</v>
      </c>
      <c r="B180" s="7" t="s">
        <v>26</v>
      </c>
      <c r="C180" s="7" t="s">
        <v>27</v>
      </c>
      <c r="D180" s="7" t="s">
        <v>28</v>
      </c>
      <c r="E180" s="7" t="s">
        <v>29</v>
      </c>
      <c r="F180" s="7" t="s">
        <v>208</v>
      </c>
      <c r="G180" s="7">
        <v>101.63849999999999</v>
      </c>
      <c r="H180" s="7"/>
    </row>
    <row r="181" spans="1:8" x14ac:dyDescent="0.35">
      <c r="A181" s="7" t="s">
        <v>25</v>
      </c>
      <c r="B181" s="7" t="s">
        <v>26</v>
      </c>
      <c r="C181" s="7" t="s">
        <v>27</v>
      </c>
      <c r="D181" s="7" t="s">
        <v>28</v>
      </c>
      <c r="E181" s="7" t="s">
        <v>29</v>
      </c>
      <c r="F181" s="7" t="s">
        <v>209</v>
      </c>
      <c r="G181" s="7">
        <v>101.7025</v>
      </c>
      <c r="H181" s="7"/>
    </row>
    <row r="182" spans="1:8" x14ac:dyDescent="0.35">
      <c r="A182" s="7" t="s">
        <v>25</v>
      </c>
      <c r="B182" s="7" t="s">
        <v>26</v>
      </c>
      <c r="C182" s="7" t="s">
        <v>27</v>
      </c>
      <c r="D182" s="7" t="s">
        <v>28</v>
      </c>
      <c r="E182" s="7" t="s">
        <v>29</v>
      </c>
      <c r="F182" s="7" t="s">
        <v>210</v>
      </c>
      <c r="G182" s="7">
        <v>101.6798</v>
      </c>
      <c r="H182" s="7"/>
    </row>
    <row r="183" spans="1:8" x14ac:dyDescent="0.35">
      <c r="A183" s="7" t="s">
        <v>25</v>
      </c>
      <c r="B183" s="7" t="s">
        <v>26</v>
      </c>
      <c r="C183" s="7" t="s">
        <v>27</v>
      </c>
      <c r="D183" s="7" t="s">
        <v>28</v>
      </c>
      <c r="E183" s="7" t="s">
        <v>29</v>
      </c>
      <c r="F183" s="7" t="s">
        <v>211</v>
      </c>
      <c r="G183" s="7">
        <v>101.7098</v>
      </c>
      <c r="H183" s="7"/>
    </row>
    <row r="184" spans="1:8" x14ac:dyDescent="0.35">
      <c r="A184" s="7" t="s">
        <v>25</v>
      </c>
      <c r="B184" s="7" t="s">
        <v>26</v>
      </c>
      <c r="C184" s="7" t="s">
        <v>27</v>
      </c>
      <c r="D184" s="7" t="s">
        <v>28</v>
      </c>
      <c r="E184" s="7" t="s">
        <v>29</v>
      </c>
      <c r="F184" s="7" t="s">
        <v>212</v>
      </c>
      <c r="G184" s="7">
        <v>101.7393</v>
      </c>
      <c r="H184" s="7"/>
    </row>
    <row r="185" spans="1:8" x14ac:dyDescent="0.35">
      <c r="A185" s="7" t="s">
        <v>25</v>
      </c>
      <c r="B185" s="7" t="s">
        <v>26</v>
      </c>
      <c r="C185" s="7" t="s">
        <v>27</v>
      </c>
      <c r="D185" s="7" t="s">
        <v>28</v>
      </c>
      <c r="E185" s="7" t="s">
        <v>29</v>
      </c>
      <c r="F185" s="7" t="s">
        <v>213</v>
      </c>
      <c r="G185" s="7">
        <v>101.6831</v>
      </c>
      <c r="H185" s="7"/>
    </row>
    <row r="186" spans="1:8" x14ac:dyDescent="0.35">
      <c r="A186" s="7" t="s">
        <v>25</v>
      </c>
      <c r="B186" s="7" t="s">
        <v>26</v>
      </c>
      <c r="C186" s="7" t="s">
        <v>27</v>
      </c>
      <c r="D186" s="7" t="s">
        <v>28</v>
      </c>
      <c r="E186" s="7" t="s">
        <v>29</v>
      </c>
      <c r="F186" s="7" t="s">
        <v>214</v>
      </c>
      <c r="G186" s="7">
        <v>101.61199999999999</v>
      </c>
      <c r="H186" s="7"/>
    </row>
    <row r="187" spans="1:8" x14ac:dyDescent="0.35">
      <c r="A187" s="7" t="s">
        <v>25</v>
      </c>
      <c r="B187" s="7" t="s">
        <v>26</v>
      </c>
      <c r="C187" s="7" t="s">
        <v>27</v>
      </c>
      <c r="D187" s="7" t="s">
        <v>28</v>
      </c>
      <c r="E187" s="7" t="s">
        <v>29</v>
      </c>
      <c r="F187" s="7" t="s">
        <v>215</v>
      </c>
      <c r="G187" s="7">
        <v>101.5643</v>
      </c>
      <c r="H187" s="7"/>
    </row>
    <row r="188" spans="1:8" x14ac:dyDescent="0.35">
      <c r="A188" s="7" t="s">
        <v>25</v>
      </c>
      <c r="B188" s="7" t="s">
        <v>26</v>
      </c>
      <c r="C188" s="7" t="s">
        <v>27</v>
      </c>
      <c r="D188" s="7" t="s">
        <v>28</v>
      </c>
      <c r="E188" s="7" t="s">
        <v>29</v>
      </c>
      <c r="F188" s="7" t="s">
        <v>216</v>
      </c>
      <c r="G188" s="7">
        <v>101.6075</v>
      </c>
      <c r="H188" s="7"/>
    </row>
    <row r="189" spans="1:8" x14ac:dyDescent="0.35">
      <c r="A189" s="7" t="s">
        <v>25</v>
      </c>
      <c r="B189" s="7" t="s">
        <v>26</v>
      </c>
      <c r="C189" s="7" t="s">
        <v>27</v>
      </c>
      <c r="D189" s="7" t="s">
        <v>28</v>
      </c>
      <c r="E189" s="7" t="s">
        <v>29</v>
      </c>
      <c r="F189" s="7" t="s">
        <v>217</v>
      </c>
      <c r="G189" s="7">
        <v>101.72329999999999</v>
      </c>
      <c r="H189" s="7"/>
    </row>
    <row r="190" spans="1:8" x14ac:dyDescent="0.35">
      <c r="A190" s="7" t="s">
        <v>25</v>
      </c>
      <c r="B190" s="7" t="s">
        <v>26</v>
      </c>
      <c r="C190" s="7" t="s">
        <v>27</v>
      </c>
      <c r="D190" s="7" t="s">
        <v>28</v>
      </c>
      <c r="E190" s="7" t="s">
        <v>29</v>
      </c>
      <c r="F190" s="7" t="s">
        <v>218</v>
      </c>
      <c r="G190" s="7">
        <v>101.7184</v>
      </c>
      <c r="H190" s="7"/>
    </row>
    <row r="191" spans="1:8" x14ac:dyDescent="0.35">
      <c r="A191" s="7" t="s">
        <v>25</v>
      </c>
      <c r="B191" s="7" t="s">
        <v>26</v>
      </c>
      <c r="C191" s="7" t="s">
        <v>27</v>
      </c>
      <c r="D191" s="7" t="s">
        <v>28</v>
      </c>
      <c r="E191" s="7" t="s">
        <v>29</v>
      </c>
      <c r="F191" s="7" t="s">
        <v>219</v>
      </c>
      <c r="G191" s="7">
        <v>101.5265</v>
      </c>
      <c r="H191" s="7"/>
    </row>
    <row r="192" spans="1:8" x14ac:dyDescent="0.35">
      <c r="A192" s="7" t="s">
        <v>25</v>
      </c>
      <c r="B192" s="7" t="s">
        <v>26</v>
      </c>
      <c r="C192" s="7" t="s">
        <v>27</v>
      </c>
      <c r="D192" s="7" t="s">
        <v>28</v>
      </c>
      <c r="E192" s="7" t="s">
        <v>29</v>
      </c>
      <c r="F192" s="7" t="s">
        <v>220</v>
      </c>
      <c r="G192" s="7">
        <v>101.2127</v>
      </c>
      <c r="H192" s="7"/>
    </row>
    <row r="193" spans="1:8" x14ac:dyDescent="0.35">
      <c r="A193" s="7" t="s">
        <v>25</v>
      </c>
      <c r="B193" s="7" t="s">
        <v>26</v>
      </c>
      <c r="C193" s="7" t="s">
        <v>27</v>
      </c>
      <c r="D193" s="7" t="s">
        <v>28</v>
      </c>
      <c r="E193" s="7" t="s">
        <v>29</v>
      </c>
      <c r="F193" s="7" t="s">
        <v>221</v>
      </c>
      <c r="G193" s="7">
        <v>101.0295</v>
      </c>
      <c r="H193" s="7"/>
    </row>
    <row r="194" spans="1:8" x14ac:dyDescent="0.35">
      <c r="A194" s="7" t="s">
        <v>25</v>
      </c>
      <c r="B194" s="7" t="s">
        <v>26</v>
      </c>
      <c r="C194" s="7" t="s">
        <v>27</v>
      </c>
      <c r="D194" s="7" t="s">
        <v>28</v>
      </c>
      <c r="E194" s="7" t="s">
        <v>29</v>
      </c>
      <c r="F194" s="7" t="s">
        <v>222</v>
      </c>
      <c r="G194" s="7">
        <v>100.9328</v>
      </c>
      <c r="H194" s="7"/>
    </row>
    <row r="195" spans="1:8" x14ac:dyDescent="0.35">
      <c r="A195" s="7" t="s">
        <v>25</v>
      </c>
      <c r="B195" s="7" t="s">
        <v>26</v>
      </c>
      <c r="C195" s="7" t="s">
        <v>27</v>
      </c>
      <c r="D195" s="7" t="s">
        <v>28</v>
      </c>
      <c r="E195" s="7" t="s">
        <v>29</v>
      </c>
      <c r="F195" s="7" t="s">
        <v>223</v>
      </c>
      <c r="G195" s="7">
        <v>100.8374</v>
      </c>
      <c r="H195" s="7"/>
    </row>
    <row r="196" spans="1:8" x14ac:dyDescent="0.35">
      <c r="A196" s="7" t="s">
        <v>25</v>
      </c>
      <c r="B196" s="7" t="s">
        <v>26</v>
      </c>
      <c r="C196" s="7" t="s">
        <v>27</v>
      </c>
      <c r="D196" s="7" t="s">
        <v>28</v>
      </c>
      <c r="E196" s="7" t="s">
        <v>29</v>
      </c>
      <c r="F196" s="7" t="s">
        <v>224</v>
      </c>
      <c r="G196" s="7">
        <v>100.68689999999999</v>
      </c>
      <c r="H196" s="7"/>
    </row>
    <row r="197" spans="1:8" x14ac:dyDescent="0.35">
      <c r="A197" s="7" t="s">
        <v>25</v>
      </c>
      <c r="B197" s="7" t="s">
        <v>26</v>
      </c>
      <c r="C197" s="7" t="s">
        <v>27</v>
      </c>
      <c r="D197" s="7" t="s">
        <v>28</v>
      </c>
      <c r="E197" s="7" t="s">
        <v>29</v>
      </c>
      <c r="F197" s="7" t="s">
        <v>225</v>
      </c>
      <c r="G197" s="7">
        <v>100.49420000000001</v>
      </c>
      <c r="H197" s="7"/>
    </row>
    <row r="198" spans="1:8" x14ac:dyDescent="0.35">
      <c r="A198" s="7" t="s">
        <v>25</v>
      </c>
      <c r="B198" s="7" t="s">
        <v>26</v>
      </c>
      <c r="C198" s="7" t="s">
        <v>27</v>
      </c>
      <c r="D198" s="7" t="s">
        <v>28</v>
      </c>
      <c r="E198" s="7" t="s">
        <v>29</v>
      </c>
      <c r="F198" s="7" t="s">
        <v>226</v>
      </c>
      <c r="G198" s="7">
        <v>100.3381</v>
      </c>
      <c r="H198" s="7"/>
    </row>
    <row r="199" spans="1:8" x14ac:dyDescent="0.35">
      <c r="A199" s="7" t="s">
        <v>25</v>
      </c>
      <c r="B199" s="7" t="s">
        <v>26</v>
      </c>
      <c r="C199" s="7" t="s">
        <v>27</v>
      </c>
      <c r="D199" s="7" t="s">
        <v>28</v>
      </c>
      <c r="E199" s="7" t="s">
        <v>29</v>
      </c>
      <c r="F199" s="7" t="s">
        <v>227</v>
      </c>
      <c r="G199" s="7">
        <v>100.17529999999999</v>
      </c>
      <c r="H199" s="7"/>
    </row>
    <row r="200" spans="1:8" x14ac:dyDescent="0.35">
      <c r="A200" s="7" t="s">
        <v>25</v>
      </c>
      <c r="B200" s="7" t="s">
        <v>26</v>
      </c>
      <c r="C200" s="7" t="s">
        <v>27</v>
      </c>
      <c r="D200" s="7" t="s">
        <v>28</v>
      </c>
      <c r="E200" s="7" t="s">
        <v>29</v>
      </c>
      <c r="F200" s="7" t="s">
        <v>228</v>
      </c>
      <c r="G200" s="7">
        <v>100.04130000000001</v>
      </c>
      <c r="H200" s="7"/>
    </row>
    <row r="201" spans="1:8" x14ac:dyDescent="0.35">
      <c r="A201" s="7" t="s">
        <v>25</v>
      </c>
      <c r="B201" s="7" t="s">
        <v>26</v>
      </c>
      <c r="C201" s="7" t="s">
        <v>27</v>
      </c>
      <c r="D201" s="7" t="s">
        <v>28</v>
      </c>
      <c r="E201" s="7" t="s">
        <v>29</v>
      </c>
      <c r="F201" s="7" t="s">
        <v>229</v>
      </c>
      <c r="G201" s="7">
        <v>99.914550000000006</v>
      </c>
      <c r="H201" s="7"/>
    </row>
    <row r="202" spans="1:8" x14ac:dyDescent="0.35">
      <c r="A202" s="7" t="s">
        <v>25</v>
      </c>
      <c r="B202" s="7" t="s">
        <v>26</v>
      </c>
      <c r="C202" s="7" t="s">
        <v>27</v>
      </c>
      <c r="D202" s="7" t="s">
        <v>28</v>
      </c>
      <c r="E202" s="7" t="s">
        <v>29</v>
      </c>
      <c r="F202" s="7" t="s">
        <v>230</v>
      </c>
      <c r="G202" s="7">
        <v>99.786850000000001</v>
      </c>
      <c r="H202" s="7"/>
    </row>
    <row r="203" spans="1:8" x14ac:dyDescent="0.35">
      <c r="A203" s="7" t="s">
        <v>25</v>
      </c>
      <c r="B203" s="7" t="s">
        <v>26</v>
      </c>
      <c r="C203" s="7" t="s">
        <v>27</v>
      </c>
      <c r="D203" s="7" t="s">
        <v>28</v>
      </c>
      <c r="E203" s="7" t="s">
        <v>29</v>
      </c>
      <c r="F203" s="7" t="s">
        <v>231</v>
      </c>
      <c r="G203" s="7">
        <v>99.717339999999993</v>
      </c>
      <c r="H203" s="7"/>
    </row>
    <row r="204" spans="1:8" x14ac:dyDescent="0.35">
      <c r="A204" s="7" t="s">
        <v>25</v>
      </c>
      <c r="B204" s="7" t="s">
        <v>26</v>
      </c>
      <c r="C204" s="7" t="s">
        <v>27</v>
      </c>
      <c r="D204" s="7" t="s">
        <v>28</v>
      </c>
      <c r="E204" s="7" t="s">
        <v>29</v>
      </c>
      <c r="F204" s="7" t="s">
        <v>232</v>
      </c>
      <c r="G204" s="7">
        <v>99.579480000000004</v>
      </c>
      <c r="H204" s="7"/>
    </row>
    <row r="205" spans="1:8" x14ac:dyDescent="0.35">
      <c r="A205" s="7" t="s">
        <v>25</v>
      </c>
      <c r="B205" s="7" t="s">
        <v>26</v>
      </c>
      <c r="C205" s="7" t="s">
        <v>27</v>
      </c>
      <c r="D205" s="7" t="s">
        <v>28</v>
      </c>
      <c r="E205" s="7" t="s">
        <v>29</v>
      </c>
      <c r="F205" s="7" t="s">
        <v>233</v>
      </c>
      <c r="G205" s="7">
        <v>99.203069999999997</v>
      </c>
      <c r="H205" s="7"/>
    </row>
    <row r="206" spans="1:8" x14ac:dyDescent="0.35">
      <c r="A206" s="7" t="s">
        <v>25</v>
      </c>
      <c r="B206" s="7" t="s">
        <v>26</v>
      </c>
      <c r="C206" s="7" t="s">
        <v>27</v>
      </c>
      <c r="D206" s="7" t="s">
        <v>28</v>
      </c>
      <c r="E206" s="7" t="s">
        <v>29</v>
      </c>
      <c r="F206" s="7" t="s">
        <v>234</v>
      </c>
      <c r="G206" s="7">
        <v>98.766059999999996</v>
      </c>
      <c r="H206" s="7"/>
    </row>
    <row r="207" spans="1:8" x14ac:dyDescent="0.35">
      <c r="A207" s="7" t="s">
        <v>25</v>
      </c>
      <c r="B207" s="7" t="s">
        <v>26</v>
      </c>
      <c r="C207" s="7" t="s">
        <v>27</v>
      </c>
      <c r="D207" s="7" t="s">
        <v>28</v>
      </c>
      <c r="E207" s="7" t="s">
        <v>29</v>
      </c>
      <c r="F207" s="7" t="s">
        <v>235</v>
      </c>
      <c r="G207" s="7">
        <v>98.391050000000007</v>
      </c>
      <c r="H207" s="7"/>
    </row>
    <row r="208" spans="1:8" x14ac:dyDescent="0.35">
      <c r="A208" s="7" t="s">
        <v>25</v>
      </c>
      <c r="B208" s="7" t="s">
        <v>26</v>
      </c>
      <c r="C208" s="7" t="s">
        <v>27</v>
      </c>
      <c r="D208" s="7" t="s">
        <v>28</v>
      </c>
      <c r="E208" s="7" t="s">
        <v>29</v>
      </c>
      <c r="F208" s="7" t="s">
        <v>236</v>
      </c>
      <c r="G208" s="7">
        <v>98.129000000000005</v>
      </c>
      <c r="H208" s="7"/>
    </row>
    <row r="209" spans="1:8" x14ac:dyDescent="0.35">
      <c r="A209" s="7" t="s">
        <v>25</v>
      </c>
      <c r="B209" s="7" t="s">
        <v>26</v>
      </c>
      <c r="C209" s="7" t="s">
        <v>27</v>
      </c>
      <c r="D209" s="7" t="s">
        <v>28</v>
      </c>
      <c r="E209" s="7" t="s">
        <v>29</v>
      </c>
      <c r="F209" s="7" t="s">
        <v>237</v>
      </c>
      <c r="G209" s="7">
        <v>97.944209999999998</v>
      </c>
      <c r="H209" s="7"/>
    </row>
    <row r="210" spans="1:8" x14ac:dyDescent="0.35">
      <c r="A210" s="7" t="s">
        <v>25</v>
      </c>
      <c r="B210" s="7" t="s">
        <v>26</v>
      </c>
      <c r="C210" s="7" t="s">
        <v>27</v>
      </c>
      <c r="D210" s="7" t="s">
        <v>28</v>
      </c>
      <c r="E210" s="7" t="s">
        <v>29</v>
      </c>
      <c r="F210" s="7" t="s">
        <v>238</v>
      </c>
      <c r="G210" s="7">
        <v>97.940219999999997</v>
      </c>
      <c r="H210" s="7"/>
    </row>
    <row r="211" spans="1:8" x14ac:dyDescent="0.35">
      <c r="A211" s="7" t="s">
        <v>25</v>
      </c>
      <c r="B211" s="7" t="s">
        <v>26</v>
      </c>
      <c r="C211" s="7" t="s">
        <v>27</v>
      </c>
      <c r="D211" s="7" t="s">
        <v>28</v>
      </c>
      <c r="E211" s="7" t="s">
        <v>29</v>
      </c>
      <c r="F211" s="7" t="s">
        <v>239</v>
      </c>
      <c r="G211" s="7">
        <v>98.2453</v>
      </c>
      <c r="H211" s="7"/>
    </row>
    <row r="212" spans="1:8" x14ac:dyDescent="0.35">
      <c r="A212" s="7" t="s">
        <v>25</v>
      </c>
      <c r="B212" s="7" t="s">
        <v>26</v>
      </c>
      <c r="C212" s="7" t="s">
        <v>27</v>
      </c>
      <c r="D212" s="7" t="s">
        <v>28</v>
      </c>
      <c r="E212" s="7" t="s">
        <v>29</v>
      </c>
      <c r="F212" s="7" t="s">
        <v>240</v>
      </c>
      <c r="G212" s="7">
        <v>98.572100000000006</v>
      </c>
      <c r="H212" s="7"/>
    </row>
    <row r="213" spans="1:8" x14ac:dyDescent="0.35">
      <c r="A213" s="7" t="s">
        <v>25</v>
      </c>
      <c r="B213" s="7" t="s">
        <v>26</v>
      </c>
      <c r="C213" s="7" t="s">
        <v>27</v>
      </c>
      <c r="D213" s="7" t="s">
        <v>28</v>
      </c>
      <c r="E213" s="7" t="s">
        <v>29</v>
      </c>
      <c r="F213" s="7" t="s">
        <v>241</v>
      </c>
      <c r="G213" s="7">
        <v>98.728700000000003</v>
      </c>
      <c r="H213" s="7"/>
    </row>
    <row r="214" spans="1:8" x14ac:dyDescent="0.35">
      <c r="A214" s="7" t="s">
        <v>25</v>
      </c>
      <c r="B214" s="7" t="s">
        <v>26</v>
      </c>
      <c r="C214" s="7" t="s">
        <v>27</v>
      </c>
      <c r="D214" s="7" t="s">
        <v>28</v>
      </c>
      <c r="E214" s="7" t="s">
        <v>29</v>
      </c>
      <c r="F214" s="7" t="s">
        <v>242</v>
      </c>
      <c r="G214" s="7">
        <v>98.890289999999993</v>
      </c>
      <c r="H214" s="7"/>
    </row>
    <row r="215" spans="1:8" x14ac:dyDescent="0.35">
      <c r="A215" s="7" t="s">
        <v>25</v>
      </c>
      <c r="B215" s="7" t="s">
        <v>26</v>
      </c>
      <c r="C215" s="7" t="s">
        <v>27</v>
      </c>
      <c r="D215" s="7" t="s">
        <v>28</v>
      </c>
      <c r="E215" s="7" t="s">
        <v>29</v>
      </c>
      <c r="F215" s="7" t="s">
        <v>243</v>
      </c>
      <c r="G215" s="7">
        <v>99.152370000000005</v>
      </c>
      <c r="H215" s="7"/>
    </row>
    <row r="216" spans="1:8" x14ac:dyDescent="0.35">
      <c r="A216" s="7" t="s">
        <v>25</v>
      </c>
      <c r="B216" s="7" t="s">
        <v>26</v>
      </c>
      <c r="C216" s="7" t="s">
        <v>27</v>
      </c>
      <c r="D216" s="7" t="s">
        <v>28</v>
      </c>
      <c r="E216" s="7" t="s">
        <v>29</v>
      </c>
      <c r="F216" s="7" t="s">
        <v>244</v>
      </c>
      <c r="G216" s="7">
        <v>99.396439999999998</v>
      </c>
      <c r="H216" s="7"/>
    </row>
    <row r="217" spans="1:8" x14ac:dyDescent="0.35">
      <c r="A217" s="7" t="s">
        <v>25</v>
      </c>
      <c r="B217" s="7" t="s">
        <v>26</v>
      </c>
      <c r="C217" s="7" t="s">
        <v>27</v>
      </c>
      <c r="D217" s="7" t="s">
        <v>28</v>
      </c>
      <c r="E217" s="7" t="s">
        <v>29</v>
      </c>
      <c r="F217" s="7" t="s">
        <v>245</v>
      </c>
      <c r="G217" s="7">
        <v>99.553719999999998</v>
      </c>
      <c r="H217" s="7"/>
    </row>
    <row r="218" spans="1:8" x14ac:dyDescent="0.35">
      <c r="A218" s="7" t="s">
        <v>25</v>
      </c>
      <c r="B218" s="7" t="s">
        <v>26</v>
      </c>
      <c r="C218" s="7" t="s">
        <v>27</v>
      </c>
      <c r="D218" s="7" t="s">
        <v>28</v>
      </c>
      <c r="E218" s="7" t="s">
        <v>29</v>
      </c>
      <c r="F218" s="7" t="s">
        <v>246</v>
      </c>
      <c r="G218" s="7">
        <v>99.805530000000005</v>
      </c>
      <c r="H218" s="7"/>
    </row>
    <row r="219" spans="1:8" x14ac:dyDescent="0.35">
      <c r="A219" s="7" t="s">
        <v>25</v>
      </c>
      <c r="B219" s="7" t="s">
        <v>26</v>
      </c>
      <c r="C219" s="7" t="s">
        <v>27</v>
      </c>
      <c r="D219" s="7" t="s">
        <v>28</v>
      </c>
      <c r="E219" s="7" t="s">
        <v>29</v>
      </c>
      <c r="F219" s="7" t="s">
        <v>247</v>
      </c>
      <c r="G219" s="7">
        <v>100.06319999999999</v>
      </c>
      <c r="H219" s="7"/>
    </row>
    <row r="220" spans="1:8" x14ac:dyDescent="0.35">
      <c r="A220" s="7" t="s">
        <v>25</v>
      </c>
      <c r="B220" s="7" t="s">
        <v>26</v>
      </c>
      <c r="C220" s="7" t="s">
        <v>27</v>
      </c>
      <c r="D220" s="7" t="s">
        <v>28</v>
      </c>
      <c r="E220" s="7" t="s">
        <v>29</v>
      </c>
      <c r="F220" s="7" t="s">
        <v>248</v>
      </c>
      <c r="G220" s="7">
        <v>100.2152</v>
      </c>
      <c r="H220" s="7"/>
    </row>
    <row r="221" spans="1:8" x14ac:dyDescent="0.35">
      <c r="A221" s="7" t="s">
        <v>25</v>
      </c>
      <c r="B221" s="7" t="s">
        <v>26</v>
      </c>
      <c r="C221" s="7" t="s">
        <v>27</v>
      </c>
      <c r="D221" s="7" t="s">
        <v>28</v>
      </c>
      <c r="E221" s="7" t="s">
        <v>29</v>
      </c>
      <c r="F221" s="7" t="s">
        <v>249</v>
      </c>
      <c r="G221" s="7">
        <v>100.2226</v>
      </c>
      <c r="H221" s="7"/>
    </row>
    <row r="222" spans="1:8" x14ac:dyDescent="0.35">
      <c r="A222" s="7" t="s">
        <v>25</v>
      </c>
      <c r="B222" s="7" t="s">
        <v>26</v>
      </c>
      <c r="C222" s="7" t="s">
        <v>27</v>
      </c>
      <c r="D222" s="7" t="s">
        <v>28</v>
      </c>
      <c r="E222" s="7" t="s">
        <v>29</v>
      </c>
      <c r="F222" s="7" t="s">
        <v>250</v>
      </c>
      <c r="G222" s="7">
        <v>100.16719999999999</v>
      </c>
      <c r="H222" s="7"/>
    </row>
    <row r="223" spans="1:8" x14ac:dyDescent="0.35">
      <c r="A223" s="7" t="s">
        <v>25</v>
      </c>
      <c r="B223" s="7" t="s">
        <v>26</v>
      </c>
      <c r="C223" s="7" t="s">
        <v>27</v>
      </c>
      <c r="D223" s="7" t="s">
        <v>28</v>
      </c>
      <c r="E223" s="7" t="s">
        <v>29</v>
      </c>
      <c r="F223" s="7" t="s">
        <v>251</v>
      </c>
      <c r="G223" s="7">
        <v>100.06229999999999</v>
      </c>
      <c r="H223" s="7"/>
    </row>
    <row r="224" spans="1:8" x14ac:dyDescent="0.35">
      <c r="A224" s="7" t="s">
        <v>25</v>
      </c>
      <c r="B224" s="7" t="s">
        <v>26</v>
      </c>
      <c r="C224" s="7" t="s">
        <v>27</v>
      </c>
      <c r="D224" s="7" t="s">
        <v>28</v>
      </c>
      <c r="E224" s="7" t="s">
        <v>29</v>
      </c>
      <c r="F224" s="7" t="s">
        <v>252</v>
      </c>
      <c r="G224" s="7">
        <v>100.0536</v>
      </c>
      <c r="H224" s="7"/>
    </row>
    <row r="225" spans="1:8" x14ac:dyDescent="0.35">
      <c r="A225" s="7" t="s">
        <v>25</v>
      </c>
      <c r="B225" s="7" t="s">
        <v>26</v>
      </c>
      <c r="C225" s="7" t="s">
        <v>27</v>
      </c>
      <c r="D225" s="7" t="s">
        <v>28</v>
      </c>
      <c r="E225" s="7" t="s">
        <v>29</v>
      </c>
      <c r="F225" s="7" t="s">
        <v>253</v>
      </c>
      <c r="G225" s="7">
        <v>100.0792</v>
      </c>
      <c r="H225" s="7"/>
    </row>
    <row r="226" spans="1:8" x14ac:dyDescent="0.35">
      <c r="A226" s="7" t="s">
        <v>25</v>
      </c>
      <c r="B226" s="7" t="s">
        <v>26</v>
      </c>
      <c r="C226" s="7" t="s">
        <v>27</v>
      </c>
      <c r="D226" s="7" t="s">
        <v>28</v>
      </c>
      <c r="E226" s="7" t="s">
        <v>29</v>
      </c>
      <c r="F226" s="7" t="s">
        <v>254</v>
      </c>
      <c r="G226" s="7">
        <v>100.18729999999999</v>
      </c>
      <c r="H226" s="7"/>
    </row>
    <row r="227" spans="1:8" x14ac:dyDescent="0.35">
      <c r="A227" s="7" t="s">
        <v>25</v>
      </c>
      <c r="B227" s="7" t="s">
        <v>26</v>
      </c>
      <c r="C227" s="7" t="s">
        <v>27</v>
      </c>
      <c r="D227" s="7" t="s">
        <v>28</v>
      </c>
      <c r="E227" s="7" t="s">
        <v>29</v>
      </c>
      <c r="F227" s="7" t="s">
        <v>255</v>
      </c>
      <c r="G227" s="7">
        <v>100.3013</v>
      </c>
      <c r="H227" s="7"/>
    </row>
    <row r="228" spans="1:8" x14ac:dyDescent="0.35">
      <c r="A228" s="7" t="s">
        <v>25</v>
      </c>
      <c r="B228" s="7" t="s">
        <v>26</v>
      </c>
      <c r="C228" s="7" t="s">
        <v>27</v>
      </c>
      <c r="D228" s="7" t="s">
        <v>28</v>
      </c>
      <c r="E228" s="7" t="s">
        <v>29</v>
      </c>
      <c r="F228" s="7" t="s">
        <v>256</v>
      </c>
      <c r="G228" s="7">
        <v>100.4025</v>
      </c>
      <c r="H228" s="7"/>
    </row>
    <row r="229" spans="1:8" x14ac:dyDescent="0.35">
      <c r="A229" s="7" t="s">
        <v>25</v>
      </c>
      <c r="B229" s="7" t="s">
        <v>26</v>
      </c>
      <c r="C229" s="7" t="s">
        <v>27</v>
      </c>
      <c r="D229" s="7" t="s">
        <v>28</v>
      </c>
      <c r="E229" s="7" t="s">
        <v>29</v>
      </c>
      <c r="F229" s="7" t="s">
        <v>257</v>
      </c>
      <c r="G229" s="7">
        <v>100.4885</v>
      </c>
      <c r="H229" s="7"/>
    </row>
    <row r="230" spans="1:8" x14ac:dyDescent="0.35">
      <c r="A230" s="7" t="s">
        <v>25</v>
      </c>
      <c r="B230" s="7" t="s">
        <v>26</v>
      </c>
      <c r="C230" s="7" t="s">
        <v>27</v>
      </c>
      <c r="D230" s="7" t="s">
        <v>28</v>
      </c>
      <c r="E230" s="7" t="s">
        <v>29</v>
      </c>
      <c r="F230" s="7" t="s">
        <v>258</v>
      </c>
      <c r="G230" s="7">
        <v>100.5171</v>
      </c>
      <c r="H230" s="7"/>
    </row>
    <row r="231" spans="1:8" x14ac:dyDescent="0.35">
      <c r="A231" s="7" t="s">
        <v>25</v>
      </c>
      <c r="B231" s="7" t="s">
        <v>26</v>
      </c>
      <c r="C231" s="7" t="s">
        <v>27</v>
      </c>
      <c r="D231" s="7" t="s">
        <v>28</v>
      </c>
      <c r="E231" s="7" t="s">
        <v>29</v>
      </c>
      <c r="F231" s="7" t="s">
        <v>259</v>
      </c>
      <c r="G231" s="7">
        <v>100.53789999999999</v>
      </c>
      <c r="H231" s="7"/>
    </row>
    <row r="232" spans="1:8" x14ac:dyDescent="0.35">
      <c r="A232" s="7" t="s">
        <v>25</v>
      </c>
      <c r="B232" s="7" t="s">
        <v>26</v>
      </c>
      <c r="C232" s="7" t="s">
        <v>27</v>
      </c>
      <c r="D232" s="7" t="s">
        <v>28</v>
      </c>
      <c r="E232" s="7" t="s">
        <v>29</v>
      </c>
      <c r="F232" s="7" t="s">
        <v>260</v>
      </c>
      <c r="G232" s="7">
        <v>100.7276</v>
      </c>
      <c r="H232" s="7"/>
    </row>
    <row r="233" spans="1:8" x14ac:dyDescent="0.35">
      <c r="A233" s="7" t="s">
        <v>25</v>
      </c>
      <c r="B233" s="7" t="s">
        <v>26</v>
      </c>
      <c r="C233" s="7" t="s">
        <v>27</v>
      </c>
      <c r="D233" s="7" t="s">
        <v>28</v>
      </c>
      <c r="E233" s="7" t="s">
        <v>29</v>
      </c>
      <c r="F233" s="7" t="s">
        <v>261</v>
      </c>
      <c r="G233" s="7">
        <v>100.9063</v>
      </c>
      <c r="H233" s="7"/>
    </row>
    <row r="234" spans="1:8" x14ac:dyDescent="0.35">
      <c r="A234" s="7" t="s">
        <v>25</v>
      </c>
      <c r="B234" s="7" t="s">
        <v>26</v>
      </c>
      <c r="C234" s="7" t="s">
        <v>27</v>
      </c>
      <c r="D234" s="7" t="s">
        <v>28</v>
      </c>
      <c r="E234" s="7" t="s">
        <v>29</v>
      </c>
      <c r="F234" s="7" t="s">
        <v>262</v>
      </c>
      <c r="G234" s="7">
        <v>100.9012</v>
      </c>
      <c r="H234" s="7"/>
    </row>
    <row r="235" spans="1:8" x14ac:dyDescent="0.35">
      <c r="A235" s="7" t="s">
        <v>25</v>
      </c>
      <c r="B235" s="7" t="s">
        <v>26</v>
      </c>
      <c r="C235" s="7" t="s">
        <v>27</v>
      </c>
      <c r="D235" s="7" t="s">
        <v>28</v>
      </c>
      <c r="E235" s="7" t="s">
        <v>29</v>
      </c>
      <c r="F235" s="7" t="s">
        <v>263</v>
      </c>
      <c r="G235" s="7">
        <v>100.7666</v>
      </c>
      <c r="H235" s="7"/>
    </row>
    <row r="236" spans="1:8" x14ac:dyDescent="0.35">
      <c r="A236" s="7" t="s">
        <v>25</v>
      </c>
      <c r="B236" s="7" t="s">
        <v>26</v>
      </c>
      <c r="C236" s="7" t="s">
        <v>27</v>
      </c>
      <c r="D236" s="7" t="s">
        <v>28</v>
      </c>
      <c r="E236" s="7" t="s">
        <v>29</v>
      </c>
      <c r="F236" s="7" t="s">
        <v>264</v>
      </c>
      <c r="G236" s="7">
        <v>100.599</v>
      </c>
      <c r="H236" s="7"/>
    </row>
    <row r="237" spans="1:8" x14ac:dyDescent="0.35">
      <c r="A237" s="7" t="s">
        <v>25</v>
      </c>
      <c r="B237" s="7" t="s">
        <v>26</v>
      </c>
      <c r="C237" s="7" t="s">
        <v>27</v>
      </c>
      <c r="D237" s="7" t="s">
        <v>28</v>
      </c>
      <c r="E237" s="7" t="s">
        <v>29</v>
      </c>
      <c r="F237" s="7" t="s">
        <v>265</v>
      </c>
      <c r="G237" s="7">
        <v>100.41759999999999</v>
      </c>
      <c r="H237" s="7"/>
    </row>
    <row r="238" spans="1:8" x14ac:dyDescent="0.35">
      <c r="A238" s="7" t="s">
        <v>25</v>
      </c>
      <c r="B238" s="7" t="s">
        <v>26</v>
      </c>
      <c r="C238" s="7" t="s">
        <v>27</v>
      </c>
      <c r="D238" s="7" t="s">
        <v>28</v>
      </c>
      <c r="E238" s="7" t="s">
        <v>29</v>
      </c>
      <c r="F238" s="7" t="s">
        <v>266</v>
      </c>
      <c r="G238" s="7">
        <v>100.1957</v>
      </c>
      <c r="H238" s="7"/>
    </row>
    <row r="239" spans="1:8" x14ac:dyDescent="0.35">
      <c r="A239" s="7" t="s">
        <v>25</v>
      </c>
      <c r="B239" s="7" t="s">
        <v>26</v>
      </c>
      <c r="C239" s="7" t="s">
        <v>27</v>
      </c>
      <c r="D239" s="7" t="s">
        <v>28</v>
      </c>
      <c r="E239" s="7" t="s">
        <v>29</v>
      </c>
      <c r="F239" s="7" t="s">
        <v>267</v>
      </c>
      <c r="G239" s="7">
        <v>99.752340000000004</v>
      </c>
      <c r="H239" s="7"/>
    </row>
    <row r="240" spans="1:8" x14ac:dyDescent="0.35">
      <c r="A240" s="7" t="s">
        <v>25</v>
      </c>
      <c r="B240" s="7" t="s">
        <v>26</v>
      </c>
      <c r="C240" s="7" t="s">
        <v>27</v>
      </c>
      <c r="D240" s="7" t="s">
        <v>28</v>
      </c>
      <c r="E240" s="7" t="s">
        <v>29</v>
      </c>
      <c r="F240" s="7" t="s">
        <v>268</v>
      </c>
      <c r="G240" s="7">
        <v>99.164330000000007</v>
      </c>
      <c r="H240" s="7"/>
    </row>
    <row r="241" spans="1:8" x14ac:dyDescent="0.35">
      <c r="A241" s="7" t="s">
        <v>25</v>
      </c>
      <c r="B241" s="7" t="s">
        <v>26</v>
      </c>
      <c r="C241" s="7" t="s">
        <v>27</v>
      </c>
      <c r="D241" s="7" t="s">
        <v>28</v>
      </c>
      <c r="E241" s="7" t="s">
        <v>29</v>
      </c>
      <c r="F241" s="7" t="s">
        <v>269</v>
      </c>
      <c r="G241" s="7">
        <v>98.638350000000003</v>
      </c>
      <c r="H241" s="7"/>
    </row>
    <row r="242" spans="1:8" x14ac:dyDescent="0.35">
      <c r="A242" s="7" t="s">
        <v>25</v>
      </c>
      <c r="B242" s="7" t="s">
        <v>26</v>
      </c>
      <c r="C242" s="7" t="s">
        <v>27</v>
      </c>
      <c r="D242" s="7" t="s">
        <v>28</v>
      </c>
      <c r="E242" s="7" t="s">
        <v>29</v>
      </c>
      <c r="F242" s="7" t="s">
        <v>270</v>
      </c>
      <c r="G242" s="7">
        <v>98.264809999999997</v>
      </c>
      <c r="H242" s="7"/>
    </row>
    <row r="243" spans="1:8" x14ac:dyDescent="0.35">
      <c r="A243" s="7" t="s">
        <v>25</v>
      </c>
      <c r="B243" s="7" t="s">
        <v>26</v>
      </c>
      <c r="C243" s="7" t="s">
        <v>27</v>
      </c>
      <c r="D243" s="7" t="s">
        <v>28</v>
      </c>
      <c r="E243" s="7" t="s">
        <v>29</v>
      </c>
      <c r="F243" s="7" t="s">
        <v>271</v>
      </c>
      <c r="G243" s="7">
        <v>98.063159999999996</v>
      </c>
      <c r="H243" s="7"/>
    </row>
    <row r="244" spans="1:8" x14ac:dyDescent="0.35">
      <c r="A244" s="7" t="s">
        <v>25</v>
      </c>
      <c r="B244" s="7" t="s">
        <v>26</v>
      </c>
      <c r="C244" s="7" t="s">
        <v>27</v>
      </c>
      <c r="D244" s="7" t="s">
        <v>28</v>
      </c>
      <c r="E244" s="7" t="s">
        <v>29</v>
      </c>
      <c r="F244" s="7" t="s">
        <v>272</v>
      </c>
      <c r="G244" s="7">
        <v>98.038120000000006</v>
      </c>
      <c r="H244" s="7"/>
    </row>
    <row r="245" spans="1:8" x14ac:dyDescent="0.35">
      <c r="A245" s="7" t="s">
        <v>25</v>
      </c>
      <c r="B245" s="7" t="s">
        <v>26</v>
      </c>
      <c r="C245" s="7" t="s">
        <v>27</v>
      </c>
      <c r="D245" s="7" t="s">
        <v>28</v>
      </c>
      <c r="E245" s="7" t="s">
        <v>29</v>
      </c>
      <c r="F245" s="7" t="s">
        <v>273</v>
      </c>
      <c r="G245" s="7">
        <v>98.109229999999997</v>
      </c>
      <c r="H245" s="7"/>
    </row>
    <row r="246" spans="1:8" x14ac:dyDescent="0.35">
      <c r="A246" s="7" t="s">
        <v>25</v>
      </c>
      <c r="B246" s="7" t="s">
        <v>26</v>
      </c>
      <c r="C246" s="7" t="s">
        <v>27</v>
      </c>
      <c r="D246" s="7" t="s">
        <v>28</v>
      </c>
      <c r="E246" s="7" t="s">
        <v>29</v>
      </c>
      <c r="F246" s="7" t="s">
        <v>274</v>
      </c>
      <c r="G246" s="7">
        <v>98.190349999999995</v>
      </c>
      <c r="H246" s="7"/>
    </row>
    <row r="247" spans="1:8" x14ac:dyDescent="0.35">
      <c r="A247" s="7" t="s">
        <v>25</v>
      </c>
      <c r="B247" s="7" t="s">
        <v>26</v>
      </c>
      <c r="C247" s="7" t="s">
        <v>27</v>
      </c>
      <c r="D247" s="7" t="s">
        <v>28</v>
      </c>
      <c r="E247" s="7" t="s">
        <v>29</v>
      </c>
      <c r="F247" s="7" t="s">
        <v>275</v>
      </c>
      <c r="G247" s="7">
        <v>98.2727</v>
      </c>
      <c r="H247" s="7"/>
    </row>
    <row r="248" spans="1:8" x14ac:dyDescent="0.35">
      <c r="A248" s="7" t="s">
        <v>25</v>
      </c>
      <c r="B248" s="7" t="s">
        <v>26</v>
      </c>
      <c r="C248" s="7" t="s">
        <v>27</v>
      </c>
      <c r="D248" s="7" t="s">
        <v>28</v>
      </c>
      <c r="E248" s="7" t="s">
        <v>29</v>
      </c>
      <c r="F248" s="7" t="s">
        <v>276</v>
      </c>
      <c r="G248" s="7">
        <v>98.216729999999998</v>
      </c>
      <c r="H248" s="7"/>
    </row>
    <row r="249" spans="1:8" x14ac:dyDescent="0.35">
      <c r="A249" s="7" t="s">
        <v>25</v>
      </c>
      <c r="B249" s="7" t="s">
        <v>26</v>
      </c>
      <c r="C249" s="7" t="s">
        <v>27</v>
      </c>
      <c r="D249" s="7" t="s">
        <v>28</v>
      </c>
      <c r="E249" s="7" t="s">
        <v>29</v>
      </c>
      <c r="F249" s="7" t="s">
        <v>277</v>
      </c>
      <c r="G249" s="7">
        <v>98.26831</v>
      </c>
      <c r="H249" s="7"/>
    </row>
    <row r="250" spans="1:8" x14ac:dyDescent="0.35">
      <c r="A250" s="7" t="s">
        <v>25</v>
      </c>
      <c r="B250" s="7" t="s">
        <v>26</v>
      </c>
      <c r="C250" s="7" t="s">
        <v>27</v>
      </c>
      <c r="D250" s="7" t="s">
        <v>28</v>
      </c>
      <c r="E250" s="7" t="s">
        <v>29</v>
      </c>
      <c r="F250" s="7" t="s">
        <v>278</v>
      </c>
      <c r="G250" s="7">
        <v>98.46181</v>
      </c>
      <c r="H250" s="7"/>
    </row>
    <row r="251" spans="1:8" x14ac:dyDescent="0.35">
      <c r="A251" s="7" t="s">
        <v>25</v>
      </c>
      <c r="B251" s="7" t="s">
        <v>26</v>
      </c>
      <c r="C251" s="7" t="s">
        <v>27</v>
      </c>
      <c r="D251" s="7" t="s">
        <v>28</v>
      </c>
      <c r="E251" s="7" t="s">
        <v>29</v>
      </c>
      <c r="F251" s="7" t="s">
        <v>279</v>
      </c>
      <c r="G251" s="7">
        <v>98.604780000000005</v>
      </c>
      <c r="H251" s="7"/>
    </row>
    <row r="252" spans="1:8" x14ac:dyDescent="0.35">
      <c r="A252" s="7" t="s">
        <v>25</v>
      </c>
      <c r="B252" s="7" t="s">
        <v>26</v>
      </c>
      <c r="C252" s="7" t="s">
        <v>27</v>
      </c>
      <c r="D252" s="7" t="s">
        <v>28</v>
      </c>
      <c r="E252" s="7" t="s">
        <v>29</v>
      </c>
      <c r="F252" s="7" t="s">
        <v>280</v>
      </c>
      <c r="G252" s="7">
        <v>98.646619999999999</v>
      </c>
      <c r="H252" s="7"/>
    </row>
    <row r="253" spans="1:8" x14ac:dyDescent="0.35">
      <c r="A253" s="7" t="s">
        <v>25</v>
      </c>
      <c r="B253" s="7" t="s">
        <v>26</v>
      </c>
      <c r="C253" s="7" t="s">
        <v>27</v>
      </c>
      <c r="D253" s="7" t="s">
        <v>28</v>
      </c>
      <c r="E253" s="7" t="s">
        <v>29</v>
      </c>
      <c r="F253" s="7" t="s">
        <v>281</v>
      </c>
      <c r="G253" s="7">
        <v>98.517529999999994</v>
      </c>
      <c r="H253" s="7"/>
    </row>
    <row r="254" spans="1:8" x14ac:dyDescent="0.35">
      <c r="A254" s="7" t="s">
        <v>25</v>
      </c>
      <c r="B254" s="7" t="s">
        <v>26</v>
      </c>
      <c r="C254" s="7" t="s">
        <v>27</v>
      </c>
      <c r="D254" s="7" t="s">
        <v>28</v>
      </c>
      <c r="E254" s="7" t="s">
        <v>29</v>
      </c>
      <c r="F254" s="7" t="s">
        <v>282</v>
      </c>
      <c r="G254" s="7">
        <v>98.168260000000004</v>
      </c>
      <c r="H254" s="7"/>
    </row>
    <row r="255" spans="1:8" x14ac:dyDescent="0.35">
      <c r="A255" s="7" t="s">
        <v>25</v>
      </c>
      <c r="B255" s="7" t="s">
        <v>26</v>
      </c>
      <c r="C255" s="7" t="s">
        <v>27</v>
      </c>
      <c r="D255" s="7" t="s">
        <v>28</v>
      </c>
      <c r="E255" s="7" t="s">
        <v>29</v>
      </c>
      <c r="F255" s="7" t="s">
        <v>283</v>
      </c>
      <c r="G255" s="7">
        <v>97.944019999999995</v>
      </c>
      <c r="H255" s="7"/>
    </row>
    <row r="256" spans="1:8" x14ac:dyDescent="0.35">
      <c r="A256" s="7" t="s">
        <v>25</v>
      </c>
      <c r="B256" s="7" t="s">
        <v>26</v>
      </c>
      <c r="C256" s="7" t="s">
        <v>27</v>
      </c>
      <c r="D256" s="7" t="s">
        <v>28</v>
      </c>
      <c r="E256" s="7" t="s">
        <v>29</v>
      </c>
      <c r="F256" s="7" t="s">
        <v>284</v>
      </c>
      <c r="G256" s="7">
        <v>97.863749999999996</v>
      </c>
      <c r="H256" s="7"/>
    </row>
    <row r="257" spans="1:8" x14ac:dyDescent="0.35">
      <c r="A257" s="7" t="s">
        <v>25</v>
      </c>
      <c r="B257" s="7" t="s">
        <v>26</v>
      </c>
      <c r="C257" s="7" t="s">
        <v>27</v>
      </c>
      <c r="D257" s="7" t="s">
        <v>28</v>
      </c>
      <c r="E257" s="7" t="s">
        <v>29</v>
      </c>
      <c r="F257" s="7" t="s">
        <v>285</v>
      </c>
      <c r="G257" s="7">
        <v>97.799049999999994</v>
      </c>
      <c r="H257" s="7"/>
    </row>
    <row r="258" spans="1:8" x14ac:dyDescent="0.35">
      <c r="A258" s="7" t="s">
        <v>25</v>
      </c>
      <c r="B258" s="7" t="s">
        <v>26</v>
      </c>
      <c r="C258" s="7" t="s">
        <v>27</v>
      </c>
      <c r="D258" s="7" t="s">
        <v>28</v>
      </c>
      <c r="E258" s="7" t="s">
        <v>29</v>
      </c>
      <c r="F258" s="7" t="s">
        <v>286</v>
      </c>
      <c r="G258" s="7">
        <v>97.953379999999996</v>
      </c>
      <c r="H258" s="7"/>
    </row>
    <row r="259" spans="1:8" x14ac:dyDescent="0.35">
      <c r="A259" s="7" t="s">
        <v>25</v>
      </c>
      <c r="B259" s="7" t="s">
        <v>26</v>
      </c>
      <c r="C259" s="7" t="s">
        <v>27</v>
      </c>
      <c r="D259" s="7" t="s">
        <v>28</v>
      </c>
      <c r="E259" s="7" t="s">
        <v>29</v>
      </c>
      <c r="F259" s="7" t="s">
        <v>287</v>
      </c>
      <c r="G259" s="7">
        <v>98.21951</v>
      </c>
      <c r="H259" s="7"/>
    </row>
    <row r="260" spans="1:8" x14ac:dyDescent="0.35">
      <c r="A260" s="7" t="s">
        <v>25</v>
      </c>
      <c r="B260" s="7" t="s">
        <v>26</v>
      </c>
      <c r="C260" s="7" t="s">
        <v>27</v>
      </c>
      <c r="D260" s="7" t="s">
        <v>28</v>
      </c>
      <c r="E260" s="7" t="s">
        <v>29</v>
      </c>
      <c r="F260" s="7" t="s">
        <v>288</v>
      </c>
      <c r="G260" s="7">
        <v>98.406030000000001</v>
      </c>
      <c r="H260" s="7"/>
    </row>
    <row r="261" spans="1:8" x14ac:dyDescent="0.35">
      <c r="A261" s="7" t="s">
        <v>25</v>
      </c>
      <c r="B261" s="7" t="s">
        <v>26</v>
      </c>
      <c r="C261" s="7" t="s">
        <v>27</v>
      </c>
      <c r="D261" s="7" t="s">
        <v>28</v>
      </c>
      <c r="E261" s="7" t="s">
        <v>29</v>
      </c>
      <c r="F261" s="7" t="s">
        <v>289</v>
      </c>
      <c r="G261" s="7">
        <v>98.442779999999999</v>
      </c>
      <c r="H261" s="7"/>
    </row>
    <row r="262" spans="1:8" x14ac:dyDescent="0.35">
      <c r="A262" s="7" t="s">
        <v>25</v>
      </c>
      <c r="B262" s="7" t="s">
        <v>26</v>
      </c>
      <c r="C262" s="7" t="s">
        <v>27</v>
      </c>
      <c r="D262" s="7" t="s">
        <v>28</v>
      </c>
      <c r="E262" s="7" t="s">
        <v>29</v>
      </c>
      <c r="F262" s="7" t="s">
        <v>290</v>
      </c>
      <c r="G262" s="7">
        <v>98.493480000000005</v>
      </c>
      <c r="H262" s="7"/>
    </row>
    <row r="263" spans="1:8" x14ac:dyDescent="0.35">
      <c r="A263" s="7" t="s">
        <v>25</v>
      </c>
      <c r="B263" s="7" t="s">
        <v>26</v>
      </c>
      <c r="C263" s="7" t="s">
        <v>27</v>
      </c>
      <c r="D263" s="7" t="s">
        <v>28</v>
      </c>
      <c r="E263" s="7" t="s">
        <v>29</v>
      </c>
      <c r="F263" s="7" t="s">
        <v>291</v>
      </c>
      <c r="G263" s="7">
        <v>98.728669999999994</v>
      </c>
      <c r="H263" s="7"/>
    </row>
    <row r="264" spans="1:8" x14ac:dyDescent="0.35">
      <c r="A264" s="7" t="s">
        <v>25</v>
      </c>
      <c r="B264" s="7" t="s">
        <v>26</v>
      </c>
      <c r="C264" s="7" t="s">
        <v>27</v>
      </c>
      <c r="D264" s="7" t="s">
        <v>28</v>
      </c>
      <c r="E264" s="7" t="s">
        <v>29</v>
      </c>
      <c r="F264" s="7" t="s">
        <v>292</v>
      </c>
      <c r="G264" s="7">
        <v>98.975669999999994</v>
      </c>
      <c r="H264" s="7"/>
    </row>
    <row r="265" spans="1:8" x14ac:dyDescent="0.35">
      <c r="A265" s="7" t="s">
        <v>25</v>
      </c>
      <c r="B265" s="7" t="s">
        <v>26</v>
      </c>
      <c r="C265" s="7" t="s">
        <v>27</v>
      </c>
      <c r="D265" s="7" t="s">
        <v>28</v>
      </c>
      <c r="E265" s="7" t="s">
        <v>29</v>
      </c>
      <c r="F265" s="7" t="s">
        <v>293</v>
      </c>
      <c r="G265" s="7">
        <v>99.335809999999995</v>
      </c>
      <c r="H265" s="7"/>
    </row>
    <row r="266" spans="1:8" x14ac:dyDescent="0.35">
      <c r="A266" s="7" t="s">
        <v>25</v>
      </c>
      <c r="B266" s="7" t="s">
        <v>26</v>
      </c>
      <c r="C266" s="7" t="s">
        <v>27</v>
      </c>
      <c r="D266" s="7" t="s">
        <v>28</v>
      </c>
      <c r="E266" s="7" t="s">
        <v>29</v>
      </c>
      <c r="F266" s="7" t="s">
        <v>294</v>
      </c>
      <c r="G266" s="7">
        <v>99.728880000000004</v>
      </c>
      <c r="H266" s="7"/>
    </row>
    <row r="267" spans="1:8" x14ac:dyDescent="0.35">
      <c r="A267" s="7" t="s">
        <v>25</v>
      </c>
      <c r="B267" s="7" t="s">
        <v>26</v>
      </c>
      <c r="C267" s="7" t="s">
        <v>27</v>
      </c>
      <c r="D267" s="7" t="s">
        <v>28</v>
      </c>
      <c r="E267" s="7" t="s">
        <v>29</v>
      </c>
      <c r="F267" s="7" t="s">
        <v>295</v>
      </c>
      <c r="G267" s="7">
        <v>99.986369999999994</v>
      </c>
      <c r="H267" s="7"/>
    </row>
    <row r="268" spans="1:8" x14ac:dyDescent="0.35">
      <c r="A268" s="7" t="s">
        <v>25</v>
      </c>
      <c r="B268" s="7" t="s">
        <v>26</v>
      </c>
      <c r="C268" s="7" t="s">
        <v>27</v>
      </c>
      <c r="D268" s="7" t="s">
        <v>28</v>
      </c>
      <c r="E268" s="7" t="s">
        <v>29</v>
      </c>
      <c r="F268" s="7" t="s">
        <v>296</v>
      </c>
      <c r="G268" s="7">
        <v>100.1022</v>
      </c>
      <c r="H268" s="7"/>
    </row>
    <row r="269" spans="1:8" x14ac:dyDescent="0.35">
      <c r="A269" s="7" t="s">
        <v>25</v>
      </c>
      <c r="B269" s="7" t="s">
        <v>26</v>
      </c>
      <c r="C269" s="7" t="s">
        <v>27</v>
      </c>
      <c r="D269" s="7" t="s">
        <v>28</v>
      </c>
      <c r="E269" s="7" t="s">
        <v>29</v>
      </c>
      <c r="F269" s="7" t="s">
        <v>297</v>
      </c>
      <c r="G269" s="7">
        <v>100.1384</v>
      </c>
      <c r="H269" s="7"/>
    </row>
    <row r="270" spans="1:8" x14ac:dyDescent="0.35">
      <c r="A270" s="7" t="s">
        <v>25</v>
      </c>
      <c r="B270" s="7" t="s">
        <v>26</v>
      </c>
      <c r="C270" s="7" t="s">
        <v>27</v>
      </c>
      <c r="D270" s="7" t="s">
        <v>28</v>
      </c>
      <c r="E270" s="7" t="s">
        <v>29</v>
      </c>
      <c r="F270" s="7" t="s">
        <v>298</v>
      </c>
      <c r="G270" s="7">
        <v>100.2727</v>
      </c>
      <c r="H270" s="7"/>
    </row>
    <row r="271" spans="1:8" x14ac:dyDescent="0.35">
      <c r="A271" s="7" t="s">
        <v>25</v>
      </c>
      <c r="B271" s="7" t="s">
        <v>26</v>
      </c>
      <c r="C271" s="7" t="s">
        <v>27</v>
      </c>
      <c r="D271" s="7" t="s">
        <v>28</v>
      </c>
      <c r="E271" s="7" t="s">
        <v>29</v>
      </c>
      <c r="F271" s="7" t="s">
        <v>299</v>
      </c>
      <c r="G271" s="7">
        <v>100.4084</v>
      </c>
      <c r="H271" s="7"/>
    </row>
    <row r="272" spans="1:8" x14ac:dyDescent="0.35">
      <c r="A272" s="7" t="s">
        <v>25</v>
      </c>
      <c r="B272" s="7" t="s">
        <v>26</v>
      </c>
      <c r="C272" s="7" t="s">
        <v>27</v>
      </c>
      <c r="D272" s="7" t="s">
        <v>28</v>
      </c>
      <c r="E272" s="7" t="s">
        <v>29</v>
      </c>
      <c r="F272" s="7" t="s">
        <v>300</v>
      </c>
      <c r="G272" s="7">
        <v>100.5843</v>
      </c>
      <c r="H272" s="7"/>
    </row>
    <row r="273" spans="1:8" x14ac:dyDescent="0.35">
      <c r="A273" s="7" t="s">
        <v>25</v>
      </c>
      <c r="B273" s="7" t="s">
        <v>26</v>
      </c>
      <c r="C273" s="7" t="s">
        <v>27</v>
      </c>
      <c r="D273" s="7" t="s">
        <v>28</v>
      </c>
      <c r="E273" s="7" t="s">
        <v>29</v>
      </c>
      <c r="F273" s="7" t="s">
        <v>301</v>
      </c>
      <c r="G273" s="7">
        <v>100.6848</v>
      </c>
      <c r="H273" s="7"/>
    </row>
    <row r="274" spans="1:8" x14ac:dyDescent="0.35">
      <c r="A274" s="7" t="s">
        <v>25</v>
      </c>
      <c r="B274" s="7" t="s">
        <v>26</v>
      </c>
      <c r="C274" s="7" t="s">
        <v>27</v>
      </c>
      <c r="D274" s="7" t="s">
        <v>28</v>
      </c>
      <c r="E274" s="7" t="s">
        <v>29</v>
      </c>
      <c r="F274" s="7" t="s">
        <v>302</v>
      </c>
      <c r="G274" s="7">
        <v>100.7265</v>
      </c>
      <c r="H274" s="7"/>
    </row>
    <row r="275" spans="1:8" x14ac:dyDescent="0.35">
      <c r="A275" s="7" t="s">
        <v>25</v>
      </c>
      <c r="B275" s="7" t="s">
        <v>26</v>
      </c>
      <c r="C275" s="7" t="s">
        <v>27</v>
      </c>
      <c r="D275" s="7" t="s">
        <v>28</v>
      </c>
      <c r="E275" s="7" t="s">
        <v>29</v>
      </c>
      <c r="F275" s="7" t="s">
        <v>303</v>
      </c>
      <c r="G275" s="7">
        <v>100.7214</v>
      </c>
      <c r="H275" s="7"/>
    </row>
    <row r="276" spans="1:8" x14ac:dyDescent="0.35">
      <c r="A276" s="7" t="s">
        <v>25</v>
      </c>
      <c r="B276" s="7" t="s">
        <v>26</v>
      </c>
      <c r="C276" s="7" t="s">
        <v>27</v>
      </c>
      <c r="D276" s="7" t="s">
        <v>28</v>
      </c>
      <c r="E276" s="7" t="s">
        <v>29</v>
      </c>
      <c r="F276" s="7" t="s">
        <v>304</v>
      </c>
      <c r="G276" s="7">
        <v>100.73480000000001</v>
      </c>
      <c r="H276" s="7"/>
    </row>
    <row r="277" spans="1:8" x14ac:dyDescent="0.35">
      <c r="A277" s="7" t="s">
        <v>25</v>
      </c>
      <c r="B277" s="7" t="s">
        <v>26</v>
      </c>
      <c r="C277" s="7" t="s">
        <v>27</v>
      </c>
      <c r="D277" s="7" t="s">
        <v>28</v>
      </c>
      <c r="E277" s="7" t="s">
        <v>29</v>
      </c>
      <c r="F277" s="7" t="s">
        <v>305</v>
      </c>
      <c r="G277" s="7">
        <v>100.71850000000001</v>
      </c>
      <c r="H277" s="7"/>
    </row>
    <row r="278" spans="1:8" x14ac:dyDescent="0.35">
      <c r="A278" s="7" t="s">
        <v>25</v>
      </c>
      <c r="B278" s="7" t="s">
        <v>26</v>
      </c>
      <c r="C278" s="7" t="s">
        <v>27</v>
      </c>
      <c r="D278" s="7" t="s">
        <v>28</v>
      </c>
      <c r="E278" s="7" t="s">
        <v>29</v>
      </c>
      <c r="F278" s="7" t="s">
        <v>306</v>
      </c>
      <c r="G278" s="7">
        <v>100.6332</v>
      </c>
      <c r="H278" s="7"/>
    </row>
    <row r="279" spans="1:8" x14ac:dyDescent="0.35">
      <c r="A279" s="7" t="s">
        <v>25</v>
      </c>
      <c r="B279" s="7" t="s">
        <v>26</v>
      </c>
      <c r="C279" s="7" t="s">
        <v>27</v>
      </c>
      <c r="D279" s="7" t="s">
        <v>28</v>
      </c>
      <c r="E279" s="7" t="s">
        <v>29</v>
      </c>
      <c r="F279" s="7" t="s">
        <v>307</v>
      </c>
      <c r="G279" s="7">
        <v>100.5645</v>
      </c>
      <c r="H279" s="7"/>
    </row>
    <row r="280" spans="1:8" x14ac:dyDescent="0.35">
      <c r="A280" s="7" t="s">
        <v>25</v>
      </c>
      <c r="B280" s="7" t="s">
        <v>26</v>
      </c>
      <c r="C280" s="7" t="s">
        <v>27</v>
      </c>
      <c r="D280" s="7" t="s">
        <v>28</v>
      </c>
      <c r="E280" s="7" t="s">
        <v>29</v>
      </c>
      <c r="F280" s="7" t="s">
        <v>308</v>
      </c>
      <c r="G280" s="7">
        <v>100.5543</v>
      </c>
      <c r="H280" s="7"/>
    </row>
    <row r="281" spans="1:8" x14ac:dyDescent="0.35">
      <c r="A281" s="7" t="s">
        <v>25</v>
      </c>
      <c r="B281" s="7" t="s">
        <v>26</v>
      </c>
      <c r="C281" s="7" t="s">
        <v>27</v>
      </c>
      <c r="D281" s="7" t="s">
        <v>28</v>
      </c>
      <c r="E281" s="7" t="s">
        <v>29</v>
      </c>
      <c r="F281" s="7" t="s">
        <v>309</v>
      </c>
      <c r="G281" s="7">
        <v>100.59699999999999</v>
      </c>
      <c r="H281" s="7"/>
    </row>
    <row r="282" spans="1:8" x14ac:dyDescent="0.35">
      <c r="A282" s="7" t="s">
        <v>25</v>
      </c>
      <c r="B282" s="7" t="s">
        <v>26</v>
      </c>
      <c r="C282" s="7" t="s">
        <v>27</v>
      </c>
      <c r="D282" s="7" t="s">
        <v>28</v>
      </c>
      <c r="E282" s="7" t="s">
        <v>29</v>
      </c>
      <c r="F282" s="7" t="s">
        <v>310</v>
      </c>
      <c r="G282" s="7">
        <v>100.7403</v>
      </c>
      <c r="H282" s="7"/>
    </row>
    <row r="283" spans="1:8" x14ac:dyDescent="0.35">
      <c r="A283" s="7" t="s">
        <v>25</v>
      </c>
      <c r="B283" s="7" t="s">
        <v>26</v>
      </c>
      <c r="C283" s="7" t="s">
        <v>27</v>
      </c>
      <c r="D283" s="7" t="s">
        <v>28</v>
      </c>
      <c r="E283" s="7" t="s">
        <v>29</v>
      </c>
      <c r="F283" s="7" t="s">
        <v>311</v>
      </c>
      <c r="G283" s="7">
        <v>100.825</v>
      </c>
      <c r="H283" s="7"/>
    </row>
    <row r="284" spans="1:8" x14ac:dyDescent="0.35">
      <c r="A284" s="7" t="s">
        <v>25</v>
      </c>
      <c r="B284" s="7" t="s">
        <v>26</v>
      </c>
      <c r="C284" s="7" t="s">
        <v>27</v>
      </c>
      <c r="D284" s="7" t="s">
        <v>28</v>
      </c>
      <c r="E284" s="7" t="s">
        <v>29</v>
      </c>
      <c r="F284" s="7" t="s">
        <v>312</v>
      </c>
      <c r="G284" s="7">
        <v>100.922</v>
      </c>
      <c r="H284" s="7"/>
    </row>
    <row r="285" spans="1:8" x14ac:dyDescent="0.35">
      <c r="A285" s="7" t="s">
        <v>25</v>
      </c>
      <c r="B285" s="7" t="s">
        <v>26</v>
      </c>
      <c r="C285" s="7" t="s">
        <v>27</v>
      </c>
      <c r="D285" s="7" t="s">
        <v>28</v>
      </c>
      <c r="E285" s="7" t="s">
        <v>29</v>
      </c>
      <c r="F285" s="7" t="s">
        <v>313</v>
      </c>
      <c r="G285" s="7">
        <v>101.02979999999999</v>
      </c>
      <c r="H285" s="7"/>
    </row>
    <row r="286" spans="1:8" x14ac:dyDescent="0.35">
      <c r="A286" s="7" t="s">
        <v>25</v>
      </c>
      <c r="B286" s="7" t="s">
        <v>26</v>
      </c>
      <c r="C286" s="7" t="s">
        <v>27</v>
      </c>
      <c r="D286" s="7" t="s">
        <v>28</v>
      </c>
      <c r="E286" s="7" t="s">
        <v>29</v>
      </c>
      <c r="F286" s="7" t="s">
        <v>314</v>
      </c>
      <c r="G286" s="7">
        <v>101.05929999999999</v>
      </c>
      <c r="H286" s="7"/>
    </row>
    <row r="287" spans="1:8" x14ac:dyDescent="0.35">
      <c r="A287" s="7" t="s">
        <v>25</v>
      </c>
      <c r="B287" s="7" t="s">
        <v>26</v>
      </c>
      <c r="C287" s="7" t="s">
        <v>27</v>
      </c>
      <c r="D287" s="7" t="s">
        <v>28</v>
      </c>
      <c r="E287" s="7" t="s">
        <v>29</v>
      </c>
      <c r="F287" s="7" t="s">
        <v>315</v>
      </c>
      <c r="G287" s="7">
        <v>101.07980000000001</v>
      </c>
      <c r="H287" s="7"/>
    </row>
    <row r="288" spans="1:8" x14ac:dyDescent="0.35">
      <c r="A288" s="7" t="s">
        <v>25</v>
      </c>
      <c r="B288" s="7" t="s">
        <v>26</v>
      </c>
      <c r="C288" s="7" t="s">
        <v>27</v>
      </c>
      <c r="D288" s="7" t="s">
        <v>28</v>
      </c>
      <c r="E288" s="7" t="s">
        <v>29</v>
      </c>
      <c r="F288" s="7" t="s">
        <v>316</v>
      </c>
      <c r="G288" s="7">
        <v>101.017</v>
      </c>
      <c r="H288" s="7"/>
    </row>
    <row r="289" spans="1:8" x14ac:dyDescent="0.35">
      <c r="A289" s="7" t="s">
        <v>25</v>
      </c>
      <c r="B289" s="7" t="s">
        <v>26</v>
      </c>
      <c r="C289" s="7" t="s">
        <v>27</v>
      </c>
      <c r="D289" s="7" t="s">
        <v>28</v>
      </c>
      <c r="E289" s="7" t="s">
        <v>29</v>
      </c>
      <c r="F289" s="7" t="s">
        <v>317</v>
      </c>
      <c r="G289" s="7">
        <v>100.9233</v>
      </c>
      <c r="H289" s="7"/>
    </row>
    <row r="290" spans="1:8" x14ac:dyDescent="0.35">
      <c r="A290" s="7" t="s">
        <v>25</v>
      </c>
      <c r="B290" s="7" t="s">
        <v>26</v>
      </c>
      <c r="C290" s="7" t="s">
        <v>27</v>
      </c>
      <c r="D290" s="7" t="s">
        <v>28</v>
      </c>
      <c r="E290" s="7" t="s">
        <v>29</v>
      </c>
      <c r="F290" s="7" t="s">
        <v>318</v>
      </c>
      <c r="G290" s="7">
        <v>100.8858</v>
      </c>
      <c r="H290" s="7"/>
    </row>
    <row r="291" spans="1:8" x14ac:dyDescent="0.35">
      <c r="A291" s="7" t="s">
        <v>25</v>
      </c>
      <c r="B291" s="7" t="s">
        <v>26</v>
      </c>
      <c r="C291" s="7" t="s">
        <v>27</v>
      </c>
      <c r="D291" s="7" t="s">
        <v>28</v>
      </c>
      <c r="E291" s="7" t="s">
        <v>29</v>
      </c>
      <c r="F291" s="7" t="s">
        <v>319</v>
      </c>
      <c r="G291" s="7">
        <v>100.7668</v>
      </c>
      <c r="H291" s="7"/>
    </row>
    <row r="292" spans="1:8" x14ac:dyDescent="0.35">
      <c r="A292" s="7" t="s">
        <v>25</v>
      </c>
      <c r="B292" s="7" t="s">
        <v>26</v>
      </c>
      <c r="C292" s="7" t="s">
        <v>27</v>
      </c>
      <c r="D292" s="7" t="s">
        <v>28</v>
      </c>
      <c r="E292" s="7" t="s">
        <v>29</v>
      </c>
      <c r="F292" s="7" t="s">
        <v>320</v>
      </c>
      <c r="G292" s="7">
        <v>100.5582</v>
      </c>
      <c r="H292" s="7"/>
    </row>
    <row r="293" spans="1:8" x14ac:dyDescent="0.35">
      <c r="A293" s="7" t="s">
        <v>25</v>
      </c>
      <c r="B293" s="7" t="s">
        <v>26</v>
      </c>
      <c r="C293" s="7" t="s">
        <v>27</v>
      </c>
      <c r="D293" s="7" t="s">
        <v>28</v>
      </c>
      <c r="E293" s="7" t="s">
        <v>29</v>
      </c>
      <c r="F293" s="7" t="s">
        <v>321</v>
      </c>
      <c r="G293" s="7">
        <v>100.3742</v>
      </c>
      <c r="H293" s="7"/>
    </row>
    <row r="294" spans="1:8" x14ac:dyDescent="0.35">
      <c r="A294" s="7" t="s">
        <v>25</v>
      </c>
      <c r="B294" s="7" t="s">
        <v>26</v>
      </c>
      <c r="C294" s="7" t="s">
        <v>27</v>
      </c>
      <c r="D294" s="7" t="s">
        <v>28</v>
      </c>
      <c r="E294" s="7" t="s">
        <v>29</v>
      </c>
      <c r="F294" s="7" t="s">
        <v>322</v>
      </c>
      <c r="G294" s="7">
        <v>100.2244</v>
      </c>
      <c r="H294" s="7"/>
    </row>
    <row r="295" spans="1:8" x14ac:dyDescent="0.35">
      <c r="A295" s="7" t="s">
        <v>25</v>
      </c>
      <c r="B295" s="7" t="s">
        <v>26</v>
      </c>
      <c r="C295" s="7" t="s">
        <v>27</v>
      </c>
      <c r="D295" s="7" t="s">
        <v>28</v>
      </c>
      <c r="E295" s="7" t="s">
        <v>29</v>
      </c>
      <c r="F295" s="7" t="s">
        <v>323</v>
      </c>
      <c r="G295" s="7">
        <v>100.2608</v>
      </c>
      <c r="H295" s="7"/>
    </row>
    <row r="296" spans="1:8" x14ac:dyDescent="0.35">
      <c r="A296" s="7" t="s">
        <v>25</v>
      </c>
      <c r="B296" s="7" t="s">
        <v>26</v>
      </c>
      <c r="C296" s="7" t="s">
        <v>27</v>
      </c>
      <c r="D296" s="7" t="s">
        <v>28</v>
      </c>
      <c r="E296" s="7" t="s">
        <v>29</v>
      </c>
      <c r="F296" s="7" t="s">
        <v>324</v>
      </c>
      <c r="G296" s="7">
        <v>100.36620000000001</v>
      </c>
      <c r="H296" s="7"/>
    </row>
    <row r="297" spans="1:8" x14ac:dyDescent="0.35">
      <c r="A297" s="7" t="s">
        <v>25</v>
      </c>
      <c r="B297" s="7" t="s">
        <v>26</v>
      </c>
      <c r="C297" s="7" t="s">
        <v>27</v>
      </c>
      <c r="D297" s="7" t="s">
        <v>28</v>
      </c>
      <c r="E297" s="7" t="s">
        <v>29</v>
      </c>
      <c r="F297" s="7" t="s">
        <v>325</v>
      </c>
      <c r="G297" s="7">
        <v>100.5252</v>
      </c>
      <c r="H297" s="7"/>
    </row>
    <row r="298" spans="1:8" x14ac:dyDescent="0.35">
      <c r="A298" s="7" t="s">
        <v>25</v>
      </c>
      <c r="B298" s="7" t="s">
        <v>26</v>
      </c>
      <c r="C298" s="7" t="s">
        <v>27</v>
      </c>
      <c r="D298" s="7" t="s">
        <v>28</v>
      </c>
      <c r="E298" s="7" t="s">
        <v>29</v>
      </c>
      <c r="F298" s="7" t="s">
        <v>326</v>
      </c>
      <c r="G298" s="7">
        <v>100.6194</v>
      </c>
      <c r="H298" s="7"/>
    </row>
    <row r="299" spans="1:8" x14ac:dyDescent="0.35">
      <c r="A299" s="7" t="s">
        <v>25</v>
      </c>
      <c r="B299" s="7" t="s">
        <v>26</v>
      </c>
      <c r="C299" s="7" t="s">
        <v>27</v>
      </c>
      <c r="D299" s="7" t="s">
        <v>28</v>
      </c>
      <c r="E299" s="7" t="s">
        <v>29</v>
      </c>
      <c r="F299" s="7" t="s">
        <v>327</v>
      </c>
      <c r="G299" s="7">
        <v>100.74890000000001</v>
      </c>
      <c r="H299" s="7"/>
    </row>
    <row r="300" spans="1:8" x14ac:dyDescent="0.35">
      <c r="A300" s="7" t="s">
        <v>25</v>
      </c>
      <c r="B300" s="7" t="s">
        <v>26</v>
      </c>
      <c r="C300" s="7" t="s">
        <v>27</v>
      </c>
      <c r="D300" s="7" t="s">
        <v>28</v>
      </c>
      <c r="E300" s="7" t="s">
        <v>29</v>
      </c>
      <c r="F300" s="7" t="s">
        <v>328</v>
      </c>
      <c r="G300" s="7">
        <v>100.9295</v>
      </c>
      <c r="H300" s="7"/>
    </row>
    <row r="301" spans="1:8" x14ac:dyDescent="0.35">
      <c r="A301" s="7" t="s">
        <v>25</v>
      </c>
      <c r="B301" s="7" t="s">
        <v>26</v>
      </c>
      <c r="C301" s="7" t="s">
        <v>27</v>
      </c>
      <c r="D301" s="7" t="s">
        <v>28</v>
      </c>
      <c r="E301" s="7" t="s">
        <v>29</v>
      </c>
      <c r="F301" s="7" t="s">
        <v>329</v>
      </c>
      <c r="G301" s="7">
        <v>101.0809</v>
      </c>
      <c r="H301" s="7"/>
    </row>
    <row r="302" spans="1:8" x14ac:dyDescent="0.35">
      <c r="A302" s="7" t="s">
        <v>25</v>
      </c>
      <c r="B302" s="7" t="s">
        <v>26</v>
      </c>
      <c r="C302" s="7" t="s">
        <v>27</v>
      </c>
      <c r="D302" s="7" t="s">
        <v>28</v>
      </c>
      <c r="E302" s="7" t="s">
        <v>29</v>
      </c>
      <c r="F302" s="7" t="s">
        <v>330</v>
      </c>
      <c r="G302" s="7">
        <v>101.2548</v>
      </c>
      <c r="H302" s="7"/>
    </row>
    <row r="303" spans="1:8" x14ac:dyDescent="0.35">
      <c r="A303" s="7" t="s">
        <v>25</v>
      </c>
      <c r="B303" s="7" t="s">
        <v>26</v>
      </c>
      <c r="C303" s="7" t="s">
        <v>27</v>
      </c>
      <c r="D303" s="7" t="s">
        <v>28</v>
      </c>
      <c r="E303" s="7" t="s">
        <v>29</v>
      </c>
      <c r="F303" s="7" t="s">
        <v>331</v>
      </c>
      <c r="G303" s="7">
        <v>101.4464</v>
      </c>
      <c r="H303" s="7"/>
    </row>
    <row r="304" spans="1:8" x14ac:dyDescent="0.35">
      <c r="A304" s="7" t="s">
        <v>25</v>
      </c>
      <c r="B304" s="7" t="s">
        <v>26</v>
      </c>
      <c r="C304" s="7" t="s">
        <v>27</v>
      </c>
      <c r="D304" s="7" t="s">
        <v>28</v>
      </c>
      <c r="E304" s="7" t="s">
        <v>29</v>
      </c>
      <c r="F304" s="7" t="s">
        <v>332</v>
      </c>
      <c r="G304" s="7">
        <v>101.6296</v>
      </c>
      <c r="H304" s="7"/>
    </row>
    <row r="305" spans="1:8" x14ac:dyDescent="0.35">
      <c r="A305" s="7" t="s">
        <v>25</v>
      </c>
      <c r="B305" s="7" t="s">
        <v>26</v>
      </c>
      <c r="C305" s="7" t="s">
        <v>27</v>
      </c>
      <c r="D305" s="7" t="s">
        <v>28</v>
      </c>
      <c r="E305" s="7" t="s">
        <v>29</v>
      </c>
      <c r="F305" s="7" t="s">
        <v>333</v>
      </c>
      <c r="G305" s="7">
        <v>101.75579999999999</v>
      </c>
      <c r="H305" s="7"/>
    </row>
    <row r="306" spans="1:8" x14ac:dyDescent="0.35">
      <c r="A306" s="7" t="s">
        <v>25</v>
      </c>
      <c r="B306" s="7" t="s">
        <v>26</v>
      </c>
      <c r="C306" s="7" t="s">
        <v>27</v>
      </c>
      <c r="D306" s="7" t="s">
        <v>28</v>
      </c>
      <c r="E306" s="7" t="s">
        <v>29</v>
      </c>
      <c r="F306" s="7" t="s">
        <v>334</v>
      </c>
      <c r="G306" s="7">
        <v>101.7697</v>
      </c>
      <c r="H306" s="7"/>
    </row>
    <row r="307" spans="1:8" x14ac:dyDescent="0.35">
      <c r="A307" s="7" t="s">
        <v>25</v>
      </c>
      <c r="B307" s="7" t="s">
        <v>26</v>
      </c>
      <c r="C307" s="7" t="s">
        <v>27</v>
      </c>
      <c r="D307" s="7" t="s">
        <v>28</v>
      </c>
      <c r="E307" s="7" t="s">
        <v>29</v>
      </c>
      <c r="F307" s="7" t="s">
        <v>335</v>
      </c>
      <c r="G307" s="7">
        <v>101.7106</v>
      </c>
      <c r="H307" s="7"/>
    </row>
    <row r="308" spans="1:8" x14ac:dyDescent="0.35">
      <c r="A308" s="7" t="s">
        <v>25</v>
      </c>
      <c r="B308" s="7" t="s">
        <v>26</v>
      </c>
      <c r="C308" s="7" t="s">
        <v>27</v>
      </c>
      <c r="D308" s="7" t="s">
        <v>28</v>
      </c>
      <c r="E308" s="7" t="s">
        <v>29</v>
      </c>
      <c r="F308" s="7" t="s">
        <v>336</v>
      </c>
      <c r="G308" s="7">
        <v>101.6343</v>
      </c>
      <c r="H308" s="7"/>
    </row>
    <row r="309" spans="1:8" x14ac:dyDescent="0.35">
      <c r="A309" s="7" t="s">
        <v>25</v>
      </c>
      <c r="B309" s="7" t="s">
        <v>26</v>
      </c>
      <c r="C309" s="7" t="s">
        <v>27</v>
      </c>
      <c r="D309" s="7" t="s">
        <v>28</v>
      </c>
      <c r="E309" s="7" t="s">
        <v>29</v>
      </c>
      <c r="F309" s="7" t="s">
        <v>337</v>
      </c>
      <c r="G309" s="7">
        <v>101.6454</v>
      </c>
      <c r="H309" s="7"/>
    </row>
    <row r="310" spans="1:8" x14ac:dyDescent="0.35">
      <c r="A310" s="7" t="s">
        <v>25</v>
      </c>
      <c r="B310" s="7" t="s">
        <v>26</v>
      </c>
      <c r="C310" s="7" t="s">
        <v>27</v>
      </c>
      <c r="D310" s="7" t="s">
        <v>28</v>
      </c>
      <c r="E310" s="7" t="s">
        <v>29</v>
      </c>
      <c r="F310" s="7" t="s">
        <v>338</v>
      </c>
      <c r="G310" s="7">
        <v>101.71040000000001</v>
      </c>
      <c r="H310" s="7"/>
    </row>
    <row r="311" spans="1:8" x14ac:dyDescent="0.35">
      <c r="A311" s="7" t="s">
        <v>25</v>
      </c>
      <c r="B311" s="7" t="s">
        <v>26</v>
      </c>
      <c r="C311" s="7" t="s">
        <v>27</v>
      </c>
      <c r="D311" s="7" t="s">
        <v>28</v>
      </c>
      <c r="E311" s="7" t="s">
        <v>29</v>
      </c>
      <c r="F311" s="7" t="s">
        <v>339</v>
      </c>
      <c r="G311" s="7">
        <v>101.7739</v>
      </c>
      <c r="H311" s="7"/>
    </row>
    <row r="312" spans="1:8" x14ac:dyDescent="0.35">
      <c r="A312" s="7" t="s">
        <v>25</v>
      </c>
      <c r="B312" s="7" t="s">
        <v>26</v>
      </c>
      <c r="C312" s="7" t="s">
        <v>27</v>
      </c>
      <c r="D312" s="7" t="s">
        <v>28</v>
      </c>
      <c r="E312" s="7" t="s">
        <v>29</v>
      </c>
      <c r="F312" s="7" t="s">
        <v>340</v>
      </c>
      <c r="G312" s="7">
        <v>101.7928</v>
      </c>
      <c r="H312" s="7"/>
    </row>
    <row r="313" spans="1:8" x14ac:dyDescent="0.35">
      <c r="A313" s="7" t="s">
        <v>25</v>
      </c>
      <c r="B313" s="7" t="s">
        <v>26</v>
      </c>
      <c r="C313" s="7" t="s">
        <v>27</v>
      </c>
      <c r="D313" s="7" t="s">
        <v>28</v>
      </c>
      <c r="E313" s="7" t="s">
        <v>29</v>
      </c>
      <c r="F313" s="7" t="s">
        <v>341</v>
      </c>
      <c r="G313" s="7">
        <v>101.8275</v>
      </c>
      <c r="H313" s="7"/>
    </row>
    <row r="314" spans="1:8" x14ac:dyDescent="0.35">
      <c r="A314" s="7" t="s">
        <v>25</v>
      </c>
      <c r="B314" s="7" t="s">
        <v>26</v>
      </c>
      <c r="C314" s="7" t="s">
        <v>27</v>
      </c>
      <c r="D314" s="7" t="s">
        <v>28</v>
      </c>
      <c r="E314" s="7" t="s">
        <v>29</v>
      </c>
      <c r="F314" s="7" t="s">
        <v>342</v>
      </c>
      <c r="G314" s="7">
        <v>101.8507</v>
      </c>
      <c r="H314" s="7"/>
    </row>
    <row r="315" spans="1:8" x14ac:dyDescent="0.35">
      <c r="A315" s="7" t="s">
        <v>25</v>
      </c>
      <c r="B315" s="7" t="s">
        <v>26</v>
      </c>
      <c r="C315" s="7" t="s">
        <v>27</v>
      </c>
      <c r="D315" s="7" t="s">
        <v>28</v>
      </c>
      <c r="E315" s="7" t="s">
        <v>29</v>
      </c>
      <c r="F315" s="7" t="s">
        <v>343</v>
      </c>
      <c r="G315" s="7">
        <v>101.9023</v>
      </c>
      <c r="H315" s="7"/>
    </row>
    <row r="316" spans="1:8" x14ac:dyDescent="0.35">
      <c r="A316" s="7" t="s">
        <v>25</v>
      </c>
      <c r="B316" s="7" t="s">
        <v>26</v>
      </c>
      <c r="C316" s="7" t="s">
        <v>27</v>
      </c>
      <c r="D316" s="7" t="s">
        <v>28</v>
      </c>
      <c r="E316" s="7" t="s">
        <v>29</v>
      </c>
      <c r="F316" s="7" t="s">
        <v>344</v>
      </c>
      <c r="G316" s="7">
        <v>101.9496</v>
      </c>
      <c r="H316" s="7"/>
    </row>
    <row r="317" spans="1:8" x14ac:dyDescent="0.35">
      <c r="A317" s="7" t="s">
        <v>25</v>
      </c>
      <c r="B317" s="7" t="s">
        <v>26</v>
      </c>
      <c r="C317" s="7" t="s">
        <v>27</v>
      </c>
      <c r="D317" s="7" t="s">
        <v>28</v>
      </c>
      <c r="E317" s="7" t="s">
        <v>29</v>
      </c>
      <c r="F317" s="7" t="s">
        <v>345</v>
      </c>
      <c r="G317" s="7">
        <v>101.9796</v>
      </c>
      <c r="H317" s="7"/>
    </row>
    <row r="318" spans="1:8" x14ac:dyDescent="0.35">
      <c r="A318" s="7" t="s">
        <v>25</v>
      </c>
      <c r="B318" s="7" t="s">
        <v>26</v>
      </c>
      <c r="C318" s="7" t="s">
        <v>27</v>
      </c>
      <c r="D318" s="7" t="s">
        <v>28</v>
      </c>
      <c r="E318" s="7" t="s">
        <v>29</v>
      </c>
      <c r="F318" s="7" t="s">
        <v>346</v>
      </c>
      <c r="G318" s="7">
        <v>102.0159</v>
      </c>
      <c r="H318" s="7"/>
    </row>
    <row r="319" spans="1:8" x14ac:dyDescent="0.35">
      <c r="A319" s="7" t="s">
        <v>347</v>
      </c>
      <c r="B319" s="7" t="s">
        <v>26</v>
      </c>
      <c r="C319" s="7" t="s">
        <v>27</v>
      </c>
      <c r="D319" s="7" t="s">
        <v>28</v>
      </c>
      <c r="E319" s="7" t="s">
        <v>29</v>
      </c>
      <c r="F319" s="7" t="s">
        <v>30</v>
      </c>
      <c r="G319" s="7">
        <v>96.515230000000003</v>
      </c>
      <c r="H319" s="7"/>
    </row>
    <row r="320" spans="1:8" x14ac:dyDescent="0.35">
      <c r="A320" s="7" t="s">
        <v>347</v>
      </c>
      <c r="B320" s="7" t="s">
        <v>26</v>
      </c>
      <c r="C320" s="7" t="s">
        <v>27</v>
      </c>
      <c r="D320" s="7" t="s">
        <v>28</v>
      </c>
      <c r="E320" s="7" t="s">
        <v>29</v>
      </c>
      <c r="F320" s="7" t="s">
        <v>31</v>
      </c>
      <c r="G320" s="7">
        <v>96.394180000000006</v>
      </c>
      <c r="H320" s="7"/>
    </row>
    <row r="321" spans="1:8" x14ac:dyDescent="0.35">
      <c r="A321" s="7" t="s">
        <v>347</v>
      </c>
      <c r="B321" s="7" t="s">
        <v>26</v>
      </c>
      <c r="C321" s="7" t="s">
        <v>27</v>
      </c>
      <c r="D321" s="7" t="s">
        <v>28</v>
      </c>
      <c r="E321" s="7" t="s">
        <v>29</v>
      </c>
      <c r="F321" s="7" t="s">
        <v>32</v>
      </c>
      <c r="G321" s="7">
        <v>96.287270000000007</v>
      </c>
      <c r="H321" s="7"/>
    </row>
    <row r="322" spans="1:8" x14ac:dyDescent="0.35">
      <c r="A322" s="7" t="s">
        <v>347</v>
      </c>
      <c r="B322" s="7" t="s">
        <v>26</v>
      </c>
      <c r="C322" s="7" t="s">
        <v>27</v>
      </c>
      <c r="D322" s="7" t="s">
        <v>28</v>
      </c>
      <c r="E322" s="7" t="s">
        <v>29</v>
      </c>
      <c r="F322" s="7" t="s">
        <v>33</v>
      </c>
      <c r="G322" s="7">
        <v>96.220849999999999</v>
      </c>
      <c r="H322" s="7"/>
    </row>
    <row r="323" spans="1:8" x14ac:dyDescent="0.35">
      <c r="A323" s="7" t="s">
        <v>347</v>
      </c>
      <c r="B323" s="7" t="s">
        <v>26</v>
      </c>
      <c r="C323" s="7" t="s">
        <v>27</v>
      </c>
      <c r="D323" s="7" t="s">
        <v>28</v>
      </c>
      <c r="E323" s="7" t="s">
        <v>29</v>
      </c>
      <c r="F323" s="7" t="s">
        <v>34</v>
      </c>
      <c r="G323" s="7">
        <v>96.224100000000007</v>
      </c>
      <c r="H323" s="7"/>
    </row>
    <row r="324" spans="1:8" x14ac:dyDescent="0.35">
      <c r="A324" s="7" t="s">
        <v>347</v>
      </c>
      <c r="B324" s="7" t="s">
        <v>26</v>
      </c>
      <c r="C324" s="7" t="s">
        <v>27</v>
      </c>
      <c r="D324" s="7" t="s">
        <v>28</v>
      </c>
      <c r="E324" s="7" t="s">
        <v>29</v>
      </c>
      <c r="F324" s="7" t="s">
        <v>35</v>
      </c>
      <c r="G324" s="7">
        <v>96.271249999999995</v>
      </c>
      <c r="H324" s="7"/>
    </row>
    <row r="325" spans="1:8" x14ac:dyDescent="0.35">
      <c r="A325" s="7" t="s">
        <v>347</v>
      </c>
      <c r="B325" s="7" t="s">
        <v>26</v>
      </c>
      <c r="C325" s="7" t="s">
        <v>27</v>
      </c>
      <c r="D325" s="7" t="s">
        <v>28</v>
      </c>
      <c r="E325" s="7" t="s">
        <v>29</v>
      </c>
      <c r="F325" s="7" t="s">
        <v>36</v>
      </c>
      <c r="G325" s="7">
        <v>96.334900000000005</v>
      </c>
      <c r="H325" s="7"/>
    </row>
    <row r="326" spans="1:8" x14ac:dyDescent="0.35">
      <c r="A326" s="7" t="s">
        <v>347</v>
      </c>
      <c r="B326" s="7" t="s">
        <v>26</v>
      </c>
      <c r="C326" s="7" t="s">
        <v>27</v>
      </c>
      <c r="D326" s="7" t="s">
        <v>28</v>
      </c>
      <c r="E326" s="7" t="s">
        <v>29</v>
      </c>
      <c r="F326" s="7" t="s">
        <v>37</v>
      </c>
      <c r="G326" s="7">
        <v>96.395489999999995</v>
      </c>
      <c r="H326" s="7"/>
    </row>
    <row r="327" spans="1:8" x14ac:dyDescent="0.35">
      <c r="A327" s="7" t="s">
        <v>347</v>
      </c>
      <c r="B327" s="7" t="s">
        <v>26</v>
      </c>
      <c r="C327" s="7" t="s">
        <v>27</v>
      </c>
      <c r="D327" s="7" t="s">
        <v>28</v>
      </c>
      <c r="E327" s="7" t="s">
        <v>29</v>
      </c>
      <c r="F327" s="7" t="s">
        <v>38</v>
      </c>
      <c r="G327" s="7">
        <v>96.434240000000003</v>
      </c>
      <c r="H327" s="7"/>
    </row>
    <row r="328" spans="1:8" x14ac:dyDescent="0.35">
      <c r="A328" s="7" t="s">
        <v>347</v>
      </c>
      <c r="B328" s="7" t="s">
        <v>26</v>
      </c>
      <c r="C328" s="7" t="s">
        <v>27</v>
      </c>
      <c r="D328" s="7" t="s">
        <v>28</v>
      </c>
      <c r="E328" s="7" t="s">
        <v>29</v>
      </c>
      <c r="F328" s="7" t="s">
        <v>39</v>
      </c>
      <c r="G328" s="7">
        <v>96.425439999999995</v>
      </c>
      <c r="H328" s="7"/>
    </row>
    <row r="329" spans="1:8" x14ac:dyDescent="0.35">
      <c r="A329" s="7" t="s">
        <v>347</v>
      </c>
      <c r="B329" s="7" t="s">
        <v>26</v>
      </c>
      <c r="C329" s="7" t="s">
        <v>27</v>
      </c>
      <c r="D329" s="7" t="s">
        <v>28</v>
      </c>
      <c r="E329" s="7" t="s">
        <v>29</v>
      </c>
      <c r="F329" s="7" t="s">
        <v>40</v>
      </c>
      <c r="G329" s="7">
        <v>96.350530000000006</v>
      </c>
      <c r="H329" s="7"/>
    </row>
    <row r="330" spans="1:8" x14ac:dyDescent="0.35">
      <c r="A330" s="7" t="s">
        <v>347</v>
      </c>
      <c r="B330" s="7" t="s">
        <v>26</v>
      </c>
      <c r="C330" s="7" t="s">
        <v>27</v>
      </c>
      <c r="D330" s="7" t="s">
        <v>28</v>
      </c>
      <c r="E330" s="7" t="s">
        <v>29</v>
      </c>
      <c r="F330" s="7" t="s">
        <v>41</v>
      </c>
      <c r="G330" s="7">
        <v>96.259910000000005</v>
      </c>
      <c r="H330" s="7"/>
    </row>
    <row r="331" spans="1:8" x14ac:dyDescent="0.35">
      <c r="A331" s="7" t="s">
        <v>347</v>
      </c>
      <c r="B331" s="7" t="s">
        <v>26</v>
      </c>
      <c r="C331" s="7" t="s">
        <v>27</v>
      </c>
      <c r="D331" s="7" t="s">
        <v>28</v>
      </c>
      <c r="E331" s="7" t="s">
        <v>29</v>
      </c>
      <c r="F331" s="7" t="s">
        <v>42</v>
      </c>
      <c r="G331" s="7">
        <v>96.225960000000001</v>
      </c>
      <c r="H331" s="7"/>
    </row>
    <row r="332" spans="1:8" x14ac:dyDescent="0.35">
      <c r="A332" s="7" t="s">
        <v>347</v>
      </c>
      <c r="B332" s="7" t="s">
        <v>26</v>
      </c>
      <c r="C332" s="7" t="s">
        <v>27</v>
      </c>
      <c r="D332" s="7" t="s">
        <v>28</v>
      </c>
      <c r="E332" s="7" t="s">
        <v>29</v>
      </c>
      <c r="F332" s="7" t="s">
        <v>43</v>
      </c>
      <c r="G332" s="7">
        <v>96.311920000000001</v>
      </c>
      <c r="H332" s="7"/>
    </row>
    <row r="333" spans="1:8" x14ac:dyDescent="0.35">
      <c r="A333" s="7" t="s">
        <v>347</v>
      </c>
      <c r="B333" s="7" t="s">
        <v>26</v>
      </c>
      <c r="C333" s="7" t="s">
        <v>27</v>
      </c>
      <c r="D333" s="7" t="s">
        <v>28</v>
      </c>
      <c r="E333" s="7" t="s">
        <v>29</v>
      </c>
      <c r="F333" s="7" t="s">
        <v>44</v>
      </c>
      <c r="G333" s="7">
        <v>96.484080000000006</v>
      </c>
      <c r="H333" s="7"/>
    </row>
    <row r="334" spans="1:8" x14ac:dyDescent="0.35">
      <c r="A334" s="7" t="s">
        <v>347</v>
      </c>
      <c r="B334" s="7" t="s">
        <v>26</v>
      </c>
      <c r="C334" s="7" t="s">
        <v>27</v>
      </c>
      <c r="D334" s="7" t="s">
        <v>28</v>
      </c>
      <c r="E334" s="7" t="s">
        <v>29</v>
      </c>
      <c r="F334" s="7" t="s">
        <v>45</v>
      </c>
      <c r="G334" s="7">
        <v>96.711399999999998</v>
      </c>
      <c r="H334" s="7"/>
    </row>
    <row r="335" spans="1:8" x14ac:dyDescent="0.35">
      <c r="A335" s="7" t="s">
        <v>347</v>
      </c>
      <c r="B335" s="7" t="s">
        <v>26</v>
      </c>
      <c r="C335" s="7" t="s">
        <v>27</v>
      </c>
      <c r="D335" s="7" t="s">
        <v>28</v>
      </c>
      <c r="E335" s="7" t="s">
        <v>29</v>
      </c>
      <c r="F335" s="7" t="s">
        <v>46</v>
      </c>
      <c r="G335" s="7">
        <v>96.978999999999999</v>
      </c>
      <c r="H335" s="7"/>
    </row>
    <row r="336" spans="1:8" x14ac:dyDescent="0.35">
      <c r="A336" s="7" t="s">
        <v>347</v>
      </c>
      <c r="B336" s="7" t="s">
        <v>26</v>
      </c>
      <c r="C336" s="7" t="s">
        <v>27</v>
      </c>
      <c r="D336" s="7" t="s">
        <v>28</v>
      </c>
      <c r="E336" s="7" t="s">
        <v>29</v>
      </c>
      <c r="F336" s="7" t="s">
        <v>47</v>
      </c>
      <c r="G336" s="7">
        <v>97.246409999999997</v>
      </c>
      <c r="H336" s="7"/>
    </row>
    <row r="337" spans="1:8" x14ac:dyDescent="0.35">
      <c r="A337" s="7" t="s">
        <v>347</v>
      </c>
      <c r="B337" s="7" t="s">
        <v>26</v>
      </c>
      <c r="C337" s="7" t="s">
        <v>27</v>
      </c>
      <c r="D337" s="7" t="s">
        <v>28</v>
      </c>
      <c r="E337" s="7" t="s">
        <v>29</v>
      </c>
      <c r="F337" s="7" t="s">
        <v>48</v>
      </c>
      <c r="G337" s="7">
        <v>97.470249999999993</v>
      </c>
      <c r="H337" s="7"/>
    </row>
    <row r="338" spans="1:8" x14ac:dyDescent="0.35">
      <c r="A338" s="7" t="s">
        <v>347</v>
      </c>
      <c r="B338" s="7" t="s">
        <v>26</v>
      </c>
      <c r="C338" s="7" t="s">
        <v>27</v>
      </c>
      <c r="D338" s="7" t="s">
        <v>28</v>
      </c>
      <c r="E338" s="7" t="s">
        <v>29</v>
      </c>
      <c r="F338" s="7" t="s">
        <v>49</v>
      </c>
      <c r="G338" s="7">
        <v>97.627049999999997</v>
      </c>
      <c r="H338" s="7"/>
    </row>
    <row r="339" spans="1:8" x14ac:dyDescent="0.35">
      <c r="A339" s="7" t="s">
        <v>347</v>
      </c>
      <c r="B339" s="7" t="s">
        <v>26</v>
      </c>
      <c r="C339" s="7" t="s">
        <v>27</v>
      </c>
      <c r="D339" s="7" t="s">
        <v>28</v>
      </c>
      <c r="E339" s="7" t="s">
        <v>29</v>
      </c>
      <c r="F339" s="7" t="s">
        <v>50</v>
      </c>
      <c r="G339" s="7">
        <v>97.779740000000004</v>
      </c>
      <c r="H339" s="7"/>
    </row>
    <row r="340" spans="1:8" x14ac:dyDescent="0.35">
      <c r="A340" s="7" t="s">
        <v>347</v>
      </c>
      <c r="B340" s="7" t="s">
        <v>26</v>
      </c>
      <c r="C340" s="7" t="s">
        <v>27</v>
      </c>
      <c r="D340" s="7" t="s">
        <v>28</v>
      </c>
      <c r="E340" s="7" t="s">
        <v>29</v>
      </c>
      <c r="F340" s="7" t="s">
        <v>51</v>
      </c>
      <c r="G340" s="7">
        <v>98.025270000000006</v>
      </c>
      <c r="H340" s="7"/>
    </row>
    <row r="341" spans="1:8" x14ac:dyDescent="0.35">
      <c r="A341" s="7" t="s">
        <v>347</v>
      </c>
      <c r="B341" s="7" t="s">
        <v>26</v>
      </c>
      <c r="C341" s="7" t="s">
        <v>27</v>
      </c>
      <c r="D341" s="7" t="s">
        <v>28</v>
      </c>
      <c r="E341" s="7" t="s">
        <v>29</v>
      </c>
      <c r="F341" s="7" t="s">
        <v>52</v>
      </c>
      <c r="G341" s="7">
        <v>98.446529999999996</v>
      </c>
      <c r="H341" s="7"/>
    </row>
    <row r="342" spans="1:8" x14ac:dyDescent="0.35">
      <c r="A342" s="7" t="s">
        <v>347</v>
      </c>
      <c r="B342" s="7" t="s">
        <v>26</v>
      </c>
      <c r="C342" s="7" t="s">
        <v>27</v>
      </c>
      <c r="D342" s="7" t="s">
        <v>28</v>
      </c>
      <c r="E342" s="7" t="s">
        <v>29</v>
      </c>
      <c r="F342" s="7" t="s">
        <v>53</v>
      </c>
      <c r="G342" s="7">
        <v>98.971299999999999</v>
      </c>
      <c r="H342" s="7"/>
    </row>
    <row r="343" spans="1:8" x14ac:dyDescent="0.35">
      <c r="A343" s="7" t="s">
        <v>347</v>
      </c>
      <c r="B343" s="7" t="s">
        <v>26</v>
      </c>
      <c r="C343" s="7" t="s">
        <v>27</v>
      </c>
      <c r="D343" s="7" t="s">
        <v>28</v>
      </c>
      <c r="E343" s="7" t="s">
        <v>29</v>
      </c>
      <c r="F343" s="7" t="s">
        <v>54</v>
      </c>
      <c r="G343" s="7">
        <v>99.512720000000002</v>
      </c>
      <c r="H343" s="7"/>
    </row>
    <row r="344" spans="1:8" x14ac:dyDescent="0.35">
      <c r="A344" s="7" t="s">
        <v>347</v>
      </c>
      <c r="B344" s="7" t="s">
        <v>26</v>
      </c>
      <c r="C344" s="7" t="s">
        <v>27</v>
      </c>
      <c r="D344" s="7" t="s">
        <v>28</v>
      </c>
      <c r="E344" s="7" t="s">
        <v>29</v>
      </c>
      <c r="F344" s="7" t="s">
        <v>55</v>
      </c>
      <c r="G344" s="7">
        <v>100.00620000000001</v>
      </c>
      <c r="H344" s="7"/>
    </row>
    <row r="345" spans="1:8" x14ac:dyDescent="0.35">
      <c r="A345" s="7" t="s">
        <v>347</v>
      </c>
      <c r="B345" s="7" t="s">
        <v>26</v>
      </c>
      <c r="C345" s="7" t="s">
        <v>27</v>
      </c>
      <c r="D345" s="7" t="s">
        <v>28</v>
      </c>
      <c r="E345" s="7" t="s">
        <v>29</v>
      </c>
      <c r="F345" s="7" t="s">
        <v>56</v>
      </c>
      <c r="G345" s="7">
        <v>100.4298</v>
      </c>
      <c r="H345" s="7"/>
    </row>
    <row r="346" spans="1:8" x14ac:dyDescent="0.35">
      <c r="A346" s="7" t="s">
        <v>347</v>
      </c>
      <c r="B346" s="7" t="s">
        <v>26</v>
      </c>
      <c r="C346" s="7" t="s">
        <v>27</v>
      </c>
      <c r="D346" s="7" t="s">
        <v>28</v>
      </c>
      <c r="E346" s="7" t="s">
        <v>29</v>
      </c>
      <c r="F346" s="7" t="s">
        <v>57</v>
      </c>
      <c r="G346" s="7">
        <v>100.74460000000001</v>
      </c>
      <c r="H346" s="7"/>
    </row>
    <row r="347" spans="1:8" x14ac:dyDescent="0.35">
      <c r="A347" s="7" t="s">
        <v>347</v>
      </c>
      <c r="B347" s="7" t="s">
        <v>26</v>
      </c>
      <c r="C347" s="7" t="s">
        <v>27</v>
      </c>
      <c r="D347" s="7" t="s">
        <v>28</v>
      </c>
      <c r="E347" s="7" t="s">
        <v>29</v>
      </c>
      <c r="F347" s="7" t="s">
        <v>58</v>
      </c>
      <c r="G347" s="7">
        <v>100.9054</v>
      </c>
      <c r="H347" s="7"/>
    </row>
    <row r="348" spans="1:8" x14ac:dyDescent="0.35">
      <c r="A348" s="7" t="s">
        <v>347</v>
      </c>
      <c r="B348" s="7" t="s">
        <v>26</v>
      </c>
      <c r="C348" s="7" t="s">
        <v>27</v>
      </c>
      <c r="D348" s="7" t="s">
        <v>28</v>
      </c>
      <c r="E348" s="7" t="s">
        <v>29</v>
      </c>
      <c r="F348" s="7" t="s">
        <v>59</v>
      </c>
      <c r="G348" s="7">
        <v>100.98</v>
      </c>
      <c r="H348" s="7"/>
    </row>
    <row r="349" spans="1:8" x14ac:dyDescent="0.35">
      <c r="A349" s="7" t="s">
        <v>347</v>
      </c>
      <c r="B349" s="7" t="s">
        <v>26</v>
      </c>
      <c r="C349" s="7" t="s">
        <v>27</v>
      </c>
      <c r="D349" s="7" t="s">
        <v>28</v>
      </c>
      <c r="E349" s="7" t="s">
        <v>29</v>
      </c>
      <c r="F349" s="7" t="s">
        <v>60</v>
      </c>
      <c r="G349" s="7">
        <v>101.0318</v>
      </c>
      <c r="H349" s="7"/>
    </row>
    <row r="350" spans="1:8" x14ac:dyDescent="0.35">
      <c r="A350" s="7" t="s">
        <v>347</v>
      </c>
      <c r="B350" s="7" t="s">
        <v>26</v>
      </c>
      <c r="C350" s="7" t="s">
        <v>27</v>
      </c>
      <c r="D350" s="7" t="s">
        <v>28</v>
      </c>
      <c r="E350" s="7" t="s">
        <v>29</v>
      </c>
      <c r="F350" s="7" t="s">
        <v>61</v>
      </c>
      <c r="G350" s="7">
        <v>101.0886</v>
      </c>
      <c r="H350" s="7"/>
    </row>
    <row r="351" spans="1:8" x14ac:dyDescent="0.35">
      <c r="A351" s="7" t="s">
        <v>347</v>
      </c>
      <c r="B351" s="7" t="s">
        <v>26</v>
      </c>
      <c r="C351" s="7" t="s">
        <v>27</v>
      </c>
      <c r="D351" s="7" t="s">
        <v>28</v>
      </c>
      <c r="E351" s="7" t="s">
        <v>29</v>
      </c>
      <c r="F351" s="7" t="s">
        <v>62</v>
      </c>
      <c r="G351" s="7">
        <v>101.134</v>
      </c>
      <c r="H351" s="7"/>
    </row>
    <row r="352" spans="1:8" x14ac:dyDescent="0.35">
      <c r="A352" s="7" t="s">
        <v>347</v>
      </c>
      <c r="B352" s="7" t="s">
        <v>26</v>
      </c>
      <c r="C352" s="7" t="s">
        <v>27</v>
      </c>
      <c r="D352" s="7" t="s">
        <v>28</v>
      </c>
      <c r="E352" s="7" t="s">
        <v>29</v>
      </c>
      <c r="F352" s="7" t="s">
        <v>63</v>
      </c>
      <c r="G352" s="7">
        <v>101.1223</v>
      </c>
      <c r="H352" s="7"/>
    </row>
    <row r="353" spans="1:8" x14ac:dyDescent="0.35">
      <c r="A353" s="7" t="s">
        <v>347</v>
      </c>
      <c r="B353" s="7" t="s">
        <v>26</v>
      </c>
      <c r="C353" s="7" t="s">
        <v>27</v>
      </c>
      <c r="D353" s="7" t="s">
        <v>28</v>
      </c>
      <c r="E353" s="7" t="s">
        <v>29</v>
      </c>
      <c r="F353" s="7" t="s">
        <v>64</v>
      </c>
      <c r="G353" s="7">
        <v>101.0033</v>
      </c>
      <c r="H353" s="7"/>
    </row>
    <row r="354" spans="1:8" x14ac:dyDescent="0.35">
      <c r="A354" s="7" t="s">
        <v>347</v>
      </c>
      <c r="B354" s="7" t="s">
        <v>26</v>
      </c>
      <c r="C354" s="7" t="s">
        <v>27</v>
      </c>
      <c r="D354" s="7" t="s">
        <v>28</v>
      </c>
      <c r="E354" s="7" t="s">
        <v>29</v>
      </c>
      <c r="F354" s="7" t="s">
        <v>65</v>
      </c>
      <c r="G354" s="7">
        <v>100.8057</v>
      </c>
      <c r="H354" s="7"/>
    </row>
    <row r="355" spans="1:8" x14ac:dyDescent="0.35">
      <c r="A355" s="7" t="s">
        <v>347</v>
      </c>
      <c r="B355" s="7" t="s">
        <v>26</v>
      </c>
      <c r="C355" s="7" t="s">
        <v>27</v>
      </c>
      <c r="D355" s="7" t="s">
        <v>28</v>
      </c>
      <c r="E355" s="7" t="s">
        <v>29</v>
      </c>
      <c r="F355" s="7" t="s">
        <v>66</v>
      </c>
      <c r="G355" s="7">
        <v>100.5532</v>
      </c>
      <c r="H355" s="7"/>
    </row>
    <row r="356" spans="1:8" x14ac:dyDescent="0.35">
      <c r="A356" s="7" t="s">
        <v>347</v>
      </c>
      <c r="B356" s="7" t="s">
        <v>26</v>
      </c>
      <c r="C356" s="7" t="s">
        <v>27</v>
      </c>
      <c r="D356" s="7" t="s">
        <v>28</v>
      </c>
      <c r="E356" s="7" t="s">
        <v>29</v>
      </c>
      <c r="F356" s="7" t="s">
        <v>67</v>
      </c>
      <c r="G356" s="7">
        <v>100.2589</v>
      </c>
      <c r="H356" s="7"/>
    </row>
    <row r="357" spans="1:8" x14ac:dyDescent="0.35">
      <c r="A357" s="7" t="s">
        <v>347</v>
      </c>
      <c r="B357" s="7" t="s">
        <v>26</v>
      </c>
      <c r="C357" s="7" t="s">
        <v>27</v>
      </c>
      <c r="D357" s="7" t="s">
        <v>28</v>
      </c>
      <c r="E357" s="7" t="s">
        <v>29</v>
      </c>
      <c r="F357" s="7" t="s">
        <v>68</v>
      </c>
      <c r="G357" s="7">
        <v>99.975480000000005</v>
      </c>
      <c r="H357" s="7"/>
    </row>
    <row r="358" spans="1:8" x14ac:dyDescent="0.35">
      <c r="A358" s="7" t="s">
        <v>347</v>
      </c>
      <c r="B358" s="7" t="s">
        <v>26</v>
      </c>
      <c r="C358" s="7" t="s">
        <v>27</v>
      </c>
      <c r="D358" s="7" t="s">
        <v>28</v>
      </c>
      <c r="E358" s="7" t="s">
        <v>29</v>
      </c>
      <c r="F358" s="7" t="s">
        <v>69</v>
      </c>
      <c r="G358" s="7">
        <v>99.775139999999993</v>
      </c>
      <c r="H358" s="7"/>
    </row>
    <row r="359" spans="1:8" x14ac:dyDescent="0.35">
      <c r="A359" s="7" t="s">
        <v>347</v>
      </c>
      <c r="B359" s="7" t="s">
        <v>26</v>
      </c>
      <c r="C359" s="7" t="s">
        <v>27</v>
      </c>
      <c r="D359" s="7" t="s">
        <v>28</v>
      </c>
      <c r="E359" s="7" t="s">
        <v>29</v>
      </c>
      <c r="F359" s="7" t="s">
        <v>70</v>
      </c>
      <c r="G359" s="7">
        <v>99.719070000000002</v>
      </c>
      <c r="H359" s="7"/>
    </row>
    <row r="360" spans="1:8" x14ac:dyDescent="0.35">
      <c r="A360" s="7" t="s">
        <v>347</v>
      </c>
      <c r="B360" s="7" t="s">
        <v>26</v>
      </c>
      <c r="C360" s="7" t="s">
        <v>27</v>
      </c>
      <c r="D360" s="7" t="s">
        <v>28</v>
      </c>
      <c r="E360" s="7" t="s">
        <v>29</v>
      </c>
      <c r="F360" s="7" t="s">
        <v>71</v>
      </c>
      <c r="G360" s="7">
        <v>99.743639999999999</v>
      </c>
      <c r="H360" s="7"/>
    </row>
    <row r="361" spans="1:8" x14ac:dyDescent="0.35">
      <c r="A361" s="7" t="s">
        <v>347</v>
      </c>
      <c r="B361" s="7" t="s">
        <v>26</v>
      </c>
      <c r="C361" s="7" t="s">
        <v>27</v>
      </c>
      <c r="D361" s="7" t="s">
        <v>28</v>
      </c>
      <c r="E361" s="7" t="s">
        <v>29</v>
      </c>
      <c r="F361" s="7" t="s">
        <v>72</v>
      </c>
      <c r="G361" s="7">
        <v>99.776529999999994</v>
      </c>
      <c r="H361" s="7"/>
    </row>
    <row r="362" spans="1:8" x14ac:dyDescent="0.35">
      <c r="A362" s="7" t="s">
        <v>347</v>
      </c>
      <c r="B362" s="7" t="s">
        <v>26</v>
      </c>
      <c r="C362" s="7" t="s">
        <v>27</v>
      </c>
      <c r="D362" s="7" t="s">
        <v>28</v>
      </c>
      <c r="E362" s="7" t="s">
        <v>29</v>
      </c>
      <c r="F362" s="7" t="s">
        <v>73</v>
      </c>
      <c r="G362" s="7">
        <v>99.772059999999996</v>
      </c>
      <c r="H362" s="7"/>
    </row>
    <row r="363" spans="1:8" x14ac:dyDescent="0.35">
      <c r="A363" s="7" t="s">
        <v>347</v>
      </c>
      <c r="B363" s="7" t="s">
        <v>26</v>
      </c>
      <c r="C363" s="7" t="s">
        <v>27</v>
      </c>
      <c r="D363" s="7" t="s">
        <v>28</v>
      </c>
      <c r="E363" s="7" t="s">
        <v>29</v>
      </c>
      <c r="F363" s="7" t="s">
        <v>74</v>
      </c>
      <c r="G363" s="7">
        <v>99.738420000000005</v>
      </c>
      <c r="H363" s="7"/>
    </row>
    <row r="364" spans="1:8" x14ac:dyDescent="0.35">
      <c r="A364" s="7" t="s">
        <v>347</v>
      </c>
      <c r="B364" s="7" t="s">
        <v>26</v>
      </c>
      <c r="C364" s="7" t="s">
        <v>27</v>
      </c>
      <c r="D364" s="7" t="s">
        <v>28</v>
      </c>
      <c r="E364" s="7" t="s">
        <v>29</v>
      </c>
      <c r="F364" s="7" t="s">
        <v>75</v>
      </c>
      <c r="G364" s="7">
        <v>99.690119999999993</v>
      </c>
      <c r="H364" s="7"/>
    </row>
    <row r="365" spans="1:8" x14ac:dyDescent="0.35">
      <c r="A365" s="7" t="s">
        <v>347</v>
      </c>
      <c r="B365" s="7" t="s">
        <v>26</v>
      </c>
      <c r="C365" s="7" t="s">
        <v>27</v>
      </c>
      <c r="D365" s="7" t="s">
        <v>28</v>
      </c>
      <c r="E365" s="7" t="s">
        <v>29</v>
      </c>
      <c r="F365" s="7" t="s">
        <v>76</v>
      </c>
      <c r="G365" s="7">
        <v>99.629660000000001</v>
      </c>
      <c r="H365" s="7"/>
    </row>
    <row r="366" spans="1:8" x14ac:dyDescent="0.35">
      <c r="A366" s="7" t="s">
        <v>347</v>
      </c>
      <c r="B366" s="7" t="s">
        <v>26</v>
      </c>
      <c r="C366" s="7" t="s">
        <v>27</v>
      </c>
      <c r="D366" s="7" t="s">
        <v>28</v>
      </c>
      <c r="E366" s="7" t="s">
        <v>29</v>
      </c>
      <c r="F366" s="7" t="s">
        <v>77</v>
      </c>
      <c r="G366" s="7">
        <v>99.543959999999998</v>
      </c>
      <c r="H366" s="7"/>
    </row>
    <row r="367" spans="1:8" x14ac:dyDescent="0.35">
      <c r="A367" s="7" t="s">
        <v>347</v>
      </c>
      <c r="B367" s="7" t="s">
        <v>26</v>
      </c>
      <c r="C367" s="7" t="s">
        <v>27</v>
      </c>
      <c r="D367" s="7" t="s">
        <v>28</v>
      </c>
      <c r="E367" s="7" t="s">
        <v>29</v>
      </c>
      <c r="F367" s="7" t="s">
        <v>78</v>
      </c>
      <c r="G367" s="7">
        <v>99.398160000000004</v>
      </c>
      <c r="H367" s="7"/>
    </row>
    <row r="368" spans="1:8" x14ac:dyDescent="0.35">
      <c r="A368" s="7" t="s">
        <v>347</v>
      </c>
      <c r="B368" s="7" t="s">
        <v>26</v>
      </c>
      <c r="C368" s="7" t="s">
        <v>27</v>
      </c>
      <c r="D368" s="7" t="s">
        <v>28</v>
      </c>
      <c r="E368" s="7" t="s">
        <v>29</v>
      </c>
      <c r="F368" s="7" t="s">
        <v>79</v>
      </c>
      <c r="G368" s="7">
        <v>99.154910000000001</v>
      </c>
      <c r="H368" s="7"/>
    </row>
    <row r="369" spans="1:8" x14ac:dyDescent="0.35">
      <c r="A369" s="7" t="s">
        <v>347</v>
      </c>
      <c r="B369" s="7" t="s">
        <v>26</v>
      </c>
      <c r="C369" s="7" t="s">
        <v>27</v>
      </c>
      <c r="D369" s="7" t="s">
        <v>28</v>
      </c>
      <c r="E369" s="7" t="s">
        <v>29</v>
      </c>
      <c r="F369" s="7" t="s">
        <v>80</v>
      </c>
      <c r="G369" s="7">
        <v>98.8536</v>
      </c>
      <c r="H369" s="7"/>
    </row>
    <row r="370" spans="1:8" x14ac:dyDescent="0.35">
      <c r="A370" s="7" t="s">
        <v>347</v>
      </c>
      <c r="B370" s="7" t="s">
        <v>26</v>
      </c>
      <c r="C370" s="7" t="s">
        <v>27</v>
      </c>
      <c r="D370" s="7" t="s">
        <v>28</v>
      </c>
      <c r="E370" s="7" t="s">
        <v>29</v>
      </c>
      <c r="F370" s="7" t="s">
        <v>81</v>
      </c>
      <c r="G370" s="7">
        <v>98.53416</v>
      </c>
      <c r="H370" s="7"/>
    </row>
    <row r="371" spans="1:8" x14ac:dyDescent="0.35">
      <c r="A371" s="7" t="s">
        <v>347</v>
      </c>
      <c r="B371" s="7" t="s">
        <v>26</v>
      </c>
      <c r="C371" s="7" t="s">
        <v>27</v>
      </c>
      <c r="D371" s="7" t="s">
        <v>28</v>
      </c>
      <c r="E371" s="7" t="s">
        <v>29</v>
      </c>
      <c r="F371" s="7" t="s">
        <v>82</v>
      </c>
      <c r="G371" s="7">
        <v>98.21893</v>
      </c>
      <c r="H371" s="7"/>
    </row>
    <row r="372" spans="1:8" x14ac:dyDescent="0.35">
      <c r="A372" s="7" t="s">
        <v>347</v>
      </c>
      <c r="B372" s="7" t="s">
        <v>26</v>
      </c>
      <c r="C372" s="7" t="s">
        <v>27</v>
      </c>
      <c r="D372" s="7" t="s">
        <v>28</v>
      </c>
      <c r="E372" s="7" t="s">
        <v>29</v>
      </c>
      <c r="F372" s="7" t="s">
        <v>83</v>
      </c>
      <c r="G372" s="7">
        <v>97.912649999999999</v>
      </c>
      <c r="H372" s="7"/>
    </row>
    <row r="373" spans="1:8" x14ac:dyDescent="0.35">
      <c r="A373" s="7" t="s">
        <v>347</v>
      </c>
      <c r="B373" s="7" t="s">
        <v>26</v>
      </c>
      <c r="C373" s="7" t="s">
        <v>27</v>
      </c>
      <c r="D373" s="7" t="s">
        <v>28</v>
      </c>
      <c r="E373" s="7" t="s">
        <v>29</v>
      </c>
      <c r="F373" s="7" t="s">
        <v>84</v>
      </c>
      <c r="G373" s="7">
        <v>97.622129999999999</v>
      </c>
      <c r="H373" s="7"/>
    </row>
    <row r="374" spans="1:8" x14ac:dyDescent="0.35">
      <c r="A374" s="7" t="s">
        <v>347</v>
      </c>
      <c r="B374" s="7" t="s">
        <v>26</v>
      </c>
      <c r="C374" s="7" t="s">
        <v>27</v>
      </c>
      <c r="D374" s="7" t="s">
        <v>28</v>
      </c>
      <c r="E374" s="7" t="s">
        <v>29</v>
      </c>
      <c r="F374" s="7" t="s">
        <v>85</v>
      </c>
      <c r="G374" s="7">
        <v>97.366910000000004</v>
      </c>
      <c r="H374" s="7"/>
    </row>
    <row r="375" spans="1:8" x14ac:dyDescent="0.35">
      <c r="A375" s="7" t="s">
        <v>347</v>
      </c>
      <c r="B375" s="7" t="s">
        <v>26</v>
      </c>
      <c r="C375" s="7" t="s">
        <v>27</v>
      </c>
      <c r="D375" s="7" t="s">
        <v>28</v>
      </c>
      <c r="E375" s="7" t="s">
        <v>29</v>
      </c>
      <c r="F375" s="7" t="s">
        <v>86</v>
      </c>
      <c r="G375" s="7">
        <v>97.174250000000001</v>
      </c>
      <c r="H375" s="7"/>
    </row>
    <row r="376" spans="1:8" x14ac:dyDescent="0.35">
      <c r="A376" s="7" t="s">
        <v>347</v>
      </c>
      <c r="B376" s="7" t="s">
        <v>26</v>
      </c>
      <c r="C376" s="7" t="s">
        <v>27</v>
      </c>
      <c r="D376" s="7" t="s">
        <v>28</v>
      </c>
      <c r="E376" s="7" t="s">
        <v>29</v>
      </c>
      <c r="F376" s="7" t="s">
        <v>87</v>
      </c>
      <c r="G376" s="7">
        <v>97.110079999999996</v>
      </c>
      <c r="H376" s="7"/>
    </row>
    <row r="377" spans="1:8" x14ac:dyDescent="0.35">
      <c r="A377" s="7" t="s">
        <v>347</v>
      </c>
      <c r="B377" s="7" t="s">
        <v>26</v>
      </c>
      <c r="C377" s="7" t="s">
        <v>27</v>
      </c>
      <c r="D377" s="7" t="s">
        <v>28</v>
      </c>
      <c r="E377" s="7" t="s">
        <v>29</v>
      </c>
      <c r="F377" s="7" t="s">
        <v>88</v>
      </c>
      <c r="G377" s="7">
        <v>97.247510000000005</v>
      </c>
      <c r="H377" s="7"/>
    </row>
    <row r="378" spans="1:8" x14ac:dyDescent="0.35">
      <c r="A378" s="7" t="s">
        <v>347</v>
      </c>
      <c r="B378" s="7" t="s">
        <v>26</v>
      </c>
      <c r="C378" s="7" t="s">
        <v>27</v>
      </c>
      <c r="D378" s="7" t="s">
        <v>28</v>
      </c>
      <c r="E378" s="7" t="s">
        <v>29</v>
      </c>
      <c r="F378" s="7" t="s">
        <v>89</v>
      </c>
      <c r="G378" s="7">
        <v>97.506649999999993</v>
      </c>
      <c r="H378" s="7"/>
    </row>
    <row r="379" spans="1:8" x14ac:dyDescent="0.35">
      <c r="A379" s="7" t="s">
        <v>347</v>
      </c>
      <c r="B379" s="7" t="s">
        <v>26</v>
      </c>
      <c r="C379" s="7" t="s">
        <v>27</v>
      </c>
      <c r="D379" s="7" t="s">
        <v>28</v>
      </c>
      <c r="E379" s="7" t="s">
        <v>29</v>
      </c>
      <c r="F379" s="7" t="s">
        <v>90</v>
      </c>
      <c r="G379" s="7">
        <v>97.809889999999996</v>
      </c>
      <c r="H379" s="7"/>
    </row>
    <row r="380" spans="1:8" x14ac:dyDescent="0.35">
      <c r="A380" s="7" t="s">
        <v>347</v>
      </c>
      <c r="B380" s="7" t="s">
        <v>26</v>
      </c>
      <c r="C380" s="7" t="s">
        <v>27</v>
      </c>
      <c r="D380" s="7" t="s">
        <v>28</v>
      </c>
      <c r="E380" s="7" t="s">
        <v>29</v>
      </c>
      <c r="F380" s="7" t="s">
        <v>91</v>
      </c>
      <c r="G380" s="7">
        <v>98.115170000000006</v>
      </c>
      <c r="H380" s="7"/>
    </row>
    <row r="381" spans="1:8" x14ac:dyDescent="0.35">
      <c r="A381" s="7" t="s">
        <v>347</v>
      </c>
      <c r="B381" s="7" t="s">
        <v>26</v>
      </c>
      <c r="C381" s="7" t="s">
        <v>27</v>
      </c>
      <c r="D381" s="7" t="s">
        <v>28</v>
      </c>
      <c r="E381" s="7" t="s">
        <v>29</v>
      </c>
      <c r="F381" s="7" t="s">
        <v>92</v>
      </c>
      <c r="G381" s="7">
        <v>98.405330000000006</v>
      </c>
      <c r="H381" s="7"/>
    </row>
    <row r="382" spans="1:8" x14ac:dyDescent="0.35">
      <c r="A382" s="7" t="s">
        <v>347</v>
      </c>
      <c r="B382" s="7" t="s">
        <v>26</v>
      </c>
      <c r="C382" s="7" t="s">
        <v>27</v>
      </c>
      <c r="D382" s="7" t="s">
        <v>28</v>
      </c>
      <c r="E382" s="7" t="s">
        <v>29</v>
      </c>
      <c r="F382" s="7" t="s">
        <v>93</v>
      </c>
      <c r="G382" s="7">
        <v>98.67183</v>
      </c>
      <c r="H382" s="7"/>
    </row>
    <row r="383" spans="1:8" x14ac:dyDescent="0.35">
      <c r="A383" s="7" t="s">
        <v>347</v>
      </c>
      <c r="B383" s="7" t="s">
        <v>26</v>
      </c>
      <c r="C383" s="7" t="s">
        <v>27</v>
      </c>
      <c r="D383" s="7" t="s">
        <v>28</v>
      </c>
      <c r="E383" s="7" t="s">
        <v>29</v>
      </c>
      <c r="F383" s="7" t="s">
        <v>94</v>
      </c>
      <c r="G383" s="7">
        <v>98.913470000000004</v>
      </c>
      <c r="H383" s="7"/>
    </row>
    <row r="384" spans="1:8" x14ac:dyDescent="0.35">
      <c r="A384" s="7" t="s">
        <v>347</v>
      </c>
      <c r="B384" s="7" t="s">
        <v>26</v>
      </c>
      <c r="C384" s="7" t="s">
        <v>27</v>
      </c>
      <c r="D384" s="7" t="s">
        <v>28</v>
      </c>
      <c r="E384" s="7" t="s">
        <v>29</v>
      </c>
      <c r="F384" s="7" t="s">
        <v>95</v>
      </c>
      <c r="G384" s="7">
        <v>99.158879999999996</v>
      </c>
      <c r="H384" s="7"/>
    </row>
    <row r="385" spans="1:8" x14ac:dyDescent="0.35">
      <c r="A385" s="7" t="s">
        <v>347</v>
      </c>
      <c r="B385" s="7" t="s">
        <v>26</v>
      </c>
      <c r="C385" s="7" t="s">
        <v>27</v>
      </c>
      <c r="D385" s="7" t="s">
        <v>28</v>
      </c>
      <c r="E385" s="7" t="s">
        <v>29</v>
      </c>
      <c r="F385" s="7" t="s">
        <v>96</v>
      </c>
      <c r="G385" s="7">
        <v>99.447980000000001</v>
      </c>
      <c r="H385" s="7"/>
    </row>
    <row r="386" spans="1:8" x14ac:dyDescent="0.35">
      <c r="A386" s="7" t="s">
        <v>347</v>
      </c>
      <c r="B386" s="7" t="s">
        <v>26</v>
      </c>
      <c r="C386" s="7" t="s">
        <v>27</v>
      </c>
      <c r="D386" s="7" t="s">
        <v>28</v>
      </c>
      <c r="E386" s="7" t="s">
        <v>29</v>
      </c>
      <c r="F386" s="7" t="s">
        <v>97</v>
      </c>
      <c r="G386" s="7">
        <v>99.809619999999995</v>
      </c>
      <c r="H386" s="7"/>
    </row>
    <row r="387" spans="1:8" x14ac:dyDescent="0.35">
      <c r="A387" s="7" t="s">
        <v>347</v>
      </c>
      <c r="B387" s="7" t="s">
        <v>26</v>
      </c>
      <c r="C387" s="7" t="s">
        <v>27</v>
      </c>
      <c r="D387" s="7" t="s">
        <v>28</v>
      </c>
      <c r="E387" s="7" t="s">
        <v>29</v>
      </c>
      <c r="F387" s="7" t="s">
        <v>98</v>
      </c>
      <c r="G387" s="7">
        <v>100.1956</v>
      </c>
      <c r="H387" s="7"/>
    </row>
    <row r="388" spans="1:8" x14ac:dyDescent="0.35">
      <c r="A388" s="7" t="s">
        <v>347</v>
      </c>
      <c r="B388" s="7" t="s">
        <v>26</v>
      </c>
      <c r="C388" s="7" t="s">
        <v>27</v>
      </c>
      <c r="D388" s="7" t="s">
        <v>28</v>
      </c>
      <c r="E388" s="7" t="s">
        <v>29</v>
      </c>
      <c r="F388" s="7" t="s">
        <v>99</v>
      </c>
      <c r="G388" s="7">
        <v>100.53619999999999</v>
      </c>
      <c r="H388" s="7"/>
    </row>
    <row r="389" spans="1:8" x14ac:dyDescent="0.35">
      <c r="A389" s="7" t="s">
        <v>347</v>
      </c>
      <c r="B389" s="7" t="s">
        <v>26</v>
      </c>
      <c r="C389" s="7" t="s">
        <v>27</v>
      </c>
      <c r="D389" s="7" t="s">
        <v>28</v>
      </c>
      <c r="E389" s="7" t="s">
        <v>29</v>
      </c>
      <c r="F389" s="7" t="s">
        <v>100</v>
      </c>
      <c r="G389" s="7">
        <v>100.7709</v>
      </c>
      <c r="H389" s="7"/>
    </row>
    <row r="390" spans="1:8" x14ac:dyDescent="0.35">
      <c r="A390" s="7" t="s">
        <v>347</v>
      </c>
      <c r="B390" s="7" t="s">
        <v>26</v>
      </c>
      <c r="C390" s="7" t="s">
        <v>27</v>
      </c>
      <c r="D390" s="7" t="s">
        <v>28</v>
      </c>
      <c r="E390" s="7" t="s">
        <v>29</v>
      </c>
      <c r="F390" s="7" t="s">
        <v>101</v>
      </c>
      <c r="G390" s="7">
        <v>100.9254</v>
      </c>
      <c r="H390" s="7"/>
    </row>
    <row r="391" spans="1:8" x14ac:dyDescent="0.35">
      <c r="A391" s="7" t="s">
        <v>347</v>
      </c>
      <c r="B391" s="7" t="s">
        <v>26</v>
      </c>
      <c r="C391" s="7" t="s">
        <v>27</v>
      </c>
      <c r="D391" s="7" t="s">
        <v>28</v>
      </c>
      <c r="E391" s="7" t="s">
        <v>29</v>
      </c>
      <c r="F391" s="7" t="s">
        <v>102</v>
      </c>
      <c r="G391" s="7">
        <v>101.02030000000001</v>
      </c>
      <c r="H391" s="7"/>
    </row>
    <row r="392" spans="1:8" x14ac:dyDescent="0.35">
      <c r="A392" s="7" t="s">
        <v>347</v>
      </c>
      <c r="B392" s="7" t="s">
        <v>26</v>
      </c>
      <c r="C392" s="7" t="s">
        <v>27</v>
      </c>
      <c r="D392" s="7" t="s">
        <v>28</v>
      </c>
      <c r="E392" s="7" t="s">
        <v>29</v>
      </c>
      <c r="F392" s="7" t="s">
        <v>103</v>
      </c>
      <c r="G392" s="7">
        <v>101.06100000000001</v>
      </c>
      <c r="H392" s="7"/>
    </row>
    <row r="393" spans="1:8" x14ac:dyDescent="0.35">
      <c r="A393" s="7" t="s">
        <v>347</v>
      </c>
      <c r="B393" s="7" t="s">
        <v>26</v>
      </c>
      <c r="C393" s="7" t="s">
        <v>27</v>
      </c>
      <c r="D393" s="7" t="s">
        <v>28</v>
      </c>
      <c r="E393" s="7" t="s">
        <v>29</v>
      </c>
      <c r="F393" s="7" t="s">
        <v>104</v>
      </c>
      <c r="G393" s="7">
        <v>101.08629999999999</v>
      </c>
      <c r="H393" s="7"/>
    </row>
    <row r="394" spans="1:8" x14ac:dyDescent="0.35">
      <c r="A394" s="7" t="s">
        <v>347</v>
      </c>
      <c r="B394" s="7" t="s">
        <v>26</v>
      </c>
      <c r="C394" s="7" t="s">
        <v>27</v>
      </c>
      <c r="D394" s="7" t="s">
        <v>28</v>
      </c>
      <c r="E394" s="7" t="s">
        <v>29</v>
      </c>
      <c r="F394" s="7" t="s">
        <v>105</v>
      </c>
      <c r="G394" s="7">
        <v>101.1391</v>
      </c>
      <c r="H394" s="7"/>
    </row>
    <row r="395" spans="1:8" x14ac:dyDescent="0.35">
      <c r="A395" s="7" t="s">
        <v>347</v>
      </c>
      <c r="B395" s="7" t="s">
        <v>26</v>
      </c>
      <c r="C395" s="7" t="s">
        <v>27</v>
      </c>
      <c r="D395" s="7" t="s">
        <v>28</v>
      </c>
      <c r="E395" s="7" t="s">
        <v>29</v>
      </c>
      <c r="F395" s="7" t="s">
        <v>106</v>
      </c>
      <c r="G395" s="7">
        <v>101.2518</v>
      </c>
      <c r="H395" s="7"/>
    </row>
    <row r="396" spans="1:8" x14ac:dyDescent="0.35">
      <c r="A396" s="7" t="s">
        <v>347</v>
      </c>
      <c r="B396" s="7" t="s">
        <v>26</v>
      </c>
      <c r="C396" s="7" t="s">
        <v>27</v>
      </c>
      <c r="D396" s="7" t="s">
        <v>28</v>
      </c>
      <c r="E396" s="7" t="s">
        <v>29</v>
      </c>
      <c r="F396" s="7" t="s">
        <v>107</v>
      </c>
      <c r="G396" s="7">
        <v>101.40430000000001</v>
      </c>
      <c r="H396" s="7"/>
    </row>
    <row r="397" spans="1:8" x14ac:dyDescent="0.35">
      <c r="A397" s="7" t="s">
        <v>347</v>
      </c>
      <c r="B397" s="7" t="s">
        <v>26</v>
      </c>
      <c r="C397" s="7" t="s">
        <v>27</v>
      </c>
      <c r="D397" s="7" t="s">
        <v>28</v>
      </c>
      <c r="E397" s="7" t="s">
        <v>29</v>
      </c>
      <c r="F397" s="7" t="s">
        <v>108</v>
      </c>
      <c r="G397" s="7">
        <v>101.5706</v>
      </c>
      <c r="H397" s="7"/>
    </row>
    <row r="398" spans="1:8" x14ac:dyDescent="0.35">
      <c r="A398" s="7" t="s">
        <v>347</v>
      </c>
      <c r="B398" s="7" t="s">
        <v>26</v>
      </c>
      <c r="C398" s="7" t="s">
        <v>27</v>
      </c>
      <c r="D398" s="7" t="s">
        <v>28</v>
      </c>
      <c r="E398" s="7" t="s">
        <v>29</v>
      </c>
      <c r="F398" s="7" t="s">
        <v>109</v>
      </c>
      <c r="G398" s="7">
        <v>101.72490000000001</v>
      </c>
      <c r="H398" s="7"/>
    </row>
    <row r="399" spans="1:8" x14ac:dyDescent="0.35">
      <c r="A399" s="7" t="s">
        <v>347</v>
      </c>
      <c r="B399" s="7" t="s">
        <v>26</v>
      </c>
      <c r="C399" s="7" t="s">
        <v>27</v>
      </c>
      <c r="D399" s="7" t="s">
        <v>28</v>
      </c>
      <c r="E399" s="7" t="s">
        <v>29</v>
      </c>
      <c r="F399" s="7" t="s">
        <v>110</v>
      </c>
      <c r="G399" s="7">
        <v>101.8343</v>
      </c>
      <c r="H399" s="7"/>
    </row>
    <row r="400" spans="1:8" x14ac:dyDescent="0.35">
      <c r="A400" s="7" t="s">
        <v>347</v>
      </c>
      <c r="B400" s="7" t="s">
        <v>26</v>
      </c>
      <c r="C400" s="7" t="s">
        <v>27</v>
      </c>
      <c r="D400" s="7" t="s">
        <v>28</v>
      </c>
      <c r="E400" s="7" t="s">
        <v>29</v>
      </c>
      <c r="F400" s="7" t="s">
        <v>111</v>
      </c>
      <c r="G400" s="7">
        <v>101.8426</v>
      </c>
      <c r="H400" s="7"/>
    </row>
    <row r="401" spans="1:8" x14ac:dyDescent="0.35">
      <c r="A401" s="7" t="s">
        <v>347</v>
      </c>
      <c r="B401" s="7" t="s">
        <v>26</v>
      </c>
      <c r="C401" s="7" t="s">
        <v>27</v>
      </c>
      <c r="D401" s="7" t="s">
        <v>28</v>
      </c>
      <c r="E401" s="7" t="s">
        <v>29</v>
      </c>
      <c r="F401" s="7" t="s">
        <v>112</v>
      </c>
      <c r="G401" s="7">
        <v>101.69750000000001</v>
      </c>
      <c r="H401" s="7"/>
    </row>
    <row r="402" spans="1:8" x14ac:dyDescent="0.35">
      <c r="A402" s="7" t="s">
        <v>347</v>
      </c>
      <c r="B402" s="7" t="s">
        <v>26</v>
      </c>
      <c r="C402" s="7" t="s">
        <v>27</v>
      </c>
      <c r="D402" s="7" t="s">
        <v>28</v>
      </c>
      <c r="E402" s="7" t="s">
        <v>29</v>
      </c>
      <c r="F402" s="7" t="s">
        <v>113</v>
      </c>
      <c r="G402" s="7">
        <v>101.48090000000001</v>
      </c>
      <c r="H402" s="7"/>
    </row>
    <row r="403" spans="1:8" x14ac:dyDescent="0.35">
      <c r="A403" s="7" t="s">
        <v>347</v>
      </c>
      <c r="B403" s="7" t="s">
        <v>26</v>
      </c>
      <c r="C403" s="7" t="s">
        <v>27</v>
      </c>
      <c r="D403" s="7" t="s">
        <v>28</v>
      </c>
      <c r="E403" s="7" t="s">
        <v>29</v>
      </c>
      <c r="F403" s="7" t="s">
        <v>114</v>
      </c>
      <c r="G403" s="7">
        <v>101.28919999999999</v>
      </c>
      <c r="H403" s="7"/>
    </row>
    <row r="404" spans="1:8" x14ac:dyDescent="0.35">
      <c r="A404" s="7" t="s">
        <v>347</v>
      </c>
      <c r="B404" s="7" t="s">
        <v>26</v>
      </c>
      <c r="C404" s="7" t="s">
        <v>27</v>
      </c>
      <c r="D404" s="7" t="s">
        <v>28</v>
      </c>
      <c r="E404" s="7" t="s">
        <v>29</v>
      </c>
      <c r="F404" s="7" t="s">
        <v>115</v>
      </c>
      <c r="G404" s="7">
        <v>101.18640000000001</v>
      </c>
      <c r="H404" s="7"/>
    </row>
    <row r="405" spans="1:8" x14ac:dyDescent="0.35">
      <c r="A405" s="7" t="s">
        <v>347</v>
      </c>
      <c r="B405" s="7" t="s">
        <v>26</v>
      </c>
      <c r="C405" s="7" t="s">
        <v>27</v>
      </c>
      <c r="D405" s="7" t="s">
        <v>28</v>
      </c>
      <c r="E405" s="7" t="s">
        <v>29</v>
      </c>
      <c r="F405" s="7" t="s">
        <v>116</v>
      </c>
      <c r="G405" s="7">
        <v>101.1317</v>
      </c>
      <c r="H405" s="7"/>
    </row>
    <row r="406" spans="1:8" x14ac:dyDescent="0.35">
      <c r="A406" s="7" t="s">
        <v>347</v>
      </c>
      <c r="B406" s="7" t="s">
        <v>26</v>
      </c>
      <c r="C406" s="7" t="s">
        <v>27</v>
      </c>
      <c r="D406" s="7" t="s">
        <v>28</v>
      </c>
      <c r="E406" s="7" t="s">
        <v>29</v>
      </c>
      <c r="F406" s="7" t="s">
        <v>117</v>
      </c>
      <c r="G406" s="7">
        <v>101.06870000000001</v>
      </c>
      <c r="H406" s="7"/>
    </row>
    <row r="407" spans="1:8" x14ac:dyDescent="0.35">
      <c r="A407" s="7" t="s">
        <v>347</v>
      </c>
      <c r="B407" s="7" t="s">
        <v>26</v>
      </c>
      <c r="C407" s="7" t="s">
        <v>27</v>
      </c>
      <c r="D407" s="7" t="s">
        <v>28</v>
      </c>
      <c r="E407" s="7" t="s">
        <v>29</v>
      </c>
      <c r="F407" s="7" t="s">
        <v>118</v>
      </c>
      <c r="G407" s="7">
        <v>100.9667</v>
      </c>
      <c r="H407" s="7"/>
    </row>
    <row r="408" spans="1:8" x14ac:dyDescent="0.35">
      <c r="A408" s="7" t="s">
        <v>347</v>
      </c>
      <c r="B408" s="7" t="s">
        <v>26</v>
      </c>
      <c r="C408" s="7" t="s">
        <v>27</v>
      </c>
      <c r="D408" s="7" t="s">
        <v>28</v>
      </c>
      <c r="E408" s="7" t="s">
        <v>29</v>
      </c>
      <c r="F408" s="7" t="s">
        <v>119</v>
      </c>
      <c r="G408" s="7">
        <v>100.8703</v>
      </c>
      <c r="H408" s="7"/>
    </row>
    <row r="409" spans="1:8" x14ac:dyDescent="0.35">
      <c r="A409" s="7" t="s">
        <v>347</v>
      </c>
      <c r="B409" s="7" t="s">
        <v>26</v>
      </c>
      <c r="C409" s="7" t="s">
        <v>27</v>
      </c>
      <c r="D409" s="7" t="s">
        <v>28</v>
      </c>
      <c r="E409" s="7" t="s">
        <v>29</v>
      </c>
      <c r="F409" s="7" t="s">
        <v>120</v>
      </c>
      <c r="G409" s="7">
        <v>100.86279999999999</v>
      </c>
      <c r="H409" s="7"/>
    </row>
    <row r="410" spans="1:8" x14ac:dyDescent="0.35">
      <c r="A410" s="7" t="s">
        <v>347</v>
      </c>
      <c r="B410" s="7" t="s">
        <v>26</v>
      </c>
      <c r="C410" s="7" t="s">
        <v>27</v>
      </c>
      <c r="D410" s="7" t="s">
        <v>28</v>
      </c>
      <c r="E410" s="7" t="s">
        <v>29</v>
      </c>
      <c r="F410" s="7" t="s">
        <v>121</v>
      </c>
      <c r="G410" s="7">
        <v>101.0239</v>
      </c>
      <c r="H410" s="7"/>
    </row>
    <row r="411" spans="1:8" x14ac:dyDescent="0.35">
      <c r="A411" s="7" t="s">
        <v>347</v>
      </c>
      <c r="B411" s="7" t="s">
        <v>26</v>
      </c>
      <c r="C411" s="7" t="s">
        <v>27</v>
      </c>
      <c r="D411" s="7" t="s">
        <v>28</v>
      </c>
      <c r="E411" s="7" t="s">
        <v>29</v>
      </c>
      <c r="F411" s="7" t="s">
        <v>122</v>
      </c>
      <c r="G411" s="7">
        <v>101.2984</v>
      </c>
      <c r="H411" s="7"/>
    </row>
    <row r="412" spans="1:8" x14ac:dyDescent="0.35">
      <c r="A412" s="7" t="s">
        <v>347</v>
      </c>
      <c r="B412" s="7" t="s">
        <v>26</v>
      </c>
      <c r="C412" s="7" t="s">
        <v>27</v>
      </c>
      <c r="D412" s="7" t="s">
        <v>28</v>
      </c>
      <c r="E412" s="7" t="s">
        <v>29</v>
      </c>
      <c r="F412" s="7" t="s">
        <v>123</v>
      </c>
      <c r="G412" s="7">
        <v>101.6327</v>
      </c>
      <c r="H412" s="7"/>
    </row>
    <row r="413" spans="1:8" x14ac:dyDescent="0.35">
      <c r="A413" s="7" t="s">
        <v>347</v>
      </c>
      <c r="B413" s="7" t="s">
        <v>26</v>
      </c>
      <c r="C413" s="7" t="s">
        <v>27</v>
      </c>
      <c r="D413" s="7" t="s">
        <v>28</v>
      </c>
      <c r="E413" s="7" t="s">
        <v>29</v>
      </c>
      <c r="F413" s="7" t="s">
        <v>124</v>
      </c>
      <c r="G413" s="7">
        <v>101.9975</v>
      </c>
      <c r="H413" s="7"/>
    </row>
    <row r="414" spans="1:8" x14ac:dyDescent="0.35">
      <c r="A414" s="7" t="s">
        <v>347</v>
      </c>
      <c r="B414" s="7" t="s">
        <v>26</v>
      </c>
      <c r="C414" s="7" t="s">
        <v>27</v>
      </c>
      <c r="D414" s="7" t="s">
        <v>28</v>
      </c>
      <c r="E414" s="7" t="s">
        <v>29</v>
      </c>
      <c r="F414" s="7" t="s">
        <v>125</v>
      </c>
      <c r="G414" s="7">
        <v>102.3506</v>
      </c>
      <c r="H414" s="7"/>
    </row>
    <row r="415" spans="1:8" x14ac:dyDescent="0.35">
      <c r="A415" s="7" t="s">
        <v>347</v>
      </c>
      <c r="B415" s="7" t="s">
        <v>26</v>
      </c>
      <c r="C415" s="7" t="s">
        <v>27</v>
      </c>
      <c r="D415" s="7" t="s">
        <v>28</v>
      </c>
      <c r="E415" s="7" t="s">
        <v>29</v>
      </c>
      <c r="F415" s="7" t="s">
        <v>126</v>
      </c>
      <c r="G415" s="7">
        <v>102.6404</v>
      </c>
      <c r="H415" s="7"/>
    </row>
    <row r="416" spans="1:8" x14ac:dyDescent="0.35">
      <c r="A416" s="7" t="s">
        <v>347</v>
      </c>
      <c r="B416" s="7" t="s">
        <v>26</v>
      </c>
      <c r="C416" s="7" t="s">
        <v>27</v>
      </c>
      <c r="D416" s="7" t="s">
        <v>28</v>
      </c>
      <c r="E416" s="7" t="s">
        <v>29</v>
      </c>
      <c r="F416" s="7" t="s">
        <v>127</v>
      </c>
      <c r="G416" s="7">
        <v>102.8198</v>
      </c>
      <c r="H416" s="7"/>
    </row>
    <row r="417" spans="1:8" x14ac:dyDescent="0.35">
      <c r="A417" s="7" t="s">
        <v>347</v>
      </c>
      <c r="B417" s="7" t="s">
        <v>26</v>
      </c>
      <c r="C417" s="7" t="s">
        <v>27</v>
      </c>
      <c r="D417" s="7" t="s">
        <v>28</v>
      </c>
      <c r="E417" s="7" t="s">
        <v>29</v>
      </c>
      <c r="F417" s="7" t="s">
        <v>128</v>
      </c>
      <c r="G417" s="7">
        <v>102.9241</v>
      </c>
      <c r="H417" s="7"/>
    </row>
    <row r="418" spans="1:8" x14ac:dyDescent="0.35">
      <c r="A418" s="7" t="s">
        <v>347</v>
      </c>
      <c r="B418" s="7" t="s">
        <v>26</v>
      </c>
      <c r="C418" s="7" t="s">
        <v>27</v>
      </c>
      <c r="D418" s="7" t="s">
        <v>28</v>
      </c>
      <c r="E418" s="7" t="s">
        <v>29</v>
      </c>
      <c r="F418" s="7" t="s">
        <v>129</v>
      </c>
      <c r="G418" s="7">
        <v>102.9829</v>
      </c>
      <c r="H418" s="7"/>
    </row>
    <row r="419" spans="1:8" x14ac:dyDescent="0.35">
      <c r="A419" s="7" t="s">
        <v>347</v>
      </c>
      <c r="B419" s="7" t="s">
        <v>26</v>
      </c>
      <c r="C419" s="7" t="s">
        <v>27</v>
      </c>
      <c r="D419" s="7" t="s">
        <v>28</v>
      </c>
      <c r="E419" s="7" t="s">
        <v>29</v>
      </c>
      <c r="F419" s="7" t="s">
        <v>130</v>
      </c>
      <c r="G419" s="7">
        <v>103.00579999999999</v>
      </c>
      <c r="H419" s="7"/>
    </row>
    <row r="420" spans="1:8" x14ac:dyDescent="0.35">
      <c r="A420" s="7" t="s">
        <v>347</v>
      </c>
      <c r="B420" s="7" t="s">
        <v>26</v>
      </c>
      <c r="C420" s="7" t="s">
        <v>27</v>
      </c>
      <c r="D420" s="7" t="s">
        <v>28</v>
      </c>
      <c r="E420" s="7" t="s">
        <v>29</v>
      </c>
      <c r="F420" s="7" t="s">
        <v>131</v>
      </c>
      <c r="G420" s="7">
        <v>103.0151</v>
      </c>
      <c r="H420" s="7"/>
    </row>
    <row r="421" spans="1:8" x14ac:dyDescent="0.35">
      <c r="A421" s="7" t="s">
        <v>347</v>
      </c>
      <c r="B421" s="7" t="s">
        <v>26</v>
      </c>
      <c r="C421" s="7" t="s">
        <v>27</v>
      </c>
      <c r="D421" s="7" t="s">
        <v>28</v>
      </c>
      <c r="E421" s="7" t="s">
        <v>29</v>
      </c>
      <c r="F421" s="7" t="s">
        <v>132</v>
      </c>
      <c r="G421" s="7">
        <v>103.02800000000001</v>
      </c>
      <c r="H421" s="7"/>
    </row>
    <row r="422" spans="1:8" x14ac:dyDescent="0.35">
      <c r="A422" s="7" t="s">
        <v>347</v>
      </c>
      <c r="B422" s="7" t="s">
        <v>26</v>
      </c>
      <c r="C422" s="7" t="s">
        <v>27</v>
      </c>
      <c r="D422" s="7" t="s">
        <v>28</v>
      </c>
      <c r="E422" s="7" t="s">
        <v>29</v>
      </c>
      <c r="F422" s="7" t="s">
        <v>133</v>
      </c>
      <c r="G422" s="7">
        <v>103.0531</v>
      </c>
      <c r="H422" s="7"/>
    </row>
    <row r="423" spans="1:8" x14ac:dyDescent="0.35">
      <c r="A423" s="7" t="s">
        <v>347</v>
      </c>
      <c r="B423" s="7" t="s">
        <v>26</v>
      </c>
      <c r="C423" s="7" t="s">
        <v>27</v>
      </c>
      <c r="D423" s="7" t="s">
        <v>28</v>
      </c>
      <c r="E423" s="7" t="s">
        <v>29</v>
      </c>
      <c r="F423" s="7" t="s">
        <v>134</v>
      </c>
      <c r="G423" s="7">
        <v>103.08280000000001</v>
      </c>
      <c r="H423" s="7"/>
    </row>
    <row r="424" spans="1:8" x14ac:dyDescent="0.35">
      <c r="A424" s="7" t="s">
        <v>347</v>
      </c>
      <c r="B424" s="7" t="s">
        <v>26</v>
      </c>
      <c r="C424" s="7" t="s">
        <v>27</v>
      </c>
      <c r="D424" s="7" t="s">
        <v>28</v>
      </c>
      <c r="E424" s="7" t="s">
        <v>29</v>
      </c>
      <c r="F424" s="7" t="s">
        <v>135</v>
      </c>
      <c r="G424" s="7">
        <v>103.1037</v>
      </c>
      <c r="H424" s="7"/>
    </row>
    <row r="425" spans="1:8" x14ac:dyDescent="0.35">
      <c r="A425" s="7" t="s">
        <v>347</v>
      </c>
      <c r="B425" s="7" t="s">
        <v>26</v>
      </c>
      <c r="C425" s="7" t="s">
        <v>27</v>
      </c>
      <c r="D425" s="7" t="s">
        <v>28</v>
      </c>
      <c r="E425" s="7" t="s">
        <v>29</v>
      </c>
      <c r="F425" s="7" t="s">
        <v>136</v>
      </c>
      <c r="G425" s="7">
        <v>103.1011</v>
      </c>
      <c r="H425" s="7"/>
    </row>
    <row r="426" spans="1:8" x14ac:dyDescent="0.35">
      <c r="A426" s="7" t="s">
        <v>347</v>
      </c>
      <c r="B426" s="7" t="s">
        <v>26</v>
      </c>
      <c r="C426" s="7" t="s">
        <v>27</v>
      </c>
      <c r="D426" s="7" t="s">
        <v>28</v>
      </c>
      <c r="E426" s="7" t="s">
        <v>29</v>
      </c>
      <c r="F426" s="7" t="s">
        <v>137</v>
      </c>
      <c r="G426" s="7">
        <v>103.07380000000001</v>
      </c>
      <c r="H426" s="7"/>
    </row>
    <row r="427" spans="1:8" x14ac:dyDescent="0.35">
      <c r="A427" s="7" t="s">
        <v>347</v>
      </c>
      <c r="B427" s="7" t="s">
        <v>26</v>
      </c>
      <c r="C427" s="7" t="s">
        <v>27</v>
      </c>
      <c r="D427" s="7" t="s">
        <v>28</v>
      </c>
      <c r="E427" s="7" t="s">
        <v>29</v>
      </c>
      <c r="F427" s="7" t="s">
        <v>138</v>
      </c>
      <c r="G427" s="7">
        <v>103.01090000000001</v>
      </c>
      <c r="H427" s="7"/>
    </row>
    <row r="428" spans="1:8" x14ac:dyDescent="0.35">
      <c r="A428" s="7" t="s">
        <v>347</v>
      </c>
      <c r="B428" s="7" t="s">
        <v>26</v>
      </c>
      <c r="C428" s="7" t="s">
        <v>27</v>
      </c>
      <c r="D428" s="7" t="s">
        <v>28</v>
      </c>
      <c r="E428" s="7" t="s">
        <v>29</v>
      </c>
      <c r="F428" s="7" t="s">
        <v>139</v>
      </c>
      <c r="G428" s="7">
        <v>102.8942</v>
      </c>
      <c r="H428" s="7"/>
    </row>
    <row r="429" spans="1:8" x14ac:dyDescent="0.35">
      <c r="A429" s="7" t="s">
        <v>347</v>
      </c>
      <c r="B429" s="7" t="s">
        <v>26</v>
      </c>
      <c r="C429" s="7" t="s">
        <v>27</v>
      </c>
      <c r="D429" s="7" t="s">
        <v>28</v>
      </c>
      <c r="E429" s="7" t="s">
        <v>29</v>
      </c>
      <c r="F429" s="7" t="s">
        <v>140</v>
      </c>
      <c r="G429" s="7">
        <v>102.736</v>
      </c>
      <c r="H429" s="7"/>
    </row>
    <row r="430" spans="1:8" x14ac:dyDescent="0.35">
      <c r="A430" s="7" t="s">
        <v>347</v>
      </c>
      <c r="B430" s="7" t="s">
        <v>26</v>
      </c>
      <c r="C430" s="7" t="s">
        <v>27</v>
      </c>
      <c r="D430" s="7" t="s">
        <v>28</v>
      </c>
      <c r="E430" s="7" t="s">
        <v>29</v>
      </c>
      <c r="F430" s="7" t="s">
        <v>141</v>
      </c>
      <c r="G430" s="7">
        <v>102.54049999999999</v>
      </c>
      <c r="H430" s="7"/>
    </row>
    <row r="431" spans="1:8" x14ac:dyDescent="0.35">
      <c r="A431" s="7" t="s">
        <v>347</v>
      </c>
      <c r="B431" s="7" t="s">
        <v>26</v>
      </c>
      <c r="C431" s="7" t="s">
        <v>27</v>
      </c>
      <c r="D431" s="7" t="s">
        <v>28</v>
      </c>
      <c r="E431" s="7" t="s">
        <v>29</v>
      </c>
      <c r="F431" s="7" t="s">
        <v>142</v>
      </c>
      <c r="G431" s="7">
        <v>102.3082</v>
      </c>
      <c r="H431" s="7"/>
    </row>
    <row r="432" spans="1:8" x14ac:dyDescent="0.35">
      <c r="A432" s="7" t="s">
        <v>347</v>
      </c>
      <c r="B432" s="7" t="s">
        <v>26</v>
      </c>
      <c r="C432" s="7" t="s">
        <v>27</v>
      </c>
      <c r="D432" s="7" t="s">
        <v>28</v>
      </c>
      <c r="E432" s="7" t="s">
        <v>29</v>
      </c>
      <c r="F432" s="7" t="s">
        <v>143</v>
      </c>
      <c r="G432" s="7">
        <v>102.07640000000001</v>
      </c>
      <c r="H432" s="7"/>
    </row>
    <row r="433" spans="1:8" x14ac:dyDescent="0.35">
      <c r="A433" s="7" t="s">
        <v>347</v>
      </c>
      <c r="B433" s="7" t="s">
        <v>26</v>
      </c>
      <c r="C433" s="7" t="s">
        <v>27</v>
      </c>
      <c r="D433" s="7" t="s">
        <v>28</v>
      </c>
      <c r="E433" s="7" t="s">
        <v>29</v>
      </c>
      <c r="F433" s="7" t="s">
        <v>144</v>
      </c>
      <c r="G433" s="7">
        <v>101.88290000000001</v>
      </c>
      <c r="H433" s="7"/>
    </row>
    <row r="434" spans="1:8" x14ac:dyDescent="0.35">
      <c r="A434" s="7" t="s">
        <v>347</v>
      </c>
      <c r="B434" s="7" t="s">
        <v>26</v>
      </c>
      <c r="C434" s="7" t="s">
        <v>27</v>
      </c>
      <c r="D434" s="7" t="s">
        <v>28</v>
      </c>
      <c r="E434" s="7" t="s">
        <v>29</v>
      </c>
      <c r="F434" s="7" t="s">
        <v>145</v>
      </c>
      <c r="G434" s="7">
        <v>101.7287</v>
      </c>
      <c r="H434" s="7"/>
    </row>
    <row r="435" spans="1:8" x14ac:dyDescent="0.35">
      <c r="A435" s="7" t="s">
        <v>347</v>
      </c>
      <c r="B435" s="7" t="s">
        <v>26</v>
      </c>
      <c r="C435" s="7" t="s">
        <v>27</v>
      </c>
      <c r="D435" s="7" t="s">
        <v>28</v>
      </c>
      <c r="E435" s="7" t="s">
        <v>29</v>
      </c>
      <c r="F435" s="7" t="s">
        <v>146</v>
      </c>
      <c r="G435" s="7">
        <v>101.50320000000001</v>
      </c>
      <c r="H435" s="7"/>
    </row>
    <row r="436" spans="1:8" x14ac:dyDescent="0.35">
      <c r="A436" s="7" t="s">
        <v>347</v>
      </c>
      <c r="B436" s="7" t="s">
        <v>26</v>
      </c>
      <c r="C436" s="7" t="s">
        <v>27</v>
      </c>
      <c r="D436" s="7" t="s">
        <v>28</v>
      </c>
      <c r="E436" s="7" t="s">
        <v>29</v>
      </c>
      <c r="F436" s="7" t="s">
        <v>147</v>
      </c>
      <c r="G436" s="7">
        <v>101.0321</v>
      </c>
      <c r="H436" s="7"/>
    </row>
    <row r="437" spans="1:8" x14ac:dyDescent="0.35">
      <c r="A437" s="7" t="s">
        <v>347</v>
      </c>
      <c r="B437" s="7" t="s">
        <v>26</v>
      </c>
      <c r="C437" s="7" t="s">
        <v>27</v>
      </c>
      <c r="D437" s="7" t="s">
        <v>28</v>
      </c>
      <c r="E437" s="7" t="s">
        <v>29</v>
      </c>
      <c r="F437" s="7" t="s">
        <v>148</v>
      </c>
      <c r="G437" s="7">
        <v>100.1973</v>
      </c>
      <c r="H437" s="7"/>
    </row>
    <row r="438" spans="1:8" x14ac:dyDescent="0.35">
      <c r="A438" s="7" t="s">
        <v>347</v>
      </c>
      <c r="B438" s="7" t="s">
        <v>26</v>
      </c>
      <c r="C438" s="7" t="s">
        <v>27</v>
      </c>
      <c r="D438" s="7" t="s">
        <v>28</v>
      </c>
      <c r="E438" s="7" t="s">
        <v>29</v>
      </c>
      <c r="F438" s="7" t="s">
        <v>149</v>
      </c>
      <c r="G438" s="7">
        <v>99.302059999999997</v>
      </c>
      <c r="H438" s="7"/>
    </row>
    <row r="439" spans="1:8" x14ac:dyDescent="0.35">
      <c r="A439" s="7" t="s">
        <v>347</v>
      </c>
      <c r="B439" s="7" t="s">
        <v>26</v>
      </c>
      <c r="C439" s="7" t="s">
        <v>27</v>
      </c>
      <c r="D439" s="7" t="s">
        <v>28</v>
      </c>
      <c r="E439" s="7" t="s">
        <v>29</v>
      </c>
      <c r="F439" s="7" t="s">
        <v>150</v>
      </c>
      <c r="G439" s="7">
        <v>98.788150000000002</v>
      </c>
      <c r="H439" s="7"/>
    </row>
    <row r="440" spans="1:8" x14ac:dyDescent="0.35">
      <c r="A440" s="7" t="s">
        <v>347</v>
      </c>
      <c r="B440" s="7" t="s">
        <v>26</v>
      </c>
      <c r="C440" s="7" t="s">
        <v>27</v>
      </c>
      <c r="D440" s="7" t="s">
        <v>28</v>
      </c>
      <c r="E440" s="7" t="s">
        <v>29</v>
      </c>
      <c r="F440" s="7" t="s">
        <v>151</v>
      </c>
      <c r="G440" s="7">
        <v>99.013419999999996</v>
      </c>
      <c r="H440" s="7"/>
    </row>
    <row r="441" spans="1:8" x14ac:dyDescent="0.35">
      <c r="A441" s="7" t="s">
        <v>347</v>
      </c>
      <c r="B441" s="7" t="s">
        <v>26</v>
      </c>
      <c r="C441" s="7" t="s">
        <v>27</v>
      </c>
      <c r="D441" s="7" t="s">
        <v>28</v>
      </c>
      <c r="E441" s="7" t="s">
        <v>29</v>
      </c>
      <c r="F441" s="7" t="s">
        <v>152</v>
      </c>
      <c r="G441" s="7">
        <v>99.648009999999999</v>
      </c>
      <c r="H441" s="7"/>
    </row>
    <row r="442" spans="1:8" x14ac:dyDescent="0.35">
      <c r="A442" s="7" t="s">
        <v>347</v>
      </c>
      <c r="B442" s="7" t="s">
        <v>26</v>
      </c>
      <c r="C442" s="7" t="s">
        <v>27</v>
      </c>
      <c r="D442" s="7" t="s">
        <v>28</v>
      </c>
      <c r="E442" s="7" t="s">
        <v>29</v>
      </c>
      <c r="F442" s="7" t="s">
        <v>153</v>
      </c>
      <c r="G442" s="7">
        <v>100.28619999999999</v>
      </c>
      <c r="H442" s="7"/>
    </row>
    <row r="443" spans="1:8" x14ac:dyDescent="0.35">
      <c r="A443" s="7" t="s">
        <v>347</v>
      </c>
      <c r="B443" s="7" t="s">
        <v>26</v>
      </c>
      <c r="C443" s="7" t="s">
        <v>27</v>
      </c>
      <c r="D443" s="7" t="s">
        <v>28</v>
      </c>
      <c r="E443" s="7" t="s">
        <v>29</v>
      </c>
      <c r="F443" s="7" t="s">
        <v>154</v>
      </c>
      <c r="G443" s="7">
        <v>100.6489</v>
      </c>
      <c r="H443" s="7"/>
    </row>
    <row r="444" spans="1:8" x14ac:dyDescent="0.35">
      <c r="A444" s="7" t="s">
        <v>347</v>
      </c>
      <c r="B444" s="7" t="s">
        <v>26</v>
      </c>
      <c r="C444" s="7" t="s">
        <v>27</v>
      </c>
      <c r="D444" s="7" t="s">
        <v>28</v>
      </c>
      <c r="E444" s="7" t="s">
        <v>29</v>
      </c>
      <c r="F444" s="7" t="s">
        <v>155</v>
      </c>
      <c r="G444" s="7">
        <v>100.7829</v>
      </c>
      <c r="H444" s="7"/>
    </row>
    <row r="445" spans="1:8" x14ac:dyDescent="0.35">
      <c r="A445" s="7" t="s">
        <v>347</v>
      </c>
      <c r="B445" s="7" t="s">
        <v>26</v>
      </c>
      <c r="C445" s="7" t="s">
        <v>27</v>
      </c>
      <c r="D445" s="7" t="s">
        <v>28</v>
      </c>
      <c r="E445" s="7" t="s">
        <v>29</v>
      </c>
      <c r="F445" s="7" t="s">
        <v>156</v>
      </c>
      <c r="G445" s="7">
        <v>100.7602</v>
      </c>
      <c r="H445" s="7"/>
    </row>
    <row r="446" spans="1:8" x14ac:dyDescent="0.35">
      <c r="A446" s="7" t="s">
        <v>347</v>
      </c>
      <c r="B446" s="7" t="s">
        <v>26</v>
      </c>
      <c r="C446" s="7" t="s">
        <v>27</v>
      </c>
      <c r="D446" s="7" t="s">
        <v>28</v>
      </c>
      <c r="E446" s="7" t="s">
        <v>29</v>
      </c>
      <c r="F446" s="7" t="s">
        <v>157</v>
      </c>
      <c r="G446" s="7">
        <v>100.6075</v>
      </c>
      <c r="H446" s="7"/>
    </row>
    <row r="447" spans="1:8" x14ac:dyDescent="0.35">
      <c r="A447" s="7" t="s">
        <v>347</v>
      </c>
      <c r="B447" s="7" t="s">
        <v>26</v>
      </c>
      <c r="C447" s="7" t="s">
        <v>27</v>
      </c>
      <c r="D447" s="7" t="s">
        <v>28</v>
      </c>
      <c r="E447" s="7" t="s">
        <v>29</v>
      </c>
      <c r="F447" s="7" t="s">
        <v>158</v>
      </c>
      <c r="G447" s="7">
        <v>100.39109999999999</v>
      </c>
      <c r="H447" s="7"/>
    </row>
    <row r="448" spans="1:8" x14ac:dyDescent="0.35">
      <c r="A448" s="7" t="s">
        <v>347</v>
      </c>
      <c r="B448" s="7" t="s">
        <v>26</v>
      </c>
      <c r="C448" s="7" t="s">
        <v>27</v>
      </c>
      <c r="D448" s="7" t="s">
        <v>28</v>
      </c>
      <c r="E448" s="7" t="s">
        <v>29</v>
      </c>
      <c r="F448" s="7" t="s">
        <v>159</v>
      </c>
      <c r="G448" s="7">
        <v>100.15389999999999</v>
      </c>
      <c r="H448" s="7"/>
    </row>
    <row r="449" spans="1:8" x14ac:dyDescent="0.35">
      <c r="A449" s="7" t="s">
        <v>347</v>
      </c>
      <c r="B449" s="7" t="s">
        <v>26</v>
      </c>
      <c r="C449" s="7" t="s">
        <v>27</v>
      </c>
      <c r="D449" s="7" t="s">
        <v>28</v>
      </c>
      <c r="E449" s="7" t="s">
        <v>29</v>
      </c>
      <c r="F449" s="7" t="s">
        <v>160</v>
      </c>
      <c r="G449" s="7">
        <v>99.915539999999993</v>
      </c>
      <c r="H449" s="7"/>
    </row>
    <row r="450" spans="1:8" x14ac:dyDescent="0.35">
      <c r="A450" s="7" t="s">
        <v>347</v>
      </c>
      <c r="B450" s="7" t="s">
        <v>26</v>
      </c>
      <c r="C450" s="7" t="s">
        <v>27</v>
      </c>
      <c r="D450" s="7" t="s">
        <v>28</v>
      </c>
      <c r="E450" s="7" t="s">
        <v>29</v>
      </c>
      <c r="F450" s="7" t="s">
        <v>161</v>
      </c>
      <c r="G450" s="7">
        <v>99.693550000000002</v>
      </c>
      <c r="H450" s="7"/>
    </row>
    <row r="451" spans="1:8" x14ac:dyDescent="0.35">
      <c r="A451" s="7" t="s">
        <v>347</v>
      </c>
      <c r="B451" s="7" t="s">
        <v>26</v>
      </c>
      <c r="C451" s="7" t="s">
        <v>27</v>
      </c>
      <c r="D451" s="7" t="s">
        <v>28</v>
      </c>
      <c r="E451" s="7" t="s">
        <v>29</v>
      </c>
      <c r="F451" s="7" t="s">
        <v>162</v>
      </c>
      <c r="G451" s="7">
        <v>99.510990000000007</v>
      </c>
      <c r="H451" s="7"/>
    </row>
    <row r="452" spans="1:8" x14ac:dyDescent="0.35">
      <c r="A452" s="7" t="s">
        <v>347</v>
      </c>
      <c r="B452" s="7" t="s">
        <v>26</v>
      </c>
      <c r="C452" s="7" t="s">
        <v>27</v>
      </c>
      <c r="D452" s="7" t="s">
        <v>28</v>
      </c>
      <c r="E452" s="7" t="s">
        <v>29</v>
      </c>
      <c r="F452" s="7" t="s">
        <v>163</v>
      </c>
      <c r="G452" s="7">
        <v>99.387450000000001</v>
      </c>
      <c r="H452" s="7"/>
    </row>
    <row r="453" spans="1:8" x14ac:dyDescent="0.35">
      <c r="A453" s="7" t="s">
        <v>347</v>
      </c>
      <c r="B453" s="7" t="s">
        <v>26</v>
      </c>
      <c r="C453" s="7" t="s">
        <v>27</v>
      </c>
      <c r="D453" s="7" t="s">
        <v>28</v>
      </c>
      <c r="E453" s="7" t="s">
        <v>29</v>
      </c>
      <c r="F453" s="7" t="s">
        <v>164</v>
      </c>
      <c r="G453" s="7">
        <v>99.290700000000001</v>
      </c>
      <c r="H453" s="7"/>
    </row>
    <row r="454" spans="1:8" x14ac:dyDescent="0.35">
      <c r="A454" s="7" t="s">
        <v>347</v>
      </c>
      <c r="B454" s="7" t="s">
        <v>26</v>
      </c>
      <c r="C454" s="7" t="s">
        <v>27</v>
      </c>
      <c r="D454" s="7" t="s">
        <v>28</v>
      </c>
      <c r="E454" s="7" t="s">
        <v>29</v>
      </c>
      <c r="F454" s="7" t="s">
        <v>165</v>
      </c>
      <c r="G454" s="7">
        <v>99.187150000000003</v>
      </c>
      <c r="H454" s="7"/>
    </row>
    <row r="455" spans="1:8" x14ac:dyDescent="0.35">
      <c r="A455" s="7" t="s">
        <v>347</v>
      </c>
      <c r="B455" s="7" t="s">
        <v>26</v>
      </c>
      <c r="C455" s="7" t="s">
        <v>27</v>
      </c>
      <c r="D455" s="7" t="s">
        <v>28</v>
      </c>
      <c r="E455" s="7" t="s">
        <v>29</v>
      </c>
      <c r="F455" s="7" t="s">
        <v>166</v>
      </c>
      <c r="G455" s="7">
        <v>99.065399999999997</v>
      </c>
      <c r="H455" s="7"/>
    </row>
    <row r="456" spans="1:8" x14ac:dyDescent="0.35">
      <c r="A456" s="7" t="s">
        <v>347</v>
      </c>
      <c r="B456" s="7" t="s">
        <v>26</v>
      </c>
      <c r="C456" s="7" t="s">
        <v>27</v>
      </c>
      <c r="D456" s="7" t="s">
        <v>28</v>
      </c>
      <c r="E456" s="7" t="s">
        <v>29</v>
      </c>
      <c r="F456" s="7" t="s">
        <v>167</v>
      </c>
      <c r="G456" s="7">
        <v>98.966700000000003</v>
      </c>
      <c r="H456" s="7"/>
    </row>
    <row r="457" spans="1:8" x14ac:dyDescent="0.35">
      <c r="A457" s="7" t="s">
        <v>347</v>
      </c>
      <c r="B457" s="7" t="s">
        <v>26</v>
      </c>
      <c r="C457" s="7" t="s">
        <v>27</v>
      </c>
      <c r="D457" s="7" t="s">
        <v>28</v>
      </c>
      <c r="E457" s="7" t="s">
        <v>29</v>
      </c>
      <c r="F457" s="7" t="s">
        <v>168</v>
      </c>
      <c r="G457" s="7">
        <v>98.969210000000004</v>
      </c>
      <c r="H457" s="7"/>
    </row>
    <row r="458" spans="1:8" x14ac:dyDescent="0.35">
      <c r="A458" s="7" t="s">
        <v>347</v>
      </c>
      <c r="B458" s="7" t="s">
        <v>26</v>
      </c>
      <c r="C458" s="7" t="s">
        <v>27</v>
      </c>
      <c r="D458" s="7" t="s">
        <v>28</v>
      </c>
      <c r="E458" s="7" t="s">
        <v>29</v>
      </c>
      <c r="F458" s="7" t="s">
        <v>169</v>
      </c>
      <c r="G458" s="7">
        <v>99.149349999999998</v>
      </c>
      <c r="H458" s="7"/>
    </row>
    <row r="459" spans="1:8" x14ac:dyDescent="0.35">
      <c r="A459" s="7" t="s">
        <v>347</v>
      </c>
      <c r="B459" s="7" t="s">
        <v>26</v>
      </c>
      <c r="C459" s="7" t="s">
        <v>27</v>
      </c>
      <c r="D459" s="7" t="s">
        <v>28</v>
      </c>
      <c r="E459" s="7" t="s">
        <v>29</v>
      </c>
      <c r="F459" s="7" t="s">
        <v>170</v>
      </c>
      <c r="G459" s="7">
        <v>99.441829999999996</v>
      </c>
      <c r="H459" s="7"/>
    </row>
    <row r="460" spans="1:8" x14ac:dyDescent="0.35">
      <c r="A460" s="7" t="s">
        <v>347</v>
      </c>
      <c r="B460" s="7" t="s">
        <v>26</v>
      </c>
      <c r="C460" s="7" t="s">
        <v>27</v>
      </c>
      <c r="D460" s="7" t="s">
        <v>28</v>
      </c>
      <c r="E460" s="7" t="s">
        <v>29</v>
      </c>
      <c r="F460" s="7" t="s">
        <v>171</v>
      </c>
      <c r="G460" s="7">
        <v>99.781220000000005</v>
      </c>
      <c r="H460" s="7"/>
    </row>
    <row r="461" spans="1:8" x14ac:dyDescent="0.35">
      <c r="A461" s="7" t="s">
        <v>347</v>
      </c>
      <c r="B461" s="7" t="s">
        <v>26</v>
      </c>
      <c r="C461" s="7" t="s">
        <v>27</v>
      </c>
      <c r="D461" s="7" t="s">
        <v>28</v>
      </c>
      <c r="E461" s="7" t="s">
        <v>29</v>
      </c>
      <c r="F461" s="7" t="s">
        <v>172</v>
      </c>
      <c r="G461" s="7">
        <v>100.1311</v>
      </c>
      <c r="H461" s="7"/>
    </row>
    <row r="462" spans="1:8" x14ac:dyDescent="0.35">
      <c r="A462" s="7" t="s">
        <v>347</v>
      </c>
      <c r="B462" s="7" t="s">
        <v>26</v>
      </c>
      <c r="C462" s="7" t="s">
        <v>27</v>
      </c>
      <c r="D462" s="7" t="s">
        <v>28</v>
      </c>
      <c r="E462" s="7" t="s">
        <v>29</v>
      </c>
      <c r="F462" s="7" t="s">
        <v>173</v>
      </c>
      <c r="G462" s="7">
        <v>100.46639999999999</v>
      </c>
      <c r="H462" s="7"/>
    </row>
    <row r="463" spans="1:8" x14ac:dyDescent="0.35">
      <c r="A463" s="7" t="s">
        <v>347</v>
      </c>
      <c r="B463" s="7" t="s">
        <v>26</v>
      </c>
      <c r="C463" s="7" t="s">
        <v>27</v>
      </c>
      <c r="D463" s="7" t="s">
        <v>28</v>
      </c>
      <c r="E463" s="7" t="s">
        <v>29</v>
      </c>
      <c r="F463" s="7" t="s">
        <v>174</v>
      </c>
      <c r="G463" s="7">
        <v>100.76130000000001</v>
      </c>
      <c r="H463" s="7"/>
    </row>
    <row r="464" spans="1:8" x14ac:dyDescent="0.35">
      <c r="A464" s="7" t="s">
        <v>347</v>
      </c>
      <c r="B464" s="7" t="s">
        <v>26</v>
      </c>
      <c r="C464" s="7" t="s">
        <v>27</v>
      </c>
      <c r="D464" s="7" t="s">
        <v>28</v>
      </c>
      <c r="E464" s="7" t="s">
        <v>29</v>
      </c>
      <c r="F464" s="7" t="s">
        <v>175</v>
      </c>
      <c r="G464" s="7">
        <v>100.9911</v>
      </c>
      <c r="H464" s="7"/>
    </row>
    <row r="465" spans="1:8" x14ac:dyDescent="0.35">
      <c r="A465" s="7" t="s">
        <v>347</v>
      </c>
      <c r="B465" s="7" t="s">
        <v>26</v>
      </c>
      <c r="C465" s="7" t="s">
        <v>27</v>
      </c>
      <c r="D465" s="7" t="s">
        <v>28</v>
      </c>
      <c r="E465" s="7" t="s">
        <v>29</v>
      </c>
      <c r="F465" s="7" t="s">
        <v>176</v>
      </c>
      <c r="G465" s="7">
        <v>101.1758</v>
      </c>
      <c r="H465" s="7"/>
    </row>
    <row r="466" spans="1:8" x14ac:dyDescent="0.35">
      <c r="A466" s="7" t="s">
        <v>347</v>
      </c>
      <c r="B466" s="7" t="s">
        <v>26</v>
      </c>
      <c r="C466" s="7" t="s">
        <v>27</v>
      </c>
      <c r="D466" s="7" t="s">
        <v>28</v>
      </c>
      <c r="E466" s="7" t="s">
        <v>29</v>
      </c>
      <c r="F466" s="7" t="s">
        <v>177</v>
      </c>
      <c r="G466" s="7">
        <v>101.32680000000001</v>
      </c>
      <c r="H466" s="7"/>
    </row>
    <row r="467" spans="1:8" x14ac:dyDescent="0.35">
      <c r="A467" s="7" t="s">
        <v>347</v>
      </c>
      <c r="B467" s="7" t="s">
        <v>26</v>
      </c>
      <c r="C467" s="7" t="s">
        <v>27</v>
      </c>
      <c r="D467" s="7" t="s">
        <v>28</v>
      </c>
      <c r="E467" s="7" t="s">
        <v>29</v>
      </c>
      <c r="F467" s="7" t="s">
        <v>178</v>
      </c>
      <c r="G467" s="7">
        <v>101.44</v>
      </c>
      <c r="H467" s="7"/>
    </row>
    <row r="468" spans="1:8" x14ac:dyDescent="0.35">
      <c r="A468" s="7" t="s">
        <v>347</v>
      </c>
      <c r="B468" s="7" t="s">
        <v>26</v>
      </c>
      <c r="C468" s="7" t="s">
        <v>27</v>
      </c>
      <c r="D468" s="7" t="s">
        <v>28</v>
      </c>
      <c r="E468" s="7" t="s">
        <v>29</v>
      </c>
      <c r="F468" s="7" t="s">
        <v>179</v>
      </c>
      <c r="G468" s="7">
        <v>101.5219</v>
      </c>
      <c r="H468" s="7"/>
    </row>
    <row r="469" spans="1:8" x14ac:dyDescent="0.35">
      <c r="A469" s="7" t="s">
        <v>347</v>
      </c>
      <c r="B469" s="7" t="s">
        <v>26</v>
      </c>
      <c r="C469" s="7" t="s">
        <v>27</v>
      </c>
      <c r="D469" s="7" t="s">
        <v>28</v>
      </c>
      <c r="E469" s="7" t="s">
        <v>29</v>
      </c>
      <c r="F469" s="7" t="s">
        <v>180</v>
      </c>
      <c r="G469" s="7">
        <v>101.5639</v>
      </c>
      <c r="H469" s="7"/>
    </row>
    <row r="470" spans="1:8" x14ac:dyDescent="0.35">
      <c r="A470" s="7" t="s">
        <v>347</v>
      </c>
      <c r="B470" s="7" t="s">
        <v>26</v>
      </c>
      <c r="C470" s="7" t="s">
        <v>27</v>
      </c>
      <c r="D470" s="7" t="s">
        <v>28</v>
      </c>
      <c r="E470" s="7" t="s">
        <v>29</v>
      </c>
      <c r="F470" s="7" t="s">
        <v>181</v>
      </c>
      <c r="G470" s="7">
        <v>101.54770000000001</v>
      </c>
      <c r="H470" s="7"/>
    </row>
    <row r="471" spans="1:8" x14ac:dyDescent="0.35">
      <c r="A471" s="7" t="s">
        <v>347</v>
      </c>
      <c r="B471" s="7" t="s">
        <v>26</v>
      </c>
      <c r="C471" s="7" t="s">
        <v>27</v>
      </c>
      <c r="D471" s="7" t="s">
        <v>28</v>
      </c>
      <c r="E471" s="7" t="s">
        <v>29</v>
      </c>
      <c r="F471" s="7" t="s">
        <v>182</v>
      </c>
      <c r="G471" s="7">
        <v>101.49120000000001</v>
      </c>
      <c r="H471" s="7"/>
    </row>
    <row r="472" spans="1:8" x14ac:dyDescent="0.35">
      <c r="A472" s="7" t="s">
        <v>347</v>
      </c>
      <c r="B472" s="7" t="s">
        <v>26</v>
      </c>
      <c r="C472" s="7" t="s">
        <v>27</v>
      </c>
      <c r="D472" s="7" t="s">
        <v>28</v>
      </c>
      <c r="E472" s="7" t="s">
        <v>29</v>
      </c>
      <c r="F472" s="7" t="s">
        <v>183</v>
      </c>
      <c r="G472" s="7">
        <v>101.40430000000001</v>
      </c>
      <c r="H472" s="7"/>
    </row>
    <row r="473" spans="1:8" x14ac:dyDescent="0.35">
      <c r="A473" s="7" t="s">
        <v>347</v>
      </c>
      <c r="B473" s="7" t="s">
        <v>26</v>
      </c>
      <c r="C473" s="7" t="s">
        <v>27</v>
      </c>
      <c r="D473" s="7" t="s">
        <v>28</v>
      </c>
      <c r="E473" s="7" t="s">
        <v>29</v>
      </c>
      <c r="F473" s="7" t="s">
        <v>184</v>
      </c>
      <c r="G473" s="7">
        <v>101.286</v>
      </c>
      <c r="H473" s="7"/>
    </row>
    <row r="474" spans="1:8" x14ac:dyDescent="0.35">
      <c r="A474" s="7" t="s">
        <v>347</v>
      </c>
      <c r="B474" s="7" t="s">
        <v>26</v>
      </c>
      <c r="C474" s="7" t="s">
        <v>27</v>
      </c>
      <c r="D474" s="7" t="s">
        <v>28</v>
      </c>
      <c r="E474" s="7" t="s">
        <v>29</v>
      </c>
      <c r="F474" s="7" t="s">
        <v>185</v>
      </c>
      <c r="G474" s="7">
        <v>101.15170000000001</v>
      </c>
      <c r="H474" s="7"/>
    </row>
    <row r="475" spans="1:8" x14ac:dyDescent="0.35">
      <c r="A475" s="7" t="s">
        <v>347</v>
      </c>
      <c r="B475" s="7" t="s">
        <v>26</v>
      </c>
      <c r="C475" s="7" t="s">
        <v>27</v>
      </c>
      <c r="D475" s="7" t="s">
        <v>28</v>
      </c>
      <c r="E475" s="7" t="s">
        <v>29</v>
      </c>
      <c r="F475" s="7" t="s">
        <v>186</v>
      </c>
      <c r="G475" s="7">
        <v>101.01430000000001</v>
      </c>
      <c r="H475" s="7"/>
    </row>
    <row r="476" spans="1:8" x14ac:dyDescent="0.35">
      <c r="A476" s="7" t="s">
        <v>347</v>
      </c>
      <c r="B476" s="7" t="s">
        <v>26</v>
      </c>
      <c r="C476" s="7" t="s">
        <v>27</v>
      </c>
      <c r="D476" s="7" t="s">
        <v>28</v>
      </c>
      <c r="E476" s="7" t="s">
        <v>29</v>
      </c>
      <c r="F476" s="7" t="s">
        <v>187</v>
      </c>
      <c r="G476" s="7">
        <v>100.8831</v>
      </c>
      <c r="H476" s="7"/>
    </row>
    <row r="477" spans="1:8" x14ac:dyDescent="0.35">
      <c r="A477" s="7" t="s">
        <v>347</v>
      </c>
      <c r="B477" s="7" t="s">
        <v>26</v>
      </c>
      <c r="C477" s="7" t="s">
        <v>27</v>
      </c>
      <c r="D477" s="7" t="s">
        <v>28</v>
      </c>
      <c r="E477" s="7" t="s">
        <v>29</v>
      </c>
      <c r="F477" s="7" t="s">
        <v>188</v>
      </c>
      <c r="G477" s="7">
        <v>100.76439999999999</v>
      </c>
      <c r="H477" s="7"/>
    </row>
    <row r="478" spans="1:8" x14ac:dyDescent="0.35">
      <c r="A478" s="7" t="s">
        <v>347</v>
      </c>
      <c r="B478" s="7" t="s">
        <v>26</v>
      </c>
      <c r="C478" s="7" t="s">
        <v>27</v>
      </c>
      <c r="D478" s="7" t="s">
        <v>28</v>
      </c>
      <c r="E478" s="7" t="s">
        <v>29</v>
      </c>
      <c r="F478" s="7" t="s">
        <v>189</v>
      </c>
      <c r="G478" s="7">
        <v>100.6681</v>
      </c>
      <c r="H478" s="7"/>
    </row>
    <row r="479" spans="1:8" x14ac:dyDescent="0.35">
      <c r="A479" s="7" t="s">
        <v>347</v>
      </c>
      <c r="B479" s="7" t="s">
        <v>26</v>
      </c>
      <c r="C479" s="7" t="s">
        <v>27</v>
      </c>
      <c r="D479" s="7" t="s">
        <v>28</v>
      </c>
      <c r="E479" s="7" t="s">
        <v>29</v>
      </c>
      <c r="F479" s="7" t="s">
        <v>190</v>
      </c>
      <c r="G479" s="7">
        <v>100.60120000000001</v>
      </c>
      <c r="H479" s="7"/>
    </row>
    <row r="480" spans="1:8" x14ac:dyDescent="0.35">
      <c r="A480" s="7" t="s">
        <v>347</v>
      </c>
      <c r="B480" s="7" t="s">
        <v>26</v>
      </c>
      <c r="C480" s="7" t="s">
        <v>27</v>
      </c>
      <c r="D480" s="7" t="s">
        <v>28</v>
      </c>
      <c r="E480" s="7" t="s">
        <v>29</v>
      </c>
      <c r="F480" s="7" t="s">
        <v>191</v>
      </c>
      <c r="G480" s="7">
        <v>100.5398</v>
      </c>
      <c r="H480" s="7"/>
    </row>
    <row r="481" spans="1:8" x14ac:dyDescent="0.35">
      <c r="A481" s="7" t="s">
        <v>347</v>
      </c>
      <c r="B481" s="7" t="s">
        <v>26</v>
      </c>
      <c r="C481" s="7" t="s">
        <v>27</v>
      </c>
      <c r="D481" s="7" t="s">
        <v>28</v>
      </c>
      <c r="E481" s="7" t="s">
        <v>29</v>
      </c>
      <c r="F481" s="7" t="s">
        <v>192</v>
      </c>
      <c r="G481" s="7">
        <v>100.4532</v>
      </c>
      <c r="H481" s="7"/>
    </row>
    <row r="482" spans="1:8" x14ac:dyDescent="0.35">
      <c r="A482" s="7" t="s">
        <v>347</v>
      </c>
      <c r="B482" s="7" t="s">
        <v>26</v>
      </c>
      <c r="C482" s="7" t="s">
        <v>27</v>
      </c>
      <c r="D482" s="7" t="s">
        <v>28</v>
      </c>
      <c r="E482" s="7" t="s">
        <v>29</v>
      </c>
      <c r="F482" s="7" t="s">
        <v>193</v>
      </c>
      <c r="G482" s="7">
        <v>100.3233</v>
      </c>
      <c r="H482" s="7"/>
    </row>
    <row r="483" spans="1:8" x14ac:dyDescent="0.35">
      <c r="A483" s="7" t="s">
        <v>347</v>
      </c>
      <c r="B483" s="7" t="s">
        <v>26</v>
      </c>
      <c r="C483" s="7" t="s">
        <v>27</v>
      </c>
      <c r="D483" s="7" t="s">
        <v>28</v>
      </c>
      <c r="E483" s="7" t="s">
        <v>29</v>
      </c>
      <c r="F483" s="7" t="s">
        <v>194</v>
      </c>
      <c r="G483" s="7">
        <v>100.18899999999999</v>
      </c>
      <c r="H483" s="7"/>
    </row>
    <row r="484" spans="1:8" x14ac:dyDescent="0.35">
      <c r="A484" s="7" t="s">
        <v>347</v>
      </c>
      <c r="B484" s="7" t="s">
        <v>26</v>
      </c>
      <c r="C484" s="7" t="s">
        <v>27</v>
      </c>
      <c r="D484" s="7" t="s">
        <v>28</v>
      </c>
      <c r="E484" s="7" t="s">
        <v>29</v>
      </c>
      <c r="F484" s="7" t="s">
        <v>195</v>
      </c>
      <c r="G484" s="7">
        <v>100.11539999999999</v>
      </c>
      <c r="H484" s="7"/>
    </row>
    <row r="485" spans="1:8" x14ac:dyDescent="0.35">
      <c r="A485" s="7" t="s">
        <v>347</v>
      </c>
      <c r="B485" s="7" t="s">
        <v>26</v>
      </c>
      <c r="C485" s="7" t="s">
        <v>27</v>
      </c>
      <c r="D485" s="7" t="s">
        <v>28</v>
      </c>
      <c r="E485" s="7" t="s">
        <v>29</v>
      </c>
      <c r="F485" s="7" t="s">
        <v>196</v>
      </c>
      <c r="G485" s="7">
        <v>100.1664</v>
      </c>
      <c r="H485" s="7"/>
    </row>
    <row r="486" spans="1:8" x14ac:dyDescent="0.35">
      <c r="A486" s="7" t="s">
        <v>347</v>
      </c>
      <c r="B486" s="7" t="s">
        <v>26</v>
      </c>
      <c r="C486" s="7" t="s">
        <v>27</v>
      </c>
      <c r="D486" s="7" t="s">
        <v>28</v>
      </c>
      <c r="E486" s="7" t="s">
        <v>29</v>
      </c>
      <c r="F486" s="7" t="s">
        <v>197</v>
      </c>
      <c r="G486" s="7">
        <v>100.31829999999999</v>
      </c>
      <c r="H486" s="7"/>
    </row>
    <row r="487" spans="1:8" x14ac:dyDescent="0.35">
      <c r="A487" s="7" t="s">
        <v>347</v>
      </c>
      <c r="B487" s="7" t="s">
        <v>26</v>
      </c>
      <c r="C487" s="7" t="s">
        <v>27</v>
      </c>
      <c r="D487" s="7" t="s">
        <v>28</v>
      </c>
      <c r="E487" s="7" t="s">
        <v>29</v>
      </c>
      <c r="F487" s="7" t="s">
        <v>198</v>
      </c>
      <c r="G487" s="7">
        <v>100.55929999999999</v>
      </c>
      <c r="H487" s="7"/>
    </row>
    <row r="488" spans="1:8" x14ac:dyDescent="0.35">
      <c r="A488" s="7" t="s">
        <v>347</v>
      </c>
      <c r="B488" s="7" t="s">
        <v>26</v>
      </c>
      <c r="C488" s="7" t="s">
        <v>27</v>
      </c>
      <c r="D488" s="7" t="s">
        <v>28</v>
      </c>
      <c r="E488" s="7" t="s">
        <v>29</v>
      </c>
      <c r="F488" s="7" t="s">
        <v>199</v>
      </c>
      <c r="G488" s="7">
        <v>100.88890000000001</v>
      </c>
      <c r="H488" s="7"/>
    </row>
    <row r="489" spans="1:8" x14ac:dyDescent="0.35">
      <c r="A489" s="7" t="s">
        <v>347</v>
      </c>
      <c r="B489" s="7" t="s">
        <v>26</v>
      </c>
      <c r="C489" s="7" t="s">
        <v>27</v>
      </c>
      <c r="D489" s="7" t="s">
        <v>28</v>
      </c>
      <c r="E489" s="7" t="s">
        <v>29</v>
      </c>
      <c r="F489" s="7" t="s">
        <v>200</v>
      </c>
      <c r="G489" s="7">
        <v>101.22799999999999</v>
      </c>
      <c r="H489" s="7"/>
    </row>
    <row r="490" spans="1:8" x14ac:dyDescent="0.35">
      <c r="A490" s="7" t="s">
        <v>347</v>
      </c>
      <c r="B490" s="7" t="s">
        <v>26</v>
      </c>
      <c r="C490" s="7" t="s">
        <v>27</v>
      </c>
      <c r="D490" s="7" t="s">
        <v>28</v>
      </c>
      <c r="E490" s="7" t="s">
        <v>29</v>
      </c>
      <c r="F490" s="7" t="s">
        <v>201</v>
      </c>
      <c r="G490" s="7">
        <v>101.4764</v>
      </c>
      <c r="H490" s="7"/>
    </row>
    <row r="491" spans="1:8" x14ac:dyDescent="0.35">
      <c r="A491" s="7" t="s">
        <v>347</v>
      </c>
      <c r="B491" s="7" t="s">
        <v>26</v>
      </c>
      <c r="C491" s="7" t="s">
        <v>27</v>
      </c>
      <c r="D491" s="7" t="s">
        <v>28</v>
      </c>
      <c r="E491" s="7" t="s">
        <v>29</v>
      </c>
      <c r="F491" s="7" t="s">
        <v>202</v>
      </c>
      <c r="G491" s="7">
        <v>101.5604</v>
      </c>
      <c r="H491" s="7"/>
    </row>
    <row r="492" spans="1:8" x14ac:dyDescent="0.35">
      <c r="A492" s="7" t="s">
        <v>347</v>
      </c>
      <c r="B492" s="7" t="s">
        <v>26</v>
      </c>
      <c r="C492" s="7" t="s">
        <v>27</v>
      </c>
      <c r="D492" s="7" t="s">
        <v>28</v>
      </c>
      <c r="E492" s="7" t="s">
        <v>29</v>
      </c>
      <c r="F492" s="7" t="s">
        <v>203</v>
      </c>
      <c r="G492" s="7">
        <v>101.571</v>
      </c>
      <c r="H492" s="7"/>
    </row>
    <row r="493" spans="1:8" x14ac:dyDescent="0.35">
      <c r="A493" s="7" t="s">
        <v>347</v>
      </c>
      <c r="B493" s="7" t="s">
        <v>26</v>
      </c>
      <c r="C493" s="7" t="s">
        <v>27</v>
      </c>
      <c r="D493" s="7" t="s">
        <v>28</v>
      </c>
      <c r="E493" s="7" t="s">
        <v>29</v>
      </c>
      <c r="F493" s="7" t="s">
        <v>204</v>
      </c>
      <c r="G493" s="7">
        <v>101.626</v>
      </c>
      <c r="H493" s="7"/>
    </row>
    <row r="494" spans="1:8" x14ac:dyDescent="0.35">
      <c r="A494" s="7" t="s">
        <v>347</v>
      </c>
      <c r="B494" s="7" t="s">
        <v>26</v>
      </c>
      <c r="C494" s="7" t="s">
        <v>27</v>
      </c>
      <c r="D494" s="7" t="s">
        <v>28</v>
      </c>
      <c r="E494" s="7" t="s">
        <v>29</v>
      </c>
      <c r="F494" s="7" t="s">
        <v>205</v>
      </c>
      <c r="G494" s="7">
        <v>101.8039</v>
      </c>
      <c r="H494" s="7"/>
    </row>
    <row r="495" spans="1:8" x14ac:dyDescent="0.35">
      <c r="A495" s="7" t="s">
        <v>347</v>
      </c>
      <c r="B495" s="7" t="s">
        <v>26</v>
      </c>
      <c r="C495" s="7" t="s">
        <v>27</v>
      </c>
      <c r="D495" s="7" t="s">
        <v>28</v>
      </c>
      <c r="E495" s="7" t="s">
        <v>29</v>
      </c>
      <c r="F495" s="7" t="s">
        <v>206</v>
      </c>
      <c r="G495" s="7">
        <v>102.0347</v>
      </c>
      <c r="H495" s="7"/>
    </row>
    <row r="496" spans="1:8" x14ac:dyDescent="0.35">
      <c r="A496" s="7" t="s">
        <v>347</v>
      </c>
      <c r="B496" s="7" t="s">
        <v>26</v>
      </c>
      <c r="C496" s="7" t="s">
        <v>27</v>
      </c>
      <c r="D496" s="7" t="s">
        <v>28</v>
      </c>
      <c r="E496" s="7" t="s">
        <v>29</v>
      </c>
      <c r="F496" s="7" t="s">
        <v>207</v>
      </c>
      <c r="G496" s="7">
        <v>102.2106</v>
      </c>
      <c r="H496" s="7"/>
    </row>
    <row r="497" spans="1:8" x14ac:dyDescent="0.35">
      <c r="A497" s="7" t="s">
        <v>347</v>
      </c>
      <c r="B497" s="7" t="s">
        <v>26</v>
      </c>
      <c r="C497" s="7" t="s">
        <v>27</v>
      </c>
      <c r="D497" s="7" t="s">
        <v>28</v>
      </c>
      <c r="E497" s="7" t="s">
        <v>29</v>
      </c>
      <c r="F497" s="7" t="s">
        <v>208</v>
      </c>
      <c r="G497" s="7">
        <v>102.24460000000001</v>
      </c>
      <c r="H497" s="7"/>
    </row>
    <row r="498" spans="1:8" x14ac:dyDescent="0.35">
      <c r="A498" s="7" t="s">
        <v>347</v>
      </c>
      <c r="B498" s="7" t="s">
        <v>26</v>
      </c>
      <c r="C498" s="7" t="s">
        <v>27</v>
      </c>
      <c r="D498" s="7" t="s">
        <v>28</v>
      </c>
      <c r="E498" s="7" t="s">
        <v>29</v>
      </c>
      <c r="F498" s="7" t="s">
        <v>209</v>
      </c>
      <c r="G498" s="7">
        <v>102.18300000000001</v>
      </c>
      <c r="H498" s="7"/>
    </row>
    <row r="499" spans="1:8" x14ac:dyDescent="0.35">
      <c r="A499" s="7" t="s">
        <v>347</v>
      </c>
      <c r="B499" s="7" t="s">
        <v>26</v>
      </c>
      <c r="C499" s="7" t="s">
        <v>27</v>
      </c>
      <c r="D499" s="7" t="s">
        <v>28</v>
      </c>
      <c r="E499" s="7" t="s">
        <v>29</v>
      </c>
      <c r="F499" s="7" t="s">
        <v>210</v>
      </c>
      <c r="G499" s="7">
        <v>102.0818</v>
      </c>
      <c r="H499" s="7"/>
    </row>
    <row r="500" spans="1:8" x14ac:dyDescent="0.35">
      <c r="A500" s="7" t="s">
        <v>347</v>
      </c>
      <c r="B500" s="7" t="s">
        <v>26</v>
      </c>
      <c r="C500" s="7" t="s">
        <v>27</v>
      </c>
      <c r="D500" s="7" t="s">
        <v>28</v>
      </c>
      <c r="E500" s="7" t="s">
        <v>29</v>
      </c>
      <c r="F500" s="7" t="s">
        <v>211</v>
      </c>
      <c r="G500" s="7">
        <v>101.9791</v>
      </c>
      <c r="H500" s="7"/>
    </row>
    <row r="501" spans="1:8" x14ac:dyDescent="0.35">
      <c r="A501" s="7" t="s">
        <v>347</v>
      </c>
      <c r="B501" s="7" t="s">
        <v>26</v>
      </c>
      <c r="C501" s="7" t="s">
        <v>27</v>
      </c>
      <c r="D501" s="7" t="s">
        <v>28</v>
      </c>
      <c r="E501" s="7" t="s">
        <v>29</v>
      </c>
      <c r="F501" s="7" t="s">
        <v>212</v>
      </c>
      <c r="G501" s="7">
        <v>101.9058</v>
      </c>
      <c r="H501" s="7"/>
    </row>
    <row r="502" spans="1:8" x14ac:dyDescent="0.35">
      <c r="A502" s="7" t="s">
        <v>347</v>
      </c>
      <c r="B502" s="7" t="s">
        <v>26</v>
      </c>
      <c r="C502" s="7" t="s">
        <v>27</v>
      </c>
      <c r="D502" s="7" t="s">
        <v>28</v>
      </c>
      <c r="E502" s="7" t="s">
        <v>29</v>
      </c>
      <c r="F502" s="7" t="s">
        <v>213</v>
      </c>
      <c r="G502" s="7">
        <v>101.89960000000001</v>
      </c>
      <c r="H502" s="7"/>
    </row>
    <row r="503" spans="1:8" x14ac:dyDescent="0.35">
      <c r="A503" s="7" t="s">
        <v>347</v>
      </c>
      <c r="B503" s="7" t="s">
        <v>26</v>
      </c>
      <c r="C503" s="7" t="s">
        <v>27</v>
      </c>
      <c r="D503" s="7" t="s">
        <v>28</v>
      </c>
      <c r="E503" s="7" t="s">
        <v>29</v>
      </c>
      <c r="F503" s="7" t="s">
        <v>214</v>
      </c>
      <c r="G503" s="7">
        <v>101.9885</v>
      </c>
      <c r="H503" s="7"/>
    </row>
    <row r="504" spans="1:8" x14ac:dyDescent="0.35">
      <c r="A504" s="7" t="s">
        <v>347</v>
      </c>
      <c r="B504" s="7" t="s">
        <v>26</v>
      </c>
      <c r="C504" s="7" t="s">
        <v>27</v>
      </c>
      <c r="D504" s="7" t="s">
        <v>28</v>
      </c>
      <c r="E504" s="7" t="s">
        <v>29</v>
      </c>
      <c r="F504" s="7" t="s">
        <v>215</v>
      </c>
      <c r="G504" s="7">
        <v>102.10769999999999</v>
      </c>
      <c r="H504" s="7"/>
    </row>
    <row r="505" spans="1:8" x14ac:dyDescent="0.35">
      <c r="A505" s="7" t="s">
        <v>347</v>
      </c>
      <c r="B505" s="7" t="s">
        <v>26</v>
      </c>
      <c r="C505" s="7" t="s">
        <v>27</v>
      </c>
      <c r="D505" s="7" t="s">
        <v>28</v>
      </c>
      <c r="E505" s="7" t="s">
        <v>29</v>
      </c>
      <c r="F505" s="7" t="s">
        <v>216</v>
      </c>
      <c r="G505" s="7">
        <v>102.176</v>
      </c>
      <c r="H505" s="7"/>
    </row>
    <row r="506" spans="1:8" x14ac:dyDescent="0.35">
      <c r="A506" s="7" t="s">
        <v>347</v>
      </c>
      <c r="B506" s="7" t="s">
        <v>26</v>
      </c>
      <c r="C506" s="7" t="s">
        <v>27</v>
      </c>
      <c r="D506" s="7" t="s">
        <v>28</v>
      </c>
      <c r="E506" s="7" t="s">
        <v>29</v>
      </c>
      <c r="F506" s="7" t="s">
        <v>217</v>
      </c>
      <c r="G506" s="7">
        <v>102.1429</v>
      </c>
      <c r="H506" s="7"/>
    </row>
    <row r="507" spans="1:8" x14ac:dyDescent="0.35">
      <c r="A507" s="7" t="s">
        <v>347</v>
      </c>
      <c r="B507" s="7" t="s">
        <v>26</v>
      </c>
      <c r="C507" s="7" t="s">
        <v>27</v>
      </c>
      <c r="D507" s="7" t="s">
        <v>28</v>
      </c>
      <c r="E507" s="7" t="s">
        <v>29</v>
      </c>
      <c r="F507" s="7" t="s">
        <v>218</v>
      </c>
      <c r="G507" s="7">
        <v>102.0852</v>
      </c>
      <c r="H507" s="7"/>
    </row>
    <row r="508" spans="1:8" x14ac:dyDescent="0.35">
      <c r="A508" s="7" t="s">
        <v>347</v>
      </c>
      <c r="B508" s="7" t="s">
        <v>26</v>
      </c>
      <c r="C508" s="7" t="s">
        <v>27</v>
      </c>
      <c r="D508" s="7" t="s">
        <v>28</v>
      </c>
      <c r="E508" s="7" t="s">
        <v>29</v>
      </c>
      <c r="F508" s="7" t="s">
        <v>219</v>
      </c>
      <c r="G508" s="7">
        <v>102.11150000000001</v>
      </c>
      <c r="H508" s="7"/>
    </row>
    <row r="509" spans="1:8" x14ac:dyDescent="0.35">
      <c r="A509" s="7" t="s">
        <v>347</v>
      </c>
      <c r="B509" s="7" t="s">
        <v>26</v>
      </c>
      <c r="C509" s="7" t="s">
        <v>27</v>
      </c>
      <c r="D509" s="7" t="s">
        <v>28</v>
      </c>
      <c r="E509" s="7" t="s">
        <v>29</v>
      </c>
      <c r="F509" s="7" t="s">
        <v>220</v>
      </c>
      <c r="G509" s="7">
        <v>102.2898</v>
      </c>
      <c r="H509" s="7"/>
    </row>
    <row r="510" spans="1:8" x14ac:dyDescent="0.35">
      <c r="A510" s="7" t="s">
        <v>347</v>
      </c>
      <c r="B510" s="7" t="s">
        <v>26</v>
      </c>
      <c r="C510" s="7" t="s">
        <v>27</v>
      </c>
      <c r="D510" s="7" t="s">
        <v>28</v>
      </c>
      <c r="E510" s="7" t="s">
        <v>29</v>
      </c>
      <c r="F510" s="7" t="s">
        <v>221</v>
      </c>
      <c r="G510" s="7">
        <v>102.492</v>
      </c>
      <c r="H510" s="7"/>
    </row>
    <row r="511" spans="1:8" x14ac:dyDescent="0.35">
      <c r="A511" s="7" t="s">
        <v>347</v>
      </c>
      <c r="B511" s="7" t="s">
        <v>26</v>
      </c>
      <c r="C511" s="7" t="s">
        <v>27</v>
      </c>
      <c r="D511" s="7" t="s">
        <v>28</v>
      </c>
      <c r="E511" s="7" t="s">
        <v>29</v>
      </c>
      <c r="F511" s="7" t="s">
        <v>222</v>
      </c>
      <c r="G511" s="7">
        <v>102.52290000000001</v>
      </c>
      <c r="H511" s="7"/>
    </row>
    <row r="512" spans="1:8" x14ac:dyDescent="0.35">
      <c r="A512" s="7" t="s">
        <v>347</v>
      </c>
      <c r="B512" s="7" t="s">
        <v>26</v>
      </c>
      <c r="C512" s="7" t="s">
        <v>27</v>
      </c>
      <c r="D512" s="7" t="s">
        <v>28</v>
      </c>
      <c r="E512" s="7" t="s">
        <v>29</v>
      </c>
      <c r="F512" s="7" t="s">
        <v>223</v>
      </c>
      <c r="G512" s="7">
        <v>102.2255</v>
      </c>
      <c r="H512" s="7"/>
    </row>
    <row r="513" spans="1:8" x14ac:dyDescent="0.35">
      <c r="A513" s="7" t="s">
        <v>347</v>
      </c>
      <c r="B513" s="7" t="s">
        <v>26</v>
      </c>
      <c r="C513" s="7" t="s">
        <v>27</v>
      </c>
      <c r="D513" s="7" t="s">
        <v>28</v>
      </c>
      <c r="E513" s="7" t="s">
        <v>29</v>
      </c>
      <c r="F513" s="7" t="s">
        <v>224</v>
      </c>
      <c r="G513" s="7">
        <v>101.7576</v>
      </c>
      <c r="H513" s="7"/>
    </row>
    <row r="514" spans="1:8" x14ac:dyDescent="0.35">
      <c r="A514" s="7" t="s">
        <v>347</v>
      </c>
      <c r="B514" s="7" t="s">
        <v>26</v>
      </c>
      <c r="C514" s="7" t="s">
        <v>27</v>
      </c>
      <c r="D514" s="7" t="s">
        <v>28</v>
      </c>
      <c r="E514" s="7" t="s">
        <v>29</v>
      </c>
      <c r="F514" s="7" t="s">
        <v>225</v>
      </c>
      <c r="G514" s="7">
        <v>101.3152</v>
      </c>
      <c r="H514" s="7"/>
    </row>
    <row r="515" spans="1:8" x14ac:dyDescent="0.35">
      <c r="A515" s="7" t="s">
        <v>347</v>
      </c>
      <c r="B515" s="7" t="s">
        <v>26</v>
      </c>
      <c r="C515" s="7" t="s">
        <v>27</v>
      </c>
      <c r="D515" s="7" t="s">
        <v>28</v>
      </c>
      <c r="E515" s="7" t="s">
        <v>29</v>
      </c>
      <c r="F515" s="7" t="s">
        <v>226</v>
      </c>
      <c r="G515" s="7">
        <v>101.0277</v>
      </c>
      <c r="H515" s="7"/>
    </row>
    <row r="516" spans="1:8" x14ac:dyDescent="0.35">
      <c r="A516" s="7" t="s">
        <v>347</v>
      </c>
      <c r="B516" s="7" t="s">
        <v>26</v>
      </c>
      <c r="C516" s="7" t="s">
        <v>27</v>
      </c>
      <c r="D516" s="7" t="s">
        <v>28</v>
      </c>
      <c r="E516" s="7" t="s">
        <v>29</v>
      </c>
      <c r="F516" s="7" t="s">
        <v>227</v>
      </c>
      <c r="G516" s="7">
        <v>100.8263</v>
      </c>
      <c r="H516" s="7"/>
    </row>
    <row r="517" spans="1:8" x14ac:dyDescent="0.35">
      <c r="A517" s="7" t="s">
        <v>347</v>
      </c>
      <c r="B517" s="7" t="s">
        <v>26</v>
      </c>
      <c r="C517" s="7" t="s">
        <v>27</v>
      </c>
      <c r="D517" s="7" t="s">
        <v>28</v>
      </c>
      <c r="E517" s="7" t="s">
        <v>29</v>
      </c>
      <c r="F517" s="7" t="s">
        <v>228</v>
      </c>
      <c r="G517" s="7">
        <v>100.5972</v>
      </c>
      <c r="H517" s="7"/>
    </row>
    <row r="518" spans="1:8" x14ac:dyDescent="0.35">
      <c r="A518" s="7" t="s">
        <v>347</v>
      </c>
      <c r="B518" s="7" t="s">
        <v>26</v>
      </c>
      <c r="C518" s="7" t="s">
        <v>27</v>
      </c>
      <c r="D518" s="7" t="s">
        <v>28</v>
      </c>
      <c r="E518" s="7" t="s">
        <v>29</v>
      </c>
      <c r="F518" s="7" t="s">
        <v>229</v>
      </c>
      <c r="G518" s="7">
        <v>100.24930000000001</v>
      </c>
      <c r="H518" s="7"/>
    </row>
    <row r="519" spans="1:8" x14ac:dyDescent="0.35">
      <c r="A519" s="7" t="s">
        <v>347</v>
      </c>
      <c r="B519" s="7" t="s">
        <v>26</v>
      </c>
      <c r="C519" s="7" t="s">
        <v>27</v>
      </c>
      <c r="D519" s="7" t="s">
        <v>28</v>
      </c>
      <c r="E519" s="7" t="s">
        <v>29</v>
      </c>
      <c r="F519" s="7" t="s">
        <v>230</v>
      </c>
      <c r="G519" s="7">
        <v>99.808920000000001</v>
      </c>
      <c r="H519" s="7"/>
    </row>
    <row r="520" spans="1:8" x14ac:dyDescent="0.35">
      <c r="A520" s="7" t="s">
        <v>347</v>
      </c>
      <c r="B520" s="7" t="s">
        <v>26</v>
      </c>
      <c r="C520" s="7" t="s">
        <v>27</v>
      </c>
      <c r="D520" s="7" t="s">
        <v>28</v>
      </c>
      <c r="E520" s="7" t="s">
        <v>29</v>
      </c>
      <c r="F520" s="7" t="s">
        <v>231</v>
      </c>
      <c r="G520" s="7">
        <v>99.308210000000003</v>
      </c>
      <c r="H520" s="7"/>
    </row>
    <row r="521" spans="1:8" x14ac:dyDescent="0.35">
      <c r="A521" s="7" t="s">
        <v>347</v>
      </c>
      <c r="B521" s="7" t="s">
        <v>26</v>
      </c>
      <c r="C521" s="7" t="s">
        <v>27</v>
      </c>
      <c r="D521" s="7" t="s">
        <v>28</v>
      </c>
      <c r="E521" s="7" t="s">
        <v>29</v>
      </c>
      <c r="F521" s="7" t="s">
        <v>232</v>
      </c>
      <c r="G521" s="7">
        <v>98.766559999999998</v>
      </c>
      <c r="H521" s="7"/>
    </row>
    <row r="522" spans="1:8" x14ac:dyDescent="0.35">
      <c r="A522" s="7" t="s">
        <v>347</v>
      </c>
      <c r="B522" s="7" t="s">
        <v>26</v>
      </c>
      <c r="C522" s="7" t="s">
        <v>27</v>
      </c>
      <c r="D522" s="7" t="s">
        <v>28</v>
      </c>
      <c r="E522" s="7" t="s">
        <v>29</v>
      </c>
      <c r="F522" s="7" t="s">
        <v>233</v>
      </c>
      <c r="G522" s="7">
        <v>98.231909999999999</v>
      </c>
      <c r="H522" s="7"/>
    </row>
    <row r="523" spans="1:8" x14ac:dyDescent="0.35">
      <c r="A523" s="7" t="s">
        <v>347</v>
      </c>
      <c r="B523" s="7" t="s">
        <v>26</v>
      </c>
      <c r="C523" s="7" t="s">
        <v>27</v>
      </c>
      <c r="D523" s="7" t="s">
        <v>28</v>
      </c>
      <c r="E523" s="7" t="s">
        <v>29</v>
      </c>
      <c r="F523" s="7" t="s">
        <v>234</v>
      </c>
      <c r="G523" s="7">
        <v>97.762889999999999</v>
      </c>
      <c r="H523" s="7"/>
    </row>
    <row r="524" spans="1:8" x14ac:dyDescent="0.35">
      <c r="A524" s="7" t="s">
        <v>347</v>
      </c>
      <c r="B524" s="7" t="s">
        <v>26</v>
      </c>
      <c r="C524" s="7" t="s">
        <v>27</v>
      </c>
      <c r="D524" s="7" t="s">
        <v>28</v>
      </c>
      <c r="E524" s="7" t="s">
        <v>29</v>
      </c>
      <c r="F524" s="7" t="s">
        <v>235</v>
      </c>
      <c r="G524" s="7">
        <v>97.403949999999995</v>
      </c>
      <c r="H524" s="7"/>
    </row>
    <row r="525" spans="1:8" x14ac:dyDescent="0.35">
      <c r="A525" s="7" t="s">
        <v>347</v>
      </c>
      <c r="B525" s="7" t="s">
        <v>26</v>
      </c>
      <c r="C525" s="7" t="s">
        <v>27</v>
      </c>
      <c r="D525" s="7" t="s">
        <v>28</v>
      </c>
      <c r="E525" s="7" t="s">
        <v>29</v>
      </c>
      <c r="F525" s="7" t="s">
        <v>236</v>
      </c>
      <c r="G525" s="7">
        <v>97.094920000000002</v>
      </c>
      <c r="H525" s="7"/>
    </row>
    <row r="526" spans="1:8" x14ac:dyDescent="0.35">
      <c r="A526" s="7" t="s">
        <v>347</v>
      </c>
      <c r="B526" s="7" t="s">
        <v>26</v>
      </c>
      <c r="C526" s="7" t="s">
        <v>27</v>
      </c>
      <c r="D526" s="7" t="s">
        <v>28</v>
      </c>
      <c r="E526" s="7" t="s">
        <v>29</v>
      </c>
      <c r="F526" s="7" t="s">
        <v>237</v>
      </c>
      <c r="G526" s="7">
        <v>96.76849</v>
      </c>
      <c r="H526" s="7"/>
    </row>
    <row r="527" spans="1:8" x14ac:dyDescent="0.35">
      <c r="A527" s="7" t="s">
        <v>347</v>
      </c>
      <c r="B527" s="7" t="s">
        <v>26</v>
      </c>
      <c r="C527" s="7" t="s">
        <v>27</v>
      </c>
      <c r="D527" s="7" t="s">
        <v>28</v>
      </c>
      <c r="E527" s="7" t="s">
        <v>29</v>
      </c>
      <c r="F527" s="7" t="s">
        <v>238</v>
      </c>
      <c r="G527" s="7">
        <v>96.397769999999994</v>
      </c>
      <c r="H527" s="7"/>
    </row>
    <row r="528" spans="1:8" x14ac:dyDescent="0.35">
      <c r="A528" s="7" t="s">
        <v>347</v>
      </c>
      <c r="B528" s="7" t="s">
        <v>26</v>
      </c>
      <c r="C528" s="7" t="s">
        <v>27</v>
      </c>
      <c r="D528" s="7" t="s">
        <v>28</v>
      </c>
      <c r="E528" s="7" t="s">
        <v>29</v>
      </c>
      <c r="F528" s="7" t="s">
        <v>239</v>
      </c>
      <c r="G528" s="7">
        <v>96.061340000000001</v>
      </c>
      <c r="H528" s="7"/>
    </row>
    <row r="529" spans="1:8" x14ac:dyDescent="0.35">
      <c r="A529" s="7" t="s">
        <v>347</v>
      </c>
      <c r="B529" s="7" t="s">
        <v>26</v>
      </c>
      <c r="C529" s="7" t="s">
        <v>27</v>
      </c>
      <c r="D529" s="7" t="s">
        <v>28</v>
      </c>
      <c r="E529" s="7" t="s">
        <v>29</v>
      </c>
      <c r="F529" s="7" t="s">
        <v>240</v>
      </c>
      <c r="G529" s="7">
        <v>95.911069999999995</v>
      </c>
      <c r="H529" s="7"/>
    </row>
    <row r="530" spans="1:8" x14ac:dyDescent="0.35">
      <c r="A530" s="7" t="s">
        <v>347</v>
      </c>
      <c r="B530" s="7" t="s">
        <v>26</v>
      </c>
      <c r="C530" s="7" t="s">
        <v>27</v>
      </c>
      <c r="D530" s="7" t="s">
        <v>28</v>
      </c>
      <c r="E530" s="7" t="s">
        <v>29</v>
      </c>
      <c r="F530" s="7" t="s">
        <v>241</v>
      </c>
      <c r="G530" s="7">
        <v>96.105609999999999</v>
      </c>
      <c r="H530" s="7"/>
    </row>
    <row r="531" spans="1:8" x14ac:dyDescent="0.35">
      <c r="A531" s="7" t="s">
        <v>347</v>
      </c>
      <c r="B531" s="7" t="s">
        <v>26</v>
      </c>
      <c r="C531" s="7" t="s">
        <v>27</v>
      </c>
      <c r="D531" s="7" t="s">
        <v>28</v>
      </c>
      <c r="E531" s="7" t="s">
        <v>29</v>
      </c>
      <c r="F531" s="7" t="s">
        <v>242</v>
      </c>
      <c r="G531" s="7">
        <v>96.557810000000003</v>
      </c>
      <c r="H531" s="7"/>
    </row>
    <row r="532" spans="1:8" x14ac:dyDescent="0.35">
      <c r="A532" s="7" t="s">
        <v>347</v>
      </c>
      <c r="B532" s="7" t="s">
        <v>26</v>
      </c>
      <c r="C532" s="7" t="s">
        <v>27</v>
      </c>
      <c r="D532" s="7" t="s">
        <v>28</v>
      </c>
      <c r="E532" s="7" t="s">
        <v>29</v>
      </c>
      <c r="F532" s="7" t="s">
        <v>243</v>
      </c>
      <c r="G532" s="7">
        <v>97.206850000000003</v>
      </c>
      <c r="H532" s="7"/>
    </row>
    <row r="533" spans="1:8" x14ac:dyDescent="0.35">
      <c r="A533" s="7" t="s">
        <v>347</v>
      </c>
      <c r="B533" s="7" t="s">
        <v>26</v>
      </c>
      <c r="C533" s="7" t="s">
        <v>27</v>
      </c>
      <c r="D533" s="7" t="s">
        <v>28</v>
      </c>
      <c r="E533" s="7" t="s">
        <v>29</v>
      </c>
      <c r="F533" s="7" t="s">
        <v>244</v>
      </c>
      <c r="G533" s="7">
        <v>98.032820000000001</v>
      </c>
      <c r="H533" s="7"/>
    </row>
    <row r="534" spans="1:8" x14ac:dyDescent="0.35">
      <c r="A534" s="7" t="s">
        <v>347</v>
      </c>
      <c r="B534" s="7" t="s">
        <v>26</v>
      </c>
      <c r="C534" s="7" t="s">
        <v>27</v>
      </c>
      <c r="D534" s="7" t="s">
        <v>28</v>
      </c>
      <c r="E534" s="7" t="s">
        <v>29</v>
      </c>
      <c r="F534" s="7" t="s">
        <v>245</v>
      </c>
      <c r="G534" s="7">
        <v>98.874350000000007</v>
      </c>
      <c r="H534" s="7"/>
    </row>
    <row r="535" spans="1:8" x14ac:dyDescent="0.35">
      <c r="A535" s="7" t="s">
        <v>347</v>
      </c>
      <c r="B535" s="7" t="s">
        <v>26</v>
      </c>
      <c r="C535" s="7" t="s">
        <v>27</v>
      </c>
      <c r="D535" s="7" t="s">
        <v>28</v>
      </c>
      <c r="E535" s="7" t="s">
        <v>29</v>
      </c>
      <c r="F535" s="7" t="s">
        <v>246</v>
      </c>
      <c r="G535" s="7">
        <v>99.533069999999995</v>
      </c>
      <c r="H535" s="7"/>
    </row>
    <row r="536" spans="1:8" x14ac:dyDescent="0.35">
      <c r="A536" s="7" t="s">
        <v>347</v>
      </c>
      <c r="B536" s="7" t="s">
        <v>26</v>
      </c>
      <c r="C536" s="7" t="s">
        <v>27</v>
      </c>
      <c r="D536" s="7" t="s">
        <v>28</v>
      </c>
      <c r="E536" s="7" t="s">
        <v>29</v>
      </c>
      <c r="F536" s="7" t="s">
        <v>247</v>
      </c>
      <c r="G536" s="7">
        <v>99.86251</v>
      </c>
      <c r="H536" s="7"/>
    </row>
    <row r="537" spans="1:8" x14ac:dyDescent="0.35">
      <c r="A537" s="7" t="s">
        <v>347</v>
      </c>
      <c r="B537" s="7" t="s">
        <v>26</v>
      </c>
      <c r="C537" s="7" t="s">
        <v>27</v>
      </c>
      <c r="D537" s="7" t="s">
        <v>28</v>
      </c>
      <c r="E537" s="7" t="s">
        <v>29</v>
      </c>
      <c r="F537" s="7" t="s">
        <v>248</v>
      </c>
      <c r="G537" s="7">
        <v>100.0398</v>
      </c>
      <c r="H537" s="7"/>
    </row>
    <row r="538" spans="1:8" x14ac:dyDescent="0.35">
      <c r="A538" s="7" t="s">
        <v>347</v>
      </c>
      <c r="B538" s="7" t="s">
        <v>26</v>
      </c>
      <c r="C538" s="7" t="s">
        <v>27</v>
      </c>
      <c r="D538" s="7" t="s">
        <v>28</v>
      </c>
      <c r="E538" s="7" t="s">
        <v>29</v>
      </c>
      <c r="F538" s="7" t="s">
        <v>249</v>
      </c>
      <c r="G538" s="7">
        <v>100.2925</v>
      </c>
      <c r="H538" s="7"/>
    </row>
    <row r="539" spans="1:8" x14ac:dyDescent="0.35">
      <c r="A539" s="7" t="s">
        <v>347</v>
      </c>
      <c r="B539" s="7" t="s">
        <v>26</v>
      </c>
      <c r="C539" s="7" t="s">
        <v>27</v>
      </c>
      <c r="D539" s="7" t="s">
        <v>28</v>
      </c>
      <c r="E539" s="7" t="s">
        <v>29</v>
      </c>
      <c r="F539" s="7" t="s">
        <v>250</v>
      </c>
      <c r="G539" s="7">
        <v>100.77800000000001</v>
      </c>
      <c r="H539" s="7"/>
    </row>
    <row r="540" spans="1:8" x14ac:dyDescent="0.35">
      <c r="A540" s="7" t="s">
        <v>347</v>
      </c>
      <c r="B540" s="7" t="s">
        <v>26</v>
      </c>
      <c r="C540" s="7" t="s">
        <v>27</v>
      </c>
      <c r="D540" s="7" t="s">
        <v>28</v>
      </c>
      <c r="E540" s="7" t="s">
        <v>29</v>
      </c>
      <c r="F540" s="7" t="s">
        <v>251</v>
      </c>
      <c r="G540" s="7">
        <v>101.3869</v>
      </c>
      <c r="H540" s="7"/>
    </row>
    <row r="541" spans="1:8" x14ac:dyDescent="0.35">
      <c r="A541" s="7" t="s">
        <v>347</v>
      </c>
      <c r="B541" s="7" t="s">
        <v>26</v>
      </c>
      <c r="C541" s="7" t="s">
        <v>27</v>
      </c>
      <c r="D541" s="7" t="s">
        <v>28</v>
      </c>
      <c r="E541" s="7" t="s">
        <v>29</v>
      </c>
      <c r="F541" s="7" t="s">
        <v>252</v>
      </c>
      <c r="G541" s="7">
        <v>101.9526</v>
      </c>
      <c r="H541" s="7"/>
    </row>
    <row r="542" spans="1:8" x14ac:dyDescent="0.35">
      <c r="A542" s="7" t="s">
        <v>347</v>
      </c>
      <c r="B542" s="7" t="s">
        <v>26</v>
      </c>
      <c r="C542" s="7" t="s">
        <v>27</v>
      </c>
      <c r="D542" s="7" t="s">
        <v>28</v>
      </c>
      <c r="E542" s="7" t="s">
        <v>29</v>
      </c>
      <c r="F542" s="7" t="s">
        <v>253</v>
      </c>
      <c r="G542" s="7">
        <v>102.33669999999999</v>
      </c>
      <c r="H542" s="7"/>
    </row>
    <row r="543" spans="1:8" x14ac:dyDescent="0.35">
      <c r="A543" s="7" t="s">
        <v>347</v>
      </c>
      <c r="B543" s="7" t="s">
        <v>26</v>
      </c>
      <c r="C543" s="7" t="s">
        <v>27</v>
      </c>
      <c r="D543" s="7" t="s">
        <v>28</v>
      </c>
      <c r="E543" s="7" t="s">
        <v>29</v>
      </c>
      <c r="F543" s="7" t="s">
        <v>254</v>
      </c>
      <c r="G543" s="7">
        <v>102.55880000000001</v>
      </c>
      <c r="H543" s="7"/>
    </row>
    <row r="544" spans="1:8" x14ac:dyDescent="0.35">
      <c r="A544" s="7" t="s">
        <v>347</v>
      </c>
      <c r="B544" s="7" t="s">
        <v>26</v>
      </c>
      <c r="C544" s="7" t="s">
        <v>27</v>
      </c>
      <c r="D544" s="7" t="s">
        <v>28</v>
      </c>
      <c r="E544" s="7" t="s">
        <v>29</v>
      </c>
      <c r="F544" s="7" t="s">
        <v>255</v>
      </c>
      <c r="G544" s="7">
        <v>102.6225</v>
      </c>
      <c r="H544" s="7"/>
    </row>
    <row r="545" spans="1:8" x14ac:dyDescent="0.35">
      <c r="A545" s="7" t="s">
        <v>347</v>
      </c>
      <c r="B545" s="7" t="s">
        <v>26</v>
      </c>
      <c r="C545" s="7" t="s">
        <v>27</v>
      </c>
      <c r="D545" s="7" t="s">
        <v>28</v>
      </c>
      <c r="E545" s="7" t="s">
        <v>29</v>
      </c>
      <c r="F545" s="7" t="s">
        <v>256</v>
      </c>
      <c r="G545" s="7">
        <v>102.5043</v>
      </c>
      <c r="H545" s="7"/>
    </row>
    <row r="546" spans="1:8" x14ac:dyDescent="0.35">
      <c r="A546" s="7" t="s">
        <v>347</v>
      </c>
      <c r="B546" s="7" t="s">
        <v>26</v>
      </c>
      <c r="C546" s="7" t="s">
        <v>27</v>
      </c>
      <c r="D546" s="7" t="s">
        <v>28</v>
      </c>
      <c r="E546" s="7" t="s">
        <v>29</v>
      </c>
      <c r="F546" s="7" t="s">
        <v>257</v>
      </c>
      <c r="G546" s="7">
        <v>102.3004</v>
      </c>
      <c r="H546" s="7"/>
    </row>
    <row r="547" spans="1:8" x14ac:dyDescent="0.35">
      <c r="A547" s="7" t="s">
        <v>347</v>
      </c>
      <c r="B547" s="7" t="s">
        <v>26</v>
      </c>
      <c r="C547" s="7" t="s">
        <v>27</v>
      </c>
      <c r="D547" s="7" t="s">
        <v>28</v>
      </c>
      <c r="E547" s="7" t="s">
        <v>29</v>
      </c>
      <c r="F547" s="7" t="s">
        <v>258</v>
      </c>
      <c r="G547" s="7">
        <v>102.1018</v>
      </c>
      <c r="H547" s="7"/>
    </row>
    <row r="548" spans="1:8" x14ac:dyDescent="0.35">
      <c r="A548" s="7" t="s">
        <v>347</v>
      </c>
      <c r="B548" s="7" t="s">
        <v>26</v>
      </c>
      <c r="C548" s="7" t="s">
        <v>27</v>
      </c>
      <c r="D548" s="7" t="s">
        <v>28</v>
      </c>
      <c r="E548" s="7" t="s">
        <v>29</v>
      </c>
      <c r="F548" s="7" t="s">
        <v>259</v>
      </c>
      <c r="G548" s="7">
        <v>101.9559</v>
      </c>
      <c r="H548" s="7"/>
    </row>
    <row r="549" spans="1:8" x14ac:dyDescent="0.35">
      <c r="A549" s="7" t="s">
        <v>347</v>
      </c>
      <c r="B549" s="7" t="s">
        <v>26</v>
      </c>
      <c r="C549" s="7" t="s">
        <v>27</v>
      </c>
      <c r="D549" s="7" t="s">
        <v>28</v>
      </c>
      <c r="E549" s="7" t="s">
        <v>29</v>
      </c>
      <c r="F549" s="7" t="s">
        <v>260</v>
      </c>
      <c r="G549" s="7">
        <v>101.8219</v>
      </c>
      <c r="H549" s="7"/>
    </row>
    <row r="550" spans="1:8" x14ac:dyDescent="0.35">
      <c r="A550" s="7" t="s">
        <v>347</v>
      </c>
      <c r="B550" s="7" t="s">
        <v>26</v>
      </c>
      <c r="C550" s="7" t="s">
        <v>27</v>
      </c>
      <c r="D550" s="7" t="s">
        <v>28</v>
      </c>
      <c r="E550" s="7" t="s">
        <v>29</v>
      </c>
      <c r="F550" s="7" t="s">
        <v>261</v>
      </c>
      <c r="G550" s="7">
        <v>101.62560000000001</v>
      </c>
      <c r="H550" s="7"/>
    </row>
    <row r="551" spans="1:8" x14ac:dyDescent="0.35">
      <c r="A551" s="7" t="s">
        <v>347</v>
      </c>
      <c r="B551" s="7" t="s">
        <v>26</v>
      </c>
      <c r="C551" s="7" t="s">
        <v>27</v>
      </c>
      <c r="D551" s="7" t="s">
        <v>28</v>
      </c>
      <c r="E551" s="7" t="s">
        <v>29</v>
      </c>
      <c r="F551" s="7" t="s">
        <v>262</v>
      </c>
      <c r="G551" s="7">
        <v>101.30240000000001</v>
      </c>
      <c r="H551" s="7"/>
    </row>
    <row r="552" spans="1:8" x14ac:dyDescent="0.35">
      <c r="A552" s="7" t="s">
        <v>347</v>
      </c>
      <c r="B552" s="7" t="s">
        <v>26</v>
      </c>
      <c r="C552" s="7" t="s">
        <v>27</v>
      </c>
      <c r="D552" s="7" t="s">
        <v>28</v>
      </c>
      <c r="E552" s="7" t="s">
        <v>29</v>
      </c>
      <c r="F552" s="7" t="s">
        <v>263</v>
      </c>
      <c r="G552" s="7">
        <v>100.9027</v>
      </c>
      <c r="H552" s="7"/>
    </row>
    <row r="553" spans="1:8" x14ac:dyDescent="0.35">
      <c r="A553" s="7" t="s">
        <v>347</v>
      </c>
      <c r="B553" s="7" t="s">
        <v>26</v>
      </c>
      <c r="C553" s="7" t="s">
        <v>27</v>
      </c>
      <c r="D553" s="7" t="s">
        <v>28</v>
      </c>
      <c r="E553" s="7" t="s">
        <v>29</v>
      </c>
      <c r="F553" s="7" t="s">
        <v>264</v>
      </c>
      <c r="G553" s="7">
        <v>100.48650000000001</v>
      </c>
      <c r="H553" s="7"/>
    </row>
    <row r="554" spans="1:8" x14ac:dyDescent="0.35">
      <c r="A554" s="7" t="s">
        <v>347</v>
      </c>
      <c r="B554" s="7" t="s">
        <v>26</v>
      </c>
      <c r="C554" s="7" t="s">
        <v>27</v>
      </c>
      <c r="D554" s="7" t="s">
        <v>28</v>
      </c>
      <c r="E554" s="7" t="s">
        <v>29</v>
      </c>
      <c r="F554" s="7" t="s">
        <v>265</v>
      </c>
      <c r="G554" s="7">
        <v>100.095</v>
      </c>
      <c r="H554" s="7"/>
    </row>
    <row r="555" spans="1:8" x14ac:dyDescent="0.35">
      <c r="A555" s="7" t="s">
        <v>347</v>
      </c>
      <c r="B555" s="7" t="s">
        <v>26</v>
      </c>
      <c r="C555" s="7" t="s">
        <v>27</v>
      </c>
      <c r="D555" s="7" t="s">
        <v>28</v>
      </c>
      <c r="E555" s="7" t="s">
        <v>29</v>
      </c>
      <c r="F555" s="7" t="s">
        <v>266</v>
      </c>
      <c r="G555" s="7">
        <v>99.73845</v>
      </c>
      <c r="H555" s="7"/>
    </row>
    <row r="556" spans="1:8" x14ac:dyDescent="0.35">
      <c r="A556" s="7" t="s">
        <v>347</v>
      </c>
      <c r="B556" s="7" t="s">
        <v>26</v>
      </c>
      <c r="C556" s="7" t="s">
        <v>27</v>
      </c>
      <c r="D556" s="7" t="s">
        <v>28</v>
      </c>
      <c r="E556" s="7" t="s">
        <v>29</v>
      </c>
      <c r="F556" s="7" t="s">
        <v>267</v>
      </c>
      <c r="G556" s="7">
        <v>99.432119999999998</v>
      </c>
      <c r="H556" s="7"/>
    </row>
    <row r="557" spans="1:8" x14ac:dyDescent="0.35">
      <c r="A557" s="7" t="s">
        <v>347</v>
      </c>
      <c r="B557" s="7" t="s">
        <v>26</v>
      </c>
      <c r="C557" s="7" t="s">
        <v>27</v>
      </c>
      <c r="D557" s="7" t="s">
        <v>28</v>
      </c>
      <c r="E557" s="7" t="s">
        <v>29</v>
      </c>
      <c r="F557" s="7" t="s">
        <v>268</v>
      </c>
      <c r="G557" s="7">
        <v>99.197069999999997</v>
      </c>
      <c r="H557" s="7"/>
    </row>
    <row r="558" spans="1:8" x14ac:dyDescent="0.35">
      <c r="A558" s="7" t="s">
        <v>347</v>
      </c>
      <c r="B558" s="7" t="s">
        <v>26</v>
      </c>
      <c r="C558" s="7" t="s">
        <v>27</v>
      </c>
      <c r="D558" s="7" t="s">
        <v>28</v>
      </c>
      <c r="E558" s="7" t="s">
        <v>29</v>
      </c>
      <c r="F558" s="7" t="s">
        <v>269</v>
      </c>
      <c r="G558" s="7">
        <v>99.011080000000007</v>
      </c>
      <c r="H558" s="7"/>
    </row>
    <row r="559" spans="1:8" x14ac:dyDescent="0.35">
      <c r="A559" s="7" t="s">
        <v>347</v>
      </c>
      <c r="B559" s="7" t="s">
        <v>26</v>
      </c>
      <c r="C559" s="7" t="s">
        <v>27</v>
      </c>
      <c r="D559" s="7" t="s">
        <v>28</v>
      </c>
      <c r="E559" s="7" t="s">
        <v>29</v>
      </c>
      <c r="F559" s="7" t="s">
        <v>270</v>
      </c>
      <c r="G559" s="7">
        <v>98.866979999999998</v>
      </c>
      <c r="H559" s="7"/>
    </row>
    <row r="560" spans="1:8" x14ac:dyDescent="0.35">
      <c r="A560" s="7" t="s">
        <v>347</v>
      </c>
      <c r="B560" s="7" t="s">
        <v>26</v>
      </c>
      <c r="C560" s="7" t="s">
        <v>27</v>
      </c>
      <c r="D560" s="7" t="s">
        <v>28</v>
      </c>
      <c r="E560" s="7" t="s">
        <v>29</v>
      </c>
      <c r="F560" s="7" t="s">
        <v>271</v>
      </c>
      <c r="G560" s="7">
        <v>98.782200000000003</v>
      </c>
      <c r="H560" s="7"/>
    </row>
    <row r="561" spans="1:8" x14ac:dyDescent="0.35">
      <c r="A561" s="7" t="s">
        <v>347</v>
      </c>
      <c r="B561" s="7" t="s">
        <v>26</v>
      </c>
      <c r="C561" s="7" t="s">
        <v>27</v>
      </c>
      <c r="D561" s="7" t="s">
        <v>28</v>
      </c>
      <c r="E561" s="7" t="s">
        <v>29</v>
      </c>
      <c r="F561" s="7" t="s">
        <v>272</v>
      </c>
      <c r="G561" s="7">
        <v>98.766199999999998</v>
      </c>
      <c r="H561" s="7"/>
    </row>
    <row r="562" spans="1:8" x14ac:dyDescent="0.35">
      <c r="A562" s="7" t="s">
        <v>347</v>
      </c>
      <c r="B562" s="7" t="s">
        <v>26</v>
      </c>
      <c r="C562" s="7" t="s">
        <v>27</v>
      </c>
      <c r="D562" s="7" t="s">
        <v>28</v>
      </c>
      <c r="E562" s="7" t="s">
        <v>29</v>
      </c>
      <c r="F562" s="7" t="s">
        <v>273</v>
      </c>
      <c r="G562" s="7">
        <v>98.858689999999996</v>
      </c>
      <c r="H562" s="7"/>
    </row>
    <row r="563" spans="1:8" x14ac:dyDescent="0.35">
      <c r="A563" s="7" t="s">
        <v>347</v>
      </c>
      <c r="B563" s="7" t="s">
        <v>26</v>
      </c>
      <c r="C563" s="7" t="s">
        <v>27</v>
      </c>
      <c r="D563" s="7" t="s">
        <v>28</v>
      </c>
      <c r="E563" s="7" t="s">
        <v>29</v>
      </c>
      <c r="F563" s="7" t="s">
        <v>274</v>
      </c>
      <c r="G563" s="7">
        <v>99.099059999999994</v>
      </c>
      <c r="H563" s="7"/>
    </row>
    <row r="564" spans="1:8" x14ac:dyDescent="0.35">
      <c r="A564" s="7" t="s">
        <v>347</v>
      </c>
      <c r="B564" s="7" t="s">
        <v>26</v>
      </c>
      <c r="C564" s="7" t="s">
        <v>27</v>
      </c>
      <c r="D564" s="7" t="s">
        <v>28</v>
      </c>
      <c r="E564" s="7" t="s">
        <v>29</v>
      </c>
      <c r="F564" s="7" t="s">
        <v>275</v>
      </c>
      <c r="G564" s="7">
        <v>99.387299999999996</v>
      </c>
      <c r="H564" s="7"/>
    </row>
    <row r="565" spans="1:8" x14ac:dyDescent="0.35">
      <c r="A565" s="7" t="s">
        <v>347</v>
      </c>
      <c r="B565" s="7" t="s">
        <v>26</v>
      </c>
      <c r="C565" s="7" t="s">
        <v>27</v>
      </c>
      <c r="D565" s="7" t="s">
        <v>28</v>
      </c>
      <c r="E565" s="7" t="s">
        <v>29</v>
      </c>
      <c r="F565" s="7" t="s">
        <v>276</v>
      </c>
      <c r="G565" s="7">
        <v>99.593800000000002</v>
      </c>
      <c r="H565" s="7"/>
    </row>
    <row r="566" spans="1:8" x14ac:dyDescent="0.35">
      <c r="A566" s="7" t="s">
        <v>347</v>
      </c>
      <c r="B566" s="7" t="s">
        <v>26</v>
      </c>
      <c r="C566" s="7" t="s">
        <v>27</v>
      </c>
      <c r="D566" s="7" t="s">
        <v>28</v>
      </c>
      <c r="E566" s="7" t="s">
        <v>29</v>
      </c>
      <c r="F566" s="7" t="s">
        <v>277</v>
      </c>
      <c r="G566" s="7">
        <v>99.621279999999999</v>
      </c>
      <c r="H566" s="7"/>
    </row>
    <row r="567" spans="1:8" x14ac:dyDescent="0.35">
      <c r="A567" s="7" t="s">
        <v>347</v>
      </c>
      <c r="B567" s="7" t="s">
        <v>26</v>
      </c>
      <c r="C567" s="7" t="s">
        <v>27</v>
      </c>
      <c r="D567" s="7" t="s">
        <v>28</v>
      </c>
      <c r="E567" s="7" t="s">
        <v>29</v>
      </c>
      <c r="F567" s="7" t="s">
        <v>278</v>
      </c>
      <c r="G567" s="7">
        <v>99.548519999999996</v>
      </c>
      <c r="H567" s="7"/>
    </row>
    <row r="568" spans="1:8" x14ac:dyDescent="0.35">
      <c r="A568" s="7" t="s">
        <v>347</v>
      </c>
      <c r="B568" s="7" t="s">
        <v>26</v>
      </c>
      <c r="C568" s="7" t="s">
        <v>27</v>
      </c>
      <c r="D568" s="7" t="s">
        <v>28</v>
      </c>
      <c r="E568" s="7" t="s">
        <v>29</v>
      </c>
      <c r="F568" s="7" t="s">
        <v>279</v>
      </c>
      <c r="G568" s="7">
        <v>99.477310000000003</v>
      </c>
      <c r="H568" s="7"/>
    </row>
    <row r="569" spans="1:8" x14ac:dyDescent="0.35">
      <c r="A569" s="7" t="s">
        <v>347</v>
      </c>
      <c r="B569" s="7" t="s">
        <v>26</v>
      </c>
      <c r="C569" s="7" t="s">
        <v>27</v>
      </c>
      <c r="D569" s="7" t="s">
        <v>28</v>
      </c>
      <c r="E569" s="7" t="s">
        <v>29</v>
      </c>
      <c r="F569" s="7" t="s">
        <v>280</v>
      </c>
      <c r="G569" s="7">
        <v>99.479690000000005</v>
      </c>
      <c r="H569" s="7"/>
    </row>
    <row r="570" spans="1:8" x14ac:dyDescent="0.35">
      <c r="A570" s="7" t="s">
        <v>347</v>
      </c>
      <c r="B570" s="7" t="s">
        <v>26</v>
      </c>
      <c r="C570" s="7" t="s">
        <v>27</v>
      </c>
      <c r="D570" s="7" t="s">
        <v>28</v>
      </c>
      <c r="E570" s="7" t="s">
        <v>29</v>
      </c>
      <c r="F570" s="7" t="s">
        <v>281</v>
      </c>
      <c r="G570" s="7">
        <v>99.543559999999999</v>
      </c>
      <c r="H570" s="7"/>
    </row>
    <row r="571" spans="1:8" x14ac:dyDescent="0.35">
      <c r="A571" s="7" t="s">
        <v>347</v>
      </c>
      <c r="B571" s="7" t="s">
        <v>26</v>
      </c>
      <c r="C571" s="7" t="s">
        <v>27</v>
      </c>
      <c r="D571" s="7" t="s">
        <v>28</v>
      </c>
      <c r="E571" s="7" t="s">
        <v>29</v>
      </c>
      <c r="F571" s="7" t="s">
        <v>282</v>
      </c>
      <c r="G571" s="7">
        <v>99.649609999999996</v>
      </c>
      <c r="H571" s="7"/>
    </row>
    <row r="572" spans="1:8" x14ac:dyDescent="0.35">
      <c r="A572" s="7" t="s">
        <v>347</v>
      </c>
      <c r="B572" s="7" t="s">
        <v>26</v>
      </c>
      <c r="C572" s="7" t="s">
        <v>27</v>
      </c>
      <c r="D572" s="7" t="s">
        <v>28</v>
      </c>
      <c r="E572" s="7" t="s">
        <v>29</v>
      </c>
      <c r="F572" s="7" t="s">
        <v>283</v>
      </c>
      <c r="G572" s="7">
        <v>99.786609999999996</v>
      </c>
      <c r="H572" s="7"/>
    </row>
    <row r="573" spans="1:8" x14ac:dyDescent="0.35">
      <c r="A573" s="7" t="s">
        <v>347</v>
      </c>
      <c r="B573" s="7" t="s">
        <v>26</v>
      </c>
      <c r="C573" s="7" t="s">
        <v>27</v>
      </c>
      <c r="D573" s="7" t="s">
        <v>28</v>
      </c>
      <c r="E573" s="7" t="s">
        <v>29</v>
      </c>
      <c r="F573" s="7" t="s">
        <v>284</v>
      </c>
      <c r="G573" s="7">
        <v>99.924580000000006</v>
      </c>
      <c r="H573" s="7"/>
    </row>
    <row r="574" spans="1:8" x14ac:dyDescent="0.35">
      <c r="A574" s="7" t="s">
        <v>347</v>
      </c>
      <c r="B574" s="7" t="s">
        <v>26</v>
      </c>
      <c r="C574" s="7" t="s">
        <v>27</v>
      </c>
      <c r="D574" s="7" t="s">
        <v>28</v>
      </c>
      <c r="E574" s="7" t="s">
        <v>29</v>
      </c>
      <c r="F574" s="7" t="s">
        <v>285</v>
      </c>
      <c r="G574" s="7">
        <v>100.0288</v>
      </c>
      <c r="H574" s="7"/>
    </row>
    <row r="575" spans="1:8" x14ac:dyDescent="0.35">
      <c r="A575" s="7" t="s">
        <v>347</v>
      </c>
      <c r="B575" s="7" t="s">
        <v>26</v>
      </c>
      <c r="C575" s="7" t="s">
        <v>27</v>
      </c>
      <c r="D575" s="7" t="s">
        <v>28</v>
      </c>
      <c r="E575" s="7" t="s">
        <v>29</v>
      </c>
      <c r="F575" s="7" t="s">
        <v>286</v>
      </c>
      <c r="G575" s="7">
        <v>100.0729</v>
      </c>
      <c r="H575" s="7"/>
    </row>
    <row r="576" spans="1:8" x14ac:dyDescent="0.35">
      <c r="A576" s="7" t="s">
        <v>347</v>
      </c>
      <c r="B576" s="7" t="s">
        <v>26</v>
      </c>
      <c r="C576" s="7" t="s">
        <v>27</v>
      </c>
      <c r="D576" s="7" t="s">
        <v>28</v>
      </c>
      <c r="E576" s="7" t="s">
        <v>29</v>
      </c>
      <c r="F576" s="7" t="s">
        <v>287</v>
      </c>
      <c r="G576" s="7">
        <v>100.08540000000001</v>
      </c>
      <c r="H576" s="7"/>
    </row>
    <row r="577" spans="1:8" x14ac:dyDescent="0.35">
      <c r="A577" s="7" t="s">
        <v>347</v>
      </c>
      <c r="B577" s="7" t="s">
        <v>26</v>
      </c>
      <c r="C577" s="7" t="s">
        <v>27</v>
      </c>
      <c r="D577" s="7" t="s">
        <v>28</v>
      </c>
      <c r="E577" s="7" t="s">
        <v>29</v>
      </c>
      <c r="F577" s="7" t="s">
        <v>288</v>
      </c>
      <c r="G577" s="7">
        <v>100.1026</v>
      </c>
      <c r="H577" s="7"/>
    </row>
    <row r="578" spans="1:8" x14ac:dyDescent="0.35">
      <c r="A578" s="7" t="s">
        <v>347</v>
      </c>
      <c r="B578" s="7" t="s">
        <v>26</v>
      </c>
      <c r="C578" s="7" t="s">
        <v>27</v>
      </c>
      <c r="D578" s="7" t="s">
        <v>28</v>
      </c>
      <c r="E578" s="7" t="s">
        <v>29</v>
      </c>
      <c r="F578" s="7" t="s">
        <v>289</v>
      </c>
      <c r="G578" s="7">
        <v>100.1532</v>
      </c>
      <c r="H578" s="7"/>
    </row>
    <row r="579" spans="1:8" x14ac:dyDescent="0.35">
      <c r="A579" s="7" t="s">
        <v>347</v>
      </c>
      <c r="B579" s="7" t="s">
        <v>26</v>
      </c>
      <c r="C579" s="7" t="s">
        <v>27</v>
      </c>
      <c r="D579" s="7" t="s">
        <v>28</v>
      </c>
      <c r="E579" s="7" t="s">
        <v>29</v>
      </c>
      <c r="F579" s="7" t="s">
        <v>290</v>
      </c>
      <c r="G579" s="7">
        <v>100.2376</v>
      </c>
      <c r="H579" s="7"/>
    </row>
    <row r="580" spans="1:8" x14ac:dyDescent="0.35">
      <c r="A580" s="7" t="s">
        <v>347</v>
      </c>
      <c r="B580" s="7" t="s">
        <v>26</v>
      </c>
      <c r="C580" s="7" t="s">
        <v>27</v>
      </c>
      <c r="D580" s="7" t="s">
        <v>28</v>
      </c>
      <c r="E580" s="7" t="s">
        <v>29</v>
      </c>
      <c r="F580" s="7" t="s">
        <v>291</v>
      </c>
      <c r="G580" s="7">
        <v>100.3592</v>
      </c>
      <c r="H580" s="7"/>
    </row>
    <row r="581" spans="1:8" x14ac:dyDescent="0.35">
      <c r="A581" s="7" t="s">
        <v>347</v>
      </c>
      <c r="B581" s="7" t="s">
        <v>26</v>
      </c>
      <c r="C581" s="7" t="s">
        <v>27</v>
      </c>
      <c r="D581" s="7" t="s">
        <v>28</v>
      </c>
      <c r="E581" s="7" t="s">
        <v>29</v>
      </c>
      <c r="F581" s="7" t="s">
        <v>292</v>
      </c>
      <c r="G581" s="7">
        <v>100.5222</v>
      </c>
      <c r="H581" s="7"/>
    </row>
    <row r="582" spans="1:8" x14ac:dyDescent="0.35">
      <c r="A582" s="7" t="s">
        <v>347</v>
      </c>
      <c r="B582" s="7" t="s">
        <v>26</v>
      </c>
      <c r="C582" s="7" t="s">
        <v>27</v>
      </c>
      <c r="D582" s="7" t="s">
        <v>28</v>
      </c>
      <c r="E582" s="7" t="s">
        <v>29</v>
      </c>
      <c r="F582" s="7" t="s">
        <v>293</v>
      </c>
      <c r="G582" s="7">
        <v>100.69119999999999</v>
      </c>
      <c r="H582" s="7"/>
    </row>
    <row r="583" spans="1:8" x14ac:dyDescent="0.35">
      <c r="A583" s="7" t="s">
        <v>347</v>
      </c>
      <c r="B583" s="7" t="s">
        <v>26</v>
      </c>
      <c r="C583" s="7" t="s">
        <v>27</v>
      </c>
      <c r="D583" s="7" t="s">
        <v>28</v>
      </c>
      <c r="E583" s="7" t="s">
        <v>29</v>
      </c>
      <c r="F583" s="7" t="s">
        <v>294</v>
      </c>
      <c r="G583" s="7">
        <v>100.81780000000001</v>
      </c>
      <c r="H583" s="7"/>
    </row>
    <row r="584" spans="1:8" x14ac:dyDescent="0.35">
      <c r="A584" s="7" t="s">
        <v>347</v>
      </c>
      <c r="B584" s="7" t="s">
        <v>26</v>
      </c>
      <c r="C584" s="7" t="s">
        <v>27</v>
      </c>
      <c r="D584" s="7" t="s">
        <v>28</v>
      </c>
      <c r="E584" s="7" t="s">
        <v>29</v>
      </c>
      <c r="F584" s="7" t="s">
        <v>295</v>
      </c>
      <c r="G584" s="7">
        <v>100.86060000000001</v>
      </c>
      <c r="H584" s="7"/>
    </row>
    <row r="585" spans="1:8" x14ac:dyDescent="0.35">
      <c r="A585" s="7" t="s">
        <v>347</v>
      </c>
      <c r="B585" s="7" t="s">
        <v>26</v>
      </c>
      <c r="C585" s="7" t="s">
        <v>27</v>
      </c>
      <c r="D585" s="7" t="s">
        <v>28</v>
      </c>
      <c r="E585" s="7" t="s">
        <v>29</v>
      </c>
      <c r="F585" s="7" t="s">
        <v>296</v>
      </c>
      <c r="G585" s="7">
        <v>100.8475</v>
      </c>
      <c r="H585" s="7"/>
    </row>
    <row r="586" spans="1:8" x14ac:dyDescent="0.35">
      <c r="A586" s="7" t="s">
        <v>347</v>
      </c>
      <c r="B586" s="7" t="s">
        <v>26</v>
      </c>
      <c r="C586" s="7" t="s">
        <v>27</v>
      </c>
      <c r="D586" s="7" t="s">
        <v>28</v>
      </c>
      <c r="E586" s="7" t="s">
        <v>29</v>
      </c>
      <c r="F586" s="7" t="s">
        <v>297</v>
      </c>
      <c r="G586" s="7">
        <v>100.80880000000001</v>
      </c>
      <c r="H586" s="7"/>
    </row>
    <row r="587" spans="1:8" x14ac:dyDescent="0.35">
      <c r="A587" s="7" t="s">
        <v>347</v>
      </c>
      <c r="B587" s="7" t="s">
        <v>26</v>
      </c>
      <c r="C587" s="7" t="s">
        <v>27</v>
      </c>
      <c r="D587" s="7" t="s">
        <v>28</v>
      </c>
      <c r="E587" s="7" t="s">
        <v>29</v>
      </c>
      <c r="F587" s="7" t="s">
        <v>298</v>
      </c>
      <c r="G587" s="7">
        <v>100.7654</v>
      </c>
      <c r="H587" s="7"/>
    </row>
    <row r="588" spans="1:8" x14ac:dyDescent="0.35">
      <c r="A588" s="7" t="s">
        <v>347</v>
      </c>
      <c r="B588" s="7" t="s">
        <v>26</v>
      </c>
      <c r="C588" s="7" t="s">
        <v>27</v>
      </c>
      <c r="D588" s="7" t="s">
        <v>28</v>
      </c>
      <c r="E588" s="7" t="s">
        <v>29</v>
      </c>
      <c r="F588" s="7" t="s">
        <v>299</v>
      </c>
      <c r="G588" s="7">
        <v>100.74299999999999</v>
      </c>
      <c r="H588" s="7"/>
    </row>
    <row r="589" spans="1:8" x14ac:dyDescent="0.35">
      <c r="A589" s="7" t="s">
        <v>347</v>
      </c>
      <c r="B589" s="7" t="s">
        <v>26</v>
      </c>
      <c r="C589" s="7" t="s">
        <v>27</v>
      </c>
      <c r="D589" s="7" t="s">
        <v>28</v>
      </c>
      <c r="E589" s="7" t="s">
        <v>29</v>
      </c>
      <c r="F589" s="7" t="s">
        <v>300</v>
      </c>
      <c r="G589" s="7">
        <v>100.7736</v>
      </c>
      <c r="H589" s="7"/>
    </row>
    <row r="590" spans="1:8" x14ac:dyDescent="0.35">
      <c r="A590" s="7" t="s">
        <v>347</v>
      </c>
      <c r="B590" s="7" t="s">
        <v>26</v>
      </c>
      <c r="C590" s="7" t="s">
        <v>27</v>
      </c>
      <c r="D590" s="7" t="s">
        <v>28</v>
      </c>
      <c r="E590" s="7" t="s">
        <v>29</v>
      </c>
      <c r="F590" s="7" t="s">
        <v>301</v>
      </c>
      <c r="G590" s="7">
        <v>100.8751</v>
      </c>
      <c r="H590" s="7"/>
    </row>
    <row r="591" spans="1:8" x14ac:dyDescent="0.35">
      <c r="A591" s="7" t="s">
        <v>347</v>
      </c>
      <c r="B591" s="7" t="s">
        <v>26</v>
      </c>
      <c r="C591" s="7" t="s">
        <v>27</v>
      </c>
      <c r="D591" s="7" t="s">
        <v>28</v>
      </c>
      <c r="E591" s="7" t="s">
        <v>29</v>
      </c>
      <c r="F591" s="7" t="s">
        <v>302</v>
      </c>
      <c r="G591" s="7">
        <v>100.9786</v>
      </c>
      <c r="H591" s="7"/>
    </row>
    <row r="592" spans="1:8" x14ac:dyDescent="0.35">
      <c r="A592" s="7" t="s">
        <v>347</v>
      </c>
      <c r="B592" s="7" t="s">
        <v>26</v>
      </c>
      <c r="C592" s="7" t="s">
        <v>27</v>
      </c>
      <c r="D592" s="7" t="s">
        <v>28</v>
      </c>
      <c r="E592" s="7" t="s">
        <v>29</v>
      </c>
      <c r="F592" s="7" t="s">
        <v>303</v>
      </c>
      <c r="G592" s="7">
        <v>100.9823</v>
      </c>
      <c r="H592" s="7"/>
    </row>
    <row r="593" spans="1:8" x14ac:dyDescent="0.35">
      <c r="A593" s="7" t="s">
        <v>347</v>
      </c>
      <c r="B593" s="7" t="s">
        <v>26</v>
      </c>
      <c r="C593" s="7" t="s">
        <v>27</v>
      </c>
      <c r="D593" s="7" t="s">
        <v>28</v>
      </c>
      <c r="E593" s="7" t="s">
        <v>29</v>
      </c>
      <c r="F593" s="7" t="s">
        <v>304</v>
      </c>
      <c r="G593" s="7">
        <v>100.8038</v>
      </c>
      <c r="H593" s="7"/>
    </row>
    <row r="594" spans="1:8" x14ac:dyDescent="0.35">
      <c r="A594" s="7" t="s">
        <v>347</v>
      </c>
      <c r="B594" s="7" t="s">
        <v>26</v>
      </c>
      <c r="C594" s="7" t="s">
        <v>27</v>
      </c>
      <c r="D594" s="7" t="s">
        <v>28</v>
      </c>
      <c r="E594" s="7" t="s">
        <v>29</v>
      </c>
      <c r="F594" s="7" t="s">
        <v>305</v>
      </c>
      <c r="G594" s="7">
        <v>100.5314</v>
      </c>
      <c r="H594" s="7"/>
    </row>
    <row r="595" spans="1:8" x14ac:dyDescent="0.35">
      <c r="A595" s="7" t="s">
        <v>347</v>
      </c>
      <c r="B595" s="7" t="s">
        <v>26</v>
      </c>
      <c r="C595" s="7" t="s">
        <v>27</v>
      </c>
      <c r="D595" s="7" t="s">
        <v>28</v>
      </c>
      <c r="E595" s="7" t="s">
        <v>29</v>
      </c>
      <c r="F595" s="7" t="s">
        <v>306</v>
      </c>
      <c r="G595" s="7">
        <v>100.27670000000001</v>
      </c>
      <c r="H595" s="7"/>
    </row>
    <row r="596" spans="1:8" x14ac:dyDescent="0.35">
      <c r="A596" s="7" t="s">
        <v>347</v>
      </c>
      <c r="B596" s="7" t="s">
        <v>26</v>
      </c>
      <c r="C596" s="7" t="s">
        <v>27</v>
      </c>
      <c r="D596" s="7" t="s">
        <v>28</v>
      </c>
      <c r="E596" s="7" t="s">
        <v>29</v>
      </c>
      <c r="F596" s="7" t="s">
        <v>307</v>
      </c>
      <c r="G596" s="7">
        <v>100.1211</v>
      </c>
      <c r="H596" s="7"/>
    </row>
    <row r="597" spans="1:8" x14ac:dyDescent="0.35">
      <c r="A597" s="7" t="s">
        <v>347</v>
      </c>
      <c r="B597" s="7" t="s">
        <v>26</v>
      </c>
      <c r="C597" s="7" t="s">
        <v>27</v>
      </c>
      <c r="D597" s="7" t="s">
        <v>28</v>
      </c>
      <c r="E597" s="7" t="s">
        <v>29</v>
      </c>
      <c r="F597" s="7" t="s">
        <v>308</v>
      </c>
      <c r="G597" s="7">
        <v>100.0441</v>
      </c>
      <c r="H597" s="7"/>
    </row>
    <row r="598" spans="1:8" x14ac:dyDescent="0.35">
      <c r="A598" s="7" t="s">
        <v>347</v>
      </c>
      <c r="B598" s="7" t="s">
        <v>26</v>
      </c>
      <c r="C598" s="7" t="s">
        <v>27</v>
      </c>
      <c r="D598" s="7" t="s">
        <v>28</v>
      </c>
      <c r="E598" s="7" t="s">
        <v>29</v>
      </c>
      <c r="F598" s="7" t="s">
        <v>309</v>
      </c>
      <c r="G598" s="7">
        <v>100.0183</v>
      </c>
      <c r="H598" s="7"/>
    </row>
    <row r="599" spans="1:8" x14ac:dyDescent="0.35">
      <c r="A599" s="7" t="s">
        <v>347</v>
      </c>
      <c r="B599" s="7" t="s">
        <v>26</v>
      </c>
      <c r="C599" s="7" t="s">
        <v>27</v>
      </c>
      <c r="D599" s="7" t="s">
        <v>28</v>
      </c>
      <c r="E599" s="7" t="s">
        <v>29</v>
      </c>
      <c r="F599" s="7" t="s">
        <v>310</v>
      </c>
      <c r="G599" s="7">
        <v>100.0254</v>
      </c>
      <c r="H599" s="7"/>
    </row>
    <row r="600" spans="1:8" x14ac:dyDescent="0.35">
      <c r="A600" s="7" t="s">
        <v>347</v>
      </c>
      <c r="B600" s="7" t="s">
        <v>26</v>
      </c>
      <c r="C600" s="7" t="s">
        <v>27</v>
      </c>
      <c r="D600" s="7" t="s">
        <v>28</v>
      </c>
      <c r="E600" s="7" t="s">
        <v>29</v>
      </c>
      <c r="F600" s="7" t="s">
        <v>311</v>
      </c>
      <c r="G600" s="7">
        <v>100.0206</v>
      </c>
      <c r="H600" s="7"/>
    </row>
    <row r="601" spans="1:8" x14ac:dyDescent="0.35">
      <c r="A601" s="7" t="s">
        <v>347</v>
      </c>
      <c r="B601" s="7" t="s">
        <v>26</v>
      </c>
      <c r="C601" s="7" t="s">
        <v>27</v>
      </c>
      <c r="D601" s="7" t="s">
        <v>28</v>
      </c>
      <c r="E601" s="7" t="s">
        <v>29</v>
      </c>
      <c r="F601" s="7" t="s">
        <v>312</v>
      </c>
      <c r="G601" s="7">
        <v>99.948440000000005</v>
      </c>
      <c r="H601" s="7"/>
    </row>
    <row r="602" spans="1:8" x14ac:dyDescent="0.35">
      <c r="A602" s="7" t="s">
        <v>347</v>
      </c>
      <c r="B602" s="7" t="s">
        <v>26</v>
      </c>
      <c r="C602" s="7" t="s">
        <v>27</v>
      </c>
      <c r="D602" s="7" t="s">
        <v>28</v>
      </c>
      <c r="E602" s="7" t="s">
        <v>29</v>
      </c>
      <c r="F602" s="7" t="s">
        <v>313</v>
      </c>
      <c r="G602" s="7">
        <v>99.769229999999993</v>
      </c>
      <c r="H602" s="7"/>
    </row>
    <row r="603" spans="1:8" x14ac:dyDescent="0.35">
      <c r="A603" s="7" t="s">
        <v>347</v>
      </c>
      <c r="B603" s="7" t="s">
        <v>26</v>
      </c>
      <c r="C603" s="7" t="s">
        <v>27</v>
      </c>
      <c r="D603" s="7" t="s">
        <v>28</v>
      </c>
      <c r="E603" s="7" t="s">
        <v>29</v>
      </c>
      <c r="F603" s="7" t="s">
        <v>314</v>
      </c>
      <c r="G603" s="7">
        <v>99.553929999999994</v>
      </c>
      <c r="H603" s="7"/>
    </row>
    <row r="604" spans="1:8" x14ac:dyDescent="0.35">
      <c r="A604" s="7" t="s">
        <v>347</v>
      </c>
      <c r="B604" s="7" t="s">
        <v>26</v>
      </c>
      <c r="C604" s="7" t="s">
        <v>27</v>
      </c>
      <c r="D604" s="7" t="s">
        <v>28</v>
      </c>
      <c r="E604" s="7" t="s">
        <v>29</v>
      </c>
      <c r="F604" s="7" t="s">
        <v>315</v>
      </c>
      <c r="G604" s="7">
        <v>99.398269999999997</v>
      </c>
      <c r="H604" s="7"/>
    </row>
    <row r="605" spans="1:8" x14ac:dyDescent="0.35">
      <c r="A605" s="7" t="s">
        <v>347</v>
      </c>
      <c r="B605" s="7" t="s">
        <v>26</v>
      </c>
      <c r="C605" s="7" t="s">
        <v>27</v>
      </c>
      <c r="D605" s="7" t="s">
        <v>28</v>
      </c>
      <c r="E605" s="7" t="s">
        <v>29</v>
      </c>
      <c r="F605" s="7" t="s">
        <v>316</v>
      </c>
      <c r="G605" s="7">
        <v>99.373069999999998</v>
      </c>
      <c r="H605" s="7"/>
    </row>
    <row r="606" spans="1:8" x14ac:dyDescent="0.35">
      <c r="A606" s="7" t="s">
        <v>347</v>
      </c>
      <c r="B606" s="7" t="s">
        <v>26</v>
      </c>
      <c r="C606" s="7" t="s">
        <v>27</v>
      </c>
      <c r="D606" s="7" t="s">
        <v>28</v>
      </c>
      <c r="E606" s="7" t="s">
        <v>29</v>
      </c>
      <c r="F606" s="7" t="s">
        <v>317</v>
      </c>
      <c r="G606" s="7">
        <v>99.414959999999994</v>
      </c>
      <c r="H606" s="7"/>
    </row>
    <row r="607" spans="1:8" x14ac:dyDescent="0.35">
      <c r="A607" s="7" t="s">
        <v>347</v>
      </c>
      <c r="B607" s="7" t="s">
        <v>26</v>
      </c>
      <c r="C607" s="7" t="s">
        <v>27</v>
      </c>
      <c r="D607" s="7" t="s">
        <v>28</v>
      </c>
      <c r="E607" s="7" t="s">
        <v>29</v>
      </c>
      <c r="F607" s="7" t="s">
        <v>318</v>
      </c>
      <c r="G607" s="7">
        <v>99.440119999999993</v>
      </c>
      <c r="H607" s="7"/>
    </row>
    <row r="608" spans="1:8" x14ac:dyDescent="0.35">
      <c r="A608" s="7" t="s">
        <v>347</v>
      </c>
      <c r="B608" s="7" t="s">
        <v>26</v>
      </c>
      <c r="C608" s="7" t="s">
        <v>27</v>
      </c>
      <c r="D608" s="7" t="s">
        <v>28</v>
      </c>
      <c r="E608" s="7" t="s">
        <v>29</v>
      </c>
      <c r="F608" s="7" t="s">
        <v>319</v>
      </c>
      <c r="G608" s="7">
        <v>99.390960000000007</v>
      </c>
      <c r="H608" s="7"/>
    </row>
    <row r="609" spans="1:8" x14ac:dyDescent="0.35">
      <c r="A609" s="7" t="s">
        <v>347</v>
      </c>
      <c r="B609" s="7" t="s">
        <v>26</v>
      </c>
      <c r="C609" s="7" t="s">
        <v>27</v>
      </c>
      <c r="D609" s="7" t="s">
        <v>28</v>
      </c>
      <c r="E609" s="7" t="s">
        <v>29</v>
      </c>
      <c r="F609" s="7" t="s">
        <v>320</v>
      </c>
      <c r="G609" s="7">
        <v>99.299499999999995</v>
      </c>
      <c r="H609" s="7"/>
    </row>
    <row r="610" spans="1:8" x14ac:dyDescent="0.35">
      <c r="A610" s="7" t="s">
        <v>347</v>
      </c>
      <c r="B610" s="7" t="s">
        <v>26</v>
      </c>
      <c r="C610" s="7" t="s">
        <v>27</v>
      </c>
      <c r="D610" s="7" t="s">
        <v>28</v>
      </c>
      <c r="E610" s="7" t="s">
        <v>29</v>
      </c>
      <c r="F610" s="7" t="s">
        <v>321</v>
      </c>
      <c r="G610" s="7">
        <v>99.216470000000001</v>
      </c>
      <c r="H610" s="7"/>
    </row>
    <row r="611" spans="1:8" x14ac:dyDescent="0.35">
      <c r="A611" s="7" t="s">
        <v>347</v>
      </c>
      <c r="B611" s="7" t="s">
        <v>26</v>
      </c>
      <c r="C611" s="7" t="s">
        <v>27</v>
      </c>
      <c r="D611" s="7" t="s">
        <v>28</v>
      </c>
      <c r="E611" s="7" t="s">
        <v>29</v>
      </c>
      <c r="F611" s="7" t="s">
        <v>322</v>
      </c>
      <c r="G611" s="7">
        <v>99.1828</v>
      </c>
      <c r="H611" s="7"/>
    </row>
    <row r="612" spans="1:8" x14ac:dyDescent="0.35">
      <c r="A612" s="7" t="s">
        <v>347</v>
      </c>
      <c r="B612" s="7" t="s">
        <v>26</v>
      </c>
      <c r="C612" s="7" t="s">
        <v>27</v>
      </c>
      <c r="D612" s="7" t="s">
        <v>28</v>
      </c>
      <c r="E612" s="7" t="s">
        <v>29</v>
      </c>
      <c r="F612" s="7" t="s">
        <v>323</v>
      </c>
      <c r="G612" s="7">
        <v>99.192670000000007</v>
      </c>
      <c r="H612" s="7"/>
    </row>
    <row r="613" spans="1:8" x14ac:dyDescent="0.35">
      <c r="A613" s="7" t="s">
        <v>347</v>
      </c>
      <c r="B613" s="7" t="s">
        <v>26</v>
      </c>
      <c r="C613" s="7" t="s">
        <v>27</v>
      </c>
      <c r="D613" s="7" t="s">
        <v>28</v>
      </c>
      <c r="E613" s="7" t="s">
        <v>29</v>
      </c>
      <c r="F613" s="7" t="s">
        <v>324</v>
      </c>
      <c r="G613" s="7">
        <v>99.242760000000004</v>
      </c>
      <c r="H613" s="7"/>
    </row>
    <row r="614" spans="1:8" x14ac:dyDescent="0.35">
      <c r="A614" s="7" t="s">
        <v>347</v>
      </c>
      <c r="B614" s="7" t="s">
        <v>26</v>
      </c>
      <c r="C614" s="7" t="s">
        <v>27</v>
      </c>
      <c r="D614" s="7" t="s">
        <v>28</v>
      </c>
      <c r="E614" s="7" t="s">
        <v>29</v>
      </c>
      <c r="F614" s="7" t="s">
        <v>325</v>
      </c>
      <c r="G614" s="7">
        <v>99.338130000000007</v>
      </c>
      <c r="H614" s="7"/>
    </row>
    <row r="615" spans="1:8" x14ac:dyDescent="0.35">
      <c r="A615" s="7" t="s">
        <v>347</v>
      </c>
      <c r="B615" s="7" t="s">
        <v>26</v>
      </c>
      <c r="C615" s="7" t="s">
        <v>27</v>
      </c>
      <c r="D615" s="7" t="s">
        <v>28</v>
      </c>
      <c r="E615" s="7" t="s">
        <v>29</v>
      </c>
      <c r="F615" s="7" t="s">
        <v>326</v>
      </c>
      <c r="G615" s="7">
        <v>99.457740000000001</v>
      </c>
      <c r="H615" s="7"/>
    </row>
    <row r="616" spans="1:8" x14ac:dyDescent="0.35">
      <c r="A616" s="7" t="s">
        <v>347</v>
      </c>
      <c r="B616" s="7" t="s">
        <v>26</v>
      </c>
      <c r="C616" s="7" t="s">
        <v>27</v>
      </c>
      <c r="D616" s="7" t="s">
        <v>28</v>
      </c>
      <c r="E616" s="7" t="s">
        <v>29</v>
      </c>
      <c r="F616" s="7" t="s">
        <v>327</v>
      </c>
      <c r="G616" s="7">
        <v>99.584149999999994</v>
      </c>
      <c r="H616" s="7"/>
    </row>
    <row r="617" spans="1:8" x14ac:dyDescent="0.35">
      <c r="A617" s="7" t="s">
        <v>347</v>
      </c>
      <c r="B617" s="7" t="s">
        <v>26</v>
      </c>
      <c r="C617" s="7" t="s">
        <v>27</v>
      </c>
      <c r="D617" s="7" t="s">
        <v>28</v>
      </c>
      <c r="E617" s="7" t="s">
        <v>29</v>
      </c>
      <c r="F617" s="7" t="s">
        <v>328</v>
      </c>
      <c r="G617" s="7">
        <v>99.708960000000005</v>
      </c>
      <c r="H617" s="7"/>
    </row>
    <row r="618" spans="1:8" x14ac:dyDescent="0.35">
      <c r="A618" s="7" t="s">
        <v>347</v>
      </c>
      <c r="B618" s="7" t="s">
        <v>26</v>
      </c>
      <c r="C618" s="7" t="s">
        <v>27</v>
      </c>
      <c r="D618" s="7" t="s">
        <v>28</v>
      </c>
      <c r="E618" s="7" t="s">
        <v>29</v>
      </c>
      <c r="F618" s="7" t="s">
        <v>329</v>
      </c>
      <c r="G618" s="7">
        <v>99.831410000000005</v>
      </c>
      <c r="H618" s="7"/>
    </row>
    <row r="619" spans="1:8" x14ac:dyDescent="0.35">
      <c r="A619" s="7" t="s">
        <v>347</v>
      </c>
      <c r="B619" s="7" t="s">
        <v>26</v>
      </c>
      <c r="C619" s="7" t="s">
        <v>27</v>
      </c>
      <c r="D619" s="7" t="s">
        <v>28</v>
      </c>
      <c r="E619" s="7" t="s">
        <v>29</v>
      </c>
      <c r="F619" s="7" t="s">
        <v>330</v>
      </c>
      <c r="G619" s="7">
        <v>99.950299999999999</v>
      </c>
      <c r="H619" s="7"/>
    </row>
    <row r="620" spans="1:8" x14ac:dyDescent="0.35">
      <c r="A620" s="7" t="s">
        <v>347</v>
      </c>
      <c r="B620" s="7" t="s">
        <v>26</v>
      </c>
      <c r="C620" s="7" t="s">
        <v>27</v>
      </c>
      <c r="D620" s="7" t="s">
        <v>28</v>
      </c>
      <c r="E620" s="7" t="s">
        <v>29</v>
      </c>
      <c r="F620" s="7" t="s">
        <v>331</v>
      </c>
      <c r="G620" s="7">
        <v>100.0582</v>
      </c>
      <c r="H620" s="7"/>
    </row>
    <row r="621" spans="1:8" x14ac:dyDescent="0.35">
      <c r="A621" s="7" t="s">
        <v>347</v>
      </c>
      <c r="B621" s="7" t="s">
        <v>26</v>
      </c>
      <c r="C621" s="7" t="s">
        <v>27</v>
      </c>
      <c r="D621" s="7" t="s">
        <v>28</v>
      </c>
      <c r="E621" s="7" t="s">
        <v>29</v>
      </c>
      <c r="F621" s="7" t="s">
        <v>332</v>
      </c>
      <c r="G621" s="7">
        <v>100.13930000000001</v>
      </c>
      <c r="H621" s="7"/>
    </row>
    <row r="622" spans="1:8" x14ac:dyDescent="0.35">
      <c r="A622" s="7" t="s">
        <v>347</v>
      </c>
      <c r="B622" s="7" t="s">
        <v>26</v>
      </c>
      <c r="C622" s="7" t="s">
        <v>27</v>
      </c>
      <c r="D622" s="7" t="s">
        <v>28</v>
      </c>
      <c r="E622" s="7" t="s">
        <v>29</v>
      </c>
      <c r="F622" s="7" t="s">
        <v>333</v>
      </c>
      <c r="G622" s="7">
        <v>100.164</v>
      </c>
      <c r="H622" s="7"/>
    </row>
    <row r="623" spans="1:8" x14ac:dyDescent="0.35">
      <c r="A623" s="7" t="s">
        <v>347</v>
      </c>
      <c r="B623" s="7" t="s">
        <v>26</v>
      </c>
      <c r="C623" s="7" t="s">
        <v>27</v>
      </c>
      <c r="D623" s="7" t="s">
        <v>28</v>
      </c>
      <c r="E623" s="7" t="s">
        <v>29</v>
      </c>
      <c r="F623" s="7" t="s">
        <v>334</v>
      </c>
      <c r="G623" s="7">
        <v>100.111</v>
      </c>
      <c r="H623" s="7"/>
    </row>
    <row r="624" spans="1:8" x14ac:dyDescent="0.35">
      <c r="A624" s="7" t="s">
        <v>347</v>
      </c>
      <c r="B624" s="7" t="s">
        <v>26</v>
      </c>
      <c r="C624" s="7" t="s">
        <v>27</v>
      </c>
      <c r="D624" s="7" t="s">
        <v>28</v>
      </c>
      <c r="E624" s="7" t="s">
        <v>29</v>
      </c>
      <c r="F624" s="7" t="s">
        <v>335</v>
      </c>
      <c r="G624" s="7">
        <v>100.04510000000001</v>
      </c>
      <c r="H624" s="7"/>
    </row>
    <row r="625" spans="1:8" x14ac:dyDescent="0.35">
      <c r="A625" s="7" t="s">
        <v>347</v>
      </c>
      <c r="B625" s="7" t="s">
        <v>26</v>
      </c>
      <c r="C625" s="7" t="s">
        <v>27</v>
      </c>
      <c r="D625" s="7" t="s">
        <v>28</v>
      </c>
      <c r="E625" s="7" t="s">
        <v>29</v>
      </c>
      <c r="F625" s="7" t="s">
        <v>336</v>
      </c>
      <c r="G625" s="7">
        <v>100.0599</v>
      </c>
      <c r="H625" s="7"/>
    </row>
    <row r="626" spans="1:8" x14ac:dyDescent="0.35">
      <c r="A626" s="7" t="s">
        <v>347</v>
      </c>
      <c r="B626" s="7" t="s">
        <v>26</v>
      </c>
      <c r="C626" s="7" t="s">
        <v>27</v>
      </c>
      <c r="D626" s="7" t="s">
        <v>28</v>
      </c>
      <c r="E626" s="7" t="s">
        <v>29</v>
      </c>
      <c r="F626" s="7" t="s">
        <v>337</v>
      </c>
      <c r="G626" s="7">
        <v>100.23439999999999</v>
      </c>
      <c r="H626" s="7"/>
    </row>
    <row r="627" spans="1:8" x14ac:dyDescent="0.35">
      <c r="A627" s="7" t="s">
        <v>347</v>
      </c>
      <c r="B627" s="7" t="s">
        <v>26</v>
      </c>
      <c r="C627" s="7" t="s">
        <v>27</v>
      </c>
      <c r="D627" s="7" t="s">
        <v>28</v>
      </c>
      <c r="E627" s="7" t="s">
        <v>29</v>
      </c>
      <c r="F627" s="7" t="s">
        <v>338</v>
      </c>
      <c r="G627" s="7">
        <v>100.50790000000001</v>
      </c>
      <c r="H627" s="7"/>
    </row>
    <row r="628" spans="1:8" x14ac:dyDescent="0.35">
      <c r="A628" s="7" t="s">
        <v>347</v>
      </c>
      <c r="B628" s="7" t="s">
        <v>26</v>
      </c>
      <c r="C628" s="7" t="s">
        <v>27</v>
      </c>
      <c r="D628" s="7" t="s">
        <v>28</v>
      </c>
      <c r="E628" s="7" t="s">
        <v>29</v>
      </c>
      <c r="F628" s="7" t="s">
        <v>339</v>
      </c>
      <c r="G628" s="7">
        <v>100.8151</v>
      </c>
      <c r="H628" s="7"/>
    </row>
    <row r="629" spans="1:8" x14ac:dyDescent="0.35">
      <c r="A629" s="7" t="s">
        <v>348</v>
      </c>
      <c r="B629" s="7" t="s">
        <v>26</v>
      </c>
      <c r="C629" s="7" t="s">
        <v>27</v>
      </c>
      <c r="D629" s="7" t="s">
        <v>28</v>
      </c>
      <c r="E629" s="7" t="s">
        <v>29</v>
      </c>
      <c r="F629" s="7" t="s">
        <v>30</v>
      </c>
      <c r="G629" s="7">
        <v>98.594430000000003</v>
      </c>
      <c r="H629" s="7"/>
    </row>
    <row r="630" spans="1:8" x14ac:dyDescent="0.35">
      <c r="A630" s="7" t="s">
        <v>348</v>
      </c>
      <c r="B630" s="7" t="s">
        <v>26</v>
      </c>
      <c r="C630" s="7" t="s">
        <v>27</v>
      </c>
      <c r="D630" s="7" t="s">
        <v>28</v>
      </c>
      <c r="E630" s="7" t="s">
        <v>29</v>
      </c>
      <c r="F630" s="7" t="s">
        <v>31</v>
      </c>
      <c r="G630" s="7">
        <v>98.579179999999994</v>
      </c>
      <c r="H630" s="7"/>
    </row>
    <row r="631" spans="1:8" x14ac:dyDescent="0.35">
      <c r="A631" s="7" t="s">
        <v>348</v>
      </c>
      <c r="B631" s="7" t="s">
        <v>26</v>
      </c>
      <c r="C631" s="7" t="s">
        <v>27</v>
      </c>
      <c r="D631" s="7" t="s">
        <v>28</v>
      </c>
      <c r="E631" s="7" t="s">
        <v>29</v>
      </c>
      <c r="F631" s="7" t="s">
        <v>32</v>
      </c>
      <c r="G631" s="7">
        <v>98.668670000000006</v>
      </c>
      <c r="H631" s="7"/>
    </row>
    <row r="632" spans="1:8" x14ac:dyDescent="0.35">
      <c r="A632" s="7" t="s">
        <v>348</v>
      </c>
      <c r="B632" s="7" t="s">
        <v>26</v>
      </c>
      <c r="C632" s="7" t="s">
        <v>27</v>
      </c>
      <c r="D632" s="7" t="s">
        <v>28</v>
      </c>
      <c r="E632" s="7" t="s">
        <v>29</v>
      </c>
      <c r="F632" s="7" t="s">
        <v>33</v>
      </c>
      <c r="G632" s="7">
        <v>98.818470000000005</v>
      </c>
      <c r="H632" s="7"/>
    </row>
    <row r="633" spans="1:8" x14ac:dyDescent="0.35">
      <c r="A633" s="7" t="s">
        <v>348</v>
      </c>
      <c r="B633" s="7" t="s">
        <v>26</v>
      </c>
      <c r="C633" s="7" t="s">
        <v>27</v>
      </c>
      <c r="D633" s="7" t="s">
        <v>28</v>
      </c>
      <c r="E633" s="7" t="s">
        <v>29</v>
      </c>
      <c r="F633" s="7" t="s">
        <v>34</v>
      </c>
      <c r="G633" s="7">
        <v>98.958269999999999</v>
      </c>
      <c r="H633" s="7"/>
    </row>
    <row r="634" spans="1:8" x14ac:dyDescent="0.35">
      <c r="A634" s="7" t="s">
        <v>348</v>
      </c>
      <c r="B634" s="7" t="s">
        <v>26</v>
      </c>
      <c r="C634" s="7" t="s">
        <v>27</v>
      </c>
      <c r="D634" s="7" t="s">
        <v>28</v>
      </c>
      <c r="E634" s="7" t="s">
        <v>29</v>
      </c>
      <c r="F634" s="7" t="s">
        <v>35</v>
      </c>
      <c r="G634" s="7">
        <v>99.080629999999999</v>
      </c>
      <c r="H634" s="7"/>
    </row>
    <row r="635" spans="1:8" x14ac:dyDescent="0.35">
      <c r="A635" s="7" t="s">
        <v>348</v>
      </c>
      <c r="B635" s="7" t="s">
        <v>26</v>
      </c>
      <c r="C635" s="7" t="s">
        <v>27</v>
      </c>
      <c r="D635" s="7" t="s">
        <v>28</v>
      </c>
      <c r="E635" s="7" t="s">
        <v>29</v>
      </c>
      <c r="F635" s="7" t="s">
        <v>36</v>
      </c>
      <c r="G635" s="7">
        <v>99.072559999999996</v>
      </c>
      <c r="H635" s="7"/>
    </row>
    <row r="636" spans="1:8" x14ac:dyDescent="0.35">
      <c r="A636" s="7" t="s">
        <v>348</v>
      </c>
      <c r="B636" s="7" t="s">
        <v>26</v>
      </c>
      <c r="C636" s="7" t="s">
        <v>27</v>
      </c>
      <c r="D636" s="7" t="s">
        <v>28</v>
      </c>
      <c r="E636" s="7" t="s">
        <v>29</v>
      </c>
      <c r="F636" s="7" t="s">
        <v>37</v>
      </c>
      <c r="G636" s="7">
        <v>98.889030000000005</v>
      </c>
      <c r="H636" s="7"/>
    </row>
    <row r="637" spans="1:8" x14ac:dyDescent="0.35">
      <c r="A637" s="7" t="s">
        <v>348</v>
      </c>
      <c r="B637" s="7" t="s">
        <v>26</v>
      </c>
      <c r="C637" s="7" t="s">
        <v>27</v>
      </c>
      <c r="D637" s="7" t="s">
        <v>28</v>
      </c>
      <c r="E637" s="7" t="s">
        <v>29</v>
      </c>
      <c r="F637" s="7" t="s">
        <v>38</v>
      </c>
      <c r="G637" s="7">
        <v>98.732770000000002</v>
      </c>
      <c r="H637" s="7"/>
    </row>
    <row r="638" spans="1:8" x14ac:dyDescent="0.35">
      <c r="A638" s="7" t="s">
        <v>348</v>
      </c>
      <c r="B638" s="7" t="s">
        <v>26</v>
      </c>
      <c r="C638" s="7" t="s">
        <v>27</v>
      </c>
      <c r="D638" s="7" t="s">
        <v>28</v>
      </c>
      <c r="E638" s="7" t="s">
        <v>29</v>
      </c>
      <c r="F638" s="7" t="s">
        <v>39</v>
      </c>
      <c r="G638" s="7">
        <v>98.732029999999995</v>
      </c>
      <c r="H638" s="7"/>
    </row>
    <row r="639" spans="1:8" x14ac:dyDescent="0.35">
      <c r="A639" s="7" t="s">
        <v>348</v>
      </c>
      <c r="B639" s="7" t="s">
        <v>26</v>
      </c>
      <c r="C639" s="7" t="s">
        <v>27</v>
      </c>
      <c r="D639" s="7" t="s">
        <v>28</v>
      </c>
      <c r="E639" s="7" t="s">
        <v>29</v>
      </c>
      <c r="F639" s="7" t="s">
        <v>40</v>
      </c>
      <c r="G639" s="7">
        <v>98.848740000000006</v>
      </c>
      <c r="H639" s="7"/>
    </row>
    <row r="640" spans="1:8" x14ac:dyDescent="0.35">
      <c r="A640" s="7" t="s">
        <v>348</v>
      </c>
      <c r="B640" s="7" t="s">
        <v>26</v>
      </c>
      <c r="C640" s="7" t="s">
        <v>27</v>
      </c>
      <c r="D640" s="7" t="s">
        <v>28</v>
      </c>
      <c r="E640" s="7" t="s">
        <v>29</v>
      </c>
      <c r="F640" s="7" t="s">
        <v>41</v>
      </c>
      <c r="G640" s="7">
        <v>98.869739999999993</v>
      </c>
      <c r="H640" s="7"/>
    </row>
    <row r="641" spans="1:8" x14ac:dyDescent="0.35">
      <c r="A641" s="7" t="s">
        <v>348</v>
      </c>
      <c r="B641" s="7" t="s">
        <v>26</v>
      </c>
      <c r="C641" s="7" t="s">
        <v>27</v>
      </c>
      <c r="D641" s="7" t="s">
        <v>28</v>
      </c>
      <c r="E641" s="7" t="s">
        <v>29</v>
      </c>
      <c r="F641" s="7" t="s">
        <v>42</v>
      </c>
      <c r="G641" s="7">
        <v>98.738500000000002</v>
      </c>
      <c r="H641" s="7"/>
    </row>
    <row r="642" spans="1:8" x14ac:dyDescent="0.35">
      <c r="A642" s="7" t="s">
        <v>348</v>
      </c>
      <c r="B642" s="7" t="s">
        <v>26</v>
      </c>
      <c r="C642" s="7" t="s">
        <v>27</v>
      </c>
      <c r="D642" s="7" t="s">
        <v>28</v>
      </c>
      <c r="E642" s="7" t="s">
        <v>29</v>
      </c>
      <c r="F642" s="7" t="s">
        <v>43</v>
      </c>
      <c r="G642" s="7">
        <v>98.581919999999997</v>
      </c>
      <c r="H642" s="7"/>
    </row>
    <row r="643" spans="1:8" x14ac:dyDescent="0.35">
      <c r="A643" s="7" t="s">
        <v>348</v>
      </c>
      <c r="B643" s="7" t="s">
        <v>26</v>
      </c>
      <c r="C643" s="7" t="s">
        <v>27</v>
      </c>
      <c r="D643" s="7" t="s">
        <v>28</v>
      </c>
      <c r="E643" s="7" t="s">
        <v>29</v>
      </c>
      <c r="F643" s="7" t="s">
        <v>44</v>
      </c>
      <c r="G643" s="7">
        <v>98.536159999999995</v>
      </c>
      <c r="H643" s="7"/>
    </row>
    <row r="644" spans="1:8" x14ac:dyDescent="0.35">
      <c r="A644" s="7" t="s">
        <v>348</v>
      </c>
      <c r="B644" s="7" t="s">
        <v>26</v>
      </c>
      <c r="C644" s="7" t="s">
        <v>27</v>
      </c>
      <c r="D644" s="7" t="s">
        <v>28</v>
      </c>
      <c r="E644" s="7" t="s">
        <v>29</v>
      </c>
      <c r="F644" s="7" t="s">
        <v>45</v>
      </c>
      <c r="G644" s="7">
        <v>98.655079999999998</v>
      </c>
      <c r="H644" s="7"/>
    </row>
    <row r="645" spans="1:8" x14ac:dyDescent="0.35">
      <c r="A645" s="7" t="s">
        <v>348</v>
      </c>
      <c r="B645" s="7" t="s">
        <v>26</v>
      </c>
      <c r="C645" s="7" t="s">
        <v>27</v>
      </c>
      <c r="D645" s="7" t="s">
        <v>28</v>
      </c>
      <c r="E645" s="7" t="s">
        <v>29</v>
      </c>
      <c r="F645" s="7" t="s">
        <v>46</v>
      </c>
      <c r="G645" s="7">
        <v>98.870149999999995</v>
      </c>
      <c r="H645" s="7"/>
    </row>
    <row r="646" spans="1:8" x14ac:dyDescent="0.35">
      <c r="A646" s="7" t="s">
        <v>348</v>
      </c>
      <c r="B646" s="7" t="s">
        <v>26</v>
      </c>
      <c r="C646" s="7" t="s">
        <v>27</v>
      </c>
      <c r="D646" s="7" t="s">
        <v>28</v>
      </c>
      <c r="E646" s="7" t="s">
        <v>29</v>
      </c>
      <c r="F646" s="7" t="s">
        <v>47</v>
      </c>
      <c r="G646" s="7">
        <v>98.966930000000005</v>
      </c>
      <c r="H646" s="7"/>
    </row>
    <row r="647" spans="1:8" x14ac:dyDescent="0.35">
      <c r="A647" s="7" t="s">
        <v>348</v>
      </c>
      <c r="B647" s="7" t="s">
        <v>26</v>
      </c>
      <c r="C647" s="7" t="s">
        <v>27</v>
      </c>
      <c r="D647" s="7" t="s">
        <v>28</v>
      </c>
      <c r="E647" s="7" t="s">
        <v>29</v>
      </c>
      <c r="F647" s="7" t="s">
        <v>48</v>
      </c>
      <c r="G647" s="7">
        <v>98.704040000000006</v>
      </c>
      <c r="H647" s="7"/>
    </row>
    <row r="648" spans="1:8" x14ac:dyDescent="0.35">
      <c r="A648" s="7" t="s">
        <v>348</v>
      </c>
      <c r="B648" s="7" t="s">
        <v>26</v>
      </c>
      <c r="C648" s="7" t="s">
        <v>27</v>
      </c>
      <c r="D648" s="7" t="s">
        <v>28</v>
      </c>
      <c r="E648" s="7" t="s">
        <v>29</v>
      </c>
      <c r="F648" s="7" t="s">
        <v>49</v>
      </c>
      <c r="G648" s="7">
        <v>98.412989999999994</v>
      </c>
      <c r="H648" s="7"/>
    </row>
    <row r="649" spans="1:8" x14ac:dyDescent="0.35">
      <c r="A649" s="7" t="s">
        <v>348</v>
      </c>
      <c r="B649" s="7" t="s">
        <v>26</v>
      </c>
      <c r="C649" s="7" t="s">
        <v>27</v>
      </c>
      <c r="D649" s="7" t="s">
        <v>28</v>
      </c>
      <c r="E649" s="7" t="s">
        <v>29</v>
      </c>
      <c r="F649" s="7" t="s">
        <v>50</v>
      </c>
      <c r="G649" s="7">
        <v>98.230419999999995</v>
      </c>
      <c r="H649" s="7"/>
    </row>
    <row r="650" spans="1:8" x14ac:dyDescent="0.35">
      <c r="A650" s="7" t="s">
        <v>348</v>
      </c>
      <c r="B650" s="7" t="s">
        <v>26</v>
      </c>
      <c r="C650" s="7" t="s">
        <v>27</v>
      </c>
      <c r="D650" s="7" t="s">
        <v>28</v>
      </c>
      <c r="E650" s="7" t="s">
        <v>29</v>
      </c>
      <c r="F650" s="7" t="s">
        <v>51</v>
      </c>
      <c r="G650" s="7">
        <v>98.236469999999997</v>
      </c>
      <c r="H650" s="7"/>
    </row>
    <row r="651" spans="1:8" x14ac:dyDescent="0.35">
      <c r="A651" s="7" t="s">
        <v>348</v>
      </c>
      <c r="B651" s="7" t="s">
        <v>26</v>
      </c>
      <c r="C651" s="7" t="s">
        <v>27</v>
      </c>
      <c r="D651" s="7" t="s">
        <v>28</v>
      </c>
      <c r="E651" s="7" t="s">
        <v>29</v>
      </c>
      <c r="F651" s="7" t="s">
        <v>52</v>
      </c>
      <c r="G651" s="7">
        <v>98.398849999999996</v>
      </c>
      <c r="H651" s="7"/>
    </row>
    <row r="652" spans="1:8" x14ac:dyDescent="0.35">
      <c r="A652" s="7" t="s">
        <v>348</v>
      </c>
      <c r="B652" s="7" t="s">
        <v>26</v>
      </c>
      <c r="C652" s="7" t="s">
        <v>27</v>
      </c>
      <c r="D652" s="7" t="s">
        <v>28</v>
      </c>
      <c r="E652" s="7" t="s">
        <v>29</v>
      </c>
      <c r="F652" s="7" t="s">
        <v>53</v>
      </c>
      <c r="G652" s="7">
        <v>98.528490000000005</v>
      </c>
      <c r="H652" s="7"/>
    </row>
    <row r="653" spans="1:8" x14ac:dyDescent="0.35">
      <c r="A653" s="7" t="s">
        <v>348</v>
      </c>
      <c r="B653" s="7" t="s">
        <v>26</v>
      </c>
      <c r="C653" s="7" t="s">
        <v>27</v>
      </c>
      <c r="D653" s="7" t="s">
        <v>28</v>
      </c>
      <c r="E653" s="7" t="s">
        <v>29</v>
      </c>
      <c r="F653" s="7" t="s">
        <v>54</v>
      </c>
      <c r="G653" s="7">
        <v>98.603939999999994</v>
      </c>
      <c r="H653" s="7"/>
    </row>
    <row r="654" spans="1:8" x14ac:dyDescent="0.35">
      <c r="A654" s="7" t="s">
        <v>348</v>
      </c>
      <c r="B654" s="7" t="s">
        <v>26</v>
      </c>
      <c r="C654" s="7" t="s">
        <v>27</v>
      </c>
      <c r="D654" s="7" t="s">
        <v>28</v>
      </c>
      <c r="E654" s="7" t="s">
        <v>29</v>
      </c>
      <c r="F654" s="7" t="s">
        <v>55</v>
      </c>
      <c r="G654" s="7">
        <v>98.737160000000003</v>
      </c>
      <c r="H654" s="7"/>
    </row>
    <row r="655" spans="1:8" x14ac:dyDescent="0.35">
      <c r="A655" s="7" t="s">
        <v>348</v>
      </c>
      <c r="B655" s="7" t="s">
        <v>26</v>
      </c>
      <c r="C655" s="7" t="s">
        <v>27</v>
      </c>
      <c r="D655" s="7" t="s">
        <v>28</v>
      </c>
      <c r="E655" s="7" t="s">
        <v>29</v>
      </c>
      <c r="F655" s="7" t="s">
        <v>56</v>
      </c>
      <c r="G655" s="7">
        <v>98.916690000000003</v>
      </c>
      <c r="H655" s="7"/>
    </row>
    <row r="656" spans="1:8" x14ac:dyDescent="0.35">
      <c r="A656" s="7" t="s">
        <v>348</v>
      </c>
      <c r="B656" s="7" t="s">
        <v>26</v>
      </c>
      <c r="C656" s="7" t="s">
        <v>27</v>
      </c>
      <c r="D656" s="7" t="s">
        <v>28</v>
      </c>
      <c r="E656" s="7" t="s">
        <v>29</v>
      </c>
      <c r="F656" s="7" t="s">
        <v>57</v>
      </c>
      <c r="G656" s="7">
        <v>99.055809999999994</v>
      </c>
      <c r="H656" s="7"/>
    </row>
    <row r="657" spans="1:8" x14ac:dyDescent="0.35">
      <c r="A657" s="7" t="s">
        <v>348</v>
      </c>
      <c r="B657" s="7" t="s">
        <v>26</v>
      </c>
      <c r="C657" s="7" t="s">
        <v>27</v>
      </c>
      <c r="D657" s="7" t="s">
        <v>28</v>
      </c>
      <c r="E657" s="7" t="s">
        <v>29</v>
      </c>
      <c r="F657" s="7" t="s">
        <v>58</v>
      </c>
      <c r="G657" s="7">
        <v>99.204229999999995</v>
      </c>
      <c r="H657" s="7"/>
    </row>
    <row r="658" spans="1:8" x14ac:dyDescent="0.35">
      <c r="A658" s="7" t="s">
        <v>348</v>
      </c>
      <c r="B658" s="7" t="s">
        <v>26</v>
      </c>
      <c r="C658" s="7" t="s">
        <v>27</v>
      </c>
      <c r="D658" s="7" t="s">
        <v>28</v>
      </c>
      <c r="E658" s="7" t="s">
        <v>29</v>
      </c>
      <c r="F658" s="7" t="s">
        <v>59</v>
      </c>
      <c r="G658" s="7">
        <v>99.428070000000005</v>
      </c>
      <c r="H658" s="7"/>
    </row>
    <row r="659" spans="1:8" x14ac:dyDescent="0.35">
      <c r="A659" s="7" t="s">
        <v>348</v>
      </c>
      <c r="B659" s="7" t="s">
        <v>26</v>
      </c>
      <c r="C659" s="7" t="s">
        <v>27</v>
      </c>
      <c r="D659" s="7" t="s">
        <v>28</v>
      </c>
      <c r="E659" s="7" t="s">
        <v>29</v>
      </c>
      <c r="F659" s="7" t="s">
        <v>60</v>
      </c>
      <c r="G659" s="7">
        <v>99.651880000000006</v>
      </c>
      <c r="H659" s="7"/>
    </row>
    <row r="660" spans="1:8" x14ac:dyDescent="0.35">
      <c r="A660" s="7" t="s">
        <v>348</v>
      </c>
      <c r="B660" s="7" t="s">
        <v>26</v>
      </c>
      <c r="C660" s="7" t="s">
        <v>27</v>
      </c>
      <c r="D660" s="7" t="s">
        <v>28</v>
      </c>
      <c r="E660" s="7" t="s">
        <v>29</v>
      </c>
      <c r="F660" s="7" t="s">
        <v>61</v>
      </c>
      <c r="G660" s="7">
        <v>99.730639999999994</v>
      </c>
      <c r="H660" s="7"/>
    </row>
    <row r="661" spans="1:8" x14ac:dyDescent="0.35">
      <c r="A661" s="7" t="s">
        <v>348</v>
      </c>
      <c r="B661" s="7" t="s">
        <v>26</v>
      </c>
      <c r="C661" s="7" t="s">
        <v>27</v>
      </c>
      <c r="D661" s="7" t="s">
        <v>28</v>
      </c>
      <c r="E661" s="7" t="s">
        <v>29</v>
      </c>
      <c r="F661" s="7" t="s">
        <v>62</v>
      </c>
      <c r="G661" s="7">
        <v>99.731750000000005</v>
      </c>
      <c r="H661" s="7"/>
    </row>
    <row r="662" spans="1:8" x14ac:dyDescent="0.35">
      <c r="A662" s="7" t="s">
        <v>348</v>
      </c>
      <c r="B662" s="7" t="s">
        <v>26</v>
      </c>
      <c r="C662" s="7" t="s">
        <v>27</v>
      </c>
      <c r="D662" s="7" t="s">
        <v>28</v>
      </c>
      <c r="E662" s="7" t="s">
        <v>29</v>
      </c>
      <c r="F662" s="7" t="s">
        <v>63</v>
      </c>
      <c r="G662" s="7">
        <v>99.827579999999998</v>
      </c>
      <c r="H662" s="7"/>
    </row>
    <row r="663" spans="1:8" x14ac:dyDescent="0.35">
      <c r="A663" s="7" t="s">
        <v>348</v>
      </c>
      <c r="B663" s="7" t="s">
        <v>26</v>
      </c>
      <c r="C663" s="7" t="s">
        <v>27</v>
      </c>
      <c r="D663" s="7" t="s">
        <v>28</v>
      </c>
      <c r="E663" s="7" t="s">
        <v>29</v>
      </c>
      <c r="F663" s="7" t="s">
        <v>64</v>
      </c>
      <c r="G663" s="7">
        <v>100.0177</v>
      </c>
      <c r="H663" s="7"/>
    </row>
    <row r="664" spans="1:8" x14ac:dyDescent="0.35">
      <c r="A664" s="7" t="s">
        <v>348</v>
      </c>
      <c r="B664" s="7" t="s">
        <v>26</v>
      </c>
      <c r="C664" s="7" t="s">
        <v>27</v>
      </c>
      <c r="D664" s="7" t="s">
        <v>28</v>
      </c>
      <c r="E664" s="7" t="s">
        <v>29</v>
      </c>
      <c r="F664" s="7" t="s">
        <v>65</v>
      </c>
      <c r="G664" s="7">
        <v>100.0424</v>
      </c>
      <c r="H664" s="7"/>
    </row>
    <row r="665" spans="1:8" x14ac:dyDescent="0.35">
      <c r="A665" s="7" t="s">
        <v>348</v>
      </c>
      <c r="B665" s="7" t="s">
        <v>26</v>
      </c>
      <c r="C665" s="7" t="s">
        <v>27</v>
      </c>
      <c r="D665" s="7" t="s">
        <v>28</v>
      </c>
      <c r="E665" s="7" t="s">
        <v>29</v>
      </c>
      <c r="F665" s="7" t="s">
        <v>66</v>
      </c>
      <c r="G665" s="7">
        <v>100.03270000000001</v>
      </c>
      <c r="H665" s="7"/>
    </row>
    <row r="666" spans="1:8" x14ac:dyDescent="0.35">
      <c r="A666" s="7" t="s">
        <v>348</v>
      </c>
      <c r="B666" s="7" t="s">
        <v>26</v>
      </c>
      <c r="C666" s="7" t="s">
        <v>27</v>
      </c>
      <c r="D666" s="7" t="s">
        <v>28</v>
      </c>
      <c r="E666" s="7" t="s">
        <v>29</v>
      </c>
      <c r="F666" s="7" t="s">
        <v>67</v>
      </c>
      <c r="G666" s="7">
        <v>100.056</v>
      </c>
      <c r="H666" s="7"/>
    </row>
    <row r="667" spans="1:8" x14ac:dyDescent="0.35">
      <c r="A667" s="7" t="s">
        <v>348</v>
      </c>
      <c r="B667" s="7" t="s">
        <v>26</v>
      </c>
      <c r="C667" s="7" t="s">
        <v>27</v>
      </c>
      <c r="D667" s="7" t="s">
        <v>28</v>
      </c>
      <c r="E667" s="7" t="s">
        <v>29</v>
      </c>
      <c r="F667" s="7" t="s">
        <v>68</v>
      </c>
      <c r="G667" s="7">
        <v>100.04940000000001</v>
      </c>
      <c r="H667" s="7"/>
    </row>
    <row r="668" spans="1:8" x14ac:dyDescent="0.35">
      <c r="A668" s="7" t="s">
        <v>348</v>
      </c>
      <c r="B668" s="7" t="s">
        <v>26</v>
      </c>
      <c r="C668" s="7" t="s">
        <v>27</v>
      </c>
      <c r="D668" s="7" t="s">
        <v>28</v>
      </c>
      <c r="E668" s="7" t="s">
        <v>29</v>
      </c>
      <c r="F668" s="7" t="s">
        <v>69</v>
      </c>
      <c r="G668" s="7">
        <v>100.1019</v>
      </c>
      <c r="H668" s="7"/>
    </row>
    <row r="669" spans="1:8" x14ac:dyDescent="0.35">
      <c r="A669" s="7" t="s">
        <v>348</v>
      </c>
      <c r="B669" s="7" t="s">
        <v>26</v>
      </c>
      <c r="C669" s="7" t="s">
        <v>27</v>
      </c>
      <c r="D669" s="7" t="s">
        <v>28</v>
      </c>
      <c r="E669" s="7" t="s">
        <v>29</v>
      </c>
      <c r="F669" s="7" t="s">
        <v>70</v>
      </c>
      <c r="G669" s="7">
        <v>100.2129</v>
      </c>
      <c r="H669" s="7"/>
    </row>
    <row r="670" spans="1:8" x14ac:dyDescent="0.35">
      <c r="A670" s="7" t="s">
        <v>348</v>
      </c>
      <c r="B670" s="7" t="s">
        <v>26</v>
      </c>
      <c r="C670" s="7" t="s">
        <v>27</v>
      </c>
      <c r="D670" s="7" t="s">
        <v>28</v>
      </c>
      <c r="E670" s="7" t="s">
        <v>29</v>
      </c>
      <c r="F670" s="7" t="s">
        <v>71</v>
      </c>
      <c r="G670" s="7">
        <v>100.4494</v>
      </c>
      <c r="H670" s="7"/>
    </row>
    <row r="671" spans="1:8" x14ac:dyDescent="0.35">
      <c r="A671" s="7" t="s">
        <v>348</v>
      </c>
      <c r="B671" s="7" t="s">
        <v>26</v>
      </c>
      <c r="C671" s="7" t="s">
        <v>27</v>
      </c>
      <c r="D671" s="7" t="s">
        <v>28</v>
      </c>
      <c r="E671" s="7" t="s">
        <v>29</v>
      </c>
      <c r="F671" s="7" t="s">
        <v>72</v>
      </c>
      <c r="G671" s="7">
        <v>100.77809999999999</v>
      </c>
      <c r="H671" s="7"/>
    </row>
    <row r="672" spans="1:8" x14ac:dyDescent="0.35">
      <c r="A672" s="7" t="s">
        <v>348</v>
      </c>
      <c r="B672" s="7" t="s">
        <v>26</v>
      </c>
      <c r="C672" s="7" t="s">
        <v>27</v>
      </c>
      <c r="D672" s="7" t="s">
        <v>28</v>
      </c>
      <c r="E672" s="7" t="s">
        <v>29</v>
      </c>
      <c r="F672" s="7" t="s">
        <v>73</v>
      </c>
      <c r="G672" s="7">
        <v>100.9526</v>
      </c>
      <c r="H672" s="7"/>
    </row>
    <row r="673" spans="1:8" x14ac:dyDescent="0.35">
      <c r="A673" s="7" t="s">
        <v>348</v>
      </c>
      <c r="B673" s="7" t="s">
        <v>26</v>
      </c>
      <c r="C673" s="7" t="s">
        <v>27</v>
      </c>
      <c r="D673" s="7" t="s">
        <v>28</v>
      </c>
      <c r="E673" s="7" t="s">
        <v>29</v>
      </c>
      <c r="F673" s="7" t="s">
        <v>74</v>
      </c>
      <c r="G673" s="7">
        <v>100.8723</v>
      </c>
      <c r="H673" s="7"/>
    </row>
    <row r="674" spans="1:8" x14ac:dyDescent="0.35">
      <c r="A674" s="7" t="s">
        <v>348</v>
      </c>
      <c r="B674" s="7" t="s">
        <v>26</v>
      </c>
      <c r="C674" s="7" t="s">
        <v>27</v>
      </c>
      <c r="D674" s="7" t="s">
        <v>28</v>
      </c>
      <c r="E674" s="7" t="s">
        <v>29</v>
      </c>
      <c r="F674" s="7" t="s">
        <v>75</v>
      </c>
      <c r="G674" s="7">
        <v>100.5694</v>
      </c>
      <c r="H674" s="7"/>
    </row>
    <row r="675" spans="1:8" x14ac:dyDescent="0.35">
      <c r="A675" s="7" t="s">
        <v>348</v>
      </c>
      <c r="B675" s="7" t="s">
        <v>26</v>
      </c>
      <c r="C675" s="7" t="s">
        <v>27</v>
      </c>
      <c r="D675" s="7" t="s">
        <v>28</v>
      </c>
      <c r="E675" s="7" t="s">
        <v>29</v>
      </c>
      <c r="F675" s="7" t="s">
        <v>76</v>
      </c>
      <c r="G675" s="7">
        <v>100.0224</v>
      </c>
      <c r="H675" s="7"/>
    </row>
    <row r="676" spans="1:8" x14ac:dyDescent="0.35">
      <c r="A676" s="7" t="s">
        <v>348</v>
      </c>
      <c r="B676" s="7" t="s">
        <v>26</v>
      </c>
      <c r="C676" s="7" t="s">
        <v>27</v>
      </c>
      <c r="D676" s="7" t="s">
        <v>28</v>
      </c>
      <c r="E676" s="7" t="s">
        <v>29</v>
      </c>
      <c r="F676" s="7" t="s">
        <v>77</v>
      </c>
      <c r="G676" s="7">
        <v>99.459119999999999</v>
      </c>
      <c r="H676" s="7"/>
    </row>
    <row r="677" spans="1:8" x14ac:dyDescent="0.35">
      <c r="A677" s="7" t="s">
        <v>348</v>
      </c>
      <c r="B677" s="7" t="s">
        <v>26</v>
      </c>
      <c r="C677" s="7" t="s">
        <v>27</v>
      </c>
      <c r="D677" s="7" t="s">
        <v>28</v>
      </c>
      <c r="E677" s="7" t="s">
        <v>29</v>
      </c>
      <c r="F677" s="7" t="s">
        <v>78</v>
      </c>
      <c r="G677" s="7">
        <v>99.025580000000005</v>
      </c>
      <c r="H677" s="7"/>
    </row>
    <row r="678" spans="1:8" x14ac:dyDescent="0.35">
      <c r="A678" s="7" t="s">
        <v>348</v>
      </c>
      <c r="B678" s="7" t="s">
        <v>26</v>
      </c>
      <c r="C678" s="7" t="s">
        <v>27</v>
      </c>
      <c r="D678" s="7" t="s">
        <v>28</v>
      </c>
      <c r="E678" s="7" t="s">
        <v>29</v>
      </c>
      <c r="F678" s="7" t="s">
        <v>79</v>
      </c>
      <c r="G678" s="7">
        <v>98.748050000000006</v>
      </c>
      <c r="H678" s="7"/>
    </row>
    <row r="679" spans="1:8" x14ac:dyDescent="0.35">
      <c r="A679" s="7" t="s">
        <v>348</v>
      </c>
      <c r="B679" s="7" t="s">
        <v>26</v>
      </c>
      <c r="C679" s="7" t="s">
        <v>27</v>
      </c>
      <c r="D679" s="7" t="s">
        <v>28</v>
      </c>
      <c r="E679" s="7" t="s">
        <v>29</v>
      </c>
      <c r="F679" s="7" t="s">
        <v>80</v>
      </c>
      <c r="G679" s="7">
        <v>98.699460000000002</v>
      </c>
      <c r="H679" s="7"/>
    </row>
    <row r="680" spans="1:8" x14ac:dyDescent="0.35">
      <c r="A680" s="7" t="s">
        <v>348</v>
      </c>
      <c r="B680" s="7" t="s">
        <v>26</v>
      </c>
      <c r="C680" s="7" t="s">
        <v>27</v>
      </c>
      <c r="D680" s="7" t="s">
        <v>28</v>
      </c>
      <c r="E680" s="7" t="s">
        <v>29</v>
      </c>
      <c r="F680" s="7" t="s">
        <v>81</v>
      </c>
      <c r="G680" s="7">
        <v>98.666169999999994</v>
      </c>
      <c r="H680" s="7"/>
    </row>
    <row r="681" spans="1:8" x14ac:dyDescent="0.35">
      <c r="A681" s="7" t="s">
        <v>348</v>
      </c>
      <c r="B681" s="7" t="s">
        <v>26</v>
      </c>
      <c r="C681" s="7" t="s">
        <v>27</v>
      </c>
      <c r="D681" s="7" t="s">
        <v>28</v>
      </c>
      <c r="E681" s="7" t="s">
        <v>29</v>
      </c>
      <c r="F681" s="7" t="s">
        <v>82</v>
      </c>
      <c r="G681" s="7">
        <v>98.606870000000001</v>
      </c>
      <c r="H681" s="7"/>
    </row>
    <row r="682" spans="1:8" x14ac:dyDescent="0.35">
      <c r="A682" s="7" t="s">
        <v>348</v>
      </c>
      <c r="B682" s="7" t="s">
        <v>26</v>
      </c>
      <c r="C682" s="7" t="s">
        <v>27</v>
      </c>
      <c r="D682" s="7" t="s">
        <v>28</v>
      </c>
      <c r="E682" s="7" t="s">
        <v>29</v>
      </c>
      <c r="F682" s="7" t="s">
        <v>83</v>
      </c>
      <c r="G682" s="7">
        <v>98.590500000000006</v>
      </c>
      <c r="H682" s="7"/>
    </row>
    <row r="683" spans="1:8" x14ac:dyDescent="0.35">
      <c r="A683" s="7" t="s">
        <v>348</v>
      </c>
      <c r="B683" s="7" t="s">
        <v>26</v>
      </c>
      <c r="C683" s="7" t="s">
        <v>27</v>
      </c>
      <c r="D683" s="7" t="s">
        <v>28</v>
      </c>
      <c r="E683" s="7" t="s">
        <v>29</v>
      </c>
      <c r="F683" s="7" t="s">
        <v>84</v>
      </c>
      <c r="G683" s="7">
        <v>98.645570000000006</v>
      </c>
      <c r="H683" s="7"/>
    </row>
    <row r="684" spans="1:8" x14ac:dyDescent="0.35">
      <c r="A684" s="7" t="s">
        <v>348</v>
      </c>
      <c r="B684" s="7" t="s">
        <v>26</v>
      </c>
      <c r="C684" s="7" t="s">
        <v>27</v>
      </c>
      <c r="D684" s="7" t="s">
        <v>28</v>
      </c>
      <c r="E684" s="7" t="s">
        <v>29</v>
      </c>
      <c r="F684" s="7" t="s">
        <v>85</v>
      </c>
      <c r="G684" s="7">
        <v>98.661990000000003</v>
      </c>
      <c r="H684" s="7"/>
    </row>
    <row r="685" spans="1:8" x14ac:dyDescent="0.35">
      <c r="A685" s="7" t="s">
        <v>348</v>
      </c>
      <c r="B685" s="7" t="s">
        <v>26</v>
      </c>
      <c r="C685" s="7" t="s">
        <v>27</v>
      </c>
      <c r="D685" s="7" t="s">
        <v>28</v>
      </c>
      <c r="E685" s="7" t="s">
        <v>29</v>
      </c>
      <c r="F685" s="7" t="s">
        <v>86</v>
      </c>
      <c r="G685" s="7">
        <v>98.565089999999998</v>
      </c>
      <c r="H685" s="7"/>
    </row>
    <row r="686" spans="1:8" x14ac:dyDescent="0.35">
      <c r="A686" s="7" t="s">
        <v>348</v>
      </c>
      <c r="B686" s="7" t="s">
        <v>26</v>
      </c>
      <c r="C686" s="7" t="s">
        <v>27</v>
      </c>
      <c r="D686" s="7" t="s">
        <v>28</v>
      </c>
      <c r="E686" s="7" t="s">
        <v>29</v>
      </c>
      <c r="F686" s="7" t="s">
        <v>87</v>
      </c>
      <c r="G686" s="7">
        <v>98.48048</v>
      </c>
      <c r="H686" s="7"/>
    </row>
    <row r="687" spans="1:8" x14ac:dyDescent="0.35">
      <c r="A687" s="7" t="s">
        <v>348</v>
      </c>
      <c r="B687" s="7" t="s">
        <v>26</v>
      </c>
      <c r="C687" s="7" t="s">
        <v>27</v>
      </c>
      <c r="D687" s="7" t="s">
        <v>28</v>
      </c>
      <c r="E687" s="7" t="s">
        <v>29</v>
      </c>
      <c r="F687" s="7" t="s">
        <v>88</v>
      </c>
      <c r="G687" s="7">
        <v>98.439670000000007</v>
      </c>
      <c r="H687" s="7"/>
    </row>
    <row r="688" spans="1:8" x14ac:dyDescent="0.35">
      <c r="A688" s="7" t="s">
        <v>348</v>
      </c>
      <c r="B688" s="7" t="s">
        <v>26</v>
      </c>
      <c r="C688" s="7" t="s">
        <v>27</v>
      </c>
      <c r="D688" s="7" t="s">
        <v>28</v>
      </c>
      <c r="E688" s="7" t="s">
        <v>29</v>
      </c>
      <c r="F688" s="7" t="s">
        <v>89</v>
      </c>
      <c r="G688" s="7">
        <v>98.46472</v>
      </c>
      <c r="H688" s="7"/>
    </row>
    <row r="689" spans="1:8" x14ac:dyDescent="0.35">
      <c r="A689" s="7" t="s">
        <v>348</v>
      </c>
      <c r="B689" s="7" t="s">
        <v>26</v>
      </c>
      <c r="C689" s="7" t="s">
        <v>27</v>
      </c>
      <c r="D689" s="7" t="s">
        <v>28</v>
      </c>
      <c r="E689" s="7" t="s">
        <v>29</v>
      </c>
      <c r="F689" s="7" t="s">
        <v>90</v>
      </c>
      <c r="G689" s="7">
        <v>98.570880000000002</v>
      </c>
      <c r="H689" s="7"/>
    </row>
    <row r="690" spans="1:8" x14ac:dyDescent="0.35">
      <c r="A690" s="7" t="s">
        <v>348</v>
      </c>
      <c r="B690" s="7" t="s">
        <v>26</v>
      </c>
      <c r="C690" s="7" t="s">
        <v>27</v>
      </c>
      <c r="D690" s="7" t="s">
        <v>28</v>
      </c>
      <c r="E690" s="7" t="s">
        <v>29</v>
      </c>
      <c r="F690" s="7" t="s">
        <v>91</v>
      </c>
      <c r="G690" s="7">
        <v>98.731960000000001</v>
      </c>
      <c r="H690" s="7"/>
    </row>
    <row r="691" spans="1:8" x14ac:dyDescent="0.35">
      <c r="A691" s="7" t="s">
        <v>348</v>
      </c>
      <c r="B691" s="7" t="s">
        <v>26</v>
      </c>
      <c r="C691" s="7" t="s">
        <v>27</v>
      </c>
      <c r="D691" s="7" t="s">
        <v>28</v>
      </c>
      <c r="E691" s="7" t="s">
        <v>29</v>
      </c>
      <c r="F691" s="7" t="s">
        <v>92</v>
      </c>
      <c r="G691" s="7">
        <v>98.812370000000001</v>
      </c>
      <c r="H691" s="7"/>
    </row>
    <row r="692" spans="1:8" x14ac:dyDescent="0.35">
      <c r="A692" s="7" t="s">
        <v>348</v>
      </c>
      <c r="B692" s="7" t="s">
        <v>26</v>
      </c>
      <c r="C692" s="7" t="s">
        <v>27</v>
      </c>
      <c r="D692" s="7" t="s">
        <v>28</v>
      </c>
      <c r="E692" s="7" t="s">
        <v>29</v>
      </c>
      <c r="F692" s="7" t="s">
        <v>93</v>
      </c>
      <c r="G692" s="7">
        <v>98.835459999999998</v>
      </c>
      <c r="H692" s="7"/>
    </row>
    <row r="693" spans="1:8" x14ac:dyDescent="0.35">
      <c r="A693" s="7" t="s">
        <v>348</v>
      </c>
      <c r="B693" s="7" t="s">
        <v>26</v>
      </c>
      <c r="C693" s="7" t="s">
        <v>27</v>
      </c>
      <c r="D693" s="7" t="s">
        <v>28</v>
      </c>
      <c r="E693" s="7" t="s">
        <v>29</v>
      </c>
      <c r="F693" s="7" t="s">
        <v>94</v>
      </c>
      <c r="G693" s="7">
        <v>98.788629999999998</v>
      </c>
      <c r="H693" s="7"/>
    </row>
    <row r="694" spans="1:8" x14ac:dyDescent="0.35">
      <c r="A694" s="7" t="s">
        <v>348</v>
      </c>
      <c r="B694" s="7" t="s">
        <v>26</v>
      </c>
      <c r="C694" s="7" t="s">
        <v>27</v>
      </c>
      <c r="D694" s="7" t="s">
        <v>28</v>
      </c>
      <c r="E694" s="7" t="s">
        <v>29</v>
      </c>
      <c r="F694" s="7" t="s">
        <v>95</v>
      </c>
      <c r="G694" s="7">
        <v>98.867360000000005</v>
      </c>
      <c r="H694" s="7"/>
    </row>
    <row r="695" spans="1:8" x14ac:dyDescent="0.35">
      <c r="A695" s="7" t="s">
        <v>348</v>
      </c>
      <c r="B695" s="7" t="s">
        <v>26</v>
      </c>
      <c r="C695" s="7" t="s">
        <v>27</v>
      </c>
      <c r="D695" s="7" t="s">
        <v>28</v>
      </c>
      <c r="E695" s="7" t="s">
        <v>29</v>
      </c>
      <c r="F695" s="7" t="s">
        <v>96</v>
      </c>
      <c r="G695" s="7">
        <v>99.159469999999999</v>
      </c>
      <c r="H695" s="7"/>
    </row>
    <row r="696" spans="1:8" x14ac:dyDescent="0.35">
      <c r="A696" s="7" t="s">
        <v>348</v>
      </c>
      <c r="B696" s="7" t="s">
        <v>26</v>
      </c>
      <c r="C696" s="7" t="s">
        <v>27</v>
      </c>
      <c r="D696" s="7" t="s">
        <v>28</v>
      </c>
      <c r="E696" s="7" t="s">
        <v>29</v>
      </c>
      <c r="F696" s="7" t="s">
        <v>97</v>
      </c>
      <c r="G696" s="7">
        <v>99.556880000000007</v>
      </c>
      <c r="H696" s="7"/>
    </row>
    <row r="697" spans="1:8" x14ac:dyDescent="0.35">
      <c r="A697" s="7" t="s">
        <v>348</v>
      </c>
      <c r="B697" s="7" t="s">
        <v>26</v>
      </c>
      <c r="C697" s="7" t="s">
        <v>27</v>
      </c>
      <c r="D697" s="7" t="s">
        <v>28</v>
      </c>
      <c r="E697" s="7" t="s">
        <v>29</v>
      </c>
      <c r="F697" s="7" t="s">
        <v>98</v>
      </c>
      <c r="G697" s="7">
        <v>99.759259999999998</v>
      </c>
      <c r="H697" s="7"/>
    </row>
    <row r="698" spans="1:8" x14ac:dyDescent="0.35">
      <c r="A698" s="7" t="s">
        <v>348</v>
      </c>
      <c r="B698" s="7" t="s">
        <v>26</v>
      </c>
      <c r="C698" s="7" t="s">
        <v>27</v>
      </c>
      <c r="D698" s="7" t="s">
        <v>28</v>
      </c>
      <c r="E698" s="7" t="s">
        <v>29</v>
      </c>
      <c r="F698" s="7" t="s">
        <v>99</v>
      </c>
      <c r="G698" s="7">
        <v>99.869079999999997</v>
      </c>
      <c r="H698" s="7"/>
    </row>
    <row r="699" spans="1:8" x14ac:dyDescent="0.35">
      <c r="A699" s="7" t="s">
        <v>348</v>
      </c>
      <c r="B699" s="7" t="s">
        <v>26</v>
      </c>
      <c r="C699" s="7" t="s">
        <v>27</v>
      </c>
      <c r="D699" s="7" t="s">
        <v>28</v>
      </c>
      <c r="E699" s="7" t="s">
        <v>29</v>
      </c>
      <c r="F699" s="7" t="s">
        <v>100</v>
      </c>
      <c r="G699" s="7">
        <v>99.941149999999993</v>
      </c>
      <c r="H699" s="7"/>
    </row>
    <row r="700" spans="1:8" x14ac:dyDescent="0.35">
      <c r="A700" s="7" t="s">
        <v>348</v>
      </c>
      <c r="B700" s="7" t="s">
        <v>26</v>
      </c>
      <c r="C700" s="7" t="s">
        <v>27</v>
      </c>
      <c r="D700" s="7" t="s">
        <v>28</v>
      </c>
      <c r="E700" s="7" t="s">
        <v>29</v>
      </c>
      <c r="F700" s="7" t="s">
        <v>101</v>
      </c>
      <c r="G700" s="7">
        <v>99.910970000000006</v>
      </c>
      <c r="H700" s="7"/>
    </row>
    <row r="701" spans="1:8" x14ac:dyDescent="0.35">
      <c r="A701" s="7" t="s">
        <v>348</v>
      </c>
      <c r="B701" s="7" t="s">
        <v>26</v>
      </c>
      <c r="C701" s="7" t="s">
        <v>27</v>
      </c>
      <c r="D701" s="7" t="s">
        <v>28</v>
      </c>
      <c r="E701" s="7" t="s">
        <v>29</v>
      </c>
      <c r="F701" s="7" t="s">
        <v>102</v>
      </c>
      <c r="G701" s="7">
        <v>99.856629999999996</v>
      </c>
      <c r="H701" s="7"/>
    </row>
    <row r="702" spans="1:8" x14ac:dyDescent="0.35">
      <c r="A702" s="7" t="s">
        <v>348</v>
      </c>
      <c r="B702" s="7" t="s">
        <v>26</v>
      </c>
      <c r="C702" s="7" t="s">
        <v>27</v>
      </c>
      <c r="D702" s="7" t="s">
        <v>28</v>
      </c>
      <c r="E702" s="7" t="s">
        <v>29</v>
      </c>
      <c r="F702" s="7" t="s">
        <v>103</v>
      </c>
      <c r="G702" s="7">
        <v>99.828609999999998</v>
      </c>
      <c r="H702" s="7"/>
    </row>
    <row r="703" spans="1:8" x14ac:dyDescent="0.35">
      <c r="A703" s="7" t="s">
        <v>348</v>
      </c>
      <c r="B703" s="7" t="s">
        <v>26</v>
      </c>
      <c r="C703" s="7" t="s">
        <v>27</v>
      </c>
      <c r="D703" s="7" t="s">
        <v>28</v>
      </c>
      <c r="E703" s="7" t="s">
        <v>29</v>
      </c>
      <c r="F703" s="7" t="s">
        <v>104</v>
      </c>
      <c r="G703" s="7">
        <v>99.818259999999995</v>
      </c>
      <c r="H703" s="7"/>
    </row>
    <row r="704" spans="1:8" x14ac:dyDescent="0.35">
      <c r="A704" s="7" t="s">
        <v>348</v>
      </c>
      <c r="B704" s="7" t="s">
        <v>26</v>
      </c>
      <c r="C704" s="7" t="s">
        <v>27</v>
      </c>
      <c r="D704" s="7" t="s">
        <v>28</v>
      </c>
      <c r="E704" s="7" t="s">
        <v>29</v>
      </c>
      <c r="F704" s="7" t="s">
        <v>105</v>
      </c>
      <c r="G704" s="7">
        <v>99.900260000000003</v>
      </c>
      <c r="H704" s="7"/>
    </row>
    <row r="705" spans="1:8" x14ac:dyDescent="0.35">
      <c r="A705" s="7" t="s">
        <v>348</v>
      </c>
      <c r="B705" s="7" t="s">
        <v>26</v>
      </c>
      <c r="C705" s="7" t="s">
        <v>27</v>
      </c>
      <c r="D705" s="7" t="s">
        <v>28</v>
      </c>
      <c r="E705" s="7" t="s">
        <v>29</v>
      </c>
      <c r="F705" s="7" t="s">
        <v>106</v>
      </c>
      <c r="G705" s="7">
        <v>99.99494</v>
      </c>
      <c r="H705" s="7"/>
    </row>
    <row r="706" spans="1:8" x14ac:dyDescent="0.35">
      <c r="A706" s="7" t="s">
        <v>348</v>
      </c>
      <c r="B706" s="7" t="s">
        <v>26</v>
      </c>
      <c r="C706" s="7" t="s">
        <v>27</v>
      </c>
      <c r="D706" s="7" t="s">
        <v>28</v>
      </c>
      <c r="E706" s="7" t="s">
        <v>29</v>
      </c>
      <c r="F706" s="7" t="s">
        <v>107</v>
      </c>
      <c r="G706" s="7">
        <v>100.0821</v>
      </c>
      <c r="H706" s="7"/>
    </row>
    <row r="707" spans="1:8" x14ac:dyDescent="0.35">
      <c r="A707" s="7" t="s">
        <v>348</v>
      </c>
      <c r="B707" s="7" t="s">
        <v>26</v>
      </c>
      <c r="C707" s="7" t="s">
        <v>27</v>
      </c>
      <c r="D707" s="7" t="s">
        <v>28</v>
      </c>
      <c r="E707" s="7" t="s">
        <v>29</v>
      </c>
      <c r="F707" s="7" t="s">
        <v>108</v>
      </c>
      <c r="G707" s="7">
        <v>100.19199999999999</v>
      </c>
      <c r="H707" s="7"/>
    </row>
    <row r="708" spans="1:8" x14ac:dyDescent="0.35">
      <c r="A708" s="7" t="s">
        <v>348</v>
      </c>
      <c r="B708" s="7" t="s">
        <v>26</v>
      </c>
      <c r="C708" s="7" t="s">
        <v>27</v>
      </c>
      <c r="D708" s="7" t="s">
        <v>28</v>
      </c>
      <c r="E708" s="7" t="s">
        <v>29</v>
      </c>
      <c r="F708" s="7" t="s">
        <v>109</v>
      </c>
      <c r="G708" s="7">
        <v>100.2901</v>
      </c>
      <c r="H708" s="7"/>
    </row>
    <row r="709" spans="1:8" x14ac:dyDescent="0.35">
      <c r="A709" s="7" t="s">
        <v>348</v>
      </c>
      <c r="B709" s="7" t="s">
        <v>26</v>
      </c>
      <c r="C709" s="7" t="s">
        <v>27</v>
      </c>
      <c r="D709" s="7" t="s">
        <v>28</v>
      </c>
      <c r="E709" s="7" t="s">
        <v>29</v>
      </c>
      <c r="F709" s="7" t="s">
        <v>110</v>
      </c>
      <c r="G709" s="7">
        <v>100.4148</v>
      </c>
      <c r="H709" s="7"/>
    </row>
    <row r="710" spans="1:8" x14ac:dyDescent="0.35">
      <c r="A710" s="7" t="s">
        <v>348</v>
      </c>
      <c r="B710" s="7" t="s">
        <v>26</v>
      </c>
      <c r="C710" s="7" t="s">
        <v>27</v>
      </c>
      <c r="D710" s="7" t="s">
        <v>28</v>
      </c>
      <c r="E710" s="7" t="s">
        <v>29</v>
      </c>
      <c r="F710" s="7" t="s">
        <v>111</v>
      </c>
      <c r="G710" s="7">
        <v>100.4933</v>
      </c>
      <c r="H710" s="7"/>
    </row>
    <row r="711" spans="1:8" x14ac:dyDescent="0.35">
      <c r="A711" s="7" t="s">
        <v>348</v>
      </c>
      <c r="B711" s="7" t="s">
        <v>26</v>
      </c>
      <c r="C711" s="7" t="s">
        <v>27</v>
      </c>
      <c r="D711" s="7" t="s">
        <v>28</v>
      </c>
      <c r="E711" s="7" t="s">
        <v>29</v>
      </c>
      <c r="F711" s="7" t="s">
        <v>112</v>
      </c>
      <c r="G711" s="7">
        <v>100.523</v>
      </c>
      <c r="H711" s="7"/>
    </row>
    <row r="712" spans="1:8" x14ac:dyDescent="0.35">
      <c r="A712" s="7" t="s">
        <v>348</v>
      </c>
      <c r="B712" s="7" t="s">
        <v>26</v>
      </c>
      <c r="C712" s="7" t="s">
        <v>27</v>
      </c>
      <c r="D712" s="7" t="s">
        <v>28</v>
      </c>
      <c r="E712" s="7" t="s">
        <v>29</v>
      </c>
      <c r="F712" s="7" t="s">
        <v>113</v>
      </c>
      <c r="G712" s="7">
        <v>100.49209999999999</v>
      </c>
      <c r="H712" s="7"/>
    </row>
    <row r="713" spans="1:8" x14ac:dyDescent="0.35">
      <c r="A713" s="7" t="s">
        <v>348</v>
      </c>
      <c r="B713" s="7" t="s">
        <v>26</v>
      </c>
      <c r="C713" s="7" t="s">
        <v>27</v>
      </c>
      <c r="D713" s="7" t="s">
        <v>28</v>
      </c>
      <c r="E713" s="7" t="s">
        <v>29</v>
      </c>
      <c r="F713" s="7" t="s">
        <v>114</v>
      </c>
      <c r="G713" s="7">
        <v>100.4843</v>
      </c>
      <c r="H713" s="7"/>
    </row>
    <row r="714" spans="1:8" x14ac:dyDescent="0.35">
      <c r="A714" s="7" t="s">
        <v>348</v>
      </c>
      <c r="B714" s="7" t="s">
        <v>26</v>
      </c>
      <c r="C714" s="7" t="s">
        <v>27</v>
      </c>
      <c r="D714" s="7" t="s">
        <v>28</v>
      </c>
      <c r="E714" s="7" t="s">
        <v>29</v>
      </c>
      <c r="F714" s="7" t="s">
        <v>115</v>
      </c>
      <c r="G714" s="7">
        <v>100.48950000000001</v>
      </c>
      <c r="H714" s="7"/>
    </row>
    <row r="715" spans="1:8" x14ac:dyDescent="0.35">
      <c r="A715" s="7" t="s">
        <v>348</v>
      </c>
      <c r="B715" s="7" t="s">
        <v>26</v>
      </c>
      <c r="C715" s="7" t="s">
        <v>27</v>
      </c>
      <c r="D715" s="7" t="s">
        <v>28</v>
      </c>
      <c r="E715" s="7" t="s">
        <v>29</v>
      </c>
      <c r="F715" s="7" t="s">
        <v>116</v>
      </c>
      <c r="G715" s="7">
        <v>100.52679999999999</v>
      </c>
      <c r="H715" s="7"/>
    </row>
    <row r="716" spans="1:8" x14ac:dyDescent="0.35">
      <c r="A716" s="7" t="s">
        <v>348</v>
      </c>
      <c r="B716" s="7" t="s">
        <v>26</v>
      </c>
      <c r="C716" s="7" t="s">
        <v>27</v>
      </c>
      <c r="D716" s="7" t="s">
        <v>28</v>
      </c>
      <c r="E716" s="7" t="s">
        <v>29</v>
      </c>
      <c r="F716" s="7" t="s">
        <v>117</v>
      </c>
      <c r="G716" s="7">
        <v>100.5052</v>
      </c>
      <c r="H716" s="7"/>
    </row>
    <row r="717" spans="1:8" x14ac:dyDescent="0.35">
      <c r="A717" s="7" t="s">
        <v>348</v>
      </c>
      <c r="B717" s="7" t="s">
        <v>26</v>
      </c>
      <c r="C717" s="7" t="s">
        <v>27</v>
      </c>
      <c r="D717" s="7" t="s">
        <v>28</v>
      </c>
      <c r="E717" s="7" t="s">
        <v>29</v>
      </c>
      <c r="F717" s="7" t="s">
        <v>118</v>
      </c>
      <c r="G717" s="7">
        <v>100.3869</v>
      </c>
      <c r="H717" s="7"/>
    </row>
    <row r="718" spans="1:8" x14ac:dyDescent="0.35">
      <c r="A718" s="7" t="s">
        <v>348</v>
      </c>
      <c r="B718" s="7" t="s">
        <v>26</v>
      </c>
      <c r="C718" s="7" t="s">
        <v>27</v>
      </c>
      <c r="D718" s="7" t="s">
        <v>28</v>
      </c>
      <c r="E718" s="7" t="s">
        <v>29</v>
      </c>
      <c r="F718" s="7" t="s">
        <v>119</v>
      </c>
      <c r="G718" s="7">
        <v>100.26600000000001</v>
      </c>
      <c r="H718" s="7"/>
    </row>
    <row r="719" spans="1:8" x14ac:dyDescent="0.35">
      <c r="A719" s="7" t="s">
        <v>348</v>
      </c>
      <c r="B719" s="7" t="s">
        <v>26</v>
      </c>
      <c r="C719" s="7" t="s">
        <v>27</v>
      </c>
      <c r="D719" s="7" t="s">
        <v>28</v>
      </c>
      <c r="E719" s="7" t="s">
        <v>29</v>
      </c>
      <c r="F719" s="7" t="s">
        <v>120</v>
      </c>
      <c r="G719" s="7">
        <v>100.2774</v>
      </c>
      <c r="H719" s="7"/>
    </row>
    <row r="720" spans="1:8" x14ac:dyDescent="0.35">
      <c r="A720" s="7" t="s">
        <v>348</v>
      </c>
      <c r="B720" s="7" t="s">
        <v>26</v>
      </c>
      <c r="C720" s="7" t="s">
        <v>27</v>
      </c>
      <c r="D720" s="7" t="s">
        <v>28</v>
      </c>
      <c r="E720" s="7" t="s">
        <v>29</v>
      </c>
      <c r="F720" s="7" t="s">
        <v>121</v>
      </c>
      <c r="G720" s="7">
        <v>100.3732</v>
      </c>
      <c r="H720" s="7"/>
    </row>
    <row r="721" spans="1:8" x14ac:dyDescent="0.35">
      <c r="A721" s="7" t="s">
        <v>348</v>
      </c>
      <c r="B721" s="7" t="s">
        <v>26</v>
      </c>
      <c r="C721" s="7" t="s">
        <v>27</v>
      </c>
      <c r="D721" s="7" t="s">
        <v>28</v>
      </c>
      <c r="E721" s="7" t="s">
        <v>29</v>
      </c>
      <c r="F721" s="7" t="s">
        <v>122</v>
      </c>
      <c r="G721" s="7">
        <v>100.5222</v>
      </c>
      <c r="H721" s="7"/>
    </row>
    <row r="722" spans="1:8" x14ac:dyDescent="0.35">
      <c r="A722" s="7" t="s">
        <v>348</v>
      </c>
      <c r="B722" s="7" t="s">
        <v>26</v>
      </c>
      <c r="C722" s="7" t="s">
        <v>27</v>
      </c>
      <c r="D722" s="7" t="s">
        <v>28</v>
      </c>
      <c r="E722" s="7" t="s">
        <v>29</v>
      </c>
      <c r="F722" s="7" t="s">
        <v>123</v>
      </c>
      <c r="G722" s="7">
        <v>100.64230000000001</v>
      </c>
      <c r="H722" s="7"/>
    </row>
    <row r="723" spans="1:8" x14ac:dyDescent="0.35">
      <c r="A723" s="7" t="s">
        <v>348</v>
      </c>
      <c r="B723" s="7" t="s">
        <v>26</v>
      </c>
      <c r="C723" s="7" t="s">
        <v>27</v>
      </c>
      <c r="D723" s="7" t="s">
        <v>28</v>
      </c>
      <c r="E723" s="7" t="s">
        <v>29</v>
      </c>
      <c r="F723" s="7" t="s">
        <v>124</v>
      </c>
      <c r="G723" s="7">
        <v>100.7474</v>
      </c>
      <c r="H723" s="7"/>
    </row>
    <row r="724" spans="1:8" x14ac:dyDescent="0.35">
      <c r="A724" s="7" t="s">
        <v>348</v>
      </c>
      <c r="B724" s="7" t="s">
        <v>26</v>
      </c>
      <c r="C724" s="7" t="s">
        <v>27</v>
      </c>
      <c r="D724" s="7" t="s">
        <v>28</v>
      </c>
      <c r="E724" s="7" t="s">
        <v>29</v>
      </c>
      <c r="F724" s="7" t="s">
        <v>125</v>
      </c>
      <c r="G724" s="7">
        <v>100.8365</v>
      </c>
      <c r="H724" s="7"/>
    </row>
    <row r="725" spans="1:8" x14ac:dyDescent="0.35">
      <c r="A725" s="7" t="s">
        <v>348</v>
      </c>
      <c r="B725" s="7" t="s">
        <v>26</v>
      </c>
      <c r="C725" s="7" t="s">
        <v>27</v>
      </c>
      <c r="D725" s="7" t="s">
        <v>28</v>
      </c>
      <c r="E725" s="7" t="s">
        <v>29</v>
      </c>
      <c r="F725" s="7" t="s">
        <v>126</v>
      </c>
      <c r="G725" s="7">
        <v>100.9611</v>
      </c>
      <c r="H725" s="7"/>
    </row>
    <row r="726" spans="1:8" x14ac:dyDescent="0.35">
      <c r="A726" s="7" t="s">
        <v>348</v>
      </c>
      <c r="B726" s="7" t="s">
        <v>26</v>
      </c>
      <c r="C726" s="7" t="s">
        <v>27</v>
      </c>
      <c r="D726" s="7" t="s">
        <v>28</v>
      </c>
      <c r="E726" s="7" t="s">
        <v>29</v>
      </c>
      <c r="F726" s="7" t="s">
        <v>127</v>
      </c>
      <c r="G726" s="7">
        <v>101.03019999999999</v>
      </c>
      <c r="H726" s="7"/>
    </row>
    <row r="727" spans="1:8" x14ac:dyDescent="0.35">
      <c r="A727" s="7" t="s">
        <v>348</v>
      </c>
      <c r="B727" s="7" t="s">
        <v>26</v>
      </c>
      <c r="C727" s="7" t="s">
        <v>27</v>
      </c>
      <c r="D727" s="7" t="s">
        <v>28</v>
      </c>
      <c r="E727" s="7" t="s">
        <v>29</v>
      </c>
      <c r="F727" s="7" t="s">
        <v>128</v>
      </c>
      <c r="G727" s="7">
        <v>101.08750000000001</v>
      </c>
      <c r="H727" s="7"/>
    </row>
    <row r="728" spans="1:8" x14ac:dyDescent="0.35">
      <c r="A728" s="7" t="s">
        <v>348</v>
      </c>
      <c r="B728" s="7" t="s">
        <v>26</v>
      </c>
      <c r="C728" s="7" t="s">
        <v>27</v>
      </c>
      <c r="D728" s="7" t="s">
        <v>28</v>
      </c>
      <c r="E728" s="7" t="s">
        <v>29</v>
      </c>
      <c r="F728" s="7" t="s">
        <v>129</v>
      </c>
      <c r="G728" s="7">
        <v>101.11750000000001</v>
      </c>
      <c r="H728" s="7"/>
    </row>
    <row r="729" spans="1:8" x14ac:dyDescent="0.35">
      <c r="A729" s="7" t="s">
        <v>348</v>
      </c>
      <c r="B729" s="7" t="s">
        <v>26</v>
      </c>
      <c r="C729" s="7" t="s">
        <v>27</v>
      </c>
      <c r="D729" s="7" t="s">
        <v>28</v>
      </c>
      <c r="E729" s="7" t="s">
        <v>29</v>
      </c>
      <c r="F729" s="7" t="s">
        <v>130</v>
      </c>
      <c r="G729" s="7">
        <v>101.19840000000001</v>
      </c>
      <c r="H729" s="7"/>
    </row>
    <row r="730" spans="1:8" x14ac:dyDescent="0.35">
      <c r="A730" s="7" t="s">
        <v>348</v>
      </c>
      <c r="B730" s="7" t="s">
        <v>26</v>
      </c>
      <c r="C730" s="7" t="s">
        <v>27</v>
      </c>
      <c r="D730" s="7" t="s">
        <v>28</v>
      </c>
      <c r="E730" s="7" t="s">
        <v>29</v>
      </c>
      <c r="F730" s="7" t="s">
        <v>131</v>
      </c>
      <c r="G730" s="7">
        <v>101.3289</v>
      </c>
      <c r="H730" s="7"/>
    </row>
    <row r="731" spans="1:8" x14ac:dyDescent="0.35">
      <c r="A731" s="7" t="s">
        <v>348</v>
      </c>
      <c r="B731" s="7" t="s">
        <v>26</v>
      </c>
      <c r="C731" s="7" t="s">
        <v>27</v>
      </c>
      <c r="D731" s="7" t="s">
        <v>28</v>
      </c>
      <c r="E731" s="7" t="s">
        <v>29</v>
      </c>
      <c r="F731" s="7" t="s">
        <v>132</v>
      </c>
      <c r="G731" s="7">
        <v>101.3665</v>
      </c>
      <c r="H731" s="7"/>
    </row>
    <row r="732" spans="1:8" x14ac:dyDescent="0.35">
      <c r="A732" s="7" t="s">
        <v>348</v>
      </c>
      <c r="B732" s="7" t="s">
        <v>26</v>
      </c>
      <c r="C732" s="7" t="s">
        <v>27</v>
      </c>
      <c r="D732" s="7" t="s">
        <v>28</v>
      </c>
      <c r="E732" s="7" t="s">
        <v>29</v>
      </c>
      <c r="F732" s="7" t="s">
        <v>133</v>
      </c>
      <c r="G732" s="7">
        <v>101.29770000000001</v>
      </c>
      <c r="H732" s="7"/>
    </row>
    <row r="733" spans="1:8" x14ac:dyDescent="0.35">
      <c r="A733" s="7" t="s">
        <v>348</v>
      </c>
      <c r="B733" s="7" t="s">
        <v>26</v>
      </c>
      <c r="C733" s="7" t="s">
        <v>27</v>
      </c>
      <c r="D733" s="7" t="s">
        <v>28</v>
      </c>
      <c r="E733" s="7" t="s">
        <v>29</v>
      </c>
      <c r="F733" s="7" t="s">
        <v>134</v>
      </c>
      <c r="G733" s="7">
        <v>101.1814</v>
      </c>
      <c r="H733" s="7"/>
    </row>
    <row r="734" spans="1:8" x14ac:dyDescent="0.35">
      <c r="A734" s="7" t="s">
        <v>348</v>
      </c>
      <c r="B734" s="7" t="s">
        <v>26</v>
      </c>
      <c r="C734" s="7" t="s">
        <v>27</v>
      </c>
      <c r="D734" s="7" t="s">
        <v>28</v>
      </c>
      <c r="E734" s="7" t="s">
        <v>29</v>
      </c>
      <c r="F734" s="7" t="s">
        <v>135</v>
      </c>
      <c r="G734" s="7">
        <v>100.9979</v>
      </c>
      <c r="H734" s="7"/>
    </row>
    <row r="735" spans="1:8" x14ac:dyDescent="0.35">
      <c r="A735" s="7" t="s">
        <v>348</v>
      </c>
      <c r="B735" s="7" t="s">
        <v>26</v>
      </c>
      <c r="C735" s="7" t="s">
        <v>27</v>
      </c>
      <c r="D735" s="7" t="s">
        <v>28</v>
      </c>
      <c r="E735" s="7" t="s">
        <v>29</v>
      </c>
      <c r="F735" s="7" t="s">
        <v>136</v>
      </c>
      <c r="G735" s="7">
        <v>100.88979999999999</v>
      </c>
      <c r="H735" s="7"/>
    </row>
    <row r="736" spans="1:8" x14ac:dyDescent="0.35">
      <c r="A736" s="7" t="s">
        <v>348</v>
      </c>
      <c r="B736" s="7" t="s">
        <v>26</v>
      </c>
      <c r="C736" s="7" t="s">
        <v>27</v>
      </c>
      <c r="D736" s="7" t="s">
        <v>28</v>
      </c>
      <c r="E736" s="7" t="s">
        <v>29</v>
      </c>
      <c r="F736" s="7" t="s">
        <v>137</v>
      </c>
      <c r="G736" s="7">
        <v>101.0013</v>
      </c>
      <c r="H736" s="7"/>
    </row>
    <row r="737" spans="1:8" x14ac:dyDescent="0.35">
      <c r="A737" s="7" t="s">
        <v>348</v>
      </c>
      <c r="B737" s="7" t="s">
        <v>26</v>
      </c>
      <c r="C737" s="7" t="s">
        <v>27</v>
      </c>
      <c r="D737" s="7" t="s">
        <v>28</v>
      </c>
      <c r="E737" s="7" t="s">
        <v>29</v>
      </c>
      <c r="F737" s="7" t="s">
        <v>138</v>
      </c>
      <c r="G737" s="7">
        <v>101.23390000000001</v>
      </c>
      <c r="H737" s="7"/>
    </row>
    <row r="738" spans="1:8" x14ac:dyDescent="0.35">
      <c r="A738" s="7" t="s">
        <v>348</v>
      </c>
      <c r="B738" s="7" t="s">
        <v>26</v>
      </c>
      <c r="C738" s="7" t="s">
        <v>27</v>
      </c>
      <c r="D738" s="7" t="s">
        <v>28</v>
      </c>
      <c r="E738" s="7" t="s">
        <v>29</v>
      </c>
      <c r="F738" s="7" t="s">
        <v>139</v>
      </c>
      <c r="G738" s="7">
        <v>101.4875</v>
      </c>
      <c r="H738" s="7"/>
    </row>
    <row r="739" spans="1:8" x14ac:dyDescent="0.35">
      <c r="A739" s="7" t="s">
        <v>348</v>
      </c>
      <c r="B739" s="7" t="s">
        <v>26</v>
      </c>
      <c r="C739" s="7" t="s">
        <v>27</v>
      </c>
      <c r="D739" s="7" t="s">
        <v>28</v>
      </c>
      <c r="E739" s="7" t="s">
        <v>29</v>
      </c>
      <c r="F739" s="7" t="s">
        <v>140</v>
      </c>
      <c r="G739" s="7">
        <v>101.6091</v>
      </c>
      <c r="H739" s="7"/>
    </row>
    <row r="740" spans="1:8" x14ac:dyDescent="0.35">
      <c r="A740" s="7" t="s">
        <v>348</v>
      </c>
      <c r="B740" s="7" t="s">
        <v>26</v>
      </c>
      <c r="C740" s="7" t="s">
        <v>27</v>
      </c>
      <c r="D740" s="7" t="s">
        <v>28</v>
      </c>
      <c r="E740" s="7" t="s">
        <v>29</v>
      </c>
      <c r="F740" s="7" t="s">
        <v>141</v>
      </c>
      <c r="G740" s="7">
        <v>101.5214</v>
      </c>
      <c r="H740" s="7"/>
    </row>
    <row r="741" spans="1:8" x14ac:dyDescent="0.35">
      <c r="A741" s="7" t="s">
        <v>348</v>
      </c>
      <c r="B741" s="7" t="s">
        <v>26</v>
      </c>
      <c r="C741" s="7" t="s">
        <v>27</v>
      </c>
      <c r="D741" s="7" t="s">
        <v>28</v>
      </c>
      <c r="E741" s="7" t="s">
        <v>29</v>
      </c>
      <c r="F741" s="7" t="s">
        <v>142</v>
      </c>
      <c r="G741" s="7">
        <v>101.2723</v>
      </c>
      <c r="H741" s="7"/>
    </row>
    <row r="742" spans="1:8" x14ac:dyDescent="0.35">
      <c r="A742" s="7" t="s">
        <v>348</v>
      </c>
      <c r="B742" s="7" t="s">
        <v>26</v>
      </c>
      <c r="C742" s="7" t="s">
        <v>27</v>
      </c>
      <c r="D742" s="7" t="s">
        <v>28</v>
      </c>
      <c r="E742" s="7" t="s">
        <v>29</v>
      </c>
      <c r="F742" s="7" t="s">
        <v>143</v>
      </c>
      <c r="G742" s="7">
        <v>100.9135</v>
      </c>
      <c r="H742" s="7"/>
    </row>
    <row r="743" spans="1:8" x14ac:dyDescent="0.35">
      <c r="A743" s="7" t="s">
        <v>348</v>
      </c>
      <c r="B743" s="7" t="s">
        <v>26</v>
      </c>
      <c r="C743" s="7" t="s">
        <v>27</v>
      </c>
      <c r="D743" s="7" t="s">
        <v>28</v>
      </c>
      <c r="E743" s="7" t="s">
        <v>29</v>
      </c>
      <c r="F743" s="7" t="s">
        <v>144</v>
      </c>
      <c r="G743" s="7">
        <v>100.5579</v>
      </c>
      <c r="H743" s="7"/>
    </row>
    <row r="744" spans="1:8" x14ac:dyDescent="0.35">
      <c r="A744" s="7" t="s">
        <v>348</v>
      </c>
      <c r="B744" s="7" t="s">
        <v>26</v>
      </c>
      <c r="C744" s="7" t="s">
        <v>27</v>
      </c>
      <c r="D744" s="7" t="s">
        <v>28</v>
      </c>
      <c r="E744" s="7" t="s">
        <v>29</v>
      </c>
      <c r="F744" s="7" t="s">
        <v>145</v>
      </c>
      <c r="G744" s="7">
        <v>100.2808</v>
      </c>
      <c r="H744" s="7"/>
    </row>
    <row r="745" spans="1:8" x14ac:dyDescent="0.35">
      <c r="A745" s="7" t="s">
        <v>348</v>
      </c>
      <c r="B745" s="7" t="s">
        <v>26</v>
      </c>
      <c r="C745" s="7" t="s">
        <v>27</v>
      </c>
      <c r="D745" s="7" t="s">
        <v>28</v>
      </c>
      <c r="E745" s="7" t="s">
        <v>29</v>
      </c>
      <c r="F745" s="7" t="s">
        <v>146</v>
      </c>
      <c r="G745" s="7">
        <v>99.979150000000004</v>
      </c>
      <c r="H745" s="7"/>
    </row>
    <row r="746" spans="1:8" x14ac:dyDescent="0.35">
      <c r="A746" s="7" t="s">
        <v>348</v>
      </c>
      <c r="B746" s="7" t="s">
        <v>26</v>
      </c>
      <c r="C746" s="7" t="s">
        <v>27</v>
      </c>
      <c r="D746" s="7" t="s">
        <v>28</v>
      </c>
      <c r="E746" s="7" t="s">
        <v>29</v>
      </c>
      <c r="F746" s="7" t="s">
        <v>147</v>
      </c>
      <c r="G746" s="7">
        <v>99.71557</v>
      </c>
      <c r="H746" s="7"/>
    </row>
    <row r="747" spans="1:8" x14ac:dyDescent="0.35">
      <c r="A747" s="7" t="s">
        <v>348</v>
      </c>
      <c r="B747" s="7" t="s">
        <v>26</v>
      </c>
      <c r="C747" s="7" t="s">
        <v>27</v>
      </c>
      <c r="D747" s="7" t="s">
        <v>28</v>
      </c>
      <c r="E747" s="7" t="s">
        <v>29</v>
      </c>
      <c r="F747" s="7" t="s">
        <v>148</v>
      </c>
      <c r="G747" s="7">
        <v>99.52364</v>
      </c>
      <c r="H747" s="7"/>
    </row>
    <row r="748" spans="1:8" x14ac:dyDescent="0.35">
      <c r="A748" s="7" t="s">
        <v>348</v>
      </c>
      <c r="B748" s="7" t="s">
        <v>26</v>
      </c>
      <c r="C748" s="7" t="s">
        <v>27</v>
      </c>
      <c r="D748" s="7" t="s">
        <v>28</v>
      </c>
      <c r="E748" s="7" t="s">
        <v>29</v>
      </c>
      <c r="F748" s="7" t="s">
        <v>149</v>
      </c>
      <c r="G748" s="7">
        <v>99.452079999999995</v>
      </c>
      <c r="H748" s="7"/>
    </row>
    <row r="749" spans="1:8" x14ac:dyDescent="0.35">
      <c r="A749" s="7" t="s">
        <v>348</v>
      </c>
      <c r="B749" s="7" t="s">
        <v>26</v>
      </c>
      <c r="C749" s="7" t="s">
        <v>27</v>
      </c>
      <c r="D749" s="7" t="s">
        <v>28</v>
      </c>
      <c r="E749" s="7" t="s">
        <v>29</v>
      </c>
      <c r="F749" s="7" t="s">
        <v>150</v>
      </c>
      <c r="G749" s="7">
        <v>99.489410000000007</v>
      </c>
      <c r="H749" s="7"/>
    </row>
    <row r="750" spans="1:8" x14ac:dyDescent="0.35">
      <c r="A750" s="7" t="s">
        <v>348</v>
      </c>
      <c r="B750" s="7" t="s">
        <v>26</v>
      </c>
      <c r="C750" s="7" t="s">
        <v>27</v>
      </c>
      <c r="D750" s="7" t="s">
        <v>28</v>
      </c>
      <c r="E750" s="7" t="s">
        <v>29</v>
      </c>
      <c r="F750" s="7" t="s">
        <v>151</v>
      </c>
      <c r="G750" s="7">
        <v>99.597390000000004</v>
      </c>
      <c r="H750" s="7"/>
    </row>
    <row r="751" spans="1:8" x14ac:dyDescent="0.35">
      <c r="A751" s="7" t="s">
        <v>348</v>
      </c>
      <c r="B751" s="7" t="s">
        <v>26</v>
      </c>
      <c r="C751" s="7" t="s">
        <v>27</v>
      </c>
      <c r="D751" s="7" t="s">
        <v>28</v>
      </c>
      <c r="E751" s="7" t="s">
        <v>29</v>
      </c>
      <c r="F751" s="7" t="s">
        <v>152</v>
      </c>
      <c r="G751" s="7">
        <v>99.711839999999995</v>
      </c>
      <c r="H751" s="7"/>
    </row>
    <row r="752" spans="1:8" x14ac:dyDescent="0.35">
      <c r="A752" s="7" t="s">
        <v>348</v>
      </c>
      <c r="B752" s="7" t="s">
        <v>26</v>
      </c>
      <c r="C752" s="7" t="s">
        <v>27</v>
      </c>
      <c r="D752" s="7" t="s">
        <v>28</v>
      </c>
      <c r="E752" s="7" t="s">
        <v>29</v>
      </c>
      <c r="F752" s="7" t="s">
        <v>153</v>
      </c>
      <c r="G752" s="7">
        <v>99.854150000000004</v>
      </c>
      <c r="H752" s="7"/>
    </row>
    <row r="753" spans="1:8" x14ac:dyDescent="0.35">
      <c r="A753" s="7" t="s">
        <v>348</v>
      </c>
      <c r="B753" s="7" t="s">
        <v>26</v>
      </c>
      <c r="C753" s="7" t="s">
        <v>27</v>
      </c>
      <c r="D753" s="7" t="s">
        <v>28</v>
      </c>
      <c r="E753" s="7" t="s">
        <v>29</v>
      </c>
      <c r="F753" s="7" t="s">
        <v>154</v>
      </c>
      <c r="G753" s="7">
        <v>100.0645</v>
      </c>
      <c r="H753" s="7"/>
    </row>
    <row r="754" spans="1:8" x14ac:dyDescent="0.35">
      <c r="A754" s="7" t="s">
        <v>348</v>
      </c>
      <c r="B754" s="7" t="s">
        <v>26</v>
      </c>
      <c r="C754" s="7" t="s">
        <v>27</v>
      </c>
      <c r="D754" s="7" t="s">
        <v>28</v>
      </c>
      <c r="E754" s="7" t="s">
        <v>29</v>
      </c>
      <c r="F754" s="7" t="s">
        <v>155</v>
      </c>
      <c r="G754" s="7">
        <v>100.2407</v>
      </c>
      <c r="H754" s="7"/>
    </row>
    <row r="755" spans="1:8" x14ac:dyDescent="0.35">
      <c r="A755" s="7" t="s">
        <v>348</v>
      </c>
      <c r="B755" s="7" t="s">
        <v>26</v>
      </c>
      <c r="C755" s="7" t="s">
        <v>27</v>
      </c>
      <c r="D755" s="7" t="s">
        <v>28</v>
      </c>
      <c r="E755" s="7" t="s">
        <v>29</v>
      </c>
      <c r="F755" s="7" t="s">
        <v>156</v>
      </c>
      <c r="G755" s="7">
        <v>100.39490000000001</v>
      </c>
      <c r="H755" s="7"/>
    </row>
    <row r="756" spans="1:8" x14ac:dyDescent="0.35">
      <c r="A756" s="7" t="s">
        <v>348</v>
      </c>
      <c r="B756" s="7" t="s">
        <v>26</v>
      </c>
      <c r="C756" s="7" t="s">
        <v>27</v>
      </c>
      <c r="D756" s="7" t="s">
        <v>28</v>
      </c>
      <c r="E756" s="7" t="s">
        <v>29</v>
      </c>
      <c r="F756" s="7" t="s">
        <v>157</v>
      </c>
      <c r="G756" s="7">
        <v>100.37309999999999</v>
      </c>
      <c r="H756" s="7"/>
    </row>
    <row r="757" spans="1:8" x14ac:dyDescent="0.35">
      <c r="A757" s="7" t="s">
        <v>348</v>
      </c>
      <c r="B757" s="7" t="s">
        <v>26</v>
      </c>
      <c r="C757" s="7" t="s">
        <v>27</v>
      </c>
      <c r="D757" s="7" t="s">
        <v>28</v>
      </c>
      <c r="E757" s="7" t="s">
        <v>29</v>
      </c>
      <c r="F757" s="7" t="s">
        <v>158</v>
      </c>
      <c r="G757" s="7">
        <v>100.1964</v>
      </c>
      <c r="H757" s="7"/>
    </row>
    <row r="758" spans="1:8" x14ac:dyDescent="0.35">
      <c r="A758" s="7" t="s">
        <v>348</v>
      </c>
      <c r="B758" s="7" t="s">
        <v>26</v>
      </c>
      <c r="C758" s="7" t="s">
        <v>27</v>
      </c>
      <c r="D758" s="7" t="s">
        <v>28</v>
      </c>
      <c r="E758" s="7" t="s">
        <v>29</v>
      </c>
      <c r="F758" s="7" t="s">
        <v>159</v>
      </c>
      <c r="G758" s="7">
        <v>100.0074</v>
      </c>
      <c r="H758" s="7"/>
    </row>
    <row r="759" spans="1:8" x14ac:dyDescent="0.35">
      <c r="A759" s="7" t="s">
        <v>348</v>
      </c>
      <c r="B759" s="7" t="s">
        <v>26</v>
      </c>
      <c r="C759" s="7" t="s">
        <v>27</v>
      </c>
      <c r="D759" s="7" t="s">
        <v>28</v>
      </c>
      <c r="E759" s="7" t="s">
        <v>29</v>
      </c>
      <c r="F759" s="7" t="s">
        <v>160</v>
      </c>
      <c r="G759" s="7">
        <v>99.845190000000002</v>
      </c>
      <c r="H759" s="7"/>
    </row>
    <row r="760" spans="1:8" x14ac:dyDescent="0.35">
      <c r="A760" s="7" t="s">
        <v>348</v>
      </c>
      <c r="B760" s="7" t="s">
        <v>26</v>
      </c>
      <c r="C760" s="7" t="s">
        <v>27</v>
      </c>
      <c r="D760" s="7" t="s">
        <v>28</v>
      </c>
      <c r="E760" s="7" t="s">
        <v>29</v>
      </c>
      <c r="F760" s="7" t="s">
        <v>161</v>
      </c>
      <c r="G760" s="7">
        <v>99.730090000000004</v>
      </c>
      <c r="H760" s="7"/>
    </row>
    <row r="761" spans="1:8" x14ac:dyDescent="0.35">
      <c r="A761" s="7" t="s">
        <v>348</v>
      </c>
      <c r="B761" s="7" t="s">
        <v>26</v>
      </c>
      <c r="C761" s="7" t="s">
        <v>27</v>
      </c>
      <c r="D761" s="7" t="s">
        <v>28</v>
      </c>
      <c r="E761" s="7" t="s">
        <v>29</v>
      </c>
      <c r="F761" s="7" t="s">
        <v>162</v>
      </c>
      <c r="G761" s="7">
        <v>99.682280000000006</v>
      </c>
      <c r="H761" s="7"/>
    </row>
    <row r="762" spans="1:8" x14ac:dyDescent="0.35">
      <c r="A762" s="7" t="s">
        <v>348</v>
      </c>
      <c r="B762" s="7" t="s">
        <v>26</v>
      </c>
      <c r="C762" s="7" t="s">
        <v>27</v>
      </c>
      <c r="D762" s="7" t="s">
        <v>28</v>
      </c>
      <c r="E762" s="7" t="s">
        <v>29</v>
      </c>
      <c r="F762" s="7" t="s">
        <v>163</v>
      </c>
      <c r="G762" s="7">
        <v>99.608059999999995</v>
      </c>
      <c r="H762" s="7"/>
    </row>
    <row r="763" spans="1:8" x14ac:dyDescent="0.35">
      <c r="A763" s="7" t="s">
        <v>348</v>
      </c>
      <c r="B763" s="7" t="s">
        <v>26</v>
      </c>
      <c r="C763" s="7" t="s">
        <v>27</v>
      </c>
      <c r="D763" s="7" t="s">
        <v>28</v>
      </c>
      <c r="E763" s="7" t="s">
        <v>29</v>
      </c>
      <c r="F763" s="7" t="s">
        <v>164</v>
      </c>
      <c r="G763" s="7">
        <v>99.376199999999997</v>
      </c>
      <c r="H763" s="7"/>
    </row>
    <row r="764" spans="1:8" x14ac:dyDescent="0.35">
      <c r="A764" s="7" t="s">
        <v>348</v>
      </c>
      <c r="B764" s="7" t="s">
        <v>26</v>
      </c>
      <c r="C764" s="7" t="s">
        <v>27</v>
      </c>
      <c r="D764" s="7" t="s">
        <v>28</v>
      </c>
      <c r="E764" s="7" t="s">
        <v>29</v>
      </c>
      <c r="F764" s="7" t="s">
        <v>165</v>
      </c>
      <c r="G764" s="7">
        <v>99.054479999999998</v>
      </c>
      <c r="H764" s="7"/>
    </row>
    <row r="765" spans="1:8" x14ac:dyDescent="0.35">
      <c r="A765" s="7" t="s">
        <v>348</v>
      </c>
      <c r="B765" s="7" t="s">
        <v>26</v>
      </c>
      <c r="C765" s="7" t="s">
        <v>27</v>
      </c>
      <c r="D765" s="7" t="s">
        <v>28</v>
      </c>
      <c r="E765" s="7" t="s">
        <v>29</v>
      </c>
      <c r="F765" s="7" t="s">
        <v>166</v>
      </c>
      <c r="G765" s="7">
        <v>98.864720000000005</v>
      </c>
      <c r="H765" s="7"/>
    </row>
    <row r="766" spans="1:8" x14ac:dyDescent="0.35">
      <c r="A766" s="7" t="s">
        <v>348</v>
      </c>
      <c r="B766" s="7" t="s">
        <v>26</v>
      </c>
      <c r="C766" s="7" t="s">
        <v>27</v>
      </c>
      <c r="D766" s="7" t="s">
        <v>28</v>
      </c>
      <c r="E766" s="7" t="s">
        <v>29</v>
      </c>
      <c r="F766" s="7" t="s">
        <v>167</v>
      </c>
      <c r="G766" s="7">
        <v>98.893810000000002</v>
      </c>
      <c r="H766" s="7"/>
    </row>
    <row r="767" spans="1:8" x14ac:dyDescent="0.35">
      <c r="A767" s="7" t="s">
        <v>348</v>
      </c>
      <c r="B767" s="7" t="s">
        <v>26</v>
      </c>
      <c r="C767" s="7" t="s">
        <v>27</v>
      </c>
      <c r="D767" s="7" t="s">
        <v>28</v>
      </c>
      <c r="E767" s="7" t="s">
        <v>29</v>
      </c>
      <c r="F767" s="7" t="s">
        <v>168</v>
      </c>
      <c r="G767" s="7">
        <v>99.035319999999999</v>
      </c>
      <c r="H767" s="7"/>
    </row>
    <row r="768" spans="1:8" x14ac:dyDescent="0.35">
      <c r="A768" s="7" t="s">
        <v>348</v>
      </c>
      <c r="B768" s="7" t="s">
        <v>26</v>
      </c>
      <c r="C768" s="7" t="s">
        <v>27</v>
      </c>
      <c r="D768" s="7" t="s">
        <v>28</v>
      </c>
      <c r="E768" s="7" t="s">
        <v>29</v>
      </c>
      <c r="F768" s="7" t="s">
        <v>169</v>
      </c>
      <c r="G768" s="7">
        <v>99.170370000000005</v>
      </c>
      <c r="H768" s="7"/>
    </row>
    <row r="769" spans="1:8" x14ac:dyDescent="0.35">
      <c r="A769" s="7" t="s">
        <v>348</v>
      </c>
      <c r="B769" s="7" t="s">
        <v>26</v>
      </c>
      <c r="C769" s="7" t="s">
        <v>27</v>
      </c>
      <c r="D769" s="7" t="s">
        <v>28</v>
      </c>
      <c r="E769" s="7" t="s">
        <v>29</v>
      </c>
      <c r="F769" s="7" t="s">
        <v>170</v>
      </c>
      <c r="G769" s="7">
        <v>99.216999999999999</v>
      </c>
      <c r="H769" s="7"/>
    </row>
    <row r="770" spans="1:8" x14ac:dyDescent="0.35">
      <c r="A770" s="7" t="s">
        <v>348</v>
      </c>
      <c r="B770" s="7" t="s">
        <v>26</v>
      </c>
      <c r="C770" s="7" t="s">
        <v>27</v>
      </c>
      <c r="D770" s="7" t="s">
        <v>28</v>
      </c>
      <c r="E770" s="7" t="s">
        <v>29</v>
      </c>
      <c r="F770" s="7" t="s">
        <v>171</v>
      </c>
      <c r="G770" s="7">
        <v>99.185959999999994</v>
      </c>
      <c r="H770" s="7"/>
    </row>
    <row r="771" spans="1:8" x14ac:dyDescent="0.35">
      <c r="A771" s="7" t="s">
        <v>348</v>
      </c>
      <c r="B771" s="7" t="s">
        <v>26</v>
      </c>
      <c r="C771" s="7" t="s">
        <v>27</v>
      </c>
      <c r="D771" s="7" t="s">
        <v>28</v>
      </c>
      <c r="E771" s="7" t="s">
        <v>29</v>
      </c>
      <c r="F771" s="7" t="s">
        <v>172</v>
      </c>
      <c r="G771" s="7">
        <v>99.114940000000004</v>
      </c>
      <c r="H771" s="7"/>
    </row>
    <row r="772" spans="1:8" x14ac:dyDescent="0.35">
      <c r="A772" s="7" t="s">
        <v>348</v>
      </c>
      <c r="B772" s="7" t="s">
        <v>26</v>
      </c>
      <c r="C772" s="7" t="s">
        <v>27</v>
      </c>
      <c r="D772" s="7" t="s">
        <v>28</v>
      </c>
      <c r="E772" s="7" t="s">
        <v>29</v>
      </c>
      <c r="F772" s="7" t="s">
        <v>173</v>
      </c>
      <c r="G772" s="7">
        <v>99.061549999999997</v>
      </c>
      <c r="H772" s="7"/>
    </row>
    <row r="773" spans="1:8" x14ac:dyDescent="0.35">
      <c r="A773" s="7" t="s">
        <v>348</v>
      </c>
      <c r="B773" s="7" t="s">
        <v>26</v>
      </c>
      <c r="C773" s="7" t="s">
        <v>27</v>
      </c>
      <c r="D773" s="7" t="s">
        <v>28</v>
      </c>
      <c r="E773" s="7" t="s">
        <v>29</v>
      </c>
      <c r="F773" s="7" t="s">
        <v>174</v>
      </c>
      <c r="G773" s="7">
        <v>99.136049999999997</v>
      </c>
      <c r="H773" s="7"/>
    </row>
    <row r="774" spans="1:8" x14ac:dyDescent="0.35">
      <c r="A774" s="7" t="s">
        <v>348</v>
      </c>
      <c r="B774" s="7" t="s">
        <v>26</v>
      </c>
      <c r="C774" s="7" t="s">
        <v>27</v>
      </c>
      <c r="D774" s="7" t="s">
        <v>28</v>
      </c>
      <c r="E774" s="7" t="s">
        <v>29</v>
      </c>
      <c r="F774" s="7" t="s">
        <v>175</v>
      </c>
      <c r="G774" s="7">
        <v>99.373509999999996</v>
      </c>
      <c r="H774" s="7"/>
    </row>
    <row r="775" spans="1:8" x14ac:dyDescent="0.35">
      <c r="A775" s="7" t="s">
        <v>348</v>
      </c>
      <c r="B775" s="7" t="s">
        <v>26</v>
      </c>
      <c r="C775" s="7" t="s">
        <v>27</v>
      </c>
      <c r="D775" s="7" t="s">
        <v>28</v>
      </c>
      <c r="E775" s="7" t="s">
        <v>29</v>
      </c>
      <c r="F775" s="7" t="s">
        <v>176</v>
      </c>
      <c r="G775" s="7">
        <v>99.735609999999994</v>
      </c>
      <c r="H775" s="7"/>
    </row>
    <row r="776" spans="1:8" x14ac:dyDescent="0.35">
      <c r="A776" s="7" t="s">
        <v>348</v>
      </c>
      <c r="B776" s="7" t="s">
        <v>26</v>
      </c>
      <c r="C776" s="7" t="s">
        <v>27</v>
      </c>
      <c r="D776" s="7" t="s">
        <v>28</v>
      </c>
      <c r="E776" s="7" t="s">
        <v>29</v>
      </c>
      <c r="F776" s="7" t="s">
        <v>177</v>
      </c>
      <c r="G776" s="7">
        <v>99.930449999999993</v>
      </c>
      <c r="H776" s="7"/>
    </row>
    <row r="777" spans="1:8" x14ac:dyDescent="0.35">
      <c r="A777" s="7" t="s">
        <v>348</v>
      </c>
      <c r="B777" s="7" t="s">
        <v>26</v>
      </c>
      <c r="C777" s="7" t="s">
        <v>27</v>
      </c>
      <c r="D777" s="7" t="s">
        <v>28</v>
      </c>
      <c r="E777" s="7" t="s">
        <v>29</v>
      </c>
      <c r="F777" s="7" t="s">
        <v>178</v>
      </c>
      <c r="G777" s="7">
        <v>100.01430000000001</v>
      </c>
      <c r="H777" s="7"/>
    </row>
    <row r="778" spans="1:8" x14ac:dyDescent="0.35">
      <c r="A778" s="7" t="s">
        <v>348</v>
      </c>
      <c r="B778" s="7" t="s">
        <v>26</v>
      </c>
      <c r="C778" s="7" t="s">
        <v>27</v>
      </c>
      <c r="D778" s="7" t="s">
        <v>28</v>
      </c>
      <c r="E778" s="7" t="s">
        <v>29</v>
      </c>
      <c r="F778" s="7" t="s">
        <v>179</v>
      </c>
      <c r="G778" s="7">
        <v>99.996279999999999</v>
      </c>
      <c r="H778" s="7"/>
    </row>
    <row r="779" spans="1:8" x14ac:dyDescent="0.35">
      <c r="A779" s="7" t="s">
        <v>348</v>
      </c>
      <c r="B779" s="7" t="s">
        <v>26</v>
      </c>
      <c r="C779" s="7" t="s">
        <v>27</v>
      </c>
      <c r="D779" s="7" t="s">
        <v>28</v>
      </c>
      <c r="E779" s="7" t="s">
        <v>29</v>
      </c>
      <c r="F779" s="7" t="s">
        <v>180</v>
      </c>
      <c r="G779" s="7">
        <v>99.926419999999993</v>
      </c>
      <c r="H779" s="7"/>
    </row>
    <row r="780" spans="1:8" x14ac:dyDescent="0.35">
      <c r="A780" s="7" t="s">
        <v>348</v>
      </c>
      <c r="B780" s="7" t="s">
        <v>26</v>
      </c>
      <c r="C780" s="7" t="s">
        <v>27</v>
      </c>
      <c r="D780" s="7" t="s">
        <v>28</v>
      </c>
      <c r="E780" s="7" t="s">
        <v>29</v>
      </c>
      <c r="F780" s="7" t="s">
        <v>181</v>
      </c>
      <c r="G780" s="7">
        <v>99.913539999999998</v>
      </c>
      <c r="H780" s="7"/>
    </row>
    <row r="781" spans="1:8" x14ac:dyDescent="0.35">
      <c r="A781" s="7" t="s">
        <v>348</v>
      </c>
      <c r="B781" s="7" t="s">
        <v>26</v>
      </c>
      <c r="C781" s="7" t="s">
        <v>27</v>
      </c>
      <c r="D781" s="7" t="s">
        <v>28</v>
      </c>
      <c r="E781" s="7" t="s">
        <v>29</v>
      </c>
      <c r="F781" s="7" t="s">
        <v>182</v>
      </c>
      <c r="G781" s="7">
        <v>99.98527</v>
      </c>
      <c r="H781" s="7"/>
    </row>
    <row r="782" spans="1:8" x14ac:dyDescent="0.35">
      <c r="A782" s="7" t="s">
        <v>348</v>
      </c>
      <c r="B782" s="7" t="s">
        <v>26</v>
      </c>
      <c r="C782" s="7" t="s">
        <v>27</v>
      </c>
      <c r="D782" s="7" t="s">
        <v>28</v>
      </c>
      <c r="E782" s="7" t="s">
        <v>29</v>
      </c>
      <c r="F782" s="7" t="s">
        <v>183</v>
      </c>
      <c r="G782" s="7">
        <v>100.0913</v>
      </c>
      <c r="H782" s="7"/>
    </row>
    <row r="783" spans="1:8" x14ac:dyDescent="0.35">
      <c r="A783" s="7" t="s">
        <v>348</v>
      </c>
      <c r="B783" s="7" t="s">
        <v>26</v>
      </c>
      <c r="C783" s="7" t="s">
        <v>27</v>
      </c>
      <c r="D783" s="7" t="s">
        <v>28</v>
      </c>
      <c r="E783" s="7" t="s">
        <v>29</v>
      </c>
      <c r="F783" s="7" t="s">
        <v>184</v>
      </c>
      <c r="G783" s="7">
        <v>100.1653</v>
      </c>
      <c r="H783" s="7"/>
    </row>
    <row r="784" spans="1:8" x14ac:dyDescent="0.35">
      <c r="A784" s="7" t="s">
        <v>348</v>
      </c>
      <c r="B784" s="7" t="s">
        <v>26</v>
      </c>
      <c r="C784" s="7" t="s">
        <v>27</v>
      </c>
      <c r="D784" s="7" t="s">
        <v>28</v>
      </c>
      <c r="E784" s="7" t="s">
        <v>29</v>
      </c>
      <c r="F784" s="7" t="s">
        <v>185</v>
      </c>
      <c r="G784" s="7">
        <v>100.1621</v>
      </c>
      <c r="H784" s="7"/>
    </row>
    <row r="785" spans="1:8" x14ac:dyDescent="0.35">
      <c r="A785" s="7" t="s">
        <v>348</v>
      </c>
      <c r="B785" s="7" t="s">
        <v>26</v>
      </c>
      <c r="C785" s="7" t="s">
        <v>27</v>
      </c>
      <c r="D785" s="7" t="s">
        <v>28</v>
      </c>
      <c r="E785" s="7" t="s">
        <v>29</v>
      </c>
      <c r="F785" s="7" t="s">
        <v>186</v>
      </c>
      <c r="G785" s="7">
        <v>100.11709999999999</v>
      </c>
      <c r="H785" s="7"/>
    </row>
    <row r="786" spans="1:8" x14ac:dyDescent="0.35">
      <c r="A786" s="7" t="s">
        <v>348</v>
      </c>
      <c r="B786" s="7" t="s">
        <v>26</v>
      </c>
      <c r="C786" s="7" t="s">
        <v>27</v>
      </c>
      <c r="D786" s="7" t="s">
        <v>28</v>
      </c>
      <c r="E786" s="7" t="s">
        <v>29</v>
      </c>
      <c r="F786" s="7" t="s">
        <v>187</v>
      </c>
      <c r="G786" s="7">
        <v>100.0543</v>
      </c>
      <c r="H786" s="7"/>
    </row>
    <row r="787" spans="1:8" x14ac:dyDescent="0.35">
      <c r="A787" s="7" t="s">
        <v>348</v>
      </c>
      <c r="B787" s="7" t="s">
        <v>26</v>
      </c>
      <c r="C787" s="7" t="s">
        <v>27</v>
      </c>
      <c r="D787" s="7" t="s">
        <v>28</v>
      </c>
      <c r="E787" s="7" t="s">
        <v>29</v>
      </c>
      <c r="F787" s="7" t="s">
        <v>188</v>
      </c>
      <c r="G787" s="7">
        <v>99.973590000000002</v>
      </c>
      <c r="H787" s="7"/>
    </row>
    <row r="788" spans="1:8" x14ac:dyDescent="0.35">
      <c r="A788" s="7" t="s">
        <v>348</v>
      </c>
      <c r="B788" s="7" t="s">
        <v>26</v>
      </c>
      <c r="C788" s="7" t="s">
        <v>27</v>
      </c>
      <c r="D788" s="7" t="s">
        <v>28</v>
      </c>
      <c r="E788" s="7" t="s">
        <v>29</v>
      </c>
      <c r="F788" s="7" t="s">
        <v>189</v>
      </c>
      <c r="G788" s="7">
        <v>99.942790000000002</v>
      </c>
      <c r="H788" s="7"/>
    </row>
    <row r="789" spans="1:8" x14ac:dyDescent="0.35">
      <c r="A789" s="7" t="s">
        <v>348</v>
      </c>
      <c r="B789" s="7" t="s">
        <v>26</v>
      </c>
      <c r="C789" s="7" t="s">
        <v>27</v>
      </c>
      <c r="D789" s="7" t="s">
        <v>28</v>
      </c>
      <c r="E789" s="7" t="s">
        <v>29</v>
      </c>
      <c r="F789" s="7" t="s">
        <v>190</v>
      </c>
      <c r="G789" s="7">
        <v>99.872519999999994</v>
      </c>
      <c r="H789" s="7"/>
    </row>
    <row r="790" spans="1:8" x14ac:dyDescent="0.35">
      <c r="A790" s="7" t="s">
        <v>348</v>
      </c>
      <c r="B790" s="7" t="s">
        <v>26</v>
      </c>
      <c r="C790" s="7" t="s">
        <v>27</v>
      </c>
      <c r="D790" s="7" t="s">
        <v>28</v>
      </c>
      <c r="E790" s="7" t="s">
        <v>29</v>
      </c>
      <c r="F790" s="7" t="s">
        <v>191</v>
      </c>
      <c r="G790" s="7">
        <v>99.73809</v>
      </c>
      <c r="H790" s="7"/>
    </row>
    <row r="791" spans="1:8" x14ac:dyDescent="0.35">
      <c r="A791" s="7" t="s">
        <v>348</v>
      </c>
      <c r="B791" s="7" t="s">
        <v>26</v>
      </c>
      <c r="C791" s="7" t="s">
        <v>27</v>
      </c>
      <c r="D791" s="7" t="s">
        <v>28</v>
      </c>
      <c r="E791" s="7" t="s">
        <v>29</v>
      </c>
      <c r="F791" s="7" t="s">
        <v>192</v>
      </c>
      <c r="G791" s="7">
        <v>99.668760000000006</v>
      </c>
      <c r="H791" s="7"/>
    </row>
    <row r="792" spans="1:8" x14ac:dyDescent="0.35">
      <c r="A792" s="7" t="s">
        <v>348</v>
      </c>
      <c r="B792" s="7" t="s">
        <v>26</v>
      </c>
      <c r="C792" s="7" t="s">
        <v>27</v>
      </c>
      <c r="D792" s="7" t="s">
        <v>28</v>
      </c>
      <c r="E792" s="7" t="s">
        <v>29</v>
      </c>
      <c r="F792" s="7" t="s">
        <v>193</v>
      </c>
      <c r="G792" s="7">
        <v>99.776849999999996</v>
      </c>
      <c r="H792" s="7"/>
    </row>
    <row r="793" spans="1:8" x14ac:dyDescent="0.35">
      <c r="A793" s="7" t="s">
        <v>348</v>
      </c>
      <c r="B793" s="7" t="s">
        <v>26</v>
      </c>
      <c r="C793" s="7" t="s">
        <v>27</v>
      </c>
      <c r="D793" s="7" t="s">
        <v>28</v>
      </c>
      <c r="E793" s="7" t="s">
        <v>29</v>
      </c>
      <c r="F793" s="7" t="s">
        <v>194</v>
      </c>
      <c r="G793" s="7">
        <v>99.902569999999997</v>
      </c>
      <c r="H793" s="7"/>
    </row>
    <row r="794" spans="1:8" x14ac:dyDescent="0.35">
      <c r="A794" s="7" t="s">
        <v>348</v>
      </c>
      <c r="B794" s="7" t="s">
        <v>26</v>
      </c>
      <c r="C794" s="7" t="s">
        <v>27</v>
      </c>
      <c r="D794" s="7" t="s">
        <v>28</v>
      </c>
      <c r="E794" s="7" t="s">
        <v>29</v>
      </c>
      <c r="F794" s="7" t="s">
        <v>195</v>
      </c>
      <c r="G794" s="7">
        <v>99.992639999999994</v>
      </c>
      <c r="H794" s="7"/>
    </row>
    <row r="795" spans="1:8" x14ac:dyDescent="0.35">
      <c r="A795" s="7" t="s">
        <v>348</v>
      </c>
      <c r="B795" s="7" t="s">
        <v>26</v>
      </c>
      <c r="C795" s="7" t="s">
        <v>27</v>
      </c>
      <c r="D795" s="7" t="s">
        <v>28</v>
      </c>
      <c r="E795" s="7" t="s">
        <v>29</v>
      </c>
      <c r="F795" s="7" t="s">
        <v>196</v>
      </c>
      <c r="G795" s="7">
        <v>100.0223</v>
      </c>
      <c r="H795" s="7"/>
    </row>
    <row r="796" spans="1:8" x14ac:dyDescent="0.35">
      <c r="A796" s="7" t="s">
        <v>348</v>
      </c>
      <c r="B796" s="7" t="s">
        <v>26</v>
      </c>
      <c r="C796" s="7" t="s">
        <v>27</v>
      </c>
      <c r="D796" s="7" t="s">
        <v>28</v>
      </c>
      <c r="E796" s="7" t="s">
        <v>29</v>
      </c>
      <c r="F796" s="7" t="s">
        <v>197</v>
      </c>
      <c r="G796" s="7">
        <v>99.99109</v>
      </c>
      <c r="H796" s="7"/>
    </row>
    <row r="797" spans="1:8" x14ac:dyDescent="0.35">
      <c r="A797" s="7" t="s">
        <v>348</v>
      </c>
      <c r="B797" s="7" t="s">
        <v>26</v>
      </c>
      <c r="C797" s="7" t="s">
        <v>27</v>
      </c>
      <c r="D797" s="7" t="s">
        <v>28</v>
      </c>
      <c r="E797" s="7" t="s">
        <v>29</v>
      </c>
      <c r="F797" s="7" t="s">
        <v>198</v>
      </c>
      <c r="G797" s="7">
        <v>99.979119999999995</v>
      </c>
      <c r="H797" s="7"/>
    </row>
    <row r="798" spans="1:8" x14ac:dyDescent="0.35">
      <c r="A798" s="7" t="s">
        <v>348</v>
      </c>
      <c r="B798" s="7" t="s">
        <v>26</v>
      </c>
      <c r="C798" s="7" t="s">
        <v>27</v>
      </c>
      <c r="D798" s="7" t="s">
        <v>28</v>
      </c>
      <c r="E798" s="7" t="s">
        <v>29</v>
      </c>
      <c r="F798" s="7" t="s">
        <v>199</v>
      </c>
      <c r="G798" s="7">
        <v>100.0256</v>
      </c>
      <c r="H798" s="7"/>
    </row>
    <row r="799" spans="1:8" x14ac:dyDescent="0.35">
      <c r="A799" s="7" t="s">
        <v>348</v>
      </c>
      <c r="B799" s="7" t="s">
        <v>26</v>
      </c>
      <c r="C799" s="7" t="s">
        <v>27</v>
      </c>
      <c r="D799" s="7" t="s">
        <v>28</v>
      </c>
      <c r="E799" s="7" t="s">
        <v>29</v>
      </c>
      <c r="F799" s="7" t="s">
        <v>200</v>
      </c>
      <c r="G799" s="7">
        <v>100.07380000000001</v>
      </c>
      <c r="H799" s="7"/>
    </row>
    <row r="800" spans="1:8" x14ac:dyDescent="0.35">
      <c r="A800" s="7" t="s">
        <v>348</v>
      </c>
      <c r="B800" s="7" t="s">
        <v>26</v>
      </c>
      <c r="C800" s="7" t="s">
        <v>27</v>
      </c>
      <c r="D800" s="7" t="s">
        <v>28</v>
      </c>
      <c r="E800" s="7" t="s">
        <v>29</v>
      </c>
      <c r="F800" s="7" t="s">
        <v>201</v>
      </c>
      <c r="G800" s="7">
        <v>100.0492</v>
      </c>
      <c r="H800" s="7"/>
    </row>
    <row r="801" spans="1:8" x14ac:dyDescent="0.35">
      <c r="A801" s="7" t="s">
        <v>348</v>
      </c>
      <c r="B801" s="7" t="s">
        <v>26</v>
      </c>
      <c r="C801" s="7" t="s">
        <v>27</v>
      </c>
      <c r="D801" s="7" t="s">
        <v>28</v>
      </c>
      <c r="E801" s="7" t="s">
        <v>29</v>
      </c>
      <c r="F801" s="7" t="s">
        <v>202</v>
      </c>
      <c r="G801" s="7">
        <v>99.963200000000001</v>
      </c>
      <c r="H801" s="7"/>
    </row>
    <row r="802" spans="1:8" x14ac:dyDescent="0.35">
      <c r="A802" s="7" t="s">
        <v>348</v>
      </c>
      <c r="B802" s="7" t="s">
        <v>26</v>
      </c>
      <c r="C802" s="7" t="s">
        <v>27</v>
      </c>
      <c r="D802" s="7" t="s">
        <v>28</v>
      </c>
      <c r="E802" s="7" t="s">
        <v>29</v>
      </c>
      <c r="F802" s="7" t="s">
        <v>203</v>
      </c>
      <c r="G802" s="7">
        <v>99.966999999999999</v>
      </c>
      <c r="H802" s="7"/>
    </row>
    <row r="803" spans="1:8" x14ac:dyDescent="0.35">
      <c r="A803" s="7" t="s">
        <v>348</v>
      </c>
      <c r="B803" s="7" t="s">
        <v>26</v>
      </c>
      <c r="C803" s="7" t="s">
        <v>27</v>
      </c>
      <c r="D803" s="7" t="s">
        <v>28</v>
      </c>
      <c r="E803" s="7" t="s">
        <v>29</v>
      </c>
      <c r="F803" s="7" t="s">
        <v>204</v>
      </c>
      <c r="G803" s="7">
        <v>100.065</v>
      </c>
      <c r="H803" s="7"/>
    </row>
    <row r="804" spans="1:8" x14ac:dyDescent="0.35">
      <c r="A804" s="7" t="s">
        <v>348</v>
      </c>
      <c r="B804" s="7" t="s">
        <v>26</v>
      </c>
      <c r="C804" s="7" t="s">
        <v>27</v>
      </c>
      <c r="D804" s="7" t="s">
        <v>28</v>
      </c>
      <c r="E804" s="7" t="s">
        <v>29</v>
      </c>
      <c r="F804" s="7" t="s">
        <v>205</v>
      </c>
      <c r="G804" s="7">
        <v>100.1972</v>
      </c>
      <c r="H804" s="7"/>
    </row>
    <row r="805" spans="1:8" x14ac:dyDescent="0.35">
      <c r="A805" s="7" t="s">
        <v>348</v>
      </c>
      <c r="B805" s="7" t="s">
        <v>26</v>
      </c>
      <c r="C805" s="7" t="s">
        <v>27</v>
      </c>
      <c r="D805" s="7" t="s">
        <v>28</v>
      </c>
      <c r="E805" s="7" t="s">
        <v>29</v>
      </c>
      <c r="F805" s="7" t="s">
        <v>206</v>
      </c>
      <c r="G805" s="7">
        <v>100.3698</v>
      </c>
      <c r="H805" s="7"/>
    </row>
    <row r="806" spans="1:8" x14ac:dyDescent="0.35">
      <c r="A806" s="7" t="s">
        <v>348</v>
      </c>
      <c r="B806" s="7" t="s">
        <v>26</v>
      </c>
      <c r="C806" s="7" t="s">
        <v>27</v>
      </c>
      <c r="D806" s="7" t="s">
        <v>28</v>
      </c>
      <c r="E806" s="7" t="s">
        <v>29</v>
      </c>
      <c r="F806" s="7" t="s">
        <v>207</v>
      </c>
      <c r="G806" s="7">
        <v>100.4855</v>
      </c>
      <c r="H806" s="7"/>
    </row>
    <row r="807" spans="1:8" x14ac:dyDescent="0.35">
      <c r="A807" s="7" t="s">
        <v>348</v>
      </c>
      <c r="B807" s="7" t="s">
        <v>26</v>
      </c>
      <c r="C807" s="7" t="s">
        <v>27</v>
      </c>
      <c r="D807" s="7" t="s">
        <v>28</v>
      </c>
      <c r="E807" s="7" t="s">
        <v>29</v>
      </c>
      <c r="F807" s="7" t="s">
        <v>208</v>
      </c>
      <c r="G807" s="7">
        <v>100.5518</v>
      </c>
      <c r="H807" s="7"/>
    </row>
    <row r="808" spans="1:8" x14ac:dyDescent="0.35">
      <c r="A808" s="7" t="s">
        <v>348</v>
      </c>
      <c r="B808" s="7" t="s">
        <v>26</v>
      </c>
      <c r="C808" s="7" t="s">
        <v>27</v>
      </c>
      <c r="D808" s="7" t="s">
        <v>28</v>
      </c>
      <c r="E808" s="7" t="s">
        <v>29</v>
      </c>
      <c r="F808" s="7" t="s">
        <v>209</v>
      </c>
      <c r="G808" s="7">
        <v>100.5851</v>
      </c>
      <c r="H808" s="7"/>
    </row>
    <row r="809" spans="1:8" x14ac:dyDescent="0.35">
      <c r="A809" s="7" t="s">
        <v>348</v>
      </c>
      <c r="B809" s="7" t="s">
        <v>26</v>
      </c>
      <c r="C809" s="7" t="s">
        <v>27</v>
      </c>
      <c r="D809" s="7" t="s">
        <v>28</v>
      </c>
      <c r="E809" s="7" t="s">
        <v>29</v>
      </c>
      <c r="F809" s="7" t="s">
        <v>210</v>
      </c>
      <c r="G809" s="7">
        <v>100.57250000000001</v>
      </c>
      <c r="H809" s="7"/>
    </row>
    <row r="810" spans="1:8" x14ac:dyDescent="0.35">
      <c r="A810" s="7" t="s">
        <v>348</v>
      </c>
      <c r="B810" s="7" t="s">
        <v>26</v>
      </c>
      <c r="C810" s="7" t="s">
        <v>27</v>
      </c>
      <c r="D810" s="7" t="s">
        <v>28</v>
      </c>
      <c r="E810" s="7" t="s">
        <v>29</v>
      </c>
      <c r="F810" s="7" t="s">
        <v>211</v>
      </c>
      <c r="G810" s="7">
        <v>100.5057</v>
      </c>
      <c r="H810" s="7"/>
    </row>
    <row r="811" spans="1:8" x14ac:dyDescent="0.35">
      <c r="A811" s="7" t="s">
        <v>348</v>
      </c>
      <c r="B811" s="7" t="s">
        <v>26</v>
      </c>
      <c r="C811" s="7" t="s">
        <v>27</v>
      </c>
      <c r="D811" s="7" t="s">
        <v>28</v>
      </c>
      <c r="E811" s="7" t="s">
        <v>29</v>
      </c>
      <c r="F811" s="7" t="s">
        <v>212</v>
      </c>
      <c r="G811" s="7">
        <v>100.4983</v>
      </c>
      <c r="H811" s="7"/>
    </row>
    <row r="812" spans="1:8" x14ac:dyDescent="0.35">
      <c r="A812" s="7" t="s">
        <v>348</v>
      </c>
      <c r="B812" s="7" t="s">
        <v>26</v>
      </c>
      <c r="C812" s="7" t="s">
        <v>27</v>
      </c>
      <c r="D812" s="7" t="s">
        <v>28</v>
      </c>
      <c r="E812" s="7" t="s">
        <v>29</v>
      </c>
      <c r="F812" s="7" t="s">
        <v>213</v>
      </c>
      <c r="G812" s="7">
        <v>100.53789999999999</v>
      </c>
      <c r="H812" s="7"/>
    </row>
    <row r="813" spans="1:8" x14ac:dyDescent="0.35">
      <c r="A813" s="7" t="s">
        <v>348</v>
      </c>
      <c r="B813" s="7" t="s">
        <v>26</v>
      </c>
      <c r="C813" s="7" t="s">
        <v>27</v>
      </c>
      <c r="D813" s="7" t="s">
        <v>28</v>
      </c>
      <c r="E813" s="7" t="s">
        <v>29</v>
      </c>
      <c r="F813" s="7" t="s">
        <v>214</v>
      </c>
      <c r="G813" s="7">
        <v>100.6366</v>
      </c>
      <c r="H813" s="7"/>
    </row>
    <row r="814" spans="1:8" x14ac:dyDescent="0.35">
      <c r="A814" s="7" t="s">
        <v>348</v>
      </c>
      <c r="B814" s="7" t="s">
        <v>26</v>
      </c>
      <c r="C814" s="7" t="s">
        <v>27</v>
      </c>
      <c r="D814" s="7" t="s">
        <v>28</v>
      </c>
      <c r="E814" s="7" t="s">
        <v>29</v>
      </c>
      <c r="F814" s="7" t="s">
        <v>215</v>
      </c>
      <c r="G814" s="7">
        <v>100.9058</v>
      </c>
      <c r="H814" s="7"/>
    </row>
    <row r="815" spans="1:8" x14ac:dyDescent="0.35">
      <c r="A815" s="7" t="s">
        <v>348</v>
      </c>
      <c r="B815" s="7" t="s">
        <v>26</v>
      </c>
      <c r="C815" s="7" t="s">
        <v>27</v>
      </c>
      <c r="D815" s="7" t="s">
        <v>28</v>
      </c>
      <c r="E815" s="7" t="s">
        <v>29</v>
      </c>
      <c r="F815" s="7" t="s">
        <v>216</v>
      </c>
      <c r="G815" s="7">
        <v>101.2859</v>
      </c>
      <c r="H815" s="7"/>
    </row>
    <row r="816" spans="1:8" x14ac:dyDescent="0.35">
      <c r="A816" s="7" t="s">
        <v>348</v>
      </c>
      <c r="B816" s="7" t="s">
        <v>26</v>
      </c>
      <c r="C816" s="7" t="s">
        <v>27</v>
      </c>
      <c r="D816" s="7" t="s">
        <v>28</v>
      </c>
      <c r="E816" s="7" t="s">
        <v>29</v>
      </c>
      <c r="F816" s="7" t="s">
        <v>217</v>
      </c>
      <c r="G816" s="7">
        <v>101.45820000000001</v>
      </c>
      <c r="H816" s="7"/>
    </row>
    <row r="817" spans="1:8" x14ac:dyDescent="0.35">
      <c r="A817" s="7" t="s">
        <v>348</v>
      </c>
      <c r="B817" s="7" t="s">
        <v>26</v>
      </c>
      <c r="C817" s="7" t="s">
        <v>27</v>
      </c>
      <c r="D817" s="7" t="s">
        <v>28</v>
      </c>
      <c r="E817" s="7" t="s">
        <v>29</v>
      </c>
      <c r="F817" s="7" t="s">
        <v>218</v>
      </c>
      <c r="G817" s="7">
        <v>101.4097</v>
      </c>
      <c r="H817" s="7"/>
    </row>
    <row r="818" spans="1:8" x14ac:dyDescent="0.35">
      <c r="A818" s="7" t="s">
        <v>348</v>
      </c>
      <c r="B818" s="7" t="s">
        <v>26</v>
      </c>
      <c r="C818" s="7" t="s">
        <v>27</v>
      </c>
      <c r="D818" s="7" t="s">
        <v>28</v>
      </c>
      <c r="E818" s="7" t="s">
        <v>29</v>
      </c>
      <c r="F818" s="7" t="s">
        <v>219</v>
      </c>
      <c r="G818" s="7">
        <v>101.2037</v>
      </c>
      <c r="H818" s="7"/>
    </row>
    <row r="819" spans="1:8" x14ac:dyDescent="0.35">
      <c r="A819" s="7" t="s">
        <v>348</v>
      </c>
      <c r="B819" s="7" t="s">
        <v>26</v>
      </c>
      <c r="C819" s="7" t="s">
        <v>27</v>
      </c>
      <c r="D819" s="7" t="s">
        <v>28</v>
      </c>
      <c r="E819" s="7" t="s">
        <v>29</v>
      </c>
      <c r="F819" s="7" t="s">
        <v>220</v>
      </c>
      <c r="G819" s="7">
        <v>100.9419</v>
      </c>
      <c r="H819" s="7"/>
    </row>
    <row r="820" spans="1:8" x14ac:dyDescent="0.35">
      <c r="A820" s="7" t="s">
        <v>348</v>
      </c>
      <c r="B820" s="7" t="s">
        <v>26</v>
      </c>
      <c r="C820" s="7" t="s">
        <v>27</v>
      </c>
      <c r="D820" s="7" t="s">
        <v>28</v>
      </c>
      <c r="E820" s="7" t="s">
        <v>29</v>
      </c>
      <c r="F820" s="7" t="s">
        <v>221</v>
      </c>
      <c r="G820" s="7">
        <v>100.6939</v>
      </c>
      <c r="H820" s="7"/>
    </row>
    <row r="821" spans="1:8" x14ac:dyDescent="0.35">
      <c r="A821" s="7" t="s">
        <v>348</v>
      </c>
      <c r="B821" s="7" t="s">
        <v>26</v>
      </c>
      <c r="C821" s="7" t="s">
        <v>27</v>
      </c>
      <c r="D821" s="7" t="s">
        <v>28</v>
      </c>
      <c r="E821" s="7" t="s">
        <v>29</v>
      </c>
      <c r="F821" s="7" t="s">
        <v>222</v>
      </c>
      <c r="G821" s="7">
        <v>100.48269999999999</v>
      </c>
      <c r="H821" s="7"/>
    </row>
    <row r="822" spans="1:8" x14ac:dyDescent="0.35">
      <c r="A822" s="7" t="s">
        <v>348</v>
      </c>
      <c r="B822" s="7" t="s">
        <v>26</v>
      </c>
      <c r="C822" s="7" t="s">
        <v>27</v>
      </c>
      <c r="D822" s="7" t="s">
        <v>28</v>
      </c>
      <c r="E822" s="7" t="s">
        <v>29</v>
      </c>
      <c r="F822" s="7" t="s">
        <v>223</v>
      </c>
      <c r="G822" s="7">
        <v>100.3505</v>
      </c>
      <c r="H822" s="7"/>
    </row>
    <row r="823" spans="1:8" x14ac:dyDescent="0.35">
      <c r="A823" s="7" t="s">
        <v>348</v>
      </c>
      <c r="B823" s="7" t="s">
        <v>26</v>
      </c>
      <c r="C823" s="7" t="s">
        <v>27</v>
      </c>
      <c r="D823" s="7" t="s">
        <v>28</v>
      </c>
      <c r="E823" s="7" t="s">
        <v>29</v>
      </c>
      <c r="F823" s="7" t="s">
        <v>224</v>
      </c>
      <c r="G823" s="7">
        <v>100.1985</v>
      </c>
      <c r="H823" s="7"/>
    </row>
    <row r="824" spans="1:8" x14ac:dyDescent="0.35">
      <c r="A824" s="7" t="s">
        <v>348</v>
      </c>
      <c r="B824" s="7" t="s">
        <v>26</v>
      </c>
      <c r="C824" s="7" t="s">
        <v>27</v>
      </c>
      <c r="D824" s="7" t="s">
        <v>28</v>
      </c>
      <c r="E824" s="7" t="s">
        <v>29</v>
      </c>
      <c r="F824" s="7" t="s">
        <v>225</v>
      </c>
      <c r="G824" s="7">
        <v>100.0715</v>
      </c>
      <c r="H824" s="7"/>
    </row>
    <row r="825" spans="1:8" x14ac:dyDescent="0.35">
      <c r="A825" s="7" t="s">
        <v>348</v>
      </c>
      <c r="B825" s="7" t="s">
        <v>26</v>
      </c>
      <c r="C825" s="7" t="s">
        <v>27</v>
      </c>
      <c r="D825" s="7" t="s">
        <v>28</v>
      </c>
      <c r="E825" s="7" t="s">
        <v>29</v>
      </c>
      <c r="F825" s="7" t="s">
        <v>226</v>
      </c>
      <c r="G825" s="7">
        <v>99.947190000000006</v>
      </c>
      <c r="H825" s="7"/>
    </row>
    <row r="826" spans="1:8" x14ac:dyDescent="0.35">
      <c r="A826" s="7" t="s">
        <v>348</v>
      </c>
      <c r="B826" s="7" t="s">
        <v>26</v>
      </c>
      <c r="C826" s="7" t="s">
        <v>27</v>
      </c>
      <c r="D826" s="7" t="s">
        <v>28</v>
      </c>
      <c r="E826" s="7" t="s">
        <v>29</v>
      </c>
      <c r="F826" s="7" t="s">
        <v>227</v>
      </c>
      <c r="G826" s="7">
        <v>99.825270000000003</v>
      </c>
      <c r="H826" s="7"/>
    </row>
    <row r="827" spans="1:8" x14ac:dyDescent="0.35">
      <c r="A827" s="7" t="s">
        <v>348</v>
      </c>
      <c r="B827" s="7" t="s">
        <v>26</v>
      </c>
      <c r="C827" s="7" t="s">
        <v>27</v>
      </c>
      <c r="D827" s="7" t="s">
        <v>28</v>
      </c>
      <c r="E827" s="7" t="s">
        <v>29</v>
      </c>
      <c r="F827" s="7" t="s">
        <v>228</v>
      </c>
      <c r="G827" s="7">
        <v>99.660570000000007</v>
      </c>
      <c r="H827" s="7"/>
    </row>
    <row r="828" spans="1:8" x14ac:dyDescent="0.35">
      <c r="A828" s="7" t="s">
        <v>348</v>
      </c>
      <c r="B828" s="7" t="s">
        <v>26</v>
      </c>
      <c r="C828" s="7" t="s">
        <v>27</v>
      </c>
      <c r="D828" s="7" t="s">
        <v>28</v>
      </c>
      <c r="E828" s="7" t="s">
        <v>29</v>
      </c>
      <c r="F828" s="7" t="s">
        <v>229</v>
      </c>
      <c r="G828" s="7">
        <v>99.466040000000007</v>
      </c>
      <c r="H828" s="7"/>
    </row>
    <row r="829" spans="1:8" x14ac:dyDescent="0.35">
      <c r="A829" s="7" t="s">
        <v>348</v>
      </c>
      <c r="B829" s="7" t="s">
        <v>26</v>
      </c>
      <c r="C829" s="7" t="s">
        <v>27</v>
      </c>
      <c r="D829" s="7" t="s">
        <v>28</v>
      </c>
      <c r="E829" s="7" t="s">
        <v>29</v>
      </c>
      <c r="F829" s="7" t="s">
        <v>230</v>
      </c>
      <c r="G829" s="7">
        <v>99.286569999999998</v>
      </c>
      <c r="H829" s="7"/>
    </row>
    <row r="830" spans="1:8" x14ac:dyDescent="0.35">
      <c r="A830" s="7" t="s">
        <v>348</v>
      </c>
      <c r="B830" s="7" t="s">
        <v>26</v>
      </c>
      <c r="C830" s="7" t="s">
        <v>27</v>
      </c>
      <c r="D830" s="7" t="s">
        <v>28</v>
      </c>
      <c r="E830" s="7" t="s">
        <v>29</v>
      </c>
      <c r="F830" s="7" t="s">
        <v>231</v>
      </c>
      <c r="G830" s="7">
        <v>99.116759999999999</v>
      </c>
      <c r="H830" s="7"/>
    </row>
    <row r="831" spans="1:8" x14ac:dyDescent="0.35">
      <c r="A831" s="7" t="s">
        <v>348</v>
      </c>
      <c r="B831" s="7" t="s">
        <v>26</v>
      </c>
      <c r="C831" s="7" t="s">
        <v>27</v>
      </c>
      <c r="D831" s="7" t="s">
        <v>28</v>
      </c>
      <c r="E831" s="7" t="s">
        <v>29</v>
      </c>
      <c r="F831" s="7" t="s">
        <v>232</v>
      </c>
      <c r="G831" s="7">
        <v>98.870450000000005</v>
      </c>
      <c r="H831" s="7"/>
    </row>
    <row r="832" spans="1:8" x14ac:dyDescent="0.35">
      <c r="A832" s="7" t="s">
        <v>348</v>
      </c>
      <c r="B832" s="7" t="s">
        <v>26</v>
      </c>
      <c r="C832" s="7" t="s">
        <v>27</v>
      </c>
      <c r="D832" s="7" t="s">
        <v>28</v>
      </c>
      <c r="E832" s="7" t="s">
        <v>29</v>
      </c>
      <c r="F832" s="7" t="s">
        <v>233</v>
      </c>
      <c r="G832" s="7">
        <v>98.541020000000003</v>
      </c>
      <c r="H832" s="7"/>
    </row>
    <row r="833" spans="1:8" x14ac:dyDescent="0.35">
      <c r="A833" s="7" t="s">
        <v>348</v>
      </c>
      <c r="B833" s="7" t="s">
        <v>26</v>
      </c>
      <c r="C833" s="7" t="s">
        <v>27</v>
      </c>
      <c r="D833" s="7" t="s">
        <v>28</v>
      </c>
      <c r="E833" s="7" t="s">
        <v>29</v>
      </c>
      <c r="F833" s="7" t="s">
        <v>234</v>
      </c>
      <c r="G833" s="7">
        <v>98.342669999999998</v>
      </c>
      <c r="H833" s="7"/>
    </row>
    <row r="834" spans="1:8" x14ac:dyDescent="0.35">
      <c r="A834" s="7" t="s">
        <v>348</v>
      </c>
      <c r="B834" s="7" t="s">
        <v>26</v>
      </c>
      <c r="C834" s="7" t="s">
        <v>27</v>
      </c>
      <c r="D834" s="7" t="s">
        <v>28</v>
      </c>
      <c r="E834" s="7" t="s">
        <v>29</v>
      </c>
      <c r="F834" s="7" t="s">
        <v>235</v>
      </c>
      <c r="G834" s="7">
        <v>98.171490000000006</v>
      </c>
      <c r="H834" s="7"/>
    </row>
    <row r="835" spans="1:8" x14ac:dyDescent="0.35">
      <c r="A835" s="7" t="s">
        <v>348</v>
      </c>
      <c r="B835" s="7" t="s">
        <v>26</v>
      </c>
      <c r="C835" s="7" t="s">
        <v>27</v>
      </c>
      <c r="D835" s="7" t="s">
        <v>28</v>
      </c>
      <c r="E835" s="7" t="s">
        <v>29</v>
      </c>
      <c r="F835" s="7" t="s">
        <v>236</v>
      </c>
      <c r="G835" s="7">
        <v>98.071039999999996</v>
      </c>
      <c r="H835" s="7"/>
    </row>
    <row r="836" spans="1:8" x14ac:dyDescent="0.35">
      <c r="A836" s="7" t="s">
        <v>348</v>
      </c>
      <c r="B836" s="7" t="s">
        <v>26</v>
      </c>
      <c r="C836" s="7" t="s">
        <v>27</v>
      </c>
      <c r="D836" s="7" t="s">
        <v>28</v>
      </c>
      <c r="E836" s="7" t="s">
        <v>29</v>
      </c>
      <c r="F836" s="7" t="s">
        <v>237</v>
      </c>
      <c r="G836" s="7">
        <v>98.021739999999994</v>
      </c>
      <c r="H836" s="7"/>
    </row>
    <row r="837" spans="1:8" x14ac:dyDescent="0.35">
      <c r="A837" s="7" t="s">
        <v>348</v>
      </c>
      <c r="B837" s="7" t="s">
        <v>26</v>
      </c>
      <c r="C837" s="7" t="s">
        <v>27</v>
      </c>
      <c r="D837" s="7" t="s">
        <v>28</v>
      </c>
      <c r="E837" s="7" t="s">
        <v>29</v>
      </c>
      <c r="F837" s="7" t="s">
        <v>238</v>
      </c>
      <c r="G837" s="7">
        <v>98.060419999999993</v>
      </c>
      <c r="H837" s="7"/>
    </row>
    <row r="838" spans="1:8" x14ac:dyDescent="0.35">
      <c r="A838" s="7" t="s">
        <v>348</v>
      </c>
      <c r="B838" s="7" t="s">
        <v>26</v>
      </c>
      <c r="C838" s="7" t="s">
        <v>27</v>
      </c>
      <c r="D838" s="7" t="s">
        <v>28</v>
      </c>
      <c r="E838" s="7" t="s">
        <v>29</v>
      </c>
      <c r="F838" s="7" t="s">
        <v>239</v>
      </c>
      <c r="G838" s="7">
        <v>98.234260000000006</v>
      </c>
      <c r="H838" s="7"/>
    </row>
    <row r="839" spans="1:8" x14ac:dyDescent="0.35">
      <c r="A839" s="7" t="s">
        <v>348</v>
      </c>
      <c r="B839" s="7" t="s">
        <v>26</v>
      </c>
      <c r="C839" s="7" t="s">
        <v>27</v>
      </c>
      <c r="D839" s="7" t="s">
        <v>28</v>
      </c>
      <c r="E839" s="7" t="s">
        <v>29</v>
      </c>
      <c r="F839" s="7" t="s">
        <v>240</v>
      </c>
      <c r="G839" s="7">
        <v>98.418899999999994</v>
      </c>
      <c r="H839" s="7"/>
    </row>
    <row r="840" spans="1:8" x14ac:dyDescent="0.35">
      <c r="A840" s="7" t="s">
        <v>348</v>
      </c>
      <c r="B840" s="7" t="s">
        <v>26</v>
      </c>
      <c r="C840" s="7" t="s">
        <v>27</v>
      </c>
      <c r="D840" s="7" t="s">
        <v>28</v>
      </c>
      <c r="E840" s="7" t="s">
        <v>29</v>
      </c>
      <c r="F840" s="7" t="s">
        <v>241</v>
      </c>
      <c r="G840" s="7">
        <v>98.564499999999995</v>
      </c>
      <c r="H840" s="7"/>
    </row>
    <row r="841" spans="1:8" x14ac:dyDescent="0.35">
      <c r="A841" s="7" t="s">
        <v>348</v>
      </c>
      <c r="B841" s="7" t="s">
        <v>26</v>
      </c>
      <c r="C841" s="7" t="s">
        <v>27</v>
      </c>
      <c r="D841" s="7" t="s">
        <v>28</v>
      </c>
      <c r="E841" s="7" t="s">
        <v>29</v>
      </c>
      <c r="F841" s="7" t="s">
        <v>242</v>
      </c>
      <c r="G841" s="7">
        <v>98.635189999999994</v>
      </c>
      <c r="H841" s="7"/>
    </row>
    <row r="842" spans="1:8" x14ac:dyDescent="0.35">
      <c r="A842" s="7" t="s">
        <v>348</v>
      </c>
      <c r="B842" s="7" t="s">
        <v>26</v>
      </c>
      <c r="C842" s="7" t="s">
        <v>27</v>
      </c>
      <c r="D842" s="7" t="s">
        <v>28</v>
      </c>
      <c r="E842" s="7" t="s">
        <v>29</v>
      </c>
      <c r="F842" s="7" t="s">
        <v>243</v>
      </c>
      <c r="G842" s="7">
        <v>98.721059999999994</v>
      </c>
      <c r="H842" s="7"/>
    </row>
    <row r="843" spans="1:8" x14ac:dyDescent="0.35">
      <c r="A843" s="7" t="s">
        <v>348</v>
      </c>
      <c r="B843" s="7" t="s">
        <v>26</v>
      </c>
      <c r="C843" s="7" t="s">
        <v>27</v>
      </c>
      <c r="D843" s="7" t="s">
        <v>28</v>
      </c>
      <c r="E843" s="7" t="s">
        <v>29</v>
      </c>
      <c r="F843" s="7" t="s">
        <v>244</v>
      </c>
      <c r="G843" s="7">
        <v>99.015270000000001</v>
      </c>
      <c r="H843" s="7"/>
    </row>
    <row r="844" spans="1:8" x14ac:dyDescent="0.35">
      <c r="A844" s="7" t="s">
        <v>348</v>
      </c>
      <c r="B844" s="7" t="s">
        <v>26</v>
      </c>
      <c r="C844" s="7" t="s">
        <v>27</v>
      </c>
      <c r="D844" s="7" t="s">
        <v>28</v>
      </c>
      <c r="E844" s="7" t="s">
        <v>29</v>
      </c>
      <c r="F844" s="7" t="s">
        <v>245</v>
      </c>
      <c r="G844" s="7">
        <v>99.346419999999995</v>
      </c>
      <c r="H844" s="7"/>
    </row>
    <row r="845" spans="1:8" x14ac:dyDescent="0.35">
      <c r="A845" s="7" t="s">
        <v>348</v>
      </c>
      <c r="B845" s="7" t="s">
        <v>26</v>
      </c>
      <c r="C845" s="7" t="s">
        <v>27</v>
      </c>
      <c r="D845" s="7" t="s">
        <v>28</v>
      </c>
      <c r="E845" s="7" t="s">
        <v>29</v>
      </c>
      <c r="F845" s="7" t="s">
        <v>246</v>
      </c>
      <c r="G845" s="7">
        <v>99.61909</v>
      </c>
      <c r="H845" s="7"/>
    </row>
    <row r="846" spans="1:8" x14ac:dyDescent="0.35">
      <c r="A846" s="7" t="s">
        <v>348</v>
      </c>
      <c r="B846" s="7" t="s">
        <v>26</v>
      </c>
      <c r="C846" s="7" t="s">
        <v>27</v>
      </c>
      <c r="D846" s="7" t="s">
        <v>28</v>
      </c>
      <c r="E846" s="7" t="s">
        <v>29</v>
      </c>
      <c r="F846" s="7" t="s">
        <v>247</v>
      </c>
      <c r="G846" s="7">
        <v>99.778630000000007</v>
      </c>
      <c r="H846" s="7"/>
    </row>
    <row r="847" spans="1:8" x14ac:dyDescent="0.35">
      <c r="A847" s="7" t="s">
        <v>348</v>
      </c>
      <c r="B847" s="7" t="s">
        <v>26</v>
      </c>
      <c r="C847" s="7" t="s">
        <v>27</v>
      </c>
      <c r="D847" s="7" t="s">
        <v>28</v>
      </c>
      <c r="E847" s="7" t="s">
        <v>29</v>
      </c>
      <c r="F847" s="7" t="s">
        <v>248</v>
      </c>
      <c r="G847" s="7">
        <v>99.843760000000003</v>
      </c>
      <c r="H847" s="7"/>
    </row>
    <row r="848" spans="1:8" x14ac:dyDescent="0.35">
      <c r="A848" s="7" t="s">
        <v>348</v>
      </c>
      <c r="B848" s="7" t="s">
        <v>26</v>
      </c>
      <c r="C848" s="7" t="s">
        <v>27</v>
      </c>
      <c r="D848" s="7" t="s">
        <v>28</v>
      </c>
      <c r="E848" s="7" t="s">
        <v>29</v>
      </c>
      <c r="F848" s="7" t="s">
        <v>249</v>
      </c>
      <c r="G848" s="7">
        <v>99.794799999999995</v>
      </c>
      <c r="H848" s="7"/>
    </row>
    <row r="849" spans="1:8" x14ac:dyDescent="0.35">
      <c r="A849" s="7" t="s">
        <v>348</v>
      </c>
      <c r="B849" s="7" t="s">
        <v>26</v>
      </c>
      <c r="C849" s="7" t="s">
        <v>27</v>
      </c>
      <c r="D849" s="7" t="s">
        <v>28</v>
      </c>
      <c r="E849" s="7" t="s">
        <v>29</v>
      </c>
      <c r="F849" s="7" t="s">
        <v>250</v>
      </c>
      <c r="G849" s="7">
        <v>99.661209999999997</v>
      </c>
      <c r="H849" s="7"/>
    </row>
    <row r="850" spans="1:8" x14ac:dyDescent="0.35">
      <c r="A850" s="7" t="s">
        <v>348</v>
      </c>
      <c r="B850" s="7" t="s">
        <v>26</v>
      </c>
      <c r="C850" s="7" t="s">
        <v>27</v>
      </c>
      <c r="D850" s="7" t="s">
        <v>28</v>
      </c>
      <c r="E850" s="7" t="s">
        <v>29</v>
      </c>
      <c r="F850" s="7" t="s">
        <v>251</v>
      </c>
      <c r="G850" s="7">
        <v>99.522850000000005</v>
      </c>
      <c r="H850" s="7"/>
    </row>
    <row r="851" spans="1:8" x14ac:dyDescent="0.35">
      <c r="A851" s="7" t="s">
        <v>348</v>
      </c>
      <c r="B851" s="7" t="s">
        <v>26</v>
      </c>
      <c r="C851" s="7" t="s">
        <v>27</v>
      </c>
      <c r="D851" s="7" t="s">
        <v>28</v>
      </c>
      <c r="E851" s="7" t="s">
        <v>29</v>
      </c>
      <c r="F851" s="7" t="s">
        <v>252</v>
      </c>
      <c r="G851" s="7">
        <v>99.404979999999995</v>
      </c>
      <c r="H851" s="7"/>
    </row>
    <row r="852" spans="1:8" x14ac:dyDescent="0.35">
      <c r="A852" s="7" t="s">
        <v>348</v>
      </c>
      <c r="B852" s="7" t="s">
        <v>26</v>
      </c>
      <c r="C852" s="7" t="s">
        <v>27</v>
      </c>
      <c r="D852" s="7" t="s">
        <v>28</v>
      </c>
      <c r="E852" s="7" t="s">
        <v>29</v>
      </c>
      <c r="F852" s="7" t="s">
        <v>253</v>
      </c>
      <c r="G852" s="7">
        <v>99.359340000000003</v>
      </c>
      <c r="H852" s="7"/>
    </row>
    <row r="853" spans="1:8" x14ac:dyDescent="0.35">
      <c r="A853" s="7" t="s">
        <v>348</v>
      </c>
      <c r="B853" s="7" t="s">
        <v>26</v>
      </c>
      <c r="C853" s="7" t="s">
        <v>27</v>
      </c>
      <c r="D853" s="7" t="s">
        <v>28</v>
      </c>
      <c r="E853" s="7" t="s">
        <v>29</v>
      </c>
      <c r="F853" s="7" t="s">
        <v>254</v>
      </c>
      <c r="G853" s="7">
        <v>99.419870000000003</v>
      </c>
      <c r="H853" s="7"/>
    </row>
    <row r="854" spans="1:8" x14ac:dyDescent="0.35">
      <c r="A854" s="7" t="s">
        <v>348</v>
      </c>
      <c r="B854" s="7" t="s">
        <v>26</v>
      </c>
      <c r="C854" s="7" t="s">
        <v>27</v>
      </c>
      <c r="D854" s="7" t="s">
        <v>28</v>
      </c>
      <c r="E854" s="7" t="s">
        <v>29</v>
      </c>
      <c r="F854" s="7" t="s">
        <v>255</v>
      </c>
      <c r="G854" s="7">
        <v>99.581469999999996</v>
      </c>
      <c r="H854" s="7"/>
    </row>
    <row r="855" spans="1:8" x14ac:dyDescent="0.35">
      <c r="A855" s="7" t="s">
        <v>348</v>
      </c>
      <c r="B855" s="7" t="s">
        <v>26</v>
      </c>
      <c r="C855" s="7" t="s">
        <v>27</v>
      </c>
      <c r="D855" s="7" t="s">
        <v>28</v>
      </c>
      <c r="E855" s="7" t="s">
        <v>29</v>
      </c>
      <c r="F855" s="7" t="s">
        <v>256</v>
      </c>
      <c r="G855" s="7">
        <v>99.710909999999998</v>
      </c>
      <c r="H855" s="7"/>
    </row>
    <row r="856" spans="1:8" x14ac:dyDescent="0.35">
      <c r="A856" s="7" t="s">
        <v>348</v>
      </c>
      <c r="B856" s="7" t="s">
        <v>26</v>
      </c>
      <c r="C856" s="7" t="s">
        <v>27</v>
      </c>
      <c r="D856" s="7" t="s">
        <v>28</v>
      </c>
      <c r="E856" s="7" t="s">
        <v>29</v>
      </c>
      <c r="F856" s="7" t="s">
        <v>257</v>
      </c>
      <c r="G856" s="7">
        <v>99.776390000000006</v>
      </c>
      <c r="H856" s="7"/>
    </row>
    <row r="857" spans="1:8" x14ac:dyDescent="0.35">
      <c r="A857" s="7" t="s">
        <v>348</v>
      </c>
      <c r="B857" s="7" t="s">
        <v>26</v>
      </c>
      <c r="C857" s="7" t="s">
        <v>27</v>
      </c>
      <c r="D857" s="7" t="s">
        <v>28</v>
      </c>
      <c r="E857" s="7" t="s">
        <v>29</v>
      </c>
      <c r="F857" s="7" t="s">
        <v>258</v>
      </c>
      <c r="G857" s="7">
        <v>99.784999999999997</v>
      </c>
      <c r="H857" s="7"/>
    </row>
    <row r="858" spans="1:8" x14ac:dyDescent="0.35">
      <c r="A858" s="7" t="s">
        <v>348</v>
      </c>
      <c r="B858" s="7" t="s">
        <v>26</v>
      </c>
      <c r="C858" s="7" t="s">
        <v>27</v>
      </c>
      <c r="D858" s="7" t="s">
        <v>28</v>
      </c>
      <c r="E858" s="7" t="s">
        <v>29</v>
      </c>
      <c r="F858" s="7" t="s">
        <v>259</v>
      </c>
      <c r="G858" s="7">
        <v>99.726749999999996</v>
      </c>
      <c r="H858" s="7"/>
    </row>
    <row r="859" spans="1:8" x14ac:dyDescent="0.35">
      <c r="A859" s="7" t="s">
        <v>348</v>
      </c>
      <c r="B859" s="7" t="s">
        <v>26</v>
      </c>
      <c r="C859" s="7" t="s">
        <v>27</v>
      </c>
      <c r="D859" s="7" t="s">
        <v>28</v>
      </c>
      <c r="E859" s="7" t="s">
        <v>29</v>
      </c>
      <c r="F859" s="7" t="s">
        <v>260</v>
      </c>
      <c r="G859" s="7">
        <v>99.642269999999996</v>
      </c>
      <c r="H859" s="7"/>
    </row>
    <row r="860" spans="1:8" x14ac:dyDescent="0.35">
      <c r="A860" s="7" t="s">
        <v>348</v>
      </c>
      <c r="B860" s="7" t="s">
        <v>26</v>
      </c>
      <c r="C860" s="7" t="s">
        <v>27</v>
      </c>
      <c r="D860" s="7" t="s">
        <v>28</v>
      </c>
      <c r="E860" s="7" t="s">
        <v>29</v>
      </c>
      <c r="F860" s="7" t="s">
        <v>261</v>
      </c>
      <c r="G860" s="7">
        <v>99.595190000000002</v>
      </c>
      <c r="H860" s="7"/>
    </row>
    <row r="861" spans="1:8" x14ac:dyDescent="0.35">
      <c r="A861" s="7" t="s">
        <v>348</v>
      </c>
      <c r="B861" s="7" t="s">
        <v>26</v>
      </c>
      <c r="C861" s="7" t="s">
        <v>27</v>
      </c>
      <c r="D861" s="7" t="s">
        <v>28</v>
      </c>
      <c r="E861" s="7" t="s">
        <v>29</v>
      </c>
      <c r="F861" s="7" t="s">
        <v>262</v>
      </c>
      <c r="G861" s="7">
        <v>99.623069999999998</v>
      </c>
      <c r="H861" s="7"/>
    </row>
    <row r="862" spans="1:8" x14ac:dyDescent="0.35">
      <c r="A862" s="7" t="s">
        <v>348</v>
      </c>
      <c r="B862" s="7" t="s">
        <v>26</v>
      </c>
      <c r="C862" s="7" t="s">
        <v>27</v>
      </c>
      <c r="D862" s="7" t="s">
        <v>28</v>
      </c>
      <c r="E862" s="7" t="s">
        <v>29</v>
      </c>
      <c r="F862" s="7" t="s">
        <v>263</v>
      </c>
      <c r="G862" s="7">
        <v>99.669880000000006</v>
      </c>
      <c r="H862" s="7"/>
    </row>
    <row r="863" spans="1:8" x14ac:dyDescent="0.35">
      <c r="A863" s="7" t="s">
        <v>348</v>
      </c>
      <c r="B863" s="7" t="s">
        <v>26</v>
      </c>
      <c r="C863" s="7" t="s">
        <v>27</v>
      </c>
      <c r="D863" s="7" t="s">
        <v>28</v>
      </c>
      <c r="E863" s="7" t="s">
        <v>29</v>
      </c>
      <c r="F863" s="7" t="s">
        <v>264</v>
      </c>
      <c r="G863" s="7">
        <v>99.720410000000001</v>
      </c>
      <c r="H863" s="7"/>
    </row>
    <row r="864" spans="1:8" x14ac:dyDescent="0.35">
      <c r="A864" s="7" t="s">
        <v>348</v>
      </c>
      <c r="B864" s="7" t="s">
        <v>26</v>
      </c>
      <c r="C864" s="7" t="s">
        <v>27</v>
      </c>
      <c r="D864" s="7" t="s">
        <v>28</v>
      </c>
      <c r="E864" s="7" t="s">
        <v>29</v>
      </c>
      <c r="F864" s="7" t="s">
        <v>265</v>
      </c>
      <c r="G864" s="7">
        <v>99.667569999999998</v>
      </c>
      <c r="H864" s="7"/>
    </row>
    <row r="865" spans="1:8" x14ac:dyDescent="0.35">
      <c r="A865" s="7" t="s">
        <v>348</v>
      </c>
      <c r="B865" s="7" t="s">
        <v>26</v>
      </c>
      <c r="C865" s="7" t="s">
        <v>27</v>
      </c>
      <c r="D865" s="7" t="s">
        <v>28</v>
      </c>
      <c r="E865" s="7" t="s">
        <v>29</v>
      </c>
      <c r="F865" s="7" t="s">
        <v>266</v>
      </c>
      <c r="G865" s="7">
        <v>99.462230000000005</v>
      </c>
      <c r="H865" s="7"/>
    </row>
    <row r="866" spans="1:8" x14ac:dyDescent="0.35">
      <c r="A866" s="7" t="s">
        <v>348</v>
      </c>
      <c r="B866" s="7" t="s">
        <v>26</v>
      </c>
      <c r="C866" s="7" t="s">
        <v>27</v>
      </c>
      <c r="D866" s="7" t="s">
        <v>28</v>
      </c>
      <c r="E866" s="7" t="s">
        <v>29</v>
      </c>
      <c r="F866" s="7" t="s">
        <v>267</v>
      </c>
      <c r="G866" s="7">
        <v>99.127920000000003</v>
      </c>
      <c r="H866" s="7"/>
    </row>
    <row r="867" spans="1:8" x14ac:dyDescent="0.35">
      <c r="A867" s="7" t="s">
        <v>348</v>
      </c>
      <c r="B867" s="7" t="s">
        <v>26</v>
      </c>
      <c r="C867" s="7" t="s">
        <v>27</v>
      </c>
      <c r="D867" s="7" t="s">
        <v>28</v>
      </c>
      <c r="E867" s="7" t="s">
        <v>29</v>
      </c>
      <c r="F867" s="7" t="s">
        <v>268</v>
      </c>
      <c r="G867" s="7">
        <v>98.889799999999994</v>
      </c>
      <c r="H867" s="7"/>
    </row>
    <row r="868" spans="1:8" x14ac:dyDescent="0.35">
      <c r="A868" s="7" t="s">
        <v>348</v>
      </c>
      <c r="B868" s="7" t="s">
        <v>26</v>
      </c>
      <c r="C868" s="7" t="s">
        <v>27</v>
      </c>
      <c r="D868" s="7" t="s">
        <v>28</v>
      </c>
      <c r="E868" s="7" t="s">
        <v>29</v>
      </c>
      <c r="F868" s="7" t="s">
        <v>269</v>
      </c>
      <c r="G868" s="7">
        <v>98.774180000000001</v>
      </c>
      <c r="H868" s="7"/>
    </row>
    <row r="869" spans="1:8" x14ac:dyDescent="0.35">
      <c r="A869" s="7" t="s">
        <v>348</v>
      </c>
      <c r="B869" s="7" t="s">
        <v>26</v>
      </c>
      <c r="C869" s="7" t="s">
        <v>27</v>
      </c>
      <c r="D869" s="7" t="s">
        <v>28</v>
      </c>
      <c r="E869" s="7" t="s">
        <v>29</v>
      </c>
      <c r="F869" s="7" t="s">
        <v>270</v>
      </c>
      <c r="G869" s="7">
        <v>98.627139999999997</v>
      </c>
      <c r="H869" s="7"/>
    </row>
    <row r="870" spans="1:8" x14ac:dyDescent="0.35">
      <c r="A870" s="7" t="s">
        <v>348</v>
      </c>
      <c r="B870" s="7" t="s">
        <v>26</v>
      </c>
      <c r="C870" s="7" t="s">
        <v>27</v>
      </c>
      <c r="D870" s="7" t="s">
        <v>28</v>
      </c>
      <c r="E870" s="7" t="s">
        <v>29</v>
      </c>
      <c r="F870" s="7" t="s">
        <v>271</v>
      </c>
      <c r="G870" s="7">
        <v>98.621440000000007</v>
      </c>
      <c r="H870" s="7"/>
    </row>
    <row r="871" spans="1:8" x14ac:dyDescent="0.35">
      <c r="A871" s="7" t="s">
        <v>348</v>
      </c>
      <c r="B871" s="7" t="s">
        <v>26</v>
      </c>
      <c r="C871" s="7" t="s">
        <v>27</v>
      </c>
      <c r="D871" s="7" t="s">
        <v>28</v>
      </c>
      <c r="E871" s="7" t="s">
        <v>29</v>
      </c>
      <c r="F871" s="7" t="s">
        <v>272</v>
      </c>
      <c r="G871" s="7">
        <v>98.773740000000004</v>
      </c>
      <c r="H871" s="7"/>
    </row>
    <row r="872" spans="1:8" x14ac:dyDescent="0.35">
      <c r="A872" s="7" t="s">
        <v>348</v>
      </c>
      <c r="B872" s="7" t="s">
        <v>26</v>
      </c>
      <c r="C872" s="7" t="s">
        <v>27</v>
      </c>
      <c r="D872" s="7" t="s">
        <v>28</v>
      </c>
      <c r="E872" s="7" t="s">
        <v>29</v>
      </c>
      <c r="F872" s="7" t="s">
        <v>273</v>
      </c>
      <c r="G872" s="7">
        <v>99.026600000000002</v>
      </c>
      <c r="H872" s="7"/>
    </row>
    <row r="873" spans="1:8" x14ac:dyDescent="0.35">
      <c r="A873" s="7" t="s">
        <v>348</v>
      </c>
      <c r="B873" s="7" t="s">
        <v>26</v>
      </c>
      <c r="C873" s="7" t="s">
        <v>27</v>
      </c>
      <c r="D873" s="7" t="s">
        <v>28</v>
      </c>
      <c r="E873" s="7" t="s">
        <v>29</v>
      </c>
      <c r="F873" s="7" t="s">
        <v>274</v>
      </c>
      <c r="G873" s="7">
        <v>99.325190000000006</v>
      </c>
      <c r="H873" s="7"/>
    </row>
    <row r="874" spans="1:8" x14ac:dyDescent="0.35">
      <c r="A874" s="7" t="s">
        <v>348</v>
      </c>
      <c r="B874" s="7" t="s">
        <v>26</v>
      </c>
      <c r="C874" s="7" t="s">
        <v>27</v>
      </c>
      <c r="D874" s="7" t="s">
        <v>28</v>
      </c>
      <c r="E874" s="7" t="s">
        <v>29</v>
      </c>
      <c r="F874" s="7" t="s">
        <v>275</v>
      </c>
      <c r="G874" s="7">
        <v>99.564909999999998</v>
      </c>
      <c r="H874" s="7"/>
    </row>
    <row r="875" spans="1:8" x14ac:dyDescent="0.35">
      <c r="A875" s="7" t="s">
        <v>348</v>
      </c>
      <c r="B875" s="7" t="s">
        <v>26</v>
      </c>
      <c r="C875" s="7" t="s">
        <v>27</v>
      </c>
      <c r="D875" s="7" t="s">
        <v>28</v>
      </c>
      <c r="E875" s="7" t="s">
        <v>29</v>
      </c>
      <c r="F875" s="7" t="s">
        <v>276</v>
      </c>
      <c r="G875" s="7">
        <v>99.684030000000007</v>
      </c>
      <c r="H875" s="7"/>
    </row>
    <row r="876" spans="1:8" x14ac:dyDescent="0.35">
      <c r="A876" s="7" t="s">
        <v>348</v>
      </c>
      <c r="B876" s="7" t="s">
        <v>26</v>
      </c>
      <c r="C876" s="7" t="s">
        <v>27</v>
      </c>
      <c r="D876" s="7" t="s">
        <v>28</v>
      </c>
      <c r="E876" s="7" t="s">
        <v>29</v>
      </c>
      <c r="F876" s="7" t="s">
        <v>277</v>
      </c>
      <c r="G876" s="7">
        <v>99.547970000000007</v>
      </c>
      <c r="H876" s="7"/>
    </row>
    <row r="877" spans="1:8" x14ac:dyDescent="0.35">
      <c r="A877" s="7" t="s">
        <v>348</v>
      </c>
      <c r="B877" s="7" t="s">
        <v>26</v>
      </c>
      <c r="C877" s="7" t="s">
        <v>27</v>
      </c>
      <c r="D877" s="7" t="s">
        <v>28</v>
      </c>
      <c r="E877" s="7" t="s">
        <v>29</v>
      </c>
      <c r="F877" s="7" t="s">
        <v>278</v>
      </c>
      <c r="G877" s="7">
        <v>99.231039999999993</v>
      </c>
      <c r="H877" s="7"/>
    </row>
    <row r="878" spans="1:8" x14ac:dyDescent="0.35">
      <c r="A878" s="7" t="s">
        <v>348</v>
      </c>
      <c r="B878" s="7" t="s">
        <v>26</v>
      </c>
      <c r="C878" s="7" t="s">
        <v>27</v>
      </c>
      <c r="D878" s="7" t="s">
        <v>28</v>
      </c>
      <c r="E878" s="7" t="s">
        <v>29</v>
      </c>
      <c r="F878" s="7" t="s">
        <v>279</v>
      </c>
      <c r="G878" s="7">
        <v>98.971180000000004</v>
      </c>
      <c r="H878" s="7"/>
    </row>
    <row r="879" spans="1:8" x14ac:dyDescent="0.35">
      <c r="A879" s="7" t="s">
        <v>348</v>
      </c>
      <c r="B879" s="7" t="s">
        <v>26</v>
      </c>
      <c r="C879" s="7" t="s">
        <v>27</v>
      </c>
      <c r="D879" s="7" t="s">
        <v>28</v>
      </c>
      <c r="E879" s="7" t="s">
        <v>29</v>
      </c>
      <c r="F879" s="7" t="s">
        <v>280</v>
      </c>
      <c r="G879" s="7">
        <v>98.780699999999996</v>
      </c>
      <c r="H879" s="7"/>
    </row>
    <row r="880" spans="1:8" x14ac:dyDescent="0.35">
      <c r="A880" s="7" t="s">
        <v>348</v>
      </c>
      <c r="B880" s="7" t="s">
        <v>26</v>
      </c>
      <c r="C880" s="7" t="s">
        <v>27</v>
      </c>
      <c r="D880" s="7" t="s">
        <v>28</v>
      </c>
      <c r="E880" s="7" t="s">
        <v>29</v>
      </c>
      <c r="F880" s="7" t="s">
        <v>281</v>
      </c>
      <c r="G880" s="7">
        <v>98.687029999999993</v>
      </c>
      <c r="H880" s="7"/>
    </row>
    <row r="881" spans="1:8" x14ac:dyDescent="0.35">
      <c r="A881" s="7" t="s">
        <v>348</v>
      </c>
      <c r="B881" s="7" t="s">
        <v>26</v>
      </c>
      <c r="C881" s="7" t="s">
        <v>27</v>
      </c>
      <c r="D881" s="7" t="s">
        <v>28</v>
      </c>
      <c r="E881" s="7" t="s">
        <v>29</v>
      </c>
      <c r="F881" s="7" t="s">
        <v>282</v>
      </c>
      <c r="G881" s="7">
        <v>98.703760000000003</v>
      </c>
      <c r="H881" s="7"/>
    </row>
    <row r="882" spans="1:8" x14ac:dyDescent="0.35">
      <c r="A882" s="7" t="s">
        <v>348</v>
      </c>
      <c r="B882" s="7" t="s">
        <v>26</v>
      </c>
      <c r="C882" s="7" t="s">
        <v>27</v>
      </c>
      <c r="D882" s="7" t="s">
        <v>28</v>
      </c>
      <c r="E882" s="7" t="s">
        <v>29</v>
      </c>
      <c r="F882" s="7" t="s">
        <v>283</v>
      </c>
      <c r="G882" s="7">
        <v>98.733440000000002</v>
      </c>
      <c r="H882" s="7"/>
    </row>
    <row r="883" spans="1:8" x14ac:dyDescent="0.35">
      <c r="A883" s="7" t="s">
        <v>348</v>
      </c>
      <c r="B883" s="7" t="s">
        <v>26</v>
      </c>
      <c r="C883" s="7" t="s">
        <v>27</v>
      </c>
      <c r="D883" s="7" t="s">
        <v>28</v>
      </c>
      <c r="E883" s="7" t="s">
        <v>29</v>
      </c>
      <c r="F883" s="7" t="s">
        <v>284</v>
      </c>
      <c r="G883" s="7">
        <v>98.722660000000005</v>
      </c>
      <c r="H883" s="7"/>
    </row>
    <row r="884" spans="1:8" x14ac:dyDescent="0.35">
      <c r="A884" s="7" t="s">
        <v>348</v>
      </c>
      <c r="B884" s="7" t="s">
        <v>26</v>
      </c>
      <c r="C884" s="7" t="s">
        <v>27</v>
      </c>
      <c r="D884" s="7" t="s">
        <v>28</v>
      </c>
      <c r="E884" s="7" t="s">
        <v>29</v>
      </c>
      <c r="F884" s="7" t="s">
        <v>285</v>
      </c>
      <c r="G884" s="7">
        <v>98.670429999999996</v>
      </c>
      <c r="H884" s="7"/>
    </row>
    <row r="885" spans="1:8" x14ac:dyDescent="0.35">
      <c r="A885" s="7" t="s">
        <v>348</v>
      </c>
      <c r="B885" s="7" t="s">
        <v>26</v>
      </c>
      <c r="C885" s="7" t="s">
        <v>27</v>
      </c>
      <c r="D885" s="7" t="s">
        <v>28</v>
      </c>
      <c r="E885" s="7" t="s">
        <v>29</v>
      </c>
      <c r="F885" s="7" t="s">
        <v>286</v>
      </c>
      <c r="G885" s="7">
        <v>98.600890000000007</v>
      </c>
      <c r="H885" s="7"/>
    </row>
    <row r="886" spans="1:8" x14ac:dyDescent="0.35">
      <c r="A886" s="7" t="s">
        <v>348</v>
      </c>
      <c r="B886" s="7" t="s">
        <v>26</v>
      </c>
      <c r="C886" s="7" t="s">
        <v>27</v>
      </c>
      <c r="D886" s="7" t="s">
        <v>28</v>
      </c>
      <c r="E886" s="7" t="s">
        <v>29</v>
      </c>
      <c r="F886" s="7" t="s">
        <v>287</v>
      </c>
      <c r="G886" s="7">
        <v>98.567809999999994</v>
      </c>
      <c r="H886" s="7"/>
    </row>
    <row r="887" spans="1:8" x14ac:dyDescent="0.35">
      <c r="A887" s="7" t="s">
        <v>348</v>
      </c>
      <c r="B887" s="7" t="s">
        <v>26</v>
      </c>
      <c r="C887" s="7" t="s">
        <v>27</v>
      </c>
      <c r="D887" s="7" t="s">
        <v>28</v>
      </c>
      <c r="E887" s="7" t="s">
        <v>29</v>
      </c>
      <c r="F887" s="7" t="s">
        <v>288</v>
      </c>
      <c r="G887" s="7">
        <v>98.571430000000007</v>
      </c>
      <c r="H887" s="7"/>
    </row>
    <row r="888" spans="1:8" x14ac:dyDescent="0.35">
      <c r="A888" s="7" t="s">
        <v>348</v>
      </c>
      <c r="B888" s="7" t="s">
        <v>26</v>
      </c>
      <c r="C888" s="7" t="s">
        <v>27</v>
      </c>
      <c r="D888" s="7" t="s">
        <v>28</v>
      </c>
      <c r="E888" s="7" t="s">
        <v>29</v>
      </c>
      <c r="F888" s="7" t="s">
        <v>289</v>
      </c>
      <c r="G888" s="7">
        <v>98.677390000000003</v>
      </c>
      <c r="H888" s="7"/>
    </row>
    <row r="889" spans="1:8" x14ac:dyDescent="0.35">
      <c r="A889" s="7" t="s">
        <v>348</v>
      </c>
      <c r="B889" s="7" t="s">
        <v>26</v>
      </c>
      <c r="C889" s="7" t="s">
        <v>27</v>
      </c>
      <c r="D889" s="7" t="s">
        <v>28</v>
      </c>
      <c r="E889" s="7" t="s">
        <v>29</v>
      </c>
      <c r="F889" s="7" t="s">
        <v>290</v>
      </c>
      <c r="G889" s="7">
        <v>98.946370000000002</v>
      </c>
      <c r="H889" s="7"/>
    </row>
    <row r="890" spans="1:8" x14ac:dyDescent="0.35">
      <c r="A890" s="7" t="s">
        <v>348</v>
      </c>
      <c r="B890" s="7" t="s">
        <v>26</v>
      </c>
      <c r="C890" s="7" t="s">
        <v>27</v>
      </c>
      <c r="D890" s="7" t="s">
        <v>28</v>
      </c>
      <c r="E890" s="7" t="s">
        <v>29</v>
      </c>
      <c r="F890" s="7" t="s">
        <v>291</v>
      </c>
      <c r="G890" s="7">
        <v>99.232699999999994</v>
      </c>
      <c r="H890" s="7"/>
    </row>
    <row r="891" spans="1:8" x14ac:dyDescent="0.35">
      <c r="A891" s="7" t="s">
        <v>348</v>
      </c>
      <c r="B891" s="7" t="s">
        <v>26</v>
      </c>
      <c r="C891" s="7" t="s">
        <v>27</v>
      </c>
      <c r="D891" s="7" t="s">
        <v>28</v>
      </c>
      <c r="E891" s="7" t="s">
        <v>29</v>
      </c>
      <c r="F891" s="7" t="s">
        <v>292</v>
      </c>
      <c r="G891" s="7">
        <v>99.401989999999998</v>
      </c>
      <c r="H891" s="7"/>
    </row>
    <row r="892" spans="1:8" x14ac:dyDescent="0.35">
      <c r="A892" s="7" t="s">
        <v>348</v>
      </c>
      <c r="B892" s="7" t="s">
        <v>26</v>
      </c>
      <c r="C892" s="7" t="s">
        <v>27</v>
      </c>
      <c r="D892" s="7" t="s">
        <v>28</v>
      </c>
      <c r="E892" s="7" t="s">
        <v>29</v>
      </c>
      <c r="F892" s="7" t="s">
        <v>293</v>
      </c>
      <c r="G892" s="7">
        <v>99.407499999999999</v>
      </c>
      <c r="H892" s="7"/>
    </row>
    <row r="893" spans="1:8" x14ac:dyDescent="0.35">
      <c r="A893" s="7" t="s">
        <v>348</v>
      </c>
      <c r="B893" s="7" t="s">
        <v>26</v>
      </c>
      <c r="C893" s="7" t="s">
        <v>27</v>
      </c>
      <c r="D893" s="7" t="s">
        <v>28</v>
      </c>
      <c r="E893" s="7" t="s">
        <v>29</v>
      </c>
      <c r="F893" s="7" t="s">
        <v>294</v>
      </c>
      <c r="G893" s="7">
        <v>99.27355</v>
      </c>
      <c r="H893" s="7"/>
    </row>
    <row r="894" spans="1:8" x14ac:dyDescent="0.35">
      <c r="A894" s="7" t="s">
        <v>348</v>
      </c>
      <c r="B894" s="7" t="s">
        <v>26</v>
      </c>
      <c r="C894" s="7" t="s">
        <v>27</v>
      </c>
      <c r="D894" s="7" t="s">
        <v>28</v>
      </c>
      <c r="E894" s="7" t="s">
        <v>29</v>
      </c>
      <c r="F894" s="7" t="s">
        <v>295</v>
      </c>
      <c r="G894" s="7">
        <v>99.280779999999993</v>
      </c>
      <c r="H894" s="7"/>
    </row>
    <row r="895" spans="1:8" x14ac:dyDescent="0.35">
      <c r="A895" s="7" t="s">
        <v>348</v>
      </c>
      <c r="B895" s="7" t="s">
        <v>26</v>
      </c>
      <c r="C895" s="7" t="s">
        <v>27</v>
      </c>
      <c r="D895" s="7" t="s">
        <v>28</v>
      </c>
      <c r="E895" s="7" t="s">
        <v>29</v>
      </c>
      <c r="F895" s="7" t="s">
        <v>296</v>
      </c>
      <c r="G895" s="7">
        <v>99.336780000000005</v>
      </c>
      <c r="H895" s="7"/>
    </row>
    <row r="896" spans="1:8" x14ac:dyDescent="0.35">
      <c r="A896" s="7" t="s">
        <v>348</v>
      </c>
      <c r="B896" s="7" t="s">
        <v>26</v>
      </c>
      <c r="C896" s="7" t="s">
        <v>27</v>
      </c>
      <c r="D896" s="7" t="s">
        <v>28</v>
      </c>
      <c r="E896" s="7" t="s">
        <v>29</v>
      </c>
      <c r="F896" s="7" t="s">
        <v>297</v>
      </c>
      <c r="G896" s="7">
        <v>99.350449999999995</v>
      </c>
      <c r="H896" s="7"/>
    </row>
    <row r="897" spans="1:8" x14ac:dyDescent="0.35">
      <c r="A897" s="7" t="s">
        <v>348</v>
      </c>
      <c r="B897" s="7" t="s">
        <v>26</v>
      </c>
      <c r="C897" s="7" t="s">
        <v>27</v>
      </c>
      <c r="D897" s="7" t="s">
        <v>28</v>
      </c>
      <c r="E897" s="7" t="s">
        <v>29</v>
      </c>
      <c r="F897" s="7" t="s">
        <v>298</v>
      </c>
      <c r="G897" s="7">
        <v>99.386070000000004</v>
      </c>
      <c r="H897" s="7"/>
    </row>
    <row r="898" spans="1:8" x14ac:dyDescent="0.35">
      <c r="A898" s="7" t="s">
        <v>348</v>
      </c>
      <c r="B898" s="7" t="s">
        <v>26</v>
      </c>
      <c r="C898" s="7" t="s">
        <v>27</v>
      </c>
      <c r="D898" s="7" t="s">
        <v>28</v>
      </c>
      <c r="E898" s="7" t="s">
        <v>29</v>
      </c>
      <c r="F898" s="7" t="s">
        <v>299</v>
      </c>
      <c r="G898" s="7">
        <v>99.372810000000001</v>
      </c>
      <c r="H898" s="7"/>
    </row>
    <row r="899" spans="1:8" x14ac:dyDescent="0.35">
      <c r="A899" s="7" t="s">
        <v>348</v>
      </c>
      <c r="B899" s="7" t="s">
        <v>26</v>
      </c>
      <c r="C899" s="7" t="s">
        <v>27</v>
      </c>
      <c r="D899" s="7" t="s">
        <v>28</v>
      </c>
      <c r="E899" s="7" t="s">
        <v>29</v>
      </c>
      <c r="F899" s="7" t="s">
        <v>300</v>
      </c>
      <c r="G899" s="7">
        <v>99.345879999999994</v>
      </c>
      <c r="H899" s="7"/>
    </row>
    <row r="900" spans="1:8" x14ac:dyDescent="0.35">
      <c r="A900" s="7" t="s">
        <v>348</v>
      </c>
      <c r="B900" s="7" t="s">
        <v>26</v>
      </c>
      <c r="C900" s="7" t="s">
        <v>27</v>
      </c>
      <c r="D900" s="7" t="s">
        <v>28</v>
      </c>
      <c r="E900" s="7" t="s">
        <v>29</v>
      </c>
      <c r="F900" s="7" t="s">
        <v>301</v>
      </c>
      <c r="G900" s="7">
        <v>99.31662</v>
      </c>
      <c r="H900" s="7"/>
    </row>
    <row r="901" spans="1:8" x14ac:dyDescent="0.35">
      <c r="A901" s="7" t="s">
        <v>348</v>
      </c>
      <c r="B901" s="7" t="s">
        <v>26</v>
      </c>
      <c r="C901" s="7" t="s">
        <v>27</v>
      </c>
      <c r="D901" s="7" t="s">
        <v>28</v>
      </c>
      <c r="E901" s="7" t="s">
        <v>29</v>
      </c>
      <c r="F901" s="7" t="s">
        <v>302</v>
      </c>
      <c r="G901" s="7">
        <v>99.270840000000007</v>
      </c>
      <c r="H901" s="7"/>
    </row>
    <row r="902" spans="1:8" x14ac:dyDescent="0.35">
      <c r="A902" s="7" t="s">
        <v>348</v>
      </c>
      <c r="B902" s="7" t="s">
        <v>26</v>
      </c>
      <c r="C902" s="7" t="s">
        <v>27</v>
      </c>
      <c r="D902" s="7" t="s">
        <v>28</v>
      </c>
      <c r="E902" s="7" t="s">
        <v>29</v>
      </c>
      <c r="F902" s="7" t="s">
        <v>303</v>
      </c>
      <c r="G902" s="7">
        <v>99.226680000000002</v>
      </c>
      <c r="H902" s="7"/>
    </row>
    <row r="903" spans="1:8" x14ac:dyDescent="0.35">
      <c r="A903" s="7" t="s">
        <v>348</v>
      </c>
      <c r="B903" s="7" t="s">
        <v>26</v>
      </c>
      <c r="C903" s="7" t="s">
        <v>27</v>
      </c>
      <c r="D903" s="7" t="s">
        <v>28</v>
      </c>
      <c r="E903" s="7" t="s">
        <v>29</v>
      </c>
      <c r="F903" s="7" t="s">
        <v>304</v>
      </c>
      <c r="G903" s="7">
        <v>99.175449999999998</v>
      </c>
      <c r="H903" s="7"/>
    </row>
    <row r="904" spans="1:8" x14ac:dyDescent="0.35">
      <c r="A904" s="7" t="s">
        <v>348</v>
      </c>
      <c r="B904" s="7" t="s">
        <v>26</v>
      </c>
      <c r="C904" s="7" t="s">
        <v>27</v>
      </c>
      <c r="D904" s="7" t="s">
        <v>28</v>
      </c>
      <c r="E904" s="7" t="s">
        <v>29</v>
      </c>
      <c r="F904" s="7" t="s">
        <v>305</v>
      </c>
      <c r="G904" s="7">
        <v>99.173419999999993</v>
      </c>
      <c r="H904" s="7"/>
    </row>
    <row r="905" spans="1:8" x14ac:dyDescent="0.35">
      <c r="A905" s="7" t="s">
        <v>348</v>
      </c>
      <c r="B905" s="7" t="s">
        <v>26</v>
      </c>
      <c r="C905" s="7" t="s">
        <v>27</v>
      </c>
      <c r="D905" s="7" t="s">
        <v>28</v>
      </c>
      <c r="E905" s="7" t="s">
        <v>29</v>
      </c>
      <c r="F905" s="7" t="s">
        <v>306</v>
      </c>
      <c r="G905" s="7">
        <v>99.230940000000004</v>
      </c>
      <c r="H905" s="7"/>
    </row>
    <row r="906" spans="1:8" x14ac:dyDescent="0.35">
      <c r="A906" s="7" t="s">
        <v>348</v>
      </c>
      <c r="B906" s="7" t="s">
        <v>26</v>
      </c>
      <c r="C906" s="7" t="s">
        <v>27</v>
      </c>
      <c r="D906" s="7" t="s">
        <v>28</v>
      </c>
      <c r="E906" s="7" t="s">
        <v>29</v>
      </c>
      <c r="F906" s="7" t="s">
        <v>307</v>
      </c>
      <c r="G906" s="7">
        <v>99.333489999999998</v>
      </c>
      <c r="H906" s="7"/>
    </row>
    <row r="907" spans="1:8" x14ac:dyDescent="0.35">
      <c r="A907" s="7" t="s">
        <v>348</v>
      </c>
      <c r="B907" s="7" t="s">
        <v>26</v>
      </c>
      <c r="C907" s="7" t="s">
        <v>27</v>
      </c>
      <c r="D907" s="7" t="s">
        <v>28</v>
      </c>
      <c r="E907" s="7" t="s">
        <v>29</v>
      </c>
      <c r="F907" s="7" t="s">
        <v>308</v>
      </c>
      <c r="G907" s="7">
        <v>99.498660000000001</v>
      </c>
      <c r="H907" s="7"/>
    </row>
    <row r="908" spans="1:8" x14ac:dyDescent="0.35">
      <c r="A908" s="7" t="s">
        <v>348</v>
      </c>
      <c r="B908" s="7" t="s">
        <v>26</v>
      </c>
      <c r="C908" s="7" t="s">
        <v>27</v>
      </c>
      <c r="D908" s="7" t="s">
        <v>28</v>
      </c>
      <c r="E908" s="7" t="s">
        <v>29</v>
      </c>
      <c r="F908" s="7" t="s">
        <v>309</v>
      </c>
      <c r="G908" s="7">
        <v>99.692729999999997</v>
      </c>
      <c r="H908" s="7"/>
    </row>
    <row r="909" spans="1:8" x14ac:dyDescent="0.35">
      <c r="A909" s="7" t="s">
        <v>348</v>
      </c>
      <c r="B909" s="7" t="s">
        <v>26</v>
      </c>
      <c r="C909" s="7" t="s">
        <v>27</v>
      </c>
      <c r="D909" s="7" t="s">
        <v>28</v>
      </c>
      <c r="E909" s="7" t="s">
        <v>29</v>
      </c>
      <c r="F909" s="7" t="s">
        <v>310</v>
      </c>
      <c r="G909" s="7">
        <v>99.856319999999997</v>
      </c>
      <c r="H909" s="7"/>
    </row>
    <row r="910" spans="1:8" x14ac:dyDescent="0.35">
      <c r="A910" s="7" t="s">
        <v>348</v>
      </c>
      <c r="B910" s="7" t="s">
        <v>26</v>
      </c>
      <c r="C910" s="7" t="s">
        <v>27</v>
      </c>
      <c r="D910" s="7" t="s">
        <v>28</v>
      </c>
      <c r="E910" s="7" t="s">
        <v>29</v>
      </c>
      <c r="F910" s="7" t="s">
        <v>311</v>
      </c>
      <c r="G910" s="7">
        <v>99.863069999999993</v>
      </c>
      <c r="H910" s="7"/>
    </row>
    <row r="911" spans="1:8" x14ac:dyDescent="0.35">
      <c r="A911" s="7" t="s">
        <v>348</v>
      </c>
      <c r="B911" s="7" t="s">
        <v>26</v>
      </c>
      <c r="C911" s="7" t="s">
        <v>27</v>
      </c>
      <c r="D911" s="7" t="s">
        <v>28</v>
      </c>
      <c r="E911" s="7" t="s">
        <v>29</v>
      </c>
      <c r="F911" s="7" t="s">
        <v>312</v>
      </c>
      <c r="G911" s="7">
        <v>99.785380000000004</v>
      </c>
      <c r="H911" s="7"/>
    </row>
    <row r="912" spans="1:8" x14ac:dyDescent="0.35">
      <c r="A912" s="7" t="s">
        <v>348</v>
      </c>
      <c r="B912" s="7" t="s">
        <v>26</v>
      </c>
      <c r="C912" s="7" t="s">
        <v>27</v>
      </c>
      <c r="D912" s="7" t="s">
        <v>28</v>
      </c>
      <c r="E912" s="7" t="s">
        <v>29</v>
      </c>
      <c r="F912" s="7" t="s">
        <v>313</v>
      </c>
      <c r="G912" s="7">
        <v>99.725499999999997</v>
      </c>
      <c r="H912" s="7"/>
    </row>
    <row r="913" spans="1:8" x14ac:dyDescent="0.35">
      <c r="A913" s="7" t="s">
        <v>348</v>
      </c>
      <c r="B913" s="7" t="s">
        <v>26</v>
      </c>
      <c r="C913" s="7" t="s">
        <v>27</v>
      </c>
      <c r="D913" s="7" t="s">
        <v>28</v>
      </c>
      <c r="E913" s="7" t="s">
        <v>29</v>
      </c>
      <c r="F913" s="7" t="s">
        <v>314</v>
      </c>
      <c r="G913" s="7">
        <v>99.721440000000001</v>
      </c>
      <c r="H913" s="7"/>
    </row>
    <row r="914" spans="1:8" x14ac:dyDescent="0.35">
      <c r="A914" s="7" t="s">
        <v>348</v>
      </c>
      <c r="B914" s="7" t="s">
        <v>26</v>
      </c>
      <c r="C914" s="7" t="s">
        <v>27</v>
      </c>
      <c r="D914" s="7" t="s">
        <v>28</v>
      </c>
      <c r="E914" s="7" t="s">
        <v>29</v>
      </c>
      <c r="F914" s="7" t="s">
        <v>315</v>
      </c>
      <c r="G914" s="7">
        <v>99.806830000000005</v>
      </c>
      <c r="H914" s="7"/>
    </row>
    <row r="915" spans="1:8" x14ac:dyDescent="0.35">
      <c r="A915" s="7" t="s">
        <v>348</v>
      </c>
      <c r="B915" s="7" t="s">
        <v>26</v>
      </c>
      <c r="C915" s="7" t="s">
        <v>27</v>
      </c>
      <c r="D915" s="7" t="s">
        <v>28</v>
      </c>
      <c r="E915" s="7" t="s">
        <v>29</v>
      </c>
      <c r="F915" s="7" t="s">
        <v>316</v>
      </c>
      <c r="G915" s="7">
        <v>99.938630000000003</v>
      </c>
      <c r="H915" s="7"/>
    </row>
    <row r="916" spans="1:8" x14ac:dyDescent="0.35">
      <c r="A916" s="7" t="s">
        <v>348</v>
      </c>
      <c r="B916" s="7" t="s">
        <v>26</v>
      </c>
      <c r="C916" s="7" t="s">
        <v>27</v>
      </c>
      <c r="D916" s="7" t="s">
        <v>28</v>
      </c>
      <c r="E916" s="7" t="s">
        <v>29</v>
      </c>
      <c r="F916" s="7" t="s">
        <v>317</v>
      </c>
      <c r="G916" s="7">
        <v>100.0167</v>
      </c>
      <c r="H916" s="7"/>
    </row>
    <row r="917" spans="1:8" x14ac:dyDescent="0.35">
      <c r="A917" s="7" t="s">
        <v>348</v>
      </c>
      <c r="B917" s="7" t="s">
        <v>26</v>
      </c>
      <c r="C917" s="7" t="s">
        <v>27</v>
      </c>
      <c r="D917" s="7" t="s">
        <v>28</v>
      </c>
      <c r="E917" s="7" t="s">
        <v>29</v>
      </c>
      <c r="F917" s="7" t="s">
        <v>318</v>
      </c>
      <c r="G917" s="7">
        <v>100.1148</v>
      </c>
      <c r="H917" s="7"/>
    </row>
    <row r="918" spans="1:8" x14ac:dyDescent="0.35">
      <c r="A918" s="7" t="s">
        <v>348</v>
      </c>
      <c r="B918" s="7" t="s">
        <v>26</v>
      </c>
      <c r="C918" s="7" t="s">
        <v>27</v>
      </c>
      <c r="D918" s="7" t="s">
        <v>28</v>
      </c>
      <c r="E918" s="7" t="s">
        <v>29</v>
      </c>
      <c r="F918" s="7" t="s">
        <v>319</v>
      </c>
      <c r="G918" s="7">
        <v>100.1159</v>
      </c>
      <c r="H918" s="7"/>
    </row>
    <row r="919" spans="1:8" x14ac:dyDescent="0.35">
      <c r="A919" s="7" t="s">
        <v>348</v>
      </c>
      <c r="B919" s="7" t="s">
        <v>26</v>
      </c>
      <c r="C919" s="7" t="s">
        <v>27</v>
      </c>
      <c r="D919" s="7" t="s">
        <v>28</v>
      </c>
      <c r="E919" s="7" t="s">
        <v>29</v>
      </c>
      <c r="F919" s="7" t="s">
        <v>320</v>
      </c>
      <c r="G919" s="7">
        <v>100.0723</v>
      </c>
      <c r="H919" s="7"/>
    </row>
    <row r="920" spans="1:8" x14ac:dyDescent="0.35">
      <c r="A920" s="7" t="s">
        <v>348</v>
      </c>
      <c r="B920" s="7" t="s">
        <v>26</v>
      </c>
      <c r="C920" s="7" t="s">
        <v>27</v>
      </c>
      <c r="D920" s="7" t="s">
        <v>28</v>
      </c>
      <c r="E920" s="7" t="s">
        <v>29</v>
      </c>
      <c r="F920" s="7" t="s">
        <v>321</v>
      </c>
      <c r="G920" s="7">
        <v>99.937529999999995</v>
      </c>
      <c r="H920" s="7"/>
    </row>
    <row r="921" spans="1:8" x14ac:dyDescent="0.35">
      <c r="A921" s="7" t="s">
        <v>348</v>
      </c>
      <c r="B921" s="7" t="s">
        <v>26</v>
      </c>
      <c r="C921" s="7" t="s">
        <v>27</v>
      </c>
      <c r="D921" s="7" t="s">
        <v>28</v>
      </c>
      <c r="E921" s="7" t="s">
        <v>29</v>
      </c>
      <c r="F921" s="7" t="s">
        <v>322</v>
      </c>
      <c r="G921" s="7">
        <v>99.857609999999994</v>
      </c>
      <c r="H921" s="7"/>
    </row>
    <row r="922" spans="1:8" x14ac:dyDescent="0.35">
      <c r="A922" s="7" t="s">
        <v>348</v>
      </c>
      <c r="B922" s="7" t="s">
        <v>26</v>
      </c>
      <c r="C922" s="7" t="s">
        <v>27</v>
      </c>
      <c r="D922" s="7" t="s">
        <v>28</v>
      </c>
      <c r="E922" s="7" t="s">
        <v>29</v>
      </c>
      <c r="F922" s="7" t="s">
        <v>323</v>
      </c>
      <c r="G922" s="7">
        <v>99.905469999999994</v>
      </c>
      <c r="H922" s="7"/>
    </row>
    <row r="923" spans="1:8" x14ac:dyDescent="0.35">
      <c r="A923" s="7" t="s">
        <v>348</v>
      </c>
      <c r="B923" s="7" t="s">
        <v>26</v>
      </c>
      <c r="C923" s="7" t="s">
        <v>27</v>
      </c>
      <c r="D923" s="7" t="s">
        <v>28</v>
      </c>
      <c r="E923" s="7" t="s">
        <v>29</v>
      </c>
      <c r="F923" s="7" t="s">
        <v>324</v>
      </c>
      <c r="G923" s="7">
        <v>100.0843</v>
      </c>
      <c r="H923" s="7"/>
    </row>
    <row r="924" spans="1:8" x14ac:dyDescent="0.35">
      <c r="A924" s="7" t="s">
        <v>348</v>
      </c>
      <c r="B924" s="7" t="s">
        <v>26</v>
      </c>
      <c r="C924" s="7" t="s">
        <v>27</v>
      </c>
      <c r="D924" s="7" t="s">
        <v>28</v>
      </c>
      <c r="E924" s="7" t="s">
        <v>29</v>
      </c>
      <c r="F924" s="7" t="s">
        <v>325</v>
      </c>
      <c r="G924" s="7">
        <v>100.1461</v>
      </c>
      <c r="H924" s="7"/>
    </row>
    <row r="925" spans="1:8" x14ac:dyDescent="0.35">
      <c r="A925" s="7" t="s">
        <v>348</v>
      </c>
      <c r="B925" s="7" t="s">
        <v>26</v>
      </c>
      <c r="C925" s="7" t="s">
        <v>27</v>
      </c>
      <c r="D925" s="7" t="s">
        <v>28</v>
      </c>
      <c r="E925" s="7" t="s">
        <v>29</v>
      </c>
      <c r="F925" s="7" t="s">
        <v>326</v>
      </c>
      <c r="G925" s="7">
        <v>100.1097</v>
      </c>
      <c r="H925" s="7"/>
    </row>
    <row r="926" spans="1:8" x14ac:dyDescent="0.35">
      <c r="A926" s="7" t="s">
        <v>348</v>
      </c>
      <c r="B926" s="7" t="s">
        <v>26</v>
      </c>
      <c r="C926" s="7" t="s">
        <v>27</v>
      </c>
      <c r="D926" s="7" t="s">
        <v>28</v>
      </c>
      <c r="E926" s="7" t="s">
        <v>29</v>
      </c>
      <c r="F926" s="7" t="s">
        <v>327</v>
      </c>
      <c r="G926" s="7">
        <v>100.065</v>
      </c>
      <c r="H926" s="7"/>
    </row>
    <row r="927" spans="1:8" x14ac:dyDescent="0.35">
      <c r="A927" s="7" t="s">
        <v>348</v>
      </c>
      <c r="B927" s="7" t="s">
        <v>26</v>
      </c>
      <c r="C927" s="7" t="s">
        <v>27</v>
      </c>
      <c r="D927" s="7" t="s">
        <v>28</v>
      </c>
      <c r="E927" s="7" t="s">
        <v>29</v>
      </c>
      <c r="F927" s="7" t="s">
        <v>328</v>
      </c>
      <c r="G927" s="7">
        <v>100.095</v>
      </c>
      <c r="H927" s="7"/>
    </row>
    <row r="928" spans="1:8" x14ac:dyDescent="0.35">
      <c r="A928" s="7" t="s">
        <v>348</v>
      </c>
      <c r="B928" s="7" t="s">
        <v>26</v>
      </c>
      <c r="C928" s="7" t="s">
        <v>27</v>
      </c>
      <c r="D928" s="7" t="s">
        <v>28</v>
      </c>
      <c r="E928" s="7" t="s">
        <v>29</v>
      </c>
      <c r="F928" s="7" t="s">
        <v>329</v>
      </c>
      <c r="G928" s="7">
        <v>100.1681</v>
      </c>
      <c r="H928" s="7"/>
    </row>
    <row r="929" spans="1:8" x14ac:dyDescent="0.35">
      <c r="A929" s="7" t="s">
        <v>348</v>
      </c>
      <c r="B929" s="7" t="s">
        <v>26</v>
      </c>
      <c r="C929" s="7" t="s">
        <v>27</v>
      </c>
      <c r="D929" s="7" t="s">
        <v>28</v>
      </c>
      <c r="E929" s="7" t="s">
        <v>29</v>
      </c>
      <c r="F929" s="7" t="s">
        <v>330</v>
      </c>
      <c r="G929" s="7">
        <v>100.3175</v>
      </c>
      <c r="H929" s="7"/>
    </row>
    <row r="930" spans="1:8" x14ac:dyDescent="0.35">
      <c r="A930" s="7" t="s">
        <v>348</v>
      </c>
      <c r="B930" s="7" t="s">
        <v>26</v>
      </c>
      <c r="C930" s="7" t="s">
        <v>27</v>
      </c>
      <c r="D930" s="7" t="s">
        <v>28</v>
      </c>
      <c r="E930" s="7" t="s">
        <v>29</v>
      </c>
      <c r="F930" s="7" t="s">
        <v>331</v>
      </c>
      <c r="G930" s="7">
        <v>100.43519999999999</v>
      </c>
      <c r="H930" s="7"/>
    </row>
    <row r="931" spans="1:8" x14ac:dyDescent="0.35">
      <c r="A931" s="7" t="s">
        <v>348</v>
      </c>
      <c r="B931" s="7" t="s">
        <v>26</v>
      </c>
      <c r="C931" s="7" t="s">
        <v>27</v>
      </c>
      <c r="D931" s="7" t="s">
        <v>28</v>
      </c>
      <c r="E931" s="7" t="s">
        <v>29</v>
      </c>
      <c r="F931" s="7" t="s">
        <v>332</v>
      </c>
      <c r="G931" s="7">
        <v>100.5035</v>
      </c>
      <c r="H931" s="7"/>
    </row>
    <row r="932" spans="1:8" x14ac:dyDescent="0.35">
      <c r="A932" s="7" t="s">
        <v>348</v>
      </c>
      <c r="B932" s="7" t="s">
        <v>26</v>
      </c>
      <c r="C932" s="7" t="s">
        <v>27</v>
      </c>
      <c r="D932" s="7" t="s">
        <v>28</v>
      </c>
      <c r="E932" s="7" t="s">
        <v>29</v>
      </c>
      <c r="F932" s="7" t="s">
        <v>333</v>
      </c>
      <c r="G932" s="7">
        <v>100.51600000000001</v>
      </c>
      <c r="H932" s="7"/>
    </row>
    <row r="933" spans="1:8" x14ac:dyDescent="0.35">
      <c r="A933" s="7" t="s">
        <v>348</v>
      </c>
      <c r="B933" s="7" t="s">
        <v>26</v>
      </c>
      <c r="C933" s="7" t="s">
        <v>27</v>
      </c>
      <c r="D933" s="7" t="s">
        <v>28</v>
      </c>
      <c r="E933" s="7" t="s">
        <v>29</v>
      </c>
      <c r="F933" s="7" t="s">
        <v>334</v>
      </c>
      <c r="G933" s="7">
        <v>100.5621</v>
      </c>
      <c r="H933" s="7"/>
    </row>
    <row r="934" spans="1:8" x14ac:dyDescent="0.35">
      <c r="A934" s="7" t="s">
        <v>348</v>
      </c>
      <c r="B934" s="7" t="s">
        <v>26</v>
      </c>
      <c r="C934" s="7" t="s">
        <v>27</v>
      </c>
      <c r="D934" s="7" t="s">
        <v>28</v>
      </c>
      <c r="E934" s="7" t="s">
        <v>29</v>
      </c>
      <c r="F934" s="7" t="s">
        <v>335</v>
      </c>
      <c r="G934" s="7">
        <v>100.6995</v>
      </c>
      <c r="H934" s="7"/>
    </row>
    <row r="935" spans="1:8" x14ac:dyDescent="0.35">
      <c r="A935" s="7" t="s">
        <v>348</v>
      </c>
      <c r="B935" s="7" t="s">
        <v>26</v>
      </c>
      <c r="C935" s="7" t="s">
        <v>27</v>
      </c>
      <c r="D935" s="7" t="s">
        <v>28</v>
      </c>
      <c r="E935" s="7" t="s">
        <v>29</v>
      </c>
      <c r="F935" s="7" t="s">
        <v>336</v>
      </c>
      <c r="G935" s="7">
        <v>100.9083</v>
      </c>
      <c r="H935" s="7"/>
    </row>
    <row r="936" spans="1:8" x14ac:dyDescent="0.35">
      <c r="A936" s="7" t="s">
        <v>348</v>
      </c>
      <c r="B936" s="7" t="s">
        <v>26</v>
      </c>
      <c r="C936" s="7" t="s">
        <v>27</v>
      </c>
      <c r="D936" s="7" t="s">
        <v>28</v>
      </c>
      <c r="E936" s="7" t="s">
        <v>29</v>
      </c>
      <c r="F936" s="7" t="s">
        <v>337</v>
      </c>
      <c r="G936" s="7">
        <v>101.116</v>
      </c>
      <c r="H936" s="7"/>
    </row>
    <row r="937" spans="1:8" x14ac:dyDescent="0.35">
      <c r="A937" s="7" t="s">
        <v>348</v>
      </c>
      <c r="B937" s="7" t="s">
        <v>26</v>
      </c>
      <c r="C937" s="7" t="s">
        <v>27</v>
      </c>
      <c r="D937" s="7" t="s">
        <v>28</v>
      </c>
      <c r="E937" s="7" t="s">
        <v>29</v>
      </c>
      <c r="F937" s="7" t="s">
        <v>338</v>
      </c>
      <c r="G937" s="7">
        <v>101.0936</v>
      </c>
      <c r="H937" s="7"/>
    </row>
    <row r="938" spans="1:8" x14ac:dyDescent="0.35">
      <c r="A938" s="7" t="s">
        <v>348</v>
      </c>
      <c r="B938" s="7" t="s">
        <v>26</v>
      </c>
      <c r="C938" s="7" t="s">
        <v>27</v>
      </c>
      <c r="D938" s="7" t="s">
        <v>28</v>
      </c>
      <c r="E938" s="7" t="s">
        <v>29</v>
      </c>
      <c r="F938" s="7" t="s">
        <v>339</v>
      </c>
      <c r="G938" s="7">
        <v>100.9633</v>
      </c>
      <c r="H938" s="7"/>
    </row>
    <row r="939" spans="1:8" x14ac:dyDescent="0.35">
      <c r="A939" s="7" t="s">
        <v>348</v>
      </c>
      <c r="B939" s="7" t="s">
        <v>26</v>
      </c>
      <c r="C939" s="7" t="s">
        <v>27</v>
      </c>
      <c r="D939" s="7" t="s">
        <v>28</v>
      </c>
      <c r="E939" s="7" t="s">
        <v>29</v>
      </c>
      <c r="F939" s="7" t="s">
        <v>340</v>
      </c>
      <c r="G939" s="7">
        <v>100.8111</v>
      </c>
      <c r="H939" s="7"/>
    </row>
    <row r="940" spans="1:8" x14ac:dyDescent="0.35">
      <c r="A940" s="7" t="s">
        <v>348</v>
      </c>
      <c r="B940" s="7" t="s">
        <v>26</v>
      </c>
      <c r="C940" s="7" t="s">
        <v>27</v>
      </c>
      <c r="D940" s="7" t="s">
        <v>28</v>
      </c>
      <c r="E940" s="7" t="s">
        <v>29</v>
      </c>
      <c r="F940" s="7" t="s">
        <v>341</v>
      </c>
      <c r="G940" s="7">
        <v>100.7788</v>
      </c>
      <c r="H940" s="7"/>
    </row>
    <row r="941" spans="1:8" x14ac:dyDescent="0.35">
      <c r="A941" s="7" t="s">
        <v>348</v>
      </c>
      <c r="B941" s="7" t="s">
        <v>26</v>
      </c>
      <c r="C941" s="7" t="s">
        <v>27</v>
      </c>
      <c r="D941" s="7" t="s">
        <v>28</v>
      </c>
      <c r="E941" s="7" t="s">
        <v>29</v>
      </c>
      <c r="F941" s="7" t="s">
        <v>342</v>
      </c>
      <c r="G941" s="7">
        <v>100.91030000000001</v>
      </c>
      <c r="H941" s="7"/>
    </row>
    <row r="942" spans="1:8" x14ac:dyDescent="0.35">
      <c r="A942" s="7" t="s">
        <v>348</v>
      </c>
      <c r="B942" s="7" t="s">
        <v>26</v>
      </c>
      <c r="C942" s="7" t="s">
        <v>27</v>
      </c>
      <c r="D942" s="7" t="s">
        <v>28</v>
      </c>
      <c r="E942" s="7" t="s">
        <v>29</v>
      </c>
      <c r="F942" s="7" t="s">
        <v>343</v>
      </c>
      <c r="G942" s="7">
        <v>100.9842</v>
      </c>
      <c r="H942" s="7"/>
    </row>
    <row r="943" spans="1:8" x14ac:dyDescent="0.35">
      <c r="A943" s="7" t="s">
        <v>348</v>
      </c>
      <c r="B943" s="7" t="s">
        <v>26</v>
      </c>
      <c r="C943" s="7" t="s">
        <v>27</v>
      </c>
      <c r="D943" s="7" t="s">
        <v>28</v>
      </c>
      <c r="E943" s="7" t="s">
        <v>29</v>
      </c>
      <c r="F943" s="7" t="s">
        <v>344</v>
      </c>
      <c r="G943" s="7">
        <v>100.9641</v>
      </c>
      <c r="H943" s="7"/>
    </row>
    <row r="944" spans="1:8" x14ac:dyDescent="0.35">
      <c r="A944" s="7" t="s">
        <v>348</v>
      </c>
      <c r="B944" s="7" t="s">
        <v>26</v>
      </c>
      <c r="C944" s="7" t="s">
        <v>27</v>
      </c>
      <c r="D944" s="7" t="s">
        <v>28</v>
      </c>
      <c r="E944" s="7" t="s">
        <v>29</v>
      </c>
      <c r="F944" s="7" t="s">
        <v>345</v>
      </c>
      <c r="G944" s="7">
        <v>100.8767</v>
      </c>
      <c r="H944" s="7"/>
    </row>
    <row r="945" spans="1:8" x14ac:dyDescent="0.35">
      <c r="A945" s="7" t="s">
        <v>348</v>
      </c>
      <c r="B945" s="7" t="s">
        <v>26</v>
      </c>
      <c r="C945" s="7" t="s">
        <v>27</v>
      </c>
      <c r="D945" s="7" t="s">
        <v>28</v>
      </c>
      <c r="E945" s="7" t="s">
        <v>29</v>
      </c>
      <c r="F945" s="7" t="s">
        <v>346</v>
      </c>
      <c r="G945" s="7">
        <v>100.8231</v>
      </c>
      <c r="H945" s="7"/>
    </row>
    <row r="946" spans="1:8" x14ac:dyDescent="0.35">
      <c r="A946" s="7" t="s">
        <v>349</v>
      </c>
      <c r="B946" s="7" t="s">
        <v>26</v>
      </c>
      <c r="C946" s="7" t="s">
        <v>27</v>
      </c>
      <c r="D946" s="7" t="s">
        <v>28</v>
      </c>
      <c r="E946" s="7" t="s">
        <v>29</v>
      </c>
      <c r="F946" s="7" t="s">
        <v>144</v>
      </c>
      <c r="G946" s="7">
        <v>98.072710000000001</v>
      </c>
      <c r="H946" s="7"/>
    </row>
    <row r="947" spans="1:8" x14ac:dyDescent="0.35">
      <c r="A947" s="7" t="s">
        <v>349</v>
      </c>
      <c r="B947" s="7" t="s">
        <v>26</v>
      </c>
      <c r="C947" s="7" t="s">
        <v>27</v>
      </c>
      <c r="D947" s="7" t="s">
        <v>28</v>
      </c>
      <c r="E947" s="7" t="s">
        <v>29</v>
      </c>
      <c r="F947" s="7" t="s">
        <v>145</v>
      </c>
      <c r="G947" s="7">
        <v>98.200779999999995</v>
      </c>
      <c r="H947" s="7"/>
    </row>
    <row r="948" spans="1:8" x14ac:dyDescent="0.35">
      <c r="A948" s="7" t="s">
        <v>349</v>
      </c>
      <c r="B948" s="7" t="s">
        <v>26</v>
      </c>
      <c r="C948" s="7" t="s">
        <v>27</v>
      </c>
      <c r="D948" s="7" t="s">
        <v>28</v>
      </c>
      <c r="E948" s="7" t="s">
        <v>29</v>
      </c>
      <c r="F948" s="7" t="s">
        <v>146</v>
      </c>
      <c r="G948" s="7">
        <v>98.264070000000004</v>
      </c>
      <c r="H948" s="7"/>
    </row>
    <row r="949" spans="1:8" x14ac:dyDescent="0.35">
      <c r="A949" s="7" t="s">
        <v>349</v>
      </c>
      <c r="B949" s="7" t="s">
        <v>26</v>
      </c>
      <c r="C949" s="7" t="s">
        <v>27</v>
      </c>
      <c r="D949" s="7" t="s">
        <v>28</v>
      </c>
      <c r="E949" s="7" t="s">
        <v>29</v>
      </c>
      <c r="F949" s="7" t="s">
        <v>147</v>
      </c>
      <c r="G949" s="7">
        <v>98.320819999999998</v>
      </c>
      <c r="H949" s="7"/>
    </row>
    <row r="950" spans="1:8" x14ac:dyDescent="0.35">
      <c r="A950" s="7" t="s">
        <v>349</v>
      </c>
      <c r="B950" s="7" t="s">
        <v>26</v>
      </c>
      <c r="C950" s="7" t="s">
        <v>27</v>
      </c>
      <c r="D950" s="7" t="s">
        <v>28</v>
      </c>
      <c r="E950" s="7" t="s">
        <v>29</v>
      </c>
      <c r="F950" s="7" t="s">
        <v>148</v>
      </c>
      <c r="G950" s="7">
        <v>98.519469999999998</v>
      </c>
      <c r="H950" s="7"/>
    </row>
    <row r="951" spans="1:8" x14ac:dyDescent="0.35">
      <c r="A951" s="7" t="s">
        <v>349</v>
      </c>
      <c r="B951" s="7" t="s">
        <v>26</v>
      </c>
      <c r="C951" s="7" t="s">
        <v>27</v>
      </c>
      <c r="D951" s="7" t="s">
        <v>28</v>
      </c>
      <c r="E951" s="7" t="s">
        <v>29</v>
      </c>
      <c r="F951" s="7" t="s">
        <v>149</v>
      </c>
      <c r="G951" s="7">
        <v>98.593760000000003</v>
      </c>
      <c r="H951" s="7"/>
    </row>
    <row r="952" spans="1:8" x14ac:dyDescent="0.35">
      <c r="A952" s="7" t="s">
        <v>349</v>
      </c>
      <c r="B952" s="7" t="s">
        <v>26</v>
      </c>
      <c r="C952" s="7" t="s">
        <v>27</v>
      </c>
      <c r="D952" s="7" t="s">
        <v>28</v>
      </c>
      <c r="E952" s="7" t="s">
        <v>29</v>
      </c>
      <c r="F952" s="7" t="s">
        <v>150</v>
      </c>
      <c r="G952" s="7">
        <v>98.529949999999999</v>
      </c>
      <c r="H952" s="7"/>
    </row>
    <row r="953" spans="1:8" x14ac:dyDescent="0.35">
      <c r="A953" s="7" t="s">
        <v>349</v>
      </c>
      <c r="B953" s="7" t="s">
        <v>26</v>
      </c>
      <c r="C953" s="7" t="s">
        <v>27</v>
      </c>
      <c r="D953" s="7" t="s">
        <v>28</v>
      </c>
      <c r="E953" s="7" t="s">
        <v>29</v>
      </c>
      <c r="F953" s="7" t="s">
        <v>151</v>
      </c>
      <c r="G953" s="7">
        <v>98.380529999999993</v>
      </c>
      <c r="H953" s="7"/>
    </row>
    <row r="954" spans="1:8" x14ac:dyDescent="0.35">
      <c r="A954" s="7" t="s">
        <v>349</v>
      </c>
      <c r="B954" s="7" t="s">
        <v>26</v>
      </c>
      <c r="C954" s="7" t="s">
        <v>27</v>
      </c>
      <c r="D954" s="7" t="s">
        <v>28</v>
      </c>
      <c r="E954" s="7" t="s">
        <v>29</v>
      </c>
      <c r="F954" s="7" t="s">
        <v>152</v>
      </c>
      <c r="G954" s="7">
        <v>98.327979999999997</v>
      </c>
      <c r="H954" s="7"/>
    </row>
    <row r="955" spans="1:8" x14ac:dyDescent="0.35">
      <c r="A955" s="7" t="s">
        <v>349</v>
      </c>
      <c r="B955" s="7" t="s">
        <v>26</v>
      </c>
      <c r="C955" s="7" t="s">
        <v>27</v>
      </c>
      <c r="D955" s="7" t="s">
        <v>28</v>
      </c>
      <c r="E955" s="7" t="s">
        <v>29</v>
      </c>
      <c r="F955" s="7" t="s">
        <v>153</v>
      </c>
      <c r="G955" s="7">
        <v>98.335009999999997</v>
      </c>
      <c r="H955" s="7"/>
    </row>
    <row r="956" spans="1:8" x14ac:dyDescent="0.35">
      <c r="A956" s="7" t="s">
        <v>349</v>
      </c>
      <c r="B956" s="7" t="s">
        <v>26</v>
      </c>
      <c r="C956" s="7" t="s">
        <v>27</v>
      </c>
      <c r="D956" s="7" t="s">
        <v>28</v>
      </c>
      <c r="E956" s="7" t="s">
        <v>29</v>
      </c>
      <c r="F956" s="7" t="s">
        <v>154</v>
      </c>
      <c r="G956" s="7">
        <v>98.309190000000001</v>
      </c>
      <c r="H956" s="7"/>
    </row>
    <row r="957" spans="1:8" x14ac:dyDescent="0.35">
      <c r="A957" s="7" t="s">
        <v>349</v>
      </c>
      <c r="B957" s="7" t="s">
        <v>26</v>
      </c>
      <c r="C957" s="7" t="s">
        <v>27</v>
      </c>
      <c r="D957" s="7" t="s">
        <v>28</v>
      </c>
      <c r="E957" s="7" t="s">
        <v>29</v>
      </c>
      <c r="F957" s="7" t="s">
        <v>155</v>
      </c>
      <c r="G957" s="7">
        <v>98.289429999999996</v>
      </c>
      <c r="H957" s="7"/>
    </row>
    <row r="958" spans="1:8" x14ac:dyDescent="0.35">
      <c r="A958" s="7" t="s">
        <v>349</v>
      </c>
      <c r="B958" s="7" t="s">
        <v>26</v>
      </c>
      <c r="C958" s="7" t="s">
        <v>27</v>
      </c>
      <c r="D958" s="7" t="s">
        <v>28</v>
      </c>
      <c r="E958" s="7" t="s">
        <v>29</v>
      </c>
      <c r="F958" s="7" t="s">
        <v>156</v>
      </c>
      <c r="G958" s="7">
        <v>98.308859999999996</v>
      </c>
      <c r="H958" s="7"/>
    </row>
    <row r="959" spans="1:8" x14ac:dyDescent="0.35">
      <c r="A959" s="7" t="s">
        <v>349</v>
      </c>
      <c r="B959" s="7" t="s">
        <v>26</v>
      </c>
      <c r="C959" s="7" t="s">
        <v>27</v>
      </c>
      <c r="D959" s="7" t="s">
        <v>28</v>
      </c>
      <c r="E959" s="7" t="s">
        <v>29</v>
      </c>
      <c r="F959" s="7" t="s">
        <v>157</v>
      </c>
      <c r="G959" s="7">
        <v>98.353440000000006</v>
      </c>
      <c r="H959" s="7"/>
    </row>
    <row r="960" spans="1:8" x14ac:dyDescent="0.35">
      <c r="A960" s="7" t="s">
        <v>349</v>
      </c>
      <c r="B960" s="7" t="s">
        <v>26</v>
      </c>
      <c r="C960" s="7" t="s">
        <v>27</v>
      </c>
      <c r="D960" s="7" t="s">
        <v>28</v>
      </c>
      <c r="E960" s="7" t="s">
        <v>29</v>
      </c>
      <c r="F960" s="7" t="s">
        <v>158</v>
      </c>
      <c r="G960" s="7">
        <v>98.485159999999993</v>
      </c>
      <c r="H960" s="7"/>
    </row>
    <row r="961" spans="1:8" x14ac:dyDescent="0.35">
      <c r="A961" s="7" t="s">
        <v>349</v>
      </c>
      <c r="B961" s="7" t="s">
        <v>26</v>
      </c>
      <c r="C961" s="7" t="s">
        <v>27</v>
      </c>
      <c r="D961" s="7" t="s">
        <v>28</v>
      </c>
      <c r="E961" s="7" t="s">
        <v>29</v>
      </c>
      <c r="F961" s="7" t="s">
        <v>159</v>
      </c>
      <c r="G961" s="7">
        <v>98.593710000000002</v>
      </c>
      <c r="H961" s="7"/>
    </row>
    <row r="962" spans="1:8" x14ac:dyDescent="0.35">
      <c r="A962" s="7" t="s">
        <v>349</v>
      </c>
      <c r="B962" s="7" t="s">
        <v>26</v>
      </c>
      <c r="C962" s="7" t="s">
        <v>27</v>
      </c>
      <c r="D962" s="7" t="s">
        <v>28</v>
      </c>
      <c r="E962" s="7" t="s">
        <v>29</v>
      </c>
      <c r="F962" s="7" t="s">
        <v>160</v>
      </c>
      <c r="G962" s="7">
        <v>98.621309999999994</v>
      </c>
      <c r="H962" s="7"/>
    </row>
    <row r="963" spans="1:8" x14ac:dyDescent="0.35">
      <c r="A963" s="7" t="s">
        <v>349</v>
      </c>
      <c r="B963" s="7" t="s">
        <v>26</v>
      </c>
      <c r="C963" s="7" t="s">
        <v>27</v>
      </c>
      <c r="D963" s="7" t="s">
        <v>28</v>
      </c>
      <c r="E963" s="7" t="s">
        <v>29</v>
      </c>
      <c r="F963" s="7" t="s">
        <v>161</v>
      </c>
      <c r="G963" s="7">
        <v>98.627380000000002</v>
      </c>
      <c r="H963" s="7"/>
    </row>
    <row r="964" spans="1:8" x14ac:dyDescent="0.35">
      <c r="A964" s="7" t="s">
        <v>349</v>
      </c>
      <c r="B964" s="7" t="s">
        <v>26</v>
      </c>
      <c r="C964" s="7" t="s">
        <v>27</v>
      </c>
      <c r="D964" s="7" t="s">
        <v>28</v>
      </c>
      <c r="E964" s="7" t="s">
        <v>29</v>
      </c>
      <c r="F964" s="7" t="s">
        <v>162</v>
      </c>
      <c r="G964" s="7">
        <v>98.536799999999999</v>
      </c>
      <c r="H964" s="7"/>
    </row>
    <row r="965" spans="1:8" x14ac:dyDescent="0.35">
      <c r="A965" s="7" t="s">
        <v>349</v>
      </c>
      <c r="B965" s="7" t="s">
        <v>26</v>
      </c>
      <c r="C965" s="7" t="s">
        <v>27</v>
      </c>
      <c r="D965" s="7" t="s">
        <v>28</v>
      </c>
      <c r="E965" s="7" t="s">
        <v>29</v>
      </c>
      <c r="F965" s="7" t="s">
        <v>163</v>
      </c>
      <c r="G965" s="7">
        <v>98.43947</v>
      </c>
      <c r="H965" s="7"/>
    </row>
    <row r="966" spans="1:8" x14ac:dyDescent="0.35">
      <c r="A966" s="7" t="s">
        <v>349</v>
      </c>
      <c r="B966" s="7" t="s">
        <v>26</v>
      </c>
      <c r="C966" s="7" t="s">
        <v>27</v>
      </c>
      <c r="D966" s="7" t="s">
        <v>28</v>
      </c>
      <c r="E966" s="7" t="s">
        <v>29</v>
      </c>
      <c r="F966" s="7" t="s">
        <v>164</v>
      </c>
      <c r="G966" s="7">
        <v>98.456760000000003</v>
      </c>
      <c r="H966" s="7"/>
    </row>
    <row r="967" spans="1:8" x14ac:dyDescent="0.35">
      <c r="A967" s="7" t="s">
        <v>349</v>
      </c>
      <c r="B967" s="7" t="s">
        <v>26</v>
      </c>
      <c r="C967" s="7" t="s">
        <v>27</v>
      </c>
      <c r="D967" s="7" t="s">
        <v>28</v>
      </c>
      <c r="E967" s="7" t="s">
        <v>29</v>
      </c>
      <c r="F967" s="7" t="s">
        <v>165</v>
      </c>
      <c r="G967" s="7">
        <v>98.512860000000003</v>
      </c>
      <c r="H967" s="7"/>
    </row>
    <row r="968" spans="1:8" x14ac:dyDescent="0.35">
      <c r="A968" s="7" t="s">
        <v>349</v>
      </c>
      <c r="B968" s="7" t="s">
        <v>26</v>
      </c>
      <c r="C968" s="7" t="s">
        <v>27</v>
      </c>
      <c r="D968" s="7" t="s">
        <v>28</v>
      </c>
      <c r="E968" s="7" t="s">
        <v>29</v>
      </c>
      <c r="F968" s="7" t="s">
        <v>166</v>
      </c>
      <c r="G968" s="7">
        <v>98.582319999999996</v>
      </c>
      <c r="H968" s="7"/>
    </row>
    <row r="969" spans="1:8" x14ac:dyDescent="0.35">
      <c r="A969" s="7" t="s">
        <v>349</v>
      </c>
      <c r="B969" s="7" t="s">
        <v>26</v>
      </c>
      <c r="C969" s="7" t="s">
        <v>27</v>
      </c>
      <c r="D969" s="7" t="s">
        <v>28</v>
      </c>
      <c r="E969" s="7" t="s">
        <v>29</v>
      </c>
      <c r="F969" s="7" t="s">
        <v>167</v>
      </c>
      <c r="G969" s="7">
        <v>98.695099999999996</v>
      </c>
      <c r="H969" s="7"/>
    </row>
    <row r="970" spans="1:8" x14ac:dyDescent="0.35">
      <c r="A970" s="7" t="s">
        <v>349</v>
      </c>
      <c r="B970" s="7" t="s">
        <v>26</v>
      </c>
      <c r="C970" s="7" t="s">
        <v>27</v>
      </c>
      <c r="D970" s="7" t="s">
        <v>28</v>
      </c>
      <c r="E970" s="7" t="s">
        <v>29</v>
      </c>
      <c r="F970" s="7" t="s">
        <v>168</v>
      </c>
      <c r="G970" s="7">
        <v>98.816180000000003</v>
      </c>
      <c r="H970" s="7"/>
    </row>
    <row r="971" spans="1:8" x14ac:dyDescent="0.35">
      <c r="A971" s="7" t="s">
        <v>349</v>
      </c>
      <c r="B971" s="7" t="s">
        <v>26</v>
      </c>
      <c r="C971" s="7" t="s">
        <v>27</v>
      </c>
      <c r="D971" s="7" t="s">
        <v>28</v>
      </c>
      <c r="E971" s="7" t="s">
        <v>29</v>
      </c>
      <c r="F971" s="7" t="s">
        <v>169</v>
      </c>
      <c r="G971" s="7">
        <v>98.844830000000002</v>
      </c>
      <c r="H971" s="7"/>
    </row>
    <row r="972" spans="1:8" x14ac:dyDescent="0.35">
      <c r="A972" s="7" t="s">
        <v>349</v>
      </c>
      <c r="B972" s="7" t="s">
        <v>26</v>
      </c>
      <c r="C972" s="7" t="s">
        <v>27</v>
      </c>
      <c r="D972" s="7" t="s">
        <v>28</v>
      </c>
      <c r="E972" s="7" t="s">
        <v>29</v>
      </c>
      <c r="F972" s="7" t="s">
        <v>170</v>
      </c>
      <c r="G972" s="7">
        <v>98.778829999999999</v>
      </c>
      <c r="H972" s="7"/>
    </row>
    <row r="973" spans="1:8" x14ac:dyDescent="0.35">
      <c r="A973" s="7" t="s">
        <v>349</v>
      </c>
      <c r="B973" s="7" t="s">
        <v>26</v>
      </c>
      <c r="C973" s="7" t="s">
        <v>27</v>
      </c>
      <c r="D973" s="7" t="s">
        <v>28</v>
      </c>
      <c r="E973" s="7" t="s">
        <v>29</v>
      </c>
      <c r="F973" s="7" t="s">
        <v>171</v>
      </c>
      <c r="G973" s="7">
        <v>98.624629999999996</v>
      </c>
      <c r="H973" s="7"/>
    </row>
    <row r="974" spans="1:8" x14ac:dyDescent="0.35">
      <c r="A974" s="7" t="s">
        <v>349</v>
      </c>
      <c r="B974" s="7" t="s">
        <v>26</v>
      </c>
      <c r="C974" s="7" t="s">
        <v>27</v>
      </c>
      <c r="D974" s="7" t="s">
        <v>28</v>
      </c>
      <c r="E974" s="7" t="s">
        <v>29</v>
      </c>
      <c r="F974" s="7" t="s">
        <v>172</v>
      </c>
      <c r="G974" s="7">
        <v>98.463390000000004</v>
      </c>
      <c r="H974" s="7"/>
    </row>
    <row r="975" spans="1:8" x14ac:dyDescent="0.35">
      <c r="A975" s="7" t="s">
        <v>349</v>
      </c>
      <c r="B975" s="7" t="s">
        <v>26</v>
      </c>
      <c r="C975" s="7" t="s">
        <v>27</v>
      </c>
      <c r="D975" s="7" t="s">
        <v>28</v>
      </c>
      <c r="E975" s="7" t="s">
        <v>29</v>
      </c>
      <c r="F975" s="7" t="s">
        <v>173</v>
      </c>
      <c r="G975" s="7">
        <v>98.432000000000002</v>
      </c>
      <c r="H975" s="7"/>
    </row>
    <row r="976" spans="1:8" x14ac:dyDescent="0.35">
      <c r="A976" s="7" t="s">
        <v>349</v>
      </c>
      <c r="B976" s="7" t="s">
        <v>26</v>
      </c>
      <c r="C976" s="7" t="s">
        <v>27</v>
      </c>
      <c r="D976" s="7" t="s">
        <v>28</v>
      </c>
      <c r="E976" s="7" t="s">
        <v>29</v>
      </c>
      <c r="F976" s="7" t="s">
        <v>174</v>
      </c>
      <c r="G976" s="7">
        <v>98.507310000000004</v>
      </c>
      <c r="H976" s="7"/>
    </row>
    <row r="977" spans="1:8" x14ac:dyDescent="0.35">
      <c r="A977" s="7" t="s">
        <v>349</v>
      </c>
      <c r="B977" s="7" t="s">
        <v>26</v>
      </c>
      <c r="C977" s="7" t="s">
        <v>27</v>
      </c>
      <c r="D977" s="7" t="s">
        <v>28</v>
      </c>
      <c r="E977" s="7" t="s">
        <v>29</v>
      </c>
      <c r="F977" s="7" t="s">
        <v>175</v>
      </c>
      <c r="G977" s="7">
        <v>98.67004</v>
      </c>
      <c r="H977" s="7"/>
    </row>
    <row r="978" spans="1:8" x14ac:dyDescent="0.35">
      <c r="A978" s="7" t="s">
        <v>349</v>
      </c>
      <c r="B978" s="7" t="s">
        <v>26</v>
      </c>
      <c r="C978" s="7" t="s">
        <v>27</v>
      </c>
      <c r="D978" s="7" t="s">
        <v>28</v>
      </c>
      <c r="E978" s="7" t="s">
        <v>29</v>
      </c>
      <c r="F978" s="7" t="s">
        <v>176</v>
      </c>
      <c r="G978" s="7">
        <v>98.696950000000001</v>
      </c>
      <c r="H978" s="7"/>
    </row>
    <row r="979" spans="1:8" x14ac:dyDescent="0.35">
      <c r="A979" s="7" t="s">
        <v>349</v>
      </c>
      <c r="B979" s="7" t="s">
        <v>26</v>
      </c>
      <c r="C979" s="7" t="s">
        <v>27</v>
      </c>
      <c r="D979" s="7" t="s">
        <v>28</v>
      </c>
      <c r="E979" s="7" t="s">
        <v>29</v>
      </c>
      <c r="F979" s="7" t="s">
        <v>177</v>
      </c>
      <c r="G979" s="7">
        <v>98.650220000000004</v>
      </c>
      <c r="H979" s="7"/>
    </row>
    <row r="980" spans="1:8" x14ac:dyDescent="0.35">
      <c r="A980" s="7" t="s">
        <v>349</v>
      </c>
      <c r="B980" s="7" t="s">
        <v>26</v>
      </c>
      <c r="C980" s="7" t="s">
        <v>27</v>
      </c>
      <c r="D980" s="7" t="s">
        <v>28</v>
      </c>
      <c r="E980" s="7" t="s">
        <v>29</v>
      </c>
      <c r="F980" s="7" t="s">
        <v>178</v>
      </c>
      <c r="G980" s="7">
        <v>98.738399999999999</v>
      </c>
      <c r="H980" s="7"/>
    </row>
    <row r="981" spans="1:8" x14ac:dyDescent="0.35">
      <c r="A981" s="7" t="s">
        <v>349</v>
      </c>
      <c r="B981" s="7" t="s">
        <v>26</v>
      </c>
      <c r="C981" s="7" t="s">
        <v>27</v>
      </c>
      <c r="D981" s="7" t="s">
        <v>28</v>
      </c>
      <c r="E981" s="7" t="s">
        <v>29</v>
      </c>
      <c r="F981" s="7" t="s">
        <v>179</v>
      </c>
      <c r="G981" s="7">
        <v>99.016760000000005</v>
      </c>
      <c r="H981" s="7"/>
    </row>
    <row r="982" spans="1:8" x14ac:dyDescent="0.35">
      <c r="A982" s="7" t="s">
        <v>349</v>
      </c>
      <c r="B982" s="7" t="s">
        <v>26</v>
      </c>
      <c r="C982" s="7" t="s">
        <v>27</v>
      </c>
      <c r="D982" s="7" t="s">
        <v>28</v>
      </c>
      <c r="E982" s="7" t="s">
        <v>29</v>
      </c>
      <c r="F982" s="7" t="s">
        <v>180</v>
      </c>
      <c r="G982" s="7">
        <v>99.39085</v>
      </c>
      <c r="H982" s="7"/>
    </row>
    <row r="983" spans="1:8" x14ac:dyDescent="0.35">
      <c r="A983" s="7" t="s">
        <v>349</v>
      </c>
      <c r="B983" s="7" t="s">
        <v>26</v>
      </c>
      <c r="C983" s="7" t="s">
        <v>27</v>
      </c>
      <c r="D983" s="7" t="s">
        <v>28</v>
      </c>
      <c r="E983" s="7" t="s">
        <v>29</v>
      </c>
      <c r="F983" s="7" t="s">
        <v>181</v>
      </c>
      <c r="G983" s="7">
        <v>99.602940000000004</v>
      </c>
      <c r="H983" s="7"/>
    </row>
    <row r="984" spans="1:8" x14ac:dyDescent="0.35">
      <c r="A984" s="7" t="s">
        <v>349</v>
      </c>
      <c r="B984" s="7" t="s">
        <v>26</v>
      </c>
      <c r="C984" s="7" t="s">
        <v>27</v>
      </c>
      <c r="D984" s="7" t="s">
        <v>28</v>
      </c>
      <c r="E984" s="7" t="s">
        <v>29</v>
      </c>
      <c r="F984" s="7" t="s">
        <v>182</v>
      </c>
      <c r="G984" s="7">
        <v>99.642520000000005</v>
      </c>
      <c r="H984" s="7"/>
    </row>
    <row r="985" spans="1:8" x14ac:dyDescent="0.35">
      <c r="A985" s="7" t="s">
        <v>349</v>
      </c>
      <c r="B985" s="7" t="s">
        <v>26</v>
      </c>
      <c r="C985" s="7" t="s">
        <v>27</v>
      </c>
      <c r="D985" s="7" t="s">
        <v>28</v>
      </c>
      <c r="E985" s="7" t="s">
        <v>29</v>
      </c>
      <c r="F985" s="7" t="s">
        <v>183</v>
      </c>
      <c r="G985" s="7">
        <v>99.666520000000006</v>
      </c>
      <c r="H985" s="7"/>
    </row>
    <row r="986" spans="1:8" x14ac:dyDescent="0.35">
      <c r="A986" s="7" t="s">
        <v>349</v>
      </c>
      <c r="B986" s="7" t="s">
        <v>26</v>
      </c>
      <c r="C986" s="7" t="s">
        <v>27</v>
      </c>
      <c r="D986" s="7" t="s">
        <v>28</v>
      </c>
      <c r="E986" s="7" t="s">
        <v>29</v>
      </c>
      <c r="F986" s="7" t="s">
        <v>184</v>
      </c>
      <c r="G986" s="7">
        <v>99.61345</v>
      </c>
      <c r="H986" s="7"/>
    </row>
    <row r="987" spans="1:8" x14ac:dyDescent="0.35">
      <c r="A987" s="7" t="s">
        <v>349</v>
      </c>
      <c r="B987" s="7" t="s">
        <v>26</v>
      </c>
      <c r="C987" s="7" t="s">
        <v>27</v>
      </c>
      <c r="D987" s="7" t="s">
        <v>28</v>
      </c>
      <c r="E987" s="7" t="s">
        <v>29</v>
      </c>
      <c r="F987" s="7" t="s">
        <v>185</v>
      </c>
      <c r="G987" s="7">
        <v>99.637810000000002</v>
      </c>
      <c r="H987" s="7"/>
    </row>
    <row r="988" spans="1:8" x14ac:dyDescent="0.35">
      <c r="A988" s="7" t="s">
        <v>349</v>
      </c>
      <c r="B988" s="7" t="s">
        <v>26</v>
      </c>
      <c r="C988" s="7" t="s">
        <v>27</v>
      </c>
      <c r="D988" s="7" t="s">
        <v>28</v>
      </c>
      <c r="E988" s="7" t="s">
        <v>29</v>
      </c>
      <c r="F988" s="7" t="s">
        <v>186</v>
      </c>
      <c r="G988" s="7">
        <v>99.735259999999997</v>
      </c>
      <c r="H988" s="7"/>
    </row>
    <row r="989" spans="1:8" x14ac:dyDescent="0.35">
      <c r="A989" s="7" t="s">
        <v>349</v>
      </c>
      <c r="B989" s="7" t="s">
        <v>26</v>
      </c>
      <c r="C989" s="7" t="s">
        <v>27</v>
      </c>
      <c r="D989" s="7" t="s">
        <v>28</v>
      </c>
      <c r="E989" s="7" t="s">
        <v>29</v>
      </c>
      <c r="F989" s="7" t="s">
        <v>187</v>
      </c>
      <c r="G989" s="7">
        <v>99.860910000000004</v>
      </c>
      <c r="H989" s="7"/>
    </row>
    <row r="990" spans="1:8" x14ac:dyDescent="0.35">
      <c r="A990" s="7" t="s">
        <v>349</v>
      </c>
      <c r="B990" s="7" t="s">
        <v>26</v>
      </c>
      <c r="C990" s="7" t="s">
        <v>27</v>
      </c>
      <c r="D990" s="7" t="s">
        <v>28</v>
      </c>
      <c r="E990" s="7" t="s">
        <v>29</v>
      </c>
      <c r="F990" s="7" t="s">
        <v>188</v>
      </c>
      <c r="G990" s="7">
        <v>99.933760000000007</v>
      </c>
      <c r="H990" s="7"/>
    </row>
    <row r="991" spans="1:8" x14ac:dyDescent="0.35">
      <c r="A991" s="7" t="s">
        <v>349</v>
      </c>
      <c r="B991" s="7" t="s">
        <v>26</v>
      </c>
      <c r="C991" s="7" t="s">
        <v>27</v>
      </c>
      <c r="D991" s="7" t="s">
        <v>28</v>
      </c>
      <c r="E991" s="7" t="s">
        <v>29</v>
      </c>
      <c r="F991" s="7" t="s">
        <v>189</v>
      </c>
      <c r="G991" s="7">
        <v>99.965710000000001</v>
      </c>
      <c r="H991" s="7"/>
    </row>
    <row r="992" spans="1:8" x14ac:dyDescent="0.35">
      <c r="A992" s="7" t="s">
        <v>349</v>
      </c>
      <c r="B992" s="7" t="s">
        <v>26</v>
      </c>
      <c r="C992" s="7" t="s">
        <v>27</v>
      </c>
      <c r="D992" s="7" t="s">
        <v>28</v>
      </c>
      <c r="E992" s="7" t="s">
        <v>29</v>
      </c>
      <c r="F992" s="7" t="s">
        <v>190</v>
      </c>
      <c r="G992" s="7">
        <v>99.978520000000003</v>
      </c>
      <c r="H992" s="7"/>
    </row>
    <row r="993" spans="1:8" x14ac:dyDescent="0.35">
      <c r="A993" s="7" t="s">
        <v>349</v>
      </c>
      <c r="B993" s="7" t="s">
        <v>26</v>
      </c>
      <c r="C993" s="7" t="s">
        <v>27</v>
      </c>
      <c r="D993" s="7" t="s">
        <v>28</v>
      </c>
      <c r="E993" s="7" t="s">
        <v>29</v>
      </c>
      <c r="F993" s="7" t="s">
        <v>191</v>
      </c>
      <c r="G993" s="7">
        <v>99.961749999999995</v>
      </c>
      <c r="H993" s="7"/>
    </row>
    <row r="994" spans="1:8" x14ac:dyDescent="0.35">
      <c r="A994" s="7" t="s">
        <v>349</v>
      </c>
      <c r="B994" s="7" t="s">
        <v>26</v>
      </c>
      <c r="C994" s="7" t="s">
        <v>27</v>
      </c>
      <c r="D994" s="7" t="s">
        <v>28</v>
      </c>
      <c r="E994" s="7" t="s">
        <v>29</v>
      </c>
      <c r="F994" s="7" t="s">
        <v>192</v>
      </c>
      <c r="G994" s="7">
        <v>99.859859999999998</v>
      </c>
      <c r="H994" s="7"/>
    </row>
    <row r="995" spans="1:8" x14ac:dyDescent="0.35">
      <c r="A995" s="7" t="s">
        <v>349</v>
      </c>
      <c r="B995" s="7" t="s">
        <v>26</v>
      </c>
      <c r="C995" s="7" t="s">
        <v>27</v>
      </c>
      <c r="D995" s="7" t="s">
        <v>28</v>
      </c>
      <c r="E995" s="7" t="s">
        <v>29</v>
      </c>
      <c r="F995" s="7" t="s">
        <v>193</v>
      </c>
      <c r="G995" s="7">
        <v>99.741810000000001</v>
      </c>
      <c r="H995" s="7"/>
    </row>
    <row r="996" spans="1:8" x14ac:dyDescent="0.35">
      <c r="A996" s="7" t="s">
        <v>349</v>
      </c>
      <c r="B996" s="7" t="s">
        <v>26</v>
      </c>
      <c r="C996" s="7" t="s">
        <v>27</v>
      </c>
      <c r="D996" s="7" t="s">
        <v>28</v>
      </c>
      <c r="E996" s="7" t="s">
        <v>29</v>
      </c>
      <c r="F996" s="7" t="s">
        <v>194</v>
      </c>
      <c r="G996" s="7">
        <v>99.709429999999998</v>
      </c>
      <c r="H996" s="7"/>
    </row>
    <row r="997" spans="1:8" x14ac:dyDescent="0.35">
      <c r="A997" s="7" t="s">
        <v>349</v>
      </c>
      <c r="B997" s="7" t="s">
        <v>26</v>
      </c>
      <c r="C997" s="7" t="s">
        <v>27</v>
      </c>
      <c r="D997" s="7" t="s">
        <v>28</v>
      </c>
      <c r="E997" s="7" t="s">
        <v>29</v>
      </c>
      <c r="F997" s="7" t="s">
        <v>195</v>
      </c>
      <c r="G997" s="7">
        <v>99.801469999999995</v>
      </c>
      <c r="H997" s="7"/>
    </row>
    <row r="998" spans="1:8" x14ac:dyDescent="0.35">
      <c r="A998" s="7" t="s">
        <v>349</v>
      </c>
      <c r="B998" s="7" t="s">
        <v>26</v>
      </c>
      <c r="C998" s="7" t="s">
        <v>27</v>
      </c>
      <c r="D998" s="7" t="s">
        <v>28</v>
      </c>
      <c r="E998" s="7" t="s">
        <v>29</v>
      </c>
      <c r="F998" s="7" t="s">
        <v>196</v>
      </c>
      <c r="G998" s="7">
        <v>99.975049999999996</v>
      </c>
      <c r="H998" s="7"/>
    </row>
    <row r="999" spans="1:8" x14ac:dyDescent="0.35">
      <c r="A999" s="7" t="s">
        <v>349</v>
      </c>
      <c r="B999" s="7" t="s">
        <v>26</v>
      </c>
      <c r="C999" s="7" t="s">
        <v>27</v>
      </c>
      <c r="D999" s="7" t="s">
        <v>28</v>
      </c>
      <c r="E999" s="7" t="s">
        <v>29</v>
      </c>
      <c r="F999" s="7" t="s">
        <v>197</v>
      </c>
      <c r="G999" s="7">
        <v>100.2072</v>
      </c>
      <c r="H999" s="7"/>
    </row>
    <row r="1000" spans="1:8" x14ac:dyDescent="0.35">
      <c r="A1000" s="7" t="s">
        <v>349</v>
      </c>
      <c r="B1000" s="7" t="s">
        <v>26</v>
      </c>
      <c r="C1000" s="7" t="s">
        <v>27</v>
      </c>
      <c r="D1000" s="7" t="s">
        <v>28</v>
      </c>
      <c r="E1000" s="7" t="s">
        <v>29</v>
      </c>
      <c r="F1000" s="7" t="s">
        <v>198</v>
      </c>
      <c r="G1000" s="7">
        <v>100.4233</v>
      </c>
      <c r="H1000" s="7"/>
    </row>
    <row r="1001" spans="1:8" x14ac:dyDescent="0.35">
      <c r="A1001" s="7" t="s">
        <v>349</v>
      </c>
      <c r="B1001" s="7" t="s">
        <v>26</v>
      </c>
      <c r="C1001" s="7" t="s">
        <v>27</v>
      </c>
      <c r="D1001" s="7" t="s">
        <v>28</v>
      </c>
      <c r="E1001" s="7" t="s">
        <v>29</v>
      </c>
      <c r="F1001" s="7" t="s">
        <v>199</v>
      </c>
      <c r="G1001" s="7">
        <v>100.59050000000001</v>
      </c>
      <c r="H1001" s="7"/>
    </row>
    <row r="1002" spans="1:8" x14ac:dyDescent="0.35">
      <c r="A1002" s="7" t="s">
        <v>349</v>
      </c>
      <c r="B1002" s="7" t="s">
        <v>26</v>
      </c>
      <c r="C1002" s="7" t="s">
        <v>27</v>
      </c>
      <c r="D1002" s="7" t="s">
        <v>28</v>
      </c>
      <c r="E1002" s="7" t="s">
        <v>29</v>
      </c>
      <c r="F1002" s="7" t="s">
        <v>200</v>
      </c>
      <c r="G1002" s="7">
        <v>100.7059</v>
      </c>
      <c r="H1002" s="7"/>
    </row>
    <row r="1003" spans="1:8" x14ac:dyDescent="0.35">
      <c r="A1003" s="7" t="s">
        <v>349</v>
      </c>
      <c r="B1003" s="7" t="s">
        <v>26</v>
      </c>
      <c r="C1003" s="7" t="s">
        <v>27</v>
      </c>
      <c r="D1003" s="7" t="s">
        <v>28</v>
      </c>
      <c r="E1003" s="7" t="s">
        <v>29</v>
      </c>
      <c r="F1003" s="7" t="s">
        <v>201</v>
      </c>
      <c r="G1003" s="7">
        <v>100.75149999999999</v>
      </c>
      <c r="H1003" s="7"/>
    </row>
    <row r="1004" spans="1:8" x14ac:dyDescent="0.35">
      <c r="A1004" s="7" t="s">
        <v>349</v>
      </c>
      <c r="B1004" s="7" t="s">
        <v>26</v>
      </c>
      <c r="C1004" s="7" t="s">
        <v>27</v>
      </c>
      <c r="D1004" s="7" t="s">
        <v>28</v>
      </c>
      <c r="E1004" s="7" t="s">
        <v>29</v>
      </c>
      <c r="F1004" s="7" t="s">
        <v>202</v>
      </c>
      <c r="G1004" s="7">
        <v>100.67019999999999</v>
      </c>
      <c r="H1004" s="7"/>
    </row>
    <row r="1005" spans="1:8" x14ac:dyDescent="0.35">
      <c r="A1005" s="7" t="s">
        <v>349</v>
      </c>
      <c r="B1005" s="7" t="s">
        <v>26</v>
      </c>
      <c r="C1005" s="7" t="s">
        <v>27</v>
      </c>
      <c r="D1005" s="7" t="s">
        <v>28</v>
      </c>
      <c r="E1005" s="7" t="s">
        <v>29</v>
      </c>
      <c r="F1005" s="7" t="s">
        <v>203</v>
      </c>
      <c r="G1005" s="7">
        <v>100.5444</v>
      </c>
      <c r="H1005" s="7"/>
    </row>
    <row r="1006" spans="1:8" x14ac:dyDescent="0.35">
      <c r="A1006" s="7" t="s">
        <v>349</v>
      </c>
      <c r="B1006" s="7" t="s">
        <v>26</v>
      </c>
      <c r="C1006" s="7" t="s">
        <v>27</v>
      </c>
      <c r="D1006" s="7" t="s">
        <v>28</v>
      </c>
      <c r="E1006" s="7" t="s">
        <v>29</v>
      </c>
      <c r="F1006" s="7" t="s">
        <v>204</v>
      </c>
      <c r="G1006" s="7">
        <v>100.4639</v>
      </c>
      <c r="H1006" s="7"/>
    </row>
    <row r="1007" spans="1:8" x14ac:dyDescent="0.35">
      <c r="A1007" s="7" t="s">
        <v>349</v>
      </c>
      <c r="B1007" s="7" t="s">
        <v>26</v>
      </c>
      <c r="C1007" s="7" t="s">
        <v>27</v>
      </c>
      <c r="D1007" s="7" t="s">
        <v>28</v>
      </c>
      <c r="E1007" s="7" t="s">
        <v>29</v>
      </c>
      <c r="F1007" s="7" t="s">
        <v>205</v>
      </c>
      <c r="G1007" s="7">
        <v>100.5287</v>
      </c>
      <c r="H1007" s="7"/>
    </row>
    <row r="1008" spans="1:8" x14ac:dyDescent="0.35">
      <c r="A1008" s="7" t="s">
        <v>349</v>
      </c>
      <c r="B1008" s="7" t="s">
        <v>26</v>
      </c>
      <c r="C1008" s="7" t="s">
        <v>27</v>
      </c>
      <c r="D1008" s="7" t="s">
        <v>28</v>
      </c>
      <c r="E1008" s="7" t="s">
        <v>29</v>
      </c>
      <c r="F1008" s="7" t="s">
        <v>206</v>
      </c>
      <c r="G1008" s="7">
        <v>100.624</v>
      </c>
      <c r="H1008" s="7"/>
    </row>
    <row r="1009" spans="1:8" x14ac:dyDescent="0.35">
      <c r="A1009" s="7" t="s">
        <v>349</v>
      </c>
      <c r="B1009" s="7" t="s">
        <v>26</v>
      </c>
      <c r="C1009" s="7" t="s">
        <v>27</v>
      </c>
      <c r="D1009" s="7" t="s">
        <v>28</v>
      </c>
      <c r="E1009" s="7" t="s">
        <v>29</v>
      </c>
      <c r="F1009" s="7" t="s">
        <v>207</v>
      </c>
      <c r="G1009" s="7">
        <v>100.6514</v>
      </c>
      <c r="H1009" s="7"/>
    </row>
    <row r="1010" spans="1:8" x14ac:dyDescent="0.35">
      <c r="A1010" s="7" t="s">
        <v>349</v>
      </c>
      <c r="B1010" s="7" t="s">
        <v>26</v>
      </c>
      <c r="C1010" s="7" t="s">
        <v>27</v>
      </c>
      <c r="D1010" s="7" t="s">
        <v>28</v>
      </c>
      <c r="E1010" s="7" t="s">
        <v>29</v>
      </c>
      <c r="F1010" s="7" t="s">
        <v>208</v>
      </c>
      <c r="G1010" s="7">
        <v>100.6468</v>
      </c>
      <c r="H1010" s="7"/>
    </row>
    <row r="1011" spans="1:8" x14ac:dyDescent="0.35">
      <c r="A1011" s="7" t="s">
        <v>349</v>
      </c>
      <c r="B1011" s="7" t="s">
        <v>26</v>
      </c>
      <c r="C1011" s="7" t="s">
        <v>27</v>
      </c>
      <c r="D1011" s="7" t="s">
        <v>28</v>
      </c>
      <c r="E1011" s="7" t="s">
        <v>29</v>
      </c>
      <c r="F1011" s="7" t="s">
        <v>209</v>
      </c>
      <c r="G1011" s="7">
        <v>100.7333</v>
      </c>
      <c r="H1011" s="7"/>
    </row>
    <row r="1012" spans="1:8" x14ac:dyDescent="0.35">
      <c r="A1012" s="7" t="s">
        <v>349</v>
      </c>
      <c r="B1012" s="7" t="s">
        <v>26</v>
      </c>
      <c r="C1012" s="7" t="s">
        <v>27</v>
      </c>
      <c r="D1012" s="7" t="s">
        <v>28</v>
      </c>
      <c r="E1012" s="7" t="s">
        <v>29</v>
      </c>
      <c r="F1012" s="7" t="s">
        <v>210</v>
      </c>
      <c r="G1012" s="7">
        <v>100.9113</v>
      </c>
      <c r="H1012" s="7"/>
    </row>
    <row r="1013" spans="1:8" x14ac:dyDescent="0.35">
      <c r="A1013" s="7" t="s">
        <v>349</v>
      </c>
      <c r="B1013" s="7" t="s">
        <v>26</v>
      </c>
      <c r="C1013" s="7" t="s">
        <v>27</v>
      </c>
      <c r="D1013" s="7" t="s">
        <v>28</v>
      </c>
      <c r="E1013" s="7" t="s">
        <v>29</v>
      </c>
      <c r="F1013" s="7" t="s">
        <v>211</v>
      </c>
      <c r="G1013" s="7">
        <v>101.03360000000001</v>
      </c>
      <c r="H1013" s="7"/>
    </row>
    <row r="1014" spans="1:8" x14ac:dyDescent="0.35">
      <c r="A1014" s="7" t="s">
        <v>349</v>
      </c>
      <c r="B1014" s="7" t="s">
        <v>26</v>
      </c>
      <c r="C1014" s="7" t="s">
        <v>27</v>
      </c>
      <c r="D1014" s="7" t="s">
        <v>28</v>
      </c>
      <c r="E1014" s="7" t="s">
        <v>29</v>
      </c>
      <c r="F1014" s="7" t="s">
        <v>212</v>
      </c>
      <c r="G1014" s="7">
        <v>101.0243</v>
      </c>
      <c r="H1014" s="7"/>
    </row>
    <row r="1015" spans="1:8" x14ac:dyDescent="0.35">
      <c r="A1015" s="7" t="s">
        <v>349</v>
      </c>
      <c r="B1015" s="7" t="s">
        <v>26</v>
      </c>
      <c r="C1015" s="7" t="s">
        <v>27</v>
      </c>
      <c r="D1015" s="7" t="s">
        <v>28</v>
      </c>
      <c r="E1015" s="7" t="s">
        <v>29</v>
      </c>
      <c r="F1015" s="7" t="s">
        <v>213</v>
      </c>
      <c r="G1015" s="7">
        <v>101.1035</v>
      </c>
      <c r="H1015" s="7"/>
    </row>
    <row r="1016" spans="1:8" x14ac:dyDescent="0.35">
      <c r="A1016" s="7" t="s">
        <v>349</v>
      </c>
      <c r="B1016" s="7" t="s">
        <v>26</v>
      </c>
      <c r="C1016" s="7" t="s">
        <v>27</v>
      </c>
      <c r="D1016" s="7" t="s">
        <v>28</v>
      </c>
      <c r="E1016" s="7" t="s">
        <v>29</v>
      </c>
      <c r="F1016" s="7" t="s">
        <v>214</v>
      </c>
      <c r="G1016" s="7">
        <v>101.2047</v>
      </c>
      <c r="H1016" s="7"/>
    </row>
    <row r="1017" spans="1:8" x14ac:dyDescent="0.35">
      <c r="A1017" s="7" t="s">
        <v>349</v>
      </c>
      <c r="B1017" s="7" t="s">
        <v>26</v>
      </c>
      <c r="C1017" s="7" t="s">
        <v>27</v>
      </c>
      <c r="D1017" s="7" t="s">
        <v>28</v>
      </c>
      <c r="E1017" s="7" t="s">
        <v>29</v>
      </c>
      <c r="F1017" s="7" t="s">
        <v>215</v>
      </c>
      <c r="G1017" s="7">
        <v>101.396</v>
      </c>
      <c r="H1017" s="7"/>
    </row>
    <row r="1018" spans="1:8" x14ac:dyDescent="0.35">
      <c r="A1018" s="7" t="s">
        <v>349</v>
      </c>
      <c r="B1018" s="7" t="s">
        <v>26</v>
      </c>
      <c r="C1018" s="7" t="s">
        <v>27</v>
      </c>
      <c r="D1018" s="7" t="s">
        <v>28</v>
      </c>
      <c r="E1018" s="7" t="s">
        <v>29</v>
      </c>
      <c r="F1018" s="7" t="s">
        <v>216</v>
      </c>
      <c r="G1018" s="7">
        <v>101.5232</v>
      </c>
      <c r="H1018" s="7"/>
    </row>
    <row r="1019" spans="1:8" x14ac:dyDescent="0.35">
      <c r="A1019" s="7" t="s">
        <v>349</v>
      </c>
      <c r="B1019" s="7" t="s">
        <v>26</v>
      </c>
      <c r="C1019" s="7" t="s">
        <v>27</v>
      </c>
      <c r="D1019" s="7" t="s">
        <v>28</v>
      </c>
      <c r="E1019" s="7" t="s">
        <v>29</v>
      </c>
      <c r="F1019" s="7" t="s">
        <v>217</v>
      </c>
      <c r="G1019" s="7">
        <v>101.59990000000001</v>
      </c>
      <c r="H1019" s="7"/>
    </row>
    <row r="1020" spans="1:8" x14ac:dyDescent="0.35">
      <c r="A1020" s="7" t="s">
        <v>349</v>
      </c>
      <c r="B1020" s="7" t="s">
        <v>26</v>
      </c>
      <c r="C1020" s="7" t="s">
        <v>27</v>
      </c>
      <c r="D1020" s="7" t="s">
        <v>28</v>
      </c>
      <c r="E1020" s="7" t="s">
        <v>29</v>
      </c>
      <c r="F1020" s="7" t="s">
        <v>218</v>
      </c>
      <c r="G1020" s="7">
        <v>101.6187</v>
      </c>
      <c r="H1020" s="7"/>
    </row>
    <row r="1021" spans="1:8" x14ac:dyDescent="0.35">
      <c r="A1021" s="7" t="s">
        <v>349</v>
      </c>
      <c r="B1021" s="7" t="s">
        <v>26</v>
      </c>
      <c r="C1021" s="7" t="s">
        <v>27</v>
      </c>
      <c r="D1021" s="7" t="s">
        <v>28</v>
      </c>
      <c r="E1021" s="7" t="s">
        <v>29</v>
      </c>
      <c r="F1021" s="7" t="s">
        <v>219</v>
      </c>
      <c r="G1021" s="7">
        <v>101.5667</v>
      </c>
      <c r="H1021" s="7"/>
    </row>
    <row r="1022" spans="1:8" x14ac:dyDescent="0.35">
      <c r="A1022" s="7" t="s">
        <v>349</v>
      </c>
      <c r="B1022" s="7" t="s">
        <v>26</v>
      </c>
      <c r="C1022" s="7" t="s">
        <v>27</v>
      </c>
      <c r="D1022" s="7" t="s">
        <v>28</v>
      </c>
      <c r="E1022" s="7" t="s">
        <v>29</v>
      </c>
      <c r="F1022" s="7" t="s">
        <v>220</v>
      </c>
      <c r="G1022" s="7">
        <v>101.5689</v>
      </c>
      <c r="H1022" s="7"/>
    </row>
    <row r="1023" spans="1:8" x14ac:dyDescent="0.35">
      <c r="A1023" s="7" t="s">
        <v>349</v>
      </c>
      <c r="B1023" s="7" t="s">
        <v>26</v>
      </c>
      <c r="C1023" s="7" t="s">
        <v>27</v>
      </c>
      <c r="D1023" s="7" t="s">
        <v>28</v>
      </c>
      <c r="E1023" s="7" t="s">
        <v>29</v>
      </c>
      <c r="F1023" s="7" t="s">
        <v>221</v>
      </c>
      <c r="G1023" s="7">
        <v>101.6152</v>
      </c>
      <c r="H1023" s="7"/>
    </row>
    <row r="1024" spans="1:8" x14ac:dyDescent="0.35">
      <c r="A1024" s="7" t="s">
        <v>349</v>
      </c>
      <c r="B1024" s="7" t="s">
        <v>26</v>
      </c>
      <c r="C1024" s="7" t="s">
        <v>27</v>
      </c>
      <c r="D1024" s="7" t="s">
        <v>28</v>
      </c>
      <c r="E1024" s="7" t="s">
        <v>29</v>
      </c>
      <c r="F1024" s="7" t="s">
        <v>222</v>
      </c>
      <c r="G1024" s="7">
        <v>101.7102</v>
      </c>
      <c r="H1024" s="7"/>
    </row>
    <row r="1025" spans="1:8" x14ac:dyDescent="0.35">
      <c r="A1025" s="7" t="s">
        <v>349</v>
      </c>
      <c r="B1025" s="7" t="s">
        <v>26</v>
      </c>
      <c r="C1025" s="7" t="s">
        <v>27</v>
      </c>
      <c r="D1025" s="7" t="s">
        <v>28</v>
      </c>
      <c r="E1025" s="7" t="s">
        <v>29</v>
      </c>
      <c r="F1025" s="7" t="s">
        <v>223</v>
      </c>
      <c r="G1025" s="7">
        <v>101.76609999999999</v>
      </c>
      <c r="H1025" s="7"/>
    </row>
    <row r="1026" spans="1:8" x14ac:dyDescent="0.35">
      <c r="A1026" s="7" t="s">
        <v>349</v>
      </c>
      <c r="B1026" s="7" t="s">
        <v>26</v>
      </c>
      <c r="C1026" s="7" t="s">
        <v>27</v>
      </c>
      <c r="D1026" s="7" t="s">
        <v>28</v>
      </c>
      <c r="E1026" s="7" t="s">
        <v>29</v>
      </c>
      <c r="F1026" s="7" t="s">
        <v>224</v>
      </c>
      <c r="G1026" s="7">
        <v>101.7522</v>
      </c>
      <c r="H1026" s="7"/>
    </row>
    <row r="1027" spans="1:8" x14ac:dyDescent="0.35">
      <c r="A1027" s="7" t="s">
        <v>349</v>
      </c>
      <c r="B1027" s="7" t="s">
        <v>26</v>
      </c>
      <c r="C1027" s="7" t="s">
        <v>27</v>
      </c>
      <c r="D1027" s="7" t="s">
        <v>28</v>
      </c>
      <c r="E1027" s="7" t="s">
        <v>29</v>
      </c>
      <c r="F1027" s="7" t="s">
        <v>225</v>
      </c>
      <c r="G1027" s="7">
        <v>101.751</v>
      </c>
      <c r="H1027" s="7"/>
    </row>
    <row r="1028" spans="1:8" x14ac:dyDescent="0.35">
      <c r="A1028" s="7" t="s">
        <v>349</v>
      </c>
      <c r="B1028" s="7" t="s">
        <v>26</v>
      </c>
      <c r="C1028" s="7" t="s">
        <v>27</v>
      </c>
      <c r="D1028" s="7" t="s">
        <v>28</v>
      </c>
      <c r="E1028" s="7" t="s">
        <v>29</v>
      </c>
      <c r="F1028" s="7" t="s">
        <v>226</v>
      </c>
      <c r="G1028" s="7">
        <v>101.7787</v>
      </c>
      <c r="H1028" s="7"/>
    </row>
    <row r="1029" spans="1:8" x14ac:dyDescent="0.35">
      <c r="A1029" s="7" t="s">
        <v>349</v>
      </c>
      <c r="B1029" s="7" t="s">
        <v>26</v>
      </c>
      <c r="C1029" s="7" t="s">
        <v>27</v>
      </c>
      <c r="D1029" s="7" t="s">
        <v>28</v>
      </c>
      <c r="E1029" s="7" t="s">
        <v>29</v>
      </c>
      <c r="F1029" s="7" t="s">
        <v>227</v>
      </c>
      <c r="G1029" s="7">
        <v>101.82680000000001</v>
      </c>
      <c r="H1029" s="7"/>
    </row>
    <row r="1030" spans="1:8" x14ac:dyDescent="0.35">
      <c r="A1030" s="7" t="s">
        <v>349</v>
      </c>
      <c r="B1030" s="7" t="s">
        <v>26</v>
      </c>
      <c r="C1030" s="7" t="s">
        <v>27</v>
      </c>
      <c r="D1030" s="7" t="s">
        <v>28</v>
      </c>
      <c r="E1030" s="7" t="s">
        <v>29</v>
      </c>
      <c r="F1030" s="7" t="s">
        <v>228</v>
      </c>
      <c r="G1030" s="7">
        <v>101.7739</v>
      </c>
      <c r="H1030" s="7"/>
    </row>
    <row r="1031" spans="1:8" x14ac:dyDescent="0.35">
      <c r="A1031" s="7" t="s">
        <v>349</v>
      </c>
      <c r="B1031" s="7" t="s">
        <v>26</v>
      </c>
      <c r="C1031" s="7" t="s">
        <v>27</v>
      </c>
      <c r="D1031" s="7" t="s">
        <v>28</v>
      </c>
      <c r="E1031" s="7" t="s">
        <v>29</v>
      </c>
      <c r="F1031" s="7" t="s">
        <v>229</v>
      </c>
      <c r="G1031" s="7">
        <v>101.6118</v>
      </c>
      <c r="H1031" s="7"/>
    </row>
    <row r="1032" spans="1:8" x14ac:dyDescent="0.35">
      <c r="A1032" s="7" t="s">
        <v>349</v>
      </c>
      <c r="B1032" s="7" t="s">
        <v>26</v>
      </c>
      <c r="C1032" s="7" t="s">
        <v>27</v>
      </c>
      <c r="D1032" s="7" t="s">
        <v>28</v>
      </c>
      <c r="E1032" s="7" t="s">
        <v>29</v>
      </c>
      <c r="F1032" s="7" t="s">
        <v>230</v>
      </c>
      <c r="G1032" s="7">
        <v>101.47880000000001</v>
      </c>
      <c r="H1032" s="7"/>
    </row>
    <row r="1033" spans="1:8" x14ac:dyDescent="0.35">
      <c r="A1033" s="7" t="s">
        <v>349</v>
      </c>
      <c r="B1033" s="7" t="s">
        <v>26</v>
      </c>
      <c r="C1033" s="7" t="s">
        <v>27</v>
      </c>
      <c r="D1033" s="7" t="s">
        <v>28</v>
      </c>
      <c r="E1033" s="7" t="s">
        <v>29</v>
      </c>
      <c r="F1033" s="7" t="s">
        <v>231</v>
      </c>
      <c r="G1033" s="7">
        <v>101.4342</v>
      </c>
      <c r="H1033" s="7"/>
    </row>
    <row r="1034" spans="1:8" x14ac:dyDescent="0.35">
      <c r="A1034" s="7" t="s">
        <v>349</v>
      </c>
      <c r="B1034" s="7" t="s">
        <v>26</v>
      </c>
      <c r="C1034" s="7" t="s">
        <v>27</v>
      </c>
      <c r="D1034" s="7" t="s">
        <v>28</v>
      </c>
      <c r="E1034" s="7" t="s">
        <v>29</v>
      </c>
      <c r="F1034" s="7" t="s">
        <v>232</v>
      </c>
      <c r="G1034" s="7">
        <v>101.28579999999999</v>
      </c>
      <c r="H1034" s="7"/>
    </row>
    <row r="1035" spans="1:8" x14ac:dyDescent="0.35">
      <c r="A1035" s="7" t="s">
        <v>349</v>
      </c>
      <c r="B1035" s="7" t="s">
        <v>26</v>
      </c>
      <c r="C1035" s="7" t="s">
        <v>27</v>
      </c>
      <c r="D1035" s="7" t="s">
        <v>28</v>
      </c>
      <c r="E1035" s="7" t="s">
        <v>29</v>
      </c>
      <c r="F1035" s="7" t="s">
        <v>233</v>
      </c>
      <c r="G1035" s="7">
        <v>100.96080000000001</v>
      </c>
      <c r="H1035" s="7"/>
    </row>
    <row r="1036" spans="1:8" x14ac:dyDescent="0.35">
      <c r="A1036" s="7" t="s">
        <v>349</v>
      </c>
      <c r="B1036" s="7" t="s">
        <v>26</v>
      </c>
      <c r="C1036" s="7" t="s">
        <v>27</v>
      </c>
      <c r="D1036" s="7" t="s">
        <v>28</v>
      </c>
      <c r="E1036" s="7" t="s">
        <v>29</v>
      </c>
      <c r="F1036" s="7" t="s">
        <v>234</v>
      </c>
      <c r="G1036" s="7">
        <v>100.4905</v>
      </c>
      <c r="H1036" s="7"/>
    </row>
    <row r="1037" spans="1:8" x14ac:dyDescent="0.35">
      <c r="A1037" s="7" t="s">
        <v>349</v>
      </c>
      <c r="B1037" s="7" t="s">
        <v>26</v>
      </c>
      <c r="C1037" s="7" t="s">
        <v>27</v>
      </c>
      <c r="D1037" s="7" t="s">
        <v>28</v>
      </c>
      <c r="E1037" s="7" t="s">
        <v>29</v>
      </c>
      <c r="F1037" s="7" t="s">
        <v>235</v>
      </c>
      <c r="G1037" s="7">
        <v>99.999970000000005</v>
      </c>
      <c r="H1037" s="7"/>
    </row>
    <row r="1038" spans="1:8" x14ac:dyDescent="0.35">
      <c r="A1038" s="7" t="s">
        <v>349</v>
      </c>
      <c r="B1038" s="7" t="s">
        <v>26</v>
      </c>
      <c r="C1038" s="7" t="s">
        <v>27</v>
      </c>
      <c r="D1038" s="7" t="s">
        <v>28</v>
      </c>
      <c r="E1038" s="7" t="s">
        <v>29</v>
      </c>
      <c r="F1038" s="7" t="s">
        <v>236</v>
      </c>
      <c r="G1038" s="7">
        <v>99.41337</v>
      </c>
      <c r="H1038" s="7"/>
    </row>
    <row r="1039" spans="1:8" x14ac:dyDescent="0.35">
      <c r="A1039" s="7" t="s">
        <v>349</v>
      </c>
      <c r="B1039" s="7" t="s">
        <v>26</v>
      </c>
      <c r="C1039" s="7" t="s">
        <v>27</v>
      </c>
      <c r="D1039" s="7" t="s">
        <v>28</v>
      </c>
      <c r="E1039" s="7" t="s">
        <v>29</v>
      </c>
      <c r="F1039" s="7" t="s">
        <v>237</v>
      </c>
      <c r="G1039" s="7">
        <v>98.802509999999998</v>
      </c>
      <c r="H1039" s="7"/>
    </row>
    <row r="1040" spans="1:8" x14ac:dyDescent="0.35">
      <c r="A1040" s="7" t="s">
        <v>349</v>
      </c>
      <c r="B1040" s="7" t="s">
        <v>26</v>
      </c>
      <c r="C1040" s="7" t="s">
        <v>27</v>
      </c>
      <c r="D1040" s="7" t="s">
        <v>28</v>
      </c>
      <c r="E1040" s="7" t="s">
        <v>29</v>
      </c>
      <c r="F1040" s="7" t="s">
        <v>238</v>
      </c>
      <c r="G1040" s="7">
        <v>98.616600000000005</v>
      </c>
      <c r="H1040" s="7"/>
    </row>
    <row r="1041" spans="1:8" x14ac:dyDescent="0.35">
      <c r="A1041" s="7" t="s">
        <v>349</v>
      </c>
      <c r="B1041" s="7" t="s">
        <v>26</v>
      </c>
      <c r="C1041" s="7" t="s">
        <v>27</v>
      </c>
      <c r="D1041" s="7" t="s">
        <v>28</v>
      </c>
      <c r="E1041" s="7" t="s">
        <v>29</v>
      </c>
      <c r="F1041" s="7" t="s">
        <v>239</v>
      </c>
      <c r="G1041" s="7">
        <v>98.846509999999995</v>
      </c>
      <c r="H1041" s="7"/>
    </row>
    <row r="1042" spans="1:8" x14ac:dyDescent="0.35">
      <c r="A1042" s="7" t="s">
        <v>349</v>
      </c>
      <c r="B1042" s="7" t="s">
        <v>26</v>
      </c>
      <c r="C1042" s="7" t="s">
        <v>27</v>
      </c>
      <c r="D1042" s="7" t="s">
        <v>28</v>
      </c>
      <c r="E1042" s="7" t="s">
        <v>29</v>
      </c>
      <c r="F1042" s="7" t="s">
        <v>240</v>
      </c>
      <c r="G1042" s="7">
        <v>99.200419999999994</v>
      </c>
      <c r="H1042" s="7"/>
    </row>
    <row r="1043" spans="1:8" x14ac:dyDescent="0.35">
      <c r="A1043" s="7" t="s">
        <v>349</v>
      </c>
      <c r="B1043" s="7" t="s">
        <v>26</v>
      </c>
      <c r="C1043" s="7" t="s">
        <v>27</v>
      </c>
      <c r="D1043" s="7" t="s">
        <v>28</v>
      </c>
      <c r="E1043" s="7" t="s">
        <v>29</v>
      </c>
      <c r="F1043" s="7" t="s">
        <v>241</v>
      </c>
      <c r="G1043" s="7">
        <v>99.536190000000005</v>
      </c>
      <c r="H1043" s="7"/>
    </row>
    <row r="1044" spans="1:8" x14ac:dyDescent="0.35">
      <c r="A1044" s="7" t="s">
        <v>349</v>
      </c>
      <c r="B1044" s="7" t="s">
        <v>26</v>
      </c>
      <c r="C1044" s="7" t="s">
        <v>27</v>
      </c>
      <c r="D1044" s="7" t="s">
        <v>28</v>
      </c>
      <c r="E1044" s="7" t="s">
        <v>29</v>
      </c>
      <c r="F1044" s="7" t="s">
        <v>242</v>
      </c>
      <c r="G1044" s="7">
        <v>99.670429999999996</v>
      </c>
      <c r="H1044" s="7"/>
    </row>
    <row r="1045" spans="1:8" x14ac:dyDescent="0.35">
      <c r="A1045" s="7" t="s">
        <v>349</v>
      </c>
      <c r="B1045" s="7" t="s">
        <v>26</v>
      </c>
      <c r="C1045" s="7" t="s">
        <v>27</v>
      </c>
      <c r="D1045" s="7" t="s">
        <v>28</v>
      </c>
      <c r="E1045" s="7" t="s">
        <v>29</v>
      </c>
      <c r="F1045" s="7" t="s">
        <v>243</v>
      </c>
      <c r="G1045" s="7">
        <v>99.715119999999999</v>
      </c>
      <c r="H1045" s="7"/>
    </row>
    <row r="1046" spans="1:8" x14ac:dyDescent="0.35">
      <c r="A1046" s="7" t="s">
        <v>349</v>
      </c>
      <c r="B1046" s="7" t="s">
        <v>26</v>
      </c>
      <c r="C1046" s="7" t="s">
        <v>27</v>
      </c>
      <c r="D1046" s="7" t="s">
        <v>28</v>
      </c>
      <c r="E1046" s="7" t="s">
        <v>29</v>
      </c>
      <c r="F1046" s="7" t="s">
        <v>244</v>
      </c>
      <c r="G1046" s="7">
        <v>99.607159999999993</v>
      </c>
      <c r="H1046" s="7"/>
    </row>
    <row r="1047" spans="1:8" x14ac:dyDescent="0.35">
      <c r="A1047" s="7" t="s">
        <v>349</v>
      </c>
      <c r="B1047" s="7" t="s">
        <v>26</v>
      </c>
      <c r="C1047" s="7" t="s">
        <v>27</v>
      </c>
      <c r="D1047" s="7" t="s">
        <v>28</v>
      </c>
      <c r="E1047" s="7" t="s">
        <v>29</v>
      </c>
      <c r="F1047" s="7" t="s">
        <v>245</v>
      </c>
      <c r="G1047" s="7">
        <v>99.512</v>
      </c>
      <c r="H1047" s="7"/>
    </row>
    <row r="1048" spans="1:8" x14ac:dyDescent="0.35">
      <c r="A1048" s="7" t="s">
        <v>349</v>
      </c>
      <c r="B1048" s="7" t="s">
        <v>26</v>
      </c>
      <c r="C1048" s="7" t="s">
        <v>27</v>
      </c>
      <c r="D1048" s="7" t="s">
        <v>28</v>
      </c>
      <c r="E1048" s="7" t="s">
        <v>29</v>
      </c>
      <c r="F1048" s="7" t="s">
        <v>246</v>
      </c>
      <c r="G1048" s="7">
        <v>99.503659999999996</v>
      </c>
      <c r="H1048" s="7"/>
    </row>
    <row r="1049" spans="1:8" x14ac:dyDescent="0.35">
      <c r="A1049" s="7" t="s">
        <v>349</v>
      </c>
      <c r="B1049" s="7" t="s">
        <v>26</v>
      </c>
      <c r="C1049" s="7" t="s">
        <v>27</v>
      </c>
      <c r="D1049" s="7" t="s">
        <v>28</v>
      </c>
      <c r="E1049" s="7" t="s">
        <v>29</v>
      </c>
      <c r="F1049" s="7" t="s">
        <v>247</v>
      </c>
      <c r="G1049" s="7">
        <v>99.629360000000005</v>
      </c>
      <c r="H1049" s="7"/>
    </row>
    <row r="1050" spans="1:8" x14ac:dyDescent="0.35">
      <c r="A1050" s="7" t="s">
        <v>349</v>
      </c>
      <c r="B1050" s="7" t="s">
        <v>26</v>
      </c>
      <c r="C1050" s="7" t="s">
        <v>27</v>
      </c>
      <c r="D1050" s="7" t="s">
        <v>28</v>
      </c>
      <c r="E1050" s="7" t="s">
        <v>29</v>
      </c>
      <c r="F1050" s="7" t="s">
        <v>248</v>
      </c>
      <c r="G1050" s="7">
        <v>99.846530000000001</v>
      </c>
      <c r="H1050" s="7"/>
    </row>
    <row r="1051" spans="1:8" x14ac:dyDescent="0.35">
      <c r="A1051" s="7" t="s">
        <v>349</v>
      </c>
      <c r="B1051" s="7" t="s">
        <v>26</v>
      </c>
      <c r="C1051" s="7" t="s">
        <v>27</v>
      </c>
      <c r="D1051" s="7" t="s">
        <v>28</v>
      </c>
      <c r="E1051" s="7" t="s">
        <v>29</v>
      </c>
      <c r="F1051" s="7" t="s">
        <v>249</v>
      </c>
      <c r="G1051" s="7">
        <v>100.0805</v>
      </c>
      <c r="H1051" s="7"/>
    </row>
    <row r="1052" spans="1:8" x14ac:dyDescent="0.35">
      <c r="A1052" s="7" t="s">
        <v>349</v>
      </c>
      <c r="B1052" s="7" t="s">
        <v>26</v>
      </c>
      <c r="C1052" s="7" t="s">
        <v>27</v>
      </c>
      <c r="D1052" s="7" t="s">
        <v>28</v>
      </c>
      <c r="E1052" s="7" t="s">
        <v>29</v>
      </c>
      <c r="F1052" s="7" t="s">
        <v>250</v>
      </c>
      <c r="G1052" s="7">
        <v>100.27209999999999</v>
      </c>
      <c r="H1052" s="7"/>
    </row>
    <row r="1053" spans="1:8" x14ac:dyDescent="0.35">
      <c r="A1053" s="7" t="s">
        <v>349</v>
      </c>
      <c r="B1053" s="7" t="s">
        <v>26</v>
      </c>
      <c r="C1053" s="7" t="s">
        <v>27</v>
      </c>
      <c r="D1053" s="7" t="s">
        <v>28</v>
      </c>
      <c r="E1053" s="7" t="s">
        <v>29</v>
      </c>
      <c r="F1053" s="7" t="s">
        <v>251</v>
      </c>
      <c r="G1053" s="7">
        <v>100.34780000000001</v>
      </c>
      <c r="H1053" s="7"/>
    </row>
    <row r="1054" spans="1:8" x14ac:dyDescent="0.35">
      <c r="A1054" s="7" t="s">
        <v>349</v>
      </c>
      <c r="B1054" s="7" t="s">
        <v>26</v>
      </c>
      <c r="C1054" s="7" t="s">
        <v>27</v>
      </c>
      <c r="D1054" s="7" t="s">
        <v>28</v>
      </c>
      <c r="E1054" s="7" t="s">
        <v>29</v>
      </c>
      <c r="F1054" s="7" t="s">
        <v>252</v>
      </c>
      <c r="G1054" s="7">
        <v>100.34350000000001</v>
      </c>
      <c r="H1054" s="7"/>
    </row>
    <row r="1055" spans="1:8" x14ac:dyDescent="0.35">
      <c r="A1055" s="7" t="s">
        <v>349</v>
      </c>
      <c r="B1055" s="7" t="s">
        <v>26</v>
      </c>
      <c r="C1055" s="7" t="s">
        <v>27</v>
      </c>
      <c r="D1055" s="7" t="s">
        <v>28</v>
      </c>
      <c r="E1055" s="7" t="s">
        <v>29</v>
      </c>
      <c r="F1055" s="7" t="s">
        <v>253</v>
      </c>
      <c r="G1055" s="7">
        <v>100.29859999999999</v>
      </c>
      <c r="H1055" s="7"/>
    </row>
    <row r="1056" spans="1:8" x14ac:dyDescent="0.35">
      <c r="A1056" s="7" t="s">
        <v>349</v>
      </c>
      <c r="B1056" s="7" t="s">
        <v>26</v>
      </c>
      <c r="C1056" s="7" t="s">
        <v>27</v>
      </c>
      <c r="D1056" s="7" t="s">
        <v>28</v>
      </c>
      <c r="E1056" s="7" t="s">
        <v>29</v>
      </c>
      <c r="F1056" s="7" t="s">
        <v>254</v>
      </c>
      <c r="G1056" s="7">
        <v>100.2705</v>
      </c>
      <c r="H1056" s="7"/>
    </row>
    <row r="1057" spans="1:8" x14ac:dyDescent="0.35">
      <c r="A1057" s="7" t="s">
        <v>349</v>
      </c>
      <c r="B1057" s="7" t="s">
        <v>26</v>
      </c>
      <c r="C1057" s="7" t="s">
        <v>27</v>
      </c>
      <c r="D1057" s="7" t="s">
        <v>28</v>
      </c>
      <c r="E1057" s="7" t="s">
        <v>29</v>
      </c>
      <c r="F1057" s="7" t="s">
        <v>255</v>
      </c>
      <c r="G1057" s="7">
        <v>100.1039</v>
      </c>
      <c r="H1057" s="7"/>
    </row>
    <row r="1058" spans="1:8" x14ac:dyDescent="0.35">
      <c r="A1058" s="7" t="s">
        <v>349</v>
      </c>
      <c r="B1058" s="7" t="s">
        <v>26</v>
      </c>
      <c r="C1058" s="7" t="s">
        <v>27</v>
      </c>
      <c r="D1058" s="7" t="s">
        <v>28</v>
      </c>
      <c r="E1058" s="7" t="s">
        <v>29</v>
      </c>
      <c r="F1058" s="7" t="s">
        <v>256</v>
      </c>
      <c r="G1058" s="7">
        <v>99.938479999999998</v>
      </c>
      <c r="H1058" s="7"/>
    </row>
    <row r="1059" spans="1:8" x14ac:dyDescent="0.35">
      <c r="A1059" s="7" t="s">
        <v>349</v>
      </c>
      <c r="B1059" s="7" t="s">
        <v>26</v>
      </c>
      <c r="C1059" s="7" t="s">
        <v>27</v>
      </c>
      <c r="D1059" s="7" t="s">
        <v>28</v>
      </c>
      <c r="E1059" s="7" t="s">
        <v>29</v>
      </c>
      <c r="F1059" s="7" t="s">
        <v>257</v>
      </c>
      <c r="G1059" s="7">
        <v>99.855170000000001</v>
      </c>
      <c r="H1059" s="7"/>
    </row>
    <row r="1060" spans="1:8" x14ac:dyDescent="0.35">
      <c r="A1060" s="7" t="s">
        <v>349</v>
      </c>
      <c r="B1060" s="7" t="s">
        <v>26</v>
      </c>
      <c r="C1060" s="7" t="s">
        <v>27</v>
      </c>
      <c r="D1060" s="7" t="s">
        <v>28</v>
      </c>
      <c r="E1060" s="7" t="s">
        <v>29</v>
      </c>
      <c r="F1060" s="7" t="s">
        <v>258</v>
      </c>
      <c r="G1060" s="7">
        <v>99.807820000000007</v>
      </c>
      <c r="H1060" s="7"/>
    </row>
    <row r="1061" spans="1:8" x14ac:dyDescent="0.35">
      <c r="A1061" s="7" t="s">
        <v>349</v>
      </c>
      <c r="B1061" s="7" t="s">
        <v>26</v>
      </c>
      <c r="C1061" s="7" t="s">
        <v>27</v>
      </c>
      <c r="D1061" s="7" t="s">
        <v>28</v>
      </c>
      <c r="E1061" s="7" t="s">
        <v>29</v>
      </c>
      <c r="F1061" s="7" t="s">
        <v>259</v>
      </c>
      <c r="G1061" s="7">
        <v>99.787750000000003</v>
      </c>
      <c r="H1061" s="7"/>
    </row>
    <row r="1062" spans="1:8" x14ac:dyDescent="0.35">
      <c r="A1062" s="7" t="s">
        <v>349</v>
      </c>
      <c r="B1062" s="7" t="s">
        <v>26</v>
      </c>
      <c r="C1062" s="7" t="s">
        <v>27</v>
      </c>
      <c r="D1062" s="7" t="s">
        <v>28</v>
      </c>
      <c r="E1062" s="7" t="s">
        <v>29</v>
      </c>
      <c r="F1062" s="7" t="s">
        <v>260</v>
      </c>
      <c r="G1062" s="7">
        <v>99.820229999999995</v>
      </c>
      <c r="H1062" s="7"/>
    </row>
    <row r="1063" spans="1:8" x14ac:dyDescent="0.35">
      <c r="A1063" s="7" t="s">
        <v>349</v>
      </c>
      <c r="B1063" s="7" t="s">
        <v>26</v>
      </c>
      <c r="C1063" s="7" t="s">
        <v>27</v>
      </c>
      <c r="D1063" s="7" t="s">
        <v>28</v>
      </c>
      <c r="E1063" s="7" t="s">
        <v>29</v>
      </c>
      <c r="F1063" s="7" t="s">
        <v>261</v>
      </c>
      <c r="G1063" s="7">
        <v>99.790959999999998</v>
      </c>
      <c r="H1063" s="7"/>
    </row>
    <row r="1064" spans="1:8" x14ac:dyDescent="0.35">
      <c r="A1064" s="7" t="s">
        <v>349</v>
      </c>
      <c r="B1064" s="7" t="s">
        <v>26</v>
      </c>
      <c r="C1064" s="7" t="s">
        <v>27</v>
      </c>
      <c r="D1064" s="7" t="s">
        <v>28</v>
      </c>
      <c r="E1064" s="7" t="s">
        <v>29</v>
      </c>
      <c r="F1064" s="7" t="s">
        <v>262</v>
      </c>
      <c r="G1064" s="7">
        <v>99.627579999999995</v>
      </c>
      <c r="H1064" s="7"/>
    </row>
    <row r="1065" spans="1:8" x14ac:dyDescent="0.35">
      <c r="A1065" s="7" t="s">
        <v>349</v>
      </c>
      <c r="B1065" s="7" t="s">
        <v>26</v>
      </c>
      <c r="C1065" s="7" t="s">
        <v>27</v>
      </c>
      <c r="D1065" s="7" t="s">
        <v>28</v>
      </c>
      <c r="E1065" s="7" t="s">
        <v>29</v>
      </c>
      <c r="F1065" s="7" t="s">
        <v>263</v>
      </c>
      <c r="G1065" s="7">
        <v>99.532619999999994</v>
      </c>
      <c r="H1065" s="7"/>
    </row>
    <row r="1066" spans="1:8" x14ac:dyDescent="0.35">
      <c r="A1066" s="7" t="s">
        <v>349</v>
      </c>
      <c r="B1066" s="7" t="s">
        <v>26</v>
      </c>
      <c r="C1066" s="7" t="s">
        <v>27</v>
      </c>
      <c r="D1066" s="7" t="s">
        <v>28</v>
      </c>
      <c r="E1066" s="7" t="s">
        <v>29</v>
      </c>
      <c r="F1066" s="7" t="s">
        <v>264</v>
      </c>
      <c r="G1066" s="7">
        <v>99.596800000000002</v>
      </c>
      <c r="H1066" s="7"/>
    </row>
    <row r="1067" spans="1:8" x14ac:dyDescent="0.35">
      <c r="A1067" s="7" t="s">
        <v>349</v>
      </c>
      <c r="B1067" s="7" t="s">
        <v>26</v>
      </c>
      <c r="C1067" s="7" t="s">
        <v>27</v>
      </c>
      <c r="D1067" s="7" t="s">
        <v>28</v>
      </c>
      <c r="E1067" s="7" t="s">
        <v>29</v>
      </c>
      <c r="F1067" s="7" t="s">
        <v>265</v>
      </c>
      <c r="G1067" s="7">
        <v>99.649469999999994</v>
      </c>
      <c r="H1067" s="7"/>
    </row>
    <row r="1068" spans="1:8" x14ac:dyDescent="0.35">
      <c r="A1068" s="7" t="s">
        <v>349</v>
      </c>
      <c r="B1068" s="7" t="s">
        <v>26</v>
      </c>
      <c r="C1068" s="7" t="s">
        <v>27</v>
      </c>
      <c r="D1068" s="7" t="s">
        <v>28</v>
      </c>
      <c r="E1068" s="7" t="s">
        <v>29</v>
      </c>
      <c r="F1068" s="7" t="s">
        <v>266</v>
      </c>
      <c r="G1068" s="7">
        <v>99.673220000000001</v>
      </c>
      <c r="H1068" s="7"/>
    </row>
    <row r="1069" spans="1:8" x14ac:dyDescent="0.35">
      <c r="A1069" s="7" t="s">
        <v>349</v>
      </c>
      <c r="B1069" s="7" t="s">
        <v>26</v>
      </c>
      <c r="C1069" s="7" t="s">
        <v>27</v>
      </c>
      <c r="D1069" s="7" t="s">
        <v>28</v>
      </c>
      <c r="E1069" s="7" t="s">
        <v>29</v>
      </c>
      <c r="F1069" s="7" t="s">
        <v>267</v>
      </c>
      <c r="G1069" s="7">
        <v>99.629000000000005</v>
      </c>
      <c r="H1069" s="7"/>
    </row>
    <row r="1070" spans="1:8" x14ac:dyDescent="0.35">
      <c r="A1070" s="7" t="s">
        <v>349</v>
      </c>
      <c r="B1070" s="7" t="s">
        <v>26</v>
      </c>
      <c r="C1070" s="7" t="s">
        <v>27</v>
      </c>
      <c r="D1070" s="7" t="s">
        <v>28</v>
      </c>
      <c r="E1070" s="7" t="s">
        <v>29</v>
      </c>
      <c r="F1070" s="7" t="s">
        <v>268</v>
      </c>
      <c r="G1070" s="7">
        <v>99.615740000000002</v>
      </c>
      <c r="H1070" s="7"/>
    </row>
    <row r="1071" spans="1:8" x14ac:dyDescent="0.35">
      <c r="A1071" s="7" t="s">
        <v>349</v>
      </c>
      <c r="B1071" s="7" t="s">
        <v>26</v>
      </c>
      <c r="C1071" s="7" t="s">
        <v>27</v>
      </c>
      <c r="D1071" s="7" t="s">
        <v>28</v>
      </c>
      <c r="E1071" s="7" t="s">
        <v>29</v>
      </c>
      <c r="F1071" s="7" t="s">
        <v>269</v>
      </c>
      <c r="G1071" s="7">
        <v>99.537610000000001</v>
      </c>
      <c r="H1071" s="7"/>
    </row>
    <row r="1072" spans="1:8" x14ac:dyDescent="0.35">
      <c r="A1072" s="7" t="s">
        <v>349</v>
      </c>
      <c r="B1072" s="7" t="s">
        <v>26</v>
      </c>
      <c r="C1072" s="7" t="s">
        <v>27</v>
      </c>
      <c r="D1072" s="7" t="s">
        <v>28</v>
      </c>
      <c r="E1072" s="7" t="s">
        <v>29</v>
      </c>
      <c r="F1072" s="7" t="s">
        <v>270</v>
      </c>
      <c r="G1072" s="7">
        <v>99.341430000000003</v>
      </c>
      <c r="H1072" s="7"/>
    </row>
    <row r="1073" spans="1:8" x14ac:dyDescent="0.35">
      <c r="A1073" s="7" t="s">
        <v>349</v>
      </c>
      <c r="B1073" s="7" t="s">
        <v>26</v>
      </c>
      <c r="C1073" s="7" t="s">
        <v>27</v>
      </c>
      <c r="D1073" s="7" t="s">
        <v>28</v>
      </c>
      <c r="E1073" s="7" t="s">
        <v>29</v>
      </c>
      <c r="F1073" s="7" t="s">
        <v>271</v>
      </c>
      <c r="G1073" s="7">
        <v>99.074389999999994</v>
      </c>
      <c r="H1073" s="7"/>
    </row>
    <row r="1074" spans="1:8" x14ac:dyDescent="0.35">
      <c r="A1074" s="7" t="s">
        <v>349</v>
      </c>
      <c r="B1074" s="7" t="s">
        <v>26</v>
      </c>
      <c r="C1074" s="7" t="s">
        <v>27</v>
      </c>
      <c r="D1074" s="7" t="s">
        <v>28</v>
      </c>
      <c r="E1074" s="7" t="s">
        <v>29</v>
      </c>
      <c r="F1074" s="7" t="s">
        <v>272</v>
      </c>
      <c r="G1074" s="7">
        <v>99.049710000000005</v>
      </c>
      <c r="H1074" s="7"/>
    </row>
    <row r="1075" spans="1:8" x14ac:dyDescent="0.35">
      <c r="A1075" s="7" t="s">
        <v>349</v>
      </c>
      <c r="B1075" s="7" t="s">
        <v>26</v>
      </c>
      <c r="C1075" s="7" t="s">
        <v>27</v>
      </c>
      <c r="D1075" s="7" t="s">
        <v>28</v>
      </c>
      <c r="E1075" s="7" t="s">
        <v>29</v>
      </c>
      <c r="F1075" s="7" t="s">
        <v>273</v>
      </c>
      <c r="G1075" s="7">
        <v>99.145799999999994</v>
      </c>
      <c r="H1075" s="7"/>
    </row>
    <row r="1076" spans="1:8" x14ac:dyDescent="0.35">
      <c r="A1076" s="7" t="s">
        <v>349</v>
      </c>
      <c r="B1076" s="7" t="s">
        <v>26</v>
      </c>
      <c r="C1076" s="7" t="s">
        <v>27</v>
      </c>
      <c r="D1076" s="7" t="s">
        <v>28</v>
      </c>
      <c r="E1076" s="7" t="s">
        <v>29</v>
      </c>
      <c r="F1076" s="7" t="s">
        <v>274</v>
      </c>
      <c r="G1076" s="7">
        <v>99.258830000000003</v>
      </c>
      <c r="H1076" s="7"/>
    </row>
    <row r="1077" spans="1:8" x14ac:dyDescent="0.35">
      <c r="A1077" s="7" t="s">
        <v>349</v>
      </c>
      <c r="B1077" s="7" t="s">
        <v>26</v>
      </c>
      <c r="C1077" s="7" t="s">
        <v>27</v>
      </c>
      <c r="D1077" s="7" t="s">
        <v>28</v>
      </c>
      <c r="E1077" s="7" t="s">
        <v>29</v>
      </c>
      <c r="F1077" s="7" t="s">
        <v>275</v>
      </c>
      <c r="G1077" s="7">
        <v>99.21687</v>
      </c>
      <c r="H1077" s="7"/>
    </row>
    <row r="1078" spans="1:8" x14ac:dyDescent="0.35">
      <c r="A1078" s="7" t="s">
        <v>349</v>
      </c>
      <c r="B1078" s="7" t="s">
        <v>26</v>
      </c>
      <c r="C1078" s="7" t="s">
        <v>27</v>
      </c>
      <c r="D1078" s="7" t="s">
        <v>28</v>
      </c>
      <c r="E1078" s="7" t="s">
        <v>29</v>
      </c>
      <c r="F1078" s="7" t="s">
        <v>276</v>
      </c>
      <c r="G1078" s="7">
        <v>99.104870000000005</v>
      </c>
      <c r="H1078" s="7"/>
    </row>
    <row r="1079" spans="1:8" x14ac:dyDescent="0.35">
      <c r="A1079" s="7" t="s">
        <v>349</v>
      </c>
      <c r="B1079" s="7" t="s">
        <v>26</v>
      </c>
      <c r="C1079" s="7" t="s">
        <v>27</v>
      </c>
      <c r="D1079" s="7" t="s">
        <v>28</v>
      </c>
      <c r="E1079" s="7" t="s">
        <v>29</v>
      </c>
      <c r="F1079" s="7" t="s">
        <v>277</v>
      </c>
      <c r="G1079" s="7">
        <v>99.021429999999995</v>
      </c>
      <c r="H1079" s="7"/>
    </row>
    <row r="1080" spans="1:8" x14ac:dyDescent="0.35">
      <c r="A1080" s="7" t="s">
        <v>349</v>
      </c>
      <c r="B1080" s="7" t="s">
        <v>26</v>
      </c>
      <c r="C1080" s="7" t="s">
        <v>27</v>
      </c>
      <c r="D1080" s="7" t="s">
        <v>28</v>
      </c>
      <c r="E1080" s="7" t="s">
        <v>29</v>
      </c>
      <c r="F1080" s="7" t="s">
        <v>278</v>
      </c>
      <c r="G1080" s="7">
        <v>99.017589999999998</v>
      </c>
      <c r="H1080" s="7"/>
    </row>
    <row r="1081" spans="1:8" x14ac:dyDescent="0.35">
      <c r="A1081" s="7" t="s">
        <v>349</v>
      </c>
      <c r="B1081" s="7" t="s">
        <v>26</v>
      </c>
      <c r="C1081" s="7" t="s">
        <v>27</v>
      </c>
      <c r="D1081" s="7" t="s">
        <v>28</v>
      </c>
      <c r="E1081" s="7" t="s">
        <v>29</v>
      </c>
      <c r="F1081" s="7" t="s">
        <v>279</v>
      </c>
      <c r="G1081" s="7">
        <v>98.945890000000006</v>
      </c>
      <c r="H1081" s="7"/>
    </row>
    <row r="1082" spans="1:8" x14ac:dyDescent="0.35">
      <c r="A1082" s="7" t="s">
        <v>349</v>
      </c>
      <c r="B1082" s="7" t="s">
        <v>26</v>
      </c>
      <c r="C1082" s="7" t="s">
        <v>27</v>
      </c>
      <c r="D1082" s="7" t="s">
        <v>28</v>
      </c>
      <c r="E1082" s="7" t="s">
        <v>29</v>
      </c>
      <c r="F1082" s="7" t="s">
        <v>280</v>
      </c>
      <c r="G1082" s="7">
        <v>98.831059999999994</v>
      </c>
      <c r="H1082" s="7"/>
    </row>
    <row r="1083" spans="1:8" x14ac:dyDescent="0.35">
      <c r="A1083" s="7" t="s">
        <v>349</v>
      </c>
      <c r="B1083" s="7" t="s">
        <v>26</v>
      </c>
      <c r="C1083" s="7" t="s">
        <v>27</v>
      </c>
      <c r="D1083" s="7" t="s">
        <v>28</v>
      </c>
      <c r="E1083" s="7" t="s">
        <v>29</v>
      </c>
      <c r="F1083" s="7" t="s">
        <v>281</v>
      </c>
      <c r="G1083" s="7">
        <v>98.778660000000002</v>
      </c>
      <c r="H1083" s="7"/>
    </row>
    <row r="1084" spans="1:8" x14ac:dyDescent="0.35">
      <c r="A1084" s="7" t="s">
        <v>349</v>
      </c>
      <c r="B1084" s="7" t="s">
        <v>26</v>
      </c>
      <c r="C1084" s="7" t="s">
        <v>27</v>
      </c>
      <c r="D1084" s="7" t="s">
        <v>28</v>
      </c>
      <c r="E1084" s="7" t="s">
        <v>29</v>
      </c>
      <c r="F1084" s="7" t="s">
        <v>282</v>
      </c>
      <c r="G1084" s="7">
        <v>98.804640000000006</v>
      </c>
      <c r="H1084" s="7"/>
    </row>
    <row r="1085" spans="1:8" x14ac:dyDescent="0.35">
      <c r="A1085" s="7" t="s">
        <v>349</v>
      </c>
      <c r="B1085" s="7" t="s">
        <v>26</v>
      </c>
      <c r="C1085" s="7" t="s">
        <v>27</v>
      </c>
      <c r="D1085" s="7" t="s">
        <v>28</v>
      </c>
      <c r="E1085" s="7" t="s">
        <v>29</v>
      </c>
      <c r="F1085" s="7" t="s">
        <v>283</v>
      </c>
      <c r="G1085" s="7">
        <v>98.816450000000003</v>
      </c>
      <c r="H1085" s="7"/>
    </row>
    <row r="1086" spans="1:8" x14ac:dyDescent="0.35">
      <c r="A1086" s="7" t="s">
        <v>349</v>
      </c>
      <c r="B1086" s="7" t="s">
        <v>26</v>
      </c>
      <c r="C1086" s="7" t="s">
        <v>27</v>
      </c>
      <c r="D1086" s="7" t="s">
        <v>28</v>
      </c>
      <c r="E1086" s="7" t="s">
        <v>29</v>
      </c>
      <c r="F1086" s="7" t="s">
        <v>284</v>
      </c>
      <c r="G1086" s="7">
        <v>98.862120000000004</v>
      </c>
      <c r="H1086" s="7"/>
    </row>
    <row r="1087" spans="1:8" x14ac:dyDescent="0.35">
      <c r="A1087" s="7" t="s">
        <v>349</v>
      </c>
      <c r="B1087" s="7" t="s">
        <v>26</v>
      </c>
      <c r="C1087" s="7" t="s">
        <v>27</v>
      </c>
      <c r="D1087" s="7" t="s">
        <v>28</v>
      </c>
      <c r="E1087" s="7" t="s">
        <v>29</v>
      </c>
      <c r="F1087" s="7" t="s">
        <v>285</v>
      </c>
      <c r="G1087" s="7">
        <v>98.955449999999999</v>
      </c>
      <c r="H1087" s="7"/>
    </row>
    <row r="1088" spans="1:8" x14ac:dyDescent="0.35">
      <c r="A1088" s="7" t="s">
        <v>349</v>
      </c>
      <c r="B1088" s="7" t="s">
        <v>26</v>
      </c>
      <c r="C1088" s="7" t="s">
        <v>27</v>
      </c>
      <c r="D1088" s="7" t="s">
        <v>28</v>
      </c>
      <c r="E1088" s="7" t="s">
        <v>29</v>
      </c>
      <c r="F1088" s="7" t="s">
        <v>286</v>
      </c>
      <c r="G1088" s="7">
        <v>99.020129999999995</v>
      </c>
      <c r="H1088" s="7"/>
    </row>
    <row r="1089" spans="1:8" x14ac:dyDescent="0.35">
      <c r="A1089" s="7" t="s">
        <v>349</v>
      </c>
      <c r="B1089" s="7" t="s">
        <v>26</v>
      </c>
      <c r="C1089" s="7" t="s">
        <v>27</v>
      </c>
      <c r="D1089" s="7" t="s">
        <v>28</v>
      </c>
      <c r="E1089" s="7" t="s">
        <v>29</v>
      </c>
      <c r="F1089" s="7" t="s">
        <v>287</v>
      </c>
      <c r="G1089" s="7">
        <v>99.102069999999998</v>
      </c>
      <c r="H1089" s="7"/>
    </row>
    <row r="1090" spans="1:8" x14ac:dyDescent="0.35">
      <c r="A1090" s="7" t="s">
        <v>349</v>
      </c>
      <c r="B1090" s="7" t="s">
        <v>26</v>
      </c>
      <c r="C1090" s="7" t="s">
        <v>27</v>
      </c>
      <c r="D1090" s="7" t="s">
        <v>28</v>
      </c>
      <c r="E1090" s="7" t="s">
        <v>29</v>
      </c>
      <c r="F1090" s="7" t="s">
        <v>288</v>
      </c>
      <c r="G1090" s="7">
        <v>99.151939999999996</v>
      </c>
      <c r="H1090" s="7"/>
    </row>
    <row r="1091" spans="1:8" x14ac:dyDescent="0.35">
      <c r="A1091" s="7" t="s">
        <v>349</v>
      </c>
      <c r="B1091" s="7" t="s">
        <v>26</v>
      </c>
      <c r="C1091" s="7" t="s">
        <v>27</v>
      </c>
      <c r="D1091" s="7" t="s">
        <v>28</v>
      </c>
      <c r="E1091" s="7" t="s">
        <v>29</v>
      </c>
      <c r="F1091" s="7" t="s">
        <v>289</v>
      </c>
      <c r="G1091" s="7">
        <v>99.269149999999996</v>
      </c>
      <c r="H1091" s="7"/>
    </row>
    <row r="1092" spans="1:8" x14ac:dyDescent="0.35">
      <c r="A1092" s="7" t="s">
        <v>349</v>
      </c>
      <c r="B1092" s="7" t="s">
        <v>26</v>
      </c>
      <c r="C1092" s="7" t="s">
        <v>27</v>
      </c>
      <c r="D1092" s="7" t="s">
        <v>28</v>
      </c>
      <c r="E1092" s="7" t="s">
        <v>29</v>
      </c>
      <c r="F1092" s="7" t="s">
        <v>290</v>
      </c>
      <c r="G1092" s="7">
        <v>99.387169999999998</v>
      </c>
      <c r="H1092" s="7"/>
    </row>
    <row r="1093" spans="1:8" x14ac:dyDescent="0.35">
      <c r="A1093" s="7" t="s">
        <v>349</v>
      </c>
      <c r="B1093" s="7" t="s">
        <v>26</v>
      </c>
      <c r="C1093" s="7" t="s">
        <v>27</v>
      </c>
      <c r="D1093" s="7" t="s">
        <v>28</v>
      </c>
      <c r="E1093" s="7" t="s">
        <v>29</v>
      </c>
      <c r="F1093" s="7" t="s">
        <v>291</v>
      </c>
      <c r="G1093" s="7">
        <v>99.502669999999995</v>
      </c>
      <c r="H1093" s="7"/>
    </row>
    <row r="1094" spans="1:8" x14ac:dyDescent="0.35">
      <c r="A1094" s="7" t="s">
        <v>349</v>
      </c>
      <c r="B1094" s="7" t="s">
        <v>26</v>
      </c>
      <c r="C1094" s="7" t="s">
        <v>27</v>
      </c>
      <c r="D1094" s="7" t="s">
        <v>28</v>
      </c>
      <c r="E1094" s="7" t="s">
        <v>29</v>
      </c>
      <c r="F1094" s="7" t="s">
        <v>292</v>
      </c>
      <c r="G1094" s="7">
        <v>99.588099999999997</v>
      </c>
      <c r="H1094" s="7"/>
    </row>
    <row r="1095" spans="1:8" x14ac:dyDescent="0.35">
      <c r="A1095" s="7" t="s">
        <v>349</v>
      </c>
      <c r="B1095" s="7" t="s">
        <v>26</v>
      </c>
      <c r="C1095" s="7" t="s">
        <v>27</v>
      </c>
      <c r="D1095" s="7" t="s">
        <v>28</v>
      </c>
      <c r="E1095" s="7" t="s">
        <v>29</v>
      </c>
      <c r="F1095" s="7" t="s">
        <v>293</v>
      </c>
      <c r="G1095" s="7">
        <v>99.618809999999996</v>
      </c>
      <c r="H1095" s="7"/>
    </row>
    <row r="1096" spans="1:8" x14ac:dyDescent="0.35">
      <c r="A1096" s="7" t="s">
        <v>349</v>
      </c>
      <c r="B1096" s="7" t="s">
        <v>26</v>
      </c>
      <c r="C1096" s="7" t="s">
        <v>27</v>
      </c>
      <c r="D1096" s="7" t="s">
        <v>28</v>
      </c>
      <c r="E1096" s="7" t="s">
        <v>29</v>
      </c>
      <c r="F1096" s="7" t="s">
        <v>294</v>
      </c>
      <c r="G1096" s="7">
        <v>99.691320000000005</v>
      </c>
      <c r="H1096" s="7"/>
    </row>
    <row r="1097" spans="1:8" x14ac:dyDescent="0.35">
      <c r="A1097" s="7" t="s">
        <v>349</v>
      </c>
      <c r="B1097" s="7" t="s">
        <v>26</v>
      </c>
      <c r="C1097" s="7" t="s">
        <v>27</v>
      </c>
      <c r="D1097" s="7" t="s">
        <v>28</v>
      </c>
      <c r="E1097" s="7" t="s">
        <v>29</v>
      </c>
      <c r="F1097" s="7" t="s">
        <v>295</v>
      </c>
      <c r="G1097" s="7">
        <v>99.80932</v>
      </c>
      <c r="H1097" s="7"/>
    </row>
    <row r="1098" spans="1:8" x14ac:dyDescent="0.35">
      <c r="A1098" s="7" t="s">
        <v>349</v>
      </c>
      <c r="B1098" s="7" t="s">
        <v>26</v>
      </c>
      <c r="C1098" s="7" t="s">
        <v>27</v>
      </c>
      <c r="D1098" s="7" t="s">
        <v>28</v>
      </c>
      <c r="E1098" s="7" t="s">
        <v>29</v>
      </c>
      <c r="F1098" s="7" t="s">
        <v>296</v>
      </c>
      <c r="G1098" s="7">
        <v>99.872209999999995</v>
      </c>
      <c r="H1098" s="7"/>
    </row>
    <row r="1099" spans="1:8" x14ac:dyDescent="0.35">
      <c r="A1099" s="7" t="s">
        <v>349</v>
      </c>
      <c r="B1099" s="7" t="s">
        <v>26</v>
      </c>
      <c r="C1099" s="7" t="s">
        <v>27</v>
      </c>
      <c r="D1099" s="7" t="s">
        <v>28</v>
      </c>
      <c r="E1099" s="7" t="s">
        <v>29</v>
      </c>
      <c r="F1099" s="7" t="s">
        <v>297</v>
      </c>
      <c r="G1099" s="7">
        <v>99.954480000000004</v>
      </c>
      <c r="H1099" s="7"/>
    </row>
    <row r="1100" spans="1:8" x14ac:dyDescent="0.35">
      <c r="A1100" s="7" t="s">
        <v>349</v>
      </c>
      <c r="B1100" s="7" t="s">
        <v>26</v>
      </c>
      <c r="C1100" s="7" t="s">
        <v>27</v>
      </c>
      <c r="D1100" s="7" t="s">
        <v>28</v>
      </c>
      <c r="E1100" s="7" t="s">
        <v>29</v>
      </c>
      <c r="F1100" s="7" t="s">
        <v>298</v>
      </c>
      <c r="G1100" s="7">
        <v>100.06959999999999</v>
      </c>
      <c r="H1100" s="7"/>
    </row>
    <row r="1101" spans="1:8" x14ac:dyDescent="0.35">
      <c r="A1101" s="7" t="s">
        <v>349</v>
      </c>
      <c r="B1101" s="7" t="s">
        <v>26</v>
      </c>
      <c r="C1101" s="7" t="s">
        <v>27</v>
      </c>
      <c r="D1101" s="7" t="s">
        <v>28</v>
      </c>
      <c r="E1101" s="7" t="s">
        <v>29</v>
      </c>
      <c r="F1101" s="7" t="s">
        <v>299</v>
      </c>
      <c r="G1101" s="7">
        <v>100.1489</v>
      </c>
      <c r="H1101" s="7"/>
    </row>
    <row r="1102" spans="1:8" x14ac:dyDescent="0.35">
      <c r="A1102" s="7" t="s">
        <v>349</v>
      </c>
      <c r="B1102" s="7" t="s">
        <v>26</v>
      </c>
      <c r="C1102" s="7" t="s">
        <v>27</v>
      </c>
      <c r="D1102" s="7" t="s">
        <v>28</v>
      </c>
      <c r="E1102" s="7" t="s">
        <v>29</v>
      </c>
      <c r="F1102" s="7" t="s">
        <v>300</v>
      </c>
      <c r="G1102" s="7">
        <v>100.2627</v>
      </c>
      <c r="H1102" s="7"/>
    </row>
    <row r="1103" spans="1:8" x14ac:dyDescent="0.35">
      <c r="A1103" s="7" t="s">
        <v>349</v>
      </c>
      <c r="B1103" s="7" t="s">
        <v>26</v>
      </c>
      <c r="C1103" s="7" t="s">
        <v>27</v>
      </c>
      <c r="D1103" s="7" t="s">
        <v>28</v>
      </c>
      <c r="E1103" s="7" t="s">
        <v>29</v>
      </c>
      <c r="F1103" s="7" t="s">
        <v>301</v>
      </c>
      <c r="G1103" s="7">
        <v>100.26560000000001</v>
      </c>
      <c r="H1103" s="7"/>
    </row>
    <row r="1104" spans="1:8" x14ac:dyDescent="0.35">
      <c r="A1104" s="7" t="s">
        <v>349</v>
      </c>
      <c r="B1104" s="7" t="s">
        <v>26</v>
      </c>
      <c r="C1104" s="7" t="s">
        <v>27</v>
      </c>
      <c r="D1104" s="7" t="s">
        <v>28</v>
      </c>
      <c r="E1104" s="7" t="s">
        <v>29</v>
      </c>
      <c r="F1104" s="7" t="s">
        <v>302</v>
      </c>
      <c r="G1104" s="7">
        <v>100.12139999999999</v>
      </c>
      <c r="H1104" s="7"/>
    </row>
    <row r="1105" spans="1:8" x14ac:dyDescent="0.35">
      <c r="A1105" s="7" t="s">
        <v>349</v>
      </c>
      <c r="B1105" s="7" t="s">
        <v>26</v>
      </c>
      <c r="C1105" s="7" t="s">
        <v>27</v>
      </c>
      <c r="D1105" s="7" t="s">
        <v>28</v>
      </c>
      <c r="E1105" s="7" t="s">
        <v>29</v>
      </c>
      <c r="F1105" s="7" t="s">
        <v>303</v>
      </c>
      <c r="G1105" s="7">
        <v>100.0219</v>
      </c>
      <c r="H1105" s="7"/>
    </row>
    <row r="1106" spans="1:8" x14ac:dyDescent="0.35">
      <c r="A1106" s="7" t="s">
        <v>349</v>
      </c>
      <c r="B1106" s="7" t="s">
        <v>26</v>
      </c>
      <c r="C1106" s="7" t="s">
        <v>27</v>
      </c>
      <c r="D1106" s="7" t="s">
        <v>28</v>
      </c>
      <c r="E1106" s="7" t="s">
        <v>29</v>
      </c>
      <c r="F1106" s="7" t="s">
        <v>304</v>
      </c>
      <c r="G1106" s="7">
        <v>100.0626</v>
      </c>
      <c r="H1106" s="7"/>
    </row>
    <row r="1107" spans="1:8" x14ac:dyDescent="0.35">
      <c r="A1107" s="7" t="s">
        <v>349</v>
      </c>
      <c r="B1107" s="7" t="s">
        <v>26</v>
      </c>
      <c r="C1107" s="7" t="s">
        <v>27</v>
      </c>
      <c r="D1107" s="7" t="s">
        <v>28</v>
      </c>
      <c r="E1107" s="7" t="s">
        <v>29</v>
      </c>
      <c r="F1107" s="7" t="s">
        <v>305</v>
      </c>
      <c r="G1107" s="7">
        <v>100.2405</v>
      </c>
      <c r="H1107" s="7"/>
    </row>
    <row r="1108" spans="1:8" x14ac:dyDescent="0.35">
      <c r="A1108" s="7" t="s">
        <v>349</v>
      </c>
      <c r="B1108" s="7" t="s">
        <v>26</v>
      </c>
      <c r="C1108" s="7" t="s">
        <v>27</v>
      </c>
      <c r="D1108" s="7" t="s">
        <v>28</v>
      </c>
      <c r="E1108" s="7" t="s">
        <v>29</v>
      </c>
      <c r="F1108" s="7" t="s">
        <v>306</v>
      </c>
      <c r="G1108" s="7">
        <v>100.3927</v>
      </c>
      <c r="H1108" s="7"/>
    </row>
    <row r="1109" spans="1:8" x14ac:dyDescent="0.35">
      <c r="A1109" s="7" t="s">
        <v>349</v>
      </c>
      <c r="B1109" s="7" t="s">
        <v>26</v>
      </c>
      <c r="C1109" s="7" t="s">
        <v>27</v>
      </c>
      <c r="D1109" s="7" t="s">
        <v>28</v>
      </c>
      <c r="E1109" s="7" t="s">
        <v>29</v>
      </c>
      <c r="F1109" s="7" t="s">
        <v>307</v>
      </c>
      <c r="G1109" s="7">
        <v>100.4569</v>
      </c>
      <c r="H1109" s="7"/>
    </row>
    <row r="1110" spans="1:8" x14ac:dyDescent="0.35">
      <c r="A1110" s="7" t="s">
        <v>349</v>
      </c>
      <c r="B1110" s="7" t="s">
        <v>26</v>
      </c>
      <c r="C1110" s="7" t="s">
        <v>27</v>
      </c>
      <c r="D1110" s="7" t="s">
        <v>28</v>
      </c>
      <c r="E1110" s="7" t="s">
        <v>29</v>
      </c>
      <c r="F1110" s="7" t="s">
        <v>308</v>
      </c>
      <c r="G1110" s="7">
        <v>100.4516</v>
      </c>
      <c r="H1110" s="7"/>
    </row>
    <row r="1111" spans="1:8" x14ac:dyDescent="0.35">
      <c r="A1111" s="7" t="s">
        <v>349</v>
      </c>
      <c r="B1111" s="7" t="s">
        <v>26</v>
      </c>
      <c r="C1111" s="7" t="s">
        <v>27</v>
      </c>
      <c r="D1111" s="7" t="s">
        <v>28</v>
      </c>
      <c r="E1111" s="7" t="s">
        <v>29</v>
      </c>
      <c r="F1111" s="7" t="s">
        <v>309</v>
      </c>
      <c r="G1111" s="7">
        <v>100.5134</v>
      </c>
      <c r="H1111" s="7"/>
    </row>
    <row r="1112" spans="1:8" x14ac:dyDescent="0.35">
      <c r="A1112" s="7" t="s">
        <v>349</v>
      </c>
      <c r="B1112" s="7" t="s">
        <v>26</v>
      </c>
      <c r="C1112" s="7" t="s">
        <v>27</v>
      </c>
      <c r="D1112" s="7" t="s">
        <v>28</v>
      </c>
      <c r="E1112" s="7" t="s">
        <v>29</v>
      </c>
      <c r="F1112" s="7" t="s">
        <v>310</v>
      </c>
      <c r="G1112" s="7">
        <v>100.6277</v>
      </c>
      <c r="H1112" s="7"/>
    </row>
    <row r="1113" spans="1:8" x14ac:dyDescent="0.35">
      <c r="A1113" s="7" t="s">
        <v>349</v>
      </c>
      <c r="B1113" s="7" t="s">
        <v>26</v>
      </c>
      <c r="C1113" s="7" t="s">
        <v>27</v>
      </c>
      <c r="D1113" s="7" t="s">
        <v>28</v>
      </c>
      <c r="E1113" s="7" t="s">
        <v>29</v>
      </c>
      <c r="F1113" s="7" t="s">
        <v>311</v>
      </c>
      <c r="G1113" s="7">
        <v>100.73990000000001</v>
      </c>
      <c r="H1113" s="7"/>
    </row>
    <row r="1114" spans="1:8" x14ac:dyDescent="0.35">
      <c r="A1114" s="7" t="s">
        <v>349</v>
      </c>
      <c r="B1114" s="7" t="s">
        <v>26</v>
      </c>
      <c r="C1114" s="7" t="s">
        <v>27</v>
      </c>
      <c r="D1114" s="7" t="s">
        <v>28</v>
      </c>
      <c r="E1114" s="7" t="s">
        <v>29</v>
      </c>
      <c r="F1114" s="7" t="s">
        <v>312</v>
      </c>
      <c r="G1114" s="7">
        <v>100.7227</v>
      </c>
      <c r="H1114" s="7"/>
    </row>
    <row r="1115" spans="1:8" x14ac:dyDescent="0.35">
      <c r="A1115" s="7" t="s">
        <v>349</v>
      </c>
      <c r="B1115" s="7" t="s">
        <v>26</v>
      </c>
      <c r="C1115" s="7" t="s">
        <v>27</v>
      </c>
      <c r="D1115" s="7" t="s">
        <v>28</v>
      </c>
      <c r="E1115" s="7" t="s">
        <v>29</v>
      </c>
      <c r="F1115" s="7" t="s">
        <v>313</v>
      </c>
      <c r="G1115" s="7">
        <v>100.6711</v>
      </c>
      <c r="H1115" s="7"/>
    </row>
    <row r="1116" spans="1:8" x14ac:dyDescent="0.35">
      <c r="A1116" s="7" t="s">
        <v>349</v>
      </c>
      <c r="B1116" s="7" t="s">
        <v>26</v>
      </c>
      <c r="C1116" s="7" t="s">
        <v>27</v>
      </c>
      <c r="D1116" s="7" t="s">
        <v>28</v>
      </c>
      <c r="E1116" s="7" t="s">
        <v>29</v>
      </c>
      <c r="F1116" s="7" t="s">
        <v>314</v>
      </c>
      <c r="G1116" s="7">
        <v>100.5736</v>
      </c>
      <c r="H1116" s="7"/>
    </row>
    <row r="1117" spans="1:8" x14ac:dyDescent="0.35">
      <c r="A1117" s="7" t="s">
        <v>349</v>
      </c>
      <c r="B1117" s="7" t="s">
        <v>26</v>
      </c>
      <c r="C1117" s="7" t="s">
        <v>27</v>
      </c>
      <c r="D1117" s="7" t="s">
        <v>28</v>
      </c>
      <c r="E1117" s="7" t="s">
        <v>29</v>
      </c>
      <c r="F1117" s="7" t="s">
        <v>315</v>
      </c>
      <c r="G1117" s="7">
        <v>100.5166</v>
      </c>
      <c r="H1117" s="7"/>
    </row>
    <row r="1118" spans="1:8" x14ac:dyDescent="0.35">
      <c r="A1118" s="7" t="s">
        <v>349</v>
      </c>
      <c r="B1118" s="7" t="s">
        <v>26</v>
      </c>
      <c r="C1118" s="7" t="s">
        <v>27</v>
      </c>
      <c r="D1118" s="7" t="s">
        <v>28</v>
      </c>
      <c r="E1118" s="7" t="s">
        <v>29</v>
      </c>
      <c r="F1118" s="7" t="s">
        <v>316</v>
      </c>
      <c r="G1118" s="7">
        <v>100.5167</v>
      </c>
      <c r="H1118" s="7"/>
    </row>
    <row r="1119" spans="1:8" x14ac:dyDescent="0.35">
      <c r="A1119" s="7" t="s">
        <v>349</v>
      </c>
      <c r="B1119" s="7" t="s">
        <v>26</v>
      </c>
      <c r="C1119" s="7" t="s">
        <v>27</v>
      </c>
      <c r="D1119" s="7" t="s">
        <v>28</v>
      </c>
      <c r="E1119" s="7" t="s">
        <v>29</v>
      </c>
      <c r="F1119" s="7" t="s">
        <v>317</v>
      </c>
      <c r="G1119" s="7">
        <v>100.6084</v>
      </c>
      <c r="H1119" s="7"/>
    </row>
    <row r="1120" spans="1:8" x14ac:dyDescent="0.35">
      <c r="A1120" s="7" t="s">
        <v>349</v>
      </c>
      <c r="B1120" s="7" t="s">
        <v>26</v>
      </c>
      <c r="C1120" s="7" t="s">
        <v>27</v>
      </c>
      <c r="D1120" s="7" t="s">
        <v>28</v>
      </c>
      <c r="E1120" s="7" t="s">
        <v>29</v>
      </c>
      <c r="F1120" s="7" t="s">
        <v>318</v>
      </c>
      <c r="G1120" s="7">
        <v>100.7118</v>
      </c>
      <c r="H1120" s="7"/>
    </row>
    <row r="1121" spans="1:8" x14ac:dyDescent="0.35">
      <c r="A1121" s="7" t="s">
        <v>349</v>
      </c>
      <c r="B1121" s="7" t="s">
        <v>26</v>
      </c>
      <c r="C1121" s="7" t="s">
        <v>27</v>
      </c>
      <c r="D1121" s="7" t="s">
        <v>28</v>
      </c>
      <c r="E1121" s="7" t="s">
        <v>29</v>
      </c>
      <c r="F1121" s="7" t="s">
        <v>319</v>
      </c>
      <c r="G1121" s="7">
        <v>100.7647</v>
      </c>
      <c r="H1121" s="7"/>
    </row>
    <row r="1122" spans="1:8" x14ac:dyDescent="0.35">
      <c r="A1122" s="7" t="s">
        <v>349</v>
      </c>
      <c r="B1122" s="7" t="s">
        <v>26</v>
      </c>
      <c r="C1122" s="7" t="s">
        <v>27</v>
      </c>
      <c r="D1122" s="7" t="s">
        <v>28</v>
      </c>
      <c r="E1122" s="7" t="s">
        <v>29</v>
      </c>
      <c r="F1122" s="7" t="s">
        <v>320</v>
      </c>
      <c r="G1122" s="7">
        <v>100.81270000000001</v>
      </c>
      <c r="H1122" s="7"/>
    </row>
    <row r="1123" spans="1:8" x14ac:dyDescent="0.35">
      <c r="A1123" s="7" t="s">
        <v>349</v>
      </c>
      <c r="B1123" s="7" t="s">
        <v>26</v>
      </c>
      <c r="C1123" s="7" t="s">
        <v>27</v>
      </c>
      <c r="D1123" s="7" t="s">
        <v>28</v>
      </c>
      <c r="E1123" s="7" t="s">
        <v>29</v>
      </c>
      <c r="F1123" s="7" t="s">
        <v>321</v>
      </c>
      <c r="G1123" s="7">
        <v>100.87520000000001</v>
      </c>
      <c r="H1123" s="7"/>
    </row>
    <row r="1124" spans="1:8" x14ac:dyDescent="0.35">
      <c r="A1124" s="7" t="s">
        <v>349</v>
      </c>
      <c r="B1124" s="7" t="s">
        <v>26</v>
      </c>
      <c r="C1124" s="7" t="s">
        <v>27</v>
      </c>
      <c r="D1124" s="7" t="s">
        <v>28</v>
      </c>
      <c r="E1124" s="7" t="s">
        <v>29</v>
      </c>
      <c r="F1124" s="7" t="s">
        <v>322</v>
      </c>
      <c r="G1124" s="7">
        <v>100.9889</v>
      </c>
      <c r="H1124" s="7"/>
    </row>
    <row r="1125" spans="1:8" x14ac:dyDescent="0.35">
      <c r="A1125" s="7" t="s">
        <v>349</v>
      </c>
      <c r="B1125" s="7" t="s">
        <v>26</v>
      </c>
      <c r="C1125" s="7" t="s">
        <v>27</v>
      </c>
      <c r="D1125" s="7" t="s">
        <v>28</v>
      </c>
      <c r="E1125" s="7" t="s">
        <v>29</v>
      </c>
      <c r="F1125" s="7" t="s">
        <v>323</v>
      </c>
      <c r="G1125" s="7">
        <v>101.1147</v>
      </c>
      <c r="H1125" s="7"/>
    </row>
    <row r="1126" spans="1:8" x14ac:dyDescent="0.35">
      <c r="A1126" s="7" t="s">
        <v>349</v>
      </c>
      <c r="B1126" s="7" t="s">
        <v>26</v>
      </c>
      <c r="C1126" s="7" t="s">
        <v>27</v>
      </c>
      <c r="D1126" s="7" t="s">
        <v>28</v>
      </c>
      <c r="E1126" s="7" t="s">
        <v>29</v>
      </c>
      <c r="F1126" s="7" t="s">
        <v>324</v>
      </c>
      <c r="G1126" s="7">
        <v>101.1056</v>
      </c>
      <c r="H1126" s="7"/>
    </row>
    <row r="1127" spans="1:8" x14ac:dyDescent="0.35">
      <c r="A1127" s="7" t="s">
        <v>349</v>
      </c>
      <c r="B1127" s="7" t="s">
        <v>26</v>
      </c>
      <c r="C1127" s="7" t="s">
        <v>27</v>
      </c>
      <c r="D1127" s="7" t="s">
        <v>28</v>
      </c>
      <c r="E1127" s="7" t="s">
        <v>29</v>
      </c>
      <c r="F1127" s="7" t="s">
        <v>325</v>
      </c>
      <c r="G1127" s="7">
        <v>101.0903</v>
      </c>
      <c r="H1127" s="7"/>
    </row>
    <row r="1128" spans="1:8" x14ac:dyDescent="0.35">
      <c r="A1128" s="7" t="s">
        <v>349</v>
      </c>
      <c r="B1128" s="7" t="s">
        <v>26</v>
      </c>
      <c r="C1128" s="7" t="s">
        <v>27</v>
      </c>
      <c r="D1128" s="7" t="s">
        <v>28</v>
      </c>
      <c r="E1128" s="7" t="s">
        <v>29</v>
      </c>
      <c r="F1128" s="7" t="s">
        <v>326</v>
      </c>
      <c r="G1128" s="7">
        <v>101.1155</v>
      </c>
      <c r="H1128" s="7"/>
    </row>
    <row r="1129" spans="1:8" x14ac:dyDescent="0.35">
      <c r="A1129" s="7" t="s">
        <v>349</v>
      </c>
      <c r="B1129" s="7" t="s">
        <v>26</v>
      </c>
      <c r="C1129" s="7" t="s">
        <v>27</v>
      </c>
      <c r="D1129" s="7" t="s">
        <v>28</v>
      </c>
      <c r="E1129" s="7" t="s">
        <v>29</v>
      </c>
      <c r="F1129" s="7" t="s">
        <v>327</v>
      </c>
      <c r="G1129" s="7">
        <v>101.1713</v>
      </c>
      <c r="H1129" s="7"/>
    </row>
    <row r="1130" spans="1:8" x14ac:dyDescent="0.35">
      <c r="A1130" s="7" t="s">
        <v>349</v>
      </c>
      <c r="B1130" s="7" t="s">
        <v>26</v>
      </c>
      <c r="C1130" s="7" t="s">
        <v>27</v>
      </c>
      <c r="D1130" s="7" t="s">
        <v>28</v>
      </c>
      <c r="E1130" s="7" t="s">
        <v>29</v>
      </c>
      <c r="F1130" s="7" t="s">
        <v>328</v>
      </c>
      <c r="G1130" s="7">
        <v>101.2169</v>
      </c>
      <c r="H1130" s="7"/>
    </row>
    <row r="1131" spans="1:8" x14ac:dyDescent="0.35">
      <c r="A1131" s="7" t="s">
        <v>349</v>
      </c>
      <c r="B1131" s="7" t="s">
        <v>26</v>
      </c>
      <c r="C1131" s="7" t="s">
        <v>27</v>
      </c>
      <c r="D1131" s="7" t="s">
        <v>28</v>
      </c>
      <c r="E1131" s="7" t="s">
        <v>29</v>
      </c>
      <c r="F1131" s="7" t="s">
        <v>329</v>
      </c>
      <c r="G1131" s="7">
        <v>101.1962</v>
      </c>
      <c r="H1131" s="7"/>
    </row>
    <row r="1132" spans="1:8" x14ac:dyDescent="0.35">
      <c r="A1132" s="7" t="s">
        <v>349</v>
      </c>
      <c r="B1132" s="7" t="s">
        <v>26</v>
      </c>
      <c r="C1132" s="7" t="s">
        <v>27</v>
      </c>
      <c r="D1132" s="7" t="s">
        <v>28</v>
      </c>
      <c r="E1132" s="7" t="s">
        <v>29</v>
      </c>
      <c r="F1132" s="7" t="s">
        <v>330</v>
      </c>
      <c r="G1132" s="7">
        <v>101.145</v>
      </c>
      <c r="H1132" s="7"/>
    </row>
    <row r="1133" spans="1:8" x14ac:dyDescent="0.35">
      <c r="A1133" s="7" t="s">
        <v>349</v>
      </c>
      <c r="B1133" s="7" t="s">
        <v>26</v>
      </c>
      <c r="C1133" s="7" t="s">
        <v>27</v>
      </c>
      <c r="D1133" s="7" t="s">
        <v>28</v>
      </c>
      <c r="E1133" s="7" t="s">
        <v>29</v>
      </c>
      <c r="F1133" s="7" t="s">
        <v>331</v>
      </c>
      <c r="G1133" s="7">
        <v>101.14060000000001</v>
      </c>
      <c r="H1133" s="7"/>
    </row>
    <row r="1134" spans="1:8" x14ac:dyDescent="0.35">
      <c r="A1134" s="7" t="s">
        <v>349</v>
      </c>
      <c r="B1134" s="7" t="s">
        <v>26</v>
      </c>
      <c r="C1134" s="7" t="s">
        <v>27</v>
      </c>
      <c r="D1134" s="7" t="s">
        <v>28</v>
      </c>
      <c r="E1134" s="7" t="s">
        <v>29</v>
      </c>
      <c r="F1134" s="7" t="s">
        <v>332</v>
      </c>
      <c r="G1134" s="7">
        <v>101.1794</v>
      </c>
      <c r="H1134" s="7"/>
    </row>
    <row r="1135" spans="1:8" x14ac:dyDescent="0.35">
      <c r="A1135" s="7" t="s">
        <v>349</v>
      </c>
      <c r="B1135" s="7" t="s">
        <v>26</v>
      </c>
      <c r="C1135" s="7" t="s">
        <v>27</v>
      </c>
      <c r="D1135" s="7" t="s">
        <v>28</v>
      </c>
      <c r="E1135" s="7" t="s">
        <v>29</v>
      </c>
      <c r="F1135" s="7" t="s">
        <v>333</v>
      </c>
      <c r="G1135" s="7">
        <v>101.21210000000001</v>
      </c>
      <c r="H1135" s="7"/>
    </row>
    <row r="1136" spans="1:8" x14ac:dyDescent="0.35">
      <c r="A1136" s="7" t="s">
        <v>349</v>
      </c>
      <c r="B1136" s="7" t="s">
        <v>26</v>
      </c>
      <c r="C1136" s="7" t="s">
        <v>27</v>
      </c>
      <c r="D1136" s="7" t="s">
        <v>28</v>
      </c>
      <c r="E1136" s="7" t="s">
        <v>29</v>
      </c>
      <c r="F1136" s="7" t="s">
        <v>334</v>
      </c>
      <c r="G1136" s="7">
        <v>101.2886</v>
      </c>
      <c r="H1136" s="7"/>
    </row>
    <row r="1137" spans="1:8" x14ac:dyDescent="0.35">
      <c r="A1137" s="7" t="s">
        <v>349</v>
      </c>
      <c r="B1137" s="7" t="s">
        <v>26</v>
      </c>
      <c r="C1137" s="7" t="s">
        <v>27</v>
      </c>
      <c r="D1137" s="7" t="s">
        <v>28</v>
      </c>
      <c r="E1137" s="7" t="s">
        <v>29</v>
      </c>
      <c r="F1137" s="7" t="s">
        <v>335</v>
      </c>
      <c r="G1137" s="7">
        <v>101.3819</v>
      </c>
      <c r="H1137" s="7"/>
    </row>
    <row r="1138" spans="1:8" x14ac:dyDescent="0.35">
      <c r="A1138" s="7" t="s">
        <v>349</v>
      </c>
      <c r="B1138" s="7" t="s">
        <v>26</v>
      </c>
      <c r="C1138" s="7" t="s">
        <v>27</v>
      </c>
      <c r="D1138" s="7" t="s">
        <v>28</v>
      </c>
      <c r="E1138" s="7" t="s">
        <v>29</v>
      </c>
      <c r="F1138" s="7" t="s">
        <v>336</v>
      </c>
      <c r="G1138" s="7">
        <v>101.455</v>
      </c>
      <c r="H1138" s="7"/>
    </row>
    <row r="1139" spans="1:8" x14ac:dyDescent="0.35">
      <c r="A1139" s="7" t="s">
        <v>349</v>
      </c>
      <c r="B1139" s="7" t="s">
        <v>26</v>
      </c>
      <c r="C1139" s="7" t="s">
        <v>27</v>
      </c>
      <c r="D1139" s="7" t="s">
        <v>28</v>
      </c>
      <c r="E1139" s="7" t="s">
        <v>29</v>
      </c>
      <c r="F1139" s="7" t="s">
        <v>337</v>
      </c>
      <c r="G1139" s="7">
        <v>101.47920000000001</v>
      </c>
      <c r="H1139" s="7"/>
    </row>
    <row r="1140" spans="1:8" x14ac:dyDescent="0.35">
      <c r="A1140" s="7" t="s">
        <v>349</v>
      </c>
      <c r="B1140" s="7" t="s">
        <v>26</v>
      </c>
      <c r="C1140" s="7" t="s">
        <v>27</v>
      </c>
      <c r="D1140" s="7" t="s">
        <v>28</v>
      </c>
      <c r="E1140" s="7" t="s">
        <v>29</v>
      </c>
      <c r="F1140" s="7" t="s">
        <v>338</v>
      </c>
      <c r="G1140" s="7">
        <v>101.483</v>
      </c>
      <c r="H1140" s="7"/>
    </row>
    <row r="1141" spans="1:8" x14ac:dyDescent="0.35">
      <c r="A1141" s="7" t="s">
        <v>349</v>
      </c>
      <c r="B1141" s="7" t="s">
        <v>26</v>
      </c>
      <c r="C1141" s="7" t="s">
        <v>27</v>
      </c>
      <c r="D1141" s="7" t="s">
        <v>28</v>
      </c>
      <c r="E1141" s="7" t="s">
        <v>29</v>
      </c>
      <c r="F1141" s="7" t="s">
        <v>339</v>
      </c>
      <c r="G1141" s="7">
        <v>101.5187</v>
      </c>
      <c r="H1141" s="7"/>
    </row>
    <row r="1142" spans="1:8" x14ac:dyDescent="0.35">
      <c r="A1142" s="7" t="s">
        <v>349</v>
      </c>
      <c r="B1142" s="7" t="s">
        <v>26</v>
      </c>
      <c r="C1142" s="7" t="s">
        <v>27</v>
      </c>
      <c r="D1142" s="7" t="s">
        <v>28</v>
      </c>
      <c r="E1142" s="7" t="s">
        <v>29</v>
      </c>
      <c r="F1142" s="7" t="s">
        <v>340</v>
      </c>
      <c r="G1142" s="7">
        <v>101.5761</v>
      </c>
      <c r="H1142" s="7"/>
    </row>
    <row r="1143" spans="1:8" x14ac:dyDescent="0.35">
      <c r="A1143" s="7" t="s">
        <v>349</v>
      </c>
      <c r="B1143" s="7" t="s">
        <v>26</v>
      </c>
      <c r="C1143" s="7" t="s">
        <v>27</v>
      </c>
      <c r="D1143" s="7" t="s">
        <v>28</v>
      </c>
      <c r="E1143" s="7" t="s">
        <v>29</v>
      </c>
      <c r="F1143" s="7" t="s">
        <v>341</v>
      </c>
      <c r="G1143" s="7">
        <v>101.61839999999999</v>
      </c>
      <c r="H1143" s="7"/>
    </row>
    <row r="1144" spans="1:8" x14ac:dyDescent="0.35">
      <c r="A1144" s="7" t="s">
        <v>349</v>
      </c>
      <c r="B1144" s="7" t="s">
        <v>26</v>
      </c>
      <c r="C1144" s="7" t="s">
        <v>27</v>
      </c>
      <c r="D1144" s="7" t="s">
        <v>28</v>
      </c>
      <c r="E1144" s="7" t="s">
        <v>29</v>
      </c>
      <c r="F1144" s="7" t="s">
        <v>342</v>
      </c>
      <c r="G1144" s="7">
        <v>101.72880000000001</v>
      </c>
      <c r="H1144" s="7"/>
    </row>
    <row r="1145" spans="1:8" x14ac:dyDescent="0.35">
      <c r="A1145" s="7" t="s">
        <v>349</v>
      </c>
      <c r="B1145" s="7" t="s">
        <v>26</v>
      </c>
      <c r="C1145" s="7" t="s">
        <v>27</v>
      </c>
      <c r="D1145" s="7" t="s">
        <v>28</v>
      </c>
      <c r="E1145" s="7" t="s">
        <v>29</v>
      </c>
      <c r="F1145" s="7" t="s">
        <v>343</v>
      </c>
      <c r="G1145" s="7">
        <v>101.8747</v>
      </c>
      <c r="H1145" s="7"/>
    </row>
    <row r="1146" spans="1:8" x14ac:dyDescent="0.35">
      <c r="A1146" s="7" t="s">
        <v>349</v>
      </c>
      <c r="B1146" s="7" t="s">
        <v>26</v>
      </c>
      <c r="C1146" s="7" t="s">
        <v>27</v>
      </c>
      <c r="D1146" s="7" t="s">
        <v>28</v>
      </c>
      <c r="E1146" s="7" t="s">
        <v>29</v>
      </c>
      <c r="F1146" s="7" t="s">
        <v>344</v>
      </c>
      <c r="G1146" s="7">
        <v>102.0005</v>
      </c>
      <c r="H1146" s="7"/>
    </row>
    <row r="1147" spans="1:8" x14ac:dyDescent="0.35">
      <c r="A1147" s="7" t="s">
        <v>349</v>
      </c>
      <c r="B1147" s="7" t="s">
        <v>26</v>
      </c>
      <c r="C1147" s="7" t="s">
        <v>27</v>
      </c>
      <c r="D1147" s="7" t="s">
        <v>28</v>
      </c>
      <c r="E1147" s="7" t="s">
        <v>29</v>
      </c>
      <c r="F1147" s="7" t="s">
        <v>345</v>
      </c>
      <c r="G1147" s="7">
        <v>102.05540000000001</v>
      </c>
      <c r="H1147" s="7"/>
    </row>
    <row r="1148" spans="1:8" x14ac:dyDescent="0.35">
      <c r="A1148" s="7" t="s">
        <v>349</v>
      </c>
      <c r="B1148" s="7" t="s">
        <v>26</v>
      </c>
      <c r="C1148" s="7" t="s">
        <v>27</v>
      </c>
      <c r="D1148" s="7" t="s">
        <v>28</v>
      </c>
      <c r="E1148" s="7" t="s">
        <v>29</v>
      </c>
      <c r="F1148" s="7" t="s">
        <v>346</v>
      </c>
      <c r="G1148" s="7">
        <v>102.0407</v>
      </c>
      <c r="H1148" s="7"/>
    </row>
    <row r="1149" spans="1:8" x14ac:dyDescent="0.35">
      <c r="A1149" s="7" t="s">
        <v>350</v>
      </c>
      <c r="B1149" s="7" t="s">
        <v>26</v>
      </c>
      <c r="C1149" s="7" t="s">
        <v>27</v>
      </c>
      <c r="D1149" s="7" t="s">
        <v>28</v>
      </c>
      <c r="E1149" s="7" t="s">
        <v>29</v>
      </c>
      <c r="F1149" s="7" t="s">
        <v>68</v>
      </c>
      <c r="G1149" s="7">
        <v>100.1236</v>
      </c>
      <c r="H1149" s="7"/>
    </row>
    <row r="1150" spans="1:8" x14ac:dyDescent="0.35">
      <c r="A1150" s="7" t="s">
        <v>350</v>
      </c>
      <c r="B1150" s="7" t="s">
        <v>26</v>
      </c>
      <c r="C1150" s="7" t="s">
        <v>27</v>
      </c>
      <c r="D1150" s="7" t="s">
        <v>28</v>
      </c>
      <c r="E1150" s="7" t="s">
        <v>29</v>
      </c>
      <c r="F1150" s="7" t="s">
        <v>69</v>
      </c>
      <c r="G1150" s="7">
        <v>100.1285</v>
      </c>
      <c r="H1150" s="7"/>
    </row>
    <row r="1151" spans="1:8" x14ac:dyDescent="0.35">
      <c r="A1151" s="7" t="s">
        <v>350</v>
      </c>
      <c r="B1151" s="7" t="s">
        <v>26</v>
      </c>
      <c r="C1151" s="7" t="s">
        <v>27</v>
      </c>
      <c r="D1151" s="7" t="s">
        <v>28</v>
      </c>
      <c r="E1151" s="7" t="s">
        <v>29</v>
      </c>
      <c r="F1151" s="7" t="s">
        <v>70</v>
      </c>
      <c r="G1151" s="7">
        <v>100.1515</v>
      </c>
      <c r="H1151" s="7"/>
    </row>
    <row r="1152" spans="1:8" x14ac:dyDescent="0.35">
      <c r="A1152" s="7" t="s">
        <v>350</v>
      </c>
      <c r="B1152" s="7" t="s">
        <v>26</v>
      </c>
      <c r="C1152" s="7" t="s">
        <v>27</v>
      </c>
      <c r="D1152" s="7" t="s">
        <v>28</v>
      </c>
      <c r="E1152" s="7" t="s">
        <v>29</v>
      </c>
      <c r="F1152" s="7" t="s">
        <v>71</v>
      </c>
      <c r="G1152" s="7">
        <v>100.20820000000001</v>
      </c>
      <c r="H1152" s="7"/>
    </row>
    <row r="1153" spans="1:8" x14ac:dyDescent="0.35">
      <c r="A1153" s="7" t="s">
        <v>350</v>
      </c>
      <c r="B1153" s="7" t="s">
        <v>26</v>
      </c>
      <c r="C1153" s="7" t="s">
        <v>27</v>
      </c>
      <c r="D1153" s="7" t="s">
        <v>28</v>
      </c>
      <c r="E1153" s="7" t="s">
        <v>29</v>
      </c>
      <c r="F1153" s="7" t="s">
        <v>72</v>
      </c>
      <c r="G1153" s="7">
        <v>100.2739</v>
      </c>
      <c r="H1153" s="7"/>
    </row>
    <row r="1154" spans="1:8" x14ac:dyDescent="0.35">
      <c r="A1154" s="7" t="s">
        <v>350</v>
      </c>
      <c r="B1154" s="7" t="s">
        <v>26</v>
      </c>
      <c r="C1154" s="7" t="s">
        <v>27</v>
      </c>
      <c r="D1154" s="7" t="s">
        <v>28</v>
      </c>
      <c r="E1154" s="7" t="s">
        <v>29</v>
      </c>
      <c r="F1154" s="7" t="s">
        <v>73</v>
      </c>
      <c r="G1154" s="7">
        <v>100.3948</v>
      </c>
      <c r="H1154" s="7"/>
    </row>
    <row r="1155" spans="1:8" x14ac:dyDescent="0.35">
      <c r="A1155" s="7" t="s">
        <v>350</v>
      </c>
      <c r="B1155" s="7" t="s">
        <v>26</v>
      </c>
      <c r="C1155" s="7" t="s">
        <v>27</v>
      </c>
      <c r="D1155" s="7" t="s">
        <v>28</v>
      </c>
      <c r="E1155" s="7" t="s">
        <v>29</v>
      </c>
      <c r="F1155" s="7" t="s">
        <v>74</v>
      </c>
      <c r="G1155" s="7">
        <v>100.6067</v>
      </c>
      <c r="H1155" s="7"/>
    </row>
    <row r="1156" spans="1:8" x14ac:dyDescent="0.35">
      <c r="A1156" s="7" t="s">
        <v>350</v>
      </c>
      <c r="B1156" s="7" t="s">
        <v>26</v>
      </c>
      <c r="C1156" s="7" t="s">
        <v>27</v>
      </c>
      <c r="D1156" s="7" t="s">
        <v>28</v>
      </c>
      <c r="E1156" s="7" t="s">
        <v>29</v>
      </c>
      <c r="F1156" s="7" t="s">
        <v>75</v>
      </c>
      <c r="G1156" s="7">
        <v>100.7383</v>
      </c>
      <c r="H1156" s="7"/>
    </row>
    <row r="1157" spans="1:8" x14ac:dyDescent="0.35">
      <c r="A1157" s="7" t="s">
        <v>350</v>
      </c>
      <c r="B1157" s="7" t="s">
        <v>26</v>
      </c>
      <c r="C1157" s="7" t="s">
        <v>27</v>
      </c>
      <c r="D1157" s="7" t="s">
        <v>28</v>
      </c>
      <c r="E1157" s="7" t="s">
        <v>29</v>
      </c>
      <c r="F1157" s="7" t="s">
        <v>76</v>
      </c>
      <c r="G1157" s="7">
        <v>100.8094</v>
      </c>
      <c r="H1157" s="7"/>
    </row>
    <row r="1158" spans="1:8" x14ac:dyDescent="0.35">
      <c r="A1158" s="7" t="s">
        <v>350</v>
      </c>
      <c r="B1158" s="7" t="s">
        <v>26</v>
      </c>
      <c r="C1158" s="7" t="s">
        <v>27</v>
      </c>
      <c r="D1158" s="7" t="s">
        <v>28</v>
      </c>
      <c r="E1158" s="7" t="s">
        <v>29</v>
      </c>
      <c r="F1158" s="7" t="s">
        <v>77</v>
      </c>
      <c r="G1158" s="7">
        <v>100.8689</v>
      </c>
      <c r="H1158" s="7"/>
    </row>
    <row r="1159" spans="1:8" x14ac:dyDescent="0.35">
      <c r="A1159" s="7" t="s">
        <v>350</v>
      </c>
      <c r="B1159" s="7" t="s">
        <v>26</v>
      </c>
      <c r="C1159" s="7" t="s">
        <v>27</v>
      </c>
      <c r="D1159" s="7" t="s">
        <v>28</v>
      </c>
      <c r="E1159" s="7" t="s">
        <v>29</v>
      </c>
      <c r="F1159" s="7" t="s">
        <v>78</v>
      </c>
      <c r="G1159" s="7">
        <v>100.8631</v>
      </c>
      <c r="H1159" s="7"/>
    </row>
    <row r="1160" spans="1:8" x14ac:dyDescent="0.35">
      <c r="A1160" s="7" t="s">
        <v>350</v>
      </c>
      <c r="B1160" s="7" t="s">
        <v>26</v>
      </c>
      <c r="C1160" s="7" t="s">
        <v>27</v>
      </c>
      <c r="D1160" s="7" t="s">
        <v>28</v>
      </c>
      <c r="E1160" s="7" t="s">
        <v>29</v>
      </c>
      <c r="F1160" s="7" t="s">
        <v>79</v>
      </c>
      <c r="G1160" s="7">
        <v>100.8199</v>
      </c>
      <c r="H1160" s="7"/>
    </row>
    <row r="1161" spans="1:8" x14ac:dyDescent="0.35">
      <c r="A1161" s="7" t="s">
        <v>350</v>
      </c>
      <c r="B1161" s="7" t="s">
        <v>26</v>
      </c>
      <c r="C1161" s="7" t="s">
        <v>27</v>
      </c>
      <c r="D1161" s="7" t="s">
        <v>28</v>
      </c>
      <c r="E1161" s="7" t="s">
        <v>29</v>
      </c>
      <c r="F1161" s="7" t="s">
        <v>80</v>
      </c>
      <c r="G1161" s="7">
        <v>100.7787</v>
      </c>
      <c r="H1161" s="7"/>
    </row>
    <row r="1162" spans="1:8" x14ac:dyDescent="0.35">
      <c r="A1162" s="7" t="s">
        <v>350</v>
      </c>
      <c r="B1162" s="7" t="s">
        <v>26</v>
      </c>
      <c r="C1162" s="7" t="s">
        <v>27</v>
      </c>
      <c r="D1162" s="7" t="s">
        <v>28</v>
      </c>
      <c r="E1162" s="7" t="s">
        <v>29</v>
      </c>
      <c r="F1162" s="7" t="s">
        <v>81</v>
      </c>
      <c r="G1162" s="7">
        <v>100.7569</v>
      </c>
      <c r="H1162" s="7"/>
    </row>
    <row r="1163" spans="1:8" x14ac:dyDescent="0.35">
      <c r="A1163" s="7" t="s">
        <v>350</v>
      </c>
      <c r="B1163" s="7" t="s">
        <v>26</v>
      </c>
      <c r="C1163" s="7" t="s">
        <v>27</v>
      </c>
      <c r="D1163" s="7" t="s">
        <v>28</v>
      </c>
      <c r="E1163" s="7" t="s">
        <v>29</v>
      </c>
      <c r="F1163" s="7" t="s">
        <v>82</v>
      </c>
      <c r="G1163" s="7">
        <v>100.7764</v>
      </c>
      <c r="H1163" s="7"/>
    </row>
    <row r="1164" spans="1:8" x14ac:dyDescent="0.35">
      <c r="A1164" s="7" t="s">
        <v>350</v>
      </c>
      <c r="B1164" s="7" t="s">
        <v>26</v>
      </c>
      <c r="C1164" s="7" t="s">
        <v>27</v>
      </c>
      <c r="D1164" s="7" t="s">
        <v>28</v>
      </c>
      <c r="E1164" s="7" t="s">
        <v>29</v>
      </c>
      <c r="F1164" s="7" t="s">
        <v>83</v>
      </c>
      <c r="G1164" s="7">
        <v>100.8235</v>
      </c>
      <c r="H1164" s="7"/>
    </row>
    <row r="1165" spans="1:8" x14ac:dyDescent="0.35">
      <c r="A1165" s="7" t="s">
        <v>350</v>
      </c>
      <c r="B1165" s="7" t="s">
        <v>26</v>
      </c>
      <c r="C1165" s="7" t="s">
        <v>27</v>
      </c>
      <c r="D1165" s="7" t="s">
        <v>28</v>
      </c>
      <c r="E1165" s="7" t="s">
        <v>29</v>
      </c>
      <c r="F1165" s="7" t="s">
        <v>84</v>
      </c>
      <c r="G1165" s="7">
        <v>100.83</v>
      </c>
      <c r="H1165" s="7"/>
    </row>
    <row r="1166" spans="1:8" x14ac:dyDescent="0.35">
      <c r="A1166" s="7" t="s">
        <v>350</v>
      </c>
      <c r="B1166" s="7" t="s">
        <v>26</v>
      </c>
      <c r="C1166" s="7" t="s">
        <v>27</v>
      </c>
      <c r="D1166" s="7" t="s">
        <v>28</v>
      </c>
      <c r="E1166" s="7" t="s">
        <v>29</v>
      </c>
      <c r="F1166" s="7" t="s">
        <v>85</v>
      </c>
      <c r="G1166" s="7">
        <v>100.7787</v>
      </c>
      <c r="H1166" s="7"/>
    </row>
    <row r="1167" spans="1:8" x14ac:dyDescent="0.35">
      <c r="A1167" s="7" t="s">
        <v>350</v>
      </c>
      <c r="B1167" s="7" t="s">
        <v>26</v>
      </c>
      <c r="C1167" s="7" t="s">
        <v>27</v>
      </c>
      <c r="D1167" s="7" t="s">
        <v>28</v>
      </c>
      <c r="E1167" s="7" t="s">
        <v>29</v>
      </c>
      <c r="F1167" s="7" t="s">
        <v>86</v>
      </c>
      <c r="G1167" s="7">
        <v>100.6965</v>
      </c>
      <c r="H1167" s="7"/>
    </row>
    <row r="1168" spans="1:8" x14ac:dyDescent="0.35">
      <c r="A1168" s="7" t="s">
        <v>350</v>
      </c>
      <c r="B1168" s="7" t="s">
        <v>26</v>
      </c>
      <c r="C1168" s="7" t="s">
        <v>27</v>
      </c>
      <c r="D1168" s="7" t="s">
        <v>28</v>
      </c>
      <c r="E1168" s="7" t="s">
        <v>29</v>
      </c>
      <c r="F1168" s="7" t="s">
        <v>87</v>
      </c>
      <c r="G1168" s="7">
        <v>100.5996</v>
      </c>
      <c r="H1168" s="7"/>
    </row>
    <row r="1169" spans="1:8" x14ac:dyDescent="0.35">
      <c r="A1169" s="7" t="s">
        <v>350</v>
      </c>
      <c r="B1169" s="7" t="s">
        <v>26</v>
      </c>
      <c r="C1169" s="7" t="s">
        <v>27</v>
      </c>
      <c r="D1169" s="7" t="s">
        <v>28</v>
      </c>
      <c r="E1169" s="7" t="s">
        <v>29</v>
      </c>
      <c r="F1169" s="7" t="s">
        <v>88</v>
      </c>
      <c r="G1169" s="7">
        <v>100.4526</v>
      </c>
      <c r="H1169" s="7"/>
    </row>
    <row r="1170" spans="1:8" x14ac:dyDescent="0.35">
      <c r="A1170" s="7" t="s">
        <v>350</v>
      </c>
      <c r="B1170" s="7" t="s">
        <v>26</v>
      </c>
      <c r="C1170" s="7" t="s">
        <v>27</v>
      </c>
      <c r="D1170" s="7" t="s">
        <v>28</v>
      </c>
      <c r="E1170" s="7" t="s">
        <v>29</v>
      </c>
      <c r="F1170" s="7" t="s">
        <v>89</v>
      </c>
      <c r="G1170" s="7">
        <v>100.23569999999999</v>
      </c>
      <c r="H1170" s="7"/>
    </row>
    <row r="1171" spans="1:8" x14ac:dyDescent="0.35">
      <c r="A1171" s="7" t="s">
        <v>350</v>
      </c>
      <c r="B1171" s="7" t="s">
        <v>26</v>
      </c>
      <c r="C1171" s="7" t="s">
        <v>27</v>
      </c>
      <c r="D1171" s="7" t="s">
        <v>28</v>
      </c>
      <c r="E1171" s="7" t="s">
        <v>29</v>
      </c>
      <c r="F1171" s="7" t="s">
        <v>90</v>
      </c>
      <c r="G1171" s="7">
        <v>100.0455</v>
      </c>
      <c r="H1171" s="7"/>
    </row>
    <row r="1172" spans="1:8" x14ac:dyDescent="0.35">
      <c r="A1172" s="7" t="s">
        <v>350</v>
      </c>
      <c r="B1172" s="7" t="s">
        <v>26</v>
      </c>
      <c r="C1172" s="7" t="s">
        <v>27</v>
      </c>
      <c r="D1172" s="7" t="s">
        <v>28</v>
      </c>
      <c r="E1172" s="7" t="s">
        <v>29</v>
      </c>
      <c r="F1172" s="7" t="s">
        <v>91</v>
      </c>
      <c r="G1172" s="7">
        <v>99.823359999999994</v>
      </c>
      <c r="H1172" s="7"/>
    </row>
    <row r="1173" spans="1:8" x14ac:dyDescent="0.35">
      <c r="A1173" s="7" t="s">
        <v>350</v>
      </c>
      <c r="B1173" s="7" t="s">
        <v>26</v>
      </c>
      <c r="C1173" s="7" t="s">
        <v>27</v>
      </c>
      <c r="D1173" s="7" t="s">
        <v>28</v>
      </c>
      <c r="E1173" s="7" t="s">
        <v>29</v>
      </c>
      <c r="F1173" s="7" t="s">
        <v>92</v>
      </c>
      <c r="G1173" s="7">
        <v>99.500020000000006</v>
      </c>
      <c r="H1173" s="7"/>
    </row>
    <row r="1174" spans="1:8" x14ac:dyDescent="0.35">
      <c r="A1174" s="7" t="s">
        <v>350</v>
      </c>
      <c r="B1174" s="7" t="s">
        <v>26</v>
      </c>
      <c r="C1174" s="7" t="s">
        <v>27</v>
      </c>
      <c r="D1174" s="7" t="s">
        <v>28</v>
      </c>
      <c r="E1174" s="7" t="s">
        <v>29</v>
      </c>
      <c r="F1174" s="7" t="s">
        <v>93</v>
      </c>
      <c r="G1174" s="7">
        <v>99.171660000000003</v>
      </c>
      <c r="H1174" s="7"/>
    </row>
    <row r="1175" spans="1:8" x14ac:dyDescent="0.35">
      <c r="A1175" s="7" t="s">
        <v>350</v>
      </c>
      <c r="B1175" s="7" t="s">
        <v>26</v>
      </c>
      <c r="C1175" s="7" t="s">
        <v>27</v>
      </c>
      <c r="D1175" s="7" t="s">
        <v>28</v>
      </c>
      <c r="E1175" s="7" t="s">
        <v>29</v>
      </c>
      <c r="F1175" s="7" t="s">
        <v>94</v>
      </c>
      <c r="G1175" s="7">
        <v>98.751570000000001</v>
      </c>
      <c r="H1175" s="7"/>
    </row>
    <row r="1176" spans="1:8" x14ac:dyDescent="0.35">
      <c r="A1176" s="7" t="s">
        <v>350</v>
      </c>
      <c r="B1176" s="7" t="s">
        <v>26</v>
      </c>
      <c r="C1176" s="7" t="s">
        <v>27</v>
      </c>
      <c r="D1176" s="7" t="s">
        <v>28</v>
      </c>
      <c r="E1176" s="7" t="s">
        <v>29</v>
      </c>
      <c r="F1176" s="7" t="s">
        <v>95</v>
      </c>
      <c r="G1176" s="7">
        <v>98.176360000000003</v>
      </c>
      <c r="H1176" s="7"/>
    </row>
    <row r="1177" spans="1:8" x14ac:dyDescent="0.35">
      <c r="A1177" s="7" t="s">
        <v>350</v>
      </c>
      <c r="B1177" s="7" t="s">
        <v>26</v>
      </c>
      <c r="C1177" s="7" t="s">
        <v>27</v>
      </c>
      <c r="D1177" s="7" t="s">
        <v>28</v>
      </c>
      <c r="E1177" s="7" t="s">
        <v>29</v>
      </c>
      <c r="F1177" s="7" t="s">
        <v>96</v>
      </c>
      <c r="G1177" s="7">
        <v>97.795540000000003</v>
      </c>
      <c r="H1177" s="7"/>
    </row>
    <row r="1178" spans="1:8" x14ac:dyDescent="0.35">
      <c r="A1178" s="7" t="s">
        <v>350</v>
      </c>
      <c r="B1178" s="7" t="s">
        <v>26</v>
      </c>
      <c r="C1178" s="7" t="s">
        <v>27</v>
      </c>
      <c r="D1178" s="7" t="s">
        <v>28</v>
      </c>
      <c r="E1178" s="7" t="s">
        <v>29</v>
      </c>
      <c r="F1178" s="7" t="s">
        <v>97</v>
      </c>
      <c r="G1178" s="7">
        <v>97.542109999999994</v>
      </c>
      <c r="H1178" s="7"/>
    </row>
    <row r="1179" spans="1:8" x14ac:dyDescent="0.35">
      <c r="A1179" s="7" t="s">
        <v>350</v>
      </c>
      <c r="B1179" s="7" t="s">
        <v>26</v>
      </c>
      <c r="C1179" s="7" t="s">
        <v>27</v>
      </c>
      <c r="D1179" s="7" t="s">
        <v>28</v>
      </c>
      <c r="E1179" s="7" t="s">
        <v>29</v>
      </c>
      <c r="F1179" s="7" t="s">
        <v>98</v>
      </c>
      <c r="G1179" s="7">
        <v>97.313370000000006</v>
      </c>
      <c r="H1179" s="7"/>
    </row>
    <row r="1180" spans="1:8" x14ac:dyDescent="0.35">
      <c r="A1180" s="7" t="s">
        <v>350</v>
      </c>
      <c r="B1180" s="7" t="s">
        <v>26</v>
      </c>
      <c r="C1180" s="7" t="s">
        <v>27</v>
      </c>
      <c r="D1180" s="7" t="s">
        <v>28</v>
      </c>
      <c r="E1180" s="7" t="s">
        <v>29</v>
      </c>
      <c r="F1180" s="7" t="s">
        <v>99</v>
      </c>
      <c r="G1180" s="7">
        <v>97.148030000000006</v>
      </c>
      <c r="H1180" s="7"/>
    </row>
    <row r="1181" spans="1:8" x14ac:dyDescent="0.35">
      <c r="A1181" s="7" t="s">
        <v>350</v>
      </c>
      <c r="B1181" s="7" t="s">
        <v>26</v>
      </c>
      <c r="C1181" s="7" t="s">
        <v>27</v>
      </c>
      <c r="D1181" s="7" t="s">
        <v>28</v>
      </c>
      <c r="E1181" s="7" t="s">
        <v>29</v>
      </c>
      <c r="F1181" s="7" t="s">
        <v>100</v>
      </c>
      <c r="G1181" s="7">
        <v>96.981669999999994</v>
      </c>
      <c r="H1181" s="7"/>
    </row>
    <row r="1182" spans="1:8" x14ac:dyDescent="0.35">
      <c r="A1182" s="7" t="s">
        <v>350</v>
      </c>
      <c r="B1182" s="7" t="s">
        <v>26</v>
      </c>
      <c r="C1182" s="7" t="s">
        <v>27</v>
      </c>
      <c r="D1182" s="7" t="s">
        <v>28</v>
      </c>
      <c r="E1182" s="7" t="s">
        <v>29</v>
      </c>
      <c r="F1182" s="7" t="s">
        <v>101</v>
      </c>
      <c r="G1182" s="7">
        <v>96.766249999999999</v>
      </c>
      <c r="H1182" s="7"/>
    </row>
    <row r="1183" spans="1:8" x14ac:dyDescent="0.35">
      <c r="A1183" s="7" t="s">
        <v>350</v>
      </c>
      <c r="B1183" s="7" t="s">
        <v>26</v>
      </c>
      <c r="C1183" s="7" t="s">
        <v>27</v>
      </c>
      <c r="D1183" s="7" t="s">
        <v>28</v>
      </c>
      <c r="E1183" s="7" t="s">
        <v>29</v>
      </c>
      <c r="F1183" s="7" t="s">
        <v>102</v>
      </c>
      <c r="G1183" s="7">
        <v>96.575410000000005</v>
      </c>
      <c r="H1183" s="7"/>
    </row>
    <row r="1184" spans="1:8" x14ac:dyDescent="0.35">
      <c r="A1184" s="7" t="s">
        <v>350</v>
      </c>
      <c r="B1184" s="7" t="s">
        <v>26</v>
      </c>
      <c r="C1184" s="7" t="s">
        <v>27</v>
      </c>
      <c r="D1184" s="7" t="s">
        <v>28</v>
      </c>
      <c r="E1184" s="7" t="s">
        <v>29</v>
      </c>
      <c r="F1184" s="7" t="s">
        <v>103</v>
      </c>
      <c r="G1184" s="7">
        <v>96.407669999999996</v>
      </c>
      <c r="H1184" s="7"/>
    </row>
    <row r="1185" spans="1:8" x14ac:dyDescent="0.35">
      <c r="A1185" s="7" t="s">
        <v>350</v>
      </c>
      <c r="B1185" s="7" t="s">
        <v>26</v>
      </c>
      <c r="C1185" s="7" t="s">
        <v>27</v>
      </c>
      <c r="D1185" s="7" t="s">
        <v>28</v>
      </c>
      <c r="E1185" s="7" t="s">
        <v>29</v>
      </c>
      <c r="F1185" s="7" t="s">
        <v>104</v>
      </c>
      <c r="G1185" s="7">
        <v>96.285690000000002</v>
      </c>
      <c r="H1185" s="7"/>
    </row>
    <row r="1186" spans="1:8" x14ac:dyDescent="0.35">
      <c r="A1186" s="7" t="s">
        <v>350</v>
      </c>
      <c r="B1186" s="7" t="s">
        <v>26</v>
      </c>
      <c r="C1186" s="7" t="s">
        <v>27</v>
      </c>
      <c r="D1186" s="7" t="s">
        <v>28</v>
      </c>
      <c r="E1186" s="7" t="s">
        <v>29</v>
      </c>
      <c r="F1186" s="7" t="s">
        <v>105</v>
      </c>
      <c r="G1186" s="7">
        <v>96.332369999999997</v>
      </c>
      <c r="H1186" s="7"/>
    </row>
    <row r="1187" spans="1:8" x14ac:dyDescent="0.35">
      <c r="A1187" s="7" t="s">
        <v>350</v>
      </c>
      <c r="B1187" s="7" t="s">
        <v>26</v>
      </c>
      <c r="C1187" s="7" t="s">
        <v>27</v>
      </c>
      <c r="D1187" s="7" t="s">
        <v>28</v>
      </c>
      <c r="E1187" s="7" t="s">
        <v>29</v>
      </c>
      <c r="F1187" s="7" t="s">
        <v>106</v>
      </c>
      <c r="G1187" s="7">
        <v>96.66386</v>
      </c>
      <c r="H1187" s="7"/>
    </row>
    <row r="1188" spans="1:8" x14ac:dyDescent="0.35">
      <c r="A1188" s="7" t="s">
        <v>350</v>
      </c>
      <c r="B1188" s="7" t="s">
        <v>26</v>
      </c>
      <c r="C1188" s="7" t="s">
        <v>27</v>
      </c>
      <c r="D1188" s="7" t="s">
        <v>28</v>
      </c>
      <c r="E1188" s="7" t="s">
        <v>29</v>
      </c>
      <c r="F1188" s="7" t="s">
        <v>107</v>
      </c>
      <c r="G1188" s="7">
        <v>97.266469999999998</v>
      </c>
      <c r="H1188" s="7"/>
    </row>
    <row r="1189" spans="1:8" x14ac:dyDescent="0.35">
      <c r="A1189" s="7" t="s">
        <v>350</v>
      </c>
      <c r="B1189" s="7" t="s">
        <v>26</v>
      </c>
      <c r="C1189" s="7" t="s">
        <v>27</v>
      </c>
      <c r="D1189" s="7" t="s">
        <v>28</v>
      </c>
      <c r="E1189" s="7" t="s">
        <v>29</v>
      </c>
      <c r="F1189" s="7" t="s">
        <v>108</v>
      </c>
      <c r="G1189" s="7">
        <v>97.665270000000007</v>
      </c>
      <c r="H1189" s="7"/>
    </row>
    <row r="1190" spans="1:8" x14ac:dyDescent="0.35">
      <c r="A1190" s="7" t="s">
        <v>350</v>
      </c>
      <c r="B1190" s="7" t="s">
        <v>26</v>
      </c>
      <c r="C1190" s="7" t="s">
        <v>27</v>
      </c>
      <c r="D1190" s="7" t="s">
        <v>28</v>
      </c>
      <c r="E1190" s="7" t="s">
        <v>29</v>
      </c>
      <c r="F1190" s="7" t="s">
        <v>109</v>
      </c>
      <c r="G1190" s="7">
        <v>97.863410000000002</v>
      </c>
      <c r="H1190" s="7"/>
    </row>
    <row r="1191" spans="1:8" x14ac:dyDescent="0.35">
      <c r="A1191" s="7" t="s">
        <v>350</v>
      </c>
      <c r="B1191" s="7" t="s">
        <v>26</v>
      </c>
      <c r="C1191" s="7" t="s">
        <v>27</v>
      </c>
      <c r="D1191" s="7" t="s">
        <v>28</v>
      </c>
      <c r="E1191" s="7" t="s">
        <v>29</v>
      </c>
      <c r="F1191" s="7" t="s">
        <v>110</v>
      </c>
      <c r="G1191" s="7">
        <v>97.973939999999999</v>
      </c>
      <c r="H1191" s="7"/>
    </row>
    <row r="1192" spans="1:8" x14ac:dyDescent="0.35">
      <c r="A1192" s="7" t="s">
        <v>350</v>
      </c>
      <c r="B1192" s="7" t="s">
        <v>26</v>
      </c>
      <c r="C1192" s="7" t="s">
        <v>27</v>
      </c>
      <c r="D1192" s="7" t="s">
        <v>28</v>
      </c>
      <c r="E1192" s="7" t="s">
        <v>29</v>
      </c>
      <c r="F1192" s="7" t="s">
        <v>111</v>
      </c>
      <c r="G1192" s="7">
        <v>97.97578</v>
      </c>
      <c r="H1192" s="7"/>
    </row>
    <row r="1193" spans="1:8" x14ac:dyDescent="0.35">
      <c r="A1193" s="7" t="s">
        <v>350</v>
      </c>
      <c r="B1193" s="7" t="s">
        <v>26</v>
      </c>
      <c r="C1193" s="7" t="s">
        <v>27</v>
      </c>
      <c r="D1193" s="7" t="s">
        <v>28</v>
      </c>
      <c r="E1193" s="7" t="s">
        <v>29</v>
      </c>
      <c r="F1193" s="7" t="s">
        <v>112</v>
      </c>
      <c r="G1193" s="7">
        <v>97.847499999999997</v>
      </c>
      <c r="H1193" s="7"/>
    </row>
    <row r="1194" spans="1:8" x14ac:dyDescent="0.35">
      <c r="A1194" s="7" t="s">
        <v>350</v>
      </c>
      <c r="B1194" s="7" t="s">
        <v>26</v>
      </c>
      <c r="C1194" s="7" t="s">
        <v>27</v>
      </c>
      <c r="D1194" s="7" t="s">
        <v>28</v>
      </c>
      <c r="E1194" s="7" t="s">
        <v>29</v>
      </c>
      <c r="F1194" s="7" t="s">
        <v>113</v>
      </c>
      <c r="G1194" s="7">
        <v>97.596059999999994</v>
      </c>
      <c r="H1194" s="7"/>
    </row>
    <row r="1195" spans="1:8" x14ac:dyDescent="0.35">
      <c r="A1195" s="7" t="s">
        <v>350</v>
      </c>
      <c r="B1195" s="7" t="s">
        <v>26</v>
      </c>
      <c r="C1195" s="7" t="s">
        <v>27</v>
      </c>
      <c r="D1195" s="7" t="s">
        <v>28</v>
      </c>
      <c r="E1195" s="7" t="s">
        <v>29</v>
      </c>
      <c r="F1195" s="7" t="s">
        <v>114</v>
      </c>
      <c r="G1195" s="7">
        <v>97.385019999999997</v>
      </c>
      <c r="H1195" s="7"/>
    </row>
    <row r="1196" spans="1:8" x14ac:dyDescent="0.35">
      <c r="A1196" s="7" t="s">
        <v>350</v>
      </c>
      <c r="B1196" s="7" t="s">
        <v>26</v>
      </c>
      <c r="C1196" s="7" t="s">
        <v>27</v>
      </c>
      <c r="D1196" s="7" t="s">
        <v>28</v>
      </c>
      <c r="E1196" s="7" t="s">
        <v>29</v>
      </c>
      <c r="F1196" s="7" t="s">
        <v>115</v>
      </c>
      <c r="G1196" s="7">
        <v>97.175319999999999</v>
      </c>
      <c r="H1196" s="7"/>
    </row>
    <row r="1197" spans="1:8" x14ac:dyDescent="0.35">
      <c r="A1197" s="7" t="s">
        <v>350</v>
      </c>
      <c r="B1197" s="7" t="s">
        <v>26</v>
      </c>
      <c r="C1197" s="7" t="s">
        <v>27</v>
      </c>
      <c r="D1197" s="7" t="s">
        <v>28</v>
      </c>
      <c r="E1197" s="7" t="s">
        <v>29</v>
      </c>
      <c r="F1197" s="7" t="s">
        <v>116</v>
      </c>
      <c r="G1197" s="7">
        <v>96.92107</v>
      </c>
      <c r="H1197" s="7"/>
    </row>
    <row r="1198" spans="1:8" x14ac:dyDescent="0.35">
      <c r="A1198" s="7" t="s">
        <v>350</v>
      </c>
      <c r="B1198" s="7" t="s">
        <v>26</v>
      </c>
      <c r="C1198" s="7" t="s">
        <v>27</v>
      </c>
      <c r="D1198" s="7" t="s">
        <v>28</v>
      </c>
      <c r="E1198" s="7" t="s">
        <v>29</v>
      </c>
      <c r="F1198" s="7" t="s">
        <v>117</v>
      </c>
      <c r="G1198" s="7">
        <v>96.763940000000005</v>
      </c>
      <c r="H1198" s="7"/>
    </row>
    <row r="1199" spans="1:8" x14ac:dyDescent="0.35">
      <c r="A1199" s="7" t="s">
        <v>350</v>
      </c>
      <c r="B1199" s="7" t="s">
        <v>26</v>
      </c>
      <c r="C1199" s="7" t="s">
        <v>27</v>
      </c>
      <c r="D1199" s="7" t="s">
        <v>28</v>
      </c>
      <c r="E1199" s="7" t="s">
        <v>29</v>
      </c>
      <c r="F1199" s="7" t="s">
        <v>118</v>
      </c>
      <c r="G1199" s="7">
        <v>96.707250000000002</v>
      </c>
      <c r="H1199" s="7"/>
    </row>
    <row r="1200" spans="1:8" x14ac:dyDescent="0.35">
      <c r="A1200" s="7" t="s">
        <v>350</v>
      </c>
      <c r="B1200" s="7" t="s">
        <v>26</v>
      </c>
      <c r="C1200" s="7" t="s">
        <v>27</v>
      </c>
      <c r="D1200" s="7" t="s">
        <v>28</v>
      </c>
      <c r="E1200" s="7" t="s">
        <v>29</v>
      </c>
      <c r="F1200" s="7" t="s">
        <v>119</v>
      </c>
      <c r="G1200" s="7">
        <v>96.773150000000001</v>
      </c>
      <c r="H1200" s="7"/>
    </row>
    <row r="1201" spans="1:8" x14ac:dyDescent="0.35">
      <c r="A1201" s="7" t="s">
        <v>350</v>
      </c>
      <c r="B1201" s="7" t="s">
        <v>26</v>
      </c>
      <c r="C1201" s="7" t="s">
        <v>27</v>
      </c>
      <c r="D1201" s="7" t="s">
        <v>28</v>
      </c>
      <c r="E1201" s="7" t="s">
        <v>29</v>
      </c>
      <c r="F1201" s="7" t="s">
        <v>120</v>
      </c>
      <c r="G1201" s="7">
        <v>96.860759999999999</v>
      </c>
      <c r="H1201" s="7"/>
    </row>
    <row r="1202" spans="1:8" x14ac:dyDescent="0.35">
      <c r="A1202" s="7" t="s">
        <v>350</v>
      </c>
      <c r="B1202" s="7" t="s">
        <v>26</v>
      </c>
      <c r="C1202" s="7" t="s">
        <v>27</v>
      </c>
      <c r="D1202" s="7" t="s">
        <v>28</v>
      </c>
      <c r="E1202" s="7" t="s">
        <v>29</v>
      </c>
      <c r="F1202" s="7" t="s">
        <v>121</v>
      </c>
      <c r="G1202" s="7">
        <v>96.955179999999999</v>
      </c>
      <c r="H1202" s="7"/>
    </row>
    <row r="1203" spans="1:8" x14ac:dyDescent="0.35">
      <c r="A1203" s="7" t="s">
        <v>350</v>
      </c>
      <c r="B1203" s="7" t="s">
        <v>26</v>
      </c>
      <c r="C1203" s="7" t="s">
        <v>27</v>
      </c>
      <c r="D1203" s="7" t="s">
        <v>28</v>
      </c>
      <c r="E1203" s="7" t="s">
        <v>29</v>
      </c>
      <c r="F1203" s="7" t="s">
        <v>122</v>
      </c>
      <c r="G1203" s="7">
        <v>96.887119999999996</v>
      </c>
      <c r="H1203" s="7"/>
    </row>
    <row r="1204" spans="1:8" x14ac:dyDescent="0.35">
      <c r="A1204" s="7" t="s">
        <v>350</v>
      </c>
      <c r="B1204" s="7" t="s">
        <v>26</v>
      </c>
      <c r="C1204" s="7" t="s">
        <v>27</v>
      </c>
      <c r="D1204" s="7" t="s">
        <v>28</v>
      </c>
      <c r="E1204" s="7" t="s">
        <v>29</v>
      </c>
      <c r="F1204" s="7" t="s">
        <v>123</v>
      </c>
      <c r="G1204" s="7">
        <v>96.742360000000005</v>
      </c>
      <c r="H1204" s="7"/>
    </row>
    <row r="1205" spans="1:8" x14ac:dyDescent="0.35">
      <c r="A1205" s="7" t="s">
        <v>350</v>
      </c>
      <c r="B1205" s="7" t="s">
        <v>26</v>
      </c>
      <c r="C1205" s="7" t="s">
        <v>27</v>
      </c>
      <c r="D1205" s="7" t="s">
        <v>28</v>
      </c>
      <c r="E1205" s="7" t="s">
        <v>29</v>
      </c>
      <c r="F1205" s="7" t="s">
        <v>124</v>
      </c>
      <c r="G1205" s="7">
        <v>96.792339999999996</v>
      </c>
      <c r="H1205" s="7"/>
    </row>
    <row r="1206" spans="1:8" x14ac:dyDescent="0.35">
      <c r="A1206" s="7" t="s">
        <v>350</v>
      </c>
      <c r="B1206" s="7" t="s">
        <v>26</v>
      </c>
      <c r="C1206" s="7" t="s">
        <v>27</v>
      </c>
      <c r="D1206" s="7" t="s">
        <v>28</v>
      </c>
      <c r="E1206" s="7" t="s">
        <v>29</v>
      </c>
      <c r="F1206" s="7" t="s">
        <v>125</v>
      </c>
      <c r="G1206" s="7">
        <v>97.119929999999997</v>
      </c>
      <c r="H1206" s="7"/>
    </row>
    <row r="1207" spans="1:8" x14ac:dyDescent="0.35">
      <c r="A1207" s="7" t="s">
        <v>350</v>
      </c>
      <c r="B1207" s="7" t="s">
        <v>26</v>
      </c>
      <c r="C1207" s="7" t="s">
        <v>27</v>
      </c>
      <c r="D1207" s="7" t="s">
        <v>28</v>
      </c>
      <c r="E1207" s="7" t="s">
        <v>29</v>
      </c>
      <c r="F1207" s="7" t="s">
        <v>126</v>
      </c>
      <c r="G1207" s="7">
        <v>97.416669999999996</v>
      </c>
      <c r="H1207" s="7"/>
    </row>
    <row r="1208" spans="1:8" x14ac:dyDescent="0.35">
      <c r="A1208" s="7" t="s">
        <v>350</v>
      </c>
      <c r="B1208" s="7" t="s">
        <v>26</v>
      </c>
      <c r="C1208" s="7" t="s">
        <v>27</v>
      </c>
      <c r="D1208" s="7" t="s">
        <v>28</v>
      </c>
      <c r="E1208" s="7" t="s">
        <v>29</v>
      </c>
      <c r="F1208" s="7" t="s">
        <v>127</v>
      </c>
      <c r="G1208" s="7">
        <v>97.632369999999995</v>
      </c>
      <c r="H1208" s="7"/>
    </row>
    <row r="1209" spans="1:8" x14ac:dyDescent="0.35">
      <c r="A1209" s="7" t="s">
        <v>350</v>
      </c>
      <c r="B1209" s="7" t="s">
        <v>26</v>
      </c>
      <c r="C1209" s="7" t="s">
        <v>27</v>
      </c>
      <c r="D1209" s="7" t="s">
        <v>28</v>
      </c>
      <c r="E1209" s="7" t="s">
        <v>29</v>
      </c>
      <c r="F1209" s="7" t="s">
        <v>128</v>
      </c>
      <c r="G1209" s="7">
        <v>97.815730000000002</v>
      </c>
      <c r="H1209" s="7"/>
    </row>
    <row r="1210" spans="1:8" x14ac:dyDescent="0.35">
      <c r="A1210" s="7" t="s">
        <v>350</v>
      </c>
      <c r="B1210" s="7" t="s">
        <v>26</v>
      </c>
      <c r="C1210" s="7" t="s">
        <v>27</v>
      </c>
      <c r="D1210" s="7" t="s">
        <v>28</v>
      </c>
      <c r="E1210" s="7" t="s">
        <v>29</v>
      </c>
      <c r="F1210" s="7" t="s">
        <v>129</v>
      </c>
      <c r="G1210" s="7">
        <v>97.990260000000006</v>
      </c>
      <c r="H1210" s="7"/>
    </row>
    <row r="1211" spans="1:8" x14ac:dyDescent="0.35">
      <c r="A1211" s="7" t="s">
        <v>350</v>
      </c>
      <c r="B1211" s="7" t="s">
        <v>26</v>
      </c>
      <c r="C1211" s="7" t="s">
        <v>27</v>
      </c>
      <c r="D1211" s="7" t="s">
        <v>28</v>
      </c>
      <c r="E1211" s="7" t="s">
        <v>29</v>
      </c>
      <c r="F1211" s="7" t="s">
        <v>130</v>
      </c>
      <c r="G1211" s="7">
        <v>98.154169999999993</v>
      </c>
      <c r="H1211" s="7"/>
    </row>
    <row r="1212" spans="1:8" x14ac:dyDescent="0.35">
      <c r="A1212" s="7" t="s">
        <v>350</v>
      </c>
      <c r="B1212" s="7" t="s">
        <v>26</v>
      </c>
      <c r="C1212" s="7" t="s">
        <v>27</v>
      </c>
      <c r="D1212" s="7" t="s">
        <v>28</v>
      </c>
      <c r="E1212" s="7" t="s">
        <v>29</v>
      </c>
      <c r="F1212" s="7" t="s">
        <v>131</v>
      </c>
      <c r="G1212" s="7">
        <v>98.365260000000006</v>
      </c>
      <c r="H1212" s="7"/>
    </row>
    <row r="1213" spans="1:8" x14ac:dyDescent="0.35">
      <c r="A1213" s="7" t="s">
        <v>350</v>
      </c>
      <c r="B1213" s="7" t="s">
        <v>26</v>
      </c>
      <c r="C1213" s="7" t="s">
        <v>27</v>
      </c>
      <c r="D1213" s="7" t="s">
        <v>28</v>
      </c>
      <c r="E1213" s="7" t="s">
        <v>29</v>
      </c>
      <c r="F1213" s="7" t="s">
        <v>132</v>
      </c>
      <c r="G1213" s="7">
        <v>98.54665</v>
      </c>
      <c r="H1213" s="7"/>
    </row>
    <row r="1214" spans="1:8" x14ac:dyDescent="0.35">
      <c r="A1214" s="7" t="s">
        <v>350</v>
      </c>
      <c r="B1214" s="7" t="s">
        <v>26</v>
      </c>
      <c r="C1214" s="7" t="s">
        <v>27</v>
      </c>
      <c r="D1214" s="7" t="s">
        <v>28</v>
      </c>
      <c r="E1214" s="7" t="s">
        <v>29</v>
      </c>
      <c r="F1214" s="7" t="s">
        <v>133</v>
      </c>
      <c r="G1214" s="7">
        <v>98.641930000000002</v>
      </c>
      <c r="H1214" s="7"/>
    </row>
    <row r="1215" spans="1:8" x14ac:dyDescent="0.35">
      <c r="A1215" s="7" t="s">
        <v>350</v>
      </c>
      <c r="B1215" s="7" t="s">
        <v>26</v>
      </c>
      <c r="C1215" s="7" t="s">
        <v>27</v>
      </c>
      <c r="D1215" s="7" t="s">
        <v>28</v>
      </c>
      <c r="E1215" s="7" t="s">
        <v>29</v>
      </c>
      <c r="F1215" s="7" t="s">
        <v>134</v>
      </c>
      <c r="G1215" s="7">
        <v>98.739260000000002</v>
      </c>
      <c r="H1215" s="7"/>
    </row>
    <row r="1216" spans="1:8" x14ac:dyDescent="0.35">
      <c r="A1216" s="7" t="s">
        <v>350</v>
      </c>
      <c r="B1216" s="7" t="s">
        <v>26</v>
      </c>
      <c r="C1216" s="7" t="s">
        <v>27</v>
      </c>
      <c r="D1216" s="7" t="s">
        <v>28</v>
      </c>
      <c r="E1216" s="7" t="s">
        <v>29</v>
      </c>
      <c r="F1216" s="7" t="s">
        <v>135</v>
      </c>
      <c r="G1216" s="7">
        <v>98.899680000000004</v>
      </c>
      <c r="H1216" s="7"/>
    </row>
    <row r="1217" spans="1:8" x14ac:dyDescent="0.35">
      <c r="A1217" s="7" t="s">
        <v>350</v>
      </c>
      <c r="B1217" s="7" t="s">
        <v>26</v>
      </c>
      <c r="C1217" s="7" t="s">
        <v>27</v>
      </c>
      <c r="D1217" s="7" t="s">
        <v>28</v>
      </c>
      <c r="E1217" s="7" t="s">
        <v>29</v>
      </c>
      <c r="F1217" s="7" t="s">
        <v>136</v>
      </c>
      <c r="G1217" s="7">
        <v>99.059799999999996</v>
      </c>
      <c r="H1217" s="7"/>
    </row>
    <row r="1218" spans="1:8" x14ac:dyDescent="0.35">
      <c r="A1218" s="7" t="s">
        <v>350</v>
      </c>
      <c r="B1218" s="7" t="s">
        <v>26</v>
      </c>
      <c r="C1218" s="7" t="s">
        <v>27</v>
      </c>
      <c r="D1218" s="7" t="s">
        <v>28</v>
      </c>
      <c r="E1218" s="7" t="s">
        <v>29</v>
      </c>
      <c r="F1218" s="7" t="s">
        <v>137</v>
      </c>
      <c r="G1218" s="7">
        <v>99.298850000000002</v>
      </c>
      <c r="H1218" s="7"/>
    </row>
    <row r="1219" spans="1:8" x14ac:dyDescent="0.35">
      <c r="A1219" s="7" t="s">
        <v>350</v>
      </c>
      <c r="B1219" s="7" t="s">
        <v>26</v>
      </c>
      <c r="C1219" s="7" t="s">
        <v>27</v>
      </c>
      <c r="D1219" s="7" t="s">
        <v>28</v>
      </c>
      <c r="E1219" s="7" t="s">
        <v>29</v>
      </c>
      <c r="F1219" s="7" t="s">
        <v>138</v>
      </c>
      <c r="G1219" s="7">
        <v>99.571709999999996</v>
      </c>
      <c r="H1219" s="7"/>
    </row>
    <row r="1220" spans="1:8" x14ac:dyDescent="0.35">
      <c r="A1220" s="7" t="s">
        <v>350</v>
      </c>
      <c r="B1220" s="7" t="s">
        <v>26</v>
      </c>
      <c r="C1220" s="7" t="s">
        <v>27</v>
      </c>
      <c r="D1220" s="7" t="s">
        <v>28</v>
      </c>
      <c r="E1220" s="7" t="s">
        <v>29</v>
      </c>
      <c r="F1220" s="7" t="s">
        <v>139</v>
      </c>
      <c r="G1220" s="7">
        <v>99.882080000000002</v>
      </c>
      <c r="H1220" s="7"/>
    </row>
    <row r="1221" spans="1:8" x14ac:dyDescent="0.35">
      <c r="A1221" s="7" t="s">
        <v>350</v>
      </c>
      <c r="B1221" s="7" t="s">
        <v>26</v>
      </c>
      <c r="C1221" s="7" t="s">
        <v>27</v>
      </c>
      <c r="D1221" s="7" t="s">
        <v>28</v>
      </c>
      <c r="E1221" s="7" t="s">
        <v>29</v>
      </c>
      <c r="F1221" s="7" t="s">
        <v>140</v>
      </c>
      <c r="G1221" s="7">
        <v>100.4524</v>
      </c>
      <c r="H1221" s="7"/>
    </row>
    <row r="1222" spans="1:8" x14ac:dyDescent="0.35">
      <c r="A1222" s="7" t="s">
        <v>350</v>
      </c>
      <c r="B1222" s="7" t="s">
        <v>26</v>
      </c>
      <c r="C1222" s="7" t="s">
        <v>27</v>
      </c>
      <c r="D1222" s="7" t="s">
        <v>28</v>
      </c>
      <c r="E1222" s="7" t="s">
        <v>29</v>
      </c>
      <c r="F1222" s="7" t="s">
        <v>141</v>
      </c>
      <c r="G1222" s="7">
        <v>101.04689999999999</v>
      </c>
      <c r="H1222" s="7"/>
    </row>
    <row r="1223" spans="1:8" x14ac:dyDescent="0.35">
      <c r="A1223" s="7" t="s">
        <v>350</v>
      </c>
      <c r="B1223" s="7" t="s">
        <v>26</v>
      </c>
      <c r="C1223" s="7" t="s">
        <v>27</v>
      </c>
      <c r="D1223" s="7" t="s">
        <v>28</v>
      </c>
      <c r="E1223" s="7" t="s">
        <v>29</v>
      </c>
      <c r="F1223" s="7" t="s">
        <v>142</v>
      </c>
      <c r="G1223" s="7">
        <v>101.455</v>
      </c>
      <c r="H1223" s="7"/>
    </row>
    <row r="1224" spans="1:8" x14ac:dyDescent="0.35">
      <c r="A1224" s="7" t="s">
        <v>350</v>
      </c>
      <c r="B1224" s="7" t="s">
        <v>26</v>
      </c>
      <c r="C1224" s="7" t="s">
        <v>27</v>
      </c>
      <c r="D1224" s="7" t="s">
        <v>28</v>
      </c>
      <c r="E1224" s="7" t="s">
        <v>29</v>
      </c>
      <c r="F1224" s="7" t="s">
        <v>143</v>
      </c>
      <c r="G1224" s="7">
        <v>101.6296</v>
      </c>
      <c r="H1224" s="7"/>
    </row>
    <row r="1225" spans="1:8" x14ac:dyDescent="0.35">
      <c r="A1225" s="7" t="s">
        <v>350</v>
      </c>
      <c r="B1225" s="7" t="s">
        <v>26</v>
      </c>
      <c r="C1225" s="7" t="s">
        <v>27</v>
      </c>
      <c r="D1225" s="7" t="s">
        <v>28</v>
      </c>
      <c r="E1225" s="7" t="s">
        <v>29</v>
      </c>
      <c r="F1225" s="7" t="s">
        <v>144</v>
      </c>
      <c r="G1225" s="7">
        <v>101.4926</v>
      </c>
      <c r="H1225" s="7"/>
    </row>
    <row r="1226" spans="1:8" x14ac:dyDescent="0.35">
      <c r="A1226" s="7" t="s">
        <v>350</v>
      </c>
      <c r="B1226" s="7" t="s">
        <v>26</v>
      </c>
      <c r="C1226" s="7" t="s">
        <v>27</v>
      </c>
      <c r="D1226" s="7" t="s">
        <v>28</v>
      </c>
      <c r="E1226" s="7" t="s">
        <v>29</v>
      </c>
      <c r="F1226" s="7" t="s">
        <v>145</v>
      </c>
      <c r="G1226" s="7">
        <v>101.1572</v>
      </c>
      <c r="H1226" s="7"/>
    </row>
    <row r="1227" spans="1:8" x14ac:dyDescent="0.35">
      <c r="A1227" s="7" t="s">
        <v>350</v>
      </c>
      <c r="B1227" s="7" t="s">
        <v>26</v>
      </c>
      <c r="C1227" s="7" t="s">
        <v>27</v>
      </c>
      <c r="D1227" s="7" t="s">
        <v>28</v>
      </c>
      <c r="E1227" s="7" t="s">
        <v>29</v>
      </c>
      <c r="F1227" s="7" t="s">
        <v>146</v>
      </c>
      <c r="G1227" s="7">
        <v>100.91249999999999</v>
      </c>
      <c r="H1227" s="7"/>
    </row>
    <row r="1228" spans="1:8" x14ac:dyDescent="0.35">
      <c r="A1228" s="7" t="s">
        <v>350</v>
      </c>
      <c r="B1228" s="7" t="s">
        <v>26</v>
      </c>
      <c r="C1228" s="7" t="s">
        <v>27</v>
      </c>
      <c r="D1228" s="7" t="s">
        <v>28</v>
      </c>
      <c r="E1228" s="7" t="s">
        <v>29</v>
      </c>
      <c r="F1228" s="7" t="s">
        <v>147</v>
      </c>
      <c r="G1228" s="7">
        <v>100.79519999999999</v>
      </c>
      <c r="H1228" s="7"/>
    </row>
    <row r="1229" spans="1:8" x14ac:dyDescent="0.35">
      <c r="A1229" s="7" t="s">
        <v>350</v>
      </c>
      <c r="B1229" s="7" t="s">
        <v>26</v>
      </c>
      <c r="C1229" s="7" t="s">
        <v>27</v>
      </c>
      <c r="D1229" s="7" t="s">
        <v>28</v>
      </c>
      <c r="E1229" s="7" t="s">
        <v>29</v>
      </c>
      <c r="F1229" s="7" t="s">
        <v>148</v>
      </c>
      <c r="G1229" s="7">
        <v>100.78870000000001</v>
      </c>
      <c r="H1229" s="7"/>
    </row>
    <row r="1230" spans="1:8" x14ac:dyDescent="0.35">
      <c r="A1230" s="7" t="s">
        <v>350</v>
      </c>
      <c r="B1230" s="7" t="s">
        <v>26</v>
      </c>
      <c r="C1230" s="7" t="s">
        <v>27</v>
      </c>
      <c r="D1230" s="7" t="s">
        <v>28</v>
      </c>
      <c r="E1230" s="7" t="s">
        <v>29</v>
      </c>
      <c r="F1230" s="7" t="s">
        <v>149</v>
      </c>
      <c r="G1230" s="7">
        <v>100.8638</v>
      </c>
      <c r="H1230" s="7"/>
    </row>
    <row r="1231" spans="1:8" x14ac:dyDescent="0.35">
      <c r="A1231" s="7" t="s">
        <v>350</v>
      </c>
      <c r="B1231" s="7" t="s">
        <v>26</v>
      </c>
      <c r="C1231" s="7" t="s">
        <v>27</v>
      </c>
      <c r="D1231" s="7" t="s">
        <v>28</v>
      </c>
      <c r="E1231" s="7" t="s">
        <v>29</v>
      </c>
      <c r="F1231" s="7" t="s">
        <v>150</v>
      </c>
      <c r="G1231" s="7">
        <v>100.9247</v>
      </c>
      <c r="H1231" s="7"/>
    </row>
    <row r="1232" spans="1:8" x14ac:dyDescent="0.35">
      <c r="A1232" s="7" t="s">
        <v>350</v>
      </c>
      <c r="B1232" s="7" t="s">
        <v>26</v>
      </c>
      <c r="C1232" s="7" t="s">
        <v>27</v>
      </c>
      <c r="D1232" s="7" t="s">
        <v>28</v>
      </c>
      <c r="E1232" s="7" t="s">
        <v>29</v>
      </c>
      <c r="F1232" s="7" t="s">
        <v>151</v>
      </c>
      <c r="G1232" s="7">
        <v>101.008</v>
      </c>
      <c r="H1232" s="7"/>
    </row>
    <row r="1233" spans="1:8" x14ac:dyDescent="0.35">
      <c r="A1233" s="7" t="s">
        <v>350</v>
      </c>
      <c r="B1233" s="7" t="s">
        <v>26</v>
      </c>
      <c r="C1233" s="7" t="s">
        <v>27</v>
      </c>
      <c r="D1233" s="7" t="s">
        <v>28</v>
      </c>
      <c r="E1233" s="7" t="s">
        <v>29</v>
      </c>
      <c r="F1233" s="7" t="s">
        <v>152</v>
      </c>
      <c r="G1233" s="7">
        <v>101.0697</v>
      </c>
      <c r="H1233" s="7"/>
    </row>
    <row r="1234" spans="1:8" x14ac:dyDescent="0.35">
      <c r="A1234" s="7" t="s">
        <v>350</v>
      </c>
      <c r="B1234" s="7" t="s">
        <v>26</v>
      </c>
      <c r="C1234" s="7" t="s">
        <v>27</v>
      </c>
      <c r="D1234" s="7" t="s">
        <v>28</v>
      </c>
      <c r="E1234" s="7" t="s">
        <v>29</v>
      </c>
      <c r="F1234" s="7" t="s">
        <v>153</v>
      </c>
      <c r="G1234" s="7">
        <v>101.00830000000001</v>
      </c>
      <c r="H1234" s="7"/>
    </row>
    <row r="1235" spans="1:8" x14ac:dyDescent="0.35">
      <c r="A1235" s="7" t="s">
        <v>350</v>
      </c>
      <c r="B1235" s="7" t="s">
        <v>26</v>
      </c>
      <c r="C1235" s="7" t="s">
        <v>27</v>
      </c>
      <c r="D1235" s="7" t="s">
        <v>28</v>
      </c>
      <c r="E1235" s="7" t="s">
        <v>29</v>
      </c>
      <c r="F1235" s="7" t="s">
        <v>154</v>
      </c>
      <c r="G1235" s="7">
        <v>100.9545</v>
      </c>
      <c r="H1235" s="7"/>
    </row>
    <row r="1236" spans="1:8" x14ac:dyDescent="0.35">
      <c r="A1236" s="7" t="s">
        <v>350</v>
      </c>
      <c r="B1236" s="7" t="s">
        <v>26</v>
      </c>
      <c r="C1236" s="7" t="s">
        <v>27</v>
      </c>
      <c r="D1236" s="7" t="s">
        <v>28</v>
      </c>
      <c r="E1236" s="7" t="s">
        <v>29</v>
      </c>
      <c r="F1236" s="7" t="s">
        <v>155</v>
      </c>
      <c r="G1236" s="7">
        <v>101.01220000000001</v>
      </c>
      <c r="H1236" s="7"/>
    </row>
    <row r="1237" spans="1:8" x14ac:dyDescent="0.35">
      <c r="A1237" s="7" t="s">
        <v>350</v>
      </c>
      <c r="B1237" s="7" t="s">
        <v>26</v>
      </c>
      <c r="C1237" s="7" t="s">
        <v>27</v>
      </c>
      <c r="D1237" s="7" t="s">
        <v>28</v>
      </c>
      <c r="E1237" s="7" t="s">
        <v>29</v>
      </c>
      <c r="F1237" s="7" t="s">
        <v>156</v>
      </c>
      <c r="G1237" s="7">
        <v>101.0827</v>
      </c>
      <c r="H1237" s="7"/>
    </row>
    <row r="1238" spans="1:8" x14ac:dyDescent="0.35">
      <c r="A1238" s="7" t="s">
        <v>350</v>
      </c>
      <c r="B1238" s="7" t="s">
        <v>26</v>
      </c>
      <c r="C1238" s="7" t="s">
        <v>27</v>
      </c>
      <c r="D1238" s="7" t="s">
        <v>28</v>
      </c>
      <c r="E1238" s="7" t="s">
        <v>29</v>
      </c>
      <c r="F1238" s="7" t="s">
        <v>157</v>
      </c>
      <c r="G1238" s="7">
        <v>101.0367</v>
      </c>
      <c r="H1238" s="7"/>
    </row>
    <row r="1239" spans="1:8" x14ac:dyDescent="0.35">
      <c r="A1239" s="7" t="s">
        <v>350</v>
      </c>
      <c r="B1239" s="7" t="s">
        <v>26</v>
      </c>
      <c r="C1239" s="7" t="s">
        <v>27</v>
      </c>
      <c r="D1239" s="7" t="s">
        <v>28</v>
      </c>
      <c r="E1239" s="7" t="s">
        <v>29</v>
      </c>
      <c r="F1239" s="7" t="s">
        <v>158</v>
      </c>
      <c r="G1239" s="7">
        <v>100.81140000000001</v>
      </c>
      <c r="H1239" s="7"/>
    </row>
    <row r="1240" spans="1:8" x14ac:dyDescent="0.35">
      <c r="A1240" s="7" t="s">
        <v>350</v>
      </c>
      <c r="B1240" s="7" t="s">
        <v>26</v>
      </c>
      <c r="C1240" s="7" t="s">
        <v>27</v>
      </c>
      <c r="D1240" s="7" t="s">
        <v>28</v>
      </c>
      <c r="E1240" s="7" t="s">
        <v>29</v>
      </c>
      <c r="F1240" s="7" t="s">
        <v>159</v>
      </c>
      <c r="G1240" s="7">
        <v>100.51730000000001</v>
      </c>
      <c r="H1240" s="7"/>
    </row>
    <row r="1241" spans="1:8" x14ac:dyDescent="0.35">
      <c r="A1241" s="7" t="s">
        <v>350</v>
      </c>
      <c r="B1241" s="7" t="s">
        <v>26</v>
      </c>
      <c r="C1241" s="7" t="s">
        <v>27</v>
      </c>
      <c r="D1241" s="7" t="s">
        <v>28</v>
      </c>
      <c r="E1241" s="7" t="s">
        <v>29</v>
      </c>
      <c r="F1241" s="7" t="s">
        <v>160</v>
      </c>
      <c r="G1241" s="7">
        <v>100.2518</v>
      </c>
      <c r="H1241" s="7"/>
    </row>
    <row r="1242" spans="1:8" x14ac:dyDescent="0.35">
      <c r="A1242" s="7" t="s">
        <v>350</v>
      </c>
      <c r="B1242" s="7" t="s">
        <v>26</v>
      </c>
      <c r="C1242" s="7" t="s">
        <v>27</v>
      </c>
      <c r="D1242" s="7" t="s">
        <v>28</v>
      </c>
      <c r="E1242" s="7" t="s">
        <v>29</v>
      </c>
      <c r="F1242" s="7" t="s">
        <v>161</v>
      </c>
      <c r="G1242" s="7">
        <v>100.1031</v>
      </c>
      <c r="H1242" s="7"/>
    </row>
    <row r="1243" spans="1:8" x14ac:dyDescent="0.35">
      <c r="A1243" s="7" t="s">
        <v>350</v>
      </c>
      <c r="B1243" s="7" t="s">
        <v>26</v>
      </c>
      <c r="C1243" s="7" t="s">
        <v>27</v>
      </c>
      <c r="D1243" s="7" t="s">
        <v>28</v>
      </c>
      <c r="E1243" s="7" t="s">
        <v>29</v>
      </c>
      <c r="F1243" s="7" t="s">
        <v>162</v>
      </c>
      <c r="G1243" s="7">
        <v>100.0334</v>
      </c>
      <c r="H1243" s="7"/>
    </row>
    <row r="1244" spans="1:8" x14ac:dyDescent="0.35">
      <c r="A1244" s="7" t="s">
        <v>350</v>
      </c>
      <c r="B1244" s="7" t="s">
        <v>26</v>
      </c>
      <c r="C1244" s="7" t="s">
        <v>27</v>
      </c>
      <c r="D1244" s="7" t="s">
        <v>28</v>
      </c>
      <c r="E1244" s="7" t="s">
        <v>29</v>
      </c>
      <c r="F1244" s="7" t="s">
        <v>163</v>
      </c>
      <c r="G1244" s="7">
        <v>99.937129999999996</v>
      </c>
      <c r="H1244" s="7"/>
    </row>
    <row r="1245" spans="1:8" x14ac:dyDescent="0.35">
      <c r="A1245" s="7" t="s">
        <v>350</v>
      </c>
      <c r="B1245" s="7" t="s">
        <v>26</v>
      </c>
      <c r="C1245" s="7" t="s">
        <v>27</v>
      </c>
      <c r="D1245" s="7" t="s">
        <v>28</v>
      </c>
      <c r="E1245" s="7" t="s">
        <v>29</v>
      </c>
      <c r="F1245" s="7" t="s">
        <v>164</v>
      </c>
      <c r="G1245" s="7">
        <v>99.709540000000004</v>
      </c>
      <c r="H1245" s="7"/>
    </row>
    <row r="1246" spans="1:8" x14ac:dyDescent="0.35">
      <c r="A1246" s="7" t="s">
        <v>350</v>
      </c>
      <c r="B1246" s="7" t="s">
        <v>26</v>
      </c>
      <c r="C1246" s="7" t="s">
        <v>27</v>
      </c>
      <c r="D1246" s="7" t="s">
        <v>28</v>
      </c>
      <c r="E1246" s="7" t="s">
        <v>29</v>
      </c>
      <c r="F1246" s="7" t="s">
        <v>165</v>
      </c>
      <c r="G1246" s="7">
        <v>99.526840000000007</v>
      </c>
      <c r="H1246" s="7"/>
    </row>
    <row r="1247" spans="1:8" x14ac:dyDescent="0.35">
      <c r="A1247" s="7" t="s">
        <v>350</v>
      </c>
      <c r="B1247" s="7" t="s">
        <v>26</v>
      </c>
      <c r="C1247" s="7" t="s">
        <v>27</v>
      </c>
      <c r="D1247" s="7" t="s">
        <v>28</v>
      </c>
      <c r="E1247" s="7" t="s">
        <v>29</v>
      </c>
      <c r="F1247" s="7" t="s">
        <v>166</v>
      </c>
      <c r="G1247" s="7">
        <v>99.462879999999998</v>
      </c>
      <c r="H1247" s="7"/>
    </row>
    <row r="1248" spans="1:8" x14ac:dyDescent="0.35">
      <c r="A1248" s="7" t="s">
        <v>350</v>
      </c>
      <c r="B1248" s="7" t="s">
        <v>26</v>
      </c>
      <c r="C1248" s="7" t="s">
        <v>27</v>
      </c>
      <c r="D1248" s="7" t="s">
        <v>28</v>
      </c>
      <c r="E1248" s="7" t="s">
        <v>29</v>
      </c>
      <c r="F1248" s="7" t="s">
        <v>167</v>
      </c>
      <c r="G1248" s="7">
        <v>99.488659999999996</v>
      </c>
      <c r="H1248" s="7"/>
    </row>
    <row r="1249" spans="1:8" x14ac:dyDescent="0.35">
      <c r="A1249" s="7" t="s">
        <v>350</v>
      </c>
      <c r="B1249" s="7" t="s">
        <v>26</v>
      </c>
      <c r="C1249" s="7" t="s">
        <v>27</v>
      </c>
      <c r="D1249" s="7" t="s">
        <v>28</v>
      </c>
      <c r="E1249" s="7" t="s">
        <v>29</v>
      </c>
      <c r="F1249" s="7" t="s">
        <v>168</v>
      </c>
      <c r="G1249" s="7">
        <v>99.627899999999997</v>
      </c>
      <c r="H1249" s="7"/>
    </row>
    <row r="1250" spans="1:8" x14ac:dyDescent="0.35">
      <c r="A1250" s="7" t="s">
        <v>350</v>
      </c>
      <c r="B1250" s="7" t="s">
        <v>26</v>
      </c>
      <c r="C1250" s="7" t="s">
        <v>27</v>
      </c>
      <c r="D1250" s="7" t="s">
        <v>28</v>
      </c>
      <c r="E1250" s="7" t="s">
        <v>29</v>
      </c>
      <c r="F1250" s="7" t="s">
        <v>169</v>
      </c>
      <c r="G1250" s="7">
        <v>99.763339999999999</v>
      </c>
      <c r="H1250" s="7"/>
    </row>
    <row r="1251" spans="1:8" x14ac:dyDescent="0.35">
      <c r="A1251" s="7" t="s">
        <v>350</v>
      </c>
      <c r="B1251" s="7" t="s">
        <v>26</v>
      </c>
      <c r="C1251" s="7" t="s">
        <v>27</v>
      </c>
      <c r="D1251" s="7" t="s">
        <v>28</v>
      </c>
      <c r="E1251" s="7" t="s">
        <v>29</v>
      </c>
      <c r="F1251" s="7" t="s">
        <v>170</v>
      </c>
      <c r="G1251" s="7">
        <v>99.741780000000006</v>
      </c>
      <c r="H1251" s="7"/>
    </row>
    <row r="1252" spans="1:8" x14ac:dyDescent="0.35">
      <c r="A1252" s="7" t="s">
        <v>350</v>
      </c>
      <c r="B1252" s="7" t="s">
        <v>26</v>
      </c>
      <c r="C1252" s="7" t="s">
        <v>27</v>
      </c>
      <c r="D1252" s="7" t="s">
        <v>28</v>
      </c>
      <c r="E1252" s="7" t="s">
        <v>29</v>
      </c>
      <c r="F1252" s="7" t="s">
        <v>171</v>
      </c>
      <c r="G1252" s="7">
        <v>99.635509999999996</v>
      </c>
      <c r="H1252" s="7"/>
    </row>
    <row r="1253" spans="1:8" x14ac:dyDescent="0.35">
      <c r="A1253" s="7" t="s">
        <v>350</v>
      </c>
      <c r="B1253" s="7" t="s">
        <v>26</v>
      </c>
      <c r="C1253" s="7" t="s">
        <v>27</v>
      </c>
      <c r="D1253" s="7" t="s">
        <v>28</v>
      </c>
      <c r="E1253" s="7" t="s">
        <v>29</v>
      </c>
      <c r="F1253" s="7" t="s">
        <v>172</v>
      </c>
      <c r="G1253" s="7">
        <v>99.305949999999996</v>
      </c>
      <c r="H1253" s="7"/>
    </row>
    <row r="1254" spans="1:8" x14ac:dyDescent="0.35">
      <c r="A1254" s="7" t="s">
        <v>350</v>
      </c>
      <c r="B1254" s="7" t="s">
        <v>26</v>
      </c>
      <c r="C1254" s="7" t="s">
        <v>27</v>
      </c>
      <c r="D1254" s="7" t="s">
        <v>28</v>
      </c>
      <c r="E1254" s="7" t="s">
        <v>29</v>
      </c>
      <c r="F1254" s="7" t="s">
        <v>173</v>
      </c>
      <c r="G1254" s="7">
        <v>98.906850000000006</v>
      </c>
      <c r="H1254" s="7"/>
    </row>
    <row r="1255" spans="1:8" x14ac:dyDescent="0.35">
      <c r="A1255" s="7" t="s">
        <v>350</v>
      </c>
      <c r="B1255" s="7" t="s">
        <v>26</v>
      </c>
      <c r="C1255" s="7" t="s">
        <v>27</v>
      </c>
      <c r="D1255" s="7" t="s">
        <v>28</v>
      </c>
      <c r="E1255" s="7" t="s">
        <v>29</v>
      </c>
      <c r="F1255" s="7" t="s">
        <v>174</v>
      </c>
      <c r="G1255" s="7">
        <v>98.664169999999999</v>
      </c>
      <c r="H1255" s="7"/>
    </row>
    <row r="1256" spans="1:8" x14ac:dyDescent="0.35">
      <c r="A1256" s="7" t="s">
        <v>350</v>
      </c>
      <c r="B1256" s="7" t="s">
        <v>26</v>
      </c>
      <c r="C1256" s="7" t="s">
        <v>27</v>
      </c>
      <c r="D1256" s="7" t="s">
        <v>28</v>
      </c>
      <c r="E1256" s="7" t="s">
        <v>29</v>
      </c>
      <c r="F1256" s="7" t="s">
        <v>175</v>
      </c>
      <c r="G1256" s="7">
        <v>98.420270000000002</v>
      </c>
      <c r="H1256" s="7"/>
    </row>
    <row r="1257" spans="1:8" x14ac:dyDescent="0.35">
      <c r="A1257" s="7" t="s">
        <v>350</v>
      </c>
      <c r="B1257" s="7" t="s">
        <v>26</v>
      </c>
      <c r="C1257" s="7" t="s">
        <v>27</v>
      </c>
      <c r="D1257" s="7" t="s">
        <v>28</v>
      </c>
      <c r="E1257" s="7" t="s">
        <v>29</v>
      </c>
      <c r="F1257" s="7" t="s">
        <v>176</v>
      </c>
      <c r="G1257" s="7">
        <v>98.166619999999995</v>
      </c>
      <c r="H1257" s="7"/>
    </row>
    <row r="1258" spans="1:8" x14ac:dyDescent="0.35">
      <c r="A1258" s="7" t="s">
        <v>350</v>
      </c>
      <c r="B1258" s="7" t="s">
        <v>26</v>
      </c>
      <c r="C1258" s="7" t="s">
        <v>27</v>
      </c>
      <c r="D1258" s="7" t="s">
        <v>28</v>
      </c>
      <c r="E1258" s="7" t="s">
        <v>29</v>
      </c>
      <c r="F1258" s="7" t="s">
        <v>177</v>
      </c>
      <c r="G1258" s="7">
        <v>97.982410000000002</v>
      </c>
      <c r="H1258" s="7"/>
    </row>
    <row r="1259" spans="1:8" x14ac:dyDescent="0.35">
      <c r="A1259" s="7" t="s">
        <v>350</v>
      </c>
      <c r="B1259" s="7" t="s">
        <v>26</v>
      </c>
      <c r="C1259" s="7" t="s">
        <v>27</v>
      </c>
      <c r="D1259" s="7" t="s">
        <v>28</v>
      </c>
      <c r="E1259" s="7" t="s">
        <v>29</v>
      </c>
      <c r="F1259" s="7" t="s">
        <v>178</v>
      </c>
      <c r="G1259" s="7">
        <v>98.196529999999996</v>
      </c>
      <c r="H1259" s="7"/>
    </row>
    <row r="1260" spans="1:8" x14ac:dyDescent="0.35">
      <c r="A1260" s="7" t="s">
        <v>350</v>
      </c>
      <c r="B1260" s="7" t="s">
        <v>26</v>
      </c>
      <c r="C1260" s="7" t="s">
        <v>27</v>
      </c>
      <c r="D1260" s="7" t="s">
        <v>28</v>
      </c>
      <c r="E1260" s="7" t="s">
        <v>29</v>
      </c>
      <c r="F1260" s="7" t="s">
        <v>179</v>
      </c>
      <c r="G1260" s="7">
        <v>98.762659999999997</v>
      </c>
      <c r="H1260" s="7"/>
    </row>
    <row r="1261" spans="1:8" x14ac:dyDescent="0.35">
      <c r="A1261" s="7" t="s">
        <v>350</v>
      </c>
      <c r="B1261" s="7" t="s">
        <v>26</v>
      </c>
      <c r="C1261" s="7" t="s">
        <v>27</v>
      </c>
      <c r="D1261" s="7" t="s">
        <v>28</v>
      </c>
      <c r="E1261" s="7" t="s">
        <v>29</v>
      </c>
      <c r="F1261" s="7" t="s">
        <v>180</v>
      </c>
      <c r="G1261" s="7">
        <v>99.4268</v>
      </c>
      <c r="H1261" s="7"/>
    </row>
    <row r="1262" spans="1:8" x14ac:dyDescent="0.35">
      <c r="A1262" s="7" t="s">
        <v>350</v>
      </c>
      <c r="B1262" s="7" t="s">
        <v>26</v>
      </c>
      <c r="C1262" s="7" t="s">
        <v>27</v>
      </c>
      <c r="D1262" s="7" t="s">
        <v>28</v>
      </c>
      <c r="E1262" s="7" t="s">
        <v>29</v>
      </c>
      <c r="F1262" s="7" t="s">
        <v>181</v>
      </c>
      <c r="G1262" s="7">
        <v>99.878739999999993</v>
      </c>
      <c r="H1262" s="7"/>
    </row>
    <row r="1263" spans="1:8" x14ac:dyDescent="0.35">
      <c r="A1263" s="7" t="s">
        <v>350</v>
      </c>
      <c r="B1263" s="7" t="s">
        <v>26</v>
      </c>
      <c r="C1263" s="7" t="s">
        <v>27</v>
      </c>
      <c r="D1263" s="7" t="s">
        <v>28</v>
      </c>
      <c r="E1263" s="7" t="s">
        <v>29</v>
      </c>
      <c r="F1263" s="7" t="s">
        <v>182</v>
      </c>
      <c r="G1263" s="7">
        <v>100.0955</v>
      </c>
      <c r="H1263" s="7"/>
    </row>
    <row r="1264" spans="1:8" x14ac:dyDescent="0.35">
      <c r="A1264" s="7" t="s">
        <v>350</v>
      </c>
      <c r="B1264" s="7" t="s">
        <v>26</v>
      </c>
      <c r="C1264" s="7" t="s">
        <v>27</v>
      </c>
      <c r="D1264" s="7" t="s">
        <v>28</v>
      </c>
      <c r="E1264" s="7" t="s">
        <v>29</v>
      </c>
      <c r="F1264" s="7" t="s">
        <v>183</v>
      </c>
      <c r="G1264" s="7">
        <v>100.08799999999999</v>
      </c>
      <c r="H1264" s="7"/>
    </row>
    <row r="1265" spans="1:8" x14ac:dyDescent="0.35">
      <c r="A1265" s="7" t="s">
        <v>350</v>
      </c>
      <c r="B1265" s="7" t="s">
        <v>26</v>
      </c>
      <c r="C1265" s="7" t="s">
        <v>27</v>
      </c>
      <c r="D1265" s="7" t="s">
        <v>28</v>
      </c>
      <c r="E1265" s="7" t="s">
        <v>29</v>
      </c>
      <c r="F1265" s="7" t="s">
        <v>184</v>
      </c>
      <c r="G1265" s="7">
        <v>99.974130000000002</v>
      </c>
      <c r="H1265" s="7"/>
    </row>
    <row r="1266" spans="1:8" x14ac:dyDescent="0.35">
      <c r="A1266" s="7" t="s">
        <v>350</v>
      </c>
      <c r="B1266" s="7" t="s">
        <v>26</v>
      </c>
      <c r="C1266" s="7" t="s">
        <v>27</v>
      </c>
      <c r="D1266" s="7" t="s">
        <v>28</v>
      </c>
      <c r="E1266" s="7" t="s">
        <v>29</v>
      </c>
      <c r="F1266" s="7" t="s">
        <v>185</v>
      </c>
      <c r="G1266" s="7">
        <v>100.00190000000001</v>
      </c>
      <c r="H1266" s="7"/>
    </row>
    <row r="1267" spans="1:8" x14ac:dyDescent="0.35">
      <c r="A1267" s="7" t="s">
        <v>350</v>
      </c>
      <c r="B1267" s="7" t="s">
        <v>26</v>
      </c>
      <c r="C1267" s="7" t="s">
        <v>27</v>
      </c>
      <c r="D1267" s="7" t="s">
        <v>28</v>
      </c>
      <c r="E1267" s="7" t="s">
        <v>29</v>
      </c>
      <c r="F1267" s="7" t="s">
        <v>186</v>
      </c>
      <c r="G1267" s="7">
        <v>100.20489999999999</v>
      </c>
      <c r="H1267" s="7"/>
    </row>
    <row r="1268" spans="1:8" x14ac:dyDescent="0.35">
      <c r="A1268" s="7" t="s">
        <v>350</v>
      </c>
      <c r="B1268" s="7" t="s">
        <v>26</v>
      </c>
      <c r="C1268" s="7" t="s">
        <v>27</v>
      </c>
      <c r="D1268" s="7" t="s">
        <v>28</v>
      </c>
      <c r="E1268" s="7" t="s">
        <v>29</v>
      </c>
      <c r="F1268" s="7" t="s">
        <v>187</v>
      </c>
      <c r="G1268" s="7">
        <v>100.5275</v>
      </c>
      <c r="H1268" s="7"/>
    </row>
    <row r="1269" spans="1:8" x14ac:dyDescent="0.35">
      <c r="A1269" s="7" t="s">
        <v>350</v>
      </c>
      <c r="B1269" s="7" t="s">
        <v>26</v>
      </c>
      <c r="C1269" s="7" t="s">
        <v>27</v>
      </c>
      <c r="D1269" s="7" t="s">
        <v>28</v>
      </c>
      <c r="E1269" s="7" t="s">
        <v>29</v>
      </c>
      <c r="F1269" s="7" t="s">
        <v>188</v>
      </c>
      <c r="G1269" s="7">
        <v>100.7591</v>
      </c>
      <c r="H1269" s="7"/>
    </row>
    <row r="1270" spans="1:8" x14ac:dyDescent="0.35">
      <c r="A1270" s="7" t="s">
        <v>350</v>
      </c>
      <c r="B1270" s="7" t="s">
        <v>26</v>
      </c>
      <c r="C1270" s="7" t="s">
        <v>27</v>
      </c>
      <c r="D1270" s="7" t="s">
        <v>28</v>
      </c>
      <c r="E1270" s="7" t="s">
        <v>29</v>
      </c>
      <c r="F1270" s="7" t="s">
        <v>189</v>
      </c>
      <c r="G1270" s="7">
        <v>100.88330000000001</v>
      </c>
      <c r="H1270" s="7"/>
    </row>
    <row r="1271" spans="1:8" x14ac:dyDescent="0.35">
      <c r="A1271" s="7" t="s">
        <v>350</v>
      </c>
      <c r="B1271" s="7" t="s">
        <v>26</v>
      </c>
      <c r="C1271" s="7" t="s">
        <v>27</v>
      </c>
      <c r="D1271" s="7" t="s">
        <v>28</v>
      </c>
      <c r="E1271" s="7" t="s">
        <v>29</v>
      </c>
      <c r="F1271" s="7" t="s">
        <v>190</v>
      </c>
      <c r="G1271" s="7">
        <v>101.01430000000001</v>
      </c>
      <c r="H1271" s="7"/>
    </row>
    <row r="1272" spans="1:8" x14ac:dyDescent="0.35">
      <c r="A1272" s="7" t="s">
        <v>350</v>
      </c>
      <c r="B1272" s="7" t="s">
        <v>26</v>
      </c>
      <c r="C1272" s="7" t="s">
        <v>27</v>
      </c>
      <c r="D1272" s="7" t="s">
        <v>28</v>
      </c>
      <c r="E1272" s="7" t="s">
        <v>29</v>
      </c>
      <c r="F1272" s="7" t="s">
        <v>191</v>
      </c>
      <c r="G1272" s="7">
        <v>101.1199</v>
      </c>
      <c r="H1272" s="7"/>
    </row>
    <row r="1273" spans="1:8" x14ac:dyDescent="0.35">
      <c r="A1273" s="7" t="s">
        <v>350</v>
      </c>
      <c r="B1273" s="7" t="s">
        <v>26</v>
      </c>
      <c r="C1273" s="7" t="s">
        <v>27</v>
      </c>
      <c r="D1273" s="7" t="s">
        <v>28</v>
      </c>
      <c r="E1273" s="7" t="s">
        <v>29</v>
      </c>
      <c r="F1273" s="7" t="s">
        <v>192</v>
      </c>
      <c r="G1273" s="7">
        <v>101.3181</v>
      </c>
      <c r="H1273" s="7"/>
    </row>
    <row r="1274" spans="1:8" x14ac:dyDescent="0.35">
      <c r="A1274" s="7" t="s">
        <v>350</v>
      </c>
      <c r="B1274" s="7" t="s">
        <v>26</v>
      </c>
      <c r="C1274" s="7" t="s">
        <v>27</v>
      </c>
      <c r="D1274" s="7" t="s">
        <v>28</v>
      </c>
      <c r="E1274" s="7" t="s">
        <v>29</v>
      </c>
      <c r="F1274" s="7" t="s">
        <v>193</v>
      </c>
      <c r="G1274" s="7">
        <v>101.42019999999999</v>
      </c>
      <c r="H1274" s="7"/>
    </row>
    <row r="1275" spans="1:8" x14ac:dyDescent="0.35">
      <c r="A1275" s="7" t="s">
        <v>350</v>
      </c>
      <c r="B1275" s="7" t="s">
        <v>26</v>
      </c>
      <c r="C1275" s="7" t="s">
        <v>27</v>
      </c>
      <c r="D1275" s="7" t="s">
        <v>28</v>
      </c>
      <c r="E1275" s="7" t="s">
        <v>29</v>
      </c>
      <c r="F1275" s="7" t="s">
        <v>194</v>
      </c>
      <c r="G1275" s="7">
        <v>101.4045</v>
      </c>
      <c r="H1275" s="7"/>
    </row>
    <row r="1276" spans="1:8" x14ac:dyDescent="0.35">
      <c r="A1276" s="7" t="s">
        <v>350</v>
      </c>
      <c r="B1276" s="7" t="s">
        <v>26</v>
      </c>
      <c r="C1276" s="7" t="s">
        <v>27</v>
      </c>
      <c r="D1276" s="7" t="s">
        <v>28</v>
      </c>
      <c r="E1276" s="7" t="s">
        <v>29</v>
      </c>
      <c r="F1276" s="7" t="s">
        <v>195</v>
      </c>
      <c r="G1276" s="7">
        <v>101.34480000000001</v>
      </c>
      <c r="H1276" s="7"/>
    </row>
    <row r="1277" spans="1:8" x14ac:dyDescent="0.35">
      <c r="A1277" s="7" t="s">
        <v>350</v>
      </c>
      <c r="B1277" s="7" t="s">
        <v>26</v>
      </c>
      <c r="C1277" s="7" t="s">
        <v>27</v>
      </c>
      <c r="D1277" s="7" t="s">
        <v>28</v>
      </c>
      <c r="E1277" s="7" t="s">
        <v>29</v>
      </c>
      <c r="F1277" s="7" t="s">
        <v>196</v>
      </c>
      <c r="G1277" s="7">
        <v>101.3955</v>
      </c>
      <c r="H1277" s="7"/>
    </row>
    <row r="1278" spans="1:8" x14ac:dyDescent="0.35">
      <c r="A1278" s="7" t="s">
        <v>350</v>
      </c>
      <c r="B1278" s="7" t="s">
        <v>26</v>
      </c>
      <c r="C1278" s="7" t="s">
        <v>27</v>
      </c>
      <c r="D1278" s="7" t="s">
        <v>28</v>
      </c>
      <c r="E1278" s="7" t="s">
        <v>29</v>
      </c>
      <c r="F1278" s="7" t="s">
        <v>197</v>
      </c>
      <c r="G1278" s="7">
        <v>101.48480000000001</v>
      </c>
      <c r="H1278" s="7"/>
    </row>
    <row r="1279" spans="1:8" x14ac:dyDescent="0.35">
      <c r="A1279" s="7" t="s">
        <v>350</v>
      </c>
      <c r="B1279" s="7" t="s">
        <v>26</v>
      </c>
      <c r="C1279" s="7" t="s">
        <v>27</v>
      </c>
      <c r="D1279" s="7" t="s">
        <v>28</v>
      </c>
      <c r="E1279" s="7" t="s">
        <v>29</v>
      </c>
      <c r="F1279" s="7" t="s">
        <v>198</v>
      </c>
      <c r="G1279" s="7">
        <v>101.6307</v>
      </c>
      <c r="H1279" s="7"/>
    </row>
    <row r="1280" spans="1:8" x14ac:dyDescent="0.35">
      <c r="A1280" s="7" t="s">
        <v>350</v>
      </c>
      <c r="B1280" s="7" t="s">
        <v>26</v>
      </c>
      <c r="C1280" s="7" t="s">
        <v>27</v>
      </c>
      <c r="D1280" s="7" t="s">
        <v>28</v>
      </c>
      <c r="E1280" s="7" t="s">
        <v>29</v>
      </c>
      <c r="F1280" s="7" t="s">
        <v>199</v>
      </c>
      <c r="G1280" s="7">
        <v>101.6985</v>
      </c>
      <c r="H1280" s="7"/>
    </row>
    <row r="1281" spans="1:8" x14ac:dyDescent="0.35">
      <c r="A1281" s="7" t="s">
        <v>350</v>
      </c>
      <c r="B1281" s="7" t="s">
        <v>26</v>
      </c>
      <c r="C1281" s="7" t="s">
        <v>27</v>
      </c>
      <c r="D1281" s="7" t="s">
        <v>28</v>
      </c>
      <c r="E1281" s="7" t="s">
        <v>29</v>
      </c>
      <c r="F1281" s="7" t="s">
        <v>200</v>
      </c>
      <c r="G1281" s="7">
        <v>101.8356</v>
      </c>
      <c r="H1281" s="7"/>
    </row>
    <row r="1282" spans="1:8" x14ac:dyDescent="0.35">
      <c r="A1282" s="7" t="s">
        <v>350</v>
      </c>
      <c r="B1282" s="7" t="s">
        <v>26</v>
      </c>
      <c r="C1282" s="7" t="s">
        <v>27</v>
      </c>
      <c r="D1282" s="7" t="s">
        <v>28</v>
      </c>
      <c r="E1282" s="7" t="s">
        <v>29</v>
      </c>
      <c r="F1282" s="7" t="s">
        <v>201</v>
      </c>
      <c r="G1282" s="7">
        <v>101.9147</v>
      </c>
      <c r="H1282" s="7"/>
    </row>
    <row r="1283" spans="1:8" x14ac:dyDescent="0.35">
      <c r="A1283" s="7" t="s">
        <v>350</v>
      </c>
      <c r="B1283" s="7" t="s">
        <v>26</v>
      </c>
      <c r="C1283" s="7" t="s">
        <v>27</v>
      </c>
      <c r="D1283" s="7" t="s">
        <v>28</v>
      </c>
      <c r="E1283" s="7" t="s">
        <v>29</v>
      </c>
      <c r="F1283" s="7" t="s">
        <v>202</v>
      </c>
      <c r="G1283" s="7">
        <v>101.96210000000001</v>
      </c>
      <c r="H1283" s="7"/>
    </row>
    <row r="1284" spans="1:8" x14ac:dyDescent="0.35">
      <c r="A1284" s="7" t="s">
        <v>350</v>
      </c>
      <c r="B1284" s="7" t="s">
        <v>26</v>
      </c>
      <c r="C1284" s="7" t="s">
        <v>27</v>
      </c>
      <c r="D1284" s="7" t="s">
        <v>28</v>
      </c>
      <c r="E1284" s="7" t="s">
        <v>29</v>
      </c>
      <c r="F1284" s="7" t="s">
        <v>203</v>
      </c>
      <c r="G1284" s="7">
        <v>101.9559</v>
      </c>
      <c r="H1284" s="7"/>
    </row>
    <row r="1285" spans="1:8" x14ac:dyDescent="0.35">
      <c r="A1285" s="7" t="s">
        <v>350</v>
      </c>
      <c r="B1285" s="7" t="s">
        <v>26</v>
      </c>
      <c r="C1285" s="7" t="s">
        <v>27</v>
      </c>
      <c r="D1285" s="7" t="s">
        <v>28</v>
      </c>
      <c r="E1285" s="7" t="s">
        <v>29</v>
      </c>
      <c r="F1285" s="7" t="s">
        <v>204</v>
      </c>
      <c r="G1285" s="7">
        <v>101.9468</v>
      </c>
      <c r="H1285" s="7"/>
    </row>
    <row r="1286" spans="1:8" x14ac:dyDescent="0.35">
      <c r="A1286" s="7" t="s">
        <v>350</v>
      </c>
      <c r="B1286" s="7" t="s">
        <v>26</v>
      </c>
      <c r="C1286" s="7" t="s">
        <v>27</v>
      </c>
      <c r="D1286" s="7" t="s">
        <v>28</v>
      </c>
      <c r="E1286" s="7" t="s">
        <v>29</v>
      </c>
      <c r="F1286" s="7" t="s">
        <v>205</v>
      </c>
      <c r="G1286" s="7">
        <v>101.9423</v>
      </c>
      <c r="H1286" s="7"/>
    </row>
    <row r="1287" spans="1:8" x14ac:dyDescent="0.35">
      <c r="A1287" s="7" t="s">
        <v>350</v>
      </c>
      <c r="B1287" s="7" t="s">
        <v>26</v>
      </c>
      <c r="C1287" s="7" t="s">
        <v>27</v>
      </c>
      <c r="D1287" s="7" t="s">
        <v>28</v>
      </c>
      <c r="E1287" s="7" t="s">
        <v>29</v>
      </c>
      <c r="F1287" s="7" t="s">
        <v>206</v>
      </c>
      <c r="G1287" s="7">
        <v>102.0074</v>
      </c>
      <c r="H1287" s="7"/>
    </row>
    <row r="1288" spans="1:8" x14ac:dyDescent="0.35">
      <c r="A1288" s="7" t="s">
        <v>350</v>
      </c>
      <c r="B1288" s="7" t="s">
        <v>26</v>
      </c>
      <c r="C1288" s="7" t="s">
        <v>27</v>
      </c>
      <c r="D1288" s="7" t="s">
        <v>28</v>
      </c>
      <c r="E1288" s="7" t="s">
        <v>29</v>
      </c>
      <c r="F1288" s="7" t="s">
        <v>207</v>
      </c>
      <c r="G1288" s="7">
        <v>102.02460000000001</v>
      </c>
      <c r="H1288" s="7"/>
    </row>
    <row r="1289" spans="1:8" x14ac:dyDescent="0.35">
      <c r="A1289" s="7" t="s">
        <v>350</v>
      </c>
      <c r="B1289" s="7" t="s">
        <v>26</v>
      </c>
      <c r="C1289" s="7" t="s">
        <v>27</v>
      </c>
      <c r="D1289" s="7" t="s">
        <v>28</v>
      </c>
      <c r="E1289" s="7" t="s">
        <v>29</v>
      </c>
      <c r="F1289" s="7" t="s">
        <v>208</v>
      </c>
      <c r="G1289" s="7">
        <v>101.96469999999999</v>
      </c>
      <c r="H1289" s="7"/>
    </row>
    <row r="1290" spans="1:8" x14ac:dyDescent="0.35">
      <c r="A1290" s="7" t="s">
        <v>350</v>
      </c>
      <c r="B1290" s="7" t="s">
        <v>26</v>
      </c>
      <c r="C1290" s="7" t="s">
        <v>27</v>
      </c>
      <c r="D1290" s="7" t="s">
        <v>28</v>
      </c>
      <c r="E1290" s="7" t="s">
        <v>29</v>
      </c>
      <c r="F1290" s="7" t="s">
        <v>209</v>
      </c>
      <c r="G1290" s="7">
        <v>101.9311</v>
      </c>
      <c r="H1290" s="7"/>
    </row>
    <row r="1291" spans="1:8" x14ac:dyDescent="0.35">
      <c r="A1291" s="7" t="s">
        <v>350</v>
      </c>
      <c r="B1291" s="7" t="s">
        <v>26</v>
      </c>
      <c r="C1291" s="7" t="s">
        <v>27</v>
      </c>
      <c r="D1291" s="7" t="s">
        <v>28</v>
      </c>
      <c r="E1291" s="7" t="s">
        <v>29</v>
      </c>
      <c r="F1291" s="7" t="s">
        <v>210</v>
      </c>
      <c r="G1291" s="7">
        <v>101.82210000000001</v>
      </c>
      <c r="H1291" s="7"/>
    </row>
    <row r="1292" spans="1:8" x14ac:dyDescent="0.35">
      <c r="A1292" s="7" t="s">
        <v>350</v>
      </c>
      <c r="B1292" s="7" t="s">
        <v>26</v>
      </c>
      <c r="C1292" s="7" t="s">
        <v>27</v>
      </c>
      <c r="D1292" s="7" t="s">
        <v>28</v>
      </c>
      <c r="E1292" s="7" t="s">
        <v>29</v>
      </c>
      <c r="F1292" s="7" t="s">
        <v>211</v>
      </c>
      <c r="G1292" s="7">
        <v>101.8687</v>
      </c>
      <c r="H1292" s="7"/>
    </row>
    <row r="1293" spans="1:8" x14ac:dyDescent="0.35">
      <c r="A1293" s="7" t="s">
        <v>350</v>
      </c>
      <c r="B1293" s="7" t="s">
        <v>26</v>
      </c>
      <c r="C1293" s="7" t="s">
        <v>27</v>
      </c>
      <c r="D1293" s="7" t="s">
        <v>28</v>
      </c>
      <c r="E1293" s="7" t="s">
        <v>29</v>
      </c>
      <c r="F1293" s="7" t="s">
        <v>212</v>
      </c>
      <c r="G1293" s="7">
        <v>101.9494</v>
      </c>
      <c r="H1293" s="7"/>
    </row>
    <row r="1294" spans="1:8" x14ac:dyDescent="0.35">
      <c r="A1294" s="7" t="s">
        <v>350</v>
      </c>
      <c r="B1294" s="7" t="s">
        <v>26</v>
      </c>
      <c r="C1294" s="7" t="s">
        <v>27</v>
      </c>
      <c r="D1294" s="7" t="s">
        <v>28</v>
      </c>
      <c r="E1294" s="7" t="s">
        <v>29</v>
      </c>
      <c r="F1294" s="7" t="s">
        <v>213</v>
      </c>
      <c r="G1294" s="7">
        <v>102.04810000000001</v>
      </c>
      <c r="H1294" s="7"/>
    </row>
    <row r="1295" spans="1:8" x14ac:dyDescent="0.35">
      <c r="A1295" s="7" t="s">
        <v>350</v>
      </c>
      <c r="B1295" s="7" t="s">
        <v>26</v>
      </c>
      <c r="C1295" s="7" t="s">
        <v>27</v>
      </c>
      <c r="D1295" s="7" t="s">
        <v>28</v>
      </c>
      <c r="E1295" s="7" t="s">
        <v>29</v>
      </c>
      <c r="F1295" s="7" t="s">
        <v>214</v>
      </c>
      <c r="G1295" s="7">
        <v>101.9892</v>
      </c>
      <c r="H1295" s="7"/>
    </row>
    <row r="1296" spans="1:8" x14ac:dyDescent="0.35">
      <c r="A1296" s="7" t="s">
        <v>350</v>
      </c>
      <c r="B1296" s="7" t="s">
        <v>26</v>
      </c>
      <c r="C1296" s="7" t="s">
        <v>27</v>
      </c>
      <c r="D1296" s="7" t="s">
        <v>28</v>
      </c>
      <c r="E1296" s="7" t="s">
        <v>29</v>
      </c>
      <c r="F1296" s="7" t="s">
        <v>215</v>
      </c>
      <c r="G1296" s="7">
        <v>101.7368</v>
      </c>
      <c r="H1296" s="7"/>
    </row>
    <row r="1297" spans="1:8" x14ac:dyDescent="0.35">
      <c r="A1297" s="7" t="s">
        <v>350</v>
      </c>
      <c r="B1297" s="7" t="s">
        <v>26</v>
      </c>
      <c r="C1297" s="7" t="s">
        <v>27</v>
      </c>
      <c r="D1297" s="7" t="s">
        <v>28</v>
      </c>
      <c r="E1297" s="7" t="s">
        <v>29</v>
      </c>
      <c r="F1297" s="7" t="s">
        <v>216</v>
      </c>
      <c r="G1297" s="7">
        <v>101.48350000000001</v>
      </c>
      <c r="H1297" s="7"/>
    </row>
    <row r="1298" spans="1:8" x14ac:dyDescent="0.35">
      <c r="A1298" s="7" t="s">
        <v>350</v>
      </c>
      <c r="B1298" s="7" t="s">
        <v>26</v>
      </c>
      <c r="C1298" s="7" t="s">
        <v>27</v>
      </c>
      <c r="D1298" s="7" t="s">
        <v>28</v>
      </c>
      <c r="E1298" s="7" t="s">
        <v>29</v>
      </c>
      <c r="F1298" s="7" t="s">
        <v>217</v>
      </c>
      <c r="G1298" s="7">
        <v>101.3841</v>
      </c>
      <c r="H1298" s="7"/>
    </row>
    <row r="1299" spans="1:8" x14ac:dyDescent="0.35">
      <c r="A1299" s="7" t="s">
        <v>350</v>
      </c>
      <c r="B1299" s="7" t="s">
        <v>26</v>
      </c>
      <c r="C1299" s="7" t="s">
        <v>27</v>
      </c>
      <c r="D1299" s="7" t="s">
        <v>28</v>
      </c>
      <c r="E1299" s="7" t="s">
        <v>29</v>
      </c>
      <c r="F1299" s="7" t="s">
        <v>218</v>
      </c>
      <c r="G1299" s="7">
        <v>101.3964</v>
      </c>
      <c r="H1299" s="7"/>
    </row>
    <row r="1300" spans="1:8" x14ac:dyDescent="0.35">
      <c r="A1300" s="7" t="s">
        <v>350</v>
      </c>
      <c r="B1300" s="7" t="s">
        <v>26</v>
      </c>
      <c r="C1300" s="7" t="s">
        <v>27</v>
      </c>
      <c r="D1300" s="7" t="s">
        <v>28</v>
      </c>
      <c r="E1300" s="7" t="s">
        <v>29</v>
      </c>
      <c r="F1300" s="7" t="s">
        <v>219</v>
      </c>
      <c r="G1300" s="7">
        <v>101.44199999999999</v>
      </c>
      <c r="H1300" s="7"/>
    </row>
    <row r="1301" spans="1:8" x14ac:dyDescent="0.35">
      <c r="A1301" s="7" t="s">
        <v>350</v>
      </c>
      <c r="B1301" s="7" t="s">
        <v>26</v>
      </c>
      <c r="C1301" s="7" t="s">
        <v>27</v>
      </c>
      <c r="D1301" s="7" t="s">
        <v>28</v>
      </c>
      <c r="E1301" s="7" t="s">
        <v>29</v>
      </c>
      <c r="F1301" s="7" t="s">
        <v>220</v>
      </c>
      <c r="G1301" s="7">
        <v>101.34780000000001</v>
      </c>
      <c r="H1301" s="7"/>
    </row>
    <row r="1302" spans="1:8" x14ac:dyDescent="0.35">
      <c r="A1302" s="7" t="s">
        <v>350</v>
      </c>
      <c r="B1302" s="7" t="s">
        <v>26</v>
      </c>
      <c r="C1302" s="7" t="s">
        <v>27</v>
      </c>
      <c r="D1302" s="7" t="s">
        <v>28</v>
      </c>
      <c r="E1302" s="7" t="s">
        <v>29</v>
      </c>
      <c r="F1302" s="7" t="s">
        <v>221</v>
      </c>
      <c r="G1302" s="7">
        <v>100.9837</v>
      </c>
      <c r="H1302" s="7"/>
    </row>
    <row r="1303" spans="1:8" x14ac:dyDescent="0.35">
      <c r="A1303" s="7" t="s">
        <v>350</v>
      </c>
      <c r="B1303" s="7" t="s">
        <v>26</v>
      </c>
      <c r="C1303" s="7" t="s">
        <v>27</v>
      </c>
      <c r="D1303" s="7" t="s">
        <v>28</v>
      </c>
      <c r="E1303" s="7" t="s">
        <v>29</v>
      </c>
      <c r="F1303" s="7" t="s">
        <v>222</v>
      </c>
      <c r="G1303" s="7">
        <v>100.43340000000001</v>
      </c>
      <c r="H1303" s="7"/>
    </row>
    <row r="1304" spans="1:8" x14ac:dyDescent="0.35">
      <c r="A1304" s="7" t="s">
        <v>350</v>
      </c>
      <c r="B1304" s="7" t="s">
        <v>26</v>
      </c>
      <c r="C1304" s="7" t="s">
        <v>27</v>
      </c>
      <c r="D1304" s="7" t="s">
        <v>28</v>
      </c>
      <c r="E1304" s="7" t="s">
        <v>29</v>
      </c>
      <c r="F1304" s="7" t="s">
        <v>223</v>
      </c>
      <c r="G1304" s="7">
        <v>100.1292</v>
      </c>
      <c r="H1304" s="7"/>
    </row>
    <row r="1305" spans="1:8" x14ac:dyDescent="0.35">
      <c r="A1305" s="7" t="s">
        <v>350</v>
      </c>
      <c r="B1305" s="7" t="s">
        <v>26</v>
      </c>
      <c r="C1305" s="7" t="s">
        <v>27</v>
      </c>
      <c r="D1305" s="7" t="s">
        <v>28</v>
      </c>
      <c r="E1305" s="7" t="s">
        <v>29</v>
      </c>
      <c r="F1305" s="7" t="s">
        <v>224</v>
      </c>
      <c r="G1305" s="7">
        <v>100.3336</v>
      </c>
      <c r="H1305" s="7"/>
    </row>
    <row r="1306" spans="1:8" x14ac:dyDescent="0.35">
      <c r="A1306" s="7" t="s">
        <v>350</v>
      </c>
      <c r="B1306" s="7" t="s">
        <v>26</v>
      </c>
      <c r="C1306" s="7" t="s">
        <v>27</v>
      </c>
      <c r="D1306" s="7" t="s">
        <v>28</v>
      </c>
      <c r="E1306" s="7" t="s">
        <v>29</v>
      </c>
      <c r="F1306" s="7" t="s">
        <v>225</v>
      </c>
      <c r="G1306" s="7">
        <v>100.879</v>
      </c>
      <c r="H1306" s="7"/>
    </row>
    <row r="1307" spans="1:8" x14ac:dyDescent="0.35">
      <c r="A1307" s="7" t="s">
        <v>350</v>
      </c>
      <c r="B1307" s="7" t="s">
        <v>26</v>
      </c>
      <c r="C1307" s="7" t="s">
        <v>27</v>
      </c>
      <c r="D1307" s="7" t="s">
        <v>28</v>
      </c>
      <c r="E1307" s="7" t="s">
        <v>29</v>
      </c>
      <c r="F1307" s="7" t="s">
        <v>226</v>
      </c>
      <c r="G1307" s="7">
        <v>101.23739999999999</v>
      </c>
      <c r="H1307" s="7"/>
    </row>
    <row r="1308" spans="1:8" x14ac:dyDescent="0.35">
      <c r="A1308" s="7" t="s">
        <v>350</v>
      </c>
      <c r="B1308" s="7" t="s">
        <v>26</v>
      </c>
      <c r="C1308" s="7" t="s">
        <v>27</v>
      </c>
      <c r="D1308" s="7" t="s">
        <v>28</v>
      </c>
      <c r="E1308" s="7" t="s">
        <v>29</v>
      </c>
      <c r="F1308" s="7" t="s">
        <v>227</v>
      </c>
      <c r="G1308" s="7">
        <v>101.2734</v>
      </c>
      <c r="H1308" s="7"/>
    </row>
    <row r="1309" spans="1:8" x14ac:dyDescent="0.35">
      <c r="A1309" s="7" t="s">
        <v>350</v>
      </c>
      <c r="B1309" s="7" t="s">
        <v>26</v>
      </c>
      <c r="C1309" s="7" t="s">
        <v>27</v>
      </c>
      <c r="D1309" s="7" t="s">
        <v>28</v>
      </c>
      <c r="E1309" s="7" t="s">
        <v>29</v>
      </c>
      <c r="F1309" s="7" t="s">
        <v>228</v>
      </c>
      <c r="G1309" s="7">
        <v>101.0232</v>
      </c>
      <c r="H1309" s="7"/>
    </row>
    <row r="1310" spans="1:8" x14ac:dyDescent="0.35">
      <c r="A1310" s="7" t="s">
        <v>350</v>
      </c>
      <c r="B1310" s="7" t="s">
        <v>26</v>
      </c>
      <c r="C1310" s="7" t="s">
        <v>27</v>
      </c>
      <c r="D1310" s="7" t="s">
        <v>28</v>
      </c>
      <c r="E1310" s="7" t="s">
        <v>29</v>
      </c>
      <c r="F1310" s="7" t="s">
        <v>229</v>
      </c>
      <c r="G1310" s="7">
        <v>100.7495</v>
      </c>
      <c r="H1310" s="7"/>
    </row>
    <row r="1311" spans="1:8" x14ac:dyDescent="0.35">
      <c r="A1311" s="7" t="s">
        <v>350</v>
      </c>
      <c r="B1311" s="7" t="s">
        <v>26</v>
      </c>
      <c r="C1311" s="7" t="s">
        <v>27</v>
      </c>
      <c r="D1311" s="7" t="s">
        <v>28</v>
      </c>
      <c r="E1311" s="7" t="s">
        <v>29</v>
      </c>
      <c r="F1311" s="7" t="s">
        <v>230</v>
      </c>
      <c r="G1311" s="7">
        <v>100.64279999999999</v>
      </c>
      <c r="H1311" s="7"/>
    </row>
    <row r="1312" spans="1:8" x14ac:dyDescent="0.35">
      <c r="A1312" s="7" t="s">
        <v>350</v>
      </c>
      <c r="B1312" s="7" t="s">
        <v>26</v>
      </c>
      <c r="C1312" s="7" t="s">
        <v>27</v>
      </c>
      <c r="D1312" s="7" t="s">
        <v>28</v>
      </c>
      <c r="E1312" s="7" t="s">
        <v>29</v>
      </c>
      <c r="F1312" s="7" t="s">
        <v>231</v>
      </c>
      <c r="G1312" s="7">
        <v>100.5757</v>
      </c>
      <c r="H1312" s="7"/>
    </row>
    <row r="1313" spans="1:8" x14ac:dyDescent="0.35">
      <c r="A1313" s="7" t="s">
        <v>350</v>
      </c>
      <c r="B1313" s="7" t="s">
        <v>26</v>
      </c>
      <c r="C1313" s="7" t="s">
        <v>27</v>
      </c>
      <c r="D1313" s="7" t="s">
        <v>28</v>
      </c>
      <c r="E1313" s="7" t="s">
        <v>29</v>
      </c>
      <c r="F1313" s="7" t="s">
        <v>232</v>
      </c>
      <c r="G1313" s="7">
        <v>100.2861</v>
      </c>
      <c r="H1313" s="7"/>
    </row>
    <row r="1314" spans="1:8" x14ac:dyDescent="0.35">
      <c r="A1314" s="7" t="s">
        <v>350</v>
      </c>
      <c r="B1314" s="7" t="s">
        <v>26</v>
      </c>
      <c r="C1314" s="7" t="s">
        <v>27</v>
      </c>
      <c r="D1314" s="7" t="s">
        <v>28</v>
      </c>
      <c r="E1314" s="7" t="s">
        <v>29</v>
      </c>
      <c r="F1314" s="7" t="s">
        <v>233</v>
      </c>
      <c r="G1314" s="7">
        <v>99.627350000000007</v>
      </c>
      <c r="H1314" s="7"/>
    </row>
    <row r="1315" spans="1:8" x14ac:dyDescent="0.35">
      <c r="A1315" s="7" t="s">
        <v>350</v>
      </c>
      <c r="B1315" s="7" t="s">
        <v>26</v>
      </c>
      <c r="C1315" s="7" t="s">
        <v>27</v>
      </c>
      <c r="D1315" s="7" t="s">
        <v>28</v>
      </c>
      <c r="E1315" s="7" t="s">
        <v>29</v>
      </c>
      <c r="F1315" s="7" t="s">
        <v>234</v>
      </c>
      <c r="G1315" s="7">
        <v>98.964550000000003</v>
      </c>
      <c r="H1315" s="7"/>
    </row>
    <row r="1316" spans="1:8" x14ac:dyDescent="0.35">
      <c r="A1316" s="7" t="s">
        <v>350</v>
      </c>
      <c r="B1316" s="7" t="s">
        <v>26</v>
      </c>
      <c r="C1316" s="7" t="s">
        <v>27</v>
      </c>
      <c r="D1316" s="7" t="s">
        <v>28</v>
      </c>
      <c r="E1316" s="7" t="s">
        <v>29</v>
      </c>
      <c r="F1316" s="7" t="s">
        <v>235</v>
      </c>
      <c r="G1316" s="7">
        <v>98.245859999999993</v>
      </c>
      <c r="H1316" s="7"/>
    </row>
    <row r="1317" spans="1:8" x14ac:dyDescent="0.35">
      <c r="A1317" s="7" t="s">
        <v>350</v>
      </c>
      <c r="B1317" s="7" t="s">
        <v>26</v>
      </c>
      <c r="C1317" s="7" t="s">
        <v>27</v>
      </c>
      <c r="D1317" s="7" t="s">
        <v>28</v>
      </c>
      <c r="E1317" s="7" t="s">
        <v>29</v>
      </c>
      <c r="F1317" s="7" t="s">
        <v>236</v>
      </c>
      <c r="G1317" s="7">
        <v>97.741479999999996</v>
      </c>
      <c r="H1317" s="7"/>
    </row>
    <row r="1318" spans="1:8" x14ac:dyDescent="0.35">
      <c r="A1318" s="7" t="s">
        <v>350</v>
      </c>
      <c r="B1318" s="7" t="s">
        <v>26</v>
      </c>
      <c r="C1318" s="7" t="s">
        <v>27</v>
      </c>
      <c r="D1318" s="7" t="s">
        <v>28</v>
      </c>
      <c r="E1318" s="7" t="s">
        <v>29</v>
      </c>
      <c r="F1318" s="7" t="s">
        <v>237</v>
      </c>
      <c r="G1318" s="7">
        <v>97.678309999999996</v>
      </c>
      <c r="H1318" s="7"/>
    </row>
    <row r="1319" spans="1:8" x14ac:dyDescent="0.35">
      <c r="A1319" s="7" t="s">
        <v>350</v>
      </c>
      <c r="B1319" s="7" t="s">
        <v>26</v>
      </c>
      <c r="C1319" s="7" t="s">
        <v>27</v>
      </c>
      <c r="D1319" s="7" t="s">
        <v>28</v>
      </c>
      <c r="E1319" s="7" t="s">
        <v>29</v>
      </c>
      <c r="F1319" s="7" t="s">
        <v>238</v>
      </c>
      <c r="G1319" s="7">
        <v>98.103179999999995</v>
      </c>
      <c r="H1319" s="7"/>
    </row>
    <row r="1320" spans="1:8" x14ac:dyDescent="0.35">
      <c r="A1320" s="7" t="s">
        <v>350</v>
      </c>
      <c r="B1320" s="7" t="s">
        <v>26</v>
      </c>
      <c r="C1320" s="7" t="s">
        <v>27</v>
      </c>
      <c r="D1320" s="7" t="s">
        <v>28</v>
      </c>
      <c r="E1320" s="7" t="s">
        <v>29</v>
      </c>
      <c r="F1320" s="7" t="s">
        <v>239</v>
      </c>
      <c r="G1320" s="7">
        <v>98.686419999999998</v>
      </c>
      <c r="H1320" s="7"/>
    </row>
    <row r="1321" spans="1:8" x14ac:dyDescent="0.35">
      <c r="A1321" s="7" t="s">
        <v>350</v>
      </c>
      <c r="B1321" s="7" t="s">
        <v>26</v>
      </c>
      <c r="C1321" s="7" t="s">
        <v>27</v>
      </c>
      <c r="D1321" s="7" t="s">
        <v>28</v>
      </c>
      <c r="E1321" s="7" t="s">
        <v>29</v>
      </c>
      <c r="F1321" s="7" t="s">
        <v>240</v>
      </c>
      <c r="G1321" s="7">
        <v>99.18253</v>
      </c>
      <c r="H1321" s="7"/>
    </row>
    <row r="1322" spans="1:8" x14ac:dyDescent="0.35">
      <c r="A1322" s="7" t="s">
        <v>350</v>
      </c>
      <c r="B1322" s="7" t="s">
        <v>26</v>
      </c>
      <c r="C1322" s="7" t="s">
        <v>27</v>
      </c>
      <c r="D1322" s="7" t="s">
        <v>28</v>
      </c>
      <c r="E1322" s="7" t="s">
        <v>29</v>
      </c>
      <c r="F1322" s="7" t="s">
        <v>241</v>
      </c>
      <c r="G1322" s="7">
        <v>99.350750000000005</v>
      </c>
      <c r="H1322" s="7"/>
    </row>
    <row r="1323" spans="1:8" x14ac:dyDescent="0.35">
      <c r="A1323" s="7" t="s">
        <v>350</v>
      </c>
      <c r="B1323" s="7" t="s">
        <v>26</v>
      </c>
      <c r="C1323" s="7" t="s">
        <v>27</v>
      </c>
      <c r="D1323" s="7" t="s">
        <v>28</v>
      </c>
      <c r="E1323" s="7" t="s">
        <v>29</v>
      </c>
      <c r="F1323" s="7" t="s">
        <v>242</v>
      </c>
      <c r="G1323" s="7">
        <v>99.329149999999998</v>
      </c>
      <c r="H1323" s="7"/>
    </row>
    <row r="1324" spans="1:8" x14ac:dyDescent="0.35">
      <c r="A1324" s="7" t="s">
        <v>350</v>
      </c>
      <c r="B1324" s="7" t="s">
        <v>26</v>
      </c>
      <c r="C1324" s="7" t="s">
        <v>27</v>
      </c>
      <c r="D1324" s="7" t="s">
        <v>28</v>
      </c>
      <c r="E1324" s="7" t="s">
        <v>29</v>
      </c>
      <c r="F1324" s="7" t="s">
        <v>243</v>
      </c>
      <c r="G1324" s="7">
        <v>99.42071</v>
      </c>
      <c r="H1324" s="7"/>
    </row>
    <row r="1325" spans="1:8" x14ac:dyDescent="0.35">
      <c r="A1325" s="7" t="s">
        <v>350</v>
      </c>
      <c r="B1325" s="7" t="s">
        <v>26</v>
      </c>
      <c r="C1325" s="7" t="s">
        <v>27</v>
      </c>
      <c r="D1325" s="7" t="s">
        <v>28</v>
      </c>
      <c r="E1325" s="7" t="s">
        <v>29</v>
      </c>
      <c r="F1325" s="7" t="s">
        <v>244</v>
      </c>
      <c r="G1325" s="7">
        <v>99.687340000000006</v>
      </c>
      <c r="H1325" s="7"/>
    </row>
    <row r="1326" spans="1:8" x14ac:dyDescent="0.35">
      <c r="A1326" s="7" t="s">
        <v>350</v>
      </c>
      <c r="B1326" s="7" t="s">
        <v>26</v>
      </c>
      <c r="C1326" s="7" t="s">
        <v>27</v>
      </c>
      <c r="D1326" s="7" t="s">
        <v>28</v>
      </c>
      <c r="E1326" s="7" t="s">
        <v>29</v>
      </c>
      <c r="F1326" s="7" t="s">
        <v>245</v>
      </c>
      <c r="G1326" s="7">
        <v>99.904169999999993</v>
      </c>
      <c r="H1326" s="7"/>
    </row>
    <row r="1327" spans="1:8" x14ac:dyDescent="0.35">
      <c r="A1327" s="7" t="s">
        <v>350</v>
      </c>
      <c r="B1327" s="7" t="s">
        <v>26</v>
      </c>
      <c r="C1327" s="7" t="s">
        <v>27</v>
      </c>
      <c r="D1327" s="7" t="s">
        <v>28</v>
      </c>
      <c r="E1327" s="7" t="s">
        <v>29</v>
      </c>
      <c r="F1327" s="7" t="s">
        <v>246</v>
      </c>
      <c r="G1327" s="7">
        <v>100.1784</v>
      </c>
      <c r="H1327" s="7"/>
    </row>
    <row r="1328" spans="1:8" x14ac:dyDescent="0.35">
      <c r="A1328" s="7" t="s">
        <v>350</v>
      </c>
      <c r="B1328" s="7" t="s">
        <v>26</v>
      </c>
      <c r="C1328" s="7" t="s">
        <v>27</v>
      </c>
      <c r="D1328" s="7" t="s">
        <v>28</v>
      </c>
      <c r="E1328" s="7" t="s">
        <v>29</v>
      </c>
      <c r="F1328" s="7" t="s">
        <v>247</v>
      </c>
      <c r="G1328" s="7">
        <v>100.244</v>
      </c>
      <c r="H1328" s="7"/>
    </row>
    <row r="1329" spans="1:8" x14ac:dyDescent="0.35">
      <c r="A1329" s="7" t="s">
        <v>350</v>
      </c>
      <c r="B1329" s="7" t="s">
        <v>26</v>
      </c>
      <c r="C1329" s="7" t="s">
        <v>27</v>
      </c>
      <c r="D1329" s="7" t="s">
        <v>28</v>
      </c>
      <c r="E1329" s="7" t="s">
        <v>29</v>
      </c>
      <c r="F1329" s="7" t="s">
        <v>248</v>
      </c>
      <c r="G1329" s="7">
        <v>100.1186</v>
      </c>
      <c r="H1329" s="7"/>
    </row>
    <row r="1330" spans="1:8" x14ac:dyDescent="0.35">
      <c r="A1330" s="7" t="s">
        <v>350</v>
      </c>
      <c r="B1330" s="7" t="s">
        <v>26</v>
      </c>
      <c r="C1330" s="7" t="s">
        <v>27</v>
      </c>
      <c r="D1330" s="7" t="s">
        <v>28</v>
      </c>
      <c r="E1330" s="7" t="s">
        <v>29</v>
      </c>
      <c r="F1330" s="7" t="s">
        <v>249</v>
      </c>
      <c r="G1330" s="7">
        <v>100.12949999999999</v>
      </c>
      <c r="H1330" s="7"/>
    </row>
    <row r="1331" spans="1:8" x14ac:dyDescent="0.35">
      <c r="A1331" s="7" t="s">
        <v>350</v>
      </c>
      <c r="B1331" s="7" t="s">
        <v>26</v>
      </c>
      <c r="C1331" s="7" t="s">
        <v>27</v>
      </c>
      <c r="D1331" s="7" t="s">
        <v>28</v>
      </c>
      <c r="E1331" s="7" t="s">
        <v>29</v>
      </c>
      <c r="F1331" s="7" t="s">
        <v>250</v>
      </c>
      <c r="G1331" s="7">
        <v>100.2762</v>
      </c>
      <c r="H1331" s="7"/>
    </row>
    <row r="1332" spans="1:8" x14ac:dyDescent="0.35">
      <c r="A1332" s="7" t="s">
        <v>350</v>
      </c>
      <c r="B1332" s="7" t="s">
        <v>26</v>
      </c>
      <c r="C1332" s="7" t="s">
        <v>27</v>
      </c>
      <c r="D1332" s="7" t="s">
        <v>28</v>
      </c>
      <c r="E1332" s="7" t="s">
        <v>29</v>
      </c>
      <c r="F1332" s="7" t="s">
        <v>251</v>
      </c>
      <c r="G1332" s="7">
        <v>100.4936</v>
      </c>
      <c r="H1332" s="7"/>
    </row>
    <row r="1333" spans="1:8" x14ac:dyDescent="0.35">
      <c r="A1333" s="7" t="s">
        <v>350</v>
      </c>
      <c r="B1333" s="7" t="s">
        <v>26</v>
      </c>
      <c r="C1333" s="7" t="s">
        <v>27</v>
      </c>
      <c r="D1333" s="7" t="s">
        <v>28</v>
      </c>
      <c r="E1333" s="7" t="s">
        <v>29</v>
      </c>
      <c r="F1333" s="7" t="s">
        <v>252</v>
      </c>
      <c r="G1333" s="7">
        <v>100.5361</v>
      </c>
      <c r="H1333" s="7"/>
    </row>
    <row r="1334" spans="1:8" x14ac:dyDescent="0.35">
      <c r="A1334" s="7" t="s">
        <v>350</v>
      </c>
      <c r="B1334" s="7" t="s">
        <v>26</v>
      </c>
      <c r="C1334" s="7" t="s">
        <v>27</v>
      </c>
      <c r="D1334" s="7" t="s">
        <v>28</v>
      </c>
      <c r="E1334" s="7" t="s">
        <v>29</v>
      </c>
      <c r="F1334" s="7" t="s">
        <v>253</v>
      </c>
      <c r="G1334" s="7">
        <v>100.5698</v>
      </c>
      <c r="H1334" s="7"/>
    </row>
    <row r="1335" spans="1:8" x14ac:dyDescent="0.35">
      <c r="A1335" s="7" t="s">
        <v>350</v>
      </c>
      <c r="B1335" s="7" t="s">
        <v>26</v>
      </c>
      <c r="C1335" s="7" t="s">
        <v>27</v>
      </c>
      <c r="D1335" s="7" t="s">
        <v>28</v>
      </c>
      <c r="E1335" s="7" t="s">
        <v>29</v>
      </c>
      <c r="F1335" s="7" t="s">
        <v>254</v>
      </c>
      <c r="G1335" s="7">
        <v>100.39660000000001</v>
      </c>
      <c r="H1335" s="7"/>
    </row>
    <row r="1336" spans="1:8" x14ac:dyDescent="0.35">
      <c r="A1336" s="7" t="s">
        <v>350</v>
      </c>
      <c r="B1336" s="7" t="s">
        <v>26</v>
      </c>
      <c r="C1336" s="7" t="s">
        <v>27</v>
      </c>
      <c r="D1336" s="7" t="s">
        <v>28</v>
      </c>
      <c r="E1336" s="7" t="s">
        <v>29</v>
      </c>
      <c r="F1336" s="7" t="s">
        <v>255</v>
      </c>
      <c r="G1336" s="7">
        <v>100.0159</v>
      </c>
      <c r="H1336" s="7"/>
    </row>
    <row r="1337" spans="1:8" x14ac:dyDescent="0.35">
      <c r="A1337" s="7" t="s">
        <v>350</v>
      </c>
      <c r="B1337" s="7" t="s">
        <v>26</v>
      </c>
      <c r="C1337" s="7" t="s">
        <v>27</v>
      </c>
      <c r="D1337" s="7" t="s">
        <v>28</v>
      </c>
      <c r="E1337" s="7" t="s">
        <v>29</v>
      </c>
      <c r="F1337" s="7" t="s">
        <v>256</v>
      </c>
      <c r="G1337" s="7">
        <v>99.706829999999997</v>
      </c>
      <c r="H1337" s="7"/>
    </row>
    <row r="1338" spans="1:8" x14ac:dyDescent="0.35">
      <c r="A1338" s="7" t="s">
        <v>350</v>
      </c>
      <c r="B1338" s="7" t="s">
        <v>26</v>
      </c>
      <c r="C1338" s="7" t="s">
        <v>27</v>
      </c>
      <c r="D1338" s="7" t="s">
        <v>28</v>
      </c>
      <c r="E1338" s="7" t="s">
        <v>29</v>
      </c>
      <c r="F1338" s="7" t="s">
        <v>257</v>
      </c>
      <c r="G1338" s="7">
        <v>99.553200000000004</v>
      </c>
      <c r="H1338" s="7"/>
    </row>
    <row r="1339" spans="1:8" x14ac:dyDescent="0.35">
      <c r="A1339" s="7" t="s">
        <v>350</v>
      </c>
      <c r="B1339" s="7" t="s">
        <v>26</v>
      </c>
      <c r="C1339" s="7" t="s">
        <v>27</v>
      </c>
      <c r="D1339" s="7" t="s">
        <v>28</v>
      </c>
      <c r="E1339" s="7" t="s">
        <v>29</v>
      </c>
      <c r="F1339" s="7" t="s">
        <v>258</v>
      </c>
      <c r="G1339" s="7">
        <v>99.646249999999995</v>
      </c>
      <c r="H1339" s="7"/>
    </row>
    <row r="1340" spans="1:8" x14ac:dyDescent="0.35">
      <c r="A1340" s="7" t="s">
        <v>350</v>
      </c>
      <c r="B1340" s="7" t="s">
        <v>26</v>
      </c>
      <c r="C1340" s="7" t="s">
        <v>27</v>
      </c>
      <c r="D1340" s="7" t="s">
        <v>28</v>
      </c>
      <c r="E1340" s="7" t="s">
        <v>29</v>
      </c>
      <c r="F1340" s="7" t="s">
        <v>259</v>
      </c>
      <c r="G1340" s="7">
        <v>99.764750000000006</v>
      </c>
      <c r="H1340" s="7"/>
    </row>
    <row r="1341" spans="1:8" x14ac:dyDescent="0.35">
      <c r="A1341" s="7" t="s">
        <v>350</v>
      </c>
      <c r="B1341" s="7" t="s">
        <v>26</v>
      </c>
      <c r="C1341" s="7" t="s">
        <v>27</v>
      </c>
      <c r="D1341" s="7" t="s">
        <v>28</v>
      </c>
      <c r="E1341" s="7" t="s">
        <v>29</v>
      </c>
      <c r="F1341" s="7" t="s">
        <v>260</v>
      </c>
      <c r="G1341" s="7">
        <v>99.694239999999994</v>
      </c>
      <c r="H1341" s="7"/>
    </row>
    <row r="1342" spans="1:8" x14ac:dyDescent="0.35">
      <c r="A1342" s="7" t="s">
        <v>350</v>
      </c>
      <c r="B1342" s="7" t="s">
        <v>26</v>
      </c>
      <c r="C1342" s="7" t="s">
        <v>27</v>
      </c>
      <c r="D1342" s="7" t="s">
        <v>28</v>
      </c>
      <c r="E1342" s="7" t="s">
        <v>29</v>
      </c>
      <c r="F1342" s="7" t="s">
        <v>261</v>
      </c>
      <c r="G1342" s="7">
        <v>99.429130000000001</v>
      </c>
      <c r="H1342" s="7"/>
    </row>
    <row r="1343" spans="1:8" x14ac:dyDescent="0.35">
      <c r="A1343" s="7" t="s">
        <v>350</v>
      </c>
      <c r="B1343" s="7" t="s">
        <v>26</v>
      </c>
      <c r="C1343" s="7" t="s">
        <v>27</v>
      </c>
      <c r="D1343" s="7" t="s">
        <v>28</v>
      </c>
      <c r="E1343" s="7" t="s">
        <v>29</v>
      </c>
      <c r="F1343" s="7" t="s">
        <v>262</v>
      </c>
      <c r="G1343" s="7">
        <v>99.044749999999993</v>
      </c>
      <c r="H1343" s="7"/>
    </row>
    <row r="1344" spans="1:8" x14ac:dyDescent="0.35">
      <c r="A1344" s="7" t="s">
        <v>350</v>
      </c>
      <c r="B1344" s="7" t="s">
        <v>26</v>
      </c>
      <c r="C1344" s="7" t="s">
        <v>27</v>
      </c>
      <c r="D1344" s="7" t="s">
        <v>28</v>
      </c>
      <c r="E1344" s="7" t="s">
        <v>29</v>
      </c>
      <c r="F1344" s="7" t="s">
        <v>263</v>
      </c>
      <c r="G1344" s="7">
        <v>98.825019999999995</v>
      </c>
      <c r="H1344" s="7"/>
    </row>
    <row r="1345" spans="1:8" x14ac:dyDescent="0.35">
      <c r="A1345" s="7" t="s">
        <v>350</v>
      </c>
      <c r="B1345" s="7" t="s">
        <v>26</v>
      </c>
      <c r="C1345" s="7" t="s">
        <v>27</v>
      </c>
      <c r="D1345" s="7" t="s">
        <v>28</v>
      </c>
      <c r="E1345" s="7" t="s">
        <v>29</v>
      </c>
      <c r="F1345" s="7" t="s">
        <v>264</v>
      </c>
      <c r="G1345" s="7">
        <v>98.685050000000004</v>
      </c>
      <c r="H1345" s="7"/>
    </row>
    <row r="1346" spans="1:8" x14ac:dyDescent="0.35">
      <c r="A1346" s="7" t="s">
        <v>350</v>
      </c>
      <c r="B1346" s="7" t="s">
        <v>26</v>
      </c>
      <c r="C1346" s="7" t="s">
        <v>27</v>
      </c>
      <c r="D1346" s="7" t="s">
        <v>28</v>
      </c>
      <c r="E1346" s="7" t="s">
        <v>29</v>
      </c>
      <c r="F1346" s="7" t="s">
        <v>265</v>
      </c>
      <c r="G1346" s="7">
        <v>98.635069999999999</v>
      </c>
      <c r="H1346" s="7"/>
    </row>
    <row r="1347" spans="1:8" x14ac:dyDescent="0.35">
      <c r="A1347" s="7" t="s">
        <v>350</v>
      </c>
      <c r="B1347" s="7" t="s">
        <v>26</v>
      </c>
      <c r="C1347" s="7" t="s">
        <v>27</v>
      </c>
      <c r="D1347" s="7" t="s">
        <v>28</v>
      </c>
      <c r="E1347" s="7" t="s">
        <v>29</v>
      </c>
      <c r="F1347" s="7" t="s">
        <v>266</v>
      </c>
      <c r="G1347" s="7">
        <v>98.599819999999994</v>
      </c>
      <c r="H1347" s="7"/>
    </row>
    <row r="1348" spans="1:8" x14ac:dyDescent="0.35">
      <c r="A1348" s="7" t="s">
        <v>350</v>
      </c>
      <c r="B1348" s="7" t="s">
        <v>26</v>
      </c>
      <c r="C1348" s="7" t="s">
        <v>27</v>
      </c>
      <c r="D1348" s="7" t="s">
        <v>28</v>
      </c>
      <c r="E1348" s="7" t="s">
        <v>29</v>
      </c>
      <c r="F1348" s="7" t="s">
        <v>267</v>
      </c>
      <c r="G1348" s="7">
        <v>98.453289999999996</v>
      </c>
      <c r="H1348" s="7"/>
    </row>
    <row r="1349" spans="1:8" x14ac:dyDescent="0.35">
      <c r="A1349" s="7" t="s">
        <v>350</v>
      </c>
      <c r="B1349" s="7" t="s">
        <v>26</v>
      </c>
      <c r="C1349" s="7" t="s">
        <v>27</v>
      </c>
      <c r="D1349" s="7" t="s">
        <v>28</v>
      </c>
      <c r="E1349" s="7" t="s">
        <v>29</v>
      </c>
      <c r="F1349" s="7" t="s">
        <v>268</v>
      </c>
      <c r="G1349" s="7">
        <v>98.17604</v>
      </c>
      <c r="H1349" s="7"/>
    </row>
    <row r="1350" spans="1:8" x14ac:dyDescent="0.35">
      <c r="A1350" s="7" t="s">
        <v>350</v>
      </c>
      <c r="B1350" s="7" t="s">
        <v>26</v>
      </c>
      <c r="C1350" s="7" t="s">
        <v>27</v>
      </c>
      <c r="D1350" s="7" t="s">
        <v>28</v>
      </c>
      <c r="E1350" s="7" t="s">
        <v>29</v>
      </c>
      <c r="F1350" s="7" t="s">
        <v>269</v>
      </c>
      <c r="G1350" s="7">
        <v>97.849119999999999</v>
      </c>
      <c r="H1350" s="7"/>
    </row>
    <row r="1351" spans="1:8" x14ac:dyDescent="0.35">
      <c r="A1351" s="7" t="s">
        <v>350</v>
      </c>
      <c r="B1351" s="7" t="s">
        <v>26</v>
      </c>
      <c r="C1351" s="7" t="s">
        <v>27</v>
      </c>
      <c r="D1351" s="7" t="s">
        <v>28</v>
      </c>
      <c r="E1351" s="7" t="s">
        <v>29</v>
      </c>
      <c r="F1351" s="7" t="s">
        <v>270</v>
      </c>
      <c r="G1351" s="7">
        <v>97.412220000000005</v>
      </c>
      <c r="H1351" s="7"/>
    </row>
    <row r="1352" spans="1:8" x14ac:dyDescent="0.35">
      <c r="A1352" s="7" t="s">
        <v>350</v>
      </c>
      <c r="B1352" s="7" t="s">
        <v>26</v>
      </c>
      <c r="C1352" s="7" t="s">
        <v>27</v>
      </c>
      <c r="D1352" s="7" t="s">
        <v>28</v>
      </c>
      <c r="E1352" s="7" t="s">
        <v>29</v>
      </c>
      <c r="F1352" s="7" t="s">
        <v>271</v>
      </c>
      <c r="G1352" s="7">
        <v>97.219570000000004</v>
      </c>
      <c r="H1352" s="7"/>
    </row>
    <row r="1353" spans="1:8" x14ac:dyDescent="0.35">
      <c r="A1353" s="7" t="s">
        <v>350</v>
      </c>
      <c r="B1353" s="7" t="s">
        <v>26</v>
      </c>
      <c r="C1353" s="7" t="s">
        <v>27</v>
      </c>
      <c r="D1353" s="7" t="s">
        <v>28</v>
      </c>
      <c r="E1353" s="7" t="s">
        <v>29</v>
      </c>
      <c r="F1353" s="7" t="s">
        <v>272</v>
      </c>
      <c r="G1353" s="7">
        <v>97.301240000000007</v>
      </c>
      <c r="H1353" s="7"/>
    </row>
    <row r="1354" spans="1:8" x14ac:dyDescent="0.35">
      <c r="A1354" s="7" t="s">
        <v>350</v>
      </c>
      <c r="B1354" s="7" t="s">
        <v>26</v>
      </c>
      <c r="C1354" s="7" t="s">
        <v>27</v>
      </c>
      <c r="D1354" s="7" t="s">
        <v>28</v>
      </c>
      <c r="E1354" s="7" t="s">
        <v>29</v>
      </c>
      <c r="F1354" s="7" t="s">
        <v>273</v>
      </c>
      <c r="G1354" s="7">
        <v>97.372659999999996</v>
      </c>
      <c r="H1354" s="7"/>
    </row>
    <row r="1355" spans="1:8" x14ac:dyDescent="0.35">
      <c r="A1355" s="7" t="s">
        <v>350</v>
      </c>
      <c r="B1355" s="7" t="s">
        <v>26</v>
      </c>
      <c r="C1355" s="7" t="s">
        <v>27</v>
      </c>
      <c r="D1355" s="7" t="s">
        <v>28</v>
      </c>
      <c r="E1355" s="7" t="s">
        <v>29</v>
      </c>
      <c r="F1355" s="7" t="s">
        <v>274</v>
      </c>
      <c r="G1355" s="7">
        <v>97.317750000000004</v>
      </c>
      <c r="H1355" s="7"/>
    </row>
    <row r="1356" spans="1:8" x14ac:dyDescent="0.35">
      <c r="A1356" s="7" t="s">
        <v>350</v>
      </c>
      <c r="B1356" s="7" t="s">
        <v>26</v>
      </c>
      <c r="C1356" s="7" t="s">
        <v>27</v>
      </c>
      <c r="D1356" s="7" t="s">
        <v>28</v>
      </c>
      <c r="E1356" s="7" t="s">
        <v>29</v>
      </c>
      <c r="F1356" s="7" t="s">
        <v>275</v>
      </c>
      <c r="G1356" s="7">
        <v>97.300799999999995</v>
      </c>
      <c r="H1356" s="7"/>
    </row>
    <row r="1357" spans="1:8" x14ac:dyDescent="0.35">
      <c r="A1357" s="7" t="s">
        <v>350</v>
      </c>
      <c r="B1357" s="7" t="s">
        <v>26</v>
      </c>
      <c r="C1357" s="7" t="s">
        <v>27</v>
      </c>
      <c r="D1357" s="7" t="s">
        <v>28</v>
      </c>
      <c r="E1357" s="7" t="s">
        <v>29</v>
      </c>
      <c r="F1357" s="7" t="s">
        <v>276</v>
      </c>
      <c r="G1357" s="7">
        <v>97.317440000000005</v>
      </c>
      <c r="H1357" s="7"/>
    </row>
    <row r="1358" spans="1:8" x14ac:dyDescent="0.35">
      <c r="A1358" s="7" t="s">
        <v>350</v>
      </c>
      <c r="B1358" s="7" t="s">
        <v>26</v>
      </c>
      <c r="C1358" s="7" t="s">
        <v>27</v>
      </c>
      <c r="D1358" s="7" t="s">
        <v>28</v>
      </c>
      <c r="E1358" s="7" t="s">
        <v>29</v>
      </c>
      <c r="F1358" s="7" t="s">
        <v>277</v>
      </c>
      <c r="G1358" s="7">
        <v>97.440759999999997</v>
      </c>
      <c r="H1358" s="7"/>
    </row>
    <row r="1359" spans="1:8" x14ac:dyDescent="0.35">
      <c r="A1359" s="7" t="s">
        <v>350</v>
      </c>
      <c r="B1359" s="7" t="s">
        <v>26</v>
      </c>
      <c r="C1359" s="7" t="s">
        <v>27</v>
      </c>
      <c r="D1359" s="7" t="s">
        <v>28</v>
      </c>
      <c r="E1359" s="7" t="s">
        <v>29</v>
      </c>
      <c r="F1359" s="7" t="s">
        <v>278</v>
      </c>
      <c r="G1359" s="7">
        <v>97.514399999999995</v>
      </c>
      <c r="H1359" s="7"/>
    </row>
    <row r="1360" spans="1:8" x14ac:dyDescent="0.35">
      <c r="A1360" s="7" t="s">
        <v>350</v>
      </c>
      <c r="B1360" s="7" t="s">
        <v>26</v>
      </c>
      <c r="C1360" s="7" t="s">
        <v>27</v>
      </c>
      <c r="D1360" s="7" t="s">
        <v>28</v>
      </c>
      <c r="E1360" s="7" t="s">
        <v>29</v>
      </c>
      <c r="F1360" s="7" t="s">
        <v>279</v>
      </c>
      <c r="G1360" s="7">
        <v>97.487430000000003</v>
      </c>
      <c r="H1360" s="7"/>
    </row>
    <row r="1361" spans="1:8" x14ac:dyDescent="0.35">
      <c r="A1361" s="7" t="s">
        <v>350</v>
      </c>
      <c r="B1361" s="7" t="s">
        <v>26</v>
      </c>
      <c r="C1361" s="7" t="s">
        <v>27</v>
      </c>
      <c r="D1361" s="7" t="s">
        <v>28</v>
      </c>
      <c r="E1361" s="7" t="s">
        <v>29</v>
      </c>
      <c r="F1361" s="7" t="s">
        <v>280</v>
      </c>
      <c r="G1361" s="7">
        <v>97.416920000000005</v>
      </c>
      <c r="H1361" s="7"/>
    </row>
    <row r="1362" spans="1:8" x14ac:dyDescent="0.35">
      <c r="A1362" s="7" t="s">
        <v>350</v>
      </c>
      <c r="B1362" s="7" t="s">
        <v>26</v>
      </c>
      <c r="C1362" s="7" t="s">
        <v>27</v>
      </c>
      <c r="D1362" s="7" t="s">
        <v>28</v>
      </c>
      <c r="E1362" s="7" t="s">
        <v>29</v>
      </c>
      <c r="F1362" s="7" t="s">
        <v>281</v>
      </c>
      <c r="G1362" s="7">
        <v>97.433880000000002</v>
      </c>
      <c r="H1362" s="7"/>
    </row>
    <row r="1363" spans="1:8" x14ac:dyDescent="0.35">
      <c r="A1363" s="7" t="s">
        <v>350</v>
      </c>
      <c r="B1363" s="7" t="s">
        <v>26</v>
      </c>
      <c r="C1363" s="7" t="s">
        <v>27</v>
      </c>
      <c r="D1363" s="7" t="s">
        <v>28</v>
      </c>
      <c r="E1363" s="7" t="s">
        <v>29</v>
      </c>
      <c r="F1363" s="7" t="s">
        <v>282</v>
      </c>
      <c r="G1363" s="7">
        <v>97.493170000000006</v>
      </c>
      <c r="H1363" s="7"/>
    </row>
    <row r="1364" spans="1:8" x14ac:dyDescent="0.35">
      <c r="A1364" s="7" t="s">
        <v>350</v>
      </c>
      <c r="B1364" s="7" t="s">
        <v>26</v>
      </c>
      <c r="C1364" s="7" t="s">
        <v>27</v>
      </c>
      <c r="D1364" s="7" t="s">
        <v>28</v>
      </c>
      <c r="E1364" s="7" t="s">
        <v>29</v>
      </c>
      <c r="F1364" s="7" t="s">
        <v>283</v>
      </c>
      <c r="G1364" s="7">
        <v>97.585570000000004</v>
      </c>
      <c r="H1364" s="7"/>
    </row>
    <row r="1365" spans="1:8" x14ac:dyDescent="0.35">
      <c r="A1365" s="7" t="s">
        <v>350</v>
      </c>
      <c r="B1365" s="7" t="s">
        <v>26</v>
      </c>
      <c r="C1365" s="7" t="s">
        <v>27</v>
      </c>
      <c r="D1365" s="7" t="s">
        <v>28</v>
      </c>
      <c r="E1365" s="7" t="s">
        <v>29</v>
      </c>
      <c r="F1365" s="7" t="s">
        <v>284</v>
      </c>
      <c r="G1365" s="7">
        <v>97.754760000000005</v>
      </c>
      <c r="H1365" s="7"/>
    </row>
    <row r="1366" spans="1:8" x14ac:dyDescent="0.35">
      <c r="A1366" s="7" t="s">
        <v>350</v>
      </c>
      <c r="B1366" s="7" t="s">
        <v>26</v>
      </c>
      <c r="C1366" s="7" t="s">
        <v>27</v>
      </c>
      <c r="D1366" s="7" t="s">
        <v>28</v>
      </c>
      <c r="E1366" s="7" t="s">
        <v>29</v>
      </c>
      <c r="F1366" s="7" t="s">
        <v>285</v>
      </c>
      <c r="G1366" s="7">
        <v>97.959190000000007</v>
      </c>
      <c r="H1366" s="7"/>
    </row>
    <row r="1367" spans="1:8" x14ac:dyDescent="0.35">
      <c r="A1367" s="7" t="s">
        <v>350</v>
      </c>
      <c r="B1367" s="7" t="s">
        <v>26</v>
      </c>
      <c r="C1367" s="7" t="s">
        <v>27</v>
      </c>
      <c r="D1367" s="7" t="s">
        <v>28</v>
      </c>
      <c r="E1367" s="7" t="s">
        <v>29</v>
      </c>
      <c r="F1367" s="7" t="s">
        <v>286</v>
      </c>
      <c r="G1367" s="7">
        <v>98.269260000000003</v>
      </c>
      <c r="H1367" s="7"/>
    </row>
    <row r="1368" spans="1:8" x14ac:dyDescent="0.35">
      <c r="A1368" s="7" t="s">
        <v>350</v>
      </c>
      <c r="B1368" s="7" t="s">
        <v>26</v>
      </c>
      <c r="C1368" s="7" t="s">
        <v>27</v>
      </c>
      <c r="D1368" s="7" t="s">
        <v>28</v>
      </c>
      <c r="E1368" s="7" t="s">
        <v>29</v>
      </c>
      <c r="F1368" s="7" t="s">
        <v>287</v>
      </c>
      <c r="G1368" s="7">
        <v>98.49494</v>
      </c>
      <c r="H1368" s="7"/>
    </row>
    <row r="1369" spans="1:8" x14ac:dyDescent="0.35">
      <c r="A1369" s="7" t="s">
        <v>350</v>
      </c>
      <c r="B1369" s="7" t="s">
        <v>26</v>
      </c>
      <c r="C1369" s="7" t="s">
        <v>27</v>
      </c>
      <c r="D1369" s="7" t="s">
        <v>28</v>
      </c>
      <c r="E1369" s="7" t="s">
        <v>29</v>
      </c>
      <c r="F1369" s="7" t="s">
        <v>288</v>
      </c>
      <c r="G1369" s="7">
        <v>98.746030000000005</v>
      </c>
      <c r="H1369" s="7"/>
    </row>
    <row r="1370" spans="1:8" x14ac:dyDescent="0.35">
      <c r="A1370" s="7" t="s">
        <v>350</v>
      </c>
      <c r="B1370" s="7" t="s">
        <v>26</v>
      </c>
      <c r="C1370" s="7" t="s">
        <v>27</v>
      </c>
      <c r="D1370" s="7" t="s">
        <v>28</v>
      </c>
      <c r="E1370" s="7" t="s">
        <v>29</v>
      </c>
      <c r="F1370" s="7" t="s">
        <v>289</v>
      </c>
      <c r="G1370" s="7">
        <v>98.916240000000002</v>
      </c>
      <c r="H1370" s="7"/>
    </row>
    <row r="1371" spans="1:8" x14ac:dyDescent="0.35">
      <c r="A1371" s="7" t="s">
        <v>350</v>
      </c>
      <c r="B1371" s="7" t="s">
        <v>26</v>
      </c>
      <c r="C1371" s="7" t="s">
        <v>27</v>
      </c>
      <c r="D1371" s="7" t="s">
        <v>28</v>
      </c>
      <c r="E1371" s="7" t="s">
        <v>29</v>
      </c>
      <c r="F1371" s="7" t="s">
        <v>290</v>
      </c>
      <c r="G1371" s="7">
        <v>99.012460000000004</v>
      </c>
      <c r="H1371" s="7"/>
    </row>
    <row r="1372" spans="1:8" x14ac:dyDescent="0.35">
      <c r="A1372" s="7" t="s">
        <v>350</v>
      </c>
      <c r="B1372" s="7" t="s">
        <v>26</v>
      </c>
      <c r="C1372" s="7" t="s">
        <v>27</v>
      </c>
      <c r="D1372" s="7" t="s">
        <v>28</v>
      </c>
      <c r="E1372" s="7" t="s">
        <v>29</v>
      </c>
      <c r="F1372" s="7" t="s">
        <v>291</v>
      </c>
      <c r="G1372" s="7">
        <v>99.213369999999998</v>
      </c>
      <c r="H1372" s="7"/>
    </row>
    <row r="1373" spans="1:8" x14ac:dyDescent="0.35">
      <c r="A1373" s="7" t="s">
        <v>350</v>
      </c>
      <c r="B1373" s="7" t="s">
        <v>26</v>
      </c>
      <c r="C1373" s="7" t="s">
        <v>27</v>
      </c>
      <c r="D1373" s="7" t="s">
        <v>28</v>
      </c>
      <c r="E1373" s="7" t="s">
        <v>29</v>
      </c>
      <c r="F1373" s="7" t="s">
        <v>292</v>
      </c>
      <c r="G1373" s="7">
        <v>99.483279999999993</v>
      </c>
      <c r="H1373" s="7"/>
    </row>
    <row r="1374" spans="1:8" x14ac:dyDescent="0.35">
      <c r="A1374" s="7" t="s">
        <v>350</v>
      </c>
      <c r="B1374" s="7" t="s">
        <v>26</v>
      </c>
      <c r="C1374" s="7" t="s">
        <v>27</v>
      </c>
      <c r="D1374" s="7" t="s">
        <v>28</v>
      </c>
      <c r="E1374" s="7" t="s">
        <v>29</v>
      </c>
      <c r="F1374" s="7" t="s">
        <v>293</v>
      </c>
      <c r="G1374" s="7">
        <v>99.722279999999998</v>
      </c>
      <c r="H1374" s="7"/>
    </row>
    <row r="1375" spans="1:8" x14ac:dyDescent="0.35">
      <c r="A1375" s="7" t="s">
        <v>350</v>
      </c>
      <c r="B1375" s="7" t="s">
        <v>26</v>
      </c>
      <c r="C1375" s="7" t="s">
        <v>27</v>
      </c>
      <c r="D1375" s="7" t="s">
        <v>28</v>
      </c>
      <c r="E1375" s="7" t="s">
        <v>29</v>
      </c>
      <c r="F1375" s="7" t="s">
        <v>294</v>
      </c>
      <c r="G1375" s="7">
        <v>99.969679999999997</v>
      </c>
      <c r="H1375" s="7"/>
    </row>
    <row r="1376" spans="1:8" x14ac:dyDescent="0.35">
      <c r="A1376" s="7" t="s">
        <v>350</v>
      </c>
      <c r="B1376" s="7" t="s">
        <v>26</v>
      </c>
      <c r="C1376" s="7" t="s">
        <v>27</v>
      </c>
      <c r="D1376" s="7" t="s">
        <v>28</v>
      </c>
      <c r="E1376" s="7" t="s">
        <v>29</v>
      </c>
      <c r="F1376" s="7" t="s">
        <v>295</v>
      </c>
      <c r="G1376" s="7">
        <v>100.1344</v>
      </c>
      <c r="H1376" s="7"/>
    </row>
    <row r="1377" spans="1:8" x14ac:dyDescent="0.35">
      <c r="A1377" s="7" t="s">
        <v>350</v>
      </c>
      <c r="B1377" s="7" t="s">
        <v>26</v>
      </c>
      <c r="C1377" s="7" t="s">
        <v>27</v>
      </c>
      <c r="D1377" s="7" t="s">
        <v>28</v>
      </c>
      <c r="E1377" s="7" t="s">
        <v>29</v>
      </c>
      <c r="F1377" s="7" t="s">
        <v>296</v>
      </c>
      <c r="G1377" s="7">
        <v>100.3279</v>
      </c>
      <c r="H1377" s="7"/>
    </row>
    <row r="1378" spans="1:8" x14ac:dyDescent="0.35">
      <c r="A1378" s="7" t="s">
        <v>350</v>
      </c>
      <c r="B1378" s="7" t="s">
        <v>26</v>
      </c>
      <c r="C1378" s="7" t="s">
        <v>27</v>
      </c>
      <c r="D1378" s="7" t="s">
        <v>28</v>
      </c>
      <c r="E1378" s="7" t="s">
        <v>29</v>
      </c>
      <c r="F1378" s="7" t="s">
        <v>297</v>
      </c>
      <c r="G1378" s="7">
        <v>100.54649999999999</v>
      </c>
      <c r="H1378" s="7"/>
    </row>
    <row r="1379" spans="1:8" x14ac:dyDescent="0.35">
      <c r="A1379" s="7" t="s">
        <v>350</v>
      </c>
      <c r="B1379" s="7" t="s">
        <v>26</v>
      </c>
      <c r="C1379" s="7" t="s">
        <v>27</v>
      </c>
      <c r="D1379" s="7" t="s">
        <v>28</v>
      </c>
      <c r="E1379" s="7" t="s">
        <v>29</v>
      </c>
      <c r="F1379" s="7" t="s">
        <v>298</v>
      </c>
      <c r="G1379" s="7">
        <v>100.84439999999999</v>
      </c>
      <c r="H1379" s="7"/>
    </row>
    <row r="1380" spans="1:8" x14ac:dyDescent="0.35">
      <c r="A1380" s="7" t="s">
        <v>350</v>
      </c>
      <c r="B1380" s="7" t="s">
        <v>26</v>
      </c>
      <c r="C1380" s="7" t="s">
        <v>27</v>
      </c>
      <c r="D1380" s="7" t="s">
        <v>28</v>
      </c>
      <c r="E1380" s="7" t="s">
        <v>29</v>
      </c>
      <c r="F1380" s="7" t="s">
        <v>299</v>
      </c>
      <c r="G1380" s="7">
        <v>101.11539999999999</v>
      </c>
      <c r="H1380" s="7"/>
    </row>
    <row r="1381" spans="1:8" x14ac:dyDescent="0.35">
      <c r="A1381" s="7" t="s">
        <v>350</v>
      </c>
      <c r="B1381" s="7" t="s">
        <v>26</v>
      </c>
      <c r="C1381" s="7" t="s">
        <v>27</v>
      </c>
      <c r="D1381" s="7" t="s">
        <v>28</v>
      </c>
      <c r="E1381" s="7" t="s">
        <v>29</v>
      </c>
      <c r="F1381" s="7" t="s">
        <v>300</v>
      </c>
      <c r="G1381" s="7">
        <v>101.25239999999999</v>
      </c>
      <c r="H1381" s="7"/>
    </row>
    <row r="1382" spans="1:8" x14ac:dyDescent="0.35">
      <c r="A1382" s="7" t="s">
        <v>350</v>
      </c>
      <c r="B1382" s="7" t="s">
        <v>26</v>
      </c>
      <c r="C1382" s="7" t="s">
        <v>27</v>
      </c>
      <c r="D1382" s="7" t="s">
        <v>28</v>
      </c>
      <c r="E1382" s="7" t="s">
        <v>29</v>
      </c>
      <c r="F1382" s="7" t="s">
        <v>301</v>
      </c>
      <c r="G1382" s="7">
        <v>101.3045</v>
      </c>
      <c r="H1382" s="7"/>
    </row>
    <row r="1383" spans="1:8" x14ac:dyDescent="0.35">
      <c r="A1383" s="7" t="s">
        <v>350</v>
      </c>
      <c r="B1383" s="7" t="s">
        <v>26</v>
      </c>
      <c r="C1383" s="7" t="s">
        <v>27</v>
      </c>
      <c r="D1383" s="7" t="s">
        <v>28</v>
      </c>
      <c r="E1383" s="7" t="s">
        <v>29</v>
      </c>
      <c r="F1383" s="7" t="s">
        <v>302</v>
      </c>
      <c r="G1383" s="7">
        <v>101.2175</v>
      </c>
      <c r="H1383" s="7"/>
    </row>
    <row r="1384" spans="1:8" x14ac:dyDescent="0.35">
      <c r="A1384" s="7" t="s">
        <v>350</v>
      </c>
      <c r="B1384" s="7" t="s">
        <v>26</v>
      </c>
      <c r="C1384" s="7" t="s">
        <v>27</v>
      </c>
      <c r="D1384" s="7" t="s">
        <v>28</v>
      </c>
      <c r="E1384" s="7" t="s">
        <v>29</v>
      </c>
      <c r="F1384" s="7" t="s">
        <v>303</v>
      </c>
      <c r="G1384" s="7">
        <v>101.0568</v>
      </c>
      <c r="H1384" s="7"/>
    </row>
    <row r="1385" spans="1:8" x14ac:dyDescent="0.35">
      <c r="A1385" s="7" t="s">
        <v>350</v>
      </c>
      <c r="B1385" s="7" t="s">
        <v>26</v>
      </c>
      <c r="C1385" s="7" t="s">
        <v>27</v>
      </c>
      <c r="D1385" s="7" t="s">
        <v>28</v>
      </c>
      <c r="E1385" s="7" t="s">
        <v>29</v>
      </c>
      <c r="F1385" s="7" t="s">
        <v>304</v>
      </c>
      <c r="G1385" s="7">
        <v>101.0791</v>
      </c>
      <c r="H1385" s="7"/>
    </row>
    <row r="1386" spans="1:8" x14ac:dyDescent="0.35">
      <c r="A1386" s="7" t="s">
        <v>350</v>
      </c>
      <c r="B1386" s="7" t="s">
        <v>26</v>
      </c>
      <c r="C1386" s="7" t="s">
        <v>27</v>
      </c>
      <c r="D1386" s="7" t="s">
        <v>28</v>
      </c>
      <c r="E1386" s="7" t="s">
        <v>29</v>
      </c>
      <c r="F1386" s="7" t="s">
        <v>305</v>
      </c>
      <c r="G1386" s="7">
        <v>101.38939999999999</v>
      </c>
      <c r="H1386" s="7"/>
    </row>
    <row r="1387" spans="1:8" x14ac:dyDescent="0.35">
      <c r="A1387" s="7" t="s">
        <v>350</v>
      </c>
      <c r="B1387" s="7" t="s">
        <v>26</v>
      </c>
      <c r="C1387" s="7" t="s">
        <v>27</v>
      </c>
      <c r="D1387" s="7" t="s">
        <v>28</v>
      </c>
      <c r="E1387" s="7" t="s">
        <v>29</v>
      </c>
      <c r="F1387" s="7" t="s">
        <v>306</v>
      </c>
      <c r="G1387" s="7">
        <v>101.71980000000001</v>
      </c>
      <c r="H1387" s="7"/>
    </row>
    <row r="1388" spans="1:8" x14ac:dyDescent="0.35">
      <c r="A1388" s="7" t="s">
        <v>350</v>
      </c>
      <c r="B1388" s="7" t="s">
        <v>26</v>
      </c>
      <c r="C1388" s="7" t="s">
        <v>27</v>
      </c>
      <c r="D1388" s="7" t="s">
        <v>28</v>
      </c>
      <c r="E1388" s="7" t="s">
        <v>29</v>
      </c>
      <c r="F1388" s="7" t="s">
        <v>307</v>
      </c>
      <c r="G1388" s="7">
        <v>101.9594</v>
      </c>
      <c r="H1388" s="7"/>
    </row>
    <row r="1389" spans="1:8" x14ac:dyDescent="0.35">
      <c r="A1389" s="7" t="s">
        <v>350</v>
      </c>
      <c r="B1389" s="7" t="s">
        <v>26</v>
      </c>
      <c r="C1389" s="7" t="s">
        <v>27</v>
      </c>
      <c r="D1389" s="7" t="s">
        <v>28</v>
      </c>
      <c r="E1389" s="7" t="s">
        <v>29</v>
      </c>
      <c r="F1389" s="7" t="s">
        <v>308</v>
      </c>
      <c r="G1389" s="7">
        <v>101.9915</v>
      </c>
      <c r="H1389" s="7"/>
    </row>
    <row r="1390" spans="1:8" x14ac:dyDescent="0.35">
      <c r="A1390" s="7" t="s">
        <v>350</v>
      </c>
      <c r="B1390" s="7" t="s">
        <v>26</v>
      </c>
      <c r="C1390" s="7" t="s">
        <v>27</v>
      </c>
      <c r="D1390" s="7" t="s">
        <v>28</v>
      </c>
      <c r="E1390" s="7" t="s">
        <v>29</v>
      </c>
      <c r="F1390" s="7" t="s">
        <v>309</v>
      </c>
      <c r="G1390" s="7">
        <v>101.8664</v>
      </c>
      <c r="H1390" s="7"/>
    </row>
    <row r="1391" spans="1:8" x14ac:dyDescent="0.35">
      <c r="A1391" s="7" t="s">
        <v>350</v>
      </c>
      <c r="B1391" s="7" t="s">
        <v>26</v>
      </c>
      <c r="C1391" s="7" t="s">
        <v>27</v>
      </c>
      <c r="D1391" s="7" t="s">
        <v>28</v>
      </c>
      <c r="E1391" s="7" t="s">
        <v>29</v>
      </c>
      <c r="F1391" s="7" t="s">
        <v>310</v>
      </c>
      <c r="G1391" s="7">
        <v>101.8152</v>
      </c>
      <c r="H1391" s="7"/>
    </row>
    <row r="1392" spans="1:8" x14ac:dyDescent="0.35">
      <c r="A1392" s="7" t="s">
        <v>350</v>
      </c>
      <c r="B1392" s="7" t="s">
        <v>26</v>
      </c>
      <c r="C1392" s="7" t="s">
        <v>27</v>
      </c>
      <c r="D1392" s="7" t="s">
        <v>28</v>
      </c>
      <c r="E1392" s="7" t="s">
        <v>29</v>
      </c>
      <c r="F1392" s="7" t="s">
        <v>311</v>
      </c>
      <c r="G1392" s="7">
        <v>101.85550000000001</v>
      </c>
      <c r="H1392" s="7"/>
    </row>
    <row r="1393" spans="1:8" x14ac:dyDescent="0.35">
      <c r="A1393" s="7" t="s">
        <v>350</v>
      </c>
      <c r="B1393" s="7" t="s">
        <v>26</v>
      </c>
      <c r="C1393" s="7" t="s">
        <v>27</v>
      </c>
      <c r="D1393" s="7" t="s">
        <v>28</v>
      </c>
      <c r="E1393" s="7" t="s">
        <v>29</v>
      </c>
      <c r="F1393" s="7" t="s">
        <v>312</v>
      </c>
      <c r="G1393" s="7">
        <v>101.9038</v>
      </c>
      <c r="H1393" s="7"/>
    </row>
    <row r="1394" spans="1:8" x14ac:dyDescent="0.35">
      <c r="A1394" s="7" t="s">
        <v>350</v>
      </c>
      <c r="B1394" s="7" t="s">
        <v>26</v>
      </c>
      <c r="C1394" s="7" t="s">
        <v>27</v>
      </c>
      <c r="D1394" s="7" t="s">
        <v>28</v>
      </c>
      <c r="E1394" s="7" t="s">
        <v>29</v>
      </c>
      <c r="F1394" s="7" t="s">
        <v>313</v>
      </c>
      <c r="G1394" s="7">
        <v>101.9336</v>
      </c>
      <c r="H1394" s="7"/>
    </row>
    <row r="1395" spans="1:8" x14ac:dyDescent="0.35">
      <c r="A1395" s="7" t="s">
        <v>350</v>
      </c>
      <c r="B1395" s="7" t="s">
        <v>26</v>
      </c>
      <c r="C1395" s="7" t="s">
        <v>27</v>
      </c>
      <c r="D1395" s="7" t="s">
        <v>28</v>
      </c>
      <c r="E1395" s="7" t="s">
        <v>29</v>
      </c>
      <c r="F1395" s="7" t="s">
        <v>314</v>
      </c>
      <c r="G1395" s="7">
        <v>101.851</v>
      </c>
      <c r="H1395" s="7"/>
    </row>
    <row r="1396" spans="1:8" x14ac:dyDescent="0.35">
      <c r="A1396" s="7" t="s">
        <v>350</v>
      </c>
      <c r="B1396" s="7" t="s">
        <v>26</v>
      </c>
      <c r="C1396" s="7" t="s">
        <v>27</v>
      </c>
      <c r="D1396" s="7" t="s">
        <v>28</v>
      </c>
      <c r="E1396" s="7" t="s">
        <v>29</v>
      </c>
      <c r="F1396" s="7" t="s">
        <v>315</v>
      </c>
      <c r="G1396" s="7">
        <v>101.7394</v>
      </c>
      <c r="H1396" s="7"/>
    </row>
    <row r="1397" spans="1:8" x14ac:dyDescent="0.35">
      <c r="A1397" s="7" t="s">
        <v>350</v>
      </c>
      <c r="B1397" s="7" t="s">
        <v>26</v>
      </c>
      <c r="C1397" s="7" t="s">
        <v>27</v>
      </c>
      <c r="D1397" s="7" t="s">
        <v>28</v>
      </c>
      <c r="E1397" s="7" t="s">
        <v>29</v>
      </c>
      <c r="F1397" s="7" t="s">
        <v>316</v>
      </c>
      <c r="G1397" s="7">
        <v>101.6982</v>
      </c>
      <c r="H1397" s="7"/>
    </row>
    <row r="1398" spans="1:8" x14ac:dyDescent="0.35">
      <c r="A1398" s="7" t="s">
        <v>350</v>
      </c>
      <c r="B1398" s="7" t="s">
        <v>26</v>
      </c>
      <c r="C1398" s="7" t="s">
        <v>27</v>
      </c>
      <c r="D1398" s="7" t="s">
        <v>28</v>
      </c>
      <c r="E1398" s="7" t="s">
        <v>29</v>
      </c>
      <c r="F1398" s="7" t="s">
        <v>317</v>
      </c>
      <c r="G1398" s="7">
        <v>101.83199999999999</v>
      </c>
      <c r="H1398" s="7"/>
    </row>
    <row r="1399" spans="1:8" x14ac:dyDescent="0.35">
      <c r="A1399" s="7" t="s">
        <v>350</v>
      </c>
      <c r="B1399" s="7" t="s">
        <v>26</v>
      </c>
      <c r="C1399" s="7" t="s">
        <v>27</v>
      </c>
      <c r="D1399" s="7" t="s">
        <v>28</v>
      </c>
      <c r="E1399" s="7" t="s">
        <v>29</v>
      </c>
      <c r="F1399" s="7" t="s">
        <v>318</v>
      </c>
      <c r="G1399" s="7">
        <v>102.0778</v>
      </c>
      <c r="H1399" s="7"/>
    </row>
    <row r="1400" spans="1:8" x14ac:dyDescent="0.35">
      <c r="A1400" s="7" t="s">
        <v>350</v>
      </c>
      <c r="B1400" s="7" t="s">
        <v>26</v>
      </c>
      <c r="C1400" s="7" t="s">
        <v>27</v>
      </c>
      <c r="D1400" s="7" t="s">
        <v>28</v>
      </c>
      <c r="E1400" s="7" t="s">
        <v>29</v>
      </c>
      <c r="F1400" s="7" t="s">
        <v>319</v>
      </c>
      <c r="G1400" s="7">
        <v>102.31610000000001</v>
      </c>
      <c r="H1400" s="7"/>
    </row>
    <row r="1401" spans="1:8" x14ac:dyDescent="0.35">
      <c r="A1401" s="7" t="s">
        <v>350</v>
      </c>
      <c r="B1401" s="7" t="s">
        <v>26</v>
      </c>
      <c r="C1401" s="7" t="s">
        <v>27</v>
      </c>
      <c r="D1401" s="7" t="s">
        <v>28</v>
      </c>
      <c r="E1401" s="7" t="s">
        <v>29</v>
      </c>
      <c r="F1401" s="7" t="s">
        <v>320</v>
      </c>
      <c r="G1401" s="7">
        <v>102.4605</v>
      </c>
      <c r="H1401" s="7"/>
    </row>
    <row r="1402" spans="1:8" x14ac:dyDescent="0.35">
      <c r="A1402" s="7" t="s">
        <v>350</v>
      </c>
      <c r="B1402" s="7" t="s">
        <v>26</v>
      </c>
      <c r="C1402" s="7" t="s">
        <v>27</v>
      </c>
      <c r="D1402" s="7" t="s">
        <v>28</v>
      </c>
      <c r="E1402" s="7" t="s">
        <v>29</v>
      </c>
      <c r="F1402" s="7" t="s">
        <v>321</v>
      </c>
      <c r="G1402" s="7">
        <v>102.4027</v>
      </c>
      <c r="H1402" s="7"/>
    </row>
    <row r="1403" spans="1:8" x14ac:dyDescent="0.35">
      <c r="A1403" s="7" t="s">
        <v>350</v>
      </c>
      <c r="B1403" s="7" t="s">
        <v>26</v>
      </c>
      <c r="C1403" s="7" t="s">
        <v>27</v>
      </c>
      <c r="D1403" s="7" t="s">
        <v>28</v>
      </c>
      <c r="E1403" s="7" t="s">
        <v>29</v>
      </c>
      <c r="F1403" s="7" t="s">
        <v>322</v>
      </c>
      <c r="G1403" s="7">
        <v>102.2499</v>
      </c>
      <c r="H1403" s="7"/>
    </row>
    <row r="1404" spans="1:8" x14ac:dyDescent="0.35">
      <c r="A1404" s="7" t="s">
        <v>350</v>
      </c>
      <c r="B1404" s="7" t="s">
        <v>26</v>
      </c>
      <c r="C1404" s="7" t="s">
        <v>27</v>
      </c>
      <c r="D1404" s="7" t="s">
        <v>28</v>
      </c>
      <c r="E1404" s="7" t="s">
        <v>29</v>
      </c>
      <c r="F1404" s="7" t="s">
        <v>323</v>
      </c>
      <c r="G1404" s="7">
        <v>102.108</v>
      </c>
      <c r="H1404" s="7"/>
    </row>
    <row r="1405" spans="1:8" x14ac:dyDescent="0.35">
      <c r="A1405" s="7" t="s">
        <v>350</v>
      </c>
      <c r="B1405" s="7" t="s">
        <v>26</v>
      </c>
      <c r="C1405" s="7" t="s">
        <v>27</v>
      </c>
      <c r="D1405" s="7" t="s">
        <v>28</v>
      </c>
      <c r="E1405" s="7" t="s">
        <v>29</v>
      </c>
      <c r="F1405" s="7" t="s">
        <v>324</v>
      </c>
      <c r="G1405" s="7">
        <v>102.0201</v>
      </c>
      <c r="H1405" s="7"/>
    </row>
    <row r="1406" spans="1:8" x14ac:dyDescent="0.35">
      <c r="A1406" s="7" t="s">
        <v>350</v>
      </c>
      <c r="B1406" s="7" t="s">
        <v>26</v>
      </c>
      <c r="C1406" s="7" t="s">
        <v>27</v>
      </c>
      <c r="D1406" s="7" t="s">
        <v>28</v>
      </c>
      <c r="E1406" s="7" t="s">
        <v>29</v>
      </c>
      <c r="F1406" s="7" t="s">
        <v>325</v>
      </c>
      <c r="G1406" s="7">
        <v>101.9562</v>
      </c>
      <c r="H1406" s="7"/>
    </row>
    <row r="1407" spans="1:8" x14ac:dyDescent="0.35">
      <c r="A1407" s="7" t="s">
        <v>350</v>
      </c>
      <c r="B1407" s="7" t="s">
        <v>26</v>
      </c>
      <c r="C1407" s="7" t="s">
        <v>27</v>
      </c>
      <c r="D1407" s="7" t="s">
        <v>28</v>
      </c>
      <c r="E1407" s="7" t="s">
        <v>29</v>
      </c>
      <c r="F1407" s="7" t="s">
        <v>326</v>
      </c>
      <c r="G1407" s="7">
        <v>101.9006</v>
      </c>
      <c r="H1407" s="7"/>
    </row>
    <row r="1408" spans="1:8" x14ac:dyDescent="0.35">
      <c r="A1408" s="7" t="s">
        <v>350</v>
      </c>
      <c r="B1408" s="7" t="s">
        <v>26</v>
      </c>
      <c r="C1408" s="7" t="s">
        <v>27</v>
      </c>
      <c r="D1408" s="7" t="s">
        <v>28</v>
      </c>
      <c r="E1408" s="7" t="s">
        <v>29</v>
      </c>
      <c r="F1408" s="7" t="s">
        <v>327</v>
      </c>
      <c r="G1408" s="7">
        <v>101.9927</v>
      </c>
      <c r="H1408" s="7"/>
    </row>
    <row r="1409" spans="1:8" x14ac:dyDescent="0.35">
      <c r="A1409" s="7" t="s">
        <v>350</v>
      </c>
      <c r="B1409" s="7" t="s">
        <v>26</v>
      </c>
      <c r="C1409" s="7" t="s">
        <v>27</v>
      </c>
      <c r="D1409" s="7" t="s">
        <v>28</v>
      </c>
      <c r="E1409" s="7" t="s">
        <v>29</v>
      </c>
      <c r="F1409" s="7" t="s">
        <v>328</v>
      </c>
      <c r="G1409" s="7">
        <v>102.1855</v>
      </c>
      <c r="H1409" s="7"/>
    </row>
    <row r="1410" spans="1:8" x14ac:dyDescent="0.35">
      <c r="A1410" s="7" t="s">
        <v>350</v>
      </c>
      <c r="B1410" s="7" t="s">
        <v>26</v>
      </c>
      <c r="C1410" s="7" t="s">
        <v>27</v>
      </c>
      <c r="D1410" s="7" t="s">
        <v>28</v>
      </c>
      <c r="E1410" s="7" t="s">
        <v>29</v>
      </c>
      <c r="F1410" s="7" t="s">
        <v>329</v>
      </c>
      <c r="G1410" s="7">
        <v>102.3822</v>
      </c>
      <c r="H1410" s="7"/>
    </row>
    <row r="1411" spans="1:8" x14ac:dyDescent="0.35">
      <c r="A1411" s="7" t="s">
        <v>350</v>
      </c>
      <c r="B1411" s="7" t="s">
        <v>26</v>
      </c>
      <c r="C1411" s="7" t="s">
        <v>27</v>
      </c>
      <c r="D1411" s="7" t="s">
        <v>28</v>
      </c>
      <c r="E1411" s="7" t="s">
        <v>29</v>
      </c>
      <c r="F1411" s="7" t="s">
        <v>330</v>
      </c>
      <c r="G1411" s="7">
        <v>102.5184</v>
      </c>
      <c r="H1411" s="7"/>
    </row>
    <row r="1412" spans="1:8" x14ac:dyDescent="0.35">
      <c r="A1412" s="7" t="s">
        <v>350</v>
      </c>
      <c r="B1412" s="7" t="s">
        <v>26</v>
      </c>
      <c r="C1412" s="7" t="s">
        <v>27</v>
      </c>
      <c r="D1412" s="7" t="s">
        <v>28</v>
      </c>
      <c r="E1412" s="7" t="s">
        <v>29</v>
      </c>
      <c r="F1412" s="7" t="s">
        <v>331</v>
      </c>
      <c r="G1412" s="7">
        <v>102.6097</v>
      </c>
      <c r="H1412" s="7"/>
    </row>
    <row r="1413" spans="1:8" x14ac:dyDescent="0.35">
      <c r="A1413" s="7" t="s">
        <v>350</v>
      </c>
      <c r="B1413" s="7" t="s">
        <v>26</v>
      </c>
      <c r="C1413" s="7" t="s">
        <v>27</v>
      </c>
      <c r="D1413" s="7" t="s">
        <v>28</v>
      </c>
      <c r="E1413" s="7" t="s">
        <v>29</v>
      </c>
      <c r="F1413" s="7" t="s">
        <v>332</v>
      </c>
      <c r="G1413" s="7">
        <v>102.7075</v>
      </c>
      <c r="H1413" s="7"/>
    </row>
    <row r="1414" spans="1:8" x14ac:dyDescent="0.35">
      <c r="A1414" s="7" t="s">
        <v>350</v>
      </c>
      <c r="B1414" s="7" t="s">
        <v>26</v>
      </c>
      <c r="C1414" s="7" t="s">
        <v>27</v>
      </c>
      <c r="D1414" s="7" t="s">
        <v>28</v>
      </c>
      <c r="E1414" s="7" t="s">
        <v>29</v>
      </c>
      <c r="F1414" s="7" t="s">
        <v>333</v>
      </c>
      <c r="G1414" s="7">
        <v>102.761</v>
      </c>
      <c r="H1414" s="7"/>
    </row>
    <row r="1415" spans="1:8" x14ac:dyDescent="0.35">
      <c r="A1415" s="7" t="s">
        <v>350</v>
      </c>
      <c r="B1415" s="7" t="s">
        <v>26</v>
      </c>
      <c r="C1415" s="7" t="s">
        <v>27</v>
      </c>
      <c r="D1415" s="7" t="s">
        <v>28</v>
      </c>
      <c r="E1415" s="7" t="s">
        <v>29</v>
      </c>
      <c r="F1415" s="7" t="s">
        <v>334</v>
      </c>
      <c r="G1415" s="7">
        <v>102.76439999999999</v>
      </c>
      <c r="H1415" s="7"/>
    </row>
    <row r="1416" spans="1:8" x14ac:dyDescent="0.35">
      <c r="A1416" s="7" t="s">
        <v>350</v>
      </c>
      <c r="B1416" s="7" t="s">
        <v>26</v>
      </c>
      <c r="C1416" s="7" t="s">
        <v>27</v>
      </c>
      <c r="D1416" s="7" t="s">
        <v>28</v>
      </c>
      <c r="E1416" s="7" t="s">
        <v>29</v>
      </c>
      <c r="F1416" s="7" t="s">
        <v>335</v>
      </c>
      <c r="G1416" s="7">
        <v>102.7033</v>
      </c>
      <c r="H1416" s="7"/>
    </row>
    <row r="1417" spans="1:8" x14ac:dyDescent="0.35">
      <c r="A1417" s="7" t="s">
        <v>350</v>
      </c>
      <c r="B1417" s="7" t="s">
        <v>26</v>
      </c>
      <c r="C1417" s="7" t="s">
        <v>27</v>
      </c>
      <c r="D1417" s="7" t="s">
        <v>28</v>
      </c>
      <c r="E1417" s="7" t="s">
        <v>29</v>
      </c>
      <c r="F1417" s="7" t="s">
        <v>336</v>
      </c>
      <c r="G1417" s="7">
        <v>102.56619999999999</v>
      </c>
      <c r="H1417" s="7"/>
    </row>
    <row r="1418" spans="1:8" x14ac:dyDescent="0.35">
      <c r="A1418" s="7" t="s">
        <v>350</v>
      </c>
      <c r="B1418" s="7" t="s">
        <v>26</v>
      </c>
      <c r="C1418" s="7" t="s">
        <v>27</v>
      </c>
      <c r="D1418" s="7" t="s">
        <v>28</v>
      </c>
      <c r="E1418" s="7" t="s">
        <v>29</v>
      </c>
      <c r="F1418" s="7" t="s">
        <v>337</v>
      </c>
      <c r="G1418" s="7">
        <v>102.39100000000001</v>
      </c>
      <c r="H1418" s="7"/>
    </row>
    <row r="1419" spans="1:8" x14ac:dyDescent="0.35">
      <c r="A1419" s="7" t="s">
        <v>350</v>
      </c>
      <c r="B1419" s="7" t="s">
        <v>26</v>
      </c>
      <c r="C1419" s="7" t="s">
        <v>27</v>
      </c>
      <c r="D1419" s="7" t="s">
        <v>28</v>
      </c>
      <c r="E1419" s="7" t="s">
        <v>29</v>
      </c>
      <c r="F1419" s="7" t="s">
        <v>338</v>
      </c>
      <c r="G1419" s="7">
        <v>102.3096</v>
      </c>
      <c r="H1419" s="7"/>
    </row>
    <row r="1420" spans="1:8" x14ac:dyDescent="0.35">
      <c r="A1420" s="7" t="s">
        <v>350</v>
      </c>
      <c r="B1420" s="7" t="s">
        <v>26</v>
      </c>
      <c r="C1420" s="7" t="s">
        <v>27</v>
      </c>
      <c r="D1420" s="7" t="s">
        <v>28</v>
      </c>
      <c r="E1420" s="7" t="s">
        <v>29</v>
      </c>
      <c r="F1420" s="7" t="s">
        <v>339</v>
      </c>
      <c r="G1420" s="7">
        <v>102.35760000000001</v>
      </c>
      <c r="H1420" s="7"/>
    </row>
    <row r="1421" spans="1:8" x14ac:dyDescent="0.35">
      <c r="A1421" s="7" t="s">
        <v>350</v>
      </c>
      <c r="B1421" s="7" t="s">
        <v>26</v>
      </c>
      <c r="C1421" s="7" t="s">
        <v>27</v>
      </c>
      <c r="D1421" s="7" t="s">
        <v>28</v>
      </c>
      <c r="E1421" s="7" t="s">
        <v>29</v>
      </c>
      <c r="F1421" s="7" t="s">
        <v>340</v>
      </c>
      <c r="G1421" s="7">
        <v>102.4632</v>
      </c>
      <c r="H1421" s="7"/>
    </row>
    <row r="1422" spans="1:8" x14ac:dyDescent="0.35">
      <c r="A1422" s="7" t="s">
        <v>350</v>
      </c>
      <c r="B1422" s="7" t="s">
        <v>26</v>
      </c>
      <c r="C1422" s="7" t="s">
        <v>27</v>
      </c>
      <c r="D1422" s="7" t="s">
        <v>28</v>
      </c>
      <c r="E1422" s="7" t="s">
        <v>29</v>
      </c>
      <c r="F1422" s="7" t="s">
        <v>341</v>
      </c>
      <c r="G1422" s="7">
        <v>102.5527</v>
      </c>
      <c r="H1422" s="7"/>
    </row>
    <row r="1423" spans="1:8" x14ac:dyDescent="0.35">
      <c r="A1423" s="7" t="s">
        <v>350</v>
      </c>
      <c r="B1423" s="7" t="s">
        <v>26</v>
      </c>
      <c r="C1423" s="7" t="s">
        <v>27</v>
      </c>
      <c r="D1423" s="7" t="s">
        <v>28</v>
      </c>
      <c r="E1423" s="7" t="s">
        <v>29</v>
      </c>
      <c r="F1423" s="7" t="s">
        <v>342</v>
      </c>
      <c r="G1423" s="7">
        <v>102.71939999999999</v>
      </c>
      <c r="H1423" s="7"/>
    </row>
    <row r="1424" spans="1:8" x14ac:dyDescent="0.35">
      <c r="A1424" s="7" t="s">
        <v>350</v>
      </c>
      <c r="B1424" s="7" t="s">
        <v>26</v>
      </c>
      <c r="C1424" s="7" t="s">
        <v>27</v>
      </c>
      <c r="D1424" s="7" t="s">
        <v>28</v>
      </c>
      <c r="E1424" s="7" t="s">
        <v>29</v>
      </c>
      <c r="F1424" s="7" t="s">
        <v>343</v>
      </c>
      <c r="G1424" s="7">
        <v>102.9199</v>
      </c>
      <c r="H1424" s="7"/>
    </row>
    <row r="1425" spans="1:8" x14ac:dyDescent="0.35">
      <c r="A1425" s="7" t="s">
        <v>350</v>
      </c>
      <c r="B1425" s="7" t="s">
        <v>26</v>
      </c>
      <c r="C1425" s="7" t="s">
        <v>27</v>
      </c>
      <c r="D1425" s="7" t="s">
        <v>28</v>
      </c>
      <c r="E1425" s="7" t="s">
        <v>29</v>
      </c>
      <c r="F1425" s="7" t="s">
        <v>344</v>
      </c>
      <c r="G1425" s="7">
        <v>103.1747</v>
      </c>
      <c r="H1425" s="7"/>
    </row>
    <row r="1426" spans="1:8" x14ac:dyDescent="0.35">
      <c r="A1426" s="7" t="s">
        <v>350</v>
      </c>
      <c r="B1426" s="7" t="s">
        <v>26</v>
      </c>
      <c r="C1426" s="7" t="s">
        <v>27</v>
      </c>
      <c r="D1426" s="7" t="s">
        <v>28</v>
      </c>
      <c r="E1426" s="7" t="s">
        <v>29</v>
      </c>
      <c r="F1426" s="7" t="s">
        <v>345</v>
      </c>
      <c r="G1426" s="7">
        <v>103.3211</v>
      </c>
      <c r="H1426" s="7"/>
    </row>
    <row r="1427" spans="1:8" x14ac:dyDescent="0.35">
      <c r="A1427" s="7" t="s">
        <v>350</v>
      </c>
      <c r="B1427" s="7" t="s">
        <v>26</v>
      </c>
      <c r="C1427" s="7" t="s">
        <v>27</v>
      </c>
      <c r="D1427" s="7" t="s">
        <v>28</v>
      </c>
      <c r="E1427" s="7" t="s">
        <v>29</v>
      </c>
      <c r="F1427" s="7" t="s">
        <v>346</v>
      </c>
      <c r="G1427" s="7">
        <v>103.4152</v>
      </c>
      <c r="H1427" s="7"/>
    </row>
    <row r="1428" spans="1:8" x14ac:dyDescent="0.35">
      <c r="A1428" s="7" t="s">
        <v>351</v>
      </c>
      <c r="B1428" s="7" t="s">
        <v>26</v>
      </c>
      <c r="C1428" s="7" t="s">
        <v>27</v>
      </c>
      <c r="D1428" s="7" t="s">
        <v>28</v>
      </c>
      <c r="E1428" s="7" t="s">
        <v>29</v>
      </c>
      <c r="F1428" s="7" t="s">
        <v>30</v>
      </c>
      <c r="G1428" s="7">
        <v>100.818</v>
      </c>
      <c r="H1428" s="7"/>
    </row>
    <row r="1429" spans="1:8" x14ac:dyDescent="0.35">
      <c r="A1429" s="7" t="s">
        <v>351</v>
      </c>
      <c r="B1429" s="7" t="s">
        <v>26</v>
      </c>
      <c r="C1429" s="7" t="s">
        <v>27</v>
      </c>
      <c r="D1429" s="7" t="s">
        <v>28</v>
      </c>
      <c r="E1429" s="7" t="s">
        <v>29</v>
      </c>
      <c r="F1429" s="7" t="s">
        <v>31</v>
      </c>
      <c r="G1429" s="7">
        <v>100.7199</v>
      </c>
      <c r="H1429" s="7"/>
    </row>
    <row r="1430" spans="1:8" x14ac:dyDescent="0.35">
      <c r="A1430" s="7" t="s">
        <v>351</v>
      </c>
      <c r="B1430" s="7" t="s">
        <v>26</v>
      </c>
      <c r="C1430" s="7" t="s">
        <v>27</v>
      </c>
      <c r="D1430" s="7" t="s">
        <v>28</v>
      </c>
      <c r="E1430" s="7" t="s">
        <v>29</v>
      </c>
      <c r="F1430" s="7" t="s">
        <v>32</v>
      </c>
      <c r="G1430" s="7">
        <v>100.63200000000001</v>
      </c>
      <c r="H1430" s="7"/>
    </row>
    <row r="1431" spans="1:8" x14ac:dyDescent="0.35">
      <c r="A1431" s="7" t="s">
        <v>351</v>
      </c>
      <c r="B1431" s="7" t="s">
        <v>26</v>
      </c>
      <c r="C1431" s="7" t="s">
        <v>27</v>
      </c>
      <c r="D1431" s="7" t="s">
        <v>28</v>
      </c>
      <c r="E1431" s="7" t="s">
        <v>29</v>
      </c>
      <c r="F1431" s="7" t="s">
        <v>33</v>
      </c>
      <c r="G1431" s="7">
        <v>100.5446</v>
      </c>
      <c r="H1431" s="7"/>
    </row>
    <row r="1432" spans="1:8" x14ac:dyDescent="0.35">
      <c r="A1432" s="7" t="s">
        <v>351</v>
      </c>
      <c r="B1432" s="7" t="s">
        <v>26</v>
      </c>
      <c r="C1432" s="7" t="s">
        <v>27</v>
      </c>
      <c r="D1432" s="7" t="s">
        <v>28</v>
      </c>
      <c r="E1432" s="7" t="s">
        <v>29</v>
      </c>
      <c r="F1432" s="7" t="s">
        <v>34</v>
      </c>
      <c r="G1432" s="7">
        <v>100.44840000000001</v>
      </c>
      <c r="H1432" s="7"/>
    </row>
    <row r="1433" spans="1:8" x14ac:dyDescent="0.35">
      <c r="A1433" s="7" t="s">
        <v>351</v>
      </c>
      <c r="B1433" s="7" t="s">
        <v>26</v>
      </c>
      <c r="C1433" s="7" t="s">
        <v>27</v>
      </c>
      <c r="D1433" s="7" t="s">
        <v>28</v>
      </c>
      <c r="E1433" s="7" t="s">
        <v>29</v>
      </c>
      <c r="F1433" s="7" t="s">
        <v>35</v>
      </c>
      <c r="G1433" s="7">
        <v>100.3293</v>
      </c>
      <c r="H1433" s="7"/>
    </row>
    <row r="1434" spans="1:8" x14ac:dyDescent="0.35">
      <c r="A1434" s="7" t="s">
        <v>351</v>
      </c>
      <c r="B1434" s="7" t="s">
        <v>26</v>
      </c>
      <c r="C1434" s="7" t="s">
        <v>27</v>
      </c>
      <c r="D1434" s="7" t="s">
        <v>28</v>
      </c>
      <c r="E1434" s="7" t="s">
        <v>29</v>
      </c>
      <c r="F1434" s="7" t="s">
        <v>36</v>
      </c>
      <c r="G1434" s="7">
        <v>100.17359999999999</v>
      </c>
      <c r="H1434" s="7"/>
    </row>
    <row r="1435" spans="1:8" x14ac:dyDescent="0.35">
      <c r="A1435" s="7" t="s">
        <v>351</v>
      </c>
      <c r="B1435" s="7" t="s">
        <v>26</v>
      </c>
      <c r="C1435" s="7" t="s">
        <v>27</v>
      </c>
      <c r="D1435" s="7" t="s">
        <v>28</v>
      </c>
      <c r="E1435" s="7" t="s">
        <v>29</v>
      </c>
      <c r="F1435" s="7" t="s">
        <v>37</v>
      </c>
      <c r="G1435" s="7">
        <v>99.994839999999996</v>
      </c>
      <c r="H1435" s="7"/>
    </row>
    <row r="1436" spans="1:8" x14ac:dyDescent="0.35">
      <c r="A1436" s="7" t="s">
        <v>351</v>
      </c>
      <c r="B1436" s="7" t="s">
        <v>26</v>
      </c>
      <c r="C1436" s="7" t="s">
        <v>27</v>
      </c>
      <c r="D1436" s="7" t="s">
        <v>28</v>
      </c>
      <c r="E1436" s="7" t="s">
        <v>29</v>
      </c>
      <c r="F1436" s="7" t="s">
        <v>38</v>
      </c>
      <c r="G1436" s="7">
        <v>99.806169999999995</v>
      </c>
      <c r="H1436" s="7"/>
    </row>
    <row r="1437" spans="1:8" x14ac:dyDescent="0.35">
      <c r="A1437" s="7" t="s">
        <v>351</v>
      </c>
      <c r="B1437" s="7" t="s">
        <v>26</v>
      </c>
      <c r="C1437" s="7" t="s">
        <v>27</v>
      </c>
      <c r="D1437" s="7" t="s">
        <v>28</v>
      </c>
      <c r="E1437" s="7" t="s">
        <v>29</v>
      </c>
      <c r="F1437" s="7" t="s">
        <v>39</v>
      </c>
      <c r="G1437" s="7">
        <v>99.61515</v>
      </c>
      <c r="H1437" s="7"/>
    </row>
    <row r="1438" spans="1:8" x14ac:dyDescent="0.35">
      <c r="A1438" s="7" t="s">
        <v>351</v>
      </c>
      <c r="B1438" s="7" t="s">
        <v>26</v>
      </c>
      <c r="C1438" s="7" t="s">
        <v>27</v>
      </c>
      <c r="D1438" s="7" t="s">
        <v>28</v>
      </c>
      <c r="E1438" s="7" t="s">
        <v>29</v>
      </c>
      <c r="F1438" s="7" t="s">
        <v>40</v>
      </c>
      <c r="G1438" s="7">
        <v>99.429060000000007</v>
      </c>
      <c r="H1438" s="7"/>
    </row>
    <row r="1439" spans="1:8" x14ac:dyDescent="0.35">
      <c r="A1439" s="7" t="s">
        <v>351</v>
      </c>
      <c r="B1439" s="7" t="s">
        <v>26</v>
      </c>
      <c r="C1439" s="7" t="s">
        <v>27</v>
      </c>
      <c r="D1439" s="7" t="s">
        <v>28</v>
      </c>
      <c r="E1439" s="7" t="s">
        <v>29</v>
      </c>
      <c r="F1439" s="7" t="s">
        <v>41</v>
      </c>
      <c r="G1439" s="7">
        <v>99.262180000000001</v>
      </c>
      <c r="H1439" s="7"/>
    </row>
    <row r="1440" spans="1:8" x14ac:dyDescent="0.35">
      <c r="A1440" s="7" t="s">
        <v>351</v>
      </c>
      <c r="B1440" s="7" t="s">
        <v>26</v>
      </c>
      <c r="C1440" s="7" t="s">
        <v>27</v>
      </c>
      <c r="D1440" s="7" t="s">
        <v>28</v>
      </c>
      <c r="E1440" s="7" t="s">
        <v>29</v>
      </c>
      <c r="F1440" s="7" t="s">
        <v>42</v>
      </c>
      <c r="G1440" s="7">
        <v>99.138279999999995</v>
      </c>
      <c r="H1440" s="7"/>
    </row>
    <row r="1441" spans="1:8" x14ac:dyDescent="0.35">
      <c r="A1441" s="7" t="s">
        <v>351</v>
      </c>
      <c r="B1441" s="7" t="s">
        <v>26</v>
      </c>
      <c r="C1441" s="7" t="s">
        <v>27</v>
      </c>
      <c r="D1441" s="7" t="s">
        <v>28</v>
      </c>
      <c r="E1441" s="7" t="s">
        <v>29</v>
      </c>
      <c r="F1441" s="7" t="s">
        <v>43</v>
      </c>
      <c r="G1441" s="7">
        <v>99.073949999999996</v>
      </c>
      <c r="H1441" s="7"/>
    </row>
    <row r="1442" spans="1:8" x14ac:dyDescent="0.35">
      <c r="A1442" s="7" t="s">
        <v>351</v>
      </c>
      <c r="B1442" s="7" t="s">
        <v>26</v>
      </c>
      <c r="C1442" s="7" t="s">
        <v>27</v>
      </c>
      <c r="D1442" s="7" t="s">
        <v>28</v>
      </c>
      <c r="E1442" s="7" t="s">
        <v>29</v>
      </c>
      <c r="F1442" s="7" t="s">
        <v>44</v>
      </c>
      <c r="G1442" s="7">
        <v>99.110579999999999</v>
      </c>
      <c r="H1442" s="7"/>
    </row>
    <row r="1443" spans="1:8" x14ac:dyDescent="0.35">
      <c r="A1443" s="7" t="s">
        <v>351</v>
      </c>
      <c r="B1443" s="7" t="s">
        <v>26</v>
      </c>
      <c r="C1443" s="7" t="s">
        <v>27</v>
      </c>
      <c r="D1443" s="7" t="s">
        <v>28</v>
      </c>
      <c r="E1443" s="7" t="s">
        <v>29</v>
      </c>
      <c r="F1443" s="7" t="s">
        <v>45</v>
      </c>
      <c r="G1443" s="7">
        <v>99.286990000000003</v>
      </c>
      <c r="H1443" s="7"/>
    </row>
    <row r="1444" spans="1:8" x14ac:dyDescent="0.35">
      <c r="A1444" s="7" t="s">
        <v>351</v>
      </c>
      <c r="B1444" s="7" t="s">
        <v>26</v>
      </c>
      <c r="C1444" s="7" t="s">
        <v>27</v>
      </c>
      <c r="D1444" s="7" t="s">
        <v>28</v>
      </c>
      <c r="E1444" s="7" t="s">
        <v>29</v>
      </c>
      <c r="F1444" s="7" t="s">
        <v>46</v>
      </c>
      <c r="G1444" s="7">
        <v>99.510930000000002</v>
      </c>
      <c r="H1444" s="7"/>
    </row>
    <row r="1445" spans="1:8" x14ac:dyDescent="0.35">
      <c r="A1445" s="7" t="s">
        <v>351</v>
      </c>
      <c r="B1445" s="7" t="s">
        <v>26</v>
      </c>
      <c r="C1445" s="7" t="s">
        <v>27</v>
      </c>
      <c r="D1445" s="7" t="s">
        <v>28</v>
      </c>
      <c r="E1445" s="7" t="s">
        <v>29</v>
      </c>
      <c r="F1445" s="7" t="s">
        <v>47</v>
      </c>
      <c r="G1445" s="7">
        <v>99.658069999999995</v>
      </c>
      <c r="H1445" s="7"/>
    </row>
    <row r="1446" spans="1:8" x14ac:dyDescent="0.35">
      <c r="A1446" s="7" t="s">
        <v>351</v>
      </c>
      <c r="B1446" s="7" t="s">
        <v>26</v>
      </c>
      <c r="C1446" s="7" t="s">
        <v>27</v>
      </c>
      <c r="D1446" s="7" t="s">
        <v>28</v>
      </c>
      <c r="E1446" s="7" t="s">
        <v>29</v>
      </c>
      <c r="F1446" s="7" t="s">
        <v>48</v>
      </c>
      <c r="G1446" s="7">
        <v>99.623589999999993</v>
      </c>
      <c r="H1446" s="7"/>
    </row>
    <row r="1447" spans="1:8" x14ac:dyDescent="0.35">
      <c r="A1447" s="7" t="s">
        <v>351</v>
      </c>
      <c r="B1447" s="7" t="s">
        <v>26</v>
      </c>
      <c r="C1447" s="7" t="s">
        <v>27</v>
      </c>
      <c r="D1447" s="7" t="s">
        <v>28</v>
      </c>
      <c r="E1447" s="7" t="s">
        <v>29</v>
      </c>
      <c r="F1447" s="7" t="s">
        <v>49</v>
      </c>
      <c r="G1447" s="7">
        <v>99.450360000000003</v>
      </c>
      <c r="H1447" s="7"/>
    </row>
    <row r="1448" spans="1:8" x14ac:dyDescent="0.35">
      <c r="A1448" s="7" t="s">
        <v>351</v>
      </c>
      <c r="B1448" s="7" t="s">
        <v>26</v>
      </c>
      <c r="C1448" s="7" t="s">
        <v>27</v>
      </c>
      <c r="D1448" s="7" t="s">
        <v>28</v>
      </c>
      <c r="E1448" s="7" t="s">
        <v>29</v>
      </c>
      <c r="F1448" s="7" t="s">
        <v>50</v>
      </c>
      <c r="G1448" s="7">
        <v>99.179850000000002</v>
      </c>
      <c r="H1448" s="7"/>
    </row>
    <row r="1449" spans="1:8" x14ac:dyDescent="0.35">
      <c r="A1449" s="7" t="s">
        <v>351</v>
      </c>
      <c r="B1449" s="7" t="s">
        <v>26</v>
      </c>
      <c r="C1449" s="7" t="s">
        <v>27</v>
      </c>
      <c r="D1449" s="7" t="s">
        <v>28</v>
      </c>
      <c r="E1449" s="7" t="s">
        <v>29</v>
      </c>
      <c r="F1449" s="7" t="s">
        <v>51</v>
      </c>
      <c r="G1449" s="7">
        <v>98.841740000000001</v>
      </c>
      <c r="H1449" s="7"/>
    </row>
    <row r="1450" spans="1:8" x14ac:dyDescent="0.35">
      <c r="A1450" s="7" t="s">
        <v>351</v>
      </c>
      <c r="B1450" s="7" t="s">
        <v>26</v>
      </c>
      <c r="C1450" s="7" t="s">
        <v>27</v>
      </c>
      <c r="D1450" s="7" t="s">
        <v>28</v>
      </c>
      <c r="E1450" s="7" t="s">
        <v>29</v>
      </c>
      <c r="F1450" s="7" t="s">
        <v>52</v>
      </c>
      <c r="G1450" s="7">
        <v>98.540779999999998</v>
      </c>
      <c r="H1450" s="7"/>
    </row>
    <row r="1451" spans="1:8" x14ac:dyDescent="0.35">
      <c r="A1451" s="7" t="s">
        <v>351</v>
      </c>
      <c r="B1451" s="7" t="s">
        <v>26</v>
      </c>
      <c r="C1451" s="7" t="s">
        <v>27</v>
      </c>
      <c r="D1451" s="7" t="s">
        <v>28</v>
      </c>
      <c r="E1451" s="7" t="s">
        <v>29</v>
      </c>
      <c r="F1451" s="7" t="s">
        <v>53</v>
      </c>
      <c r="G1451" s="7">
        <v>98.427750000000003</v>
      </c>
      <c r="H1451" s="7"/>
    </row>
    <row r="1452" spans="1:8" x14ac:dyDescent="0.35">
      <c r="A1452" s="7" t="s">
        <v>351</v>
      </c>
      <c r="B1452" s="7" t="s">
        <v>26</v>
      </c>
      <c r="C1452" s="7" t="s">
        <v>27</v>
      </c>
      <c r="D1452" s="7" t="s">
        <v>28</v>
      </c>
      <c r="E1452" s="7" t="s">
        <v>29</v>
      </c>
      <c r="F1452" s="7" t="s">
        <v>54</v>
      </c>
      <c r="G1452" s="7">
        <v>98.633099999999999</v>
      </c>
      <c r="H1452" s="7"/>
    </row>
    <row r="1453" spans="1:8" x14ac:dyDescent="0.35">
      <c r="A1453" s="7" t="s">
        <v>351</v>
      </c>
      <c r="B1453" s="7" t="s">
        <v>26</v>
      </c>
      <c r="C1453" s="7" t="s">
        <v>27</v>
      </c>
      <c r="D1453" s="7" t="s">
        <v>28</v>
      </c>
      <c r="E1453" s="7" t="s">
        <v>29</v>
      </c>
      <c r="F1453" s="7" t="s">
        <v>55</v>
      </c>
      <c r="G1453" s="7">
        <v>99.012810000000002</v>
      </c>
      <c r="H1453" s="7"/>
    </row>
    <row r="1454" spans="1:8" x14ac:dyDescent="0.35">
      <c r="A1454" s="7" t="s">
        <v>351</v>
      </c>
      <c r="B1454" s="7" t="s">
        <v>26</v>
      </c>
      <c r="C1454" s="7" t="s">
        <v>27</v>
      </c>
      <c r="D1454" s="7" t="s">
        <v>28</v>
      </c>
      <c r="E1454" s="7" t="s">
        <v>29</v>
      </c>
      <c r="F1454" s="7" t="s">
        <v>56</v>
      </c>
      <c r="G1454" s="7">
        <v>99.402019999999993</v>
      </c>
      <c r="H1454" s="7"/>
    </row>
    <row r="1455" spans="1:8" x14ac:dyDescent="0.35">
      <c r="A1455" s="7" t="s">
        <v>351</v>
      </c>
      <c r="B1455" s="7" t="s">
        <v>26</v>
      </c>
      <c r="C1455" s="7" t="s">
        <v>27</v>
      </c>
      <c r="D1455" s="7" t="s">
        <v>28</v>
      </c>
      <c r="E1455" s="7" t="s">
        <v>29</v>
      </c>
      <c r="F1455" s="7" t="s">
        <v>57</v>
      </c>
      <c r="G1455" s="7">
        <v>99.694400000000002</v>
      </c>
      <c r="H1455" s="7"/>
    </row>
    <row r="1456" spans="1:8" x14ac:dyDescent="0.35">
      <c r="A1456" s="7" t="s">
        <v>351</v>
      </c>
      <c r="B1456" s="7" t="s">
        <v>26</v>
      </c>
      <c r="C1456" s="7" t="s">
        <v>27</v>
      </c>
      <c r="D1456" s="7" t="s">
        <v>28</v>
      </c>
      <c r="E1456" s="7" t="s">
        <v>29</v>
      </c>
      <c r="F1456" s="7" t="s">
        <v>58</v>
      </c>
      <c r="G1456" s="7">
        <v>99.912030000000001</v>
      </c>
      <c r="H1456" s="7"/>
    </row>
    <row r="1457" spans="1:8" x14ac:dyDescent="0.35">
      <c r="A1457" s="7" t="s">
        <v>351</v>
      </c>
      <c r="B1457" s="7" t="s">
        <v>26</v>
      </c>
      <c r="C1457" s="7" t="s">
        <v>27</v>
      </c>
      <c r="D1457" s="7" t="s">
        <v>28</v>
      </c>
      <c r="E1457" s="7" t="s">
        <v>29</v>
      </c>
      <c r="F1457" s="7" t="s">
        <v>59</v>
      </c>
      <c r="G1457" s="7">
        <v>100.09650000000001</v>
      </c>
      <c r="H1457" s="7"/>
    </row>
    <row r="1458" spans="1:8" x14ac:dyDescent="0.35">
      <c r="A1458" s="7" t="s">
        <v>351</v>
      </c>
      <c r="B1458" s="7" t="s">
        <v>26</v>
      </c>
      <c r="C1458" s="7" t="s">
        <v>27</v>
      </c>
      <c r="D1458" s="7" t="s">
        <v>28</v>
      </c>
      <c r="E1458" s="7" t="s">
        <v>29</v>
      </c>
      <c r="F1458" s="7" t="s">
        <v>60</v>
      </c>
      <c r="G1458" s="7">
        <v>100.27500000000001</v>
      </c>
      <c r="H1458" s="7"/>
    </row>
    <row r="1459" spans="1:8" x14ac:dyDescent="0.35">
      <c r="A1459" s="7" t="s">
        <v>351</v>
      </c>
      <c r="B1459" s="7" t="s">
        <v>26</v>
      </c>
      <c r="C1459" s="7" t="s">
        <v>27</v>
      </c>
      <c r="D1459" s="7" t="s">
        <v>28</v>
      </c>
      <c r="E1459" s="7" t="s">
        <v>29</v>
      </c>
      <c r="F1459" s="7" t="s">
        <v>61</v>
      </c>
      <c r="G1459" s="7">
        <v>100.45950000000001</v>
      </c>
      <c r="H1459" s="7"/>
    </row>
    <row r="1460" spans="1:8" x14ac:dyDescent="0.35">
      <c r="A1460" s="7" t="s">
        <v>351</v>
      </c>
      <c r="B1460" s="7" t="s">
        <v>26</v>
      </c>
      <c r="C1460" s="7" t="s">
        <v>27</v>
      </c>
      <c r="D1460" s="7" t="s">
        <v>28</v>
      </c>
      <c r="E1460" s="7" t="s">
        <v>29</v>
      </c>
      <c r="F1460" s="7" t="s">
        <v>62</v>
      </c>
      <c r="G1460" s="7">
        <v>100.65170000000001</v>
      </c>
      <c r="H1460" s="7"/>
    </row>
    <row r="1461" spans="1:8" x14ac:dyDescent="0.35">
      <c r="A1461" s="7" t="s">
        <v>351</v>
      </c>
      <c r="B1461" s="7" t="s">
        <v>26</v>
      </c>
      <c r="C1461" s="7" t="s">
        <v>27</v>
      </c>
      <c r="D1461" s="7" t="s">
        <v>28</v>
      </c>
      <c r="E1461" s="7" t="s">
        <v>29</v>
      </c>
      <c r="F1461" s="7" t="s">
        <v>63</v>
      </c>
      <c r="G1461" s="7">
        <v>100.8424</v>
      </c>
      <c r="H1461" s="7"/>
    </row>
    <row r="1462" spans="1:8" x14ac:dyDescent="0.35">
      <c r="A1462" s="7" t="s">
        <v>351</v>
      </c>
      <c r="B1462" s="7" t="s">
        <v>26</v>
      </c>
      <c r="C1462" s="7" t="s">
        <v>27</v>
      </c>
      <c r="D1462" s="7" t="s">
        <v>28</v>
      </c>
      <c r="E1462" s="7" t="s">
        <v>29</v>
      </c>
      <c r="F1462" s="7" t="s">
        <v>64</v>
      </c>
      <c r="G1462" s="7">
        <v>101.0027</v>
      </c>
      <c r="H1462" s="7"/>
    </row>
    <row r="1463" spans="1:8" x14ac:dyDescent="0.35">
      <c r="A1463" s="7" t="s">
        <v>351</v>
      </c>
      <c r="B1463" s="7" t="s">
        <v>26</v>
      </c>
      <c r="C1463" s="7" t="s">
        <v>27</v>
      </c>
      <c r="D1463" s="7" t="s">
        <v>28</v>
      </c>
      <c r="E1463" s="7" t="s">
        <v>29</v>
      </c>
      <c r="F1463" s="7" t="s">
        <v>65</v>
      </c>
      <c r="G1463" s="7">
        <v>101.07680000000001</v>
      </c>
      <c r="H1463" s="7"/>
    </row>
    <row r="1464" spans="1:8" x14ac:dyDescent="0.35">
      <c r="A1464" s="7" t="s">
        <v>351</v>
      </c>
      <c r="B1464" s="7" t="s">
        <v>26</v>
      </c>
      <c r="C1464" s="7" t="s">
        <v>27</v>
      </c>
      <c r="D1464" s="7" t="s">
        <v>28</v>
      </c>
      <c r="E1464" s="7" t="s">
        <v>29</v>
      </c>
      <c r="F1464" s="7" t="s">
        <v>66</v>
      </c>
      <c r="G1464" s="7">
        <v>101.0057</v>
      </c>
      <c r="H1464" s="7"/>
    </row>
    <row r="1465" spans="1:8" x14ac:dyDescent="0.35">
      <c r="A1465" s="7" t="s">
        <v>351</v>
      </c>
      <c r="B1465" s="7" t="s">
        <v>26</v>
      </c>
      <c r="C1465" s="7" t="s">
        <v>27</v>
      </c>
      <c r="D1465" s="7" t="s">
        <v>28</v>
      </c>
      <c r="E1465" s="7" t="s">
        <v>29</v>
      </c>
      <c r="F1465" s="7" t="s">
        <v>67</v>
      </c>
      <c r="G1465" s="7">
        <v>100.8364</v>
      </c>
      <c r="H1465" s="7"/>
    </row>
    <row r="1466" spans="1:8" x14ac:dyDescent="0.35">
      <c r="A1466" s="7" t="s">
        <v>351</v>
      </c>
      <c r="B1466" s="7" t="s">
        <v>26</v>
      </c>
      <c r="C1466" s="7" t="s">
        <v>27</v>
      </c>
      <c r="D1466" s="7" t="s">
        <v>28</v>
      </c>
      <c r="E1466" s="7" t="s">
        <v>29</v>
      </c>
      <c r="F1466" s="7" t="s">
        <v>68</v>
      </c>
      <c r="G1466" s="7">
        <v>100.60939999999999</v>
      </c>
      <c r="H1466" s="7"/>
    </row>
    <row r="1467" spans="1:8" x14ac:dyDescent="0.35">
      <c r="A1467" s="7" t="s">
        <v>351</v>
      </c>
      <c r="B1467" s="7" t="s">
        <v>26</v>
      </c>
      <c r="C1467" s="7" t="s">
        <v>27</v>
      </c>
      <c r="D1467" s="7" t="s">
        <v>28</v>
      </c>
      <c r="E1467" s="7" t="s">
        <v>29</v>
      </c>
      <c r="F1467" s="7" t="s">
        <v>69</v>
      </c>
      <c r="G1467" s="7">
        <v>100.3446</v>
      </c>
      <c r="H1467" s="7"/>
    </row>
    <row r="1468" spans="1:8" x14ac:dyDescent="0.35">
      <c r="A1468" s="7" t="s">
        <v>351</v>
      </c>
      <c r="B1468" s="7" t="s">
        <v>26</v>
      </c>
      <c r="C1468" s="7" t="s">
        <v>27</v>
      </c>
      <c r="D1468" s="7" t="s">
        <v>28</v>
      </c>
      <c r="E1468" s="7" t="s">
        <v>29</v>
      </c>
      <c r="F1468" s="7" t="s">
        <v>70</v>
      </c>
      <c r="G1468" s="7">
        <v>100.08450000000001</v>
      </c>
      <c r="H1468" s="7"/>
    </row>
    <row r="1469" spans="1:8" x14ac:dyDescent="0.35">
      <c r="A1469" s="7" t="s">
        <v>351</v>
      </c>
      <c r="B1469" s="7" t="s">
        <v>26</v>
      </c>
      <c r="C1469" s="7" t="s">
        <v>27</v>
      </c>
      <c r="D1469" s="7" t="s">
        <v>28</v>
      </c>
      <c r="E1469" s="7" t="s">
        <v>29</v>
      </c>
      <c r="F1469" s="7" t="s">
        <v>71</v>
      </c>
      <c r="G1469" s="7">
        <v>99.883709999999994</v>
      </c>
      <c r="H1469" s="7"/>
    </row>
    <row r="1470" spans="1:8" x14ac:dyDescent="0.35">
      <c r="A1470" s="7" t="s">
        <v>351</v>
      </c>
      <c r="B1470" s="7" t="s">
        <v>26</v>
      </c>
      <c r="C1470" s="7" t="s">
        <v>27</v>
      </c>
      <c r="D1470" s="7" t="s">
        <v>28</v>
      </c>
      <c r="E1470" s="7" t="s">
        <v>29</v>
      </c>
      <c r="F1470" s="7" t="s">
        <v>72</v>
      </c>
      <c r="G1470" s="7">
        <v>99.793570000000003</v>
      </c>
      <c r="H1470" s="7"/>
    </row>
    <row r="1471" spans="1:8" x14ac:dyDescent="0.35">
      <c r="A1471" s="7" t="s">
        <v>351</v>
      </c>
      <c r="B1471" s="7" t="s">
        <v>26</v>
      </c>
      <c r="C1471" s="7" t="s">
        <v>27</v>
      </c>
      <c r="D1471" s="7" t="s">
        <v>28</v>
      </c>
      <c r="E1471" s="7" t="s">
        <v>29</v>
      </c>
      <c r="F1471" s="7" t="s">
        <v>73</v>
      </c>
      <c r="G1471" s="7">
        <v>99.787530000000004</v>
      </c>
      <c r="H1471" s="7"/>
    </row>
    <row r="1472" spans="1:8" x14ac:dyDescent="0.35">
      <c r="A1472" s="7" t="s">
        <v>351</v>
      </c>
      <c r="B1472" s="7" t="s">
        <v>26</v>
      </c>
      <c r="C1472" s="7" t="s">
        <v>27</v>
      </c>
      <c r="D1472" s="7" t="s">
        <v>28</v>
      </c>
      <c r="E1472" s="7" t="s">
        <v>29</v>
      </c>
      <c r="F1472" s="7" t="s">
        <v>74</v>
      </c>
      <c r="G1472" s="7">
        <v>99.851209999999995</v>
      </c>
      <c r="H1472" s="7"/>
    </row>
    <row r="1473" spans="1:8" x14ac:dyDescent="0.35">
      <c r="A1473" s="7" t="s">
        <v>351</v>
      </c>
      <c r="B1473" s="7" t="s">
        <v>26</v>
      </c>
      <c r="C1473" s="7" t="s">
        <v>27</v>
      </c>
      <c r="D1473" s="7" t="s">
        <v>28</v>
      </c>
      <c r="E1473" s="7" t="s">
        <v>29</v>
      </c>
      <c r="F1473" s="7" t="s">
        <v>75</v>
      </c>
      <c r="G1473" s="7">
        <v>99.988560000000007</v>
      </c>
      <c r="H1473" s="7"/>
    </row>
    <row r="1474" spans="1:8" x14ac:dyDescent="0.35">
      <c r="A1474" s="7" t="s">
        <v>351</v>
      </c>
      <c r="B1474" s="7" t="s">
        <v>26</v>
      </c>
      <c r="C1474" s="7" t="s">
        <v>27</v>
      </c>
      <c r="D1474" s="7" t="s">
        <v>28</v>
      </c>
      <c r="E1474" s="7" t="s">
        <v>29</v>
      </c>
      <c r="F1474" s="7" t="s">
        <v>76</v>
      </c>
      <c r="G1474" s="7">
        <v>100.1581</v>
      </c>
      <c r="H1474" s="7"/>
    </row>
    <row r="1475" spans="1:8" x14ac:dyDescent="0.35">
      <c r="A1475" s="7" t="s">
        <v>351</v>
      </c>
      <c r="B1475" s="7" t="s">
        <v>26</v>
      </c>
      <c r="C1475" s="7" t="s">
        <v>27</v>
      </c>
      <c r="D1475" s="7" t="s">
        <v>28</v>
      </c>
      <c r="E1475" s="7" t="s">
        <v>29</v>
      </c>
      <c r="F1475" s="7" t="s">
        <v>77</v>
      </c>
      <c r="G1475" s="7">
        <v>100.31910000000001</v>
      </c>
      <c r="H1475" s="7"/>
    </row>
    <row r="1476" spans="1:8" x14ac:dyDescent="0.35">
      <c r="A1476" s="7" t="s">
        <v>351</v>
      </c>
      <c r="B1476" s="7" t="s">
        <v>26</v>
      </c>
      <c r="C1476" s="7" t="s">
        <v>27</v>
      </c>
      <c r="D1476" s="7" t="s">
        <v>28</v>
      </c>
      <c r="E1476" s="7" t="s">
        <v>29</v>
      </c>
      <c r="F1476" s="7" t="s">
        <v>78</v>
      </c>
      <c r="G1476" s="7">
        <v>100.446</v>
      </c>
      <c r="H1476" s="7"/>
    </row>
    <row r="1477" spans="1:8" x14ac:dyDescent="0.35">
      <c r="A1477" s="7" t="s">
        <v>351</v>
      </c>
      <c r="B1477" s="7" t="s">
        <v>26</v>
      </c>
      <c r="C1477" s="7" t="s">
        <v>27</v>
      </c>
      <c r="D1477" s="7" t="s">
        <v>28</v>
      </c>
      <c r="E1477" s="7" t="s">
        <v>29</v>
      </c>
      <c r="F1477" s="7" t="s">
        <v>79</v>
      </c>
      <c r="G1477" s="7">
        <v>100.5506</v>
      </c>
      <c r="H1477" s="7"/>
    </row>
    <row r="1478" spans="1:8" x14ac:dyDescent="0.35">
      <c r="A1478" s="7" t="s">
        <v>351</v>
      </c>
      <c r="B1478" s="7" t="s">
        <v>26</v>
      </c>
      <c r="C1478" s="7" t="s">
        <v>27</v>
      </c>
      <c r="D1478" s="7" t="s">
        <v>28</v>
      </c>
      <c r="E1478" s="7" t="s">
        <v>29</v>
      </c>
      <c r="F1478" s="7" t="s">
        <v>80</v>
      </c>
      <c r="G1478" s="7">
        <v>100.6469</v>
      </c>
      <c r="H1478" s="7"/>
    </row>
    <row r="1479" spans="1:8" x14ac:dyDescent="0.35">
      <c r="A1479" s="7" t="s">
        <v>351</v>
      </c>
      <c r="B1479" s="7" t="s">
        <v>26</v>
      </c>
      <c r="C1479" s="7" t="s">
        <v>27</v>
      </c>
      <c r="D1479" s="7" t="s">
        <v>28</v>
      </c>
      <c r="E1479" s="7" t="s">
        <v>29</v>
      </c>
      <c r="F1479" s="7" t="s">
        <v>81</v>
      </c>
      <c r="G1479" s="7">
        <v>100.739</v>
      </c>
      <c r="H1479" s="7"/>
    </row>
    <row r="1480" spans="1:8" x14ac:dyDescent="0.35">
      <c r="A1480" s="7" t="s">
        <v>351</v>
      </c>
      <c r="B1480" s="7" t="s">
        <v>26</v>
      </c>
      <c r="C1480" s="7" t="s">
        <v>27</v>
      </c>
      <c r="D1480" s="7" t="s">
        <v>28</v>
      </c>
      <c r="E1480" s="7" t="s">
        <v>29</v>
      </c>
      <c r="F1480" s="7" t="s">
        <v>82</v>
      </c>
      <c r="G1480" s="7">
        <v>100.8159</v>
      </c>
      <c r="H1480" s="7"/>
    </row>
    <row r="1481" spans="1:8" x14ac:dyDescent="0.35">
      <c r="A1481" s="7" t="s">
        <v>351</v>
      </c>
      <c r="B1481" s="7" t="s">
        <v>26</v>
      </c>
      <c r="C1481" s="7" t="s">
        <v>27</v>
      </c>
      <c r="D1481" s="7" t="s">
        <v>28</v>
      </c>
      <c r="E1481" s="7" t="s">
        <v>29</v>
      </c>
      <c r="F1481" s="7" t="s">
        <v>83</v>
      </c>
      <c r="G1481" s="7">
        <v>100.8516</v>
      </c>
      <c r="H1481" s="7"/>
    </row>
    <row r="1482" spans="1:8" x14ac:dyDescent="0.35">
      <c r="A1482" s="7" t="s">
        <v>351</v>
      </c>
      <c r="B1482" s="7" t="s">
        <v>26</v>
      </c>
      <c r="C1482" s="7" t="s">
        <v>27</v>
      </c>
      <c r="D1482" s="7" t="s">
        <v>28</v>
      </c>
      <c r="E1482" s="7" t="s">
        <v>29</v>
      </c>
      <c r="F1482" s="7" t="s">
        <v>84</v>
      </c>
      <c r="G1482" s="7">
        <v>100.8197</v>
      </c>
      <c r="H1482" s="7"/>
    </row>
    <row r="1483" spans="1:8" x14ac:dyDescent="0.35">
      <c r="A1483" s="7" t="s">
        <v>351</v>
      </c>
      <c r="B1483" s="7" t="s">
        <v>26</v>
      </c>
      <c r="C1483" s="7" t="s">
        <v>27</v>
      </c>
      <c r="D1483" s="7" t="s">
        <v>28</v>
      </c>
      <c r="E1483" s="7" t="s">
        <v>29</v>
      </c>
      <c r="F1483" s="7" t="s">
        <v>85</v>
      </c>
      <c r="G1483" s="7">
        <v>100.7499</v>
      </c>
      <c r="H1483" s="7"/>
    </row>
    <row r="1484" spans="1:8" x14ac:dyDescent="0.35">
      <c r="A1484" s="7" t="s">
        <v>351</v>
      </c>
      <c r="B1484" s="7" t="s">
        <v>26</v>
      </c>
      <c r="C1484" s="7" t="s">
        <v>27</v>
      </c>
      <c r="D1484" s="7" t="s">
        <v>28</v>
      </c>
      <c r="E1484" s="7" t="s">
        <v>29</v>
      </c>
      <c r="F1484" s="7" t="s">
        <v>86</v>
      </c>
      <c r="G1484" s="7">
        <v>100.66759999999999</v>
      </c>
      <c r="H1484" s="7"/>
    </row>
    <row r="1485" spans="1:8" x14ac:dyDescent="0.35">
      <c r="A1485" s="7" t="s">
        <v>351</v>
      </c>
      <c r="B1485" s="7" t="s">
        <v>26</v>
      </c>
      <c r="C1485" s="7" t="s">
        <v>27</v>
      </c>
      <c r="D1485" s="7" t="s">
        <v>28</v>
      </c>
      <c r="E1485" s="7" t="s">
        <v>29</v>
      </c>
      <c r="F1485" s="7" t="s">
        <v>87</v>
      </c>
      <c r="G1485" s="7">
        <v>100.57250000000001</v>
      </c>
      <c r="H1485" s="7"/>
    </row>
    <row r="1486" spans="1:8" x14ac:dyDescent="0.35">
      <c r="A1486" s="7" t="s">
        <v>351</v>
      </c>
      <c r="B1486" s="7" t="s">
        <v>26</v>
      </c>
      <c r="C1486" s="7" t="s">
        <v>27</v>
      </c>
      <c r="D1486" s="7" t="s">
        <v>28</v>
      </c>
      <c r="E1486" s="7" t="s">
        <v>29</v>
      </c>
      <c r="F1486" s="7" t="s">
        <v>88</v>
      </c>
      <c r="G1486" s="7">
        <v>100.4285</v>
      </c>
      <c r="H1486" s="7"/>
    </row>
    <row r="1487" spans="1:8" x14ac:dyDescent="0.35">
      <c r="A1487" s="7" t="s">
        <v>351</v>
      </c>
      <c r="B1487" s="7" t="s">
        <v>26</v>
      </c>
      <c r="C1487" s="7" t="s">
        <v>27</v>
      </c>
      <c r="D1487" s="7" t="s">
        <v>28</v>
      </c>
      <c r="E1487" s="7" t="s">
        <v>29</v>
      </c>
      <c r="F1487" s="7" t="s">
        <v>89</v>
      </c>
      <c r="G1487" s="7">
        <v>100.1674</v>
      </c>
      <c r="H1487" s="7"/>
    </row>
    <row r="1488" spans="1:8" x14ac:dyDescent="0.35">
      <c r="A1488" s="7" t="s">
        <v>351</v>
      </c>
      <c r="B1488" s="7" t="s">
        <v>26</v>
      </c>
      <c r="C1488" s="7" t="s">
        <v>27</v>
      </c>
      <c r="D1488" s="7" t="s">
        <v>28</v>
      </c>
      <c r="E1488" s="7" t="s">
        <v>29</v>
      </c>
      <c r="F1488" s="7" t="s">
        <v>90</v>
      </c>
      <c r="G1488" s="7">
        <v>99.740979999999993</v>
      </c>
      <c r="H1488" s="7"/>
    </row>
    <row r="1489" spans="1:8" x14ac:dyDescent="0.35">
      <c r="A1489" s="7" t="s">
        <v>351</v>
      </c>
      <c r="B1489" s="7" t="s">
        <v>26</v>
      </c>
      <c r="C1489" s="7" t="s">
        <v>27</v>
      </c>
      <c r="D1489" s="7" t="s">
        <v>28</v>
      </c>
      <c r="E1489" s="7" t="s">
        <v>29</v>
      </c>
      <c r="F1489" s="7" t="s">
        <v>91</v>
      </c>
      <c r="G1489" s="7">
        <v>99.290210000000002</v>
      </c>
      <c r="H1489" s="7"/>
    </row>
    <row r="1490" spans="1:8" x14ac:dyDescent="0.35">
      <c r="A1490" s="7" t="s">
        <v>351</v>
      </c>
      <c r="B1490" s="7" t="s">
        <v>26</v>
      </c>
      <c r="C1490" s="7" t="s">
        <v>27</v>
      </c>
      <c r="D1490" s="7" t="s">
        <v>28</v>
      </c>
      <c r="E1490" s="7" t="s">
        <v>29</v>
      </c>
      <c r="F1490" s="7" t="s">
        <v>92</v>
      </c>
      <c r="G1490" s="7">
        <v>99.020870000000002</v>
      </c>
      <c r="H1490" s="7"/>
    </row>
    <row r="1491" spans="1:8" x14ac:dyDescent="0.35">
      <c r="A1491" s="7" t="s">
        <v>351</v>
      </c>
      <c r="B1491" s="7" t="s">
        <v>26</v>
      </c>
      <c r="C1491" s="7" t="s">
        <v>27</v>
      </c>
      <c r="D1491" s="7" t="s">
        <v>28</v>
      </c>
      <c r="E1491" s="7" t="s">
        <v>29</v>
      </c>
      <c r="F1491" s="7" t="s">
        <v>93</v>
      </c>
      <c r="G1491" s="7">
        <v>99.10351</v>
      </c>
      <c r="H1491" s="7"/>
    </row>
    <row r="1492" spans="1:8" x14ac:dyDescent="0.35">
      <c r="A1492" s="7" t="s">
        <v>351</v>
      </c>
      <c r="B1492" s="7" t="s">
        <v>26</v>
      </c>
      <c r="C1492" s="7" t="s">
        <v>27</v>
      </c>
      <c r="D1492" s="7" t="s">
        <v>28</v>
      </c>
      <c r="E1492" s="7" t="s">
        <v>29</v>
      </c>
      <c r="F1492" s="7" t="s">
        <v>94</v>
      </c>
      <c r="G1492" s="7">
        <v>99.391919999999999</v>
      </c>
      <c r="H1492" s="7"/>
    </row>
    <row r="1493" spans="1:8" x14ac:dyDescent="0.35">
      <c r="A1493" s="7" t="s">
        <v>351</v>
      </c>
      <c r="B1493" s="7" t="s">
        <v>26</v>
      </c>
      <c r="C1493" s="7" t="s">
        <v>27</v>
      </c>
      <c r="D1493" s="7" t="s">
        <v>28</v>
      </c>
      <c r="E1493" s="7" t="s">
        <v>29</v>
      </c>
      <c r="F1493" s="7" t="s">
        <v>95</v>
      </c>
      <c r="G1493" s="7">
        <v>99.707700000000003</v>
      </c>
      <c r="H1493" s="7"/>
    </row>
    <row r="1494" spans="1:8" x14ac:dyDescent="0.35">
      <c r="A1494" s="7" t="s">
        <v>351</v>
      </c>
      <c r="B1494" s="7" t="s">
        <v>26</v>
      </c>
      <c r="C1494" s="7" t="s">
        <v>27</v>
      </c>
      <c r="D1494" s="7" t="s">
        <v>28</v>
      </c>
      <c r="E1494" s="7" t="s">
        <v>29</v>
      </c>
      <c r="F1494" s="7" t="s">
        <v>96</v>
      </c>
      <c r="G1494" s="7">
        <v>99.919110000000003</v>
      </c>
      <c r="H1494" s="7"/>
    </row>
    <row r="1495" spans="1:8" x14ac:dyDescent="0.35">
      <c r="A1495" s="7" t="s">
        <v>351</v>
      </c>
      <c r="B1495" s="7" t="s">
        <v>26</v>
      </c>
      <c r="C1495" s="7" t="s">
        <v>27</v>
      </c>
      <c r="D1495" s="7" t="s">
        <v>28</v>
      </c>
      <c r="E1495" s="7" t="s">
        <v>29</v>
      </c>
      <c r="F1495" s="7" t="s">
        <v>97</v>
      </c>
      <c r="G1495" s="7">
        <v>99.992490000000004</v>
      </c>
      <c r="H1495" s="7"/>
    </row>
    <row r="1496" spans="1:8" x14ac:dyDescent="0.35">
      <c r="A1496" s="7" t="s">
        <v>351</v>
      </c>
      <c r="B1496" s="7" t="s">
        <v>26</v>
      </c>
      <c r="C1496" s="7" t="s">
        <v>27</v>
      </c>
      <c r="D1496" s="7" t="s">
        <v>28</v>
      </c>
      <c r="E1496" s="7" t="s">
        <v>29</v>
      </c>
      <c r="F1496" s="7" t="s">
        <v>98</v>
      </c>
      <c r="G1496" s="7">
        <v>99.872690000000006</v>
      </c>
      <c r="H1496" s="7"/>
    </row>
    <row r="1497" spans="1:8" x14ac:dyDescent="0.35">
      <c r="A1497" s="7" t="s">
        <v>351</v>
      </c>
      <c r="B1497" s="7" t="s">
        <v>26</v>
      </c>
      <c r="C1497" s="7" t="s">
        <v>27</v>
      </c>
      <c r="D1497" s="7" t="s">
        <v>28</v>
      </c>
      <c r="E1497" s="7" t="s">
        <v>29</v>
      </c>
      <c r="F1497" s="7" t="s">
        <v>99</v>
      </c>
      <c r="G1497" s="7">
        <v>99.501499999999993</v>
      </c>
      <c r="H1497" s="7"/>
    </row>
    <row r="1498" spans="1:8" x14ac:dyDescent="0.35">
      <c r="A1498" s="7" t="s">
        <v>351</v>
      </c>
      <c r="B1498" s="7" t="s">
        <v>26</v>
      </c>
      <c r="C1498" s="7" t="s">
        <v>27</v>
      </c>
      <c r="D1498" s="7" t="s">
        <v>28</v>
      </c>
      <c r="E1498" s="7" t="s">
        <v>29</v>
      </c>
      <c r="F1498" s="7" t="s">
        <v>100</v>
      </c>
      <c r="G1498" s="7">
        <v>99.029240000000001</v>
      </c>
      <c r="H1498" s="7"/>
    </row>
    <row r="1499" spans="1:8" x14ac:dyDescent="0.35">
      <c r="A1499" s="7" t="s">
        <v>351</v>
      </c>
      <c r="B1499" s="7" t="s">
        <v>26</v>
      </c>
      <c r="C1499" s="7" t="s">
        <v>27</v>
      </c>
      <c r="D1499" s="7" t="s">
        <v>28</v>
      </c>
      <c r="E1499" s="7" t="s">
        <v>29</v>
      </c>
      <c r="F1499" s="7" t="s">
        <v>101</v>
      </c>
      <c r="G1499" s="7">
        <v>98.635069999999999</v>
      </c>
      <c r="H1499" s="7"/>
    </row>
    <row r="1500" spans="1:8" x14ac:dyDescent="0.35">
      <c r="A1500" s="7" t="s">
        <v>351</v>
      </c>
      <c r="B1500" s="7" t="s">
        <v>26</v>
      </c>
      <c r="C1500" s="7" t="s">
        <v>27</v>
      </c>
      <c r="D1500" s="7" t="s">
        <v>28</v>
      </c>
      <c r="E1500" s="7" t="s">
        <v>29</v>
      </c>
      <c r="F1500" s="7" t="s">
        <v>102</v>
      </c>
      <c r="G1500" s="7">
        <v>98.448490000000007</v>
      </c>
      <c r="H1500" s="7"/>
    </row>
    <row r="1501" spans="1:8" x14ac:dyDescent="0.35">
      <c r="A1501" s="7" t="s">
        <v>351</v>
      </c>
      <c r="B1501" s="7" t="s">
        <v>26</v>
      </c>
      <c r="C1501" s="7" t="s">
        <v>27</v>
      </c>
      <c r="D1501" s="7" t="s">
        <v>28</v>
      </c>
      <c r="E1501" s="7" t="s">
        <v>29</v>
      </c>
      <c r="F1501" s="7" t="s">
        <v>103</v>
      </c>
      <c r="G1501" s="7">
        <v>98.392600000000002</v>
      </c>
      <c r="H1501" s="7"/>
    </row>
    <row r="1502" spans="1:8" x14ac:dyDescent="0.35">
      <c r="A1502" s="7" t="s">
        <v>351</v>
      </c>
      <c r="B1502" s="7" t="s">
        <v>26</v>
      </c>
      <c r="C1502" s="7" t="s">
        <v>27</v>
      </c>
      <c r="D1502" s="7" t="s">
        <v>28</v>
      </c>
      <c r="E1502" s="7" t="s">
        <v>29</v>
      </c>
      <c r="F1502" s="7" t="s">
        <v>104</v>
      </c>
      <c r="G1502" s="7">
        <v>98.370639999999995</v>
      </c>
      <c r="H1502" s="7"/>
    </row>
    <row r="1503" spans="1:8" x14ac:dyDescent="0.35">
      <c r="A1503" s="7" t="s">
        <v>351</v>
      </c>
      <c r="B1503" s="7" t="s">
        <v>26</v>
      </c>
      <c r="C1503" s="7" t="s">
        <v>27</v>
      </c>
      <c r="D1503" s="7" t="s">
        <v>28</v>
      </c>
      <c r="E1503" s="7" t="s">
        <v>29</v>
      </c>
      <c r="F1503" s="7" t="s">
        <v>105</v>
      </c>
      <c r="G1503" s="7">
        <v>98.321979999999996</v>
      </c>
      <c r="H1503" s="7"/>
    </row>
    <row r="1504" spans="1:8" x14ac:dyDescent="0.35">
      <c r="A1504" s="7" t="s">
        <v>351</v>
      </c>
      <c r="B1504" s="7" t="s">
        <v>26</v>
      </c>
      <c r="C1504" s="7" t="s">
        <v>27</v>
      </c>
      <c r="D1504" s="7" t="s">
        <v>28</v>
      </c>
      <c r="E1504" s="7" t="s">
        <v>29</v>
      </c>
      <c r="F1504" s="7" t="s">
        <v>106</v>
      </c>
      <c r="G1504" s="7">
        <v>98.244</v>
      </c>
      <c r="H1504" s="7"/>
    </row>
    <row r="1505" spans="1:8" x14ac:dyDescent="0.35">
      <c r="A1505" s="7" t="s">
        <v>351</v>
      </c>
      <c r="B1505" s="7" t="s">
        <v>26</v>
      </c>
      <c r="C1505" s="7" t="s">
        <v>27</v>
      </c>
      <c r="D1505" s="7" t="s">
        <v>28</v>
      </c>
      <c r="E1505" s="7" t="s">
        <v>29</v>
      </c>
      <c r="F1505" s="7" t="s">
        <v>107</v>
      </c>
      <c r="G1505" s="7">
        <v>98.148960000000002</v>
      </c>
      <c r="H1505" s="7"/>
    </row>
    <row r="1506" spans="1:8" x14ac:dyDescent="0.35">
      <c r="A1506" s="7" t="s">
        <v>351</v>
      </c>
      <c r="B1506" s="7" t="s">
        <v>26</v>
      </c>
      <c r="C1506" s="7" t="s">
        <v>27</v>
      </c>
      <c r="D1506" s="7" t="s">
        <v>28</v>
      </c>
      <c r="E1506" s="7" t="s">
        <v>29</v>
      </c>
      <c r="F1506" s="7" t="s">
        <v>108</v>
      </c>
      <c r="G1506" s="7">
        <v>98.050250000000005</v>
      </c>
      <c r="H1506" s="7"/>
    </row>
    <row r="1507" spans="1:8" x14ac:dyDescent="0.35">
      <c r="A1507" s="7" t="s">
        <v>351</v>
      </c>
      <c r="B1507" s="7" t="s">
        <v>26</v>
      </c>
      <c r="C1507" s="7" t="s">
        <v>27</v>
      </c>
      <c r="D1507" s="7" t="s">
        <v>28</v>
      </c>
      <c r="E1507" s="7" t="s">
        <v>29</v>
      </c>
      <c r="F1507" s="7" t="s">
        <v>109</v>
      </c>
      <c r="G1507" s="7">
        <v>97.965479999999999</v>
      </c>
      <c r="H1507" s="7"/>
    </row>
    <row r="1508" spans="1:8" x14ac:dyDescent="0.35">
      <c r="A1508" s="7" t="s">
        <v>351</v>
      </c>
      <c r="B1508" s="7" t="s">
        <v>26</v>
      </c>
      <c r="C1508" s="7" t="s">
        <v>27</v>
      </c>
      <c r="D1508" s="7" t="s">
        <v>28</v>
      </c>
      <c r="E1508" s="7" t="s">
        <v>29</v>
      </c>
      <c r="F1508" s="7" t="s">
        <v>110</v>
      </c>
      <c r="G1508" s="7">
        <v>97.923500000000004</v>
      </c>
      <c r="H1508" s="7"/>
    </row>
    <row r="1509" spans="1:8" x14ac:dyDescent="0.35">
      <c r="A1509" s="7" t="s">
        <v>351</v>
      </c>
      <c r="B1509" s="7" t="s">
        <v>26</v>
      </c>
      <c r="C1509" s="7" t="s">
        <v>27</v>
      </c>
      <c r="D1509" s="7" t="s">
        <v>28</v>
      </c>
      <c r="E1509" s="7" t="s">
        <v>29</v>
      </c>
      <c r="F1509" s="7" t="s">
        <v>111</v>
      </c>
      <c r="G1509" s="7">
        <v>97.957300000000004</v>
      </c>
      <c r="H1509" s="7"/>
    </row>
    <row r="1510" spans="1:8" x14ac:dyDescent="0.35">
      <c r="A1510" s="7" t="s">
        <v>351</v>
      </c>
      <c r="B1510" s="7" t="s">
        <v>26</v>
      </c>
      <c r="C1510" s="7" t="s">
        <v>27</v>
      </c>
      <c r="D1510" s="7" t="s">
        <v>28</v>
      </c>
      <c r="E1510" s="7" t="s">
        <v>29</v>
      </c>
      <c r="F1510" s="7" t="s">
        <v>112</v>
      </c>
      <c r="G1510" s="7">
        <v>98.054199999999994</v>
      </c>
      <c r="H1510" s="7"/>
    </row>
    <row r="1511" spans="1:8" x14ac:dyDescent="0.35">
      <c r="A1511" s="7" t="s">
        <v>351</v>
      </c>
      <c r="B1511" s="7" t="s">
        <v>26</v>
      </c>
      <c r="C1511" s="7" t="s">
        <v>27</v>
      </c>
      <c r="D1511" s="7" t="s">
        <v>28</v>
      </c>
      <c r="E1511" s="7" t="s">
        <v>29</v>
      </c>
      <c r="F1511" s="7" t="s">
        <v>113</v>
      </c>
      <c r="G1511" s="7">
        <v>98.213859999999997</v>
      </c>
      <c r="H1511" s="7"/>
    </row>
    <row r="1512" spans="1:8" x14ac:dyDescent="0.35">
      <c r="A1512" s="7" t="s">
        <v>351</v>
      </c>
      <c r="B1512" s="7" t="s">
        <v>26</v>
      </c>
      <c r="C1512" s="7" t="s">
        <v>27</v>
      </c>
      <c r="D1512" s="7" t="s">
        <v>28</v>
      </c>
      <c r="E1512" s="7" t="s">
        <v>29</v>
      </c>
      <c r="F1512" s="7" t="s">
        <v>114</v>
      </c>
      <c r="G1512" s="7">
        <v>98.443200000000004</v>
      </c>
      <c r="H1512" s="7"/>
    </row>
    <row r="1513" spans="1:8" x14ac:dyDescent="0.35">
      <c r="A1513" s="7" t="s">
        <v>351</v>
      </c>
      <c r="B1513" s="7" t="s">
        <v>26</v>
      </c>
      <c r="C1513" s="7" t="s">
        <v>27</v>
      </c>
      <c r="D1513" s="7" t="s">
        <v>28</v>
      </c>
      <c r="E1513" s="7" t="s">
        <v>29</v>
      </c>
      <c r="F1513" s="7" t="s">
        <v>115</v>
      </c>
      <c r="G1513" s="7">
        <v>98.688519999999997</v>
      </c>
      <c r="H1513" s="7"/>
    </row>
    <row r="1514" spans="1:8" x14ac:dyDescent="0.35">
      <c r="A1514" s="7" t="s">
        <v>351</v>
      </c>
      <c r="B1514" s="7" t="s">
        <v>26</v>
      </c>
      <c r="C1514" s="7" t="s">
        <v>27</v>
      </c>
      <c r="D1514" s="7" t="s">
        <v>28</v>
      </c>
      <c r="E1514" s="7" t="s">
        <v>29</v>
      </c>
      <c r="F1514" s="7" t="s">
        <v>116</v>
      </c>
      <c r="G1514" s="7">
        <v>98.881609999999995</v>
      </c>
      <c r="H1514" s="7"/>
    </row>
    <row r="1515" spans="1:8" x14ac:dyDescent="0.35">
      <c r="A1515" s="7" t="s">
        <v>351</v>
      </c>
      <c r="B1515" s="7" t="s">
        <v>26</v>
      </c>
      <c r="C1515" s="7" t="s">
        <v>27</v>
      </c>
      <c r="D1515" s="7" t="s">
        <v>28</v>
      </c>
      <c r="E1515" s="7" t="s">
        <v>29</v>
      </c>
      <c r="F1515" s="7" t="s">
        <v>117</v>
      </c>
      <c r="G1515" s="7">
        <v>98.969809999999995</v>
      </c>
      <c r="H1515" s="7"/>
    </row>
    <row r="1516" spans="1:8" x14ac:dyDescent="0.35">
      <c r="A1516" s="7" t="s">
        <v>351</v>
      </c>
      <c r="B1516" s="7" t="s">
        <v>26</v>
      </c>
      <c r="C1516" s="7" t="s">
        <v>27</v>
      </c>
      <c r="D1516" s="7" t="s">
        <v>28</v>
      </c>
      <c r="E1516" s="7" t="s">
        <v>29</v>
      </c>
      <c r="F1516" s="7" t="s">
        <v>118</v>
      </c>
      <c r="G1516" s="7">
        <v>98.998419999999996</v>
      </c>
      <c r="H1516" s="7"/>
    </row>
    <row r="1517" spans="1:8" x14ac:dyDescent="0.35">
      <c r="A1517" s="7" t="s">
        <v>351</v>
      </c>
      <c r="B1517" s="7" t="s">
        <v>26</v>
      </c>
      <c r="C1517" s="7" t="s">
        <v>27</v>
      </c>
      <c r="D1517" s="7" t="s">
        <v>28</v>
      </c>
      <c r="E1517" s="7" t="s">
        <v>29</v>
      </c>
      <c r="F1517" s="7" t="s">
        <v>119</v>
      </c>
      <c r="G1517" s="7">
        <v>99.022440000000003</v>
      </c>
      <c r="H1517" s="7"/>
    </row>
    <row r="1518" spans="1:8" x14ac:dyDescent="0.35">
      <c r="A1518" s="7" t="s">
        <v>351</v>
      </c>
      <c r="B1518" s="7" t="s">
        <v>26</v>
      </c>
      <c r="C1518" s="7" t="s">
        <v>27</v>
      </c>
      <c r="D1518" s="7" t="s">
        <v>28</v>
      </c>
      <c r="E1518" s="7" t="s">
        <v>29</v>
      </c>
      <c r="F1518" s="7" t="s">
        <v>120</v>
      </c>
      <c r="G1518" s="7">
        <v>99.077969999999993</v>
      </c>
      <c r="H1518" s="7"/>
    </row>
    <row r="1519" spans="1:8" x14ac:dyDescent="0.35">
      <c r="A1519" s="7" t="s">
        <v>351</v>
      </c>
      <c r="B1519" s="7" t="s">
        <v>26</v>
      </c>
      <c r="C1519" s="7" t="s">
        <v>27</v>
      </c>
      <c r="D1519" s="7" t="s">
        <v>28</v>
      </c>
      <c r="E1519" s="7" t="s">
        <v>29</v>
      </c>
      <c r="F1519" s="7" t="s">
        <v>121</v>
      </c>
      <c r="G1519" s="7">
        <v>99.15822</v>
      </c>
      <c r="H1519" s="7"/>
    </row>
    <row r="1520" spans="1:8" x14ac:dyDescent="0.35">
      <c r="A1520" s="7" t="s">
        <v>351</v>
      </c>
      <c r="B1520" s="7" t="s">
        <v>26</v>
      </c>
      <c r="C1520" s="7" t="s">
        <v>27</v>
      </c>
      <c r="D1520" s="7" t="s">
        <v>28</v>
      </c>
      <c r="E1520" s="7" t="s">
        <v>29</v>
      </c>
      <c r="F1520" s="7" t="s">
        <v>122</v>
      </c>
      <c r="G1520" s="7">
        <v>99.24973</v>
      </c>
      <c r="H1520" s="7"/>
    </row>
    <row r="1521" spans="1:8" x14ac:dyDescent="0.35">
      <c r="A1521" s="7" t="s">
        <v>351</v>
      </c>
      <c r="B1521" s="7" t="s">
        <v>26</v>
      </c>
      <c r="C1521" s="7" t="s">
        <v>27</v>
      </c>
      <c r="D1521" s="7" t="s">
        <v>28</v>
      </c>
      <c r="E1521" s="7" t="s">
        <v>29</v>
      </c>
      <c r="F1521" s="7" t="s">
        <v>123</v>
      </c>
      <c r="G1521" s="7">
        <v>99.343990000000005</v>
      </c>
      <c r="H1521" s="7"/>
    </row>
    <row r="1522" spans="1:8" x14ac:dyDescent="0.35">
      <c r="A1522" s="7" t="s">
        <v>351</v>
      </c>
      <c r="B1522" s="7" t="s">
        <v>26</v>
      </c>
      <c r="C1522" s="7" t="s">
        <v>27</v>
      </c>
      <c r="D1522" s="7" t="s">
        <v>28</v>
      </c>
      <c r="E1522" s="7" t="s">
        <v>29</v>
      </c>
      <c r="F1522" s="7" t="s">
        <v>124</v>
      </c>
      <c r="G1522" s="7">
        <v>99.43768</v>
      </c>
      <c r="H1522" s="7"/>
    </row>
    <row r="1523" spans="1:8" x14ac:dyDescent="0.35">
      <c r="A1523" s="7" t="s">
        <v>351</v>
      </c>
      <c r="B1523" s="7" t="s">
        <v>26</v>
      </c>
      <c r="C1523" s="7" t="s">
        <v>27</v>
      </c>
      <c r="D1523" s="7" t="s">
        <v>28</v>
      </c>
      <c r="E1523" s="7" t="s">
        <v>29</v>
      </c>
      <c r="F1523" s="7" t="s">
        <v>125</v>
      </c>
      <c r="G1523" s="7">
        <v>99.530280000000005</v>
      </c>
      <c r="H1523" s="7"/>
    </row>
    <row r="1524" spans="1:8" x14ac:dyDescent="0.35">
      <c r="A1524" s="7" t="s">
        <v>351</v>
      </c>
      <c r="B1524" s="7" t="s">
        <v>26</v>
      </c>
      <c r="C1524" s="7" t="s">
        <v>27</v>
      </c>
      <c r="D1524" s="7" t="s">
        <v>28</v>
      </c>
      <c r="E1524" s="7" t="s">
        <v>29</v>
      </c>
      <c r="F1524" s="7" t="s">
        <v>126</v>
      </c>
      <c r="G1524" s="7">
        <v>99.622129999999999</v>
      </c>
      <c r="H1524" s="7"/>
    </row>
    <row r="1525" spans="1:8" x14ac:dyDescent="0.35">
      <c r="A1525" s="7" t="s">
        <v>351</v>
      </c>
      <c r="B1525" s="7" t="s">
        <v>26</v>
      </c>
      <c r="C1525" s="7" t="s">
        <v>27</v>
      </c>
      <c r="D1525" s="7" t="s">
        <v>28</v>
      </c>
      <c r="E1525" s="7" t="s">
        <v>29</v>
      </c>
      <c r="F1525" s="7" t="s">
        <v>127</v>
      </c>
      <c r="G1525" s="7">
        <v>99.713679999999997</v>
      </c>
      <c r="H1525" s="7"/>
    </row>
    <row r="1526" spans="1:8" x14ac:dyDescent="0.35">
      <c r="A1526" s="7" t="s">
        <v>351</v>
      </c>
      <c r="B1526" s="7" t="s">
        <v>26</v>
      </c>
      <c r="C1526" s="7" t="s">
        <v>27</v>
      </c>
      <c r="D1526" s="7" t="s">
        <v>28</v>
      </c>
      <c r="E1526" s="7" t="s">
        <v>29</v>
      </c>
      <c r="F1526" s="7" t="s">
        <v>128</v>
      </c>
      <c r="G1526" s="7">
        <v>99.805430000000001</v>
      </c>
      <c r="H1526" s="7"/>
    </row>
    <row r="1527" spans="1:8" x14ac:dyDescent="0.35">
      <c r="A1527" s="7" t="s">
        <v>351</v>
      </c>
      <c r="B1527" s="7" t="s">
        <v>26</v>
      </c>
      <c r="C1527" s="7" t="s">
        <v>27</v>
      </c>
      <c r="D1527" s="7" t="s">
        <v>28</v>
      </c>
      <c r="E1527" s="7" t="s">
        <v>29</v>
      </c>
      <c r="F1527" s="7" t="s">
        <v>129</v>
      </c>
      <c r="G1527" s="7">
        <v>99.898179999999996</v>
      </c>
      <c r="H1527" s="7"/>
    </row>
    <row r="1528" spans="1:8" x14ac:dyDescent="0.35">
      <c r="A1528" s="7" t="s">
        <v>351</v>
      </c>
      <c r="B1528" s="7" t="s">
        <v>26</v>
      </c>
      <c r="C1528" s="7" t="s">
        <v>27</v>
      </c>
      <c r="D1528" s="7" t="s">
        <v>28</v>
      </c>
      <c r="E1528" s="7" t="s">
        <v>29</v>
      </c>
      <c r="F1528" s="7" t="s">
        <v>130</v>
      </c>
      <c r="G1528" s="7">
        <v>99.993120000000005</v>
      </c>
      <c r="H1528" s="7"/>
    </row>
    <row r="1529" spans="1:8" x14ac:dyDescent="0.35">
      <c r="A1529" s="7" t="s">
        <v>351</v>
      </c>
      <c r="B1529" s="7" t="s">
        <v>26</v>
      </c>
      <c r="C1529" s="7" t="s">
        <v>27</v>
      </c>
      <c r="D1529" s="7" t="s">
        <v>28</v>
      </c>
      <c r="E1529" s="7" t="s">
        <v>29</v>
      </c>
      <c r="F1529" s="7" t="s">
        <v>131</v>
      </c>
      <c r="G1529" s="7">
        <v>100.0908</v>
      </c>
      <c r="H1529" s="7"/>
    </row>
    <row r="1530" spans="1:8" x14ac:dyDescent="0.35">
      <c r="A1530" s="7" t="s">
        <v>351</v>
      </c>
      <c r="B1530" s="7" t="s">
        <v>26</v>
      </c>
      <c r="C1530" s="7" t="s">
        <v>27</v>
      </c>
      <c r="D1530" s="7" t="s">
        <v>28</v>
      </c>
      <c r="E1530" s="7" t="s">
        <v>29</v>
      </c>
      <c r="F1530" s="7" t="s">
        <v>132</v>
      </c>
      <c r="G1530" s="7">
        <v>100.1883</v>
      </c>
      <c r="H1530" s="7"/>
    </row>
    <row r="1531" spans="1:8" x14ac:dyDescent="0.35">
      <c r="A1531" s="7" t="s">
        <v>351</v>
      </c>
      <c r="B1531" s="7" t="s">
        <v>26</v>
      </c>
      <c r="C1531" s="7" t="s">
        <v>27</v>
      </c>
      <c r="D1531" s="7" t="s">
        <v>28</v>
      </c>
      <c r="E1531" s="7" t="s">
        <v>29</v>
      </c>
      <c r="F1531" s="7" t="s">
        <v>133</v>
      </c>
      <c r="G1531" s="7">
        <v>100.2726</v>
      </c>
      <c r="H1531" s="7"/>
    </row>
    <row r="1532" spans="1:8" x14ac:dyDescent="0.35">
      <c r="A1532" s="7" t="s">
        <v>351</v>
      </c>
      <c r="B1532" s="7" t="s">
        <v>26</v>
      </c>
      <c r="C1532" s="7" t="s">
        <v>27</v>
      </c>
      <c r="D1532" s="7" t="s">
        <v>28</v>
      </c>
      <c r="E1532" s="7" t="s">
        <v>29</v>
      </c>
      <c r="F1532" s="7" t="s">
        <v>134</v>
      </c>
      <c r="G1532" s="7">
        <v>100.316</v>
      </c>
      <c r="H1532" s="7"/>
    </row>
    <row r="1533" spans="1:8" x14ac:dyDescent="0.35">
      <c r="A1533" s="7" t="s">
        <v>351</v>
      </c>
      <c r="B1533" s="7" t="s">
        <v>26</v>
      </c>
      <c r="C1533" s="7" t="s">
        <v>27</v>
      </c>
      <c r="D1533" s="7" t="s">
        <v>28</v>
      </c>
      <c r="E1533" s="7" t="s">
        <v>29</v>
      </c>
      <c r="F1533" s="7" t="s">
        <v>135</v>
      </c>
      <c r="G1533" s="7">
        <v>100.2826</v>
      </c>
      <c r="H1533" s="7"/>
    </row>
    <row r="1534" spans="1:8" x14ac:dyDescent="0.35">
      <c r="A1534" s="7" t="s">
        <v>351</v>
      </c>
      <c r="B1534" s="7" t="s">
        <v>26</v>
      </c>
      <c r="C1534" s="7" t="s">
        <v>27</v>
      </c>
      <c r="D1534" s="7" t="s">
        <v>28</v>
      </c>
      <c r="E1534" s="7" t="s">
        <v>29</v>
      </c>
      <c r="F1534" s="7" t="s">
        <v>136</v>
      </c>
      <c r="G1534" s="7">
        <v>100.17740000000001</v>
      </c>
      <c r="H1534" s="7"/>
    </row>
    <row r="1535" spans="1:8" x14ac:dyDescent="0.35">
      <c r="A1535" s="7" t="s">
        <v>351</v>
      </c>
      <c r="B1535" s="7" t="s">
        <v>26</v>
      </c>
      <c r="C1535" s="7" t="s">
        <v>27</v>
      </c>
      <c r="D1535" s="7" t="s">
        <v>28</v>
      </c>
      <c r="E1535" s="7" t="s">
        <v>29</v>
      </c>
      <c r="F1535" s="7" t="s">
        <v>137</v>
      </c>
      <c r="G1535" s="7">
        <v>99.987480000000005</v>
      </c>
      <c r="H1535" s="7"/>
    </row>
    <row r="1536" spans="1:8" x14ac:dyDescent="0.35">
      <c r="A1536" s="7" t="s">
        <v>351</v>
      </c>
      <c r="B1536" s="7" t="s">
        <v>26</v>
      </c>
      <c r="C1536" s="7" t="s">
        <v>27</v>
      </c>
      <c r="D1536" s="7" t="s">
        <v>28</v>
      </c>
      <c r="E1536" s="7" t="s">
        <v>29</v>
      </c>
      <c r="F1536" s="7" t="s">
        <v>138</v>
      </c>
      <c r="G1536" s="7">
        <v>99.695639999999997</v>
      </c>
      <c r="H1536" s="7"/>
    </row>
    <row r="1537" spans="1:8" x14ac:dyDescent="0.35">
      <c r="A1537" s="7" t="s">
        <v>351</v>
      </c>
      <c r="B1537" s="7" t="s">
        <v>26</v>
      </c>
      <c r="C1537" s="7" t="s">
        <v>27</v>
      </c>
      <c r="D1537" s="7" t="s">
        <v>28</v>
      </c>
      <c r="E1537" s="7" t="s">
        <v>29</v>
      </c>
      <c r="F1537" s="7" t="s">
        <v>139</v>
      </c>
      <c r="G1537" s="7">
        <v>99.378389999999996</v>
      </c>
      <c r="H1537" s="7"/>
    </row>
    <row r="1538" spans="1:8" x14ac:dyDescent="0.35">
      <c r="A1538" s="7" t="s">
        <v>351</v>
      </c>
      <c r="B1538" s="7" t="s">
        <v>26</v>
      </c>
      <c r="C1538" s="7" t="s">
        <v>27</v>
      </c>
      <c r="D1538" s="7" t="s">
        <v>28</v>
      </c>
      <c r="E1538" s="7" t="s">
        <v>29</v>
      </c>
      <c r="F1538" s="7" t="s">
        <v>140</v>
      </c>
      <c r="G1538" s="7">
        <v>99.130579999999995</v>
      </c>
      <c r="H1538" s="7"/>
    </row>
    <row r="1539" spans="1:8" x14ac:dyDescent="0.35">
      <c r="A1539" s="7" t="s">
        <v>351</v>
      </c>
      <c r="B1539" s="7" t="s">
        <v>26</v>
      </c>
      <c r="C1539" s="7" t="s">
        <v>27</v>
      </c>
      <c r="D1539" s="7" t="s">
        <v>28</v>
      </c>
      <c r="E1539" s="7" t="s">
        <v>29</v>
      </c>
      <c r="F1539" s="7" t="s">
        <v>141</v>
      </c>
      <c r="G1539" s="7">
        <v>99.015460000000004</v>
      </c>
      <c r="H1539" s="7"/>
    </row>
    <row r="1540" spans="1:8" x14ac:dyDescent="0.35">
      <c r="A1540" s="7" t="s">
        <v>351</v>
      </c>
      <c r="B1540" s="7" t="s">
        <v>26</v>
      </c>
      <c r="C1540" s="7" t="s">
        <v>27</v>
      </c>
      <c r="D1540" s="7" t="s">
        <v>28</v>
      </c>
      <c r="E1540" s="7" t="s">
        <v>29</v>
      </c>
      <c r="F1540" s="7" t="s">
        <v>142</v>
      </c>
      <c r="G1540" s="7">
        <v>98.945210000000003</v>
      </c>
      <c r="H1540" s="7"/>
    </row>
    <row r="1541" spans="1:8" x14ac:dyDescent="0.35">
      <c r="A1541" s="7" t="s">
        <v>351</v>
      </c>
      <c r="B1541" s="7" t="s">
        <v>26</v>
      </c>
      <c r="C1541" s="7" t="s">
        <v>27</v>
      </c>
      <c r="D1541" s="7" t="s">
        <v>28</v>
      </c>
      <c r="E1541" s="7" t="s">
        <v>29</v>
      </c>
      <c r="F1541" s="7" t="s">
        <v>143</v>
      </c>
      <c r="G1541" s="7">
        <v>98.796019999999999</v>
      </c>
      <c r="H1541" s="7"/>
    </row>
    <row r="1542" spans="1:8" x14ac:dyDescent="0.35">
      <c r="A1542" s="7" t="s">
        <v>351</v>
      </c>
      <c r="B1542" s="7" t="s">
        <v>26</v>
      </c>
      <c r="C1542" s="7" t="s">
        <v>27</v>
      </c>
      <c r="D1542" s="7" t="s">
        <v>28</v>
      </c>
      <c r="E1542" s="7" t="s">
        <v>29</v>
      </c>
      <c r="F1542" s="7" t="s">
        <v>144</v>
      </c>
      <c r="G1542" s="7">
        <v>98.478480000000005</v>
      </c>
      <c r="H1542" s="7"/>
    </row>
    <row r="1543" spans="1:8" x14ac:dyDescent="0.35">
      <c r="A1543" s="7" t="s">
        <v>351</v>
      </c>
      <c r="B1543" s="7" t="s">
        <v>26</v>
      </c>
      <c r="C1543" s="7" t="s">
        <v>27</v>
      </c>
      <c r="D1543" s="7" t="s">
        <v>28</v>
      </c>
      <c r="E1543" s="7" t="s">
        <v>29</v>
      </c>
      <c r="F1543" s="7" t="s">
        <v>145</v>
      </c>
      <c r="G1543" s="7">
        <v>98.086619999999996</v>
      </c>
      <c r="H1543" s="7"/>
    </row>
    <row r="1544" spans="1:8" x14ac:dyDescent="0.35">
      <c r="A1544" s="7" t="s">
        <v>351</v>
      </c>
      <c r="B1544" s="7" t="s">
        <v>26</v>
      </c>
      <c r="C1544" s="7" t="s">
        <v>27</v>
      </c>
      <c r="D1544" s="7" t="s">
        <v>28</v>
      </c>
      <c r="E1544" s="7" t="s">
        <v>29</v>
      </c>
      <c r="F1544" s="7" t="s">
        <v>146</v>
      </c>
      <c r="G1544" s="7">
        <v>97.756519999999995</v>
      </c>
      <c r="H1544" s="7"/>
    </row>
    <row r="1545" spans="1:8" x14ac:dyDescent="0.35">
      <c r="A1545" s="7" t="s">
        <v>351</v>
      </c>
      <c r="B1545" s="7" t="s">
        <v>26</v>
      </c>
      <c r="C1545" s="7" t="s">
        <v>27</v>
      </c>
      <c r="D1545" s="7" t="s">
        <v>28</v>
      </c>
      <c r="E1545" s="7" t="s">
        <v>29</v>
      </c>
      <c r="F1545" s="7" t="s">
        <v>147</v>
      </c>
      <c r="G1545" s="7">
        <v>97.599090000000004</v>
      </c>
      <c r="H1545" s="7"/>
    </row>
    <row r="1546" spans="1:8" x14ac:dyDescent="0.35">
      <c r="A1546" s="7" t="s">
        <v>351</v>
      </c>
      <c r="B1546" s="7" t="s">
        <v>26</v>
      </c>
      <c r="C1546" s="7" t="s">
        <v>27</v>
      </c>
      <c r="D1546" s="7" t="s">
        <v>28</v>
      </c>
      <c r="E1546" s="7" t="s">
        <v>29</v>
      </c>
      <c r="F1546" s="7" t="s">
        <v>148</v>
      </c>
      <c r="G1546" s="7">
        <v>97.571100000000001</v>
      </c>
      <c r="H1546" s="7"/>
    </row>
    <row r="1547" spans="1:8" x14ac:dyDescent="0.35">
      <c r="A1547" s="7" t="s">
        <v>351</v>
      </c>
      <c r="B1547" s="7" t="s">
        <v>26</v>
      </c>
      <c r="C1547" s="7" t="s">
        <v>27</v>
      </c>
      <c r="D1547" s="7" t="s">
        <v>28</v>
      </c>
      <c r="E1547" s="7" t="s">
        <v>29</v>
      </c>
      <c r="F1547" s="7" t="s">
        <v>149</v>
      </c>
      <c r="G1547" s="7">
        <v>97.632639999999995</v>
      </c>
      <c r="H1547" s="7"/>
    </row>
    <row r="1548" spans="1:8" x14ac:dyDescent="0.35">
      <c r="A1548" s="7" t="s">
        <v>351</v>
      </c>
      <c r="B1548" s="7" t="s">
        <v>26</v>
      </c>
      <c r="C1548" s="7" t="s">
        <v>27</v>
      </c>
      <c r="D1548" s="7" t="s">
        <v>28</v>
      </c>
      <c r="E1548" s="7" t="s">
        <v>29</v>
      </c>
      <c r="F1548" s="7" t="s">
        <v>150</v>
      </c>
      <c r="G1548" s="7">
        <v>97.775149999999996</v>
      </c>
      <c r="H1548" s="7"/>
    </row>
    <row r="1549" spans="1:8" x14ac:dyDescent="0.35">
      <c r="A1549" s="7" t="s">
        <v>351</v>
      </c>
      <c r="B1549" s="7" t="s">
        <v>26</v>
      </c>
      <c r="C1549" s="7" t="s">
        <v>27</v>
      </c>
      <c r="D1549" s="7" t="s">
        <v>28</v>
      </c>
      <c r="E1549" s="7" t="s">
        <v>29</v>
      </c>
      <c r="F1549" s="7" t="s">
        <v>151</v>
      </c>
      <c r="G1549" s="7">
        <v>97.959770000000006</v>
      </c>
      <c r="H1549" s="7"/>
    </row>
    <row r="1550" spans="1:8" x14ac:dyDescent="0.35">
      <c r="A1550" s="7" t="s">
        <v>351</v>
      </c>
      <c r="B1550" s="7" t="s">
        <v>26</v>
      </c>
      <c r="C1550" s="7" t="s">
        <v>27</v>
      </c>
      <c r="D1550" s="7" t="s">
        <v>28</v>
      </c>
      <c r="E1550" s="7" t="s">
        <v>29</v>
      </c>
      <c r="F1550" s="7" t="s">
        <v>152</v>
      </c>
      <c r="G1550" s="7">
        <v>98.158559999999994</v>
      </c>
      <c r="H1550" s="7"/>
    </row>
    <row r="1551" spans="1:8" x14ac:dyDescent="0.35">
      <c r="A1551" s="7" t="s">
        <v>351</v>
      </c>
      <c r="B1551" s="7" t="s">
        <v>26</v>
      </c>
      <c r="C1551" s="7" t="s">
        <v>27</v>
      </c>
      <c r="D1551" s="7" t="s">
        <v>28</v>
      </c>
      <c r="E1551" s="7" t="s">
        <v>29</v>
      </c>
      <c r="F1551" s="7" t="s">
        <v>153</v>
      </c>
      <c r="G1551" s="7">
        <v>98.353430000000003</v>
      </c>
      <c r="H1551" s="7"/>
    </row>
    <row r="1552" spans="1:8" x14ac:dyDescent="0.35">
      <c r="A1552" s="7" t="s">
        <v>351</v>
      </c>
      <c r="B1552" s="7" t="s">
        <v>26</v>
      </c>
      <c r="C1552" s="7" t="s">
        <v>27</v>
      </c>
      <c r="D1552" s="7" t="s">
        <v>28</v>
      </c>
      <c r="E1552" s="7" t="s">
        <v>29</v>
      </c>
      <c r="F1552" s="7" t="s">
        <v>154</v>
      </c>
      <c r="G1552" s="7">
        <v>98.520970000000005</v>
      </c>
      <c r="H1552" s="7"/>
    </row>
    <row r="1553" spans="1:8" x14ac:dyDescent="0.35">
      <c r="A1553" s="7" t="s">
        <v>351</v>
      </c>
      <c r="B1553" s="7" t="s">
        <v>26</v>
      </c>
      <c r="C1553" s="7" t="s">
        <v>27</v>
      </c>
      <c r="D1553" s="7" t="s">
        <v>28</v>
      </c>
      <c r="E1553" s="7" t="s">
        <v>29</v>
      </c>
      <c r="F1553" s="7" t="s">
        <v>155</v>
      </c>
      <c r="G1553" s="7">
        <v>98.62124</v>
      </c>
      <c r="H1553" s="7"/>
    </row>
    <row r="1554" spans="1:8" x14ac:dyDescent="0.35">
      <c r="A1554" s="7" t="s">
        <v>351</v>
      </c>
      <c r="B1554" s="7" t="s">
        <v>26</v>
      </c>
      <c r="C1554" s="7" t="s">
        <v>27</v>
      </c>
      <c r="D1554" s="7" t="s">
        <v>28</v>
      </c>
      <c r="E1554" s="7" t="s">
        <v>29</v>
      </c>
      <c r="F1554" s="7" t="s">
        <v>156</v>
      </c>
      <c r="G1554" s="7">
        <v>98.613780000000006</v>
      </c>
      <c r="H1554" s="7"/>
    </row>
    <row r="1555" spans="1:8" x14ac:dyDescent="0.35">
      <c r="A1555" s="7" t="s">
        <v>351</v>
      </c>
      <c r="B1555" s="7" t="s">
        <v>26</v>
      </c>
      <c r="C1555" s="7" t="s">
        <v>27</v>
      </c>
      <c r="D1555" s="7" t="s">
        <v>28</v>
      </c>
      <c r="E1555" s="7" t="s">
        <v>29</v>
      </c>
      <c r="F1555" s="7" t="s">
        <v>157</v>
      </c>
      <c r="G1555" s="7">
        <v>98.541030000000006</v>
      </c>
      <c r="H1555" s="7"/>
    </row>
    <row r="1556" spans="1:8" x14ac:dyDescent="0.35">
      <c r="A1556" s="7" t="s">
        <v>351</v>
      </c>
      <c r="B1556" s="7" t="s">
        <v>26</v>
      </c>
      <c r="C1556" s="7" t="s">
        <v>27</v>
      </c>
      <c r="D1556" s="7" t="s">
        <v>28</v>
      </c>
      <c r="E1556" s="7" t="s">
        <v>29</v>
      </c>
      <c r="F1556" s="7" t="s">
        <v>158</v>
      </c>
      <c r="G1556" s="7">
        <v>98.443899999999999</v>
      </c>
      <c r="H1556" s="7"/>
    </row>
    <row r="1557" spans="1:8" x14ac:dyDescent="0.35">
      <c r="A1557" s="7" t="s">
        <v>351</v>
      </c>
      <c r="B1557" s="7" t="s">
        <v>26</v>
      </c>
      <c r="C1557" s="7" t="s">
        <v>27</v>
      </c>
      <c r="D1557" s="7" t="s">
        <v>28</v>
      </c>
      <c r="E1557" s="7" t="s">
        <v>29</v>
      </c>
      <c r="F1557" s="7" t="s">
        <v>159</v>
      </c>
      <c r="G1557" s="7">
        <v>98.342770000000002</v>
      </c>
      <c r="H1557" s="7"/>
    </row>
    <row r="1558" spans="1:8" x14ac:dyDescent="0.35">
      <c r="A1558" s="7" t="s">
        <v>351</v>
      </c>
      <c r="B1558" s="7" t="s">
        <v>26</v>
      </c>
      <c r="C1558" s="7" t="s">
        <v>27</v>
      </c>
      <c r="D1558" s="7" t="s">
        <v>28</v>
      </c>
      <c r="E1558" s="7" t="s">
        <v>29</v>
      </c>
      <c r="F1558" s="7" t="s">
        <v>160</v>
      </c>
      <c r="G1558" s="7">
        <v>98.242789999999999</v>
      </c>
      <c r="H1558" s="7"/>
    </row>
    <row r="1559" spans="1:8" x14ac:dyDescent="0.35">
      <c r="A1559" s="7" t="s">
        <v>351</v>
      </c>
      <c r="B1559" s="7" t="s">
        <v>26</v>
      </c>
      <c r="C1559" s="7" t="s">
        <v>27</v>
      </c>
      <c r="D1559" s="7" t="s">
        <v>28</v>
      </c>
      <c r="E1559" s="7" t="s">
        <v>29</v>
      </c>
      <c r="F1559" s="7" t="s">
        <v>161</v>
      </c>
      <c r="G1559" s="7">
        <v>98.143219999999999</v>
      </c>
      <c r="H1559" s="7"/>
    </row>
    <row r="1560" spans="1:8" x14ac:dyDescent="0.35">
      <c r="A1560" s="7" t="s">
        <v>351</v>
      </c>
      <c r="B1560" s="7" t="s">
        <v>26</v>
      </c>
      <c r="C1560" s="7" t="s">
        <v>27</v>
      </c>
      <c r="D1560" s="7" t="s">
        <v>28</v>
      </c>
      <c r="E1560" s="7" t="s">
        <v>29</v>
      </c>
      <c r="F1560" s="7" t="s">
        <v>162</v>
      </c>
      <c r="G1560" s="7">
        <v>98.045590000000004</v>
      </c>
      <c r="H1560" s="7"/>
    </row>
    <row r="1561" spans="1:8" x14ac:dyDescent="0.35">
      <c r="A1561" s="7" t="s">
        <v>351</v>
      </c>
      <c r="B1561" s="7" t="s">
        <v>26</v>
      </c>
      <c r="C1561" s="7" t="s">
        <v>27</v>
      </c>
      <c r="D1561" s="7" t="s">
        <v>28</v>
      </c>
      <c r="E1561" s="7" t="s">
        <v>29</v>
      </c>
      <c r="F1561" s="7" t="s">
        <v>163</v>
      </c>
      <c r="G1561" s="7">
        <v>97.961449999999999</v>
      </c>
      <c r="H1561" s="7"/>
    </row>
    <row r="1562" spans="1:8" x14ac:dyDescent="0.35">
      <c r="A1562" s="7" t="s">
        <v>351</v>
      </c>
      <c r="B1562" s="7" t="s">
        <v>26</v>
      </c>
      <c r="C1562" s="7" t="s">
        <v>27</v>
      </c>
      <c r="D1562" s="7" t="s">
        <v>28</v>
      </c>
      <c r="E1562" s="7" t="s">
        <v>29</v>
      </c>
      <c r="F1562" s="7" t="s">
        <v>164</v>
      </c>
      <c r="G1562" s="7">
        <v>97.918229999999994</v>
      </c>
      <c r="H1562" s="7"/>
    </row>
    <row r="1563" spans="1:8" x14ac:dyDescent="0.35">
      <c r="A1563" s="7" t="s">
        <v>351</v>
      </c>
      <c r="B1563" s="7" t="s">
        <v>26</v>
      </c>
      <c r="C1563" s="7" t="s">
        <v>27</v>
      </c>
      <c r="D1563" s="7" t="s">
        <v>28</v>
      </c>
      <c r="E1563" s="7" t="s">
        <v>29</v>
      </c>
      <c r="F1563" s="7" t="s">
        <v>165</v>
      </c>
      <c r="G1563" s="7">
        <v>97.951560000000001</v>
      </c>
      <c r="H1563" s="7"/>
    </row>
    <row r="1564" spans="1:8" x14ac:dyDescent="0.35">
      <c r="A1564" s="7" t="s">
        <v>351</v>
      </c>
      <c r="B1564" s="7" t="s">
        <v>26</v>
      </c>
      <c r="C1564" s="7" t="s">
        <v>27</v>
      </c>
      <c r="D1564" s="7" t="s">
        <v>28</v>
      </c>
      <c r="E1564" s="7" t="s">
        <v>29</v>
      </c>
      <c r="F1564" s="7" t="s">
        <v>166</v>
      </c>
      <c r="G1564" s="7">
        <v>98.056650000000005</v>
      </c>
      <c r="H1564" s="7"/>
    </row>
    <row r="1565" spans="1:8" x14ac:dyDescent="0.35">
      <c r="A1565" s="7" t="s">
        <v>351</v>
      </c>
      <c r="B1565" s="7" t="s">
        <v>26</v>
      </c>
      <c r="C1565" s="7" t="s">
        <v>27</v>
      </c>
      <c r="D1565" s="7" t="s">
        <v>28</v>
      </c>
      <c r="E1565" s="7" t="s">
        <v>29</v>
      </c>
      <c r="F1565" s="7" t="s">
        <v>167</v>
      </c>
      <c r="G1565" s="7">
        <v>98.246799999999993</v>
      </c>
      <c r="H1565" s="7"/>
    </row>
    <row r="1566" spans="1:8" x14ac:dyDescent="0.35">
      <c r="A1566" s="7" t="s">
        <v>351</v>
      </c>
      <c r="B1566" s="7" t="s">
        <v>26</v>
      </c>
      <c r="C1566" s="7" t="s">
        <v>27</v>
      </c>
      <c r="D1566" s="7" t="s">
        <v>28</v>
      </c>
      <c r="E1566" s="7" t="s">
        <v>29</v>
      </c>
      <c r="F1566" s="7" t="s">
        <v>168</v>
      </c>
      <c r="G1566" s="7">
        <v>98.540099999999995</v>
      </c>
      <c r="H1566" s="7"/>
    </row>
    <row r="1567" spans="1:8" x14ac:dyDescent="0.35">
      <c r="A1567" s="7" t="s">
        <v>351</v>
      </c>
      <c r="B1567" s="7" t="s">
        <v>26</v>
      </c>
      <c r="C1567" s="7" t="s">
        <v>27</v>
      </c>
      <c r="D1567" s="7" t="s">
        <v>28</v>
      </c>
      <c r="E1567" s="7" t="s">
        <v>29</v>
      </c>
      <c r="F1567" s="7" t="s">
        <v>169</v>
      </c>
      <c r="G1567" s="7">
        <v>98.861109999999996</v>
      </c>
      <c r="H1567" s="7"/>
    </row>
    <row r="1568" spans="1:8" x14ac:dyDescent="0.35">
      <c r="A1568" s="7" t="s">
        <v>351</v>
      </c>
      <c r="B1568" s="7" t="s">
        <v>26</v>
      </c>
      <c r="C1568" s="7" t="s">
        <v>27</v>
      </c>
      <c r="D1568" s="7" t="s">
        <v>28</v>
      </c>
      <c r="E1568" s="7" t="s">
        <v>29</v>
      </c>
      <c r="F1568" s="7" t="s">
        <v>170</v>
      </c>
      <c r="G1568" s="7">
        <v>99.114750000000001</v>
      </c>
      <c r="H1568" s="7"/>
    </row>
    <row r="1569" spans="1:8" x14ac:dyDescent="0.35">
      <c r="A1569" s="7" t="s">
        <v>351</v>
      </c>
      <c r="B1569" s="7" t="s">
        <v>26</v>
      </c>
      <c r="C1569" s="7" t="s">
        <v>27</v>
      </c>
      <c r="D1569" s="7" t="s">
        <v>28</v>
      </c>
      <c r="E1569" s="7" t="s">
        <v>29</v>
      </c>
      <c r="F1569" s="7" t="s">
        <v>171</v>
      </c>
      <c r="G1569" s="7">
        <v>99.232560000000007</v>
      </c>
      <c r="H1569" s="7"/>
    </row>
    <row r="1570" spans="1:8" x14ac:dyDescent="0.35">
      <c r="A1570" s="7" t="s">
        <v>351</v>
      </c>
      <c r="B1570" s="7" t="s">
        <v>26</v>
      </c>
      <c r="C1570" s="7" t="s">
        <v>27</v>
      </c>
      <c r="D1570" s="7" t="s">
        <v>28</v>
      </c>
      <c r="E1570" s="7" t="s">
        <v>29</v>
      </c>
      <c r="F1570" s="7" t="s">
        <v>172</v>
      </c>
      <c r="G1570" s="7">
        <v>99.286289999999994</v>
      </c>
      <c r="H1570" s="7"/>
    </row>
    <row r="1571" spans="1:8" x14ac:dyDescent="0.35">
      <c r="A1571" s="7" t="s">
        <v>351</v>
      </c>
      <c r="B1571" s="7" t="s">
        <v>26</v>
      </c>
      <c r="C1571" s="7" t="s">
        <v>27</v>
      </c>
      <c r="D1571" s="7" t="s">
        <v>28</v>
      </c>
      <c r="E1571" s="7" t="s">
        <v>29</v>
      </c>
      <c r="F1571" s="7" t="s">
        <v>173</v>
      </c>
      <c r="G1571" s="7">
        <v>99.370090000000005</v>
      </c>
      <c r="H1571" s="7"/>
    </row>
    <row r="1572" spans="1:8" x14ac:dyDescent="0.35">
      <c r="A1572" s="7" t="s">
        <v>351</v>
      </c>
      <c r="B1572" s="7" t="s">
        <v>26</v>
      </c>
      <c r="C1572" s="7" t="s">
        <v>27</v>
      </c>
      <c r="D1572" s="7" t="s">
        <v>28</v>
      </c>
      <c r="E1572" s="7" t="s">
        <v>29</v>
      </c>
      <c r="F1572" s="7" t="s">
        <v>174</v>
      </c>
      <c r="G1572" s="7">
        <v>99.546729999999997</v>
      </c>
      <c r="H1572" s="7"/>
    </row>
    <row r="1573" spans="1:8" x14ac:dyDescent="0.35">
      <c r="A1573" s="7" t="s">
        <v>351</v>
      </c>
      <c r="B1573" s="7" t="s">
        <v>26</v>
      </c>
      <c r="C1573" s="7" t="s">
        <v>27</v>
      </c>
      <c r="D1573" s="7" t="s">
        <v>28</v>
      </c>
      <c r="E1573" s="7" t="s">
        <v>29</v>
      </c>
      <c r="F1573" s="7" t="s">
        <v>175</v>
      </c>
      <c r="G1573" s="7">
        <v>99.763890000000004</v>
      </c>
      <c r="H1573" s="7"/>
    </row>
    <row r="1574" spans="1:8" x14ac:dyDescent="0.35">
      <c r="A1574" s="7" t="s">
        <v>351</v>
      </c>
      <c r="B1574" s="7" t="s">
        <v>26</v>
      </c>
      <c r="C1574" s="7" t="s">
        <v>27</v>
      </c>
      <c r="D1574" s="7" t="s">
        <v>28</v>
      </c>
      <c r="E1574" s="7" t="s">
        <v>29</v>
      </c>
      <c r="F1574" s="7" t="s">
        <v>176</v>
      </c>
      <c r="G1574" s="7">
        <v>99.952839999999995</v>
      </c>
      <c r="H1574" s="7"/>
    </row>
    <row r="1575" spans="1:8" x14ac:dyDescent="0.35">
      <c r="A1575" s="7" t="s">
        <v>351</v>
      </c>
      <c r="B1575" s="7" t="s">
        <v>26</v>
      </c>
      <c r="C1575" s="7" t="s">
        <v>27</v>
      </c>
      <c r="D1575" s="7" t="s">
        <v>28</v>
      </c>
      <c r="E1575" s="7" t="s">
        <v>29</v>
      </c>
      <c r="F1575" s="7" t="s">
        <v>177</v>
      </c>
      <c r="G1575" s="7">
        <v>100.0868</v>
      </c>
      <c r="H1575" s="7"/>
    </row>
    <row r="1576" spans="1:8" x14ac:dyDescent="0.35">
      <c r="A1576" s="7" t="s">
        <v>351</v>
      </c>
      <c r="B1576" s="7" t="s">
        <v>26</v>
      </c>
      <c r="C1576" s="7" t="s">
        <v>27</v>
      </c>
      <c r="D1576" s="7" t="s">
        <v>28</v>
      </c>
      <c r="E1576" s="7" t="s">
        <v>29</v>
      </c>
      <c r="F1576" s="7" t="s">
        <v>178</v>
      </c>
      <c r="G1576" s="7">
        <v>100.26739999999999</v>
      </c>
      <c r="H1576" s="7"/>
    </row>
    <row r="1577" spans="1:8" x14ac:dyDescent="0.35">
      <c r="A1577" s="7" t="s">
        <v>351</v>
      </c>
      <c r="B1577" s="7" t="s">
        <v>26</v>
      </c>
      <c r="C1577" s="7" t="s">
        <v>27</v>
      </c>
      <c r="D1577" s="7" t="s">
        <v>28</v>
      </c>
      <c r="E1577" s="7" t="s">
        <v>29</v>
      </c>
      <c r="F1577" s="7" t="s">
        <v>179</v>
      </c>
      <c r="G1577" s="7">
        <v>100.59059999999999</v>
      </c>
      <c r="H1577" s="7"/>
    </row>
    <row r="1578" spans="1:8" x14ac:dyDescent="0.35">
      <c r="A1578" s="7" t="s">
        <v>351</v>
      </c>
      <c r="B1578" s="7" t="s">
        <v>26</v>
      </c>
      <c r="C1578" s="7" t="s">
        <v>27</v>
      </c>
      <c r="D1578" s="7" t="s">
        <v>28</v>
      </c>
      <c r="E1578" s="7" t="s">
        <v>29</v>
      </c>
      <c r="F1578" s="7" t="s">
        <v>180</v>
      </c>
      <c r="G1578" s="7">
        <v>100.8836</v>
      </c>
      <c r="H1578" s="7"/>
    </row>
    <row r="1579" spans="1:8" x14ac:dyDescent="0.35">
      <c r="A1579" s="7" t="s">
        <v>351</v>
      </c>
      <c r="B1579" s="7" t="s">
        <v>26</v>
      </c>
      <c r="C1579" s="7" t="s">
        <v>27</v>
      </c>
      <c r="D1579" s="7" t="s">
        <v>28</v>
      </c>
      <c r="E1579" s="7" t="s">
        <v>29</v>
      </c>
      <c r="F1579" s="7" t="s">
        <v>181</v>
      </c>
      <c r="G1579" s="7">
        <v>101.0427</v>
      </c>
      <c r="H1579" s="7"/>
    </row>
    <row r="1580" spans="1:8" x14ac:dyDescent="0.35">
      <c r="A1580" s="7" t="s">
        <v>351</v>
      </c>
      <c r="B1580" s="7" t="s">
        <v>26</v>
      </c>
      <c r="C1580" s="7" t="s">
        <v>27</v>
      </c>
      <c r="D1580" s="7" t="s">
        <v>28</v>
      </c>
      <c r="E1580" s="7" t="s">
        <v>29</v>
      </c>
      <c r="F1580" s="7" t="s">
        <v>182</v>
      </c>
      <c r="G1580" s="7">
        <v>101.346</v>
      </c>
      <c r="H1580" s="7"/>
    </row>
    <row r="1581" spans="1:8" x14ac:dyDescent="0.35">
      <c r="A1581" s="7" t="s">
        <v>351</v>
      </c>
      <c r="B1581" s="7" t="s">
        <v>26</v>
      </c>
      <c r="C1581" s="7" t="s">
        <v>27</v>
      </c>
      <c r="D1581" s="7" t="s">
        <v>28</v>
      </c>
      <c r="E1581" s="7" t="s">
        <v>29</v>
      </c>
      <c r="F1581" s="7" t="s">
        <v>183</v>
      </c>
      <c r="G1581" s="7">
        <v>101.468</v>
      </c>
      <c r="H1581" s="7"/>
    </row>
    <row r="1582" spans="1:8" x14ac:dyDescent="0.35">
      <c r="A1582" s="7" t="s">
        <v>351</v>
      </c>
      <c r="B1582" s="7" t="s">
        <v>26</v>
      </c>
      <c r="C1582" s="7" t="s">
        <v>27</v>
      </c>
      <c r="D1582" s="7" t="s">
        <v>28</v>
      </c>
      <c r="E1582" s="7" t="s">
        <v>29</v>
      </c>
      <c r="F1582" s="7" t="s">
        <v>184</v>
      </c>
      <c r="G1582" s="7">
        <v>101.3887</v>
      </c>
      <c r="H1582" s="7"/>
    </row>
    <row r="1583" spans="1:8" x14ac:dyDescent="0.35">
      <c r="A1583" s="7" t="s">
        <v>351</v>
      </c>
      <c r="B1583" s="7" t="s">
        <v>26</v>
      </c>
      <c r="C1583" s="7" t="s">
        <v>27</v>
      </c>
      <c r="D1583" s="7" t="s">
        <v>28</v>
      </c>
      <c r="E1583" s="7" t="s">
        <v>29</v>
      </c>
      <c r="F1583" s="7" t="s">
        <v>185</v>
      </c>
      <c r="G1583" s="7">
        <v>101.3811</v>
      </c>
      <c r="H1583" s="7"/>
    </row>
    <row r="1584" spans="1:8" x14ac:dyDescent="0.35">
      <c r="A1584" s="7" t="s">
        <v>351</v>
      </c>
      <c r="B1584" s="7" t="s">
        <v>26</v>
      </c>
      <c r="C1584" s="7" t="s">
        <v>27</v>
      </c>
      <c r="D1584" s="7" t="s">
        <v>28</v>
      </c>
      <c r="E1584" s="7" t="s">
        <v>29</v>
      </c>
      <c r="F1584" s="7" t="s">
        <v>186</v>
      </c>
      <c r="G1584" s="7">
        <v>101.29219999999999</v>
      </c>
      <c r="H1584" s="7"/>
    </row>
    <row r="1585" spans="1:8" x14ac:dyDescent="0.35">
      <c r="A1585" s="7" t="s">
        <v>351</v>
      </c>
      <c r="B1585" s="7" t="s">
        <v>26</v>
      </c>
      <c r="C1585" s="7" t="s">
        <v>27</v>
      </c>
      <c r="D1585" s="7" t="s">
        <v>28</v>
      </c>
      <c r="E1585" s="7" t="s">
        <v>29</v>
      </c>
      <c r="F1585" s="7" t="s">
        <v>187</v>
      </c>
      <c r="G1585" s="7">
        <v>101.1288</v>
      </c>
      <c r="H1585" s="7"/>
    </row>
    <row r="1586" spans="1:8" x14ac:dyDescent="0.35">
      <c r="A1586" s="7" t="s">
        <v>351</v>
      </c>
      <c r="B1586" s="7" t="s">
        <v>26</v>
      </c>
      <c r="C1586" s="7" t="s">
        <v>27</v>
      </c>
      <c r="D1586" s="7" t="s">
        <v>28</v>
      </c>
      <c r="E1586" s="7" t="s">
        <v>29</v>
      </c>
      <c r="F1586" s="7" t="s">
        <v>188</v>
      </c>
      <c r="G1586" s="7">
        <v>101.1465</v>
      </c>
      <c r="H1586" s="7"/>
    </row>
    <row r="1587" spans="1:8" x14ac:dyDescent="0.35">
      <c r="A1587" s="7" t="s">
        <v>351</v>
      </c>
      <c r="B1587" s="7" t="s">
        <v>26</v>
      </c>
      <c r="C1587" s="7" t="s">
        <v>27</v>
      </c>
      <c r="D1587" s="7" t="s">
        <v>28</v>
      </c>
      <c r="E1587" s="7" t="s">
        <v>29</v>
      </c>
      <c r="F1587" s="7" t="s">
        <v>189</v>
      </c>
      <c r="G1587" s="7">
        <v>101.1041</v>
      </c>
      <c r="H1587" s="7"/>
    </row>
    <row r="1588" spans="1:8" x14ac:dyDescent="0.35">
      <c r="A1588" s="7" t="s">
        <v>351</v>
      </c>
      <c r="B1588" s="7" t="s">
        <v>26</v>
      </c>
      <c r="C1588" s="7" t="s">
        <v>27</v>
      </c>
      <c r="D1588" s="7" t="s">
        <v>28</v>
      </c>
      <c r="E1588" s="7" t="s">
        <v>29</v>
      </c>
      <c r="F1588" s="7" t="s">
        <v>190</v>
      </c>
      <c r="G1588" s="7">
        <v>100.9898</v>
      </c>
      <c r="H1588" s="7"/>
    </row>
    <row r="1589" spans="1:8" x14ac:dyDescent="0.35">
      <c r="A1589" s="7" t="s">
        <v>351</v>
      </c>
      <c r="B1589" s="7" t="s">
        <v>26</v>
      </c>
      <c r="C1589" s="7" t="s">
        <v>27</v>
      </c>
      <c r="D1589" s="7" t="s">
        <v>28</v>
      </c>
      <c r="E1589" s="7" t="s">
        <v>29</v>
      </c>
      <c r="F1589" s="7" t="s">
        <v>191</v>
      </c>
      <c r="G1589" s="7">
        <v>101.063</v>
      </c>
      <c r="H1589" s="7"/>
    </row>
    <row r="1590" spans="1:8" x14ac:dyDescent="0.35">
      <c r="A1590" s="7" t="s">
        <v>351</v>
      </c>
      <c r="B1590" s="7" t="s">
        <v>26</v>
      </c>
      <c r="C1590" s="7" t="s">
        <v>27</v>
      </c>
      <c r="D1590" s="7" t="s">
        <v>28</v>
      </c>
      <c r="E1590" s="7" t="s">
        <v>29</v>
      </c>
      <c r="F1590" s="7" t="s">
        <v>192</v>
      </c>
      <c r="G1590" s="7">
        <v>101.14319999999999</v>
      </c>
      <c r="H1590" s="7"/>
    </row>
    <row r="1591" spans="1:8" x14ac:dyDescent="0.35">
      <c r="A1591" s="7" t="s">
        <v>351</v>
      </c>
      <c r="B1591" s="7" t="s">
        <v>26</v>
      </c>
      <c r="C1591" s="7" t="s">
        <v>27</v>
      </c>
      <c r="D1591" s="7" t="s">
        <v>28</v>
      </c>
      <c r="E1591" s="7" t="s">
        <v>29</v>
      </c>
      <c r="F1591" s="7" t="s">
        <v>193</v>
      </c>
      <c r="G1591" s="7">
        <v>101.1972</v>
      </c>
      <c r="H1591" s="7"/>
    </row>
    <row r="1592" spans="1:8" x14ac:dyDescent="0.35">
      <c r="A1592" s="7" t="s">
        <v>351</v>
      </c>
      <c r="B1592" s="7" t="s">
        <v>26</v>
      </c>
      <c r="C1592" s="7" t="s">
        <v>27</v>
      </c>
      <c r="D1592" s="7" t="s">
        <v>28</v>
      </c>
      <c r="E1592" s="7" t="s">
        <v>29</v>
      </c>
      <c r="F1592" s="7" t="s">
        <v>194</v>
      </c>
      <c r="G1592" s="7">
        <v>101.3138</v>
      </c>
      <c r="H1592" s="7"/>
    </row>
    <row r="1593" spans="1:8" x14ac:dyDescent="0.35">
      <c r="A1593" s="7" t="s">
        <v>351</v>
      </c>
      <c r="B1593" s="7" t="s">
        <v>26</v>
      </c>
      <c r="C1593" s="7" t="s">
        <v>27</v>
      </c>
      <c r="D1593" s="7" t="s">
        <v>28</v>
      </c>
      <c r="E1593" s="7" t="s">
        <v>29</v>
      </c>
      <c r="F1593" s="7" t="s">
        <v>195</v>
      </c>
      <c r="G1593" s="7">
        <v>101.3202</v>
      </c>
      <c r="H1593" s="7"/>
    </row>
    <row r="1594" spans="1:8" x14ac:dyDescent="0.35">
      <c r="A1594" s="7" t="s">
        <v>351</v>
      </c>
      <c r="B1594" s="7" t="s">
        <v>26</v>
      </c>
      <c r="C1594" s="7" t="s">
        <v>27</v>
      </c>
      <c r="D1594" s="7" t="s">
        <v>28</v>
      </c>
      <c r="E1594" s="7" t="s">
        <v>29</v>
      </c>
      <c r="F1594" s="7" t="s">
        <v>196</v>
      </c>
      <c r="G1594" s="7">
        <v>101.2426</v>
      </c>
      <c r="H1594" s="7"/>
    </row>
    <row r="1595" spans="1:8" x14ac:dyDescent="0.35">
      <c r="A1595" s="7" t="s">
        <v>351</v>
      </c>
      <c r="B1595" s="7" t="s">
        <v>26</v>
      </c>
      <c r="C1595" s="7" t="s">
        <v>27</v>
      </c>
      <c r="D1595" s="7" t="s">
        <v>28</v>
      </c>
      <c r="E1595" s="7" t="s">
        <v>29</v>
      </c>
      <c r="F1595" s="7" t="s">
        <v>197</v>
      </c>
      <c r="G1595" s="7">
        <v>101.3561</v>
      </c>
      <c r="H1595" s="7"/>
    </row>
    <row r="1596" spans="1:8" x14ac:dyDescent="0.35">
      <c r="A1596" s="7" t="s">
        <v>351</v>
      </c>
      <c r="B1596" s="7" t="s">
        <v>26</v>
      </c>
      <c r="C1596" s="7" t="s">
        <v>27</v>
      </c>
      <c r="D1596" s="7" t="s">
        <v>28</v>
      </c>
      <c r="E1596" s="7" t="s">
        <v>29</v>
      </c>
      <c r="F1596" s="7" t="s">
        <v>198</v>
      </c>
      <c r="G1596" s="7">
        <v>101.49</v>
      </c>
      <c r="H1596" s="7"/>
    </row>
    <row r="1597" spans="1:8" x14ac:dyDescent="0.35">
      <c r="A1597" s="7" t="s">
        <v>351</v>
      </c>
      <c r="B1597" s="7" t="s">
        <v>26</v>
      </c>
      <c r="C1597" s="7" t="s">
        <v>27</v>
      </c>
      <c r="D1597" s="7" t="s">
        <v>28</v>
      </c>
      <c r="E1597" s="7" t="s">
        <v>29</v>
      </c>
      <c r="F1597" s="7" t="s">
        <v>199</v>
      </c>
      <c r="G1597" s="7">
        <v>101.6037</v>
      </c>
      <c r="H1597" s="7"/>
    </row>
    <row r="1598" spans="1:8" x14ac:dyDescent="0.35">
      <c r="A1598" s="7" t="s">
        <v>351</v>
      </c>
      <c r="B1598" s="7" t="s">
        <v>26</v>
      </c>
      <c r="C1598" s="7" t="s">
        <v>27</v>
      </c>
      <c r="D1598" s="7" t="s">
        <v>28</v>
      </c>
      <c r="E1598" s="7" t="s">
        <v>29</v>
      </c>
      <c r="F1598" s="7" t="s">
        <v>200</v>
      </c>
      <c r="G1598" s="7">
        <v>101.7901</v>
      </c>
      <c r="H1598" s="7"/>
    </row>
    <row r="1599" spans="1:8" x14ac:dyDescent="0.35">
      <c r="A1599" s="7" t="s">
        <v>351</v>
      </c>
      <c r="B1599" s="7" t="s">
        <v>26</v>
      </c>
      <c r="C1599" s="7" t="s">
        <v>27</v>
      </c>
      <c r="D1599" s="7" t="s">
        <v>28</v>
      </c>
      <c r="E1599" s="7" t="s">
        <v>29</v>
      </c>
      <c r="F1599" s="7" t="s">
        <v>201</v>
      </c>
      <c r="G1599" s="7">
        <v>101.83150000000001</v>
      </c>
      <c r="H1599" s="7"/>
    </row>
    <row r="1600" spans="1:8" x14ac:dyDescent="0.35">
      <c r="A1600" s="7" t="s">
        <v>351</v>
      </c>
      <c r="B1600" s="7" t="s">
        <v>26</v>
      </c>
      <c r="C1600" s="7" t="s">
        <v>27</v>
      </c>
      <c r="D1600" s="7" t="s">
        <v>28</v>
      </c>
      <c r="E1600" s="7" t="s">
        <v>29</v>
      </c>
      <c r="F1600" s="7" t="s">
        <v>202</v>
      </c>
      <c r="G1600" s="7">
        <v>101.7294</v>
      </c>
      <c r="H1600" s="7"/>
    </row>
    <row r="1601" spans="1:8" x14ac:dyDescent="0.35">
      <c r="A1601" s="7" t="s">
        <v>351</v>
      </c>
      <c r="B1601" s="7" t="s">
        <v>26</v>
      </c>
      <c r="C1601" s="7" t="s">
        <v>27</v>
      </c>
      <c r="D1601" s="7" t="s">
        <v>28</v>
      </c>
      <c r="E1601" s="7" t="s">
        <v>29</v>
      </c>
      <c r="F1601" s="7" t="s">
        <v>203</v>
      </c>
      <c r="G1601" s="7">
        <v>101.69029999999999</v>
      </c>
      <c r="H1601" s="7"/>
    </row>
    <row r="1602" spans="1:8" x14ac:dyDescent="0.35">
      <c r="A1602" s="7" t="s">
        <v>351</v>
      </c>
      <c r="B1602" s="7" t="s">
        <v>26</v>
      </c>
      <c r="C1602" s="7" t="s">
        <v>27</v>
      </c>
      <c r="D1602" s="7" t="s">
        <v>28</v>
      </c>
      <c r="E1602" s="7" t="s">
        <v>29</v>
      </c>
      <c r="F1602" s="7" t="s">
        <v>204</v>
      </c>
      <c r="G1602" s="7">
        <v>101.5671</v>
      </c>
      <c r="H1602" s="7"/>
    </row>
    <row r="1603" spans="1:8" x14ac:dyDescent="0.35">
      <c r="A1603" s="7" t="s">
        <v>351</v>
      </c>
      <c r="B1603" s="7" t="s">
        <v>26</v>
      </c>
      <c r="C1603" s="7" t="s">
        <v>27</v>
      </c>
      <c r="D1603" s="7" t="s">
        <v>28</v>
      </c>
      <c r="E1603" s="7" t="s">
        <v>29</v>
      </c>
      <c r="F1603" s="7" t="s">
        <v>205</v>
      </c>
      <c r="G1603" s="7">
        <v>101.39409999999999</v>
      </c>
      <c r="H1603" s="7"/>
    </row>
    <row r="1604" spans="1:8" x14ac:dyDescent="0.35">
      <c r="A1604" s="7" t="s">
        <v>351</v>
      </c>
      <c r="B1604" s="7" t="s">
        <v>26</v>
      </c>
      <c r="C1604" s="7" t="s">
        <v>27</v>
      </c>
      <c r="D1604" s="7" t="s">
        <v>28</v>
      </c>
      <c r="E1604" s="7" t="s">
        <v>29</v>
      </c>
      <c r="F1604" s="7" t="s">
        <v>206</v>
      </c>
      <c r="G1604" s="7">
        <v>101.3446</v>
      </c>
      <c r="H1604" s="7"/>
    </row>
    <row r="1605" spans="1:8" x14ac:dyDescent="0.35">
      <c r="A1605" s="7" t="s">
        <v>351</v>
      </c>
      <c r="B1605" s="7" t="s">
        <v>26</v>
      </c>
      <c r="C1605" s="7" t="s">
        <v>27</v>
      </c>
      <c r="D1605" s="7" t="s">
        <v>28</v>
      </c>
      <c r="E1605" s="7" t="s">
        <v>29</v>
      </c>
      <c r="F1605" s="7" t="s">
        <v>207</v>
      </c>
      <c r="G1605" s="7">
        <v>101.27030000000001</v>
      </c>
      <c r="H1605" s="7"/>
    </row>
    <row r="1606" spans="1:8" x14ac:dyDescent="0.35">
      <c r="A1606" s="7" t="s">
        <v>351</v>
      </c>
      <c r="B1606" s="7" t="s">
        <v>26</v>
      </c>
      <c r="C1606" s="7" t="s">
        <v>27</v>
      </c>
      <c r="D1606" s="7" t="s">
        <v>28</v>
      </c>
      <c r="E1606" s="7" t="s">
        <v>29</v>
      </c>
      <c r="F1606" s="7" t="s">
        <v>208</v>
      </c>
      <c r="G1606" s="7">
        <v>101.2474</v>
      </c>
      <c r="H1606" s="7"/>
    </row>
    <row r="1607" spans="1:8" x14ac:dyDescent="0.35">
      <c r="A1607" s="7" t="s">
        <v>351</v>
      </c>
      <c r="B1607" s="7" t="s">
        <v>26</v>
      </c>
      <c r="C1607" s="7" t="s">
        <v>27</v>
      </c>
      <c r="D1607" s="7" t="s">
        <v>28</v>
      </c>
      <c r="E1607" s="7" t="s">
        <v>29</v>
      </c>
      <c r="F1607" s="7" t="s">
        <v>209</v>
      </c>
      <c r="G1607" s="7">
        <v>101.40179999999999</v>
      </c>
      <c r="H1607" s="7"/>
    </row>
    <row r="1608" spans="1:8" x14ac:dyDescent="0.35">
      <c r="A1608" s="7" t="s">
        <v>351</v>
      </c>
      <c r="B1608" s="7" t="s">
        <v>26</v>
      </c>
      <c r="C1608" s="7" t="s">
        <v>27</v>
      </c>
      <c r="D1608" s="7" t="s">
        <v>28</v>
      </c>
      <c r="E1608" s="7" t="s">
        <v>29</v>
      </c>
      <c r="F1608" s="7" t="s">
        <v>210</v>
      </c>
      <c r="G1608" s="7">
        <v>101.51990000000001</v>
      </c>
      <c r="H1608" s="7"/>
    </row>
    <row r="1609" spans="1:8" x14ac:dyDescent="0.35">
      <c r="A1609" s="7" t="s">
        <v>351</v>
      </c>
      <c r="B1609" s="7" t="s">
        <v>26</v>
      </c>
      <c r="C1609" s="7" t="s">
        <v>27</v>
      </c>
      <c r="D1609" s="7" t="s">
        <v>28</v>
      </c>
      <c r="E1609" s="7" t="s">
        <v>29</v>
      </c>
      <c r="F1609" s="7" t="s">
        <v>211</v>
      </c>
      <c r="G1609" s="7">
        <v>101.5271</v>
      </c>
      <c r="H1609" s="7"/>
    </row>
    <row r="1610" spans="1:8" x14ac:dyDescent="0.35">
      <c r="A1610" s="7" t="s">
        <v>351</v>
      </c>
      <c r="B1610" s="7" t="s">
        <v>26</v>
      </c>
      <c r="C1610" s="7" t="s">
        <v>27</v>
      </c>
      <c r="D1610" s="7" t="s">
        <v>28</v>
      </c>
      <c r="E1610" s="7" t="s">
        <v>29</v>
      </c>
      <c r="F1610" s="7" t="s">
        <v>212</v>
      </c>
      <c r="G1610" s="7">
        <v>101.59050000000001</v>
      </c>
      <c r="H1610" s="7"/>
    </row>
    <row r="1611" spans="1:8" x14ac:dyDescent="0.35">
      <c r="A1611" s="7" t="s">
        <v>351</v>
      </c>
      <c r="B1611" s="7" t="s">
        <v>26</v>
      </c>
      <c r="C1611" s="7" t="s">
        <v>27</v>
      </c>
      <c r="D1611" s="7" t="s">
        <v>28</v>
      </c>
      <c r="E1611" s="7" t="s">
        <v>29</v>
      </c>
      <c r="F1611" s="7" t="s">
        <v>213</v>
      </c>
      <c r="G1611" s="7">
        <v>101.53270000000001</v>
      </c>
      <c r="H1611" s="7"/>
    </row>
    <row r="1612" spans="1:8" x14ac:dyDescent="0.35">
      <c r="A1612" s="7" t="s">
        <v>351</v>
      </c>
      <c r="B1612" s="7" t="s">
        <v>26</v>
      </c>
      <c r="C1612" s="7" t="s">
        <v>27</v>
      </c>
      <c r="D1612" s="7" t="s">
        <v>28</v>
      </c>
      <c r="E1612" s="7" t="s">
        <v>29</v>
      </c>
      <c r="F1612" s="7" t="s">
        <v>214</v>
      </c>
      <c r="G1612" s="7">
        <v>101.3198</v>
      </c>
      <c r="H1612" s="7"/>
    </row>
    <row r="1613" spans="1:8" x14ac:dyDescent="0.35">
      <c r="A1613" s="7" t="s">
        <v>351</v>
      </c>
      <c r="B1613" s="7" t="s">
        <v>26</v>
      </c>
      <c r="C1613" s="7" t="s">
        <v>27</v>
      </c>
      <c r="D1613" s="7" t="s">
        <v>28</v>
      </c>
      <c r="E1613" s="7" t="s">
        <v>29</v>
      </c>
      <c r="F1613" s="7" t="s">
        <v>215</v>
      </c>
      <c r="G1613" s="7">
        <v>101.119</v>
      </c>
      <c r="H1613" s="7"/>
    </row>
    <row r="1614" spans="1:8" x14ac:dyDescent="0.35">
      <c r="A1614" s="7" t="s">
        <v>351</v>
      </c>
      <c r="B1614" s="7" t="s">
        <v>26</v>
      </c>
      <c r="C1614" s="7" t="s">
        <v>27</v>
      </c>
      <c r="D1614" s="7" t="s">
        <v>28</v>
      </c>
      <c r="E1614" s="7" t="s">
        <v>29</v>
      </c>
      <c r="F1614" s="7" t="s">
        <v>216</v>
      </c>
      <c r="G1614" s="7">
        <v>100.8779</v>
      </c>
      <c r="H1614" s="7"/>
    </row>
    <row r="1615" spans="1:8" x14ac:dyDescent="0.35">
      <c r="A1615" s="7" t="s">
        <v>351</v>
      </c>
      <c r="B1615" s="7" t="s">
        <v>26</v>
      </c>
      <c r="C1615" s="7" t="s">
        <v>27</v>
      </c>
      <c r="D1615" s="7" t="s">
        <v>28</v>
      </c>
      <c r="E1615" s="7" t="s">
        <v>29</v>
      </c>
      <c r="F1615" s="7" t="s">
        <v>217</v>
      </c>
      <c r="G1615" s="7">
        <v>100.6079</v>
      </c>
      <c r="H1615" s="7"/>
    </row>
    <row r="1616" spans="1:8" x14ac:dyDescent="0.35">
      <c r="A1616" s="7" t="s">
        <v>351</v>
      </c>
      <c r="B1616" s="7" t="s">
        <v>26</v>
      </c>
      <c r="C1616" s="7" t="s">
        <v>27</v>
      </c>
      <c r="D1616" s="7" t="s">
        <v>28</v>
      </c>
      <c r="E1616" s="7" t="s">
        <v>29</v>
      </c>
      <c r="F1616" s="7" t="s">
        <v>218</v>
      </c>
      <c r="G1616" s="7">
        <v>100.4327</v>
      </c>
      <c r="H1616" s="7"/>
    </row>
    <row r="1617" spans="1:8" x14ac:dyDescent="0.35">
      <c r="A1617" s="7" t="s">
        <v>351</v>
      </c>
      <c r="B1617" s="7" t="s">
        <v>26</v>
      </c>
      <c r="C1617" s="7" t="s">
        <v>27</v>
      </c>
      <c r="D1617" s="7" t="s">
        <v>28</v>
      </c>
      <c r="E1617" s="7" t="s">
        <v>29</v>
      </c>
      <c r="F1617" s="7" t="s">
        <v>219</v>
      </c>
      <c r="G1617" s="7">
        <v>100.30759999999999</v>
      </c>
      <c r="H1617" s="7"/>
    </row>
    <row r="1618" spans="1:8" x14ac:dyDescent="0.35">
      <c r="A1618" s="7" t="s">
        <v>351</v>
      </c>
      <c r="B1618" s="7" t="s">
        <v>26</v>
      </c>
      <c r="C1618" s="7" t="s">
        <v>27</v>
      </c>
      <c r="D1618" s="7" t="s">
        <v>28</v>
      </c>
      <c r="E1618" s="7" t="s">
        <v>29</v>
      </c>
      <c r="F1618" s="7" t="s">
        <v>220</v>
      </c>
      <c r="G1618" s="7">
        <v>100.1391</v>
      </c>
      <c r="H1618" s="7"/>
    </row>
    <row r="1619" spans="1:8" x14ac:dyDescent="0.35">
      <c r="A1619" s="7" t="s">
        <v>351</v>
      </c>
      <c r="B1619" s="7" t="s">
        <v>26</v>
      </c>
      <c r="C1619" s="7" t="s">
        <v>27</v>
      </c>
      <c r="D1619" s="7" t="s">
        <v>28</v>
      </c>
      <c r="E1619" s="7" t="s">
        <v>29</v>
      </c>
      <c r="F1619" s="7" t="s">
        <v>221</v>
      </c>
      <c r="G1619" s="7">
        <v>99.855450000000005</v>
      </c>
      <c r="H1619" s="7"/>
    </row>
    <row r="1620" spans="1:8" x14ac:dyDescent="0.35">
      <c r="A1620" s="7" t="s">
        <v>351</v>
      </c>
      <c r="B1620" s="7" t="s">
        <v>26</v>
      </c>
      <c r="C1620" s="7" t="s">
        <v>27</v>
      </c>
      <c r="D1620" s="7" t="s">
        <v>28</v>
      </c>
      <c r="E1620" s="7" t="s">
        <v>29</v>
      </c>
      <c r="F1620" s="7" t="s">
        <v>222</v>
      </c>
      <c r="G1620" s="7">
        <v>99.464650000000006</v>
      </c>
      <c r="H1620" s="7"/>
    </row>
    <row r="1621" spans="1:8" x14ac:dyDescent="0.35">
      <c r="A1621" s="7" t="s">
        <v>351</v>
      </c>
      <c r="B1621" s="7" t="s">
        <v>26</v>
      </c>
      <c r="C1621" s="7" t="s">
        <v>27</v>
      </c>
      <c r="D1621" s="7" t="s">
        <v>28</v>
      </c>
      <c r="E1621" s="7" t="s">
        <v>29</v>
      </c>
      <c r="F1621" s="7" t="s">
        <v>223</v>
      </c>
      <c r="G1621" s="7">
        <v>99.117869999999996</v>
      </c>
      <c r="H1621" s="7"/>
    </row>
    <row r="1622" spans="1:8" x14ac:dyDescent="0.35">
      <c r="A1622" s="7" t="s">
        <v>351</v>
      </c>
      <c r="B1622" s="7" t="s">
        <v>26</v>
      </c>
      <c r="C1622" s="7" t="s">
        <v>27</v>
      </c>
      <c r="D1622" s="7" t="s">
        <v>28</v>
      </c>
      <c r="E1622" s="7" t="s">
        <v>29</v>
      </c>
      <c r="F1622" s="7" t="s">
        <v>224</v>
      </c>
      <c r="G1622" s="7">
        <v>98.839219999999997</v>
      </c>
      <c r="H1622" s="7"/>
    </row>
    <row r="1623" spans="1:8" x14ac:dyDescent="0.35">
      <c r="A1623" s="7" t="s">
        <v>351</v>
      </c>
      <c r="B1623" s="7" t="s">
        <v>26</v>
      </c>
      <c r="C1623" s="7" t="s">
        <v>27</v>
      </c>
      <c r="D1623" s="7" t="s">
        <v>28</v>
      </c>
      <c r="E1623" s="7" t="s">
        <v>29</v>
      </c>
      <c r="F1623" s="7" t="s">
        <v>225</v>
      </c>
      <c r="G1623" s="7">
        <v>98.569509999999994</v>
      </c>
      <c r="H1623" s="7"/>
    </row>
    <row r="1624" spans="1:8" x14ac:dyDescent="0.35">
      <c r="A1624" s="7" t="s">
        <v>351</v>
      </c>
      <c r="B1624" s="7" t="s">
        <v>26</v>
      </c>
      <c r="C1624" s="7" t="s">
        <v>27</v>
      </c>
      <c r="D1624" s="7" t="s">
        <v>28</v>
      </c>
      <c r="E1624" s="7" t="s">
        <v>29</v>
      </c>
      <c r="F1624" s="7" t="s">
        <v>226</v>
      </c>
      <c r="G1624" s="7">
        <v>98.252179999999996</v>
      </c>
      <c r="H1624" s="7"/>
    </row>
    <row r="1625" spans="1:8" x14ac:dyDescent="0.35">
      <c r="A1625" s="7" t="s">
        <v>351</v>
      </c>
      <c r="B1625" s="7" t="s">
        <v>26</v>
      </c>
      <c r="C1625" s="7" t="s">
        <v>27</v>
      </c>
      <c r="D1625" s="7" t="s">
        <v>28</v>
      </c>
      <c r="E1625" s="7" t="s">
        <v>29</v>
      </c>
      <c r="F1625" s="7" t="s">
        <v>227</v>
      </c>
      <c r="G1625" s="7">
        <v>97.827550000000002</v>
      </c>
      <c r="H1625" s="7"/>
    </row>
    <row r="1626" spans="1:8" x14ac:dyDescent="0.35">
      <c r="A1626" s="7" t="s">
        <v>351</v>
      </c>
      <c r="B1626" s="7" t="s">
        <v>26</v>
      </c>
      <c r="C1626" s="7" t="s">
        <v>27</v>
      </c>
      <c r="D1626" s="7" t="s">
        <v>28</v>
      </c>
      <c r="E1626" s="7" t="s">
        <v>29</v>
      </c>
      <c r="F1626" s="7" t="s">
        <v>228</v>
      </c>
      <c r="G1626" s="7">
        <v>97.384889999999999</v>
      </c>
      <c r="H1626" s="7"/>
    </row>
    <row r="1627" spans="1:8" x14ac:dyDescent="0.35">
      <c r="A1627" s="7" t="s">
        <v>351</v>
      </c>
      <c r="B1627" s="7" t="s">
        <v>26</v>
      </c>
      <c r="C1627" s="7" t="s">
        <v>27</v>
      </c>
      <c r="D1627" s="7" t="s">
        <v>28</v>
      </c>
      <c r="E1627" s="7" t="s">
        <v>29</v>
      </c>
      <c r="F1627" s="7" t="s">
        <v>229</v>
      </c>
      <c r="G1627" s="7">
        <v>97.00864</v>
      </c>
      <c r="H1627" s="7"/>
    </row>
    <row r="1628" spans="1:8" x14ac:dyDescent="0.35">
      <c r="A1628" s="7" t="s">
        <v>351</v>
      </c>
      <c r="B1628" s="7" t="s">
        <v>26</v>
      </c>
      <c r="C1628" s="7" t="s">
        <v>27</v>
      </c>
      <c r="D1628" s="7" t="s">
        <v>28</v>
      </c>
      <c r="E1628" s="7" t="s">
        <v>29</v>
      </c>
      <c r="F1628" s="7" t="s">
        <v>230</v>
      </c>
      <c r="G1628" s="7">
        <v>96.725380000000001</v>
      </c>
      <c r="H1628" s="7"/>
    </row>
    <row r="1629" spans="1:8" x14ac:dyDescent="0.35">
      <c r="A1629" s="7" t="s">
        <v>351</v>
      </c>
      <c r="B1629" s="7" t="s">
        <v>26</v>
      </c>
      <c r="C1629" s="7" t="s">
        <v>27</v>
      </c>
      <c r="D1629" s="7" t="s">
        <v>28</v>
      </c>
      <c r="E1629" s="7" t="s">
        <v>29</v>
      </c>
      <c r="F1629" s="7" t="s">
        <v>231</v>
      </c>
      <c r="G1629" s="7">
        <v>96.549469999999999</v>
      </c>
      <c r="H1629" s="7"/>
    </row>
    <row r="1630" spans="1:8" x14ac:dyDescent="0.35">
      <c r="A1630" s="7" t="s">
        <v>351</v>
      </c>
      <c r="B1630" s="7" t="s">
        <v>26</v>
      </c>
      <c r="C1630" s="7" t="s">
        <v>27</v>
      </c>
      <c r="D1630" s="7" t="s">
        <v>28</v>
      </c>
      <c r="E1630" s="7" t="s">
        <v>29</v>
      </c>
      <c r="F1630" s="7" t="s">
        <v>232</v>
      </c>
      <c r="G1630" s="7">
        <v>96.463419999999999</v>
      </c>
      <c r="H1630" s="7"/>
    </row>
    <row r="1631" spans="1:8" x14ac:dyDescent="0.35">
      <c r="A1631" s="7" t="s">
        <v>351</v>
      </c>
      <c r="B1631" s="7" t="s">
        <v>26</v>
      </c>
      <c r="C1631" s="7" t="s">
        <v>27</v>
      </c>
      <c r="D1631" s="7" t="s">
        <v>28</v>
      </c>
      <c r="E1631" s="7" t="s">
        <v>29</v>
      </c>
      <c r="F1631" s="7" t="s">
        <v>233</v>
      </c>
      <c r="G1631" s="7">
        <v>96.290819999999997</v>
      </c>
      <c r="H1631" s="7"/>
    </row>
    <row r="1632" spans="1:8" x14ac:dyDescent="0.35">
      <c r="A1632" s="7" t="s">
        <v>351</v>
      </c>
      <c r="B1632" s="7" t="s">
        <v>26</v>
      </c>
      <c r="C1632" s="7" t="s">
        <v>27</v>
      </c>
      <c r="D1632" s="7" t="s">
        <v>28</v>
      </c>
      <c r="E1632" s="7" t="s">
        <v>29</v>
      </c>
      <c r="F1632" s="7" t="s">
        <v>234</v>
      </c>
      <c r="G1632" s="7">
        <v>96.085329999999999</v>
      </c>
      <c r="H1632" s="7"/>
    </row>
    <row r="1633" spans="1:8" x14ac:dyDescent="0.35">
      <c r="A1633" s="7" t="s">
        <v>351</v>
      </c>
      <c r="B1633" s="7" t="s">
        <v>26</v>
      </c>
      <c r="C1633" s="7" t="s">
        <v>27</v>
      </c>
      <c r="D1633" s="7" t="s">
        <v>28</v>
      </c>
      <c r="E1633" s="7" t="s">
        <v>29</v>
      </c>
      <c r="F1633" s="7" t="s">
        <v>235</v>
      </c>
      <c r="G1633" s="7">
        <v>95.890219999999999</v>
      </c>
      <c r="H1633" s="7"/>
    </row>
    <row r="1634" spans="1:8" x14ac:dyDescent="0.35">
      <c r="A1634" s="7" t="s">
        <v>351</v>
      </c>
      <c r="B1634" s="7" t="s">
        <v>26</v>
      </c>
      <c r="C1634" s="7" t="s">
        <v>27</v>
      </c>
      <c r="D1634" s="7" t="s">
        <v>28</v>
      </c>
      <c r="E1634" s="7" t="s">
        <v>29</v>
      </c>
      <c r="F1634" s="7" t="s">
        <v>236</v>
      </c>
      <c r="G1634" s="7">
        <v>95.833569999999995</v>
      </c>
      <c r="H1634" s="7"/>
    </row>
    <row r="1635" spans="1:8" x14ac:dyDescent="0.35">
      <c r="A1635" s="7" t="s">
        <v>351</v>
      </c>
      <c r="B1635" s="7" t="s">
        <v>26</v>
      </c>
      <c r="C1635" s="7" t="s">
        <v>27</v>
      </c>
      <c r="D1635" s="7" t="s">
        <v>28</v>
      </c>
      <c r="E1635" s="7" t="s">
        <v>29</v>
      </c>
      <c r="F1635" s="7" t="s">
        <v>237</v>
      </c>
      <c r="G1635" s="7">
        <v>95.992959999999997</v>
      </c>
      <c r="H1635" s="7"/>
    </row>
    <row r="1636" spans="1:8" x14ac:dyDescent="0.35">
      <c r="A1636" s="7" t="s">
        <v>351</v>
      </c>
      <c r="B1636" s="7" t="s">
        <v>26</v>
      </c>
      <c r="C1636" s="7" t="s">
        <v>27</v>
      </c>
      <c r="D1636" s="7" t="s">
        <v>28</v>
      </c>
      <c r="E1636" s="7" t="s">
        <v>29</v>
      </c>
      <c r="F1636" s="7" t="s">
        <v>238</v>
      </c>
      <c r="G1636" s="7">
        <v>96.424549999999996</v>
      </c>
      <c r="H1636" s="7"/>
    </row>
    <row r="1637" spans="1:8" x14ac:dyDescent="0.35">
      <c r="A1637" s="7" t="s">
        <v>351</v>
      </c>
      <c r="B1637" s="7" t="s">
        <v>26</v>
      </c>
      <c r="C1637" s="7" t="s">
        <v>27</v>
      </c>
      <c r="D1637" s="7" t="s">
        <v>28</v>
      </c>
      <c r="E1637" s="7" t="s">
        <v>29</v>
      </c>
      <c r="F1637" s="7" t="s">
        <v>239</v>
      </c>
      <c r="G1637" s="7">
        <v>97.058779999999999</v>
      </c>
      <c r="H1637" s="7"/>
    </row>
    <row r="1638" spans="1:8" x14ac:dyDescent="0.35">
      <c r="A1638" s="7" t="s">
        <v>351</v>
      </c>
      <c r="B1638" s="7" t="s">
        <v>26</v>
      </c>
      <c r="C1638" s="7" t="s">
        <v>27</v>
      </c>
      <c r="D1638" s="7" t="s">
        <v>28</v>
      </c>
      <c r="E1638" s="7" t="s">
        <v>29</v>
      </c>
      <c r="F1638" s="7" t="s">
        <v>240</v>
      </c>
      <c r="G1638" s="7">
        <v>97.736990000000006</v>
      </c>
      <c r="H1638" s="7"/>
    </row>
    <row r="1639" spans="1:8" x14ac:dyDescent="0.35">
      <c r="A1639" s="7" t="s">
        <v>351</v>
      </c>
      <c r="B1639" s="7" t="s">
        <v>26</v>
      </c>
      <c r="C1639" s="7" t="s">
        <v>27</v>
      </c>
      <c r="D1639" s="7" t="s">
        <v>28</v>
      </c>
      <c r="E1639" s="7" t="s">
        <v>29</v>
      </c>
      <c r="F1639" s="7" t="s">
        <v>241</v>
      </c>
      <c r="G1639" s="7">
        <v>98.320890000000006</v>
      </c>
      <c r="H1639" s="7"/>
    </row>
    <row r="1640" spans="1:8" x14ac:dyDescent="0.35">
      <c r="A1640" s="7" t="s">
        <v>351</v>
      </c>
      <c r="B1640" s="7" t="s">
        <v>26</v>
      </c>
      <c r="C1640" s="7" t="s">
        <v>27</v>
      </c>
      <c r="D1640" s="7" t="s">
        <v>28</v>
      </c>
      <c r="E1640" s="7" t="s">
        <v>29</v>
      </c>
      <c r="F1640" s="7" t="s">
        <v>242</v>
      </c>
      <c r="G1640" s="7">
        <v>98.785439999999994</v>
      </c>
      <c r="H1640" s="7"/>
    </row>
    <row r="1641" spans="1:8" x14ac:dyDescent="0.35">
      <c r="A1641" s="7" t="s">
        <v>351</v>
      </c>
      <c r="B1641" s="7" t="s">
        <v>26</v>
      </c>
      <c r="C1641" s="7" t="s">
        <v>27</v>
      </c>
      <c r="D1641" s="7" t="s">
        <v>28</v>
      </c>
      <c r="E1641" s="7" t="s">
        <v>29</v>
      </c>
      <c r="F1641" s="7" t="s">
        <v>243</v>
      </c>
      <c r="G1641" s="7">
        <v>99.075689999999994</v>
      </c>
      <c r="H1641" s="7"/>
    </row>
    <row r="1642" spans="1:8" x14ac:dyDescent="0.35">
      <c r="A1642" s="7" t="s">
        <v>351</v>
      </c>
      <c r="B1642" s="7" t="s">
        <v>26</v>
      </c>
      <c r="C1642" s="7" t="s">
        <v>27</v>
      </c>
      <c r="D1642" s="7" t="s">
        <v>28</v>
      </c>
      <c r="E1642" s="7" t="s">
        <v>29</v>
      </c>
      <c r="F1642" s="7" t="s">
        <v>244</v>
      </c>
      <c r="G1642" s="7">
        <v>99.220600000000005</v>
      </c>
      <c r="H1642" s="7"/>
    </row>
    <row r="1643" spans="1:8" x14ac:dyDescent="0.35">
      <c r="A1643" s="7" t="s">
        <v>351</v>
      </c>
      <c r="B1643" s="7" t="s">
        <v>26</v>
      </c>
      <c r="C1643" s="7" t="s">
        <v>27</v>
      </c>
      <c r="D1643" s="7" t="s">
        <v>28</v>
      </c>
      <c r="E1643" s="7" t="s">
        <v>29</v>
      </c>
      <c r="F1643" s="7" t="s">
        <v>245</v>
      </c>
      <c r="G1643" s="7">
        <v>99.263140000000007</v>
      </c>
      <c r="H1643" s="7"/>
    </row>
    <row r="1644" spans="1:8" x14ac:dyDescent="0.35">
      <c r="A1644" s="7" t="s">
        <v>351</v>
      </c>
      <c r="B1644" s="7" t="s">
        <v>26</v>
      </c>
      <c r="C1644" s="7" t="s">
        <v>27</v>
      </c>
      <c r="D1644" s="7" t="s">
        <v>28</v>
      </c>
      <c r="E1644" s="7" t="s">
        <v>29</v>
      </c>
      <c r="F1644" s="7" t="s">
        <v>246</v>
      </c>
      <c r="G1644" s="7">
        <v>99.225560000000002</v>
      </c>
      <c r="H1644" s="7"/>
    </row>
    <row r="1645" spans="1:8" x14ac:dyDescent="0.35">
      <c r="A1645" s="7" t="s">
        <v>351</v>
      </c>
      <c r="B1645" s="7" t="s">
        <v>26</v>
      </c>
      <c r="C1645" s="7" t="s">
        <v>27</v>
      </c>
      <c r="D1645" s="7" t="s">
        <v>28</v>
      </c>
      <c r="E1645" s="7" t="s">
        <v>29</v>
      </c>
      <c r="F1645" s="7" t="s">
        <v>247</v>
      </c>
      <c r="G1645" s="7">
        <v>99.176969999999997</v>
      </c>
      <c r="H1645" s="7"/>
    </row>
    <row r="1646" spans="1:8" x14ac:dyDescent="0.35">
      <c r="A1646" s="7" t="s">
        <v>351</v>
      </c>
      <c r="B1646" s="7" t="s">
        <v>26</v>
      </c>
      <c r="C1646" s="7" t="s">
        <v>27</v>
      </c>
      <c r="D1646" s="7" t="s">
        <v>28</v>
      </c>
      <c r="E1646" s="7" t="s">
        <v>29</v>
      </c>
      <c r="F1646" s="7" t="s">
        <v>248</v>
      </c>
      <c r="G1646" s="7">
        <v>99.271000000000001</v>
      </c>
      <c r="H1646" s="7"/>
    </row>
    <row r="1647" spans="1:8" x14ac:dyDescent="0.35">
      <c r="A1647" s="7" t="s">
        <v>351</v>
      </c>
      <c r="B1647" s="7" t="s">
        <v>26</v>
      </c>
      <c r="C1647" s="7" t="s">
        <v>27</v>
      </c>
      <c r="D1647" s="7" t="s">
        <v>28</v>
      </c>
      <c r="E1647" s="7" t="s">
        <v>29</v>
      </c>
      <c r="F1647" s="7" t="s">
        <v>249</v>
      </c>
      <c r="G1647" s="7">
        <v>99.43629</v>
      </c>
      <c r="H1647" s="7"/>
    </row>
    <row r="1648" spans="1:8" x14ac:dyDescent="0.35">
      <c r="A1648" s="7" t="s">
        <v>351</v>
      </c>
      <c r="B1648" s="7" t="s">
        <v>26</v>
      </c>
      <c r="C1648" s="7" t="s">
        <v>27</v>
      </c>
      <c r="D1648" s="7" t="s">
        <v>28</v>
      </c>
      <c r="E1648" s="7" t="s">
        <v>29</v>
      </c>
      <c r="F1648" s="7" t="s">
        <v>250</v>
      </c>
      <c r="G1648" s="7">
        <v>99.612930000000006</v>
      </c>
      <c r="H1648" s="7"/>
    </row>
    <row r="1649" spans="1:8" x14ac:dyDescent="0.35">
      <c r="A1649" s="7" t="s">
        <v>351</v>
      </c>
      <c r="B1649" s="7" t="s">
        <v>26</v>
      </c>
      <c r="C1649" s="7" t="s">
        <v>27</v>
      </c>
      <c r="D1649" s="7" t="s">
        <v>28</v>
      </c>
      <c r="E1649" s="7" t="s">
        <v>29</v>
      </c>
      <c r="F1649" s="7" t="s">
        <v>251</v>
      </c>
      <c r="G1649" s="7">
        <v>99.752499999999998</v>
      </c>
      <c r="H1649" s="7"/>
    </row>
    <row r="1650" spans="1:8" x14ac:dyDescent="0.35">
      <c r="A1650" s="7" t="s">
        <v>351</v>
      </c>
      <c r="B1650" s="7" t="s">
        <v>26</v>
      </c>
      <c r="C1650" s="7" t="s">
        <v>27</v>
      </c>
      <c r="D1650" s="7" t="s">
        <v>28</v>
      </c>
      <c r="E1650" s="7" t="s">
        <v>29</v>
      </c>
      <c r="F1650" s="7" t="s">
        <v>252</v>
      </c>
      <c r="G1650" s="7">
        <v>99.834180000000003</v>
      </c>
      <c r="H1650" s="7"/>
    </row>
    <row r="1651" spans="1:8" x14ac:dyDescent="0.35">
      <c r="A1651" s="7" t="s">
        <v>351</v>
      </c>
      <c r="B1651" s="7" t="s">
        <v>26</v>
      </c>
      <c r="C1651" s="7" t="s">
        <v>27</v>
      </c>
      <c r="D1651" s="7" t="s">
        <v>28</v>
      </c>
      <c r="E1651" s="7" t="s">
        <v>29</v>
      </c>
      <c r="F1651" s="7" t="s">
        <v>253</v>
      </c>
      <c r="G1651" s="7">
        <v>99.862899999999996</v>
      </c>
      <c r="H1651" s="7"/>
    </row>
    <row r="1652" spans="1:8" x14ac:dyDescent="0.35">
      <c r="A1652" s="7" t="s">
        <v>351</v>
      </c>
      <c r="B1652" s="7" t="s">
        <v>26</v>
      </c>
      <c r="C1652" s="7" t="s">
        <v>27</v>
      </c>
      <c r="D1652" s="7" t="s">
        <v>28</v>
      </c>
      <c r="E1652" s="7" t="s">
        <v>29</v>
      </c>
      <c r="F1652" s="7" t="s">
        <v>254</v>
      </c>
      <c r="G1652" s="7">
        <v>99.815190000000001</v>
      </c>
      <c r="H1652" s="7"/>
    </row>
    <row r="1653" spans="1:8" x14ac:dyDescent="0.35">
      <c r="A1653" s="7" t="s">
        <v>351</v>
      </c>
      <c r="B1653" s="7" t="s">
        <v>26</v>
      </c>
      <c r="C1653" s="7" t="s">
        <v>27</v>
      </c>
      <c r="D1653" s="7" t="s">
        <v>28</v>
      </c>
      <c r="E1653" s="7" t="s">
        <v>29</v>
      </c>
      <c r="F1653" s="7" t="s">
        <v>255</v>
      </c>
      <c r="G1653" s="7">
        <v>99.693119999999993</v>
      </c>
      <c r="H1653" s="7"/>
    </row>
    <row r="1654" spans="1:8" x14ac:dyDescent="0.35">
      <c r="A1654" s="7" t="s">
        <v>351</v>
      </c>
      <c r="B1654" s="7" t="s">
        <v>26</v>
      </c>
      <c r="C1654" s="7" t="s">
        <v>27</v>
      </c>
      <c r="D1654" s="7" t="s">
        <v>28</v>
      </c>
      <c r="E1654" s="7" t="s">
        <v>29</v>
      </c>
      <c r="F1654" s="7" t="s">
        <v>256</v>
      </c>
      <c r="G1654" s="7">
        <v>99.571979999999996</v>
      </c>
      <c r="H1654" s="7"/>
    </row>
    <row r="1655" spans="1:8" x14ac:dyDescent="0.35">
      <c r="A1655" s="7" t="s">
        <v>351</v>
      </c>
      <c r="B1655" s="7" t="s">
        <v>26</v>
      </c>
      <c r="C1655" s="7" t="s">
        <v>27</v>
      </c>
      <c r="D1655" s="7" t="s">
        <v>28</v>
      </c>
      <c r="E1655" s="7" t="s">
        <v>29</v>
      </c>
      <c r="F1655" s="7" t="s">
        <v>257</v>
      </c>
      <c r="G1655" s="7">
        <v>99.557119999999998</v>
      </c>
      <c r="H1655" s="7"/>
    </row>
    <row r="1656" spans="1:8" x14ac:dyDescent="0.35">
      <c r="A1656" s="7" t="s">
        <v>351</v>
      </c>
      <c r="B1656" s="7" t="s">
        <v>26</v>
      </c>
      <c r="C1656" s="7" t="s">
        <v>27</v>
      </c>
      <c r="D1656" s="7" t="s">
        <v>28</v>
      </c>
      <c r="E1656" s="7" t="s">
        <v>29</v>
      </c>
      <c r="F1656" s="7" t="s">
        <v>258</v>
      </c>
      <c r="G1656" s="7">
        <v>99.629649999999998</v>
      </c>
      <c r="H1656" s="7"/>
    </row>
    <row r="1657" spans="1:8" x14ac:dyDescent="0.35">
      <c r="A1657" s="7" t="s">
        <v>351</v>
      </c>
      <c r="B1657" s="7" t="s">
        <v>26</v>
      </c>
      <c r="C1657" s="7" t="s">
        <v>27</v>
      </c>
      <c r="D1657" s="7" t="s">
        <v>28</v>
      </c>
      <c r="E1657" s="7" t="s">
        <v>29</v>
      </c>
      <c r="F1657" s="7" t="s">
        <v>259</v>
      </c>
      <c r="G1657" s="7">
        <v>99.688869999999994</v>
      </c>
      <c r="H1657" s="7"/>
    </row>
    <row r="1658" spans="1:8" x14ac:dyDescent="0.35">
      <c r="A1658" s="7" t="s">
        <v>351</v>
      </c>
      <c r="B1658" s="7" t="s">
        <v>26</v>
      </c>
      <c r="C1658" s="7" t="s">
        <v>27</v>
      </c>
      <c r="D1658" s="7" t="s">
        <v>28</v>
      </c>
      <c r="E1658" s="7" t="s">
        <v>29</v>
      </c>
      <c r="F1658" s="7" t="s">
        <v>260</v>
      </c>
      <c r="G1658" s="7">
        <v>99.617369999999994</v>
      </c>
      <c r="H1658" s="7"/>
    </row>
    <row r="1659" spans="1:8" x14ac:dyDescent="0.35">
      <c r="A1659" s="7" t="s">
        <v>351</v>
      </c>
      <c r="B1659" s="7" t="s">
        <v>26</v>
      </c>
      <c r="C1659" s="7" t="s">
        <v>27</v>
      </c>
      <c r="D1659" s="7" t="s">
        <v>28</v>
      </c>
      <c r="E1659" s="7" t="s">
        <v>29</v>
      </c>
      <c r="F1659" s="7" t="s">
        <v>261</v>
      </c>
      <c r="G1659" s="7">
        <v>99.277019999999993</v>
      </c>
      <c r="H1659" s="7"/>
    </row>
    <row r="1660" spans="1:8" x14ac:dyDescent="0.35">
      <c r="A1660" s="7" t="s">
        <v>351</v>
      </c>
      <c r="B1660" s="7" t="s">
        <v>26</v>
      </c>
      <c r="C1660" s="7" t="s">
        <v>27</v>
      </c>
      <c r="D1660" s="7" t="s">
        <v>28</v>
      </c>
      <c r="E1660" s="7" t="s">
        <v>29</v>
      </c>
      <c r="F1660" s="7" t="s">
        <v>262</v>
      </c>
      <c r="G1660" s="7">
        <v>98.635450000000006</v>
      </c>
      <c r="H1660" s="7"/>
    </row>
    <row r="1661" spans="1:8" x14ac:dyDescent="0.35">
      <c r="A1661" s="7" t="s">
        <v>351</v>
      </c>
      <c r="B1661" s="7" t="s">
        <v>26</v>
      </c>
      <c r="C1661" s="7" t="s">
        <v>27</v>
      </c>
      <c r="D1661" s="7" t="s">
        <v>28</v>
      </c>
      <c r="E1661" s="7" t="s">
        <v>29</v>
      </c>
      <c r="F1661" s="7" t="s">
        <v>263</v>
      </c>
      <c r="G1661" s="7">
        <v>97.968760000000003</v>
      </c>
      <c r="H1661" s="7"/>
    </row>
    <row r="1662" spans="1:8" x14ac:dyDescent="0.35">
      <c r="A1662" s="7" t="s">
        <v>351</v>
      </c>
      <c r="B1662" s="7" t="s">
        <v>26</v>
      </c>
      <c r="C1662" s="7" t="s">
        <v>27</v>
      </c>
      <c r="D1662" s="7" t="s">
        <v>28</v>
      </c>
      <c r="E1662" s="7" t="s">
        <v>29</v>
      </c>
      <c r="F1662" s="7" t="s">
        <v>264</v>
      </c>
      <c r="G1662" s="7">
        <v>97.759389999999996</v>
      </c>
      <c r="H1662" s="7"/>
    </row>
    <row r="1663" spans="1:8" x14ac:dyDescent="0.35">
      <c r="A1663" s="7" t="s">
        <v>351</v>
      </c>
      <c r="B1663" s="7" t="s">
        <v>26</v>
      </c>
      <c r="C1663" s="7" t="s">
        <v>27</v>
      </c>
      <c r="D1663" s="7" t="s">
        <v>28</v>
      </c>
      <c r="E1663" s="7" t="s">
        <v>29</v>
      </c>
      <c r="F1663" s="7" t="s">
        <v>265</v>
      </c>
      <c r="G1663" s="7">
        <v>97.903099999999995</v>
      </c>
      <c r="H1663" s="7"/>
    </row>
    <row r="1664" spans="1:8" x14ac:dyDescent="0.35">
      <c r="A1664" s="7" t="s">
        <v>351</v>
      </c>
      <c r="B1664" s="7" t="s">
        <v>26</v>
      </c>
      <c r="C1664" s="7" t="s">
        <v>27</v>
      </c>
      <c r="D1664" s="7" t="s">
        <v>28</v>
      </c>
      <c r="E1664" s="7" t="s">
        <v>29</v>
      </c>
      <c r="F1664" s="7" t="s">
        <v>266</v>
      </c>
      <c r="G1664" s="7">
        <v>98.193740000000005</v>
      </c>
      <c r="H1664" s="7"/>
    </row>
    <row r="1665" spans="1:8" x14ac:dyDescent="0.35">
      <c r="A1665" s="7" t="s">
        <v>351</v>
      </c>
      <c r="B1665" s="7" t="s">
        <v>26</v>
      </c>
      <c r="C1665" s="7" t="s">
        <v>27</v>
      </c>
      <c r="D1665" s="7" t="s">
        <v>28</v>
      </c>
      <c r="E1665" s="7" t="s">
        <v>29</v>
      </c>
      <c r="F1665" s="7" t="s">
        <v>267</v>
      </c>
      <c r="G1665" s="7">
        <v>98.454989999999995</v>
      </c>
      <c r="H1665" s="7"/>
    </row>
    <row r="1666" spans="1:8" x14ac:dyDescent="0.35">
      <c r="A1666" s="7" t="s">
        <v>351</v>
      </c>
      <c r="B1666" s="7" t="s">
        <v>26</v>
      </c>
      <c r="C1666" s="7" t="s">
        <v>27</v>
      </c>
      <c r="D1666" s="7" t="s">
        <v>28</v>
      </c>
      <c r="E1666" s="7" t="s">
        <v>29</v>
      </c>
      <c r="F1666" s="7" t="s">
        <v>268</v>
      </c>
      <c r="G1666" s="7">
        <v>98.690380000000005</v>
      </c>
      <c r="H1666" s="7"/>
    </row>
    <row r="1667" spans="1:8" x14ac:dyDescent="0.35">
      <c r="A1667" s="7" t="s">
        <v>351</v>
      </c>
      <c r="B1667" s="7" t="s">
        <v>26</v>
      </c>
      <c r="C1667" s="7" t="s">
        <v>27</v>
      </c>
      <c r="D1667" s="7" t="s">
        <v>28</v>
      </c>
      <c r="E1667" s="7" t="s">
        <v>29</v>
      </c>
      <c r="F1667" s="7" t="s">
        <v>269</v>
      </c>
      <c r="G1667" s="7">
        <v>98.84957</v>
      </c>
      <c r="H1667" s="7"/>
    </row>
    <row r="1668" spans="1:8" x14ac:dyDescent="0.35">
      <c r="A1668" s="7" t="s">
        <v>351</v>
      </c>
      <c r="B1668" s="7" t="s">
        <v>26</v>
      </c>
      <c r="C1668" s="7" t="s">
        <v>27</v>
      </c>
      <c r="D1668" s="7" t="s">
        <v>28</v>
      </c>
      <c r="E1668" s="7" t="s">
        <v>29</v>
      </c>
      <c r="F1668" s="7" t="s">
        <v>270</v>
      </c>
      <c r="G1668" s="7">
        <v>98.95102</v>
      </c>
      <c r="H1668" s="7"/>
    </row>
    <row r="1669" spans="1:8" x14ac:dyDescent="0.35">
      <c r="A1669" s="7" t="s">
        <v>351</v>
      </c>
      <c r="B1669" s="7" t="s">
        <v>26</v>
      </c>
      <c r="C1669" s="7" t="s">
        <v>27</v>
      </c>
      <c r="D1669" s="7" t="s">
        <v>28</v>
      </c>
      <c r="E1669" s="7" t="s">
        <v>29</v>
      </c>
      <c r="F1669" s="7" t="s">
        <v>271</v>
      </c>
      <c r="G1669" s="7">
        <v>99.060519999999997</v>
      </c>
      <c r="H1669" s="7"/>
    </row>
    <row r="1670" spans="1:8" x14ac:dyDescent="0.35">
      <c r="A1670" s="7" t="s">
        <v>351</v>
      </c>
      <c r="B1670" s="7" t="s">
        <v>26</v>
      </c>
      <c r="C1670" s="7" t="s">
        <v>27</v>
      </c>
      <c r="D1670" s="7" t="s">
        <v>28</v>
      </c>
      <c r="E1670" s="7" t="s">
        <v>29</v>
      </c>
      <c r="F1670" s="7" t="s">
        <v>272</v>
      </c>
      <c r="G1670" s="7">
        <v>99.162220000000005</v>
      </c>
      <c r="H1670" s="7"/>
    </row>
    <row r="1671" spans="1:8" x14ac:dyDescent="0.35">
      <c r="A1671" s="7" t="s">
        <v>351</v>
      </c>
      <c r="B1671" s="7" t="s">
        <v>26</v>
      </c>
      <c r="C1671" s="7" t="s">
        <v>27</v>
      </c>
      <c r="D1671" s="7" t="s">
        <v>28</v>
      </c>
      <c r="E1671" s="7" t="s">
        <v>29</v>
      </c>
      <c r="F1671" s="7" t="s">
        <v>273</v>
      </c>
      <c r="G1671" s="7">
        <v>99.214349999999996</v>
      </c>
      <c r="H1671" s="7"/>
    </row>
    <row r="1672" spans="1:8" x14ac:dyDescent="0.35">
      <c r="A1672" s="7" t="s">
        <v>351</v>
      </c>
      <c r="B1672" s="7" t="s">
        <v>26</v>
      </c>
      <c r="C1672" s="7" t="s">
        <v>27</v>
      </c>
      <c r="D1672" s="7" t="s">
        <v>28</v>
      </c>
      <c r="E1672" s="7" t="s">
        <v>29</v>
      </c>
      <c r="F1672" s="7" t="s">
        <v>274</v>
      </c>
      <c r="G1672" s="7">
        <v>99.240300000000005</v>
      </c>
      <c r="H1672" s="7"/>
    </row>
    <row r="1673" spans="1:8" x14ac:dyDescent="0.35">
      <c r="A1673" s="7" t="s">
        <v>351</v>
      </c>
      <c r="B1673" s="7" t="s">
        <v>26</v>
      </c>
      <c r="C1673" s="7" t="s">
        <v>27</v>
      </c>
      <c r="D1673" s="7" t="s">
        <v>28</v>
      </c>
      <c r="E1673" s="7" t="s">
        <v>29</v>
      </c>
      <c r="F1673" s="7" t="s">
        <v>275</v>
      </c>
      <c r="G1673" s="7">
        <v>99.248990000000006</v>
      </c>
      <c r="H1673" s="7"/>
    </row>
    <row r="1674" spans="1:8" x14ac:dyDescent="0.35">
      <c r="A1674" s="7" t="s">
        <v>351</v>
      </c>
      <c r="B1674" s="7" t="s">
        <v>26</v>
      </c>
      <c r="C1674" s="7" t="s">
        <v>27</v>
      </c>
      <c r="D1674" s="7" t="s">
        <v>28</v>
      </c>
      <c r="E1674" s="7" t="s">
        <v>29</v>
      </c>
      <c r="F1674" s="7" t="s">
        <v>276</v>
      </c>
      <c r="G1674" s="7">
        <v>99.264009999999999</v>
      </c>
      <c r="H1674" s="7"/>
    </row>
    <row r="1675" spans="1:8" x14ac:dyDescent="0.35">
      <c r="A1675" s="7" t="s">
        <v>351</v>
      </c>
      <c r="B1675" s="7" t="s">
        <v>26</v>
      </c>
      <c r="C1675" s="7" t="s">
        <v>27</v>
      </c>
      <c r="D1675" s="7" t="s">
        <v>28</v>
      </c>
      <c r="E1675" s="7" t="s">
        <v>29</v>
      </c>
      <c r="F1675" s="7" t="s">
        <v>277</v>
      </c>
      <c r="G1675" s="7">
        <v>99.259810000000002</v>
      </c>
      <c r="H1675" s="7"/>
    </row>
    <row r="1676" spans="1:8" x14ac:dyDescent="0.35">
      <c r="A1676" s="7" t="s">
        <v>351</v>
      </c>
      <c r="B1676" s="7" t="s">
        <v>26</v>
      </c>
      <c r="C1676" s="7" t="s">
        <v>27</v>
      </c>
      <c r="D1676" s="7" t="s">
        <v>28</v>
      </c>
      <c r="E1676" s="7" t="s">
        <v>29</v>
      </c>
      <c r="F1676" s="7" t="s">
        <v>278</v>
      </c>
      <c r="G1676" s="7">
        <v>99.256879999999995</v>
      </c>
      <c r="H1676" s="7"/>
    </row>
    <row r="1677" spans="1:8" x14ac:dyDescent="0.35">
      <c r="A1677" s="7" t="s">
        <v>351</v>
      </c>
      <c r="B1677" s="7" t="s">
        <v>26</v>
      </c>
      <c r="C1677" s="7" t="s">
        <v>27</v>
      </c>
      <c r="D1677" s="7" t="s">
        <v>28</v>
      </c>
      <c r="E1677" s="7" t="s">
        <v>29</v>
      </c>
      <c r="F1677" s="7" t="s">
        <v>279</v>
      </c>
      <c r="G1677" s="7">
        <v>99.270840000000007</v>
      </c>
      <c r="H1677" s="7"/>
    </row>
    <row r="1678" spans="1:8" x14ac:dyDescent="0.35">
      <c r="A1678" s="7" t="s">
        <v>351</v>
      </c>
      <c r="B1678" s="7" t="s">
        <v>26</v>
      </c>
      <c r="C1678" s="7" t="s">
        <v>27</v>
      </c>
      <c r="D1678" s="7" t="s">
        <v>28</v>
      </c>
      <c r="E1678" s="7" t="s">
        <v>29</v>
      </c>
      <c r="F1678" s="7" t="s">
        <v>280</v>
      </c>
      <c r="G1678" s="7">
        <v>99.260270000000006</v>
      </c>
      <c r="H1678" s="7"/>
    </row>
    <row r="1679" spans="1:8" x14ac:dyDescent="0.35">
      <c r="A1679" s="7" t="s">
        <v>351</v>
      </c>
      <c r="B1679" s="7" t="s">
        <v>26</v>
      </c>
      <c r="C1679" s="7" t="s">
        <v>27</v>
      </c>
      <c r="D1679" s="7" t="s">
        <v>28</v>
      </c>
      <c r="E1679" s="7" t="s">
        <v>29</v>
      </c>
      <c r="F1679" s="7" t="s">
        <v>281</v>
      </c>
      <c r="G1679" s="7">
        <v>99.250529999999998</v>
      </c>
      <c r="H1679" s="7"/>
    </row>
    <row r="1680" spans="1:8" x14ac:dyDescent="0.35">
      <c r="A1680" s="7" t="s">
        <v>351</v>
      </c>
      <c r="B1680" s="7" t="s">
        <v>26</v>
      </c>
      <c r="C1680" s="7" t="s">
        <v>27</v>
      </c>
      <c r="D1680" s="7" t="s">
        <v>28</v>
      </c>
      <c r="E1680" s="7" t="s">
        <v>29</v>
      </c>
      <c r="F1680" s="7" t="s">
        <v>282</v>
      </c>
      <c r="G1680" s="7">
        <v>99.316699999999997</v>
      </c>
      <c r="H1680" s="7"/>
    </row>
    <row r="1681" spans="1:8" x14ac:dyDescent="0.35">
      <c r="A1681" s="7" t="s">
        <v>351</v>
      </c>
      <c r="B1681" s="7" t="s">
        <v>26</v>
      </c>
      <c r="C1681" s="7" t="s">
        <v>27</v>
      </c>
      <c r="D1681" s="7" t="s">
        <v>28</v>
      </c>
      <c r="E1681" s="7" t="s">
        <v>29</v>
      </c>
      <c r="F1681" s="7" t="s">
        <v>283</v>
      </c>
      <c r="G1681" s="7">
        <v>99.538309999999996</v>
      </c>
      <c r="H1681" s="7"/>
    </row>
    <row r="1682" spans="1:8" x14ac:dyDescent="0.35">
      <c r="A1682" s="7" t="s">
        <v>351</v>
      </c>
      <c r="B1682" s="7" t="s">
        <v>26</v>
      </c>
      <c r="C1682" s="7" t="s">
        <v>27</v>
      </c>
      <c r="D1682" s="7" t="s">
        <v>28</v>
      </c>
      <c r="E1682" s="7" t="s">
        <v>29</v>
      </c>
      <c r="F1682" s="7" t="s">
        <v>284</v>
      </c>
      <c r="G1682" s="7">
        <v>99.960710000000006</v>
      </c>
      <c r="H1682" s="7"/>
    </row>
    <row r="1683" spans="1:8" x14ac:dyDescent="0.35">
      <c r="A1683" s="7" t="s">
        <v>351</v>
      </c>
      <c r="B1683" s="7" t="s">
        <v>26</v>
      </c>
      <c r="C1683" s="7" t="s">
        <v>27</v>
      </c>
      <c r="D1683" s="7" t="s">
        <v>28</v>
      </c>
      <c r="E1683" s="7" t="s">
        <v>29</v>
      </c>
      <c r="F1683" s="7" t="s">
        <v>285</v>
      </c>
      <c r="G1683" s="7">
        <v>100.31829999999999</v>
      </c>
      <c r="H1683" s="7"/>
    </row>
    <row r="1684" spans="1:8" x14ac:dyDescent="0.35">
      <c r="A1684" s="7" t="s">
        <v>351</v>
      </c>
      <c r="B1684" s="7" t="s">
        <v>26</v>
      </c>
      <c r="C1684" s="7" t="s">
        <v>27</v>
      </c>
      <c r="D1684" s="7" t="s">
        <v>28</v>
      </c>
      <c r="E1684" s="7" t="s">
        <v>29</v>
      </c>
      <c r="F1684" s="7" t="s">
        <v>286</v>
      </c>
      <c r="G1684" s="7">
        <v>100.521</v>
      </c>
      <c r="H1684" s="7"/>
    </row>
    <row r="1685" spans="1:8" x14ac:dyDescent="0.35">
      <c r="A1685" s="7" t="s">
        <v>351</v>
      </c>
      <c r="B1685" s="7" t="s">
        <v>26</v>
      </c>
      <c r="C1685" s="7" t="s">
        <v>27</v>
      </c>
      <c r="D1685" s="7" t="s">
        <v>28</v>
      </c>
      <c r="E1685" s="7" t="s">
        <v>29</v>
      </c>
      <c r="F1685" s="7" t="s">
        <v>287</v>
      </c>
      <c r="G1685" s="7">
        <v>100.57250000000001</v>
      </c>
      <c r="H1685" s="7"/>
    </row>
    <row r="1686" spans="1:8" x14ac:dyDescent="0.35">
      <c r="A1686" s="7" t="s">
        <v>351</v>
      </c>
      <c r="B1686" s="7" t="s">
        <v>26</v>
      </c>
      <c r="C1686" s="7" t="s">
        <v>27</v>
      </c>
      <c r="D1686" s="7" t="s">
        <v>28</v>
      </c>
      <c r="E1686" s="7" t="s">
        <v>29</v>
      </c>
      <c r="F1686" s="7" t="s">
        <v>288</v>
      </c>
      <c r="G1686" s="7">
        <v>100.53189999999999</v>
      </c>
      <c r="H1686" s="7"/>
    </row>
    <row r="1687" spans="1:8" x14ac:dyDescent="0.35">
      <c r="A1687" s="7" t="s">
        <v>351</v>
      </c>
      <c r="B1687" s="7" t="s">
        <v>26</v>
      </c>
      <c r="C1687" s="7" t="s">
        <v>27</v>
      </c>
      <c r="D1687" s="7" t="s">
        <v>28</v>
      </c>
      <c r="E1687" s="7" t="s">
        <v>29</v>
      </c>
      <c r="F1687" s="7" t="s">
        <v>289</v>
      </c>
      <c r="G1687" s="7">
        <v>100.38079999999999</v>
      </c>
      <c r="H1687" s="7"/>
    </row>
    <row r="1688" spans="1:8" x14ac:dyDescent="0.35">
      <c r="A1688" s="7" t="s">
        <v>351</v>
      </c>
      <c r="B1688" s="7" t="s">
        <v>26</v>
      </c>
      <c r="C1688" s="7" t="s">
        <v>27</v>
      </c>
      <c r="D1688" s="7" t="s">
        <v>28</v>
      </c>
      <c r="E1688" s="7" t="s">
        <v>29</v>
      </c>
      <c r="F1688" s="7" t="s">
        <v>290</v>
      </c>
      <c r="G1688" s="7">
        <v>100.2555</v>
      </c>
      <c r="H1688" s="7"/>
    </row>
    <row r="1689" spans="1:8" x14ac:dyDescent="0.35">
      <c r="A1689" s="7" t="s">
        <v>351</v>
      </c>
      <c r="B1689" s="7" t="s">
        <v>26</v>
      </c>
      <c r="C1689" s="7" t="s">
        <v>27</v>
      </c>
      <c r="D1689" s="7" t="s">
        <v>28</v>
      </c>
      <c r="E1689" s="7" t="s">
        <v>29</v>
      </c>
      <c r="F1689" s="7" t="s">
        <v>291</v>
      </c>
      <c r="G1689" s="7">
        <v>100.21339999999999</v>
      </c>
      <c r="H1689" s="7"/>
    </row>
    <row r="1690" spans="1:8" x14ac:dyDescent="0.35">
      <c r="A1690" s="7" t="s">
        <v>351</v>
      </c>
      <c r="B1690" s="7" t="s">
        <v>26</v>
      </c>
      <c r="C1690" s="7" t="s">
        <v>27</v>
      </c>
      <c r="D1690" s="7" t="s">
        <v>28</v>
      </c>
      <c r="E1690" s="7" t="s">
        <v>29</v>
      </c>
      <c r="F1690" s="7" t="s">
        <v>292</v>
      </c>
      <c r="G1690" s="7">
        <v>100.24760000000001</v>
      </c>
      <c r="H1690" s="7"/>
    </row>
    <row r="1691" spans="1:8" x14ac:dyDescent="0.35">
      <c r="A1691" s="7" t="s">
        <v>351</v>
      </c>
      <c r="B1691" s="7" t="s">
        <v>26</v>
      </c>
      <c r="C1691" s="7" t="s">
        <v>27</v>
      </c>
      <c r="D1691" s="7" t="s">
        <v>28</v>
      </c>
      <c r="E1691" s="7" t="s">
        <v>29</v>
      </c>
      <c r="F1691" s="7" t="s">
        <v>293</v>
      </c>
      <c r="G1691" s="7">
        <v>100.0812</v>
      </c>
      <c r="H1691" s="7"/>
    </row>
    <row r="1692" spans="1:8" x14ac:dyDescent="0.35">
      <c r="A1692" s="7" t="s">
        <v>351</v>
      </c>
      <c r="B1692" s="7" t="s">
        <v>26</v>
      </c>
      <c r="C1692" s="7" t="s">
        <v>27</v>
      </c>
      <c r="D1692" s="7" t="s">
        <v>28</v>
      </c>
      <c r="E1692" s="7" t="s">
        <v>29</v>
      </c>
      <c r="F1692" s="7" t="s">
        <v>294</v>
      </c>
      <c r="G1692" s="7">
        <v>99.932239999999993</v>
      </c>
      <c r="H1692" s="7"/>
    </row>
    <row r="1693" spans="1:8" x14ac:dyDescent="0.35">
      <c r="A1693" s="7" t="s">
        <v>351</v>
      </c>
      <c r="B1693" s="7" t="s">
        <v>26</v>
      </c>
      <c r="C1693" s="7" t="s">
        <v>27</v>
      </c>
      <c r="D1693" s="7" t="s">
        <v>28</v>
      </c>
      <c r="E1693" s="7" t="s">
        <v>29</v>
      </c>
      <c r="F1693" s="7" t="s">
        <v>295</v>
      </c>
      <c r="G1693" s="7">
        <v>99.660380000000004</v>
      </c>
      <c r="H1693" s="7"/>
    </row>
    <row r="1694" spans="1:8" x14ac:dyDescent="0.35">
      <c r="A1694" s="7" t="s">
        <v>351</v>
      </c>
      <c r="B1694" s="7" t="s">
        <v>26</v>
      </c>
      <c r="C1694" s="7" t="s">
        <v>27</v>
      </c>
      <c r="D1694" s="7" t="s">
        <v>28</v>
      </c>
      <c r="E1694" s="7" t="s">
        <v>29</v>
      </c>
      <c r="F1694" s="7" t="s">
        <v>296</v>
      </c>
      <c r="G1694" s="7">
        <v>99.301990000000004</v>
      </c>
      <c r="H1694" s="7"/>
    </row>
    <row r="1695" spans="1:8" x14ac:dyDescent="0.35">
      <c r="A1695" s="7" t="s">
        <v>351</v>
      </c>
      <c r="B1695" s="7" t="s">
        <v>26</v>
      </c>
      <c r="C1695" s="7" t="s">
        <v>27</v>
      </c>
      <c r="D1695" s="7" t="s">
        <v>28</v>
      </c>
      <c r="E1695" s="7" t="s">
        <v>29</v>
      </c>
      <c r="F1695" s="7" t="s">
        <v>297</v>
      </c>
      <c r="G1695" s="7">
        <v>98.928629999999998</v>
      </c>
      <c r="H1695" s="7"/>
    </row>
    <row r="1696" spans="1:8" x14ac:dyDescent="0.35">
      <c r="A1696" s="7" t="s">
        <v>351</v>
      </c>
      <c r="B1696" s="7" t="s">
        <v>26</v>
      </c>
      <c r="C1696" s="7" t="s">
        <v>27</v>
      </c>
      <c r="D1696" s="7" t="s">
        <v>28</v>
      </c>
      <c r="E1696" s="7" t="s">
        <v>29</v>
      </c>
      <c r="F1696" s="7" t="s">
        <v>298</v>
      </c>
      <c r="G1696" s="7">
        <v>98.674999999999997</v>
      </c>
      <c r="H1696" s="7"/>
    </row>
    <row r="1697" spans="1:8" x14ac:dyDescent="0.35">
      <c r="A1697" s="7" t="s">
        <v>351</v>
      </c>
      <c r="B1697" s="7" t="s">
        <v>26</v>
      </c>
      <c r="C1697" s="7" t="s">
        <v>27</v>
      </c>
      <c r="D1697" s="7" t="s">
        <v>28</v>
      </c>
      <c r="E1697" s="7" t="s">
        <v>29</v>
      </c>
      <c r="F1697" s="7" t="s">
        <v>299</v>
      </c>
      <c r="G1697" s="7">
        <v>98.671629999999993</v>
      </c>
      <c r="H1697" s="7"/>
    </row>
    <row r="1698" spans="1:8" x14ac:dyDescent="0.35">
      <c r="A1698" s="7" t="s">
        <v>351</v>
      </c>
      <c r="B1698" s="7" t="s">
        <v>26</v>
      </c>
      <c r="C1698" s="7" t="s">
        <v>27</v>
      </c>
      <c r="D1698" s="7" t="s">
        <v>28</v>
      </c>
      <c r="E1698" s="7" t="s">
        <v>29</v>
      </c>
      <c r="F1698" s="7" t="s">
        <v>300</v>
      </c>
      <c r="G1698" s="7">
        <v>98.940439999999995</v>
      </c>
      <c r="H1698" s="7"/>
    </row>
    <row r="1699" spans="1:8" x14ac:dyDescent="0.35">
      <c r="A1699" s="7" t="s">
        <v>351</v>
      </c>
      <c r="B1699" s="7" t="s">
        <v>26</v>
      </c>
      <c r="C1699" s="7" t="s">
        <v>27</v>
      </c>
      <c r="D1699" s="7" t="s">
        <v>28</v>
      </c>
      <c r="E1699" s="7" t="s">
        <v>29</v>
      </c>
      <c r="F1699" s="7" t="s">
        <v>301</v>
      </c>
      <c r="G1699" s="7">
        <v>99.260350000000003</v>
      </c>
      <c r="H1699" s="7"/>
    </row>
    <row r="1700" spans="1:8" x14ac:dyDescent="0.35">
      <c r="A1700" s="7" t="s">
        <v>351</v>
      </c>
      <c r="B1700" s="7" t="s">
        <v>26</v>
      </c>
      <c r="C1700" s="7" t="s">
        <v>27</v>
      </c>
      <c r="D1700" s="7" t="s">
        <v>28</v>
      </c>
      <c r="E1700" s="7" t="s">
        <v>29</v>
      </c>
      <c r="F1700" s="7" t="s">
        <v>302</v>
      </c>
      <c r="G1700" s="7">
        <v>99.449449999999999</v>
      </c>
      <c r="H1700" s="7"/>
    </row>
    <row r="1701" spans="1:8" x14ac:dyDescent="0.35">
      <c r="A1701" s="7" t="s">
        <v>351</v>
      </c>
      <c r="B1701" s="7" t="s">
        <v>26</v>
      </c>
      <c r="C1701" s="7" t="s">
        <v>27</v>
      </c>
      <c r="D1701" s="7" t="s">
        <v>28</v>
      </c>
      <c r="E1701" s="7" t="s">
        <v>29</v>
      </c>
      <c r="F1701" s="7" t="s">
        <v>303</v>
      </c>
      <c r="G1701" s="7">
        <v>99.402979999999999</v>
      </c>
      <c r="H1701" s="7"/>
    </row>
    <row r="1702" spans="1:8" x14ac:dyDescent="0.35">
      <c r="A1702" s="7" t="s">
        <v>351</v>
      </c>
      <c r="B1702" s="7" t="s">
        <v>26</v>
      </c>
      <c r="C1702" s="7" t="s">
        <v>27</v>
      </c>
      <c r="D1702" s="7" t="s">
        <v>28</v>
      </c>
      <c r="E1702" s="7" t="s">
        <v>29</v>
      </c>
      <c r="F1702" s="7" t="s">
        <v>304</v>
      </c>
      <c r="G1702" s="7">
        <v>99.234859999999998</v>
      </c>
      <c r="H1702" s="7"/>
    </row>
    <row r="1703" spans="1:8" x14ac:dyDescent="0.35">
      <c r="A1703" s="7" t="s">
        <v>351</v>
      </c>
      <c r="B1703" s="7" t="s">
        <v>26</v>
      </c>
      <c r="C1703" s="7" t="s">
        <v>27</v>
      </c>
      <c r="D1703" s="7" t="s">
        <v>28</v>
      </c>
      <c r="E1703" s="7" t="s">
        <v>29</v>
      </c>
      <c r="F1703" s="7" t="s">
        <v>305</v>
      </c>
      <c r="G1703" s="7">
        <v>99.048659999999998</v>
      </c>
      <c r="H1703" s="7"/>
    </row>
    <row r="1704" spans="1:8" x14ac:dyDescent="0.35">
      <c r="A1704" s="7" t="s">
        <v>351</v>
      </c>
      <c r="B1704" s="7" t="s">
        <v>26</v>
      </c>
      <c r="C1704" s="7" t="s">
        <v>27</v>
      </c>
      <c r="D1704" s="7" t="s">
        <v>28</v>
      </c>
      <c r="E1704" s="7" t="s">
        <v>29</v>
      </c>
      <c r="F1704" s="7" t="s">
        <v>306</v>
      </c>
      <c r="G1704" s="7">
        <v>98.940539999999999</v>
      </c>
      <c r="H1704" s="7"/>
    </row>
    <row r="1705" spans="1:8" x14ac:dyDescent="0.35">
      <c r="A1705" s="7" t="s">
        <v>351</v>
      </c>
      <c r="B1705" s="7" t="s">
        <v>26</v>
      </c>
      <c r="C1705" s="7" t="s">
        <v>27</v>
      </c>
      <c r="D1705" s="7" t="s">
        <v>28</v>
      </c>
      <c r="E1705" s="7" t="s">
        <v>29</v>
      </c>
      <c r="F1705" s="7" t="s">
        <v>307</v>
      </c>
      <c r="G1705" s="7">
        <v>98.992580000000004</v>
      </c>
      <c r="H1705" s="7"/>
    </row>
    <row r="1706" spans="1:8" x14ac:dyDescent="0.35">
      <c r="A1706" s="7" t="s">
        <v>351</v>
      </c>
      <c r="B1706" s="7" t="s">
        <v>26</v>
      </c>
      <c r="C1706" s="7" t="s">
        <v>27</v>
      </c>
      <c r="D1706" s="7" t="s">
        <v>28</v>
      </c>
      <c r="E1706" s="7" t="s">
        <v>29</v>
      </c>
      <c r="F1706" s="7" t="s">
        <v>308</v>
      </c>
      <c r="G1706" s="7">
        <v>99.160589999999999</v>
      </c>
      <c r="H1706" s="7"/>
    </row>
    <row r="1707" spans="1:8" x14ac:dyDescent="0.35">
      <c r="A1707" s="7" t="s">
        <v>351</v>
      </c>
      <c r="B1707" s="7" t="s">
        <v>26</v>
      </c>
      <c r="C1707" s="7" t="s">
        <v>27</v>
      </c>
      <c r="D1707" s="7" t="s">
        <v>28</v>
      </c>
      <c r="E1707" s="7" t="s">
        <v>29</v>
      </c>
      <c r="F1707" s="7" t="s">
        <v>309</v>
      </c>
      <c r="G1707" s="7">
        <v>99.414869999999993</v>
      </c>
      <c r="H1707" s="7"/>
    </row>
    <row r="1708" spans="1:8" x14ac:dyDescent="0.35">
      <c r="A1708" s="7" t="s">
        <v>351</v>
      </c>
      <c r="B1708" s="7" t="s">
        <v>26</v>
      </c>
      <c r="C1708" s="7" t="s">
        <v>27</v>
      </c>
      <c r="D1708" s="7" t="s">
        <v>28</v>
      </c>
      <c r="E1708" s="7" t="s">
        <v>29</v>
      </c>
      <c r="F1708" s="7" t="s">
        <v>310</v>
      </c>
      <c r="G1708" s="7">
        <v>99.59975</v>
      </c>
      <c r="H1708" s="7"/>
    </row>
    <row r="1709" spans="1:8" x14ac:dyDescent="0.35">
      <c r="A1709" s="7" t="s">
        <v>351</v>
      </c>
      <c r="B1709" s="7" t="s">
        <v>26</v>
      </c>
      <c r="C1709" s="7" t="s">
        <v>27</v>
      </c>
      <c r="D1709" s="7" t="s">
        <v>28</v>
      </c>
      <c r="E1709" s="7" t="s">
        <v>29</v>
      </c>
      <c r="F1709" s="7" t="s">
        <v>311</v>
      </c>
      <c r="G1709" s="7">
        <v>99.675039999999996</v>
      </c>
      <c r="H1709" s="7"/>
    </row>
    <row r="1710" spans="1:8" x14ac:dyDescent="0.35">
      <c r="A1710" s="7" t="s">
        <v>351</v>
      </c>
      <c r="B1710" s="7" t="s">
        <v>26</v>
      </c>
      <c r="C1710" s="7" t="s">
        <v>27</v>
      </c>
      <c r="D1710" s="7" t="s">
        <v>28</v>
      </c>
      <c r="E1710" s="7" t="s">
        <v>29</v>
      </c>
      <c r="F1710" s="7" t="s">
        <v>312</v>
      </c>
      <c r="G1710" s="7">
        <v>99.668890000000005</v>
      </c>
      <c r="H1710" s="7"/>
    </row>
    <row r="1711" spans="1:8" x14ac:dyDescent="0.35">
      <c r="A1711" s="7" t="s">
        <v>351</v>
      </c>
      <c r="B1711" s="7" t="s">
        <v>26</v>
      </c>
      <c r="C1711" s="7" t="s">
        <v>27</v>
      </c>
      <c r="D1711" s="7" t="s">
        <v>28</v>
      </c>
      <c r="E1711" s="7" t="s">
        <v>29</v>
      </c>
      <c r="F1711" s="7" t="s">
        <v>313</v>
      </c>
      <c r="G1711" s="7">
        <v>99.630070000000003</v>
      </c>
      <c r="H1711" s="7"/>
    </row>
    <row r="1712" spans="1:8" x14ac:dyDescent="0.35">
      <c r="A1712" s="7" t="s">
        <v>351</v>
      </c>
      <c r="B1712" s="7" t="s">
        <v>26</v>
      </c>
      <c r="C1712" s="7" t="s">
        <v>27</v>
      </c>
      <c r="D1712" s="7" t="s">
        <v>28</v>
      </c>
      <c r="E1712" s="7" t="s">
        <v>29</v>
      </c>
      <c r="F1712" s="7" t="s">
        <v>314</v>
      </c>
      <c r="G1712" s="7">
        <v>99.578940000000003</v>
      </c>
      <c r="H1712" s="7"/>
    </row>
    <row r="1713" spans="1:8" x14ac:dyDescent="0.35">
      <c r="A1713" s="7" t="s">
        <v>351</v>
      </c>
      <c r="B1713" s="7" t="s">
        <v>26</v>
      </c>
      <c r="C1713" s="7" t="s">
        <v>27</v>
      </c>
      <c r="D1713" s="7" t="s">
        <v>28</v>
      </c>
      <c r="E1713" s="7" t="s">
        <v>29</v>
      </c>
      <c r="F1713" s="7" t="s">
        <v>315</v>
      </c>
      <c r="G1713" s="7">
        <v>99.573939999999993</v>
      </c>
      <c r="H1713" s="7"/>
    </row>
    <row r="1714" spans="1:8" x14ac:dyDescent="0.35">
      <c r="A1714" s="7" t="s">
        <v>351</v>
      </c>
      <c r="B1714" s="7" t="s">
        <v>26</v>
      </c>
      <c r="C1714" s="7" t="s">
        <v>27</v>
      </c>
      <c r="D1714" s="7" t="s">
        <v>28</v>
      </c>
      <c r="E1714" s="7" t="s">
        <v>29</v>
      </c>
      <c r="F1714" s="7" t="s">
        <v>316</v>
      </c>
      <c r="G1714" s="7">
        <v>99.597369999999998</v>
      </c>
      <c r="H1714" s="7"/>
    </row>
    <row r="1715" spans="1:8" x14ac:dyDescent="0.35">
      <c r="A1715" s="7" t="s">
        <v>351</v>
      </c>
      <c r="B1715" s="7" t="s">
        <v>26</v>
      </c>
      <c r="C1715" s="7" t="s">
        <v>27</v>
      </c>
      <c r="D1715" s="7" t="s">
        <v>28</v>
      </c>
      <c r="E1715" s="7" t="s">
        <v>29</v>
      </c>
      <c r="F1715" s="7" t="s">
        <v>317</v>
      </c>
      <c r="G1715" s="7">
        <v>99.725660000000005</v>
      </c>
      <c r="H1715" s="7"/>
    </row>
    <row r="1716" spans="1:8" x14ac:dyDescent="0.35">
      <c r="A1716" s="7" t="s">
        <v>351</v>
      </c>
      <c r="B1716" s="7" t="s">
        <v>26</v>
      </c>
      <c r="C1716" s="7" t="s">
        <v>27</v>
      </c>
      <c r="D1716" s="7" t="s">
        <v>28</v>
      </c>
      <c r="E1716" s="7" t="s">
        <v>29</v>
      </c>
      <c r="F1716" s="7" t="s">
        <v>318</v>
      </c>
      <c r="G1716" s="7">
        <v>99.858099999999993</v>
      </c>
      <c r="H1716" s="7"/>
    </row>
    <row r="1717" spans="1:8" x14ac:dyDescent="0.35">
      <c r="A1717" s="7" t="s">
        <v>351</v>
      </c>
      <c r="B1717" s="7" t="s">
        <v>26</v>
      </c>
      <c r="C1717" s="7" t="s">
        <v>27</v>
      </c>
      <c r="D1717" s="7" t="s">
        <v>28</v>
      </c>
      <c r="E1717" s="7" t="s">
        <v>29</v>
      </c>
      <c r="F1717" s="7" t="s">
        <v>319</v>
      </c>
      <c r="G1717" s="7">
        <v>99.863939999999999</v>
      </c>
      <c r="H1717" s="7"/>
    </row>
    <row r="1718" spans="1:8" x14ac:dyDescent="0.35">
      <c r="A1718" s="7" t="s">
        <v>351</v>
      </c>
      <c r="B1718" s="7" t="s">
        <v>26</v>
      </c>
      <c r="C1718" s="7" t="s">
        <v>27</v>
      </c>
      <c r="D1718" s="7" t="s">
        <v>28</v>
      </c>
      <c r="E1718" s="7" t="s">
        <v>29</v>
      </c>
      <c r="F1718" s="7" t="s">
        <v>320</v>
      </c>
      <c r="G1718" s="7">
        <v>99.75291</v>
      </c>
      <c r="H1718" s="7"/>
    </row>
    <row r="1719" spans="1:8" x14ac:dyDescent="0.35">
      <c r="A1719" s="7" t="s">
        <v>351</v>
      </c>
      <c r="B1719" s="7" t="s">
        <v>26</v>
      </c>
      <c r="C1719" s="7" t="s">
        <v>27</v>
      </c>
      <c r="D1719" s="7" t="s">
        <v>28</v>
      </c>
      <c r="E1719" s="7" t="s">
        <v>29</v>
      </c>
      <c r="F1719" s="7" t="s">
        <v>321</v>
      </c>
      <c r="G1719" s="7">
        <v>99.58681</v>
      </c>
      <c r="H1719" s="7"/>
    </row>
    <row r="1720" spans="1:8" x14ac:dyDescent="0.35">
      <c r="A1720" s="7" t="s">
        <v>351</v>
      </c>
      <c r="B1720" s="7" t="s">
        <v>26</v>
      </c>
      <c r="C1720" s="7" t="s">
        <v>27</v>
      </c>
      <c r="D1720" s="7" t="s">
        <v>28</v>
      </c>
      <c r="E1720" s="7" t="s">
        <v>29</v>
      </c>
      <c r="F1720" s="7" t="s">
        <v>322</v>
      </c>
      <c r="G1720" s="7">
        <v>99.535349999999994</v>
      </c>
      <c r="H1720" s="7"/>
    </row>
    <row r="1721" spans="1:8" x14ac:dyDescent="0.35">
      <c r="A1721" s="7" t="s">
        <v>351</v>
      </c>
      <c r="B1721" s="7" t="s">
        <v>26</v>
      </c>
      <c r="C1721" s="7" t="s">
        <v>27</v>
      </c>
      <c r="D1721" s="7" t="s">
        <v>28</v>
      </c>
      <c r="E1721" s="7" t="s">
        <v>29</v>
      </c>
      <c r="F1721" s="7" t="s">
        <v>323</v>
      </c>
      <c r="G1721" s="7">
        <v>99.519049999999993</v>
      </c>
      <c r="H1721" s="7"/>
    </row>
    <row r="1722" spans="1:8" x14ac:dyDescent="0.35">
      <c r="A1722" s="7" t="s">
        <v>351</v>
      </c>
      <c r="B1722" s="7" t="s">
        <v>26</v>
      </c>
      <c r="C1722" s="7" t="s">
        <v>27</v>
      </c>
      <c r="D1722" s="7" t="s">
        <v>28</v>
      </c>
      <c r="E1722" s="7" t="s">
        <v>29</v>
      </c>
      <c r="F1722" s="7" t="s">
        <v>324</v>
      </c>
      <c r="G1722" s="7">
        <v>99.563609999999997</v>
      </c>
      <c r="H1722" s="7"/>
    </row>
    <row r="1723" spans="1:8" x14ac:dyDescent="0.35">
      <c r="A1723" s="7" t="s">
        <v>351</v>
      </c>
      <c r="B1723" s="7" t="s">
        <v>26</v>
      </c>
      <c r="C1723" s="7" t="s">
        <v>27</v>
      </c>
      <c r="D1723" s="7" t="s">
        <v>28</v>
      </c>
      <c r="E1723" s="7" t="s">
        <v>29</v>
      </c>
      <c r="F1723" s="7" t="s">
        <v>325</v>
      </c>
      <c r="G1723" s="7">
        <v>99.650959999999998</v>
      </c>
      <c r="H1723" s="7"/>
    </row>
    <row r="1724" spans="1:8" x14ac:dyDescent="0.35">
      <c r="A1724" s="7" t="s">
        <v>351</v>
      </c>
      <c r="B1724" s="7" t="s">
        <v>26</v>
      </c>
      <c r="C1724" s="7" t="s">
        <v>27</v>
      </c>
      <c r="D1724" s="7" t="s">
        <v>28</v>
      </c>
      <c r="E1724" s="7" t="s">
        <v>29</v>
      </c>
      <c r="F1724" s="7" t="s">
        <v>326</v>
      </c>
      <c r="G1724" s="7">
        <v>99.729799999999997</v>
      </c>
      <c r="H1724" s="7"/>
    </row>
    <row r="1725" spans="1:8" x14ac:dyDescent="0.35">
      <c r="A1725" s="7" t="s">
        <v>351</v>
      </c>
      <c r="B1725" s="7" t="s">
        <v>26</v>
      </c>
      <c r="C1725" s="7" t="s">
        <v>27</v>
      </c>
      <c r="D1725" s="7" t="s">
        <v>28</v>
      </c>
      <c r="E1725" s="7" t="s">
        <v>29</v>
      </c>
      <c r="F1725" s="7" t="s">
        <v>327</v>
      </c>
      <c r="G1725" s="7">
        <v>99.821070000000006</v>
      </c>
      <c r="H1725" s="7"/>
    </row>
    <row r="1726" spans="1:8" x14ac:dyDescent="0.35">
      <c r="A1726" s="7" t="s">
        <v>351</v>
      </c>
      <c r="B1726" s="7" t="s">
        <v>26</v>
      </c>
      <c r="C1726" s="7" t="s">
        <v>27</v>
      </c>
      <c r="D1726" s="7" t="s">
        <v>28</v>
      </c>
      <c r="E1726" s="7" t="s">
        <v>29</v>
      </c>
      <c r="F1726" s="7" t="s">
        <v>328</v>
      </c>
      <c r="G1726" s="7">
        <v>99.883949999999999</v>
      </c>
      <c r="H1726" s="7"/>
    </row>
    <row r="1727" spans="1:8" x14ac:dyDescent="0.35">
      <c r="A1727" s="7" t="s">
        <v>351</v>
      </c>
      <c r="B1727" s="7" t="s">
        <v>26</v>
      </c>
      <c r="C1727" s="7" t="s">
        <v>27</v>
      </c>
      <c r="D1727" s="7" t="s">
        <v>28</v>
      </c>
      <c r="E1727" s="7" t="s">
        <v>29</v>
      </c>
      <c r="F1727" s="7" t="s">
        <v>329</v>
      </c>
      <c r="G1727" s="7">
        <v>99.862369999999999</v>
      </c>
      <c r="H1727" s="7"/>
    </row>
    <row r="1728" spans="1:8" x14ac:dyDescent="0.35">
      <c r="A1728" s="7" t="s">
        <v>351</v>
      </c>
      <c r="B1728" s="7" t="s">
        <v>26</v>
      </c>
      <c r="C1728" s="7" t="s">
        <v>27</v>
      </c>
      <c r="D1728" s="7" t="s">
        <v>28</v>
      </c>
      <c r="E1728" s="7" t="s">
        <v>29</v>
      </c>
      <c r="F1728" s="7" t="s">
        <v>330</v>
      </c>
      <c r="G1728" s="7">
        <v>99.842449999999999</v>
      </c>
      <c r="H1728" s="7"/>
    </row>
    <row r="1729" spans="1:8" x14ac:dyDescent="0.35">
      <c r="A1729" s="7" t="s">
        <v>351</v>
      </c>
      <c r="B1729" s="7" t="s">
        <v>26</v>
      </c>
      <c r="C1729" s="7" t="s">
        <v>27</v>
      </c>
      <c r="D1729" s="7" t="s">
        <v>28</v>
      </c>
      <c r="E1729" s="7" t="s">
        <v>29</v>
      </c>
      <c r="F1729" s="7" t="s">
        <v>331</v>
      </c>
      <c r="G1729" s="7">
        <v>99.963899999999995</v>
      </c>
      <c r="H1729" s="7"/>
    </row>
    <row r="1730" spans="1:8" x14ac:dyDescent="0.35">
      <c r="A1730" s="7" t="s">
        <v>351</v>
      </c>
      <c r="B1730" s="7" t="s">
        <v>26</v>
      </c>
      <c r="C1730" s="7" t="s">
        <v>27</v>
      </c>
      <c r="D1730" s="7" t="s">
        <v>28</v>
      </c>
      <c r="E1730" s="7" t="s">
        <v>29</v>
      </c>
      <c r="F1730" s="7" t="s">
        <v>332</v>
      </c>
      <c r="G1730" s="7">
        <v>100.0819</v>
      </c>
      <c r="H1730" s="7"/>
    </row>
    <row r="1731" spans="1:8" x14ac:dyDescent="0.35">
      <c r="A1731" s="7" t="s">
        <v>351</v>
      </c>
      <c r="B1731" s="7" t="s">
        <v>26</v>
      </c>
      <c r="C1731" s="7" t="s">
        <v>27</v>
      </c>
      <c r="D1731" s="7" t="s">
        <v>28</v>
      </c>
      <c r="E1731" s="7" t="s">
        <v>29</v>
      </c>
      <c r="F1731" s="7" t="s">
        <v>333</v>
      </c>
      <c r="G1731" s="7">
        <v>100.169</v>
      </c>
      <c r="H1731" s="7"/>
    </row>
    <row r="1732" spans="1:8" x14ac:dyDescent="0.35">
      <c r="A1732" s="7" t="s">
        <v>351</v>
      </c>
      <c r="B1732" s="7" t="s">
        <v>26</v>
      </c>
      <c r="C1732" s="7" t="s">
        <v>27</v>
      </c>
      <c r="D1732" s="7" t="s">
        <v>28</v>
      </c>
      <c r="E1732" s="7" t="s">
        <v>29</v>
      </c>
      <c r="F1732" s="7" t="s">
        <v>334</v>
      </c>
      <c r="G1732" s="7">
        <v>100.22450000000001</v>
      </c>
      <c r="H1732" s="7"/>
    </row>
    <row r="1733" spans="1:8" x14ac:dyDescent="0.35">
      <c r="A1733" s="7" t="s">
        <v>351</v>
      </c>
      <c r="B1733" s="7" t="s">
        <v>26</v>
      </c>
      <c r="C1733" s="7" t="s">
        <v>27</v>
      </c>
      <c r="D1733" s="7" t="s">
        <v>28</v>
      </c>
      <c r="E1733" s="7" t="s">
        <v>29</v>
      </c>
      <c r="F1733" s="7" t="s">
        <v>335</v>
      </c>
      <c r="G1733" s="7">
        <v>100.2152</v>
      </c>
      <c r="H1733" s="7"/>
    </row>
    <row r="1734" spans="1:8" x14ac:dyDescent="0.35">
      <c r="A1734" s="7" t="s">
        <v>351</v>
      </c>
      <c r="B1734" s="7" t="s">
        <v>26</v>
      </c>
      <c r="C1734" s="7" t="s">
        <v>27</v>
      </c>
      <c r="D1734" s="7" t="s">
        <v>28</v>
      </c>
      <c r="E1734" s="7" t="s">
        <v>29</v>
      </c>
      <c r="F1734" s="7" t="s">
        <v>336</v>
      </c>
      <c r="G1734" s="7">
        <v>100.2122</v>
      </c>
      <c r="H1734" s="7"/>
    </row>
    <row r="1735" spans="1:8" x14ac:dyDescent="0.35">
      <c r="A1735" s="7" t="s">
        <v>351</v>
      </c>
      <c r="B1735" s="7" t="s">
        <v>26</v>
      </c>
      <c r="C1735" s="7" t="s">
        <v>27</v>
      </c>
      <c r="D1735" s="7" t="s">
        <v>28</v>
      </c>
      <c r="E1735" s="7" t="s">
        <v>29</v>
      </c>
      <c r="F1735" s="7" t="s">
        <v>337</v>
      </c>
      <c r="G1735" s="7">
        <v>100.2079</v>
      </c>
      <c r="H1735" s="7"/>
    </row>
    <row r="1736" spans="1:8" x14ac:dyDescent="0.35">
      <c r="A1736" s="7" t="s">
        <v>351</v>
      </c>
      <c r="B1736" s="7" t="s">
        <v>26</v>
      </c>
      <c r="C1736" s="7" t="s">
        <v>27</v>
      </c>
      <c r="D1736" s="7" t="s">
        <v>28</v>
      </c>
      <c r="E1736" s="7" t="s">
        <v>29</v>
      </c>
      <c r="F1736" s="7" t="s">
        <v>338</v>
      </c>
      <c r="G1736" s="7">
        <v>100.2289</v>
      </c>
      <c r="H1736" s="7"/>
    </row>
    <row r="1737" spans="1:8" x14ac:dyDescent="0.35">
      <c r="A1737" s="7" t="s">
        <v>351</v>
      </c>
      <c r="B1737" s="7" t="s">
        <v>26</v>
      </c>
      <c r="C1737" s="7" t="s">
        <v>27</v>
      </c>
      <c r="D1737" s="7" t="s">
        <v>28</v>
      </c>
      <c r="E1737" s="7" t="s">
        <v>29</v>
      </c>
      <c r="F1737" s="7" t="s">
        <v>339</v>
      </c>
      <c r="G1737" s="7">
        <v>100.25790000000001</v>
      </c>
      <c r="H1737" s="7"/>
    </row>
    <row r="1738" spans="1:8" x14ac:dyDescent="0.35">
      <c r="A1738" s="7" t="s">
        <v>351</v>
      </c>
      <c r="B1738" s="7" t="s">
        <v>26</v>
      </c>
      <c r="C1738" s="7" t="s">
        <v>27</v>
      </c>
      <c r="D1738" s="7" t="s">
        <v>28</v>
      </c>
      <c r="E1738" s="7" t="s">
        <v>29</v>
      </c>
      <c r="F1738" s="7" t="s">
        <v>340</v>
      </c>
      <c r="G1738" s="7">
        <v>100.3502</v>
      </c>
      <c r="H1738" s="7"/>
    </row>
    <row r="1739" spans="1:8" x14ac:dyDescent="0.35">
      <c r="A1739" s="7" t="s">
        <v>351</v>
      </c>
      <c r="B1739" s="7" t="s">
        <v>26</v>
      </c>
      <c r="C1739" s="7" t="s">
        <v>27</v>
      </c>
      <c r="D1739" s="7" t="s">
        <v>28</v>
      </c>
      <c r="E1739" s="7" t="s">
        <v>29</v>
      </c>
      <c r="F1739" s="7" t="s">
        <v>341</v>
      </c>
      <c r="G1739" s="7">
        <v>100.46680000000001</v>
      </c>
      <c r="H1739" s="7"/>
    </row>
    <row r="1740" spans="1:8" x14ac:dyDescent="0.35">
      <c r="A1740" s="7" t="s">
        <v>351</v>
      </c>
      <c r="B1740" s="7" t="s">
        <v>26</v>
      </c>
      <c r="C1740" s="7" t="s">
        <v>27</v>
      </c>
      <c r="D1740" s="7" t="s">
        <v>28</v>
      </c>
      <c r="E1740" s="7" t="s">
        <v>29</v>
      </c>
      <c r="F1740" s="7" t="s">
        <v>342</v>
      </c>
      <c r="G1740" s="7">
        <v>100.5479</v>
      </c>
      <c r="H1740" s="7"/>
    </row>
    <row r="1741" spans="1:8" x14ac:dyDescent="0.35">
      <c r="A1741" s="7" t="s">
        <v>351</v>
      </c>
      <c r="B1741" s="7" t="s">
        <v>26</v>
      </c>
      <c r="C1741" s="7" t="s">
        <v>27</v>
      </c>
      <c r="D1741" s="7" t="s">
        <v>28</v>
      </c>
      <c r="E1741" s="7" t="s">
        <v>29</v>
      </c>
      <c r="F1741" s="7" t="s">
        <v>343</v>
      </c>
      <c r="G1741" s="7">
        <v>100.5612</v>
      </c>
      <c r="H1741" s="7"/>
    </row>
    <row r="1742" spans="1:8" x14ac:dyDescent="0.35">
      <c r="A1742" s="7" t="s">
        <v>351</v>
      </c>
      <c r="B1742" s="7" t="s">
        <v>26</v>
      </c>
      <c r="C1742" s="7" t="s">
        <v>27</v>
      </c>
      <c r="D1742" s="7" t="s">
        <v>28</v>
      </c>
      <c r="E1742" s="7" t="s">
        <v>29</v>
      </c>
      <c r="F1742" s="7" t="s">
        <v>344</v>
      </c>
      <c r="G1742" s="7">
        <v>100.5311</v>
      </c>
      <c r="H1742" s="7"/>
    </row>
    <row r="1743" spans="1:8" x14ac:dyDescent="0.35">
      <c r="A1743" s="7" t="s">
        <v>351</v>
      </c>
      <c r="B1743" s="7" t="s">
        <v>26</v>
      </c>
      <c r="C1743" s="7" t="s">
        <v>27</v>
      </c>
      <c r="D1743" s="7" t="s">
        <v>28</v>
      </c>
      <c r="E1743" s="7" t="s">
        <v>29</v>
      </c>
      <c r="F1743" s="7" t="s">
        <v>345</v>
      </c>
      <c r="G1743" s="7">
        <v>100.4701</v>
      </c>
      <c r="H1743" s="7"/>
    </row>
    <row r="1744" spans="1:8" x14ac:dyDescent="0.35">
      <c r="A1744" s="7" t="s">
        <v>352</v>
      </c>
      <c r="B1744" s="7" t="s">
        <v>26</v>
      </c>
      <c r="C1744" s="7" t="s">
        <v>27</v>
      </c>
      <c r="D1744" s="7" t="s">
        <v>28</v>
      </c>
      <c r="E1744" s="7" t="s">
        <v>29</v>
      </c>
      <c r="F1744" s="7" t="s">
        <v>30</v>
      </c>
      <c r="G1744" s="7">
        <v>99.765720000000002</v>
      </c>
      <c r="H1744" s="7"/>
    </row>
    <row r="1745" spans="1:8" x14ac:dyDescent="0.35">
      <c r="A1745" s="7" t="s">
        <v>352</v>
      </c>
      <c r="B1745" s="7" t="s">
        <v>26</v>
      </c>
      <c r="C1745" s="7" t="s">
        <v>27</v>
      </c>
      <c r="D1745" s="7" t="s">
        <v>28</v>
      </c>
      <c r="E1745" s="7" t="s">
        <v>29</v>
      </c>
      <c r="F1745" s="7" t="s">
        <v>31</v>
      </c>
      <c r="G1745" s="7">
        <v>99.694820000000007</v>
      </c>
      <c r="H1745" s="7"/>
    </row>
    <row r="1746" spans="1:8" x14ac:dyDescent="0.35">
      <c r="A1746" s="7" t="s">
        <v>352</v>
      </c>
      <c r="B1746" s="7" t="s">
        <v>26</v>
      </c>
      <c r="C1746" s="7" t="s">
        <v>27</v>
      </c>
      <c r="D1746" s="7" t="s">
        <v>28</v>
      </c>
      <c r="E1746" s="7" t="s">
        <v>29</v>
      </c>
      <c r="F1746" s="7" t="s">
        <v>32</v>
      </c>
      <c r="G1746" s="7">
        <v>99.675880000000006</v>
      </c>
      <c r="H1746" s="7"/>
    </row>
    <row r="1747" spans="1:8" x14ac:dyDescent="0.35">
      <c r="A1747" s="7" t="s">
        <v>352</v>
      </c>
      <c r="B1747" s="7" t="s">
        <v>26</v>
      </c>
      <c r="C1747" s="7" t="s">
        <v>27</v>
      </c>
      <c r="D1747" s="7" t="s">
        <v>28</v>
      </c>
      <c r="E1747" s="7" t="s">
        <v>29</v>
      </c>
      <c r="F1747" s="7" t="s">
        <v>33</v>
      </c>
      <c r="G1747" s="7">
        <v>99.687880000000007</v>
      </c>
      <c r="H1747" s="7"/>
    </row>
    <row r="1748" spans="1:8" x14ac:dyDescent="0.35">
      <c r="A1748" s="7" t="s">
        <v>352</v>
      </c>
      <c r="B1748" s="7" t="s">
        <v>26</v>
      </c>
      <c r="C1748" s="7" t="s">
        <v>27</v>
      </c>
      <c r="D1748" s="7" t="s">
        <v>28</v>
      </c>
      <c r="E1748" s="7" t="s">
        <v>29</v>
      </c>
      <c r="F1748" s="7" t="s">
        <v>34</v>
      </c>
      <c r="G1748" s="7">
        <v>99.701599999999999</v>
      </c>
      <c r="H1748" s="7"/>
    </row>
    <row r="1749" spans="1:8" x14ac:dyDescent="0.35">
      <c r="A1749" s="7" t="s">
        <v>352</v>
      </c>
      <c r="B1749" s="7" t="s">
        <v>26</v>
      </c>
      <c r="C1749" s="7" t="s">
        <v>27</v>
      </c>
      <c r="D1749" s="7" t="s">
        <v>28</v>
      </c>
      <c r="E1749" s="7" t="s">
        <v>29</v>
      </c>
      <c r="F1749" s="7" t="s">
        <v>35</v>
      </c>
      <c r="G1749" s="7">
        <v>99.703419999999994</v>
      </c>
      <c r="H1749" s="7"/>
    </row>
    <row r="1750" spans="1:8" x14ac:dyDescent="0.35">
      <c r="A1750" s="7" t="s">
        <v>352</v>
      </c>
      <c r="B1750" s="7" t="s">
        <v>26</v>
      </c>
      <c r="C1750" s="7" t="s">
        <v>27</v>
      </c>
      <c r="D1750" s="7" t="s">
        <v>28</v>
      </c>
      <c r="E1750" s="7" t="s">
        <v>29</v>
      </c>
      <c r="F1750" s="7" t="s">
        <v>36</v>
      </c>
      <c r="G1750" s="7">
        <v>99.655270000000002</v>
      </c>
      <c r="H1750" s="7"/>
    </row>
    <row r="1751" spans="1:8" x14ac:dyDescent="0.35">
      <c r="A1751" s="7" t="s">
        <v>352</v>
      </c>
      <c r="B1751" s="7" t="s">
        <v>26</v>
      </c>
      <c r="C1751" s="7" t="s">
        <v>27</v>
      </c>
      <c r="D1751" s="7" t="s">
        <v>28</v>
      </c>
      <c r="E1751" s="7" t="s">
        <v>29</v>
      </c>
      <c r="F1751" s="7" t="s">
        <v>37</v>
      </c>
      <c r="G1751" s="7">
        <v>99.528220000000005</v>
      </c>
      <c r="H1751" s="7"/>
    </row>
    <row r="1752" spans="1:8" x14ac:dyDescent="0.35">
      <c r="A1752" s="7" t="s">
        <v>352</v>
      </c>
      <c r="B1752" s="7" t="s">
        <v>26</v>
      </c>
      <c r="C1752" s="7" t="s">
        <v>27</v>
      </c>
      <c r="D1752" s="7" t="s">
        <v>28</v>
      </c>
      <c r="E1752" s="7" t="s">
        <v>29</v>
      </c>
      <c r="F1752" s="7" t="s">
        <v>38</v>
      </c>
      <c r="G1752" s="7">
        <v>99.333219999999997</v>
      </c>
      <c r="H1752" s="7"/>
    </row>
    <row r="1753" spans="1:8" x14ac:dyDescent="0.35">
      <c r="A1753" s="7" t="s">
        <v>352</v>
      </c>
      <c r="B1753" s="7" t="s">
        <v>26</v>
      </c>
      <c r="C1753" s="7" t="s">
        <v>27</v>
      </c>
      <c r="D1753" s="7" t="s">
        <v>28</v>
      </c>
      <c r="E1753" s="7" t="s">
        <v>29</v>
      </c>
      <c r="F1753" s="7" t="s">
        <v>39</v>
      </c>
      <c r="G1753" s="7">
        <v>99.074539999999999</v>
      </c>
      <c r="H1753" s="7"/>
    </row>
    <row r="1754" spans="1:8" x14ac:dyDescent="0.35">
      <c r="A1754" s="7" t="s">
        <v>352</v>
      </c>
      <c r="B1754" s="7" t="s">
        <v>26</v>
      </c>
      <c r="C1754" s="7" t="s">
        <v>27</v>
      </c>
      <c r="D1754" s="7" t="s">
        <v>28</v>
      </c>
      <c r="E1754" s="7" t="s">
        <v>29</v>
      </c>
      <c r="F1754" s="7" t="s">
        <v>40</v>
      </c>
      <c r="G1754" s="7">
        <v>98.767340000000004</v>
      </c>
      <c r="H1754" s="7"/>
    </row>
    <row r="1755" spans="1:8" x14ac:dyDescent="0.35">
      <c r="A1755" s="7" t="s">
        <v>352</v>
      </c>
      <c r="B1755" s="7" t="s">
        <v>26</v>
      </c>
      <c r="C1755" s="7" t="s">
        <v>27</v>
      </c>
      <c r="D1755" s="7" t="s">
        <v>28</v>
      </c>
      <c r="E1755" s="7" t="s">
        <v>29</v>
      </c>
      <c r="F1755" s="7" t="s">
        <v>41</v>
      </c>
      <c r="G1755" s="7">
        <v>98.4649</v>
      </c>
      <c r="H1755" s="7"/>
    </row>
    <row r="1756" spans="1:8" x14ac:dyDescent="0.35">
      <c r="A1756" s="7" t="s">
        <v>352</v>
      </c>
      <c r="B1756" s="7" t="s">
        <v>26</v>
      </c>
      <c r="C1756" s="7" t="s">
        <v>27</v>
      </c>
      <c r="D1756" s="7" t="s">
        <v>28</v>
      </c>
      <c r="E1756" s="7" t="s">
        <v>29</v>
      </c>
      <c r="F1756" s="7" t="s">
        <v>42</v>
      </c>
      <c r="G1756" s="7">
        <v>98.254930000000002</v>
      </c>
      <c r="H1756" s="7"/>
    </row>
    <row r="1757" spans="1:8" x14ac:dyDescent="0.35">
      <c r="A1757" s="7" t="s">
        <v>352</v>
      </c>
      <c r="B1757" s="7" t="s">
        <v>26</v>
      </c>
      <c r="C1757" s="7" t="s">
        <v>27</v>
      </c>
      <c r="D1757" s="7" t="s">
        <v>28</v>
      </c>
      <c r="E1757" s="7" t="s">
        <v>29</v>
      </c>
      <c r="F1757" s="7" t="s">
        <v>43</v>
      </c>
      <c r="G1757" s="7">
        <v>98.14819</v>
      </c>
      <c r="H1757" s="7"/>
    </row>
    <row r="1758" spans="1:8" x14ac:dyDescent="0.35">
      <c r="A1758" s="7" t="s">
        <v>352</v>
      </c>
      <c r="B1758" s="7" t="s">
        <v>26</v>
      </c>
      <c r="C1758" s="7" t="s">
        <v>27</v>
      </c>
      <c r="D1758" s="7" t="s">
        <v>28</v>
      </c>
      <c r="E1758" s="7" t="s">
        <v>29</v>
      </c>
      <c r="F1758" s="7" t="s">
        <v>44</v>
      </c>
      <c r="G1758" s="7">
        <v>98.134739999999994</v>
      </c>
      <c r="H1758" s="7"/>
    </row>
    <row r="1759" spans="1:8" x14ac:dyDescent="0.35">
      <c r="A1759" s="7" t="s">
        <v>352</v>
      </c>
      <c r="B1759" s="7" t="s">
        <v>26</v>
      </c>
      <c r="C1759" s="7" t="s">
        <v>27</v>
      </c>
      <c r="D1759" s="7" t="s">
        <v>28</v>
      </c>
      <c r="E1759" s="7" t="s">
        <v>29</v>
      </c>
      <c r="F1759" s="7" t="s">
        <v>45</v>
      </c>
      <c r="G1759" s="7">
        <v>98.134739999999994</v>
      </c>
      <c r="H1759" s="7"/>
    </row>
    <row r="1760" spans="1:8" x14ac:dyDescent="0.35">
      <c r="A1760" s="7" t="s">
        <v>352</v>
      </c>
      <c r="B1760" s="7" t="s">
        <v>26</v>
      </c>
      <c r="C1760" s="7" t="s">
        <v>27</v>
      </c>
      <c r="D1760" s="7" t="s">
        <v>28</v>
      </c>
      <c r="E1760" s="7" t="s">
        <v>29</v>
      </c>
      <c r="F1760" s="7" t="s">
        <v>46</v>
      </c>
      <c r="G1760" s="7">
        <v>98.190349999999995</v>
      </c>
      <c r="H1760" s="7"/>
    </row>
    <row r="1761" spans="1:8" x14ac:dyDescent="0.35">
      <c r="A1761" s="7" t="s">
        <v>352</v>
      </c>
      <c r="B1761" s="7" t="s">
        <v>26</v>
      </c>
      <c r="C1761" s="7" t="s">
        <v>27</v>
      </c>
      <c r="D1761" s="7" t="s">
        <v>28</v>
      </c>
      <c r="E1761" s="7" t="s">
        <v>29</v>
      </c>
      <c r="F1761" s="7" t="s">
        <v>47</v>
      </c>
      <c r="G1761" s="7">
        <v>98.340680000000006</v>
      </c>
      <c r="H1761" s="7"/>
    </row>
    <row r="1762" spans="1:8" x14ac:dyDescent="0.35">
      <c r="A1762" s="7" t="s">
        <v>352</v>
      </c>
      <c r="B1762" s="7" t="s">
        <v>26</v>
      </c>
      <c r="C1762" s="7" t="s">
        <v>27</v>
      </c>
      <c r="D1762" s="7" t="s">
        <v>28</v>
      </c>
      <c r="E1762" s="7" t="s">
        <v>29</v>
      </c>
      <c r="F1762" s="7" t="s">
        <v>48</v>
      </c>
      <c r="G1762" s="7">
        <v>98.462680000000006</v>
      </c>
      <c r="H1762" s="7"/>
    </row>
    <row r="1763" spans="1:8" x14ac:dyDescent="0.35">
      <c r="A1763" s="7" t="s">
        <v>352</v>
      </c>
      <c r="B1763" s="7" t="s">
        <v>26</v>
      </c>
      <c r="C1763" s="7" t="s">
        <v>27</v>
      </c>
      <c r="D1763" s="7" t="s">
        <v>28</v>
      </c>
      <c r="E1763" s="7" t="s">
        <v>29</v>
      </c>
      <c r="F1763" s="7" t="s">
        <v>49</v>
      </c>
      <c r="G1763" s="7">
        <v>98.456249999999997</v>
      </c>
      <c r="H1763" s="7"/>
    </row>
    <row r="1764" spans="1:8" x14ac:dyDescent="0.35">
      <c r="A1764" s="7" t="s">
        <v>352</v>
      </c>
      <c r="B1764" s="7" t="s">
        <v>26</v>
      </c>
      <c r="C1764" s="7" t="s">
        <v>27</v>
      </c>
      <c r="D1764" s="7" t="s">
        <v>28</v>
      </c>
      <c r="E1764" s="7" t="s">
        <v>29</v>
      </c>
      <c r="F1764" s="7" t="s">
        <v>50</v>
      </c>
      <c r="G1764" s="7">
        <v>98.447199999999995</v>
      </c>
      <c r="H1764" s="7"/>
    </row>
    <row r="1765" spans="1:8" x14ac:dyDescent="0.35">
      <c r="A1765" s="7" t="s">
        <v>352</v>
      </c>
      <c r="B1765" s="7" t="s">
        <v>26</v>
      </c>
      <c r="C1765" s="7" t="s">
        <v>27</v>
      </c>
      <c r="D1765" s="7" t="s">
        <v>28</v>
      </c>
      <c r="E1765" s="7" t="s">
        <v>29</v>
      </c>
      <c r="F1765" s="7" t="s">
        <v>51</v>
      </c>
      <c r="G1765" s="7">
        <v>98.472980000000007</v>
      </c>
      <c r="H1765" s="7"/>
    </row>
    <row r="1766" spans="1:8" x14ac:dyDescent="0.35">
      <c r="A1766" s="7" t="s">
        <v>352</v>
      </c>
      <c r="B1766" s="7" t="s">
        <v>26</v>
      </c>
      <c r="C1766" s="7" t="s">
        <v>27</v>
      </c>
      <c r="D1766" s="7" t="s">
        <v>28</v>
      </c>
      <c r="E1766" s="7" t="s">
        <v>29</v>
      </c>
      <c r="F1766" s="7" t="s">
        <v>52</v>
      </c>
      <c r="G1766" s="7">
        <v>98.496070000000003</v>
      </c>
      <c r="H1766" s="7"/>
    </row>
    <row r="1767" spans="1:8" x14ac:dyDescent="0.35">
      <c r="A1767" s="7" t="s">
        <v>352</v>
      </c>
      <c r="B1767" s="7" t="s">
        <v>26</v>
      </c>
      <c r="C1767" s="7" t="s">
        <v>27</v>
      </c>
      <c r="D1767" s="7" t="s">
        <v>28</v>
      </c>
      <c r="E1767" s="7" t="s">
        <v>29</v>
      </c>
      <c r="F1767" s="7" t="s">
        <v>53</v>
      </c>
      <c r="G1767" s="7">
        <v>98.474689999999995</v>
      </c>
      <c r="H1767" s="7"/>
    </row>
    <row r="1768" spans="1:8" x14ac:dyDescent="0.35">
      <c r="A1768" s="7" t="s">
        <v>352</v>
      </c>
      <c r="B1768" s="7" t="s">
        <v>26</v>
      </c>
      <c r="C1768" s="7" t="s">
        <v>27</v>
      </c>
      <c r="D1768" s="7" t="s">
        <v>28</v>
      </c>
      <c r="E1768" s="7" t="s">
        <v>29</v>
      </c>
      <c r="F1768" s="7" t="s">
        <v>54</v>
      </c>
      <c r="G1768" s="7">
        <v>98.47869</v>
      </c>
      <c r="H1768" s="7"/>
    </row>
    <row r="1769" spans="1:8" x14ac:dyDescent="0.35">
      <c r="A1769" s="7" t="s">
        <v>352</v>
      </c>
      <c r="B1769" s="7" t="s">
        <v>26</v>
      </c>
      <c r="C1769" s="7" t="s">
        <v>27</v>
      </c>
      <c r="D1769" s="7" t="s">
        <v>28</v>
      </c>
      <c r="E1769" s="7" t="s">
        <v>29</v>
      </c>
      <c r="F1769" s="7" t="s">
        <v>55</v>
      </c>
      <c r="G1769" s="7">
        <v>98.603430000000003</v>
      </c>
      <c r="H1769" s="7"/>
    </row>
    <row r="1770" spans="1:8" x14ac:dyDescent="0.35">
      <c r="A1770" s="7" t="s">
        <v>352</v>
      </c>
      <c r="B1770" s="7" t="s">
        <v>26</v>
      </c>
      <c r="C1770" s="7" t="s">
        <v>27</v>
      </c>
      <c r="D1770" s="7" t="s">
        <v>28</v>
      </c>
      <c r="E1770" s="7" t="s">
        <v>29</v>
      </c>
      <c r="F1770" s="7" t="s">
        <v>56</v>
      </c>
      <c r="G1770" s="7">
        <v>98.813469999999995</v>
      </c>
      <c r="H1770" s="7"/>
    </row>
    <row r="1771" spans="1:8" x14ac:dyDescent="0.35">
      <c r="A1771" s="7" t="s">
        <v>352</v>
      </c>
      <c r="B1771" s="7" t="s">
        <v>26</v>
      </c>
      <c r="C1771" s="7" t="s">
        <v>27</v>
      </c>
      <c r="D1771" s="7" t="s">
        <v>28</v>
      </c>
      <c r="E1771" s="7" t="s">
        <v>29</v>
      </c>
      <c r="F1771" s="7" t="s">
        <v>57</v>
      </c>
      <c r="G1771" s="7">
        <v>99.040239999999997</v>
      </c>
      <c r="H1771" s="7"/>
    </row>
    <row r="1772" spans="1:8" x14ac:dyDescent="0.35">
      <c r="A1772" s="7" t="s">
        <v>352</v>
      </c>
      <c r="B1772" s="7" t="s">
        <v>26</v>
      </c>
      <c r="C1772" s="7" t="s">
        <v>27</v>
      </c>
      <c r="D1772" s="7" t="s">
        <v>28</v>
      </c>
      <c r="E1772" s="7" t="s">
        <v>29</v>
      </c>
      <c r="F1772" s="7" t="s">
        <v>58</v>
      </c>
      <c r="G1772" s="7">
        <v>99.305639999999997</v>
      </c>
      <c r="H1772" s="7"/>
    </row>
    <row r="1773" spans="1:8" x14ac:dyDescent="0.35">
      <c r="A1773" s="7" t="s">
        <v>352</v>
      </c>
      <c r="B1773" s="7" t="s">
        <v>26</v>
      </c>
      <c r="C1773" s="7" t="s">
        <v>27</v>
      </c>
      <c r="D1773" s="7" t="s">
        <v>28</v>
      </c>
      <c r="E1773" s="7" t="s">
        <v>29</v>
      </c>
      <c r="F1773" s="7" t="s">
        <v>59</v>
      </c>
      <c r="G1773" s="7">
        <v>99.650970000000001</v>
      </c>
      <c r="H1773" s="7"/>
    </row>
    <row r="1774" spans="1:8" x14ac:dyDescent="0.35">
      <c r="A1774" s="7" t="s">
        <v>352</v>
      </c>
      <c r="B1774" s="7" t="s">
        <v>26</v>
      </c>
      <c r="C1774" s="7" t="s">
        <v>27</v>
      </c>
      <c r="D1774" s="7" t="s">
        <v>28</v>
      </c>
      <c r="E1774" s="7" t="s">
        <v>29</v>
      </c>
      <c r="F1774" s="7" t="s">
        <v>60</v>
      </c>
      <c r="G1774" s="7">
        <v>100.027</v>
      </c>
      <c r="H1774" s="7"/>
    </row>
    <row r="1775" spans="1:8" x14ac:dyDescent="0.35">
      <c r="A1775" s="7" t="s">
        <v>352</v>
      </c>
      <c r="B1775" s="7" t="s">
        <v>26</v>
      </c>
      <c r="C1775" s="7" t="s">
        <v>27</v>
      </c>
      <c r="D1775" s="7" t="s">
        <v>28</v>
      </c>
      <c r="E1775" s="7" t="s">
        <v>29</v>
      </c>
      <c r="F1775" s="7" t="s">
        <v>61</v>
      </c>
      <c r="G1775" s="7">
        <v>100.34690000000001</v>
      </c>
      <c r="H1775" s="7"/>
    </row>
    <row r="1776" spans="1:8" x14ac:dyDescent="0.35">
      <c r="A1776" s="7" t="s">
        <v>352</v>
      </c>
      <c r="B1776" s="7" t="s">
        <v>26</v>
      </c>
      <c r="C1776" s="7" t="s">
        <v>27</v>
      </c>
      <c r="D1776" s="7" t="s">
        <v>28</v>
      </c>
      <c r="E1776" s="7" t="s">
        <v>29</v>
      </c>
      <c r="F1776" s="7" t="s">
        <v>62</v>
      </c>
      <c r="G1776" s="7">
        <v>100.5286</v>
      </c>
      <c r="H1776" s="7"/>
    </row>
    <row r="1777" spans="1:8" x14ac:dyDescent="0.35">
      <c r="A1777" s="7" t="s">
        <v>352</v>
      </c>
      <c r="B1777" s="7" t="s">
        <v>26</v>
      </c>
      <c r="C1777" s="7" t="s">
        <v>27</v>
      </c>
      <c r="D1777" s="7" t="s">
        <v>28</v>
      </c>
      <c r="E1777" s="7" t="s">
        <v>29</v>
      </c>
      <c r="F1777" s="7" t="s">
        <v>63</v>
      </c>
      <c r="G1777" s="7">
        <v>100.65779999999999</v>
      </c>
      <c r="H1777" s="7"/>
    </row>
    <row r="1778" spans="1:8" x14ac:dyDescent="0.35">
      <c r="A1778" s="7" t="s">
        <v>352</v>
      </c>
      <c r="B1778" s="7" t="s">
        <v>26</v>
      </c>
      <c r="C1778" s="7" t="s">
        <v>27</v>
      </c>
      <c r="D1778" s="7" t="s">
        <v>28</v>
      </c>
      <c r="E1778" s="7" t="s">
        <v>29</v>
      </c>
      <c r="F1778" s="7" t="s">
        <v>64</v>
      </c>
      <c r="G1778" s="7">
        <v>100.7581</v>
      </c>
      <c r="H1778" s="7"/>
    </row>
    <row r="1779" spans="1:8" x14ac:dyDescent="0.35">
      <c r="A1779" s="7" t="s">
        <v>352</v>
      </c>
      <c r="B1779" s="7" t="s">
        <v>26</v>
      </c>
      <c r="C1779" s="7" t="s">
        <v>27</v>
      </c>
      <c r="D1779" s="7" t="s">
        <v>28</v>
      </c>
      <c r="E1779" s="7" t="s">
        <v>29</v>
      </c>
      <c r="F1779" s="7" t="s">
        <v>65</v>
      </c>
      <c r="G1779" s="7">
        <v>100.78189999999999</v>
      </c>
      <c r="H1779" s="7"/>
    </row>
    <row r="1780" spans="1:8" x14ac:dyDescent="0.35">
      <c r="A1780" s="7" t="s">
        <v>352</v>
      </c>
      <c r="B1780" s="7" t="s">
        <v>26</v>
      </c>
      <c r="C1780" s="7" t="s">
        <v>27</v>
      </c>
      <c r="D1780" s="7" t="s">
        <v>28</v>
      </c>
      <c r="E1780" s="7" t="s">
        <v>29</v>
      </c>
      <c r="F1780" s="7" t="s">
        <v>66</v>
      </c>
      <c r="G1780" s="7">
        <v>100.7461</v>
      </c>
      <c r="H1780" s="7"/>
    </row>
    <row r="1781" spans="1:8" x14ac:dyDescent="0.35">
      <c r="A1781" s="7" t="s">
        <v>352</v>
      </c>
      <c r="B1781" s="7" t="s">
        <v>26</v>
      </c>
      <c r="C1781" s="7" t="s">
        <v>27</v>
      </c>
      <c r="D1781" s="7" t="s">
        <v>28</v>
      </c>
      <c r="E1781" s="7" t="s">
        <v>29</v>
      </c>
      <c r="F1781" s="7" t="s">
        <v>67</v>
      </c>
      <c r="G1781" s="7">
        <v>100.69629999999999</v>
      </c>
      <c r="H1781" s="7"/>
    </row>
    <row r="1782" spans="1:8" x14ac:dyDescent="0.35">
      <c r="A1782" s="7" t="s">
        <v>352</v>
      </c>
      <c r="B1782" s="7" t="s">
        <v>26</v>
      </c>
      <c r="C1782" s="7" t="s">
        <v>27</v>
      </c>
      <c r="D1782" s="7" t="s">
        <v>28</v>
      </c>
      <c r="E1782" s="7" t="s">
        <v>29</v>
      </c>
      <c r="F1782" s="7" t="s">
        <v>68</v>
      </c>
      <c r="G1782" s="7">
        <v>100.7021</v>
      </c>
      <c r="H1782" s="7"/>
    </row>
    <row r="1783" spans="1:8" x14ac:dyDescent="0.35">
      <c r="A1783" s="7" t="s">
        <v>352</v>
      </c>
      <c r="B1783" s="7" t="s">
        <v>26</v>
      </c>
      <c r="C1783" s="7" t="s">
        <v>27</v>
      </c>
      <c r="D1783" s="7" t="s">
        <v>28</v>
      </c>
      <c r="E1783" s="7" t="s">
        <v>29</v>
      </c>
      <c r="F1783" s="7" t="s">
        <v>69</v>
      </c>
      <c r="G1783" s="7">
        <v>100.69</v>
      </c>
      <c r="H1783" s="7"/>
    </row>
    <row r="1784" spans="1:8" x14ac:dyDescent="0.35">
      <c r="A1784" s="7" t="s">
        <v>352</v>
      </c>
      <c r="B1784" s="7" t="s">
        <v>26</v>
      </c>
      <c r="C1784" s="7" t="s">
        <v>27</v>
      </c>
      <c r="D1784" s="7" t="s">
        <v>28</v>
      </c>
      <c r="E1784" s="7" t="s">
        <v>29</v>
      </c>
      <c r="F1784" s="7" t="s">
        <v>70</v>
      </c>
      <c r="G1784" s="7">
        <v>100.6845</v>
      </c>
      <c r="H1784" s="7"/>
    </row>
    <row r="1785" spans="1:8" x14ac:dyDescent="0.35">
      <c r="A1785" s="7" t="s">
        <v>352</v>
      </c>
      <c r="B1785" s="7" t="s">
        <v>26</v>
      </c>
      <c r="C1785" s="7" t="s">
        <v>27</v>
      </c>
      <c r="D1785" s="7" t="s">
        <v>28</v>
      </c>
      <c r="E1785" s="7" t="s">
        <v>29</v>
      </c>
      <c r="F1785" s="7" t="s">
        <v>71</v>
      </c>
      <c r="G1785" s="7">
        <v>100.7119</v>
      </c>
      <c r="H1785" s="7"/>
    </row>
    <row r="1786" spans="1:8" x14ac:dyDescent="0.35">
      <c r="A1786" s="7" t="s">
        <v>352</v>
      </c>
      <c r="B1786" s="7" t="s">
        <v>26</v>
      </c>
      <c r="C1786" s="7" t="s">
        <v>27</v>
      </c>
      <c r="D1786" s="7" t="s">
        <v>28</v>
      </c>
      <c r="E1786" s="7" t="s">
        <v>29</v>
      </c>
      <c r="F1786" s="7" t="s">
        <v>72</v>
      </c>
      <c r="G1786" s="7">
        <v>100.7921</v>
      </c>
      <c r="H1786" s="7"/>
    </row>
    <row r="1787" spans="1:8" x14ac:dyDescent="0.35">
      <c r="A1787" s="7" t="s">
        <v>352</v>
      </c>
      <c r="B1787" s="7" t="s">
        <v>26</v>
      </c>
      <c r="C1787" s="7" t="s">
        <v>27</v>
      </c>
      <c r="D1787" s="7" t="s">
        <v>28</v>
      </c>
      <c r="E1787" s="7" t="s">
        <v>29</v>
      </c>
      <c r="F1787" s="7" t="s">
        <v>73</v>
      </c>
      <c r="G1787" s="7">
        <v>100.8593</v>
      </c>
      <c r="H1787" s="7"/>
    </row>
    <row r="1788" spans="1:8" x14ac:dyDescent="0.35">
      <c r="A1788" s="7" t="s">
        <v>352</v>
      </c>
      <c r="B1788" s="7" t="s">
        <v>26</v>
      </c>
      <c r="C1788" s="7" t="s">
        <v>27</v>
      </c>
      <c r="D1788" s="7" t="s">
        <v>28</v>
      </c>
      <c r="E1788" s="7" t="s">
        <v>29</v>
      </c>
      <c r="F1788" s="7" t="s">
        <v>74</v>
      </c>
      <c r="G1788" s="7">
        <v>100.85590000000001</v>
      </c>
      <c r="H1788" s="7"/>
    </row>
    <row r="1789" spans="1:8" x14ac:dyDescent="0.35">
      <c r="A1789" s="7" t="s">
        <v>352</v>
      </c>
      <c r="B1789" s="7" t="s">
        <v>26</v>
      </c>
      <c r="C1789" s="7" t="s">
        <v>27</v>
      </c>
      <c r="D1789" s="7" t="s">
        <v>28</v>
      </c>
      <c r="E1789" s="7" t="s">
        <v>29</v>
      </c>
      <c r="F1789" s="7" t="s">
        <v>75</v>
      </c>
      <c r="G1789" s="7">
        <v>100.76439999999999</v>
      </c>
      <c r="H1789" s="7"/>
    </row>
    <row r="1790" spans="1:8" x14ac:dyDescent="0.35">
      <c r="A1790" s="7" t="s">
        <v>352</v>
      </c>
      <c r="B1790" s="7" t="s">
        <v>26</v>
      </c>
      <c r="C1790" s="7" t="s">
        <v>27</v>
      </c>
      <c r="D1790" s="7" t="s">
        <v>28</v>
      </c>
      <c r="E1790" s="7" t="s">
        <v>29</v>
      </c>
      <c r="F1790" s="7" t="s">
        <v>76</v>
      </c>
      <c r="G1790" s="7">
        <v>100.6075</v>
      </c>
      <c r="H1790" s="7"/>
    </row>
    <row r="1791" spans="1:8" x14ac:dyDescent="0.35">
      <c r="A1791" s="7" t="s">
        <v>352</v>
      </c>
      <c r="B1791" s="7" t="s">
        <v>26</v>
      </c>
      <c r="C1791" s="7" t="s">
        <v>27</v>
      </c>
      <c r="D1791" s="7" t="s">
        <v>28</v>
      </c>
      <c r="E1791" s="7" t="s">
        <v>29</v>
      </c>
      <c r="F1791" s="7" t="s">
        <v>77</v>
      </c>
      <c r="G1791" s="7">
        <v>100.4545</v>
      </c>
      <c r="H1791" s="7"/>
    </row>
    <row r="1792" spans="1:8" x14ac:dyDescent="0.35">
      <c r="A1792" s="7" t="s">
        <v>352</v>
      </c>
      <c r="B1792" s="7" t="s">
        <v>26</v>
      </c>
      <c r="C1792" s="7" t="s">
        <v>27</v>
      </c>
      <c r="D1792" s="7" t="s">
        <v>28</v>
      </c>
      <c r="E1792" s="7" t="s">
        <v>29</v>
      </c>
      <c r="F1792" s="7" t="s">
        <v>78</v>
      </c>
      <c r="G1792" s="7">
        <v>100.3138</v>
      </c>
      <c r="H1792" s="7"/>
    </row>
    <row r="1793" spans="1:8" x14ac:dyDescent="0.35">
      <c r="A1793" s="7" t="s">
        <v>352</v>
      </c>
      <c r="B1793" s="7" t="s">
        <v>26</v>
      </c>
      <c r="C1793" s="7" t="s">
        <v>27</v>
      </c>
      <c r="D1793" s="7" t="s">
        <v>28</v>
      </c>
      <c r="E1793" s="7" t="s">
        <v>29</v>
      </c>
      <c r="F1793" s="7" t="s">
        <v>79</v>
      </c>
      <c r="G1793" s="7">
        <v>100.1694</v>
      </c>
      <c r="H1793" s="7"/>
    </row>
    <row r="1794" spans="1:8" x14ac:dyDescent="0.35">
      <c r="A1794" s="7" t="s">
        <v>352</v>
      </c>
      <c r="B1794" s="7" t="s">
        <v>26</v>
      </c>
      <c r="C1794" s="7" t="s">
        <v>27</v>
      </c>
      <c r="D1794" s="7" t="s">
        <v>28</v>
      </c>
      <c r="E1794" s="7" t="s">
        <v>29</v>
      </c>
      <c r="F1794" s="7" t="s">
        <v>80</v>
      </c>
      <c r="G1794" s="7">
        <v>100.0399</v>
      </c>
      <c r="H1794" s="7"/>
    </row>
    <row r="1795" spans="1:8" x14ac:dyDescent="0.35">
      <c r="A1795" s="7" t="s">
        <v>352</v>
      </c>
      <c r="B1795" s="7" t="s">
        <v>26</v>
      </c>
      <c r="C1795" s="7" t="s">
        <v>27</v>
      </c>
      <c r="D1795" s="7" t="s">
        <v>28</v>
      </c>
      <c r="E1795" s="7" t="s">
        <v>29</v>
      </c>
      <c r="F1795" s="7" t="s">
        <v>81</v>
      </c>
      <c r="G1795" s="7">
        <v>99.932069999999996</v>
      </c>
      <c r="H1795" s="7"/>
    </row>
    <row r="1796" spans="1:8" x14ac:dyDescent="0.35">
      <c r="A1796" s="7" t="s">
        <v>352</v>
      </c>
      <c r="B1796" s="7" t="s">
        <v>26</v>
      </c>
      <c r="C1796" s="7" t="s">
        <v>27</v>
      </c>
      <c r="D1796" s="7" t="s">
        <v>28</v>
      </c>
      <c r="E1796" s="7" t="s">
        <v>29</v>
      </c>
      <c r="F1796" s="7" t="s">
        <v>82</v>
      </c>
      <c r="G1796" s="7">
        <v>99.864689999999996</v>
      </c>
      <c r="H1796" s="7"/>
    </row>
    <row r="1797" spans="1:8" x14ac:dyDescent="0.35">
      <c r="A1797" s="7" t="s">
        <v>352</v>
      </c>
      <c r="B1797" s="7" t="s">
        <v>26</v>
      </c>
      <c r="C1797" s="7" t="s">
        <v>27</v>
      </c>
      <c r="D1797" s="7" t="s">
        <v>28</v>
      </c>
      <c r="E1797" s="7" t="s">
        <v>29</v>
      </c>
      <c r="F1797" s="7" t="s">
        <v>83</v>
      </c>
      <c r="G1797" s="7">
        <v>99.838279999999997</v>
      </c>
      <c r="H1797" s="7"/>
    </row>
    <row r="1798" spans="1:8" x14ac:dyDescent="0.35">
      <c r="A1798" s="7" t="s">
        <v>352</v>
      </c>
      <c r="B1798" s="7" t="s">
        <v>26</v>
      </c>
      <c r="C1798" s="7" t="s">
        <v>27</v>
      </c>
      <c r="D1798" s="7" t="s">
        <v>28</v>
      </c>
      <c r="E1798" s="7" t="s">
        <v>29</v>
      </c>
      <c r="F1798" s="7" t="s">
        <v>84</v>
      </c>
      <c r="G1798" s="7">
        <v>99.851129999999998</v>
      </c>
      <c r="H1798" s="7"/>
    </row>
    <row r="1799" spans="1:8" x14ac:dyDescent="0.35">
      <c r="A1799" s="7" t="s">
        <v>352</v>
      </c>
      <c r="B1799" s="7" t="s">
        <v>26</v>
      </c>
      <c r="C1799" s="7" t="s">
        <v>27</v>
      </c>
      <c r="D1799" s="7" t="s">
        <v>28</v>
      </c>
      <c r="E1799" s="7" t="s">
        <v>29</v>
      </c>
      <c r="F1799" s="7" t="s">
        <v>85</v>
      </c>
      <c r="G1799" s="7">
        <v>99.857299999999995</v>
      </c>
      <c r="H1799" s="7"/>
    </row>
    <row r="1800" spans="1:8" x14ac:dyDescent="0.35">
      <c r="A1800" s="7" t="s">
        <v>352</v>
      </c>
      <c r="B1800" s="7" t="s">
        <v>26</v>
      </c>
      <c r="C1800" s="7" t="s">
        <v>27</v>
      </c>
      <c r="D1800" s="7" t="s">
        <v>28</v>
      </c>
      <c r="E1800" s="7" t="s">
        <v>29</v>
      </c>
      <c r="F1800" s="7" t="s">
        <v>86</v>
      </c>
      <c r="G1800" s="7">
        <v>99.842510000000004</v>
      </c>
      <c r="H1800" s="7"/>
    </row>
    <row r="1801" spans="1:8" x14ac:dyDescent="0.35">
      <c r="A1801" s="7" t="s">
        <v>352</v>
      </c>
      <c r="B1801" s="7" t="s">
        <v>26</v>
      </c>
      <c r="C1801" s="7" t="s">
        <v>27</v>
      </c>
      <c r="D1801" s="7" t="s">
        <v>28</v>
      </c>
      <c r="E1801" s="7" t="s">
        <v>29</v>
      </c>
      <c r="F1801" s="7" t="s">
        <v>87</v>
      </c>
      <c r="G1801" s="7">
        <v>99.84375</v>
      </c>
      <c r="H1801" s="7"/>
    </row>
    <row r="1802" spans="1:8" x14ac:dyDescent="0.35">
      <c r="A1802" s="7" t="s">
        <v>352</v>
      </c>
      <c r="B1802" s="7" t="s">
        <v>26</v>
      </c>
      <c r="C1802" s="7" t="s">
        <v>27</v>
      </c>
      <c r="D1802" s="7" t="s">
        <v>28</v>
      </c>
      <c r="E1802" s="7" t="s">
        <v>29</v>
      </c>
      <c r="F1802" s="7" t="s">
        <v>88</v>
      </c>
      <c r="G1802" s="7">
        <v>99.849350000000001</v>
      </c>
      <c r="H1802" s="7"/>
    </row>
    <row r="1803" spans="1:8" x14ac:dyDescent="0.35">
      <c r="A1803" s="7" t="s">
        <v>352</v>
      </c>
      <c r="B1803" s="7" t="s">
        <v>26</v>
      </c>
      <c r="C1803" s="7" t="s">
        <v>27</v>
      </c>
      <c r="D1803" s="7" t="s">
        <v>28</v>
      </c>
      <c r="E1803" s="7" t="s">
        <v>29</v>
      </c>
      <c r="F1803" s="7" t="s">
        <v>89</v>
      </c>
      <c r="G1803" s="7">
        <v>99.857590000000002</v>
      </c>
      <c r="H1803" s="7"/>
    </row>
    <row r="1804" spans="1:8" x14ac:dyDescent="0.35">
      <c r="A1804" s="7" t="s">
        <v>352</v>
      </c>
      <c r="B1804" s="7" t="s">
        <v>26</v>
      </c>
      <c r="C1804" s="7" t="s">
        <v>27</v>
      </c>
      <c r="D1804" s="7" t="s">
        <v>28</v>
      </c>
      <c r="E1804" s="7" t="s">
        <v>29</v>
      </c>
      <c r="F1804" s="7" t="s">
        <v>90</v>
      </c>
      <c r="G1804" s="7">
        <v>99.869510000000005</v>
      </c>
      <c r="H1804" s="7"/>
    </row>
    <row r="1805" spans="1:8" x14ac:dyDescent="0.35">
      <c r="A1805" s="7" t="s">
        <v>352</v>
      </c>
      <c r="B1805" s="7" t="s">
        <v>26</v>
      </c>
      <c r="C1805" s="7" t="s">
        <v>27</v>
      </c>
      <c r="D1805" s="7" t="s">
        <v>28</v>
      </c>
      <c r="E1805" s="7" t="s">
        <v>29</v>
      </c>
      <c r="F1805" s="7" t="s">
        <v>91</v>
      </c>
      <c r="G1805" s="7">
        <v>99.906899999999993</v>
      </c>
      <c r="H1805" s="7"/>
    </row>
    <row r="1806" spans="1:8" x14ac:dyDescent="0.35">
      <c r="A1806" s="7" t="s">
        <v>352</v>
      </c>
      <c r="B1806" s="7" t="s">
        <v>26</v>
      </c>
      <c r="C1806" s="7" t="s">
        <v>27</v>
      </c>
      <c r="D1806" s="7" t="s">
        <v>28</v>
      </c>
      <c r="E1806" s="7" t="s">
        <v>29</v>
      </c>
      <c r="F1806" s="7" t="s">
        <v>92</v>
      </c>
      <c r="G1806" s="7">
        <v>99.970799999999997</v>
      </c>
      <c r="H1806" s="7"/>
    </row>
    <row r="1807" spans="1:8" x14ac:dyDescent="0.35">
      <c r="A1807" s="7" t="s">
        <v>352</v>
      </c>
      <c r="B1807" s="7" t="s">
        <v>26</v>
      </c>
      <c r="C1807" s="7" t="s">
        <v>27</v>
      </c>
      <c r="D1807" s="7" t="s">
        <v>28</v>
      </c>
      <c r="E1807" s="7" t="s">
        <v>29</v>
      </c>
      <c r="F1807" s="7" t="s">
        <v>93</v>
      </c>
      <c r="G1807" s="7">
        <v>100.0117</v>
      </c>
      <c r="H1807" s="7"/>
    </row>
    <row r="1808" spans="1:8" x14ac:dyDescent="0.35">
      <c r="A1808" s="7" t="s">
        <v>352</v>
      </c>
      <c r="B1808" s="7" t="s">
        <v>26</v>
      </c>
      <c r="C1808" s="7" t="s">
        <v>27</v>
      </c>
      <c r="D1808" s="7" t="s">
        <v>28</v>
      </c>
      <c r="E1808" s="7" t="s">
        <v>29</v>
      </c>
      <c r="F1808" s="7" t="s">
        <v>94</v>
      </c>
      <c r="G1808" s="7">
        <v>100.0564</v>
      </c>
      <c r="H1808" s="7"/>
    </row>
    <row r="1809" spans="1:8" x14ac:dyDescent="0.35">
      <c r="A1809" s="7" t="s">
        <v>352</v>
      </c>
      <c r="B1809" s="7" t="s">
        <v>26</v>
      </c>
      <c r="C1809" s="7" t="s">
        <v>27</v>
      </c>
      <c r="D1809" s="7" t="s">
        <v>28</v>
      </c>
      <c r="E1809" s="7" t="s">
        <v>29</v>
      </c>
      <c r="F1809" s="7" t="s">
        <v>95</v>
      </c>
      <c r="G1809" s="7">
        <v>100.1276</v>
      </c>
      <c r="H1809" s="7"/>
    </row>
    <row r="1810" spans="1:8" x14ac:dyDescent="0.35">
      <c r="A1810" s="7" t="s">
        <v>352</v>
      </c>
      <c r="B1810" s="7" t="s">
        <v>26</v>
      </c>
      <c r="C1810" s="7" t="s">
        <v>27</v>
      </c>
      <c r="D1810" s="7" t="s">
        <v>28</v>
      </c>
      <c r="E1810" s="7" t="s">
        <v>29</v>
      </c>
      <c r="F1810" s="7" t="s">
        <v>96</v>
      </c>
      <c r="G1810" s="7">
        <v>100.24160000000001</v>
      </c>
      <c r="H1810" s="7"/>
    </row>
    <row r="1811" spans="1:8" x14ac:dyDescent="0.35">
      <c r="A1811" s="7" t="s">
        <v>352</v>
      </c>
      <c r="B1811" s="7" t="s">
        <v>26</v>
      </c>
      <c r="C1811" s="7" t="s">
        <v>27</v>
      </c>
      <c r="D1811" s="7" t="s">
        <v>28</v>
      </c>
      <c r="E1811" s="7" t="s">
        <v>29</v>
      </c>
      <c r="F1811" s="7" t="s">
        <v>97</v>
      </c>
      <c r="G1811" s="7">
        <v>100.37179999999999</v>
      </c>
      <c r="H1811" s="7"/>
    </row>
    <row r="1812" spans="1:8" x14ac:dyDescent="0.35">
      <c r="A1812" s="7" t="s">
        <v>352</v>
      </c>
      <c r="B1812" s="7" t="s">
        <v>26</v>
      </c>
      <c r="C1812" s="7" t="s">
        <v>27</v>
      </c>
      <c r="D1812" s="7" t="s">
        <v>28</v>
      </c>
      <c r="E1812" s="7" t="s">
        <v>29</v>
      </c>
      <c r="F1812" s="7" t="s">
        <v>98</v>
      </c>
      <c r="G1812" s="7">
        <v>100.49979999999999</v>
      </c>
      <c r="H1812" s="7"/>
    </row>
    <row r="1813" spans="1:8" x14ac:dyDescent="0.35">
      <c r="A1813" s="7" t="s">
        <v>352</v>
      </c>
      <c r="B1813" s="7" t="s">
        <v>26</v>
      </c>
      <c r="C1813" s="7" t="s">
        <v>27</v>
      </c>
      <c r="D1813" s="7" t="s">
        <v>28</v>
      </c>
      <c r="E1813" s="7" t="s">
        <v>29</v>
      </c>
      <c r="F1813" s="7" t="s">
        <v>99</v>
      </c>
      <c r="G1813" s="7">
        <v>100.6293</v>
      </c>
      <c r="H1813" s="7"/>
    </row>
    <row r="1814" spans="1:8" x14ac:dyDescent="0.35">
      <c r="A1814" s="7" t="s">
        <v>352</v>
      </c>
      <c r="B1814" s="7" t="s">
        <v>26</v>
      </c>
      <c r="C1814" s="7" t="s">
        <v>27</v>
      </c>
      <c r="D1814" s="7" t="s">
        <v>28</v>
      </c>
      <c r="E1814" s="7" t="s">
        <v>29</v>
      </c>
      <c r="F1814" s="7" t="s">
        <v>100</v>
      </c>
      <c r="G1814" s="7">
        <v>100.7548</v>
      </c>
      <c r="H1814" s="7"/>
    </row>
    <row r="1815" spans="1:8" x14ac:dyDescent="0.35">
      <c r="A1815" s="7" t="s">
        <v>352</v>
      </c>
      <c r="B1815" s="7" t="s">
        <v>26</v>
      </c>
      <c r="C1815" s="7" t="s">
        <v>27</v>
      </c>
      <c r="D1815" s="7" t="s">
        <v>28</v>
      </c>
      <c r="E1815" s="7" t="s">
        <v>29</v>
      </c>
      <c r="F1815" s="7" t="s">
        <v>101</v>
      </c>
      <c r="G1815" s="7">
        <v>100.82940000000001</v>
      </c>
      <c r="H1815" s="7"/>
    </row>
    <row r="1816" spans="1:8" x14ac:dyDescent="0.35">
      <c r="A1816" s="7" t="s">
        <v>352</v>
      </c>
      <c r="B1816" s="7" t="s">
        <v>26</v>
      </c>
      <c r="C1816" s="7" t="s">
        <v>27</v>
      </c>
      <c r="D1816" s="7" t="s">
        <v>28</v>
      </c>
      <c r="E1816" s="7" t="s">
        <v>29</v>
      </c>
      <c r="F1816" s="7" t="s">
        <v>102</v>
      </c>
      <c r="G1816" s="7">
        <v>100.8383</v>
      </c>
      <c r="H1816" s="7"/>
    </row>
    <row r="1817" spans="1:8" x14ac:dyDescent="0.35">
      <c r="A1817" s="7" t="s">
        <v>352</v>
      </c>
      <c r="B1817" s="7" t="s">
        <v>26</v>
      </c>
      <c r="C1817" s="7" t="s">
        <v>27</v>
      </c>
      <c r="D1817" s="7" t="s">
        <v>28</v>
      </c>
      <c r="E1817" s="7" t="s">
        <v>29</v>
      </c>
      <c r="F1817" s="7" t="s">
        <v>103</v>
      </c>
      <c r="G1817" s="7">
        <v>100.8383</v>
      </c>
      <c r="H1817" s="7"/>
    </row>
    <row r="1818" spans="1:8" x14ac:dyDescent="0.35">
      <c r="A1818" s="7" t="s">
        <v>352</v>
      </c>
      <c r="B1818" s="7" t="s">
        <v>26</v>
      </c>
      <c r="C1818" s="7" t="s">
        <v>27</v>
      </c>
      <c r="D1818" s="7" t="s">
        <v>28</v>
      </c>
      <c r="E1818" s="7" t="s">
        <v>29</v>
      </c>
      <c r="F1818" s="7" t="s">
        <v>104</v>
      </c>
      <c r="G1818" s="7">
        <v>100.87050000000001</v>
      </c>
      <c r="H1818" s="7"/>
    </row>
    <row r="1819" spans="1:8" x14ac:dyDescent="0.35">
      <c r="A1819" s="7" t="s">
        <v>352</v>
      </c>
      <c r="B1819" s="7" t="s">
        <v>26</v>
      </c>
      <c r="C1819" s="7" t="s">
        <v>27</v>
      </c>
      <c r="D1819" s="7" t="s">
        <v>28</v>
      </c>
      <c r="E1819" s="7" t="s">
        <v>29</v>
      </c>
      <c r="F1819" s="7" t="s">
        <v>105</v>
      </c>
      <c r="G1819" s="7">
        <v>100.9541</v>
      </c>
      <c r="H1819" s="7"/>
    </row>
    <row r="1820" spans="1:8" x14ac:dyDescent="0.35">
      <c r="A1820" s="7" t="s">
        <v>352</v>
      </c>
      <c r="B1820" s="7" t="s">
        <v>26</v>
      </c>
      <c r="C1820" s="7" t="s">
        <v>27</v>
      </c>
      <c r="D1820" s="7" t="s">
        <v>28</v>
      </c>
      <c r="E1820" s="7" t="s">
        <v>29</v>
      </c>
      <c r="F1820" s="7" t="s">
        <v>106</v>
      </c>
      <c r="G1820" s="7">
        <v>101.0942</v>
      </c>
      <c r="H1820" s="7"/>
    </row>
    <row r="1821" spans="1:8" x14ac:dyDescent="0.35">
      <c r="A1821" s="7" t="s">
        <v>352</v>
      </c>
      <c r="B1821" s="7" t="s">
        <v>26</v>
      </c>
      <c r="C1821" s="7" t="s">
        <v>27</v>
      </c>
      <c r="D1821" s="7" t="s">
        <v>28</v>
      </c>
      <c r="E1821" s="7" t="s">
        <v>29</v>
      </c>
      <c r="F1821" s="7" t="s">
        <v>107</v>
      </c>
      <c r="G1821" s="7">
        <v>101.2385</v>
      </c>
      <c r="H1821" s="7"/>
    </row>
    <row r="1822" spans="1:8" x14ac:dyDescent="0.35">
      <c r="A1822" s="7" t="s">
        <v>352</v>
      </c>
      <c r="B1822" s="7" t="s">
        <v>26</v>
      </c>
      <c r="C1822" s="7" t="s">
        <v>27</v>
      </c>
      <c r="D1822" s="7" t="s">
        <v>28</v>
      </c>
      <c r="E1822" s="7" t="s">
        <v>29</v>
      </c>
      <c r="F1822" s="7" t="s">
        <v>108</v>
      </c>
      <c r="G1822" s="7">
        <v>101.3323</v>
      </c>
      <c r="H1822" s="7"/>
    </row>
    <row r="1823" spans="1:8" x14ac:dyDescent="0.35">
      <c r="A1823" s="7" t="s">
        <v>352</v>
      </c>
      <c r="B1823" s="7" t="s">
        <v>26</v>
      </c>
      <c r="C1823" s="7" t="s">
        <v>27</v>
      </c>
      <c r="D1823" s="7" t="s">
        <v>28</v>
      </c>
      <c r="E1823" s="7" t="s">
        <v>29</v>
      </c>
      <c r="F1823" s="7" t="s">
        <v>109</v>
      </c>
      <c r="G1823" s="7">
        <v>101.34220000000001</v>
      </c>
      <c r="H1823" s="7"/>
    </row>
    <row r="1824" spans="1:8" x14ac:dyDescent="0.35">
      <c r="A1824" s="7" t="s">
        <v>352</v>
      </c>
      <c r="B1824" s="7" t="s">
        <v>26</v>
      </c>
      <c r="C1824" s="7" t="s">
        <v>27</v>
      </c>
      <c r="D1824" s="7" t="s">
        <v>28</v>
      </c>
      <c r="E1824" s="7" t="s">
        <v>29</v>
      </c>
      <c r="F1824" s="7" t="s">
        <v>110</v>
      </c>
      <c r="G1824" s="7">
        <v>101.3066</v>
      </c>
      <c r="H1824" s="7"/>
    </row>
    <row r="1825" spans="1:8" x14ac:dyDescent="0.35">
      <c r="A1825" s="7" t="s">
        <v>352</v>
      </c>
      <c r="B1825" s="7" t="s">
        <v>26</v>
      </c>
      <c r="C1825" s="7" t="s">
        <v>27</v>
      </c>
      <c r="D1825" s="7" t="s">
        <v>28</v>
      </c>
      <c r="E1825" s="7" t="s">
        <v>29</v>
      </c>
      <c r="F1825" s="7" t="s">
        <v>111</v>
      </c>
      <c r="G1825" s="7">
        <v>101.2118</v>
      </c>
      <c r="H1825" s="7"/>
    </row>
    <row r="1826" spans="1:8" x14ac:dyDescent="0.35">
      <c r="A1826" s="7" t="s">
        <v>352</v>
      </c>
      <c r="B1826" s="7" t="s">
        <v>26</v>
      </c>
      <c r="C1826" s="7" t="s">
        <v>27</v>
      </c>
      <c r="D1826" s="7" t="s">
        <v>28</v>
      </c>
      <c r="E1826" s="7" t="s">
        <v>29</v>
      </c>
      <c r="F1826" s="7" t="s">
        <v>112</v>
      </c>
      <c r="G1826" s="7">
        <v>101.1656</v>
      </c>
      <c r="H1826" s="7"/>
    </row>
    <row r="1827" spans="1:8" x14ac:dyDescent="0.35">
      <c r="A1827" s="7" t="s">
        <v>352</v>
      </c>
      <c r="B1827" s="7" t="s">
        <v>26</v>
      </c>
      <c r="C1827" s="7" t="s">
        <v>27</v>
      </c>
      <c r="D1827" s="7" t="s">
        <v>28</v>
      </c>
      <c r="E1827" s="7" t="s">
        <v>29</v>
      </c>
      <c r="F1827" s="7" t="s">
        <v>113</v>
      </c>
      <c r="G1827" s="7">
        <v>101.1798</v>
      </c>
      <c r="H1827" s="7"/>
    </row>
    <row r="1828" spans="1:8" x14ac:dyDescent="0.35">
      <c r="A1828" s="7" t="s">
        <v>352</v>
      </c>
      <c r="B1828" s="7" t="s">
        <v>26</v>
      </c>
      <c r="C1828" s="7" t="s">
        <v>27</v>
      </c>
      <c r="D1828" s="7" t="s">
        <v>28</v>
      </c>
      <c r="E1828" s="7" t="s">
        <v>29</v>
      </c>
      <c r="F1828" s="7" t="s">
        <v>114</v>
      </c>
      <c r="G1828" s="7">
        <v>101.238</v>
      </c>
      <c r="H1828" s="7"/>
    </row>
    <row r="1829" spans="1:8" x14ac:dyDescent="0.35">
      <c r="A1829" s="7" t="s">
        <v>352</v>
      </c>
      <c r="B1829" s="7" t="s">
        <v>26</v>
      </c>
      <c r="C1829" s="7" t="s">
        <v>27</v>
      </c>
      <c r="D1829" s="7" t="s">
        <v>28</v>
      </c>
      <c r="E1829" s="7" t="s">
        <v>29</v>
      </c>
      <c r="F1829" s="7" t="s">
        <v>115</v>
      </c>
      <c r="G1829" s="7">
        <v>101.26819999999999</v>
      </c>
      <c r="H1829" s="7"/>
    </row>
    <row r="1830" spans="1:8" x14ac:dyDescent="0.35">
      <c r="A1830" s="7" t="s">
        <v>352</v>
      </c>
      <c r="B1830" s="7" t="s">
        <v>26</v>
      </c>
      <c r="C1830" s="7" t="s">
        <v>27</v>
      </c>
      <c r="D1830" s="7" t="s">
        <v>28</v>
      </c>
      <c r="E1830" s="7" t="s">
        <v>29</v>
      </c>
      <c r="F1830" s="7" t="s">
        <v>116</v>
      </c>
      <c r="G1830" s="7">
        <v>101.3115</v>
      </c>
      <c r="H1830" s="7"/>
    </row>
    <row r="1831" spans="1:8" x14ac:dyDescent="0.35">
      <c r="A1831" s="7" t="s">
        <v>352</v>
      </c>
      <c r="B1831" s="7" t="s">
        <v>26</v>
      </c>
      <c r="C1831" s="7" t="s">
        <v>27</v>
      </c>
      <c r="D1831" s="7" t="s">
        <v>28</v>
      </c>
      <c r="E1831" s="7" t="s">
        <v>29</v>
      </c>
      <c r="F1831" s="7" t="s">
        <v>117</v>
      </c>
      <c r="G1831" s="7">
        <v>101.3087</v>
      </c>
      <c r="H1831" s="7"/>
    </row>
    <row r="1832" spans="1:8" x14ac:dyDescent="0.35">
      <c r="A1832" s="7" t="s">
        <v>352</v>
      </c>
      <c r="B1832" s="7" t="s">
        <v>26</v>
      </c>
      <c r="C1832" s="7" t="s">
        <v>27</v>
      </c>
      <c r="D1832" s="7" t="s">
        <v>28</v>
      </c>
      <c r="E1832" s="7" t="s">
        <v>29</v>
      </c>
      <c r="F1832" s="7" t="s">
        <v>118</v>
      </c>
      <c r="G1832" s="7">
        <v>101.2351</v>
      </c>
      <c r="H1832" s="7"/>
    </row>
    <row r="1833" spans="1:8" x14ac:dyDescent="0.35">
      <c r="A1833" s="7" t="s">
        <v>352</v>
      </c>
      <c r="B1833" s="7" t="s">
        <v>26</v>
      </c>
      <c r="C1833" s="7" t="s">
        <v>27</v>
      </c>
      <c r="D1833" s="7" t="s">
        <v>28</v>
      </c>
      <c r="E1833" s="7" t="s">
        <v>29</v>
      </c>
      <c r="F1833" s="7" t="s">
        <v>119</v>
      </c>
      <c r="G1833" s="7">
        <v>101.1378</v>
      </c>
      <c r="H1833" s="7"/>
    </row>
    <row r="1834" spans="1:8" x14ac:dyDescent="0.35">
      <c r="A1834" s="7" t="s">
        <v>352</v>
      </c>
      <c r="B1834" s="7" t="s">
        <v>26</v>
      </c>
      <c r="C1834" s="7" t="s">
        <v>27</v>
      </c>
      <c r="D1834" s="7" t="s">
        <v>28</v>
      </c>
      <c r="E1834" s="7" t="s">
        <v>29</v>
      </c>
      <c r="F1834" s="7" t="s">
        <v>120</v>
      </c>
      <c r="G1834" s="7">
        <v>101.1007</v>
      </c>
      <c r="H1834" s="7"/>
    </row>
    <row r="1835" spans="1:8" x14ac:dyDescent="0.35">
      <c r="A1835" s="7" t="s">
        <v>352</v>
      </c>
      <c r="B1835" s="7" t="s">
        <v>26</v>
      </c>
      <c r="C1835" s="7" t="s">
        <v>27</v>
      </c>
      <c r="D1835" s="7" t="s">
        <v>28</v>
      </c>
      <c r="E1835" s="7" t="s">
        <v>29</v>
      </c>
      <c r="F1835" s="7" t="s">
        <v>121</v>
      </c>
      <c r="G1835" s="7">
        <v>101.12269999999999</v>
      </c>
      <c r="H1835" s="7"/>
    </row>
    <row r="1836" spans="1:8" x14ac:dyDescent="0.35">
      <c r="A1836" s="7" t="s">
        <v>352</v>
      </c>
      <c r="B1836" s="7" t="s">
        <v>26</v>
      </c>
      <c r="C1836" s="7" t="s">
        <v>27</v>
      </c>
      <c r="D1836" s="7" t="s">
        <v>28</v>
      </c>
      <c r="E1836" s="7" t="s">
        <v>29</v>
      </c>
      <c r="F1836" s="7" t="s">
        <v>122</v>
      </c>
      <c r="G1836" s="7">
        <v>101.17740000000001</v>
      </c>
      <c r="H1836" s="7"/>
    </row>
    <row r="1837" spans="1:8" x14ac:dyDescent="0.35">
      <c r="A1837" s="7" t="s">
        <v>352</v>
      </c>
      <c r="B1837" s="7" t="s">
        <v>26</v>
      </c>
      <c r="C1837" s="7" t="s">
        <v>27</v>
      </c>
      <c r="D1837" s="7" t="s">
        <v>28</v>
      </c>
      <c r="E1837" s="7" t="s">
        <v>29</v>
      </c>
      <c r="F1837" s="7" t="s">
        <v>123</v>
      </c>
      <c r="G1837" s="7">
        <v>101.22839999999999</v>
      </c>
      <c r="H1837" s="7"/>
    </row>
    <row r="1838" spans="1:8" x14ac:dyDescent="0.35">
      <c r="A1838" s="7" t="s">
        <v>352</v>
      </c>
      <c r="B1838" s="7" t="s">
        <v>26</v>
      </c>
      <c r="C1838" s="7" t="s">
        <v>27</v>
      </c>
      <c r="D1838" s="7" t="s">
        <v>28</v>
      </c>
      <c r="E1838" s="7" t="s">
        <v>29</v>
      </c>
      <c r="F1838" s="7" t="s">
        <v>124</v>
      </c>
      <c r="G1838" s="7">
        <v>101.2885</v>
      </c>
      <c r="H1838" s="7"/>
    </row>
    <row r="1839" spans="1:8" x14ac:dyDescent="0.35">
      <c r="A1839" s="7" t="s">
        <v>352</v>
      </c>
      <c r="B1839" s="7" t="s">
        <v>26</v>
      </c>
      <c r="C1839" s="7" t="s">
        <v>27</v>
      </c>
      <c r="D1839" s="7" t="s">
        <v>28</v>
      </c>
      <c r="E1839" s="7" t="s">
        <v>29</v>
      </c>
      <c r="F1839" s="7" t="s">
        <v>125</v>
      </c>
      <c r="G1839" s="7">
        <v>101.38849999999999</v>
      </c>
      <c r="H1839" s="7"/>
    </row>
    <row r="1840" spans="1:8" x14ac:dyDescent="0.35">
      <c r="A1840" s="7" t="s">
        <v>352</v>
      </c>
      <c r="B1840" s="7" t="s">
        <v>26</v>
      </c>
      <c r="C1840" s="7" t="s">
        <v>27</v>
      </c>
      <c r="D1840" s="7" t="s">
        <v>28</v>
      </c>
      <c r="E1840" s="7" t="s">
        <v>29</v>
      </c>
      <c r="F1840" s="7" t="s">
        <v>126</v>
      </c>
      <c r="G1840" s="7">
        <v>101.4867</v>
      </c>
      <c r="H1840" s="7"/>
    </row>
    <row r="1841" spans="1:8" x14ac:dyDescent="0.35">
      <c r="A1841" s="7" t="s">
        <v>352</v>
      </c>
      <c r="B1841" s="7" t="s">
        <v>26</v>
      </c>
      <c r="C1841" s="7" t="s">
        <v>27</v>
      </c>
      <c r="D1841" s="7" t="s">
        <v>28</v>
      </c>
      <c r="E1841" s="7" t="s">
        <v>29</v>
      </c>
      <c r="F1841" s="7" t="s">
        <v>127</v>
      </c>
      <c r="G1841" s="7">
        <v>101.60939999999999</v>
      </c>
      <c r="H1841" s="7"/>
    </row>
    <row r="1842" spans="1:8" x14ac:dyDescent="0.35">
      <c r="A1842" s="7" t="s">
        <v>352</v>
      </c>
      <c r="B1842" s="7" t="s">
        <v>26</v>
      </c>
      <c r="C1842" s="7" t="s">
        <v>27</v>
      </c>
      <c r="D1842" s="7" t="s">
        <v>28</v>
      </c>
      <c r="E1842" s="7" t="s">
        <v>29</v>
      </c>
      <c r="F1842" s="7" t="s">
        <v>128</v>
      </c>
      <c r="G1842" s="7">
        <v>101.7102</v>
      </c>
      <c r="H1842" s="7"/>
    </row>
    <row r="1843" spans="1:8" x14ac:dyDescent="0.35">
      <c r="A1843" s="7" t="s">
        <v>352</v>
      </c>
      <c r="B1843" s="7" t="s">
        <v>26</v>
      </c>
      <c r="C1843" s="7" t="s">
        <v>27</v>
      </c>
      <c r="D1843" s="7" t="s">
        <v>28</v>
      </c>
      <c r="E1843" s="7" t="s">
        <v>29</v>
      </c>
      <c r="F1843" s="7" t="s">
        <v>129</v>
      </c>
      <c r="G1843" s="7">
        <v>101.742</v>
      </c>
      <c r="H1843" s="7"/>
    </row>
    <row r="1844" spans="1:8" x14ac:dyDescent="0.35">
      <c r="A1844" s="7" t="s">
        <v>352</v>
      </c>
      <c r="B1844" s="7" t="s">
        <v>26</v>
      </c>
      <c r="C1844" s="7" t="s">
        <v>27</v>
      </c>
      <c r="D1844" s="7" t="s">
        <v>28</v>
      </c>
      <c r="E1844" s="7" t="s">
        <v>29</v>
      </c>
      <c r="F1844" s="7" t="s">
        <v>130</v>
      </c>
      <c r="G1844" s="7">
        <v>101.7662</v>
      </c>
      <c r="H1844" s="7"/>
    </row>
    <row r="1845" spans="1:8" x14ac:dyDescent="0.35">
      <c r="A1845" s="7" t="s">
        <v>352</v>
      </c>
      <c r="B1845" s="7" t="s">
        <v>26</v>
      </c>
      <c r="C1845" s="7" t="s">
        <v>27</v>
      </c>
      <c r="D1845" s="7" t="s">
        <v>28</v>
      </c>
      <c r="E1845" s="7" t="s">
        <v>29</v>
      </c>
      <c r="F1845" s="7" t="s">
        <v>131</v>
      </c>
      <c r="G1845" s="7">
        <v>101.8065</v>
      </c>
      <c r="H1845" s="7"/>
    </row>
    <row r="1846" spans="1:8" x14ac:dyDescent="0.35">
      <c r="A1846" s="7" t="s">
        <v>352</v>
      </c>
      <c r="B1846" s="7" t="s">
        <v>26</v>
      </c>
      <c r="C1846" s="7" t="s">
        <v>27</v>
      </c>
      <c r="D1846" s="7" t="s">
        <v>28</v>
      </c>
      <c r="E1846" s="7" t="s">
        <v>29</v>
      </c>
      <c r="F1846" s="7" t="s">
        <v>132</v>
      </c>
      <c r="G1846" s="7">
        <v>101.8528</v>
      </c>
      <c r="H1846" s="7"/>
    </row>
    <row r="1847" spans="1:8" x14ac:dyDescent="0.35">
      <c r="A1847" s="7" t="s">
        <v>352</v>
      </c>
      <c r="B1847" s="7" t="s">
        <v>26</v>
      </c>
      <c r="C1847" s="7" t="s">
        <v>27</v>
      </c>
      <c r="D1847" s="7" t="s">
        <v>28</v>
      </c>
      <c r="E1847" s="7" t="s">
        <v>29</v>
      </c>
      <c r="F1847" s="7" t="s">
        <v>133</v>
      </c>
      <c r="G1847" s="7">
        <v>101.8737</v>
      </c>
      <c r="H1847" s="7"/>
    </row>
    <row r="1848" spans="1:8" x14ac:dyDescent="0.35">
      <c r="A1848" s="7" t="s">
        <v>352</v>
      </c>
      <c r="B1848" s="7" t="s">
        <v>26</v>
      </c>
      <c r="C1848" s="7" t="s">
        <v>27</v>
      </c>
      <c r="D1848" s="7" t="s">
        <v>28</v>
      </c>
      <c r="E1848" s="7" t="s">
        <v>29</v>
      </c>
      <c r="F1848" s="7" t="s">
        <v>134</v>
      </c>
      <c r="G1848" s="7">
        <v>101.8784</v>
      </c>
      <c r="H1848" s="7"/>
    </row>
    <row r="1849" spans="1:8" x14ac:dyDescent="0.35">
      <c r="A1849" s="7" t="s">
        <v>352</v>
      </c>
      <c r="B1849" s="7" t="s">
        <v>26</v>
      </c>
      <c r="C1849" s="7" t="s">
        <v>27</v>
      </c>
      <c r="D1849" s="7" t="s">
        <v>28</v>
      </c>
      <c r="E1849" s="7" t="s">
        <v>29</v>
      </c>
      <c r="F1849" s="7" t="s">
        <v>135</v>
      </c>
      <c r="G1849" s="7">
        <v>101.8404</v>
      </c>
      <c r="H1849" s="7"/>
    </row>
    <row r="1850" spans="1:8" x14ac:dyDescent="0.35">
      <c r="A1850" s="7" t="s">
        <v>352</v>
      </c>
      <c r="B1850" s="7" t="s">
        <v>26</v>
      </c>
      <c r="C1850" s="7" t="s">
        <v>27</v>
      </c>
      <c r="D1850" s="7" t="s">
        <v>28</v>
      </c>
      <c r="E1850" s="7" t="s">
        <v>29</v>
      </c>
      <c r="F1850" s="7" t="s">
        <v>136</v>
      </c>
      <c r="G1850" s="7">
        <v>101.7362</v>
      </c>
      <c r="H1850" s="7"/>
    </row>
    <row r="1851" spans="1:8" x14ac:dyDescent="0.35">
      <c r="A1851" s="7" t="s">
        <v>352</v>
      </c>
      <c r="B1851" s="7" t="s">
        <v>26</v>
      </c>
      <c r="C1851" s="7" t="s">
        <v>27</v>
      </c>
      <c r="D1851" s="7" t="s">
        <v>28</v>
      </c>
      <c r="E1851" s="7" t="s">
        <v>29</v>
      </c>
      <c r="F1851" s="7" t="s">
        <v>137</v>
      </c>
      <c r="G1851" s="7">
        <v>101.7274</v>
      </c>
      <c r="H1851" s="7"/>
    </row>
    <row r="1852" spans="1:8" x14ac:dyDescent="0.35">
      <c r="A1852" s="7" t="s">
        <v>352</v>
      </c>
      <c r="B1852" s="7" t="s">
        <v>26</v>
      </c>
      <c r="C1852" s="7" t="s">
        <v>27</v>
      </c>
      <c r="D1852" s="7" t="s">
        <v>28</v>
      </c>
      <c r="E1852" s="7" t="s">
        <v>29</v>
      </c>
      <c r="F1852" s="7" t="s">
        <v>138</v>
      </c>
      <c r="G1852" s="7">
        <v>101.75490000000001</v>
      </c>
      <c r="H1852" s="7"/>
    </row>
    <row r="1853" spans="1:8" x14ac:dyDescent="0.35">
      <c r="A1853" s="7" t="s">
        <v>352</v>
      </c>
      <c r="B1853" s="7" t="s">
        <v>26</v>
      </c>
      <c r="C1853" s="7" t="s">
        <v>27</v>
      </c>
      <c r="D1853" s="7" t="s">
        <v>28</v>
      </c>
      <c r="E1853" s="7" t="s">
        <v>29</v>
      </c>
      <c r="F1853" s="7" t="s">
        <v>139</v>
      </c>
      <c r="G1853" s="7">
        <v>101.78870000000001</v>
      </c>
      <c r="H1853" s="7"/>
    </row>
    <row r="1854" spans="1:8" x14ac:dyDescent="0.35">
      <c r="A1854" s="7" t="s">
        <v>352</v>
      </c>
      <c r="B1854" s="7" t="s">
        <v>26</v>
      </c>
      <c r="C1854" s="7" t="s">
        <v>27</v>
      </c>
      <c r="D1854" s="7" t="s">
        <v>28</v>
      </c>
      <c r="E1854" s="7" t="s">
        <v>29</v>
      </c>
      <c r="F1854" s="7" t="s">
        <v>140</v>
      </c>
      <c r="G1854" s="7">
        <v>101.792</v>
      </c>
      <c r="H1854" s="7"/>
    </row>
    <row r="1855" spans="1:8" x14ac:dyDescent="0.35">
      <c r="A1855" s="7" t="s">
        <v>352</v>
      </c>
      <c r="B1855" s="7" t="s">
        <v>26</v>
      </c>
      <c r="C1855" s="7" t="s">
        <v>27</v>
      </c>
      <c r="D1855" s="7" t="s">
        <v>28</v>
      </c>
      <c r="E1855" s="7" t="s">
        <v>29</v>
      </c>
      <c r="F1855" s="7" t="s">
        <v>141</v>
      </c>
      <c r="G1855" s="7">
        <v>101.76009999999999</v>
      </c>
      <c r="H1855" s="7"/>
    </row>
    <row r="1856" spans="1:8" x14ac:dyDescent="0.35">
      <c r="A1856" s="7" t="s">
        <v>352</v>
      </c>
      <c r="B1856" s="7" t="s">
        <v>26</v>
      </c>
      <c r="C1856" s="7" t="s">
        <v>27</v>
      </c>
      <c r="D1856" s="7" t="s">
        <v>28</v>
      </c>
      <c r="E1856" s="7" t="s">
        <v>29</v>
      </c>
      <c r="F1856" s="7" t="s">
        <v>142</v>
      </c>
      <c r="G1856" s="7">
        <v>101.7304</v>
      </c>
      <c r="H1856" s="7"/>
    </row>
    <row r="1857" spans="1:8" x14ac:dyDescent="0.35">
      <c r="A1857" s="7" t="s">
        <v>352</v>
      </c>
      <c r="B1857" s="7" t="s">
        <v>26</v>
      </c>
      <c r="C1857" s="7" t="s">
        <v>27</v>
      </c>
      <c r="D1857" s="7" t="s">
        <v>28</v>
      </c>
      <c r="E1857" s="7" t="s">
        <v>29</v>
      </c>
      <c r="F1857" s="7" t="s">
        <v>143</v>
      </c>
      <c r="G1857" s="7">
        <v>101.67310000000001</v>
      </c>
      <c r="H1857" s="7"/>
    </row>
    <row r="1858" spans="1:8" x14ac:dyDescent="0.35">
      <c r="A1858" s="7" t="s">
        <v>352</v>
      </c>
      <c r="B1858" s="7" t="s">
        <v>26</v>
      </c>
      <c r="C1858" s="7" t="s">
        <v>27</v>
      </c>
      <c r="D1858" s="7" t="s">
        <v>28</v>
      </c>
      <c r="E1858" s="7" t="s">
        <v>29</v>
      </c>
      <c r="F1858" s="7" t="s">
        <v>144</v>
      </c>
      <c r="G1858" s="7">
        <v>101.5883</v>
      </c>
      <c r="H1858" s="7"/>
    </row>
    <row r="1859" spans="1:8" x14ac:dyDescent="0.35">
      <c r="A1859" s="7" t="s">
        <v>352</v>
      </c>
      <c r="B1859" s="7" t="s">
        <v>26</v>
      </c>
      <c r="C1859" s="7" t="s">
        <v>27</v>
      </c>
      <c r="D1859" s="7" t="s">
        <v>28</v>
      </c>
      <c r="E1859" s="7" t="s">
        <v>29</v>
      </c>
      <c r="F1859" s="7" t="s">
        <v>145</v>
      </c>
      <c r="G1859" s="7">
        <v>101.47369999999999</v>
      </c>
      <c r="H1859" s="7"/>
    </row>
    <row r="1860" spans="1:8" x14ac:dyDescent="0.35">
      <c r="A1860" s="7" t="s">
        <v>352</v>
      </c>
      <c r="B1860" s="7" t="s">
        <v>26</v>
      </c>
      <c r="C1860" s="7" t="s">
        <v>27</v>
      </c>
      <c r="D1860" s="7" t="s">
        <v>28</v>
      </c>
      <c r="E1860" s="7" t="s">
        <v>29</v>
      </c>
      <c r="F1860" s="7" t="s">
        <v>146</v>
      </c>
      <c r="G1860" s="7">
        <v>101.2604</v>
      </c>
      <c r="H1860" s="7"/>
    </row>
    <row r="1861" spans="1:8" x14ac:dyDescent="0.35">
      <c r="A1861" s="7" t="s">
        <v>352</v>
      </c>
      <c r="B1861" s="7" t="s">
        <v>26</v>
      </c>
      <c r="C1861" s="7" t="s">
        <v>27</v>
      </c>
      <c r="D1861" s="7" t="s">
        <v>28</v>
      </c>
      <c r="E1861" s="7" t="s">
        <v>29</v>
      </c>
      <c r="F1861" s="7" t="s">
        <v>147</v>
      </c>
      <c r="G1861" s="7">
        <v>100.98</v>
      </c>
      <c r="H1861" s="7"/>
    </row>
    <row r="1862" spans="1:8" x14ac:dyDescent="0.35">
      <c r="A1862" s="7" t="s">
        <v>352</v>
      </c>
      <c r="B1862" s="7" t="s">
        <v>26</v>
      </c>
      <c r="C1862" s="7" t="s">
        <v>27</v>
      </c>
      <c r="D1862" s="7" t="s">
        <v>28</v>
      </c>
      <c r="E1862" s="7" t="s">
        <v>29</v>
      </c>
      <c r="F1862" s="7" t="s">
        <v>148</v>
      </c>
      <c r="G1862" s="7">
        <v>100.7397</v>
      </c>
      <c r="H1862" s="7"/>
    </row>
    <row r="1863" spans="1:8" x14ac:dyDescent="0.35">
      <c r="A1863" s="7" t="s">
        <v>352</v>
      </c>
      <c r="B1863" s="7" t="s">
        <v>26</v>
      </c>
      <c r="C1863" s="7" t="s">
        <v>27</v>
      </c>
      <c r="D1863" s="7" t="s">
        <v>28</v>
      </c>
      <c r="E1863" s="7" t="s">
        <v>29</v>
      </c>
      <c r="F1863" s="7" t="s">
        <v>149</v>
      </c>
      <c r="G1863" s="7">
        <v>100.52719999999999</v>
      </c>
      <c r="H1863" s="7"/>
    </row>
    <row r="1864" spans="1:8" x14ac:dyDescent="0.35">
      <c r="A1864" s="7" t="s">
        <v>352</v>
      </c>
      <c r="B1864" s="7" t="s">
        <v>26</v>
      </c>
      <c r="C1864" s="7" t="s">
        <v>27</v>
      </c>
      <c r="D1864" s="7" t="s">
        <v>28</v>
      </c>
      <c r="E1864" s="7" t="s">
        <v>29</v>
      </c>
      <c r="F1864" s="7" t="s">
        <v>150</v>
      </c>
      <c r="G1864" s="7">
        <v>100.43770000000001</v>
      </c>
      <c r="H1864" s="7"/>
    </row>
    <row r="1865" spans="1:8" x14ac:dyDescent="0.35">
      <c r="A1865" s="7" t="s">
        <v>352</v>
      </c>
      <c r="B1865" s="7" t="s">
        <v>26</v>
      </c>
      <c r="C1865" s="7" t="s">
        <v>27</v>
      </c>
      <c r="D1865" s="7" t="s">
        <v>28</v>
      </c>
      <c r="E1865" s="7" t="s">
        <v>29</v>
      </c>
      <c r="F1865" s="7" t="s">
        <v>151</v>
      </c>
      <c r="G1865" s="7">
        <v>100.51430000000001</v>
      </c>
      <c r="H1865" s="7"/>
    </row>
    <row r="1866" spans="1:8" x14ac:dyDescent="0.35">
      <c r="A1866" s="7" t="s">
        <v>352</v>
      </c>
      <c r="B1866" s="7" t="s">
        <v>26</v>
      </c>
      <c r="C1866" s="7" t="s">
        <v>27</v>
      </c>
      <c r="D1866" s="7" t="s">
        <v>28</v>
      </c>
      <c r="E1866" s="7" t="s">
        <v>29</v>
      </c>
      <c r="F1866" s="7" t="s">
        <v>152</v>
      </c>
      <c r="G1866" s="7">
        <v>100.6678</v>
      </c>
      <c r="H1866" s="7"/>
    </row>
    <row r="1867" spans="1:8" x14ac:dyDescent="0.35">
      <c r="A1867" s="7" t="s">
        <v>352</v>
      </c>
      <c r="B1867" s="7" t="s">
        <v>26</v>
      </c>
      <c r="C1867" s="7" t="s">
        <v>27</v>
      </c>
      <c r="D1867" s="7" t="s">
        <v>28</v>
      </c>
      <c r="E1867" s="7" t="s">
        <v>29</v>
      </c>
      <c r="F1867" s="7" t="s">
        <v>153</v>
      </c>
      <c r="G1867" s="7">
        <v>100.8229</v>
      </c>
      <c r="H1867" s="7"/>
    </row>
    <row r="1868" spans="1:8" x14ac:dyDescent="0.35">
      <c r="A1868" s="7" t="s">
        <v>352</v>
      </c>
      <c r="B1868" s="7" t="s">
        <v>26</v>
      </c>
      <c r="C1868" s="7" t="s">
        <v>27</v>
      </c>
      <c r="D1868" s="7" t="s">
        <v>28</v>
      </c>
      <c r="E1868" s="7" t="s">
        <v>29</v>
      </c>
      <c r="F1868" s="7" t="s">
        <v>154</v>
      </c>
      <c r="G1868" s="7">
        <v>100.9328</v>
      </c>
      <c r="H1868" s="7"/>
    </row>
    <row r="1869" spans="1:8" x14ac:dyDescent="0.35">
      <c r="A1869" s="7" t="s">
        <v>352</v>
      </c>
      <c r="B1869" s="7" t="s">
        <v>26</v>
      </c>
      <c r="C1869" s="7" t="s">
        <v>27</v>
      </c>
      <c r="D1869" s="7" t="s">
        <v>28</v>
      </c>
      <c r="E1869" s="7" t="s">
        <v>29</v>
      </c>
      <c r="F1869" s="7" t="s">
        <v>155</v>
      </c>
      <c r="G1869" s="7">
        <v>100.9997</v>
      </c>
      <c r="H1869" s="7"/>
    </row>
    <row r="1870" spans="1:8" x14ac:dyDescent="0.35">
      <c r="A1870" s="7" t="s">
        <v>352</v>
      </c>
      <c r="B1870" s="7" t="s">
        <v>26</v>
      </c>
      <c r="C1870" s="7" t="s">
        <v>27</v>
      </c>
      <c r="D1870" s="7" t="s">
        <v>28</v>
      </c>
      <c r="E1870" s="7" t="s">
        <v>29</v>
      </c>
      <c r="F1870" s="7" t="s">
        <v>156</v>
      </c>
      <c r="G1870" s="7">
        <v>101.0303</v>
      </c>
      <c r="H1870" s="7"/>
    </row>
    <row r="1871" spans="1:8" x14ac:dyDescent="0.35">
      <c r="A1871" s="7" t="s">
        <v>352</v>
      </c>
      <c r="B1871" s="7" t="s">
        <v>26</v>
      </c>
      <c r="C1871" s="7" t="s">
        <v>27</v>
      </c>
      <c r="D1871" s="7" t="s">
        <v>28</v>
      </c>
      <c r="E1871" s="7" t="s">
        <v>29</v>
      </c>
      <c r="F1871" s="7" t="s">
        <v>157</v>
      </c>
      <c r="G1871" s="7">
        <v>100.9986</v>
      </c>
      <c r="H1871" s="7"/>
    </row>
    <row r="1872" spans="1:8" x14ac:dyDescent="0.35">
      <c r="A1872" s="7" t="s">
        <v>352</v>
      </c>
      <c r="B1872" s="7" t="s">
        <v>26</v>
      </c>
      <c r="C1872" s="7" t="s">
        <v>27</v>
      </c>
      <c r="D1872" s="7" t="s">
        <v>28</v>
      </c>
      <c r="E1872" s="7" t="s">
        <v>29</v>
      </c>
      <c r="F1872" s="7" t="s">
        <v>158</v>
      </c>
      <c r="G1872" s="7">
        <v>100.9251</v>
      </c>
      <c r="H1872" s="7"/>
    </row>
    <row r="1873" spans="1:8" x14ac:dyDescent="0.35">
      <c r="A1873" s="7" t="s">
        <v>352</v>
      </c>
      <c r="B1873" s="7" t="s">
        <v>26</v>
      </c>
      <c r="C1873" s="7" t="s">
        <v>27</v>
      </c>
      <c r="D1873" s="7" t="s">
        <v>28</v>
      </c>
      <c r="E1873" s="7" t="s">
        <v>29</v>
      </c>
      <c r="F1873" s="7" t="s">
        <v>159</v>
      </c>
      <c r="G1873" s="7">
        <v>100.8488</v>
      </c>
      <c r="H1873" s="7"/>
    </row>
    <row r="1874" spans="1:8" x14ac:dyDescent="0.35">
      <c r="A1874" s="7" t="s">
        <v>352</v>
      </c>
      <c r="B1874" s="7" t="s">
        <v>26</v>
      </c>
      <c r="C1874" s="7" t="s">
        <v>27</v>
      </c>
      <c r="D1874" s="7" t="s">
        <v>28</v>
      </c>
      <c r="E1874" s="7" t="s">
        <v>29</v>
      </c>
      <c r="F1874" s="7" t="s">
        <v>160</v>
      </c>
      <c r="G1874" s="7">
        <v>100.7563</v>
      </c>
      <c r="H1874" s="7"/>
    </row>
    <row r="1875" spans="1:8" x14ac:dyDescent="0.35">
      <c r="A1875" s="7" t="s">
        <v>352</v>
      </c>
      <c r="B1875" s="7" t="s">
        <v>26</v>
      </c>
      <c r="C1875" s="7" t="s">
        <v>27</v>
      </c>
      <c r="D1875" s="7" t="s">
        <v>28</v>
      </c>
      <c r="E1875" s="7" t="s">
        <v>29</v>
      </c>
      <c r="F1875" s="7" t="s">
        <v>161</v>
      </c>
      <c r="G1875" s="7">
        <v>100.5505</v>
      </c>
      <c r="H1875" s="7"/>
    </row>
    <row r="1876" spans="1:8" x14ac:dyDescent="0.35">
      <c r="A1876" s="7" t="s">
        <v>352</v>
      </c>
      <c r="B1876" s="7" t="s">
        <v>26</v>
      </c>
      <c r="C1876" s="7" t="s">
        <v>27</v>
      </c>
      <c r="D1876" s="7" t="s">
        <v>28</v>
      </c>
      <c r="E1876" s="7" t="s">
        <v>29</v>
      </c>
      <c r="F1876" s="7" t="s">
        <v>162</v>
      </c>
      <c r="G1876" s="7">
        <v>100.29</v>
      </c>
      <c r="H1876" s="7"/>
    </row>
    <row r="1877" spans="1:8" x14ac:dyDescent="0.35">
      <c r="A1877" s="7" t="s">
        <v>352</v>
      </c>
      <c r="B1877" s="7" t="s">
        <v>26</v>
      </c>
      <c r="C1877" s="7" t="s">
        <v>27</v>
      </c>
      <c r="D1877" s="7" t="s">
        <v>28</v>
      </c>
      <c r="E1877" s="7" t="s">
        <v>29</v>
      </c>
      <c r="F1877" s="7" t="s">
        <v>163</v>
      </c>
      <c r="G1877" s="7">
        <v>100.017</v>
      </c>
      <c r="H1877" s="7"/>
    </row>
    <row r="1878" spans="1:8" x14ac:dyDescent="0.35">
      <c r="A1878" s="7" t="s">
        <v>352</v>
      </c>
      <c r="B1878" s="7" t="s">
        <v>26</v>
      </c>
      <c r="C1878" s="7" t="s">
        <v>27</v>
      </c>
      <c r="D1878" s="7" t="s">
        <v>28</v>
      </c>
      <c r="E1878" s="7" t="s">
        <v>29</v>
      </c>
      <c r="F1878" s="7" t="s">
        <v>164</v>
      </c>
      <c r="G1878" s="7">
        <v>99.82611</v>
      </c>
      <c r="H1878" s="7"/>
    </row>
    <row r="1879" spans="1:8" x14ac:dyDescent="0.35">
      <c r="A1879" s="7" t="s">
        <v>352</v>
      </c>
      <c r="B1879" s="7" t="s">
        <v>26</v>
      </c>
      <c r="C1879" s="7" t="s">
        <v>27</v>
      </c>
      <c r="D1879" s="7" t="s">
        <v>28</v>
      </c>
      <c r="E1879" s="7" t="s">
        <v>29</v>
      </c>
      <c r="F1879" s="7" t="s">
        <v>165</v>
      </c>
      <c r="G1879" s="7">
        <v>99.703130000000002</v>
      </c>
      <c r="H1879" s="7"/>
    </row>
    <row r="1880" spans="1:8" x14ac:dyDescent="0.35">
      <c r="A1880" s="7" t="s">
        <v>352</v>
      </c>
      <c r="B1880" s="7" t="s">
        <v>26</v>
      </c>
      <c r="C1880" s="7" t="s">
        <v>27</v>
      </c>
      <c r="D1880" s="7" t="s">
        <v>28</v>
      </c>
      <c r="E1880" s="7" t="s">
        <v>29</v>
      </c>
      <c r="F1880" s="7" t="s">
        <v>166</v>
      </c>
      <c r="G1880" s="7">
        <v>99.668239999999997</v>
      </c>
      <c r="H1880" s="7"/>
    </row>
    <row r="1881" spans="1:8" x14ac:dyDescent="0.35">
      <c r="A1881" s="7" t="s">
        <v>352</v>
      </c>
      <c r="B1881" s="7" t="s">
        <v>26</v>
      </c>
      <c r="C1881" s="7" t="s">
        <v>27</v>
      </c>
      <c r="D1881" s="7" t="s">
        <v>28</v>
      </c>
      <c r="E1881" s="7" t="s">
        <v>29</v>
      </c>
      <c r="F1881" s="7" t="s">
        <v>167</v>
      </c>
      <c r="G1881" s="7">
        <v>99.744929999999997</v>
      </c>
      <c r="H1881" s="7"/>
    </row>
    <row r="1882" spans="1:8" x14ac:dyDescent="0.35">
      <c r="A1882" s="7" t="s">
        <v>352</v>
      </c>
      <c r="B1882" s="7" t="s">
        <v>26</v>
      </c>
      <c r="C1882" s="7" t="s">
        <v>27</v>
      </c>
      <c r="D1882" s="7" t="s">
        <v>28</v>
      </c>
      <c r="E1882" s="7" t="s">
        <v>29</v>
      </c>
      <c r="F1882" s="7" t="s">
        <v>168</v>
      </c>
      <c r="G1882" s="7">
        <v>99.841480000000004</v>
      </c>
      <c r="H1882" s="7"/>
    </row>
    <row r="1883" spans="1:8" x14ac:dyDescent="0.35">
      <c r="A1883" s="7" t="s">
        <v>352</v>
      </c>
      <c r="B1883" s="7" t="s">
        <v>26</v>
      </c>
      <c r="C1883" s="7" t="s">
        <v>27</v>
      </c>
      <c r="D1883" s="7" t="s">
        <v>28</v>
      </c>
      <c r="E1883" s="7" t="s">
        <v>29</v>
      </c>
      <c r="F1883" s="7" t="s">
        <v>169</v>
      </c>
      <c r="G1883" s="7">
        <v>99.929659999999998</v>
      </c>
      <c r="H1883" s="7"/>
    </row>
    <row r="1884" spans="1:8" x14ac:dyDescent="0.35">
      <c r="A1884" s="7" t="s">
        <v>352</v>
      </c>
      <c r="B1884" s="7" t="s">
        <v>26</v>
      </c>
      <c r="C1884" s="7" t="s">
        <v>27</v>
      </c>
      <c r="D1884" s="7" t="s">
        <v>28</v>
      </c>
      <c r="E1884" s="7" t="s">
        <v>29</v>
      </c>
      <c r="F1884" s="7" t="s">
        <v>170</v>
      </c>
      <c r="G1884" s="7">
        <v>99.989220000000003</v>
      </c>
      <c r="H1884" s="7"/>
    </row>
    <row r="1885" spans="1:8" x14ac:dyDescent="0.35">
      <c r="A1885" s="7" t="s">
        <v>352</v>
      </c>
      <c r="B1885" s="7" t="s">
        <v>26</v>
      </c>
      <c r="C1885" s="7" t="s">
        <v>27</v>
      </c>
      <c r="D1885" s="7" t="s">
        <v>28</v>
      </c>
      <c r="E1885" s="7" t="s">
        <v>29</v>
      </c>
      <c r="F1885" s="7" t="s">
        <v>171</v>
      </c>
      <c r="G1885" s="7">
        <v>100.04259999999999</v>
      </c>
      <c r="H1885" s="7"/>
    </row>
    <row r="1886" spans="1:8" x14ac:dyDescent="0.35">
      <c r="A1886" s="7" t="s">
        <v>352</v>
      </c>
      <c r="B1886" s="7" t="s">
        <v>26</v>
      </c>
      <c r="C1886" s="7" t="s">
        <v>27</v>
      </c>
      <c r="D1886" s="7" t="s">
        <v>28</v>
      </c>
      <c r="E1886" s="7" t="s">
        <v>29</v>
      </c>
      <c r="F1886" s="7" t="s">
        <v>172</v>
      </c>
      <c r="G1886" s="7">
        <v>100.0834</v>
      </c>
      <c r="H1886" s="7"/>
    </row>
    <row r="1887" spans="1:8" x14ac:dyDescent="0.35">
      <c r="A1887" s="7" t="s">
        <v>352</v>
      </c>
      <c r="B1887" s="7" t="s">
        <v>26</v>
      </c>
      <c r="C1887" s="7" t="s">
        <v>27</v>
      </c>
      <c r="D1887" s="7" t="s">
        <v>28</v>
      </c>
      <c r="E1887" s="7" t="s">
        <v>29</v>
      </c>
      <c r="F1887" s="7" t="s">
        <v>173</v>
      </c>
      <c r="G1887" s="7">
        <v>100.0992</v>
      </c>
      <c r="H1887" s="7"/>
    </row>
    <row r="1888" spans="1:8" x14ac:dyDescent="0.35">
      <c r="A1888" s="7" t="s">
        <v>352</v>
      </c>
      <c r="B1888" s="7" t="s">
        <v>26</v>
      </c>
      <c r="C1888" s="7" t="s">
        <v>27</v>
      </c>
      <c r="D1888" s="7" t="s">
        <v>28</v>
      </c>
      <c r="E1888" s="7" t="s">
        <v>29</v>
      </c>
      <c r="F1888" s="7" t="s">
        <v>174</v>
      </c>
      <c r="G1888" s="7">
        <v>100.12739999999999</v>
      </c>
      <c r="H1888" s="7"/>
    </row>
    <row r="1889" spans="1:8" x14ac:dyDescent="0.35">
      <c r="A1889" s="7" t="s">
        <v>352</v>
      </c>
      <c r="B1889" s="7" t="s">
        <v>26</v>
      </c>
      <c r="C1889" s="7" t="s">
        <v>27</v>
      </c>
      <c r="D1889" s="7" t="s">
        <v>28</v>
      </c>
      <c r="E1889" s="7" t="s">
        <v>29</v>
      </c>
      <c r="F1889" s="7" t="s">
        <v>175</v>
      </c>
      <c r="G1889" s="7">
        <v>100.16759999999999</v>
      </c>
      <c r="H1889" s="7"/>
    </row>
    <row r="1890" spans="1:8" x14ac:dyDescent="0.35">
      <c r="A1890" s="7" t="s">
        <v>352</v>
      </c>
      <c r="B1890" s="7" t="s">
        <v>26</v>
      </c>
      <c r="C1890" s="7" t="s">
        <v>27</v>
      </c>
      <c r="D1890" s="7" t="s">
        <v>28</v>
      </c>
      <c r="E1890" s="7" t="s">
        <v>29</v>
      </c>
      <c r="F1890" s="7" t="s">
        <v>176</v>
      </c>
      <c r="G1890" s="7">
        <v>100.223</v>
      </c>
      <c r="H1890" s="7"/>
    </row>
    <row r="1891" spans="1:8" x14ac:dyDescent="0.35">
      <c r="A1891" s="7" t="s">
        <v>352</v>
      </c>
      <c r="B1891" s="7" t="s">
        <v>26</v>
      </c>
      <c r="C1891" s="7" t="s">
        <v>27</v>
      </c>
      <c r="D1891" s="7" t="s">
        <v>28</v>
      </c>
      <c r="E1891" s="7" t="s">
        <v>29</v>
      </c>
      <c r="F1891" s="7" t="s">
        <v>177</v>
      </c>
      <c r="G1891" s="7">
        <v>100.26609999999999</v>
      </c>
      <c r="H1891" s="7"/>
    </row>
    <row r="1892" spans="1:8" x14ac:dyDescent="0.35">
      <c r="A1892" s="7" t="s">
        <v>352</v>
      </c>
      <c r="B1892" s="7" t="s">
        <v>26</v>
      </c>
      <c r="C1892" s="7" t="s">
        <v>27</v>
      </c>
      <c r="D1892" s="7" t="s">
        <v>28</v>
      </c>
      <c r="E1892" s="7" t="s">
        <v>29</v>
      </c>
      <c r="F1892" s="7" t="s">
        <v>178</v>
      </c>
      <c r="G1892" s="7">
        <v>100.3032</v>
      </c>
      <c r="H1892" s="7"/>
    </row>
    <row r="1893" spans="1:8" x14ac:dyDescent="0.35">
      <c r="A1893" s="7" t="s">
        <v>352</v>
      </c>
      <c r="B1893" s="7" t="s">
        <v>26</v>
      </c>
      <c r="C1893" s="7" t="s">
        <v>27</v>
      </c>
      <c r="D1893" s="7" t="s">
        <v>28</v>
      </c>
      <c r="E1893" s="7" t="s">
        <v>29</v>
      </c>
      <c r="F1893" s="7" t="s">
        <v>179</v>
      </c>
      <c r="G1893" s="7">
        <v>100.321</v>
      </c>
      <c r="H1893" s="7"/>
    </row>
    <row r="1894" spans="1:8" x14ac:dyDescent="0.35">
      <c r="A1894" s="7" t="s">
        <v>352</v>
      </c>
      <c r="B1894" s="7" t="s">
        <v>26</v>
      </c>
      <c r="C1894" s="7" t="s">
        <v>27</v>
      </c>
      <c r="D1894" s="7" t="s">
        <v>28</v>
      </c>
      <c r="E1894" s="7" t="s">
        <v>29</v>
      </c>
      <c r="F1894" s="7" t="s">
        <v>180</v>
      </c>
      <c r="G1894" s="7">
        <v>100.3022</v>
      </c>
      <c r="H1894" s="7"/>
    </row>
    <row r="1895" spans="1:8" x14ac:dyDescent="0.35">
      <c r="A1895" s="7" t="s">
        <v>352</v>
      </c>
      <c r="B1895" s="7" t="s">
        <v>26</v>
      </c>
      <c r="C1895" s="7" t="s">
        <v>27</v>
      </c>
      <c r="D1895" s="7" t="s">
        <v>28</v>
      </c>
      <c r="E1895" s="7" t="s">
        <v>29</v>
      </c>
      <c r="F1895" s="7" t="s">
        <v>181</v>
      </c>
      <c r="G1895" s="7">
        <v>100.29519999999999</v>
      </c>
      <c r="H1895" s="7"/>
    </row>
    <row r="1896" spans="1:8" x14ac:dyDescent="0.35">
      <c r="A1896" s="7" t="s">
        <v>352</v>
      </c>
      <c r="B1896" s="7" t="s">
        <v>26</v>
      </c>
      <c r="C1896" s="7" t="s">
        <v>27</v>
      </c>
      <c r="D1896" s="7" t="s">
        <v>28</v>
      </c>
      <c r="E1896" s="7" t="s">
        <v>29</v>
      </c>
      <c r="F1896" s="7" t="s">
        <v>182</v>
      </c>
      <c r="G1896" s="7">
        <v>100.2704</v>
      </c>
      <c r="H1896" s="7"/>
    </row>
    <row r="1897" spans="1:8" x14ac:dyDescent="0.35">
      <c r="A1897" s="7" t="s">
        <v>352</v>
      </c>
      <c r="B1897" s="7" t="s">
        <v>26</v>
      </c>
      <c r="C1897" s="7" t="s">
        <v>27</v>
      </c>
      <c r="D1897" s="7" t="s">
        <v>28</v>
      </c>
      <c r="E1897" s="7" t="s">
        <v>29</v>
      </c>
      <c r="F1897" s="7" t="s">
        <v>183</v>
      </c>
      <c r="G1897" s="7">
        <v>100.24720000000001</v>
      </c>
      <c r="H1897" s="7"/>
    </row>
    <row r="1898" spans="1:8" x14ac:dyDescent="0.35">
      <c r="A1898" s="7" t="s">
        <v>352</v>
      </c>
      <c r="B1898" s="7" t="s">
        <v>26</v>
      </c>
      <c r="C1898" s="7" t="s">
        <v>27</v>
      </c>
      <c r="D1898" s="7" t="s">
        <v>28</v>
      </c>
      <c r="E1898" s="7" t="s">
        <v>29</v>
      </c>
      <c r="F1898" s="7" t="s">
        <v>184</v>
      </c>
      <c r="G1898" s="7">
        <v>100.25449999999999</v>
      </c>
      <c r="H1898" s="7"/>
    </row>
    <row r="1899" spans="1:8" x14ac:dyDescent="0.35">
      <c r="A1899" s="7" t="s">
        <v>352</v>
      </c>
      <c r="B1899" s="7" t="s">
        <v>26</v>
      </c>
      <c r="C1899" s="7" t="s">
        <v>27</v>
      </c>
      <c r="D1899" s="7" t="s">
        <v>28</v>
      </c>
      <c r="E1899" s="7" t="s">
        <v>29</v>
      </c>
      <c r="F1899" s="7" t="s">
        <v>185</v>
      </c>
      <c r="G1899" s="7">
        <v>100.271</v>
      </c>
      <c r="H1899" s="7"/>
    </row>
    <row r="1900" spans="1:8" x14ac:dyDescent="0.35">
      <c r="A1900" s="7" t="s">
        <v>352</v>
      </c>
      <c r="B1900" s="7" t="s">
        <v>26</v>
      </c>
      <c r="C1900" s="7" t="s">
        <v>27</v>
      </c>
      <c r="D1900" s="7" t="s">
        <v>28</v>
      </c>
      <c r="E1900" s="7" t="s">
        <v>29</v>
      </c>
      <c r="F1900" s="7" t="s">
        <v>186</v>
      </c>
      <c r="G1900" s="7">
        <v>100.3203</v>
      </c>
      <c r="H1900" s="7"/>
    </row>
    <row r="1901" spans="1:8" x14ac:dyDescent="0.35">
      <c r="A1901" s="7" t="s">
        <v>352</v>
      </c>
      <c r="B1901" s="7" t="s">
        <v>26</v>
      </c>
      <c r="C1901" s="7" t="s">
        <v>27</v>
      </c>
      <c r="D1901" s="7" t="s">
        <v>28</v>
      </c>
      <c r="E1901" s="7" t="s">
        <v>29</v>
      </c>
      <c r="F1901" s="7" t="s">
        <v>187</v>
      </c>
      <c r="G1901" s="7">
        <v>100.3811</v>
      </c>
      <c r="H1901" s="7"/>
    </row>
    <row r="1902" spans="1:8" x14ac:dyDescent="0.35">
      <c r="A1902" s="7" t="s">
        <v>352</v>
      </c>
      <c r="B1902" s="7" t="s">
        <v>26</v>
      </c>
      <c r="C1902" s="7" t="s">
        <v>27</v>
      </c>
      <c r="D1902" s="7" t="s">
        <v>28</v>
      </c>
      <c r="E1902" s="7" t="s">
        <v>29</v>
      </c>
      <c r="F1902" s="7" t="s">
        <v>188</v>
      </c>
      <c r="G1902" s="7">
        <v>100.42789999999999</v>
      </c>
      <c r="H1902" s="7"/>
    </row>
    <row r="1903" spans="1:8" x14ac:dyDescent="0.35">
      <c r="A1903" s="7" t="s">
        <v>352</v>
      </c>
      <c r="B1903" s="7" t="s">
        <v>26</v>
      </c>
      <c r="C1903" s="7" t="s">
        <v>27</v>
      </c>
      <c r="D1903" s="7" t="s">
        <v>28</v>
      </c>
      <c r="E1903" s="7" t="s">
        <v>29</v>
      </c>
      <c r="F1903" s="7" t="s">
        <v>189</v>
      </c>
      <c r="G1903" s="7">
        <v>100.4148</v>
      </c>
      <c r="H1903" s="7"/>
    </row>
    <row r="1904" spans="1:8" x14ac:dyDescent="0.35">
      <c r="A1904" s="7" t="s">
        <v>352</v>
      </c>
      <c r="B1904" s="7" t="s">
        <v>26</v>
      </c>
      <c r="C1904" s="7" t="s">
        <v>27</v>
      </c>
      <c r="D1904" s="7" t="s">
        <v>28</v>
      </c>
      <c r="E1904" s="7" t="s">
        <v>29</v>
      </c>
      <c r="F1904" s="7" t="s">
        <v>190</v>
      </c>
      <c r="G1904" s="7">
        <v>100.37869999999999</v>
      </c>
      <c r="H1904" s="7"/>
    </row>
    <row r="1905" spans="1:8" x14ac:dyDescent="0.35">
      <c r="A1905" s="7" t="s">
        <v>352</v>
      </c>
      <c r="B1905" s="7" t="s">
        <v>26</v>
      </c>
      <c r="C1905" s="7" t="s">
        <v>27</v>
      </c>
      <c r="D1905" s="7" t="s">
        <v>28</v>
      </c>
      <c r="E1905" s="7" t="s">
        <v>29</v>
      </c>
      <c r="F1905" s="7" t="s">
        <v>191</v>
      </c>
      <c r="G1905" s="7">
        <v>100.32940000000001</v>
      </c>
      <c r="H1905" s="7"/>
    </row>
    <row r="1906" spans="1:8" x14ac:dyDescent="0.35">
      <c r="A1906" s="7" t="s">
        <v>352</v>
      </c>
      <c r="B1906" s="7" t="s">
        <v>26</v>
      </c>
      <c r="C1906" s="7" t="s">
        <v>27</v>
      </c>
      <c r="D1906" s="7" t="s">
        <v>28</v>
      </c>
      <c r="E1906" s="7" t="s">
        <v>29</v>
      </c>
      <c r="F1906" s="7" t="s">
        <v>192</v>
      </c>
      <c r="G1906" s="7">
        <v>100.24979999999999</v>
      </c>
      <c r="H1906" s="7"/>
    </row>
    <row r="1907" spans="1:8" x14ac:dyDescent="0.35">
      <c r="A1907" s="7" t="s">
        <v>352</v>
      </c>
      <c r="B1907" s="7" t="s">
        <v>26</v>
      </c>
      <c r="C1907" s="7" t="s">
        <v>27</v>
      </c>
      <c r="D1907" s="7" t="s">
        <v>28</v>
      </c>
      <c r="E1907" s="7" t="s">
        <v>29</v>
      </c>
      <c r="F1907" s="7" t="s">
        <v>193</v>
      </c>
      <c r="G1907" s="7">
        <v>100.1713</v>
      </c>
      <c r="H1907" s="7"/>
    </row>
    <row r="1908" spans="1:8" x14ac:dyDescent="0.35">
      <c r="A1908" s="7" t="s">
        <v>352</v>
      </c>
      <c r="B1908" s="7" t="s">
        <v>26</v>
      </c>
      <c r="C1908" s="7" t="s">
        <v>27</v>
      </c>
      <c r="D1908" s="7" t="s">
        <v>28</v>
      </c>
      <c r="E1908" s="7" t="s">
        <v>29</v>
      </c>
      <c r="F1908" s="7" t="s">
        <v>194</v>
      </c>
      <c r="G1908" s="7">
        <v>100.122</v>
      </c>
      <c r="H1908" s="7"/>
    </row>
    <row r="1909" spans="1:8" x14ac:dyDescent="0.35">
      <c r="A1909" s="7" t="s">
        <v>352</v>
      </c>
      <c r="B1909" s="7" t="s">
        <v>26</v>
      </c>
      <c r="C1909" s="7" t="s">
        <v>27</v>
      </c>
      <c r="D1909" s="7" t="s">
        <v>28</v>
      </c>
      <c r="E1909" s="7" t="s">
        <v>29</v>
      </c>
      <c r="F1909" s="7" t="s">
        <v>195</v>
      </c>
      <c r="G1909" s="7">
        <v>100.1045</v>
      </c>
      <c r="H1909" s="7"/>
    </row>
    <row r="1910" spans="1:8" x14ac:dyDescent="0.35">
      <c r="A1910" s="7" t="s">
        <v>352</v>
      </c>
      <c r="B1910" s="7" t="s">
        <v>26</v>
      </c>
      <c r="C1910" s="7" t="s">
        <v>27</v>
      </c>
      <c r="D1910" s="7" t="s">
        <v>28</v>
      </c>
      <c r="E1910" s="7" t="s">
        <v>29</v>
      </c>
      <c r="F1910" s="7" t="s">
        <v>196</v>
      </c>
      <c r="G1910" s="7">
        <v>100.127</v>
      </c>
      <c r="H1910" s="7"/>
    </row>
    <row r="1911" spans="1:8" x14ac:dyDescent="0.35">
      <c r="A1911" s="7" t="s">
        <v>352</v>
      </c>
      <c r="B1911" s="7" t="s">
        <v>26</v>
      </c>
      <c r="C1911" s="7" t="s">
        <v>27</v>
      </c>
      <c r="D1911" s="7" t="s">
        <v>28</v>
      </c>
      <c r="E1911" s="7" t="s">
        <v>29</v>
      </c>
      <c r="F1911" s="7" t="s">
        <v>197</v>
      </c>
      <c r="G1911" s="7">
        <v>100.2033</v>
      </c>
      <c r="H1911" s="7"/>
    </row>
    <row r="1912" spans="1:8" x14ac:dyDescent="0.35">
      <c r="A1912" s="7" t="s">
        <v>352</v>
      </c>
      <c r="B1912" s="7" t="s">
        <v>26</v>
      </c>
      <c r="C1912" s="7" t="s">
        <v>27</v>
      </c>
      <c r="D1912" s="7" t="s">
        <v>28</v>
      </c>
      <c r="E1912" s="7" t="s">
        <v>29</v>
      </c>
      <c r="F1912" s="7" t="s">
        <v>198</v>
      </c>
      <c r="G1912" s="7">
        <v>100.3155</v>
      </c>
      <c r="H1912" s="7"/>
    </row>
    <row r="1913" spans="1:8" x14ac:dyDescent="0.35">
      <c r="A1913" s="7" t="s">
        <v>352</v>
      </c>
      <c r="B1913" s="7" t="s">
        <v>26</v>
      </c>
      <c r="C1913" s="7" t="s">
        <v>27</v>
      </c>
      <c r="D1913" s="7" t="s">
        <v>28</v>
      </c>
      <c r="E1913" s="7" t="s">
        <v>29</v>
      </c>
      <c r="F1913" s="7" t="s">
        <v>199</v>
      </c>
      <c r="G1913" s="7">
        <v>100.4609</v>
      </c>
      <c r="H1913" s="7"/>
    </row>
    <row r="1914" spans="1:8" x14ac:dyDescent="0.35">
      <c r="A1914" s="7" t="s">
        <v>352</v>
      </c>
      <c r="B1914" s="7" t="s">
        <v>26</v>
      </c>
      <c r="C1914" s="7" t="s">
        <v>27</v>
      </c>
      <c r="D1914" s="7" t="s">
        <v>28</v>
      </c>
      <c r="E1914" s="7" t="s">
        <v>29</v>
      </c>
      <c r="F1914" s="7" t="s">
        <v>200</v>
      </c>
      <c r="G1914" s="7">
        <v>100.58410000000001</v>
      </c>
      <c r="H1914" s="7"/>
    </row>
    <row r="1915" spans="1:8" x14ac:dyDescent="0.35">
      <c r="A1915" s="7" t="s">
        <v>352</v>
      </c>
      <c r="B1915" s="7" t="s">
        <v>26</v>
      </c>
      <c r="C1915" s="7" t="s">
        <v>27</v>
      </c>
      <c r="D1915" s="7" t="s">
        <v>28</v>
      </c>
      <c r="E1915" s="7" t="s">
        <v>29</v>
      </c>
      <c r="F1915" s="7" t="s">
        <v>201</v>
      </c>
      <c r="G1915" s="7">
        <v>100.6443</v>
      </c>
      <c r="H1915" s="7"/>
    </row>
    <row r="1916" spans="1:8" x14ac:dyDescent="0.35">
      <c r="A1916" s="7" t="s">
        <v>352</v>
      </c>
      <c r="B1916" s="7" t="s">
        <v>26</v>
      </c>
      <c r="C1916" s="7" t="s">
        <v>27</v>
      </c>
      <c r="D1916" s="7" t="s">
        <v>28</v>
      </c>
      <c r="E1916" s="7" t="s">
        <v>29</v>
      </c>
      <c r="F1916" s="7" t="s">
        <v>202</v>
      </c>
      <c r="G1916" s="7">
        <v>100.66289999999999</v>
      </c>
      <c r="H1916" s="7"/>
    </row>
    <row r="1917" spans="1:8" x14ac:dyDescent="0.35">
      <c r="A1917" s="7" t="s">
        <v>352</v>
      </c>
      <c r="B1917" s="7" t="s">
        <v>26</v>
      </c>
      <c r="C1917" s="7" t="s">
        <v>27</v>
      </c>
      <c r="D1917" s="7" t="s">
        <v>28</v>
      </c>
      <c r="E1917" s="7" t="s">
        <v>29</v>
      </c>
      <c r="F1917" s="7" t="s">
        <v>203</v>
      </c>
      <c r="G1917" s="7">
        <v>100.6885</v>
      </c>
      <c r="H1917" s="7"/>
    </row>
    <row r="1918" spans="1:8" x14ac:dyDescent="0.35">
      <c r="A1918" s="7" t="s">
        <v>352</v>
      </c>
      <c r="B1918" s="7" t="s">
        <v>26</v>
      </c>
      <c r="C1918" s="7" t="s">
        <v>27</v>
      </c>
      <c r="D1918" s="7" t="s">
        <v>28</v>
      </c>
      <c r="E1918" s="7" t="s">
        <v>29</v>
      </c>
      <c r="F1918" s="7" t="s">
        <v>204</v>
      </c>
      <c r="G1918" s="7">
        <v>100.67489999999999</v>
      </c>
      <c r="H1918" s="7"/>
    </row>
    <row r="1919" spans="1:8" x14ac:dyDescent="0.35">
      <c r="A1919" s="7" t="s">
        <v>352</v>
      </c>
      <c r="B1919" s="7" t="s">
        <v>26</v>
      </c>
      <c r="C1919" s="7" t="s">
        <v>27</v>
      </c>
      <c r="D1919" s="7" t="s">
        <v>28</v>
      </c>
      <c r="E1919" s="7" t="s">
        <v>29</v>
      </c>
      <c r="F1919" s="7" t="s">
        <v>205</v>
      </c>
      <c r="G1919" s="7">
        <v>100.60850000000001</v>
      </c>
      <c r="H1919" s="7"/>
    </row>
    <row r="1920" spans="1:8" x14ac:dyDescent="0.35">
      <c r="A1920" s="7" t="s">
        <v>352</v>
      </c>
      <c r="B1920" s="7" t="s">
        <v>26</v>
      </c>
      <c r="C1920" s="7" t="s">
        <v>27</v>
      </c>
      <c r="D1920" s="7" t="s">
        <v>28</v>
      </c>
      <c r="E1920" s="7" t="s">
        <v>29</v>
      </c>
      <c r="F1920" s="7" t="s">
        <v>206</v>
      </c>
      <c r="G1920" s="7">
        <v>100.5565</v>
      </c>
      <c r="H1920" s="7"/>
    </row>
    <row r="1921" spans="1:8" x14ac:dyDescent="0.35">
      <c r="A1921" s="7" t="s">
        <v>352</v>
      </c>
      <c r="B1921" s="7" t="s">
        <v>26</v>
      </c>
      <c r="C1921" s="7" t="s">
        <v>27</v>
      </c>
      <c r="D1921" s="7" t="s">
        <v>28</v>
      </c>
      <c r="E1921" s="7" t="s">
        <v>29</v>
      </c>
      <c r="F1921" s="7" t="s">
        <v>207</v>
      </c>
      <c r="G1921" s="7">
        <v>100.5372</v>
      </c>
      <c r="H1921" s="7"/>
    </row>
    <row r="1922" spans="1:8" x14ac:dyDescent="0.35">
      <c r="A1922" s="7" t="s">
        <v>352</v>
      </c>
      <c r="B1922" s="7" t="s">
        <v>26</v>
      </c>
      <c r="C1922" s="7" t="s">
        <v>27</v>
      </c>
      <c r="D1922" s="7" t="s">
        <v>28</v>
      </c>
      <c r="E1922" s="7" t="s">
        <v>29</v>
      </c>
      <c r="F1922" s="7" t="s">
        <v>208</v>
      </c>
      <c r="G1922" s="7">
        <v>100.55549999999999</v>
      </c>
      <c r="H1922" s="7"/>
    </row>
    <row r="1923" spans="1:8" x14ac:dyDescent="0.35">
      <c r="A1923" s="7" t="s">
        <v>352</v>
      </c>
      <c r="B1923" s="7" t="s">
        <v>26</v>
      </c>
      <c r="C1923" s="7" t="s">
        <v>27</v>
      </c>
      <c r="D1923" s="7" t="s">
        <v>28</v>
      </c>
      <c r="E1923" s="7" t="s">
        <v>29</v>
      </c>
      <c r="F1923" s="7" t="s">
        <v>209</v>
      </c>
      <c r="G1923" s="7">
        <v>100.5984</v>
      </c>
      <c r="H1923" s="7"/>
    </row>
    <row r="1924" spans="1:8" x14ac:dyDescent="0.35">
      <c r="A1924" s="7" t="s">
        <v>352</v>
      </c>
      <c r="B1924" s="7" t="s">
        <v>26</v>
      </c>
      <c r="C1924" s="7" t="s">
        <v>27</v>
      </c>
      <c r="D1924" s="7" t="s">
        <v>28</v>
      </c>
      <c r="E1924" s="7" t="s">
        <v>29</v>
      </c>
      <c r="F1924" s="7" t="s">
        <v>210</v>
      </c>
      <c r="G1924" s="7">
        <v>100.6574</v>
      </c>
      <c r="H1924" s="7"/>
    </row>
    <row r="1925" spans="1:8" x14ac:dyDescent="0.35">
      <c r="A1925" s="7" t="s">
        <v>352</v>
      </c>
      <c r="B1925" s="7" t="s">
        <v>26</v>
      </c>
      <c r="C1925" s="7" t="s">
        <v>27</v>
      </c>
      <c r="D1925" s="7" t="s">
        <v>28</v>
      </c>
      <c r="E1925" s="7" t="s">
        <v>29</v>
      </c>
      <c r="F1925" s="7" t="s">
        <v>211</v>
      </c>
      <c r="G1925" s="7">
        <v>100.7253</v>
      </c>
      <c r="H1925" s="7"/>
    </row>
    <row r="1926" spans="1:8" x14ac:dyDescent="0.35">
      <c r="A1926" s="7" t="s">
        <v>352</v>
      </c>
      <c r="B1926" s="7" t="s">
        <v>26</v>
      </c>
      <c r="C1926" s="7" t="s">
        <v>27</v>
      </c>
      <c r="D1926" s="7" t="s">
        <v>28</v>
      </c>
      <c r="E1926" s="7" t="s">
        <v>29</v>
      </c>
      <c r="F1926" s="7" t="s">
        <v>212</v>
      </c>
      <c r="G1926" s="7">
        <v>100.7876</v>
      </c>
      <c r="H1926" s="7"/>
    </row>
    <row r="1927" spans="1:8" x14ac:dyDescent="0.35">
      <c r="A1927" s="7" t="s">
        <v>352</v>
      </c>
      <c r="B1927" s="7" t="s">
        <v>26</v>
      </c>
      <c r="C1927" s="7" t="s">
        <v>27</v>
      </c>
      <c r="D1927" s="7" t="s">
        <v>28</v>
      </c>
      <c r="E1927" s="7" t="s">
        <v>29</v>
      </c>
      <c r="F1927" s="7" t="s">
        <v>213</v>
      </c>
      <c r="G1927" s="7">
        <v>100.87520000000001</v>
      </c>
      <c r="H1927" s="7"/>
    </row>
    <row r="1928" spans="1:8" x14ac:dyDescent="0.35">
      <c r="A1928" s="7" t="s">
        <v>352</v>
      </c>
      <c r="B1928" s="7" t="s">
        <v>26</v>
      </c>
      <c r="C1928" s="7" t="s">
        <v>27</v>
      </c>
      <c r="D1928" s="7" t="s">
        <v>28</v>
      </c>
      <c r="E1928" s="7" t="s">
        <v>29</v>
      </c>
      <c r="F1928" s="7" t="s">
        <v>214</v>
      </c>
      <c r="G1928" s="7">
        <v>100.9782</v>
      </c>
      <c r="H1928" s="7"/>
    </row>
    <row r="1929" spans="1:8" x14ac:dyDescent="0.35">
      <c r="A1929" s="7" t="s">
        <v>352</v>
      </c>
      <c r="B1929" s="7" t="s">
        <v>26</v>
      </c>
      <c r="C1929" s="7" t="s">
        <v>27</v>
      </c>
      <c r="D1929" s="7" t="s">
        <v>28</v>
      </c>
      <c r="E1929" s="7" t="s">
        <v>29</v>
      </c>
      <c r="F1929" s="7" t="s">
        <v>215</v>
      </c>
      <c r="G1929" s="7">
        <v>101.10980000000001</v>
      </c>
      <c r="H1929" s="7"/>
    </row>
    <row r="1930" spans="1:8" x14ac:dyDescent="0.35">
      <c r="A1930" s="7" t="s">
        <v>352</v>
      </c>
      <c r="B1930" s="7" t="s">
        <v>26</v>
      </c>
      <c r="C1930" s="7" t="s">
        <v>27</v>
      </c>
      <c r="D1930" s="7" t="s">
        <v>28</v>
      </c>
      <c r="E1930" s="7" t="s">
        <v>29</v>
      </c>
      <c r="F1930" s="7" t="s">
        <v>216</v>
      </c>
      <c r="G1930" s="7">
        <v>101.24720000000001</v>
      </c>
      <c r="H1930" s="7"/>
    </row>
    <row r="1931" spans="1:8" x14ac:dyDescent="0.35">
      <c r="A1931" s="7" t="s">
        <v>352</v>
      </c>
      <c r="B1931" s="7" t="s">
        <v>26</v>
      </c>
      <c r="C1931" s="7" t="s">
        <v>27</v>
      </c>
      <c r="D1931" s="7" t="s">
        <v>28</v>
      </c>
      <c r="E1931" s="7" t="s">
        <v>29</v>
      </c>
      <c r="F1931" s="7" t="s">
        <v>217</v>
      </c>
      <c r="G1931" s="7">
        <v>101.29949999999999</v>
      </c>
      <c r="H1931" s="7"/>
    </row>
    <row r="1932" spans="1:8" x14ac:dyDescent="0.35">
      <c r="A1932" s="7" t="s">
        <v>352</v>
      </c>
      <c r="B1932" s="7" t="s">
        <v>26</v>
      </c>
      <c r="C1932" s="7" t="s">
        <v>27</v>
      </c>
      <c r="D1932" s="7" t="s">
        <v>28</v>
      </c>
      <c r="E1932" s="7" t="s">
        <v>29</v>
      </c>
      <c r="F1932" s="7" t="s">
        <v>218</v>
      </c>
      <c r="G1932" s="7">
        <v>101.271</v>
      </c>
      <c r="H1932" s="7"/>
    </row>
    <row r="1933" spans="1:8" x14ac:dyDescent="0.35">
      <c r="A1933" s="7" t="s">
        <v>352</v>
      </c>
      <c r="B1933" s="7" t="s">
        <v>26</v>
      </c>
      <c r="C1933" s="7" t="s">
        <v>27</v>
      </c>
      <c r="D1933" s="7" t="s">
        <v>28</v>
      </c>
      <c r="E1933" s="7" t="s">
        <v>29</v>
      </c>
      <c r="F1933" s="7" t="s">
        <v>219</v>
      </c>
      <c r="G1933" s="7">
        <v>101.15300000000001</v>
      </c>
      <c r="H1933" s="7"/>
    </row>
    <row r="1934" spans="1:8" x14ac:dyDescent="0.35">
      <c r="A1934" s="7" t="s">
        <v>352</v>
      </c>
      <c r="B1934" s="7" t="s">
        <v>26</v>
      </c>
      <c r="C1934" s="7" t="s">
        <v>27</v>
      </c>
      <c r="D1934" s="7" t="s">
        <v>28</v>
      </c>
      <c r="E1934" s="7" t="s">
        <v>29</v>
      </c>
      <c r="F1934" s="7" t="s">
        <v>220</v>
      </c>
      <c r="G1934" s="7">
        <v>100.9909</v>
      </c>
      <c r="H1934" s="7"/>
    </row>
    <row r="1935" spans="1:8" x14ac:dyDescent="0.35">
      <c r="A1935" s="7" t="s">
        <v>352</v>
      </c>
      <c r="B1935" s="7" t="s">
        <v>26</v>
      </c>
      <c r="C1935" s="7" t="s">
        <v>27</v>
      </c>
      <c r="D1935" s="7" t="s">
        <v>28</v>
      </c>
      <c r="E1935" s="7" t="s">
        <v>29</v>
      </c>
      <c r="F1935" s="7" t="s">
        <v>221</v>
      </c>
      <c r="G1935" s="7">
        <v>100.81950000000001</v>
      </c>
      <c r="H1935" s="7"/>
    </row>
    <row r="1936" spans="1:8" x14ac:dyDescent="0.35">
      <c r="A1936" s="7" t="s">
        <v>352</v>
      </c>
      <c r="B1936" s="7" t="s">
        <v>26</v>
      </c>
      <c r="C1936" s="7" t="s">
        <v>27</v>
      </c>
      <c r="D1936" s="7" t="s">
        <v>28</v>
      </c>
      <c r="E1936" s="7" t="s">
        <v>29</v>
      </c>
      <c r="F1936" s="7" t="s">
        <v>222</v>
      </c>
      <c r="G1936" s="7">
        <v>100.63039999999999</v>
      </c>
      <c r="H1936" s="7"/>
    </row>
    <row r="1937" spans="1:8" x14ac:dyDescent="0.35">
      <c r="A1937" s="7" t="s">
        <v>352</v>
      </c>
      <c r="B1937" s="7" t="s">
        <v>26</v>
      </c>
      <c r="C1937" s="7" t="s">
        <v>27</v>
      </c>
      <c r="D1937" s="7" t="s">
        <v>28</v>
      </c>
      <c r="E1937" s="7" t="s">
        <v>29</v>
      </c>
      <c r="F1937" s="7" t="s">
        <v>223</v>
      </c>
      <c r="G1937" s="7">
        <v>100.45399999999999</v>
      </c>
      <c r="H1937" s="7"/>
    </row>
    <row r="1938" spans="1:8" x14ac:dyDescent="0.35">
      <c r="A1938" s="7" t="s">
        <v>352</v>
      </c>
      <c r="B1938" s="7" t="s">
        <v>26</v>
      </c>
      <c r="C1938" s="7" t="s">
        <v>27</v>
      </c>
      <c r="D1938" s="7" t="s">
        <v>28</v>
      </c>
      <c r="E1938" s="7" t="s">
        <v>29</v>
      </c>
      <c r="F1938" s="7" t="s">
        <v>224</v>
      </c>
      <c r="G1938" s="7">
        <v>100.24509999999999</v>
      </c>
      <c r="H1938" s="7"/>
    </row>
    <row r="1939" spans="1:8" x14ac:dyDescent="0.35">
      <c r="A1939" s="7" t="s">
        <v>352</v>
      </c>
      <c r="B1939" s="7" t="s">
        <v>26</v>
      </c>
      <c r="C1939" s="7" t="s">
        <v>27</v>
      </c>
      <c r="D1939" s="7" t="s">
        <v>28</v>
      </c>
      <c r="E1939" s="7" t="s">
        <v>29</v>
      </c>
      <c r="F1939" s="7" t="s">
        <v>225</v>
      </c>
      <c r="G1939" s="7">
        <v>100.0236</v>
      </c>
      <c r="H1939" s="7"/>
    </row>
    <row r="1940" spans="1:8" x14ac:dyDescent="0.35">
      <c r="A1940" s="7" t="s">
        <v>352</v>
      </c>
      <c r="B1940" s="7" t="s">
        <v>26</v>
      </c>
      <c r="C1940" s="7" t="s">
        <v>27</v>
      </c>
      <c r="D1940" s="7" t="s">
        <v>28</v>
      </c>
      <c r="E1940" s="7" t="s">
        <v>29</v>
      </c>
      <c r="F1940" s="7" t="s">
        <v>226</v>
      </c>
      <c r="G1940" s="7">
        <v>99.823099999999997</v>
      </c>
      <c r="H1940" s="7"/>
    </row>
    <row r="1941" spans="1:8" x14ac:dyDescent="0.35">
      <c r="A1941" s="7" t="s">
        <v>352</v>
      </c>
      <c r="B1941" s="7" t="s">
        <v>26</v>
      </c>
      <c r="C1941" s="7" t="s">
        <v>27</v>
      </c>
      <c r="D1941" s="7" t="s">
        <v>28</v>
      </c>
      <c r="E1941" s="7" t="s">
        <v>29</v>
      </c>
      <c r="F1941" s="7" t="s">
        <v>227</v>
      </c>
      <c r="G1941" s="7">
        <v>99.624610000000004</v>
      </c>
      <c r="H1941" s="7"/>
    </row>
    <row r="1942" spans="1:8" x14ac:dyDescent="0.35">
      <c r="A1942" s="7" t="s">
        <v>352</v>
      </c>
      <c r="B1942" s="7" t="s">
        <v>26</v>
      </c>
      <c r="C1942" s="7" t="s">
        <v>27</v>
      </c>
      <c r="D1942" s="7" t="s">
        <v>28</v>
      </c>
      <c r="E1942" s="7" t="s">
        <v>29</v>
      </c>
      <c r="F1942" s="7" t="s">
        <v>228</v>
      </c>
      <c r="G1942" s="7">
        <v>99.395539999999997</v>
      </c>
      <c r="H1942" s="7"/>
    </row>
    <row r="1943" spans="1:8" x14ac:dyDescent="0.35">
      <c r="A1943" s="7" t="s">
        <v>352</v>
      </c>
      <c r="B1943" s="7" t="s">
        <v>26</v>
      </c>
      <c r="C1943" s="7" t="s">
        <v>27</v>
      </c>
      <c r="D1943" s="7" t="s">
        <v>28</v>
      </c>
      <c r="E1943" s="7" t="s">
        <v>29</v>
      </c>
      <c r="F1943" s="7" t="s">
        <v>229</v>
      </c>
      <c r="G1943" s="7">
        <v>99.130840000000006</v>
      </c>
      <c r="H1943" s="7"/>
    </row>
    <row r="1944" spans="1:8" x14ac:dyDescent="0.35">
      <c r="A1944" s="7" t="s">
        <v>352</v>
      </c>
      <c r="B1944" s="7" t="s">
        <v>26</v>
      </c>
      <c r="C1944" s="7" t="s">
        <v>27</v>
      </c>
      <c r="D1944" s="7" t="s">
        <v>28</v>
      </c>
      <c r="E1944" s="7" t="s">
        <v>29</v>
      </c>
      <c r="F1944" s="7" t="s">
        <v>230</v>
      </c>
      <c r="G1944" s="7">
        <v>98.902619999999999</v>
      </c>
      <c r="H1944" s="7"/>
    </row>
    <row r="1945" spans="1:8" x14ac:dyDescent="0.35">
      <c r="A1945" s="7" t="s">
        <v>352</v>
      </c>
      <c r="B1945" s="7" t="s">
        <v>26</v>
      </c>
      <c r="C1945" s="7" t="s">
        <v>27</v>
      </c>
      <c r="D1945" s="7" t="s">
        <v>28</v>
      </c>
      <c r="E1945" s="7" t="s">
        <v>29</v>
      </c>
      <c r="F1945" s="7" t="s">
        <v>231</v>
      </c>
      <c r="G1945" s="7">
        <v>98.765720000000002</v>
      </c>
      <c r="H1945" s="7"/>
    </row>
    <row r="1946" spans="1:8" x14ac:dyDescent="0.35">
      <c r="A1946" s="7" t="s">
        <v>352</v>
      </c>
      <c r="B1946" s="7" t="s">
        <v>26</v>
      </c>
      <c r="C1946" s="7" t="s">
        <v>27</v>
      </c>
      <c r="D1946" s="7" t="s">
        <v>28</v>
      </c>
      <c r="E1946" s="7" t="s">
        <v>29</v>
      </c>
      <c r="F1946" s="7" t="s">
        <v>232</v>
      </c>
      <c r="G1946" s="7">
        <v>98.560500000000005</v>
      </c>
      <c r="H1946" s="7"/>
    </row>
    <row r="1947" spans="1:8" x14ac:dyDescent="0.35">
      <c r="A1947" s="7" t="s">
        <v>352</v>
      </c>
      <c r="B1947" s="7" t="s">
        <v>26</v>
      </c>
      <c r="C1947" s="7" t="s">
        <v>27</v>
      </c>
      <c r="D1947" s="7" t="s">
        <v>28</v>
      </c>
      <c r="E1947" s="7" t="s">
        <v>29</v>
      </c>
      <c r="F1947" s="7" t="s">
        <v>233</v>
      </c>
      <c r="G1947" s="7">
        <v>98.152950000000004</v>
      </c>
      <c r="H1947" s="7"/>
    </row>
    <row r="1948" spans="1:8" x14ac:dyDescent="0.35">
      <c r="A1948" s="7" t="s">
        <v>352</v>
      </c>
      <c r="B1948" s="7" t="s">
        <v>26</v>
      </c>
      <c r="C1948" s="7" t="s">
        <v>27</v>
      </c>
      <c r="D1948" s="7" t="s">
        <v>28</v>
      </c>
      <c r="E1948" s="7" t="s">
        <v>29</v>
      </c>
      <c r="F1948" s="7" t="s">
        <v>234</v>
      </c>
      <c r="G1948" s="7">
        <v>97.708759999999998</v>
      </c>
      <c r="H1948" s="7"/>
    </row>
    <row r="1949" spans="1:8" x14ac:dyDescent="0.35">
      <c r="A1949" s="7" t="s">
        <v>352</v>
      </c>
      <c r="B1949" s="7" t="s">
        <v>26</v>
      </c>
      <c r="C1949" s="7" t="s">
        <v>27</v>
      </c>
      <c r="D1949" s="7" t="s">
        <v>28</v>
      </c>
      <c r="E1949" s="7" t="s">
        <v>29</v>
      </c>
      <c r="F1949" s="7" t="s">
        <v>235</v>
      </c>
      <c r="G1949" s="7">
        <v>97.331329999999994</v>
      </c>
      <c r="H1949" s="7"/>
    </row>
    <row r="1950" spans="1:8" x14ac:dyDescent="0.35">
      <c r="A1950" s="7" t="s">
        <v>352</v>
      </c>
      <c r="B1950" s="7" t="s">
        <v>26</v>
      </c>
      <c r="C1950" s="7" t="s">
        <v>27</v>
      </c>
      <c r="D1950" s="7" t="s">
        <v>28</v>
      </c>
      <c r="E1950" s="7" t="s">
        <v>29</v>
      </c>
      <c r="F1950" s="7" t="s">
        <v>236</v>
      </c>
      <c r="G1950" s="7">
        <v>97.109350000000006</v>
      </c>
      <c r="H1950" s="7"/>
    </row>
    <row r="1951" spans="1:8" x14ac:dyDescent="0.35">
      <c r="A1951" s="7" t="s">
        <v>352</v>
      </c>
      <c r="B1951" s="7" t="s">
        <v>26</v>
      </c>
      <c r="C1951" s="7" t="s">
        <v>27</v>
      </c>
      <c r="D1951" s="7" t="s">
        <v>28</v>
      </c>
      <c r="E1951" s="7" t="s">
        <v>29</v>
      </c>
      <c r="F1951" s="7" t="s">
        <v>237</v>
      </c>
      <c r="G1951" s="7">
        <v>97.044539999999998</v>
      </c>
      <c r="H1951" s="7"/>
    </row>
    <row r="1952" spans="1:8" x14ac:dyDescent="0.35">
      <c r="A1952" s="7" t="s">
        <v>352</v>
      </c>
      <c r="B1952" s="7" t="s">
        <v>26</v>
      </c>
      <c r="C1952" s="7" t="s">
        <v>27</v>
      </c>
      <c r="D1952" s="7" t="s">
        <v>28</v>
      </c>
      <c r="E1952" s="7" t="s">
        <v>29</v>
      </c>
      <c r="F1952" s="7" t="s">
        <v>238</v>
      </c>
      <c r="G1952" s="7">
        <v>97.182310000000001</v>
      </c>
      <c r="H1952" s="7"/>
    </row>
    <row r="1953" spans="1:8" x14ac:dyDescent="0.35">
      <c r="A1953" s="7" t="s">
        <v>352</v>
      </c>
      <c r="B1953" s="7" t="s">
        <v>26</v>
      </c>
      <c r="C1953" s="7" t="s">
        <v>27</v>
      </c>
      <c r="D1953" s="7" t="s">
        <v>28</v>
      </c>
      <c r="E1953" s="7" t="s">
        <v>29</v>
      </c>
      <c r="F1953" s="7" t="s">
        <v>239</v>
      </c>
      <c r="G1953" s="7">
        <v>97.536649999999995</v>
      </c>
      <c r="H1953" s="7"/>
    </row>
    <row r="1954" spans="1:8" x14ac:dyDescent="0.35">
      <c r="A1954" s="7" t="s">
        <v>352</v>
      </c>
      <c r="B1954" s="7" t="s">
        <v>26</v>
      </c>
      <c r="C1954" s="7" t="s">
        <v>27</v>
      </c>
      <c r="D1954" s="7" t="s">
        <v>28</v>
      </c>
      <c r="E1954" s="7" t="s">
        <v>29</v>
      </c>
      <c r="F1954" s="7" t="s">
        <v>240</v>
      </c>
      <c r="G1954" s="7">
        <v>97.936989999999994</v>
      </c>
      <c r="H1954" s="7"/>
    </row>
    <row r="1955" spans="1:8" x14ac:dyDescent="0.35">
      <c r="A1955" s="7" t="s">
        <v>352</v>
      </c>
      <c r="B1955" s="7" t="s">
        <v>26</v>
      </c>
      <c r="C1955" s="7" t="s">
        <v>27</v>
      </c>
      <c r="D1955" s="7" t="s">
        <v>28</v>
      </c>
      <c r="E1955" s="7" t="s">
        <v>29</v>
      </c>
      <c r="F1955" s="7" t="s">
        <v>241</v>
      </c>
      <c r="G1955" s="7">
        <v>98.302809999999994</v>
      </c>
      <c r="H1955" s="7"/>
    </row>
    <row r="1956" spans="1:8" x14ac:dyDescent="0.35">
      <c r="A1956" s="7" t="s">
        <v>352</v>
      </c>
      <c r="B1956" s="7" t="s">
        <v>26</v>
      </c>
      <c r="C1956" s="7" t="s">
        <v>27</v>
      </c>
      <c r="D1956" s="7" t="s">
        <v>28</v>
      </c>
      <c r="E1956" s="7" t="s">
        <v>29</v>
      </c>
      <c r="F1956" s="7" t="s">
        <v>242</v>
      </c>
      <c r="G1956" s="7">
        <v>98.582859999999997</v>
      </c>
      <c r="H1956" s="7"/>
    </row>
    <row r="1957" spans="1:8" x14ac:dyDescent="0.35">
      <c r="A1957" s="7" t="s">
        <v>352</v>
      </c>
      <c r="B1957" s="7" t="s">
        <v>26</v>
      </c>
      <c r="C1957" s="7" t="s">
        <v>27</v>
      </c>
      <c r="D1957" s="7" t="s">
        <v>28</v>
      </c>
      <c r="E1957" s="7" t="s">
        <v>29</v>
      </c>
      <c r="F1957" s="7" t="s">
        <v>243</v>
      </c>
      <c r="G1957" s="7">
        <v>98.81671</v>
      </c>
      <c r="H1957" s="7"/>
    </row>
    <row r="1958" spans="1:8" x14ac:dyDescent="0.35">
      <c r="A1958" s="7" t="s">
        <v>352</v>
      </c>
      <c r="B1958" s="7" t="s">
        <v>26</v>
      </c>
      <c r="C1958" s="7" t="s">
        <v>27</v>
      </c>
      <c r="D1958" s="7" t="s">
        <v>28</v>
      </c>
      <c r="E1958" s="7" t="s">
        <v>29</v>
      </c>
      <c r="F1958" s="7" t="s">
        <v>244</v>
      </c>
      <c r="G1958" s="7">
        <v>99.042789999999997</v>
      </c>
      <c r="H1958" s="7"/>
    </row>
    <row r="1959" spans="1:8" x14ac:dyDescent="0.35">
      <c r="A1959" s="7" t="s">
        <v>352</v>
      </c>
      <c r="B1959" s="7" t="s">
        <v>26</v>
      </c>
      <c r="C1959" s="7" t="s">
        <v>27</v>
      </c>
      <c r="D1959" s="7" t="s">
        <v>28</v>
      </c>
      <c r="E1959" s="7" t="s">
        <v>29</v>
      </c>
      <c r="F1959" s="7" t="s">
        <v>245</v>
      </c>
      <c r="G1959" s="7">
        <v>99.196860000000001</v>
      </c>
      <c r="H1959" s="7"/>
    </row>
    <row r="1960" spans="1:8" x14ac:dyDescent="0.35">
      <c r="A1960" s="7" t="s">
        <v>352</v>
      </c>
      <c r="B1960" s="7" t="s">
        <v>26</v>
      </c>
      <c r="C1960" s="7" t="s">
        <v>27</v>
      </c>
      <c r="D1960" s="7" t="s">
        <v>28</v>
      </c>
      <c r="E1960" s="7" t="s">
        <v>29</v>
      </c>
      <c r="F1960" s="7" t="s">
        <v>246</v>
      </c>
      <c r="G1960" s="7">
        <v>99.288219999999995</v>
      </c>
      <c r="H1960" s="7"/>
    </row>
    <row r="1961" spans="1:8" x14ac:dyDescent="0.35">
      <c r="A1961" s="7" t="s">
        <v>352</v>
      </c>
      <c r="B1961" s="7" t="s">
        <v>26</v>
      </c>
      <c r="C1961" s="7" t="s">
        <v>27</v>
      </c>
      <c r="D1961" s="7" t="s">
        <v>28</v>
      </c>
      <c r="E1961" s="7" t="s">
        <v>29</v>
      </c>
      <c r="F1961" s="7" t="s">
        <v>247</v>
      </c>
      <c r="G1961" s="7">
        <v>99.373270000000005</v>
      </c>
      <c r="H1961" s="7"/>
    </row>
    <row r="1962" spans="1:8" x14ac:dyDescent="0.35">
      <c r="A1962" s="7" t="s">
        <v>352</v>
      </c>
      <c r="B1962" s="7" t="s">
        <v>26</v>
      </c>
      <c r="C1962" s="7" t="s">
        <v>27</v>
      </c>
      <c r="D1962" s="7" t="s">
        <v>28</v>
      </c>
      <c r="E1962" s="7" t="s">
        <v>29</v>
      </c>
      <c r="F1962" s="7" t="s">
        <v>248</v>
      </c>
      <c r="G1962" s="7">
        <v>99.461979999999997</v>
      </c>
      <c r="H1962" s="7"/>
    </row>
    <row r="1963" spans="1:8" x14ac:dyDescent="0.35">
      <c r="A1963" s="7" t="s">
        <v>352</v>
      </c>
      <c r="B1963" s="7" t="s">
        <v>26</v>
      </c>
      <c r="C1963" s="7" t="s">
        <v>27</v>
      </c>
      <c r="D1963" s="7" t="s">
        <v>28</v>
      </c>
      <c r="E1963" s="7" t="s">
        <v>29</v>
      </c>
      <c r="F1963" s="7" t="s">
        <v>249</v>
      </c>
      <c r="G1963" s="7">
        <v>99.546300000000002</v>
      </c>
      <c r="H1963" s="7"/>
    </row>
    <row r="1964" spans="1:8" x14ac:dyDescent="0.35">
      <c r="A1964" s="7" t="s">
        <v>352</v>
      </c>
      <c r="B1964" s="7" t="s">
        <v>26</v>
      </c>
      <c r="C1964" s="7" t="s">
        <v>27</v>
      </c>
      <c r="D1964" s="7" t="s">
        <v>28</v>
      </c>
      <c r="E1964" s="7" t="s">
        <v>29</v>
      </c>
      <c r="F1964" s="7" t="s">
        <v>250</v>
      </c>
      <c r="G1964" s="7">
        <v>99.639719999999997</v>
      </c>
      <c r="H1964" s="7"/>
    </row>
    <row r="1965" spans="1:8" x14ac:dyDescent="0.35">
      <c r="A1965" s="7" t="s">
        <v>352</v>
      </c>
      <c r="B1965" s="7" t="s">
        <v>26</v>
      </c>
      <c r="C1965" s="7" t="s">
        <v>27</v>
      </c>
      <c r="D1965" s="7" t="s">
        <v>28</v>
      </c>
      <c r="E1965" s="7" t="s">
        <v>29</v>
      </c>
      <c r="F1965" s="7" t="s">
        <v>251</v>
      </c>
      <c r="G1965" s="7">
        <v>99.717619999999997</v>
      </c>
      <c r="H1965" s="7"/>
    </row>
    <row r="1966" spans="1:8" x14ac:dyDescent="0.35">
      <c r="A1966" s="7" t="s">
        <v>352</v>
      </c>
      <c r="B1966" s="7" t="s">
        <v>26</v>
      </c>
      <c r="C1966" s="7" t="s">
        <v>27</v>
      </c>
      <c r="D1966" s="7" t="s">
        <v>28</v>
      </c>
      <c r="E1966" s="7" t="s">
        <v>29</v>
      </c>
      <c r="F1966" s="7" t="s">
        <v>252</v>
      </c>
      <c r="G1966" s="7">
        <v>99.723500000000001</v>
      </c>
      <c r="H1966" s="7"/>
    </row>
    <row r="1967" spans="1:8" x14ac:dyDescent="0.35">
      <c r="A1967" s="7" t="s">
        <v>352</v>
      </c>
      <c r="B1967" s="7" t="s">
        <v>26</v>
      </c>
      <c r="C1967" s="7" t="s">
        <v>27</v>
      </c>
      <c r="D1967" s="7" t="s">
        <v>28</v>
      </c>
      <c r="E1967" s="7" t="s">
        <v>29</v>
      </c>
      <c r="F1967" s="7" t="s">
        <v>253</v>
      </c>
      <c r="G1967" s="7">
        <v>99.779179999999997</v>
      </c>
      <c r="H1967" s="7"/>
    </row>
    <row r="1968" spans="1:8" x14ac:dyDescent="0.35">
      <c r="A1968" s="7" t="s">
        <v>352</v>
      </c>
      <c r="B1968" s="7" t="s">
        <v>26</v>
      </c>
      <c r="C1968" s="7" t="s">
        <v>27</v>
      </c>
      <c r="D1968" s="7" t="s">
        <v>28</v>
      </c>
      <c r="E1968" s="7" t="s">
        <v>29</v>
      </c>
      <c r="F1968" s="7" t="s">
        <v>254</v>
      </c>
      <c r="G1968" s="7">
        <v>99.906319999999994</v>
      </c>
      <c r="H1968" s="7"/>
    </row>
    <row r="1969" spans="1:8" x14ac:dyDescent="0.35">
      <c r="A1969" s="7" t="s">
        <v>352</v>
      </c>
      <c r="B1969" s="7" t="s">
        <v>26</v>
      </c>
      <c r="C1969" s="7" t="s">
        <v>27</v>
      </c>
      <c r="D1969" s="7" t="s">
        <v>28</v>
      </c>
      <c r="E1969" s="7" t="s">
        <v>29</v>
      </c>
      <c r="F1969" s="7" t="s">
        <v>255</v>
      </c>
      <c r="G1969" s="7">
        <v>100.0498</v>
      </c>
      <c r="H1969" s="7"/>
    </row>
    <row r="1970" spans="1:8" x14ac:dyDescent="0.35">
      <c r="A1970" s="7" t="s">
        <v>352</v>
      </c>
      <c r="B1970" s="7" t="s">
        <v>26</v>
      </c>
      <c r="C1970" s="7" t="s">
        <v>27</v>
      </c>
      <c r="D1970" s="7" t="s">
        <v>28</v>
      </c>
      <c r="E1970" s="7" t="s">
        <v>29</v>
      </c>
      <c r="F1970" s="7" t="s">
        <v>256</v>
      </c>
      <c r="G1970" s="7">
        <v>100.13379999999999</v>
      </c>
      <c r="H1970" s="7"/>
    </row>
    <row r="1971" spans="1:8" x14ac:dyDescent="0.35">
      <c r="A1971" s="7" t="s">
        <v>352</v>
      </c>
      <c r="B1971" s="7" t="s">
        <v>26</v>
      </c>
      <c r="C1971" s="7" t="s">
        <v>27</v>
      </c>
      <c r="D1971" s="7" t="s">
        <v>28</v>
      </c>
      <c r="E1971" s="7" t="s">
        <v>29</v>
      </c>
      <c r="F1971" s="7" t="s">
        <v>257</v>
      </c>
      <c r="G1971" s="7">
        <v>100.16719999999999</v>
      </c>
      <c r="H1971" s="7"/>
    </row>
    <row r="1972" spans="1:8" x14ac:dyDescent="0.35">
      <c r="A1972" s="7" t="s">
        <v>352</v>
      </c>
      <c r="B1972" s="7" t="s">
        <v>26</v>
      </c>
      <c r="C1972" s="7" t="s">
        <v>27</v>
      </c>
      <c r="D1972" s="7" t="s">
        <v>28</v>
      </c>
      <c r="E1972" s="7" t="s">
        <v>29</v>
      </c>
      <c r="F1972" s="7" t="s">
        <v>258</v>
      </c>
      <c r="G1972" s="7">
        <v>100.1725</v>
      </c>
      <c r="H1972" s="7"/>
    </row>
    <row r="1973" spans="1:8" x14ac:dyDescent="0.35">
      <c r="A1973" s="7" t="s">
        <v>352</v>
      </c>
      <c r="B1973" s="7" t="s">
        <v>26</v>
      </c>
      <c r="C1973" s="7" t="s">
        <v>27</v>
      </c>
      <c r="D1973" s="7" t="s">
        <v>28</v>
      </c>
      <c r="E1973" s="7" t="s">
        <v>29</v>
      </c>
      <c r="F1973" s="7" t="s">
        <v>259</v>
      </c>
      <c r="G1973" s="7">
        <v>100.12730000000001</v>
      </c>
      <c r="H1973" s="7"/>
    </row>
    <row r="1974" spans="1:8" x14ac:dyDescent="0.35">
      <c r="A1974" s="7" t="s">
        <v>352</v>
      </c>
      <c r="B1974" s="7" t="s">
        <v>26</v>
      </c>
      <c r="C1974" s="7" t="s">
        <v>27</v>
      </c>
      <c r="D1974" s="7" t="s">
        <v>28</v>
      </c>
      <c r="E1974" s="7" t="s">
        <v>29</v>
      </c>
      <c r="F1974" s="7" t="s">
        <v>260</v>
      </c>
      <c r="G1974" s="7">
        <v>100.0861</v>
      </c>
      <c r="H1974" s="7"/>
    </row>
    <row r="1975" spans="1:8" x14ac:dyDescent="0.35">
      <c r="A1975" s="7" t="s">
        <v>352</v>
      </c>
      <c r="B1975" s="7" t="s">
        <v>26</v>
      </c>
      <c r="C1975" s="7" t="s">
        <v>27</v>
      </c>
      <c r="D1975" s="7" t="s">
        <v>28</v>
      </c>
      <c r="E1975" s="7" t="s">
        <v>29</v>
      </c>
      <c r="F1975" s="7" t="s">
        <v>261</v>
      </c>
      <c r="G1975" s="7">
        <v>100.0737</v>
      </c>
      <c r="H1975" s="7"/>
    </row>
    <row r="1976" spans="1:8" x14ac:dyDescent="0.35">
      <c r="A1976" s="7" t="s">
        <v>352</v>
      </c>
      <c r="B1976" s="7" t="s">
        <v>26</v>
      </c>
      <c r="C1976" s="7" t="s">
        <v>27</v>
      </c>
      <c r="D1976" s="7" t="s">
        <v>28</v>
      </c>
      <c r="E1976" s="7" t="s">
        <v>29</v>
      </c>
      <c r="F1976" s="7" t="s">
        <v>262</v>
      </c>
      <c r="G1976" s="7">
        <v>100.0592</v>
      </c>
      <c r="H1976" s="7"/>
    </row>
    <row r="1977" spans="1:8" x14ac:dyDescent="0.35">
      <c r="A1977" s="7" t="s">
        <v>352</v>
      </c>
      <c r="B1977" s="7" t="s">
        <v>26</v>
      </c>
      <c r="C1977" s="7" t="s">
        <v>27</v>
      </c>
      <c r="D1977" s="7" t="s">
        <v>28</v>
      </c>
      <c r="E1977" s="7" t="s">
        <v>29</v>
      </c>
      <c r="F1977" s="7" t="s">
        <v>263</v>
      </c>
      <c r="G1977" s="7">
        <v>100.0848</v>
      </c>
      <c r="H1977" s="7"/>
    </row>
    <row r="1978" spans="1:8" x14ac:dyDescent="0.35">
      <c r="A1978" s="7" t="s">
        <v>352</v>
      </c>
      <c r="B1978" s="7" t="s">
        <v>26</v>
      </c>
      <c r="C1978" s="7" t="s">
        <v>27</v>
      </c>
      <c r="D1978" s="7" t="s">
        <v>28</v>
      </c>
      <c r="E1978" s="7" t="s">
        <v>29</v>
      </c>
      <c r="F1978" s="7" t="s">
        <v>264</v>
      </c>
      <c r="G1978" s="7">
        <v>100.1692</v>
      </c>
      <c r="H1978" s="7"/>
    </row>
    <row r="1979" spans="1:8" x14ac:dyDescent="0.35">
      <c r="A1979" s="7" t="s">
        <v>352</v>
      </c>
      <c r="B1979" s="7" t="s">
        <v>26</v>
      </c>
      <c r="C1979" s="7" t="s">
        <v>27</v>
      </c>
      <c r="D1979" s="7" t="s">
        <v>28</v>
      </c>
      <c r="E1979" s="7" t="s">
        <v>29</v>
      </c>
      <c r="F1979" s="7" t="s">
        <v>265</v>
      </c>
      <c r="G1979" s="7">
        <v>100.15130000000001</v>
      </c>
      <c r="H1979" s="7"/>
    </row>
    <row r="1980" spans="1:8" x14ac:dyDescent="0.35">
      <c r="A1980" s="7" t="s">
        <v>352</v>
      </c>
      <c r="B1980" s="7" t="s">
        <v>26</v>
      </c>
      <c r="C1980" s="7" t="s">
        <v>27</v>
      </c>
      <c r="D1980" s="7" t="s">
        <v>28</v>
      </c>
      <c r="E1980" s="7" t="s">
        <v>29</v>
      </c>
      <c r="F1980" s="7" t="s">
        <v>266</v>
      </c>
      <c r="G1980" s="7">
        <v>99.937619999999995</v>
      </c>
      <c r="H1980" s="7"/>
    </row>
    <row r="1981" spans="1:8" x14ac:dyDescent="0.35">
      <c r="A1981" s="7" t="s">
        <v>352</v>
      </c>
      <c r="B1981" s="7" t="s">
        <v>26</v>
      </c>
      <c r="C1981" s="7" t="s">
        <v>27</v>
      </c>
      <c r="D1981" s="7" t="s">
        <v>28</v>
      </c>
      <c r="E1981" s="7" t="s">
        <v>29</v>
      </c>
      <c r="F1981" s="7" t="s">
        <v>267</v>
      </c>
      <c r="G1981" s="7">
        <v>99.580280000000002</v>
      </c>
      <c r="H1981" s="7"/>
    </row>
    <row r="1982" spans="1:8" x14ac:dyDescent="0.35">
      <c r="A1982" s="7" t="s">
        <v>352</v>
      </c>
      <c r="B1982" s="7" t="s">
        <v>26</v>
      </c>
      <c r="C1982" s="7" t="s">
        <v>27</v>
      </c>
      <c r="D1982" s="7" t="s">
        <v>28</v>
      </c>
      <c r="E1982" s="7" t="s">
        <v>29</v>
      </c>
      <c r="F1982" s="7" t="s">
        <v>268</v>
      </c>
      <c r="G1982" s="7">
        <v>99.257300000000001</v>
      </c>
      <c r="H1982" s="7"/>
    </row>
    <row r="1983" spans="1:8" x14ac:dyDescent="0.35">
      <c r="A1983" s="7" t="s">
        <v>352</v>
      </c>
      <c r="B1983" s="7" t="s">
        <v>26</v>
      </c>
      <c r="C1983" s="7" t="s">
        <v>27</v>
      </c>
      <c r="D1983" s="7" t="s">
        <v>28</v>
      </c>
      <c r="E1983" s="7" t="s">
        <v>29</v>
      </c>
      <c r="F1983" s="7" t="s">
        <v>269</v>
      </c>
      <c r="G1983" s="7">
        <v>99.028959999999998</v>
      </c>
      <c r="H1983" s="7"/>
    </row>
    <row r="1984" spans="1:8" x14ac:dyDescent="0.35">
      <c r="A1984" s="7" t="s">
        <v>352</v>
      </c>
      <c r="B1984" s="7" t="s">
        <v>26</v>
      </c>
      <c r="C1984" s="7" t="s">
        <v>27</v>
      </c>
      <c r="D1984" s="7" t="s">
        <v>28</v>
      </c>
      <c r="E1984" s="7" t="s">
        <v>29</v>
      </c>
      <c r="F1984" s="7" t="s">
        <v>270</v>
      </c>
      <c r="G1984" s="7">
        <v>98.924300000000002</v>
      </c>
      <c r="H1984" s="7"/>
    </row>
    <row r="1985" spans="1:8" x14ac:dyDescent="0.35">
      <c r="A1985" s="7" t="s">
        <v>352</v>
      </c>
      <c r="B1985" s="7" t="s">
        <v>26</v>
      </c>
      <c r="C1985" s="7" t="s">
        <v>27</v>
      </c>
      <c r="D1985" s="7" t="s">
        <v>28</v>
      </c>
      <c r="E1985" s="7" t="s">
        <v>29</v>
      </c>
      <c r="F1985" s="7" t="s">
        <v>271</v>
      </c>
      <c r="G1985" s="7">
        <v>98.898929999999993</v>
      </c>
      <c r="H1985" s="7"/>
    </row>
    <row r="1986" spans="1:8" x14ac:dyDescent="0.35">
      <c r="A1986" s="7" t="s">
        <v>352</v>
      </c>
      <c r="B1986" s="7" t="s">
        <v>26</v>
      </c>
      <c r="C1986" s="7" t="s">
        <v>27</v>
      </c>
      <c r="D1986" s="7" t="s">
        <v>28</v>
      </c>
      <c r="E1986" s="7" t="s">
        <v>29</v>
      </c>
      <c r="F1986" s="7" t="s">
        <v>272</v>
      </c>
      <c r="G1986" s="7">
        <v>98.959029999999998</v>
      </c>
      <c r="H1986" s="7"/>
    </row>
    <row r="1987" spans="1:8" x14ac:dyDescent="0.35">
      <c r="A1987" s="7" t="s">
        <v>352</v>
      </c>
      <c r="B1987" s="7" t="s">
        <v>26</v>
      </c>
      <c r="C1987" s="7" t="s">
        <v>27</v>
      </c>
      <c r="D1987" s="7" t="s">
        <v>28</v>
      </c>
      <c r="E1987" s="7" t="s">
        <v>29</v>
      </c>
      <c r="F1987" s="7" t="s">
        <v>273</v>
      </c>
      <c r="G1987" s="7">
        <v>99.040629999999993</v>
      </c>
      <c r="H1987" s="7"/>
    </row>
    <row r="1988" spans="1:8" x14ac:dyDescent="0.35">
      <c r="A1988" s="7" t="s">
        <v>352</v>
      </c>
      <c r="B1988" s="7" t="s">
        <v>26</v>
      </c>
      <c r="C1988" s="7" t="s">
        <v>27</v>
      </c>
      <c r="D1988" s="7" t="s">
        <v>28</v>
      </c>
      <c r="E1988" s="7" t="s">
        <v>29</v>
      </c>
      <c r="F1988" s="7" t="s">
        <v>274</v>
      </c>
      <c r="G1988" s="7">
        <v>99.079890000000006</v>
      </c>
      <c r="H1988" s="7"/>
    </row>
    <row r="1989" spans="1:8" x14ac:dyDescent="0.35">
      <c r="A1989" s="7" t="s">
        <v>352</v>
      </c>
      <c r="B1989" s="7" t="s">
        <v>26</v>
      </c>
      <c r="C1989" s="7" t="s">
        <v>27</v>
      </c>
      <c r="D1989" s="7" t="s">
        <v>28</v>
      </c>
      <c r="E1989" s="7" t="s">
        <v>29</v>
      </c>
      <c r="F1989" s="7" t="s">
        <v>275</v>
      </c>
      <c r="G1989" s="7">
        <v>99.054249999999996</v>
      </c>
      <c r="H1989" s="7"/>
    </row>
    <row r="1990" spans="1:8" x14ac:dyDescent="0.35">
      <c r="A1990" s="7" t="s">
        <v>352</v>
      </c>
      <c r="B1990" s="7" t="s">
        <v>26</v>
      </c>
      <c r="C1990" s="7" t="s">
        <v>27</v>
      </c>
      <c r="D1990" s="7" t="s">
        <v>28</v>
      </c>
      <c r="E1990" s="7" t="s">
        <v>29</v>
      </c>
      <c r="F1990" s="7" t="s">
        <v>276</v>
      </c>
      <c r="G1990" s="7">
        <v>99.033990000000003</v>
      </c>
      <c r="H1990" s="7"/>
    </row>
    <row r="1991" spans="1:8" x14ac:dyDescent="0.35">
      <c r="A1991" s="7" t="s">
        <v>352</v>
      </c>
      <c r="B1991" s="7" t="s">
        <v>26</v>
      </c>
      <c r="C1991" s="7" t="s">
        <v>27</v>
      </c>
      <c r="D1991" s="7" t="s">
        <v>28</v>
      </c>
      <c r="E1991" s="7" t="s">
        <v>29</v>
      </c>
      <c r="F1991" s="7" t="s">
        <v>277</v>
      </c>
      <c r="G1991" s="7">
        <v>98.971180000000004</v>
      </c>
      <c r="H1991" s="7"/>
    </row>
    <row r="1992" spans="1:8" x14ac:dyDescent="0.35">
      <c r="A1992" s="7" t="s">
        <v>352</v>
      </c>
      <c r="B1992" s="7" t="s">
        <v>26</v>
      </c>
      <c r="C1992" s="7" t="s">
        <v>27</v>
      </c>
      <c r="D1992" s="7" t="s">
        <v>28</v>
      </c>
      <c r="E1992" s="7" t="s">
        <v>29</v>
      </c>
      <c r="F1992" s="7" t="s">
        <v>278</v>
      </c>
      <c r="G1992" s="7">
        <v>98.8429</v>
      </c>
      <c r="H1992" s="7"/>
    </row>
    <row r="1993" spans="1:8" x14ac:dyDescent="0.35">
      <c r="A1993" s="7" t="s">
        <v>352</v>
      </c>
      <c r="B1993" s="7" t="s">
        <v>26</v>
      </c>
      <c r="C1993" s="7" t="s">
        <v>27</v>
      </c>
      <c r="D1993" s="7" t="s">
        <v>28</v>
      </c>
      <c r="E1993" s="7" t="s">
        <v>29</v>
      </c>
      <c r="F1993" s="7" t="s">
        <v>279</v>
      </c>
      <c r="G1993" s="7">
        <v>98.630520000000004</v>
      </c>
      <c r="H1993" s="7"/>
    </row>
    <row r="1994" spans="1:8" x14ac:dyDescent="0.35">
      <c r="A1994" s="7" t="s">
        <v>352</v>
      </c>
      <c r="B1994" s="7" t="s">
        <v>26</v>
      </c>
      <c r="C1994" s="7" t="s">
        <v>27</v>
      </c>
      <c r="D1994" s="7" t="s">
        <v>28</v>
      </c>
      <c r="E1994" s="7" t="s">
        <v>29</v>
      </c>
      <c r="F1994" s="7" t="s">
        <v>280</v>
      </c>
      <c r="G1994" s="7">
        <v>98.442409999999995</v>
      </c>
      <c r="H1994" s="7"/>
    </row>
    <row r="1995" spans="1:8" x14ac:dyDescent="0.35">
      <c r="A1995" s="7" t="s">
        <v>352</v>
      </c>
      <c r="B1995" s="7" t="s">
        <v>26</v>
      </c>
      <c r="C1995" s="7" t="s">
        <v>27</v>
      </c>
      <c r="D1995" s="7" t="s">
        <v>28</v>
      </c>
      <c r="E1995" s="7" t="s">
        <v>29</v>
      </c>
      <c r="F1995" s="7" t="s">
        <v>281</v>
      </c>
      <c r="G1995" s="7">
        <v>98.350740000000002</v>
      </c>
      <c r="H1995" s="7"/>
    </row>
    <row r="1996" spans="1:8" x14ac:dyDescent="0.35">
      <c r="A1996" s="7" t="s">
        <v>352</v>
      </c>
      <c r="B1996" s="7" t="s">
        <v>26</v>
      </c>
      <c r="C1996" s="7" t="s">
        <v>27</v>
      </c>
      <c r="D1996" s="7" t="s">
        <v>28</v>
      </c>
      <c r="E1996" s="7" t="s">
        <v>29</v>
      </c>
      <c r="F1996" s="7" t="s">
        <v>282</v>
      </c>
      <c r="G1996" s="7">
        <v>98.375079999999997</v>
      </c>
      <c r="H1996" s="7"/>
    </row>
    <row r="1997" spans="1:8" x14ac:dyDescent="0.35">
      <c r="A1997" s="7" t="s">
        <v>352</v>
      </c>
      <c r="B1997" s="7" t="s">
        <v>26</v>
      </c>
      <c r="C1997" s="7" t="s">
        <v>27</v>
      </c>
      <c r="D1997" s="7" t="s">
        <v>28</v>
      </c>
      <c r="E1997" s="7" t="s">
        <v>29</v>
      </c>
      <c r="F1997" s="7" t="s">
        <v>283</v>
      </c>
      <c r="G1997" s="7">
        <v>98.467209999999994</v>
      </c>
      <c r="H1997" s="7"/>
    </row>
    <row r="1998" spans="1:8" x14ac:dyDescent="0.35">
      <c r="A1998" s="7" t="s">
        <v>352</v>
      </c>
      <c r="B1998" s="7" t="s">
        <v>26</v>
      </c>
      <c r="C1998" s="7" t="s">
        <v>27</v>
      </c>
      <c r="D1998" s="7" t="s">
        <v>28</v>
      </c>
      <c r="E1998" s="7" t="s">
        <v>29</v>
      </c>
      <c r="F1998" s="7" t="s">
        <v>284</v>
      </c>
      <c r="G1998" s="7">
        <v>98.614999999999995</v>
      </c>
      <c r="H1998" s="7"/>
    </row>
    <row r="1999" spans="1:8" x14ac:dyDescent="0.35">
      <c r="A1999" s="7" t="s">
        <v>352</v>
      </c>
      <c r="B1999" s="7" t="s">
        <v>26</v>
      </c>
      <c r="C1999" s="7" t="s">
        <v>27</v>
      </c>
      <c r="D1999" s="7" t="s">
        <v>28</v>
      </c>
      <c r="E1999" s="7" t="s">
        <v>29</v>
      </c>
      <c r="F1999" s="7" t="s">
        <v>285</v>
      </c>
      <c r="G1999" s="7">
        <v>98.731369999999998</v>
      </c>
      <c r="H1999" s="7"/>
    </row>
    <row r="2000" spans="1:8" x14ac:dyDescent="0.35">
      <c r="A2000" s="7" t="s">
        <v>352</v>
      </c>
      <c r="B2000" s="7" t="s">
        <v>26</v>
      </c>
      <c r="C2000" s="7" t="s">
        <v>27</v>
      </c>
      <c r="D2000" s="7" t="s">
        <v>28</v>
      </c>
      <c r="E2000" s="7" t="s">
        <v>29</v>
      </c>
      <c r="F2000" s="7" t="s">
        <v>286</v>
      </c>
      <c r="G2000" s="7">
        <v>98.81635</v>
      </c>
      <c r="H2000" s="7"/>
    </row>
    <row r="2001" spans="1:8" x14ac:dyDescent="0.35">
      <c r="A2001" s="7" t="s">
        <v>352</v>
      </c>
      <c r="B2001" s="7" t="s">
        <v>26</v>
      </c>
      <c r="C2001" s="7" t="s">
        <v>27</v>
      </c>
      <c r="D2001" s="7" t="s">
        <v>28</v>
      </c>
      <c r="E2001" s="7" t="s">
        <v>29</v>
      </c>
      <c r="F2001" s="7" t="s">
        <v>287</v>
      </c>
      <c r="G2001" s="7">
        <v>98.933070000000001</v>
      </c>
      <c r="H2001" s="7"/>
    </row>
    <row r="2002" spans="1:8" x14ac:dyDescent="0.35">
      <c r="A2002" s="7" t="s">
        <v>352</v>
      </c>
      <c r="B2002" s="7" t="s">
        <v>26</v>
      </c>
      <c r="C2002" s="7" t="s">
        <v>27</v>
      </c>
      <c r="D2002" s="7" t="s">
        <v>28</v>
      </c>
      <c r="E2002" s="7" t="s">
        <v>29</v>
      </c>
      <c r="F2002" s="7" t="s">
        <v>288</v>
      </c>
      <c r="G2002" s="7">
        <v>99.105649999999997</v>
      </c>
      <c r="H2002" s="7"/>
    </row>
    <row r="2003" spans="1:8" x14ac:dyDescent="0.35">
      <c r="A2003" s="7" t="s">
        <v>352</v>
      </c>
      <c r="B2003" s="7" t="s">
        <v>26</v>
      </c>
      <c r="C2003" s="7" t="s">
        <v>27</v>
      </c>
      <c r="D2003" s="7" t="s">
        <v>28</v>
      </c>
      <c r="E2003" s="7" t="s">
        <v>29</v>
      </c>
      <c r="F2003" s="7" t="s">
        <v>289</v>
      </c>
      <c r="G2003" s="7">
        <v>99.365560000000002</v>
      </c>
      <c r="H2003" s="7"/>
    </row>
    <row r="2004" spans="1:8" x14ac:dyDescent="0.35">
      <c r="A2004" s="7" t="s">
        <v>352</v>
      </c>
      <c r="B2004" s="7" t="s">
        <v>26</v>
      </c>
      <c r="C2004" s="7" t="s">
        <v>27</v>
      </c>
      <c r="D2004" s="7" t="s">
        <v>28</v>
      </c>
      <c r="E2004" s="7" t="s">
        <v>29</v>
      </c>
      <c r="F2004" s="7" t="s">
        <v>290</v>
      </c>
      <c r="G2004" s="7">
        <v>99.630080000000007</v>
      </c>
      <c r="H2004" s="7"/>
    </row>
    <row r="2005" spans="1:8" x14ac:dyDescent="0.35">
      <c r="A2005" s="7" t="s">
        <v>352</v>
      </c>
      <c r="B2005" s="7" t="s">
        <v>26</v>
      </c>
      <c r="C2005" s="7" t="s">
        <v>27</v>
      </c>
      <c r="D2005" s="7" t="s">
        <v>28</v>
      </c>
      <c r="E2005" s="7" t="s">
        <v>29</v>
      </c>
      <c r="F2005" s="7" t="s">
        <v>291</v>
      </c>
      <c r="G2005" s="7">
        <v>99.812820000000002</v>
      </c>
      <c r="H2005" s="7"/>
    </row>
    <row r="2006" spans="1:8" x14ac:dyDescent="0.35">
      <c r="A2006" s="7" t="s">
        <v>352</v>
      </c>
      <c r="B2006" s="7" t="s">
        <v>26</v>
      </c>
      <c r="C2006" s="7" t="s">
        <v>27</v>
      </c>
      <c r="D2006" s="7" t="s">
        <v>28</v>
      </c>
      <c r="E2006" s="7" t="s">
        <v>29</v>
      </c>
      <c r="F2006" s="7" t="s">
        <v>292</v>
      </c>
      <c r="G2006" s="7">
        <v>99.903639999999996</v>
      </c>
      <c r="H2006" s="7"/>
    </row>
    <row r="2007" spans="1:8" x14ac:dyDescent="0.35">
      <c r="A2007" s="7" t="s">
        <v>352</v>
      </c>
      <c r="B2007" s="7" t="s">
        <v>26</v>
      </c>
      <c r="C2007" s="7" t="s">
        <v>27</v>
      </c>
      <c r="D2007" s="7" t="s">
        <v>28</v>
      </c>
      <c r="E2007" s="7" t="s">
        <v>29</v>
      </c>
      <c r="F2007" s="7" t="s">
        <v>293</v>
      </c>
      <c r="G2007" s="7">
        <v>99.959810000000004</v>
      </c>
      <c r="H2007" s="7"/>
    </row>
    <row r="2008" spans="1:8" x14ac:dyDescent="0.35">
      <c r="A2008" s="7" t="s">
        <v>352</v>
      </c>
      <c r="B2008" s="7" t="s">
        <v>26</v>
      </c>
      <c r="C2008" s="7" t="s">
        <v>27</v>
      </c>
      <c r="D2008" s="7" t="s">
        <v>28</v>
      </c>
      <c r="E2008" s="7" t="s">
        <v>29</v>
      </c>
      <c r="F2008" s="7" t="s">
        <v>294</v>
      </c>
      <c r="G2008" s="7">
        <v>100.00960000000001</v>
      </c>
      <c r="H2008" s="7"/>
    </row>
    <row r="2009" spans="1:8" x14ac:dyDescent="0.35">
      <c r="A2009" s="7" t="s">
        <v>352</v>
      </c>
      <c r="B2009" s="7" t="s">
        <v>26</v>
      </c>
      <c r="C2009" s="7" t="s">
        <v>27</v>
      </c>
      <c r="D2009" s="7" t="s">
        <v>28</v>
      </c>
      <c r="E2009" s="7" t="s">
        <v>29</v>
      </c>
      <c r="F2009" s="7" t="s">
        <v>295</v>
      </c>
      <c r="G2009" s="7">
        <v>100.0776</v>
      </c>
      <c r="H2009" s="7"/>
    </row>
    <row r="2010" spans="1:8" x14ac:dyDescent="0.35">
      <c r="A2010" s="7" t="s">
        <v>352</v>
      </c>
      <c r="B2010" s="7" t="s">
        <v>26</v>
      </c>
      <c r="C2010" s="7" t="s">
        <v>27</v>
      </c>
      <c r="D2010" s="7" t="s">
        <v>28</v>
      </c>
      <c r="E2010" s="7" t="s">
        <v>29</v>
      </c>
      <c r="F2010" s="7" t="s">
        <v>296</v>
      </c>
      <c r="G2010" s="7">
        <v>100.1708</v>
      </c>
      <c r="H2010" s="7"/>
    </row>
    <row r="2011" spans="1:8" x14ac:dyDescent="0.35">
      <c r="A2011" s="7" t="s">
        <v>352</v>
      </c>
      <c r="B2011" s="7" t="s">
        <v>26</v>
      </c>
      <c r="C2011" s="7" t="s">
        <v>27</v>
      </c>
      <c r="D2011" s="7" t="s">
        <v>28</v>
      </c>
      <c r="E2011" s="7" t="s">
        <v>29</v>
      </c>
      <c r="F2011" s="7" t="s">
        <v>297</v>
      </c>
      <c r="G2011" s="7">
        <v>100.2842</v>
      </c>
      <c r="H2011" s="7"/>
    </row>
    <row r="2012" spans="1:8" x14ac:dyDescent="0.35">
      <c r="A2012" s="7" t="s">
        <v>352</v>
      </c>
      <c r="B2012" s="7" t="s">
        <v>26</v>
      </c>
      <c r="C2012" s="7" t="s">
        <v>27</v>
      </c>
      <c r="D2012" s="7" t="s">
        <v>28</v>
      </c>
      <c r="E2012" s="7" t="s">
        <v>29</v>
      </c>
      <c r="F2012" s="7" t="s">
        <v>298</v>
      </c>
      <c r="G2012" s="7">
        <v>100.5104</v>
      </c>
      <c r="H2012" s="7"/>
    </row>
    <row r="2013" spans="1:8" x14ac:dyDescent="0.35">
      <c r="A2013" s="7" t="s">
        <v>352</v>
      </c>
      <c r="B2013" s="7" t="s">
        <v>26</v>
      </c>
      <c r="C2013" s="7" t="s">
        <v>27</v>
      </c>
      <c r="D2013" s="7" t="s">
        <v>28</v>
      </c>
      <c r="E2013" s="7" t="s">
        <v>29</v>
      </c>
      <c r="F2013" s="7" t="s">
        <v>299</v>
      </c>
      <c r="G2013" s="7">
        <v>100.738</v>
      </c>
      <c r="H2013" s="7"/>
    </row>
    <row r="2014" spans="1:8" x14ac:dyDescent="0.35">
      <c r="A2014" s="7" t="s">
        <v>352</v>
      </c>
      <c r="B2014" s="7" t="s">
        <v>26</v>
      </c>
      <c r="C2014" s="7" t="s">
        <v>27</v>
      </c>
      <c r="D2014" s="7" t="s">
        <v>28</v>
      </c>
      <c r="E2014" s="7" t="s">
        <v>29</v>
      </c>
      <c r="F2014" s="7" t="s">
        <v>300</v>
      </c>
      <c r="G2014" s="7">
        <v>100.8571</v>
      </c>
      <c r="H2014" s="7"/>
    </row>
    <row r="2015" spans="1:8" x14ac:dyDescent="0.35">
      <c r="A2015" s="7" t="s">
        <v>352</v>
      </c>
      <c r="B2015" s="7" t="s">
        <v>26</v>
      </c>
      <c r="C2015" s="7" t="s">
        <v>27</v>
      </c>
      <c r="D2015" s="7" t="s">
        <v>28</v>
      </c>
      <c r="E2015" s="7" t="s">
        <v>29</v>
      </c>
      <c r="F2015" s="7" t="s">
        <v>301</v>
      </c>
      <c r="G2015" s="7">
        <v>100.8365</v>
      </c>
      <c r="H2015" s="7"/>
    </row>
    <row r="2016" spans="1:8" x14ac:dyDescent="0.35">
      <c r="A2016" s="7" t="s">
        <v>352</v>
      </c>
      <c r="B2016" s="7" t="s">
        <v>26</v>
      </c>
      <c r="C2016" s="7" t="s">
        <v>27</v>
      </c>
      <c r="D2016" s="7" t="s">
        <v>28</v>
      </c>
      <c r="E2016" s="7" t="s">
        <v>29</v>
      </c>
      <c r="F2016" s="7" t="s">
        <v>302</v>
      </c>
      <c r="G2016" s="7">
        <v>100.7242</v>
      </c>
      <c r="H2016" s="7"/>
    </row>
    <row r="2017" spans="1:8" x14ac:dyDescent="0.35">
      <c r="A2017" s="7" t="s">
        <v>352</v>
      </c>
      <c r="B2017" s="7" t="s">
        <v>26</v>
      </c>
      <c r="C2017" s="7" t="s">
        <v>27</v>
      </c>
      <c r="D2017" s="7" t="s">
        <v>28</v>
      </c>
      <c r="E2017" s="7" t="s">
        <v>29</v>
      </c>
      <c r="F2017" s="7" t="s">
        <v>303</v>
      </c>
      <c r="G2017" s="7">
        <v>100.5689</v>
      </c>
      <c r="H2017" s="7"/>
    </row>
    <row r="2018" spans="1:8" x14ac:dyDescent="0.35">
      <c r="A2018" s="7" t="s">
        <v>352</v>
      </c>
      <c r="B2018" s="7" t="s">
        <v>26</v>
      </c>
      <c r="C2018" s="7" t="s">
        <v>27</v>
      </c>
      <c r="D2018" s="7" t="s">
        <v>28</v>
      </c>
      <c r="E2018" s="7" t="s">
        <v>29</v>
      </c>
      <c r="F2018" s="7" t="s">
        <v>304</v>
      </c>
      <c r="G2018" s="7">
        <v>100.4183</v>
      </c>
      <c r="H2018" s="7"/>
    </row>
    <row r="2019" spans="1:8" x14ac:dyDescent="0.35">
      <c r="A2019" s="7" t="s">
        <v>352</v>
      </c>
      <c r="B2019" s="7" t="s">
        <v>26</v>
      </c>
      <c r="C2019" s="7" t="s">
        <v>27</v>
      </c>
      <c r="D2019" s="7" t="s">
        <v>28</v>
      </c>
      <c r="E2019" s="7" t="s">
        <v>29</v>
      </c>
      <c r="F2019" s="7" t="s">
        <v>305</v>
      </c>
      <c r="G2019" s="7">
        <v>100.3109</v>
      </c>
      <c r="H2019" s="7"/>
    </row>
    <row r="2020" spans="1:8" x14ac:dyDescent="0.35">
      <c r="A2020" s="7" t="s">
        <v>352</v>
      </c>
      <c r="B2020" s="7" t="s">
        <v>26</v>
      </c>
      <c r="C2020" s="7" t="s">
        <v>27</v>
      </c>
      <c r="D2020" s="7" t="s">
        <v>28</v>
      </c>
      <c r="E2020" s="7" t="s">
        <v>29</v>
      </c>
      <c r="F2020" s="7" t="s">
        <v>306</v>
      </c>
      <c r="G2020" s="7">
        <v>100.2577</v>
      </c>
      <c r="H2020" s="7"/>
    </row>
    <row r="2021" spans="1:8" x14ac:dyDescent="0.35">
      <c r="A2021" s="7" t="s">
        <v>352</v>
      </c>
      <c r="B2021" s="7" t="s">
        <v>26</v>
      </c>
      <c r="C2021" s="7" t="s">
        <v>27</v>
      </c>
      <c r="D2021" s="7" t="s">
        <v>28</v>
      </c>
      <c r="E2021" s="7" t="s">
        <v>29</v>
      </c>
      <c r="F2021" s="7" t="s">
        <v>307</v>
      </c>
      <c r="G2021" s="7">
        <v>100.3108</v>
      </c>
      <c r="H2021" s="7"/>
    </row>
    <row r="2022" spans="1:8" x14ac:dyDescent="0.35">
      <c r="A2022" s="7" t="s">
        <v>352</v>
      </c>
      <c r="B2022" s="7" t="s">
        <v>26</v>
      </c>
      <c r="C2022" s="7" t="s">
        <v>27</v>
      </c>
      <c r="D2022" s="7" t="s">
        <v>28</v>
      </c>
      <c r="E2022" s="7" t="s">
        <v>29</v>
      </c>
      <c r="F2022" s="7" t="s">
        <v>308</v>
      </c>
      <c r="G2022" s="7">
        <v>100.4552</v>
      </c>
      <c r="H2022" s="7"/>
    </row>
    <row r="2023" spans="1:8" x14ac:dyDescent="0.35">
      <c r="A2023" s="7" t="s">
        <v>352</v>
      </c>
      <c r="B2023" s="7" t="s">
        <v>26</v>
      </c>
      <c r="C2023" s="7" t="s">
        <v>27</v>
      </c>
      <c r="D2023" s="7" t="s">
        <v>28</v>
      </c>
      <c r="E2023" s="7" t="s">
        <v>29</v>
      </c>
      <c r="F2023" s="7" t="s">
        <v>309</v>
      </c>
      <c r="G2023" s="7">
        <v>100.6152</v>
      </c>
      <c r="H2023" s="7"/>
    </row>
    <row r="2024" spans="1:8" x14ac:dyDescent="0.35">
      <c r="A2024" s="7" t="s">
        <v>352</v>
      </c>
      <c r="B2024" s="7" t="s">
        <v>26</v>
      </c>
      <c r="C2024" s="7" t="s">
        <v>27</v>
      </c>
      <c r="D2024" s="7" t="s">
        <v>28</v>
      </c>
      <c r="E2024" s="7" t="s">
        <v>29</v>
      </c>
      <c r="F2024" s="7" t="s">
        <v>310</v>
      </c>
      <c r="G2024" s="7">
        <v>100.72799999999999</v>
      </c>
      <c r="H2024" s="7"/>
    </row>
    <row r="2025" spans="1:8" x14ac:dyDescent="0.35">
      <c r="A2025" s="7" t="s">
        <v>352</v>
      </c>
      <c r="B2025" s="7" t="s">
        <v>26</v>
      </c>
      <c r="C2025" s="7" t="s">
        <v>27</v>
      </c>
      <c r="D2025" s="7" t="s">
        <v>28</v>
      </c>
      <c r="E2025" s="7" t="s">
        <v>29</v>
      </c>
      <c r="F2025" s="7" t="s">
        <v>311</v>
      </c>
      <c r="G2025" s="7">
        <v>100.7418</v>
      </c>
      <c r="H2025" s="7"/>
    </row>
    <row r="2026" spans="1:8" x14ac:dyDescent="0.35">
      <c r="A2026" s="7" t="s">
        <v>352</v>
      </c>
      <c r="B2026" s="7" t="s">
        <v>26</v>
      </c>
      <c r="C2026" s="7" t="s">
        <v>27</v>
      </c>
      <c r="D2026" s="7" t="s">
        <v>28</v>
      </c>
      <c r="E2026" s="7" t="s">
        <v>29</v>
      </c>
      <c r="F2026" s="7" t="s">
        <v>312</v>
      </c>
      <c r="G2026" s="7">
        <v>100.673</v>
      </c>
      <c r="H2026" s="7"/>
    </row>
    <row r="2027" spans="1:8" x14ac:dyDescent="0.35">
      <c r="A2027" s="7" t="s">
        <v>352</v>
      </c>
      <c r="B2027" s="7" t="s">
        <v>26</v>
      </c>
      <c r="C2027" s="7" t="s">
        <v>27</v>
      </c>
      <c r="D2027" s="7" t="s">
        <v>28</v>
      </c>
      <c r="E2027" s="7" t="s">
        <v>29</v>
      </c>
      <c r="F2027" s="7" t="s">
        <v>313</v>
      </c>
      <c r="G2027" s="7">
        <v>100.5929</v>
      </c>
      <c r="H2027" s="7"/>
    </row>
    <row r="2028" spans="1:8" x14ac:dyDescent="0.35">
      <c r="A2028" s="7" t="s">
        <v>352</v>
      </c>
      <c r="B2028" s="7" t="s">
        <v>26</v>
      </c>
      <c r="C2028" s="7" t="s">
        <v>27</v>
      </c>
      <c r="D2028" s="7" t="s">
        <v>28</v>
      </c>
      <c r="E2028" s="7" t="s">
        <v>29</v>
      </c>
      <c r="F2028" s="7" t="s">
        <v>314</v>
      </c>
      <c r="G2028" s="7">
        <v>100.4606</v>
      </c>
      <c r="H2028" s="7"/>
    </row>
    <row r="2029" spans="1:8" x14ac:dyDescent="0.35">
      <c r="A2029" s="7" t="s">
        <v>352</v>
      </c>
      <c r="B2029" s="7" t="s">
        <v>26</v>
      </c>
      <c r="C2029" s="7" t="s">
        <v>27</v>
      </c>
      <c r="D2029" s="7" t="s">
        <v>28</v>
      </c>
      <c r="E2029" s="7" t="s">
        <v>29</v>
      </c>
      <c r="F2029" s="7" t="s">
        <v>315</v>
      </c>
      <c r="G2029" s="7">
        <v>100.35209999999999</v>
      </c>
      <c r="H2029" s="7"/>
    </row>
    <row r="2030" spans="1:8" x14ac:dyDescent="0.35">
      <c r="A2030" s="7" t="s">
        <v>352</v>
      </c>
      <c r="B2030" s="7" t="s">
        <v>26</v>
      </c>
      <c r="C2030" s="7" t="s">
        <v>27</v>
      </c>
      <c r="D2030" s="7" t="s">
        <v>28</v>
      </c>
      <c r="E2030" s="7" t="s">
        <v>29</v>
      </c>
      <c r="F2030" s="7" t="s">
        <v>316</v>
      </c>
      <c r="G2030" s="7">
        <v>100.31780000000001</v>
      </c>
      <c r="H2030" s="7"/>
    </row>
    <row r="2031" spans="1:8" x14ac:dyDescent="0.35">
      <c r="A2031" s="7" t="s">
        <v>352</v>
      </c>
      <c r="B2031" s="7" t="s">
        <v>26</v>
      </c>
      <c r="C2031" s="7" t="s">
        <v>27</v>
      </c>
      <c r="D2031" s="7" t="s">
        <v>28</v>
      </c>
      <c r="E2031" s="7" t="s">
        <v>29</v>
      </c>
      <c r="F2031" s="7" t="s">
        <v>317</v>
      </c>
      <c r="G2031" s="7">
        <v>100.4473</v>
      </c>
      <c r="H2031" s="7"/>
    </row>
    <row r="2032" spans="1:8" x14ac:dyDescent="0.35">
      <c r="A2032" s="7" t="s">
        <v>352</v>
      </c>
      <c r="B2032" s="7" t="s">
        <v>26</v>
      </c>
      <c r="C2032" s="7" t="s">
        <v>27</v>
      </c>
      <c r="D2032" s="7" t="s">
        <v>28</v>
      </c>
      <c r="E2032" s="7" t="s">
        <v>29</v>
      </c>
      <c r="F2032" s="7" t="s">
        <v>318</v>
      </c>
      <c r="G2032" s="7">
        <v>100.6649</v>
      </c>
      <c r="H2032" s="7"/>
    </row>
    <row r="2033" spans="1:8" x14ac:dyDescent="0.35">
      <c r="A2033" s="7" t="s">
        <v>352</v>
      </c>
      <c r="B2033" s="7" t="s">
        <v>26</v>
      </c>
      <c r="C2033" s="7" t="s">
        <v>27</v>
      </c>
      <c r="D2033" s="7" t="s">
        <v>28</v>
      </c>
      <c r="E2033" s="7" t="s">
        <v>29</v>
      </c>
      <c r="F2033" s="7" t="s">
        <v>319</v>
      </c>
      <c r="G2033" s="7">
        <v>100.742</v>
      </c>
      <c r="H2033" s="7"/>
    </row>
    <row r="2034" spans="1:8" x14ac:dyDescent="0.35">
      <c r="A2034" s="7" t="s">
        <v>352</v>
      </c>
      <c r="B2034" s="7" t="s">
        <v>26</v>
      </c>
      <c r="C2034" s="7" t="s">
        <v>27</v>
      </c>
      <c r="D2034" s="7" t="s">
        <v>28</v>
      </c>
      <c r="E2034" s="7" t="s">
        <v>29</v>
      </c>
      <c r="F2034" s="7" t="s">
        <v>320</v>
      </c>
      <c r="G2034" s="7">
        <v>100.64749999999999</v>
      </c>
      <c r="H2034" s="7"/>
    </row>
    <row r="2035" spans="1:8" x14ac:dyDescent="0.35">
      <c r="A2035" s="7" t="s">
        <v>352</v>
      </c>
      <c r="B2035" s="7" t="s">
        <v>26</v>
      </c>
      <c r="C2035" s="7" t="s">
        <v>27</v>
      </c>
      <c r="D2035" s="7" t="s">
        <v>28</v>
      </c>
      <c r="E2035" s="7" t="s">
        <v>29</v>
      </c>
      <c r="F2035" s="7" t="s">
        <v>321</v>
      </c>
      <c r="G2035" s="7">
        <v>100.4571</v>
      </c>
      <c r="H2035" s="7"/>
    </row>
    <row r="2036" spans="1:8" x14ac:dyDescent="0.35">
      <c r="A2036" s="7" t="s">
        <v>352</v>
      </c>
      <c r="B2036" s="7" t="s">
        <v>26</v>
      </c>
      <c r="C2036" s="7" t="s">
        <v>27</v>
      </c>
      <c r="D2036" s="7" t="s">
        <v>28</v>
      </c>
      <c r="E2036" s="7" t="s">
        <v>29</v>
      </c>
      <c r="F2036" s="7" t="s">
        <v>322</v>
      </c>
      <c r="G2036" s="7">
        <v>100.3479</v>
      </c>
      <c r="H2036" s="7"/>
    </row>
    <row r="2037" spans="1:8" x14ac:dyDescent="0.35">
      <c r="A2037" s="7" t="s">
        <v>352</v>
      </c>
      <c r="B2037" s="7" t="s">
        <v>26</v>
      </c>
      <c r="C2037" s="7" t="s">
        <v>27</v>
      </c>
      <c r="D2037" s="7" t="s">
        <v>28</v>
      </c>
      <c r="E2037" s="7" t="s">
        <v>29</v>
      </c>
      <c r="F2037" s="7" t="s">
        <v>323</v>
      </c>
      <c r="G2037" s="7">
        <v>100.34950000000001</v>
      </c>
      <c r="H2037" s="7"/>
    </row>
    <row r="2038" spans="1:8" x14ac:dyDescent="0.35">
      <c r="A2038" s="7" t="s">
        <v>352</v>
      </c>
      <c r="B2038" s="7" t="s">
        <v>26</v>
      </c>
      <c r="C2038" s="7" t="s">
        <v>27</v>
      </c>
      <c r="D2038" s="7" t="s">
        <v>28</v>
      </c>
      <c r="E2038" s="7" t="s">
        <v>29</v>
      </c>
      <c r="F2038" s="7" t="s">
        <v>324</v>
      </c>
      <c r="G2038" s="7">
        <v>100.384</v>
      </c>
      <c r="H2038" s="7"/>
    </row>
    <row r="2039" spans="1:8" x14ac:dyDescent="0.35">
      <c r="A2039" s="7" t="s">
        <v>352</v>
      </c>
      <c r="B2039" s="7" t="s">
        <v>26</v>
      </c>
      <c r="C2039" s="7" t="s">
        <v>27</v>
      </c>
      <c r="D2039" s="7" t="s">
        <v>28</v>
      </c>
      <c r="E2039" s="7" t="s">
        <v>29</v>
      </c>
      <c r="F2039" s="7" t="s">
        <v>325</v>
      </c>
      <c r="G2039" s="7">
        <v>100.3848</v>
      </c>
      <c r="H2039" s="7"/>
    </row>
    <row r="2040" spans="1:8" x14ac:dyDescent="0.35">
      <c r="A2040" s="7" t="s">
        <v>352</v>
      </c>
      <c r="B2040" s="7" t="s">
        <v>26</v>
      </c>
      <c r="C2040" s="7" t="s">
        <v>27</v>
      </c>
      <c r="D2040" s="7" t="s">
        <v>28</v>
      </c>
      <c r="E2040" s="7" t="s">
        <v>29</v>
      </c>
      <c r="F2040" s="7" t="s">
        <v>326</v>
      </c>
      <c r="G2040" s="7">
        <v>100.36320000000001</v>
      </c>
      <c r="H2040" s="7"/>
    </row>
    <row r="2041" spans="1:8" x14ac:dyDescent="0.35">
      <c r="A2041" s="7" t="s">
        <v>352</v>
      </c>
      <c r="B2041" s="7" t="s">
        <v>26</v>
      </c>
      <c r="C2041" s="7" t="s">
        <v>27</v>
      </c>
      <c r="D2041" s="7" t="s">
        <v>28</v>
      </c>
      <c r="E2041" s="7" t="s">
        <v>29</v>
      </c>
      <c r="F2041" s="7" t="s">
        <v>327</v>
      </c>
      <c r="G2041" s="7">
        <v>100.42659999999999</v>
      </c>
      <c r="H2041" s="7"/>
    </row>
    <row r="2042" spans="1:8" x14ac:dyDescent="0.35">
      <c r="A2042" s="7" t="s">
        <v>352</v>
      </c>
      <c r="B2042" s="7" t="s">
        <v>26</v>
      </c>
      <c r="C2042" s="7" t="s">
        <v>27</v>
      </c>
      <c r="D2042" s="7" t="s">
        <v>28</v>
      </c>
      <c r="E2042" s="7" t="s">
        <v>29</v>
      </c>
      <c r="F2042" s="7" t="s">
        <v>328</v>
      </c>
      <c r="G2042" s="7">
        <v>100.50020000000001</v>
      </c>
      <c r="H2042" s="7"/>
    </row>
    <row r="2043" spans="1:8" x14ac:dyDescent="0.35">
      <c r="A2043" s="7" t="s">
        <v>352</v>
      </c>
      <c r="B2043" s="7" t="s">
        <v>26</v>
      </c>
      <c r="C2043" s="7" t="s">
        <v>27</v>
      </c>
      <c r="D2043" s="7" t="s">
        <v>28</v>
      </c>
      <c r="E2043" s="7" t="s">
        <v>29</v>
      </c>
      <c r="F2043" s="7" t="s">
        <v>329</v>
      </c>
      <c r="G2043" s="7">
        <v>100.5164</v>
      </c>
      <c r="H2043" s="7"/>
    </row>
    <row r="2044" spans="1:8" x14ac:dyDescent="0.35">
      <c r="A2044" s="7" t="s">
        <v>352</v>
      </c>
      <c r="B2044" s="7" t="s">
        <v>26</v>
      </c>
      <c r="C2044" s="7" t="s">
        <v>27</v>
      </c>
      <c r="D2044" s="7" t="s">
        <v>28</v>
      </c>
      <c r="E2044" s="7" t="s">
        <v>29</v>
      </c>
      <c r="F2044" s="7" t="s">
        <v>330</v>
      </c>
      <c r="G2044" s="7">
        <v>100.48399999999999</v>
      </c>
      <c r="H2044" s="7"/>
    </row>
    <row r="2045" spans="1:8" x14ac:dyDescent="0.35">
      <c r="A2045" s="7" t="s">
        <v>352</v>
      </c>
      <c r="B2045" s="7" t="s">
        <v>26</v>
      </c>
      <c r="C2045" s="7" t="s">
        <v>27</v>
      </c>
      <c r="D2045" s="7" t="s">
        <v>28</v>
      </c>
      <c r="E2045" s="7" t="s">
        <v>29</v>
      </c>
      <c r="F2045" s="7" t="s">
        <v>331</v>
      </c>
      <c r="G2045" s="7">
        <v>100.4633</v>
      </c>
      <c r="H2045" s="7"/>
    </row>
    <row r="2046" spans="1:8" x14ac:dyDescent="0.35">
      <c r="A2046" s="7" t="s">
        <v>352</v>
      </c>
      <c r="B2046" s="7" t="s">
        <v>26</v>
      </c>
      <c r="C2046" s="7" t="s">
        <v>27</v>
      </c>
      <c r="D2046" s="7" t="s">
        <v>28</v>
      </c>
      <c r="E2046" s="7" t="s">
        <v>29</v>
      </c>
      <c r="F2046" s="7" t="s">
        <v>332</v>
      </c>
      <c r="G2046" s="7">
        <v>100.4837</v>
      </c>
      <c r="H2046" s="7"/>
    </row>
    <row r="2047" spans="1:8" x14ac:dyDescent="0.35">
      <c r="A2047" s="7" t="s">
        <v>352</v>
      </c>
      <c r="B2047" s="7" t="s">
        <v>26</v>
      </c>
      <c r="C2047" s="7" t="s">
        <v>27</v>
      </c>
      <c r="D2047" s="7" t="s">
        <v>28</v>
      </c>
      <c r="E2047" s="7" t="s">
        <v>29</v>
      </c>
      <c r="F2047" s="7" t="s">
        <v>333</v>
      </c>
      <c r="G2047" s="7">
        <v>100.52</v>
      </c>
      <c r="H2047" s="7"/>
    </row>
    <row r="2048" spans="1:8" x14ac:dyDescent="0.35">
      <c r="A2048" s="7" t="s">
        <v>352</v>
      </c>
      <c r="B2048" s="7" t="s">
        <v>26</v>
      </c>
      <c r="C2048" s="7" t="s">
        <v>27</v>
      </c>
      <c r="D2048" s="7" t="s">
        <v>28</v>
      </c>
      <c r="E2048" s="7" t="s">
        <v>29</v>
      </c>
      <c r="F2048" s="7" t="s">
        <v>334</v>
      </c>
      <c r="G2048" s="7">
        <v>100.631</v>
      </c>
      <c r="H2048" s="7"/>
    </row>
    <row r="2049" spans="1:8" x14ac:dyDescent="0.35">
      <c r="A2049" s="7" t="s">
        <v>352</v>
      </c>
      <c r="B2049" s="7" t="s">
        <v>26</v>
      </c>
      <c r="C2049" s="7" t="s">
        <v>27</v>
      </c>
      <c r="D2049" s="7" t="s">
        <v>28</v>
      </c>
      <c r="E2049" s="7" t="s">
        <v>29</v>
      </c>
      <c r="F2049" s="7" t="s">
        <v>335</v>
      </c>
      <c r="G2049" s="7">
        <v>100.7684</v>
      </c>
      <c r="H2049" s="7"/>
    </row>
    <row r="2050" spans="1:8" x14ac:dyDescent="0.35">
      <c r="A2050" s="7" t="s">
        <v>352</v>
      </c>
      <c r="B2050" s="7" t="s">
        <v>26</v>
      </c>
      <c r="C2050" s="7" t="s">
        <v>27</v>
      </c>
      <c r="D2050" s="7" t="s">
        <v>28</v>
      </c>
      <c r="E2050" s="7" t="s">
        <v>29</v>
      </c>
      <c r="F2050" s="7" t="s">
        <v>336</v>
      </c>
      <c r="G2050" s="7">
        <v>100.86320000000001</v>
      </c>
      <c r="H2050" s="7"/>
    </row>
    <row r="2051" spans="1:8" x14ac:dyDescent="0.35">
      <c r="A2051" s="7" t="s">
        <v>352</v>
      </c>
      <c r="B2051" s="7" t="s">
        <v>26</v>
      </c>
      <c r="C2051" s="7" t="s">
        <v>27</v>
      </c>
      <c r="D2051" s="7" t="s">
        <v>28</v>
      </c>
      <c r="E2051" s="7" t="s">
        <v>29</v>
      </c>
      <c r="F2051" s="7" t="s">
        <v>337</v>
      </c>
      <c r="G2051" s="7">
        <v>100.91370000000001</v>
      </c>
      <c r="H2051" s="7"/>
    </row>
    <row r="2052" spans="1:8" x14ac:dyDescent="0.35">
      <c r="A2052" s="7" t="s">
        <v>352</v>
      </c>
      <c r="B2052" s="7" t="s">
        <v>26</v>
      </c>
      <c r="C2052" s="7" t="s">
        <v>27</v>
      </c>
      <c r="D2052" s="7" t="s">
        <v>28</v>
      </c>
      <c r="E2052" s="7" t="s">
        <v>29</v>
      </c>
      <c r="F2052" s="7" t="s">
        <v>338</v>
      </c>
      <c r="G2052" s="7">
        <v>100.944</v>
      </c>
      <c r="H2052" s="7"/>
    </row>
    <row r="2053" spans="1:8" x14ac:dyDescent="0.35">
      <c r="A2053" s="7" t="s">
        <v>352</v>
      </c>
      <c r="B2053" s="7" t="s">
        <v>26</v>
      </c>
      <c r="C2053" s="7" t="s">
        <v>27</v>
      </c>
      <c r="D2053" s="7" t="s">
        <v>28</v>
      </c>
      <c r="E2053" s="7" t="s">
        <v>29</v>
      </c>
      <c r="F2053" s="7" t="s">
        <v>339</v>
      </c>
      <c r="G2053" s="7">
        <v>100.9575</v>
      </c>
      <c r="H2053" s="7"/>
    </row>
    <row r="2054" spans="1:8" x14ac:dyDescent="0.35">
      <c r="A2054" s="7" t="s">
        <v>352</v>
      </c>
      <c r="B2054" s="7" t="s">
        <v>26</v>
      </c>
      <c r="C2054" s="7" t="s">
        <v>27</v>
      </c>
      <c r="D2054" s="7" t="s">
        <v>28</v>
      </c>
      <c r="E2054" s="7" t="s">
        <v>29</v>
      </c>
      <c r="F2054" s="7" t="s">
        <v>340</v>
      </c>
      <c r="G2054" s="7">
        <v>100.9648</v>
      </c>
      <c r="H2054" s="7"/>
    </row>
    <row r="2055" spans="1:8" x14ac:dyDescent="0.35">
      <c r="A2055" s="7" t="s">
        <v>352</v>
      </c>
      <c r="B2055" s="7" t="s">
        <v>26</v>
      </c>
      <c r="C2055" s="7" t="s">
        <v>27</v>
      </c>
      <c r="D2055" s="7" t="s">
        <v>28</v>
      </c>
      <c r="E2055" s="7" t="s">
        <v>29</v>
      </c>
      <c r="F2055" s="7" t="s">
        <v>341</v>
      </c>
      <c r="G2055" s="7">
        <v>100.97</v>
      </c>
      <c r="H2055" s="7"/>
    </row>
    <row r="2056" spans="1:8" x14ac:dyDescent="0.35">
      <c r="A2056" s="7" t="s">
        <v>352</v>
      </c>
      <c r="B2056" s="7" t="s">
        <v>26</v>
      </c>
      <c r="C2056" s="7" t="s">
        <v>27</v>
      </c>
      <c r="D2056" s="7" t="s">
        <v>28</v>
      </c>
      <c r="E2056" s="7" t="s">
        <v>29</v>
      </c>
      <c r="F2056" s="7" t="s">
        <v>342</v>
      </c>
      <c r="G2056" s="7">
        <v>101.0057</v>
      </c>
      <c r="H2056" s="7"/>
    </row>
    <row r="2057" spans="1:8" x14ac:dyDescent="0.35">
      <c r="A2057" s="7" t="s">
        <v>352</v>
      </c>
      <c r="B2057" s="7" t="s">
        <v>26</v>
      </c>
      <c r="C2057" s="7" t="s">
        <v>27</v>
      </c>
      <c r="D2057" s="7" t="s">
        <v>28</v>
      </c>
      <c r="E2057" s="7" t="s">
        <v>29</v>
      </c>
      <c r="F2057" s="7" t="s">
        <v>343</v>
      </c>
      <c r="G2057" s="7">
        <v>101.0947</v>
      </c>
      <c r="H2057" s="7"/>
    </row>
    <row r="2058" spans="1:8" x14ac:dyDescent="0.35">
      <c r="A2058" s="7" t="s">
        <v>352</v>
      </c>
      <c r="B2058" s="7" t="s">
        <v>26</v>
      </c>
      <c r="C2058" s="7" t="s">
        <v>27</v>
      </c>
      <c r="D2058" s="7" t="s">
        <v>28</v>
      </c>
      <c r="E2058" s="7" t="s">
        <v>29</v>
      </c>
      <c r="F2058" s="7" t="s">
        <v>344</v>
      </c>
      <c r="G2058" s="7">
        <v>101.22450000000001</v>
      </c>
      <c r="H2058" s="7"/>
    </row>
    <row r="2059" spans="1:8" x14ac:dyDescent="0.35">
      <c r="A2059" s="7" t="s">
        <v>352</v>
      </c>
      <c r="B2059" s="7" t="s">
        <v>26</v>
      </c>
      <c r="C2059" s="7" t="s">
        <v>27</v>
      </c>
      <c r="D2059" s="7" t="s">
        <v>28</v>
      </c>
      <c r="E2059" s="7" t="s">
        <v>29</v>
      </c>
      <c r="F2059" s="7" t="s">
        <v>345</v>
      </c>
      <c r="G2059" s="7">
        <v>101.2804</v>
      </c>
      <c r="H2059" s="7"/>
    </row>
    <row r="2060" spans="1:8" x14ac:dyDescent="0.35">
      <c r="A2060" s="7" t="s">
        <v>352</v>
      </c>
      <c r="B2060" s="7" t="s">
        <v>26</v>
      </c>
      <c r="C2060" s="7" t="s">
        <v>27</v>
      </c>
      <c r="D2060" s="7" t="s">
        <v>28</v>
      </c>
      <c r="E2060" s="7" t="s">
        <v>29</v>
      </c>
      <c r="F2060" s="7" t="s">
        <v>346</v>
      </c>
      <c r="G2060" s="7">
        <v>101.2919</v>
      </c>
      <c r="H2060" s="7"/>
    </row>
    <row r="2061" spans="1:8" x14ac:dyDescent="0.35">
      <c r="A2061" s="7" t="s">
        <v>353</v>
      </c>
      <c r="B2061" s="7" t="s">
        <v>26</v>
      </c>
      <c r="C2061" s="7" t="s">
        <v>27</v>
      </c>
      <c r="D2061" s="7" t="s">
        <v>28</v>
      </c>
      <c r="E2061" s="7" t="s">
        <v>29</v>
      </c>
      <c r="F2061" s="7" t="s">
        <v>30</v>
      </c>
      <c r="G2061" s="7">
        <v>98.169830000000005</v>
      </c>
      <c r="H2061" s="7"/>
    </row>
    <row r="2062" spans="1:8" x14ac:dyDescent="0.35">
      <c r="A2062" s="7" t="s">
        <v>353</v>
      </c>
      <c r="B2062" s="7" t="s">
        <v>26</v>
      </c>
      <c r="C2062" s="7" t="s">
        <v>27</v>
      </c>
      <c r="D2062" s="7" t="s">
        <v>28</v>
      </c>
      <c r="E2062" s="7" t="s">
        <v>29</v>
      </c>
      <c r="F2062" s="7" t="s">
        <v>31</v>
      </c>
      <c r="G2062" s="7">
        <v>98.081130000000002</v>
      </c>
      <c r="H2062" s="7"/>
    </row>
    <row r="2063" spans="1:8" x14ac:dyDescent="0.35">
      <c r="A2063" s="7" t="s">
        <v>353</v>
      </c>
      <c r="B2063" s="7" t="s">
        <v>26</v>
      </c>
      <c r="C2063" s="7" t="s">
        <v>27</v>
      </c>
      <c r="D2063" s="7" t="s">
        <v>28</v>
      </c>
      <c r="E2063" s="7" t="s">
        <v>29</v>
      </c>
      <c r="F2063" s="7" t="s">
        <v>32</v>
      </c>
      <c r="G2063" s="7">
        <v>98.227099999999993</v>
      </c>
      <c r="H2063" s="7"/>
    </row>
    <row r="2064" spans="1:8" x14ac:dyDescent="0.35">
      <c r="A2064" s="7" t="s">
        <v>353</v>
      </c>
      <c r="B2064" s="7" t="s">
        <v>26</v>
      </c>
      <c r="C2064" s="7" t="s">
        <v>27</v>
      </c>
      <c r="D2064" s="7" t="s">
        <v>28</v>
      </c>
      <c r="E2064" s="7" t="s">
        <v>29</v>
      </c>
      <c r="F2064" s="7" t="s">
        <v>33</v>
      </c>
      <c r="G2064" s="7">
        <v>98.608519999999999</v>
      </c>
      <c r="H2064" s="7"/>
    </row>
    <row r="2065" spans="1:8" x14ac:dyDescent="0.35">
      <c r="A2065" s="7" t="s">
        <v>353</v>
      </c>
      <c r="B2065" s="7" t="s">
        <v>26</v>
      </c>
      <c r="C2065" s="7" t="s">
        <v>27</v>
      </c>
      <c r="D2065" s="7" t="s">
        <v>28</v>
      </c>
      <c r="E2065" s="7" t="s">
        <v>29</v>
      </c>
      <c r="F2065" s="7" t="s">
        <v>34</v>
      </c>
      <c r="G2065" s="7">
        <v>98.951300000000003</v>
      </c>
      <c r="H2065" s="7"/>
    </row>
    <row r="2066" spans="1:8" x14ac:dyDescent="0.35">
      <c r="A2066" s="7" t="s">
        <v>353</v>
      </c>
      <c r="B2066" s="7" t="s">
        <v>26</v>
      </c>
      <c r="C2066" s="7" t="s">
        <v>27</v>
      </c>
      <c r="D2066" s="7" t="s">
        <v>28</v>
      </c>
      <c r="E2066" s="7" t="s">
        <v>29</v>
      </c>
      <c r="F2066" s="7" t="s">
        <v>35</v>
      </c>
      <c r="G2066" s="7">
        <v>99.02158</v>
      </c>
      <c r="H2066" s="7"/>
    </row>
    <row r="2067" spans="1:8" x14ac:dyDescent="0.35">
      <c r="A2067" s="7" t="s">
        <v>353</v>
      </c>
      <c r="B2067" s="7" t="s">
        <v>26</v>
      </c>
      <c r="C2067" s="7" t="s">
        <v>27</v>
      </c>
      <c r="D2067" s="7" t="s">
        <v>28</v>
      </c>
      <c r="E2067" s="7" t="s">
        <v>29</v>
      </c>
      <c r="F2067" s="7" t="s">
        <v>36</v>
      </c>
      <c r="G2067" s="7">
        <v>98.780519999999996</v>
      </c>
      <c r="H2067" s="7"/>
    </row>
    <row r="2068" spans="1:8" x14ac:dyDescent="0.35">
      <c r="A2068" s="7" t="s">
        <v>353</v>
      </c>
      <c r="B2068" s="7" t="s">
        <v>26</v>
      </c>
      <c r="C2068" s="7" t="s">
        <v>27</v>
      </c>
      <c r="D2068" s="7" t="s">
        <v>28</v>
      </c>
      <c r="E2068" s="7" t="s">
        <v>29</v>
      </c>
      <c r="F2068" s="7" t="s">
        <v>37</v>
      </c>
      <c r="G2068" s="7">
        <v>98.413439999999994</v>
      </c>
      <c r="H2068" s="7"/>
    </row>
    <row r="2069" spans="1:8" x14ac:dyDescent="0.35">
      <c r="A2069" s="7" t="s">
        <v>353</v>
      </c>
      <c r="B2069" s="7" t="s">
        <v>26</v>
      </c>
      <c r="C2069" s="7" t="s">
        <v>27</v>
      </c>
      <c r="D2069" s="7" t="s">
        <v>28</v>
      </c>
      <c r="E2069" s="7" t="s">
        <v>29</v>
      </c>
      <c r="F2069" s="7" t="s">
        <v>38</v>
      </c>
      <c r="G2069" s="7">
        <v>98.272499999999994</v>
      </c>
      <c r="H2069" s="7"/>
    </row>
    <row r="2070" spans="1:8" x14ac:dyDescent="0.35">
      <c r="A2070" s="7" t="s">
        <v>353</v>
      </c>
      <c r="B2070" s="7" t="s">
        <v>26</v>
      </c>
      <c r="C2070" s="7" t="s">
        <v>27</v>
      </c>
      <c r="D2070" s="7" t="s">
        <v>28</v>
      </c>
      <c r="E2070" s="7" t="s">
        <v>29</v>
      </c>
      <c r="F2070" s="7" t="s">
        <v>39</v>
      </c>
      <c r="G2070" s="7">
        <v>98.447580000000002</v>
      </c>
      <c r="H2070" s="7"/>
    </row>
    <row r="2071" spans="1:8" x14ac:dyDescent="0.35">
      <c r="A2071" s="7" t="s">
        <v>353</v>
      </c>
      <c r="B2071" s="7" t="s">
        <v>26</v>
      </c>
      <c r="C2071" s="7" t="s">
        <v>27</v>
      </c>
      <c r="D2071" s="7" t="s">
        <v>28</v>
      </c>
      <c r="E2071" s="7" t="s">
        <v>29</v>
      </c>
      <c r="F2071" s="7" t="s">
        <v>40</v>
      </c>
      <c r="G2071" s="7">
        <v>98.608800000000002</v>
      </c>
      <c r="H2071" s="7"/>
    </row>
    <row r="2072" spans="1:8" x14ac:dyDescent="0.35">
      <c r="A2072" s="7" t="s">
        <v>353</v>
      </c>
      <c r="B2072" s="7" t="s">
        <v>26</v>
      </c>
      <c r="C2072" s="7" t="s">
        <v>27</v>
      </c>
      <c r="D2072" s="7" t="s">
        <v>28</v>
      </c>
      <c r="E2072" s="7" t="s">
        <v>29</v>
      </c>
      <c r="F2072" s="7" t="s">
        <v>41</v>
      </c>
      <c r="G2072" s="7">
        <v>98.726960000000005</v>
      </c>
      <c r="H2072" s="7"/>
    </row>
    <row r="2073" spans="1:8" x14ac:dyDescent="0.35">
      <c r="A2073" s="7" t="s">
        <v>353</v>
      </c>
      <c r="B2073" s="7" t="s">
        <v>26</v>
      </c>
      <c r="C2073" s="7" t="s">
        <v>27</v>
      </c>
      <c r="D2073" s="7" t="s">
        <v>28</v>
      </c>
      <c r="E2073" s="7" t="s">
        <v>29</v>
      </c>
      <c r="F2073" s="7" t="s">
        <v>42</v>
      </c>
      <c r="G2073" s="7">
        <v>98.613820000000004</v>
      </c>
      <c r="H2073" s="7"/>
    </row>
    <row r="2074" spans="1:8" x14ac:dyDescent="0.35">
      <c r="A2074" s="7" t="s">
        <v>353</v>
      </c>
      <c r="B2074" s="7" t="s">
        <v>26</v>
      </c>
      <c r="C2074" s="7" t="s">
        <v>27</v>
      </c>
      <c r="D2074" s="7" t="s">
        <v>28</v>
      </c>
      <c r="E2074" s="7" t="s">
        <v>29</v>
      </c>
      <c r="F2074" s="7" t="s">
        <v>43</v>
      </c>
      <c r="G2074" s="7">
        <v>98.699479999999994</v>
      </c>
      <c r="H2074" s="7"/>
    </row>
    <row r="2075" spans="1:8" x14ac:dyDescent="0.35">
      <c r="A2075" s="7" t="s">
        <v>353</v>
      </c>
      <c r="B2075" s="7" t="s">
        <v>26</v>
      </c>
      <c r="C2075" s="7" t="s">
        <v>27</v>
      </c>
      <c r="D2075" s="7" t="s">
        <v>28</v>
      </c>
      <c r="E2075" s="7" t="s">
        <v>29</v>
      </c>
      <c r="F2075" s="7" t="s">
        <v>44</v>
      </c>
      <c r="G2075" s="7">
        <v>99.050970000000007</v>
      </c>
      <c r="H2075" s="7"/>
    </row>
    <row r="2076" spans="1:8" x14ac:dyDescent="0.35">
      <c r="A2076" s="7" t="s">
        <v>353</v>
      </c>
      <c r="B2076" s="7" t="s">
        <v>26</v>
      </c>
      <c r="C2076" s="7" t="s">
        <v>27</v>
      </c>
      <c r="D2076" s="7" t="s">
        <v>28</v>
      </c>
      <c r="E2076" s="7" t="s">
        <v>29</v>
      </c>
      <c r="F2076" s="7" t="s">
        <v>45</v>
      </c>
      <c r="G2076" s="7">
        <v>99.286569999999998</v>
      </c>
      <c r="H2076" s="7"/>
    </row>
    <row r="2077" spans="1:8" x14ac:dyDescent="0.35">
      <c r="A2077" s="7" t="s">
        <v>353</v>
      </c>
      <c r="B2077" s="7" t="s">
        <v>26</v>
      </c>
      <c r="C2077" s="7" t="s">
        <v>27</v>
      </c>
      <c r="D2077" s="7" t="s">
        <v>28</v>
      </c>
      <c r="E2077" s="7" t="s">
        <v>29</v>
      </c>
      <c r="F2077" s="7" t="s">
        <v>46</v>
      </c>
      <c r="G2077" s="7">
        <v>99.517910000000001</v>
      </c>
      <c r="H2077" s="7"/>
    </row>
    <row r="2078" spans="1:8" x14ac:dyDescent="0.35">
      <c r="A2078" s="7" t="s">
        <v>353</v>
      </c>
      <c r="B2078" s="7" t="s">
        <v>26</v>
      </c>
      <c r="C2078" s="7" t="s">
        <v>27</v>
      </c>
      <c r="D2078" s="7" t="s">
        <v>28</v>
      </c>
      <c r="E2078" s="7" t="s">
        <v>29</v>
      </c>
      <c r="F2078" s="7" t="s">
        <v>47</v>
      </c>
      <c r="G2078" s="7">
        <v>99.517330000000001</v>
      </c>
      <c r="H2078" s="7"/>
    </row>
    <row r="2079" spans="1:8" x14ac:dyDescent="0.35">
      <c r="A2079" s="7" t="s">
        <v>353</v>
      </c>
      <c r="B2079" s="7" t="s">
        <v>26</v>
      </c>
      <c r="C2079" s="7" t="s">
        <v>27</v>
      </c>
      <c r="D2079" s="7" t="s">
        <v>28</v>
      </c>
      <c r="E2079" s="7" t="s">
        <v>29</v>
      </c>
      <c r="F2079" s="7" t="s">
        <v>48</v>
      </c>
      <c r="G2079" s="7">
        <v>99.282619999999994</v>
      </c>
      <c r="H2079" s="7"/>
    </row>
    <row r="2080" spans="1:8" x14ac:dyDescent="0.35">
      <c r="A2080" s="7" t="s">
        <v>353</v>
      </c>
      <c r="B2080" s="7" t="s">
        <v>26</v>
      </c>
      <c r="C2080" s="7" t="s">
        <v>27</v>
      </c>
      <c r="D2080" s="7" t="s">
        <v>28</v>
      </c>
      <c r="E2080" s="7" t="s">
        <v>29</v>
      </c>
      <c r="F2080" s="7" t="s">
        <v>49</v>
      </c>
      <c r="G2080" s="7">
        <v>98.938000000000002</v>
      </c>
      <c r="H2080" s="7"/>
    </row>
    <row r="2081" spans="1:8" x14ac:dyDescent="0.35">
      <c r="A2081" s="7" t="s">
        <v>353</v>
      </c>
      <c r="B2081" s="7" t="s">
        <v>26</v>
      </c>
      <c r="C2081" s="7" t="s">
        <v>27</v>
      </c>
      <c r="D2081" s="7" t="s">
        <v>28</v>
      </c>
      <c r="E2081" s="7" t="s">
        <v>29</v>
      </c>
      <c r="F2081" s="7" t="s">
        <v>50</v>
      </c>
      <c r="G2081" s="7">
        <v>98.869489999999999</v>
      </c>
      <c r="H2081" s="7"/>
    </row>
    <row r="2082" spans="1:8" x14ac:dyDescent="0.35">
      <c r="A2082" s="7" t="s">
        <v>353</v>
      </c>
      <c r="B2082" s="7" t="s">
        <v>26</v>
      </c>
      <c r="C2082" s="7" t="s">
        <v>27</v>
      </c>
      <c r="D2082" s="7" t="s">
        <v>28</v>
      </c>
      <c r="E2082" s="7" t="s">
        <v>29</v>
      </c>
      <c r="F2082" s="7" t="s">
        <v>51</v>
      </c>
      <c r="G2082" s="7">
        <v>98.974779999999996</v>
      </c>
      <c r="H2082" s="7"/>
    </row>
    <row r="2083" spans="1:8" x14ac:dyDescent="0.35">
      <c r="A2083" s="7" t="s">
        <v>353</v>
      </c>
      <c r="B2083" s="7" t="s">
        <v>26</v>
      </c>
      <c r="C2083" s="7" t="s">
        <v>27</v>
      </c>
      <c r="D2083" s="7" t="s">
        <v>28</v>
      </c>
      <c r="E2083" s="7" t="s">
        <v>29</v>
      </c>
      <c r="F2083" s="7" t="s">
        <v>52</v>
      </c>
      <c r="G2083" s="7">
        <v>99.12988</v>
      </c>
      <c r="H2083" s="7"/>
    </row>
    <row r="2084" spans="1:8" x14ac:dyDescent="0.35">
      <c r="A2084" s="7" t="s">
        <v>353</v>
      </c>
      <c r="B2084" s="7" t="s">
        <v>26</v>
      </c>
      <c r="C2084" s="7" t="s">
        <v>27</v>
      </c>
      <c r="D2084" s="7" t="s">
        <v>28</v>
      </c>
      <c r="E2084" s="7" t="s">
        <v>29</v>
      </c>
      <c r="F2084" s="7" t="s">
        <v>53</v>
      </c>
      <c r="G2084" s="7">
        <v>99.581310000000002</v>
      </c>
      <c r="H2084" s="7"/>
    </row>
    <row r="2085" spans="1:8" x14ac:dyDescent="0.35">
      <c r="A2085" s="7" t="s">
        <v>353</v>
      </c>
      <c r="B2085" s="7" t="s">
        <v>26</v>
      </c>
      <c r="C2085" s="7" t="s">
        <v>27</v>
      </c>
      <c r="D2085" s="7" t="s">
        <v>28</v>
      </c>
      <c r="E2085" s="7" t="s">
        <v>29</v>
      </c>
      <c r="F2085" s="7" t="s">
        <v>54</v>
      </c>
      <c r="G2085" s="7">
        <v>100.0945</v>
      </c>
      <c r="H2085" s="7"/>
    </row>
    <row r="2086" spans="1:8" x14ac:dyDescent="0.35">
      <c r="A2086" s="7" t="s">
        <v>353</v>
      </c>
      <c r="B2086" s="7" t="s">
        <v>26</v>
      </c>
      <c r="C2086" s="7" t="s">
        <v>27</v>
      </c>
      <c r="D2086" s="7" t="s">
        <v>28</v>
      </c>
      <c r="E2086" s="7" t="s">
        <v>29</v>
      </c>
      <c r="F2086" s="7" t="s">
        <v>55</v>
      </c>
      <c r="G2086" s="7">
        <v>100.5968</v>
      </c>
      <c r="H2086" s="7"/>
    </row>
    <row r="2087" spans="1:8" x14ac:dyDescent="0.35">
      <c r="A2087" s="7" t="s">
        <v>353</v>
      </c>
      <c r="B2087" s="7" t="s">
        <v>26</v>
      </c>
      <c r="C2087" s="7" t="s">
        <v>27</v>
      </c>
      <c r="D2087" s="7" t="s">
        <v>28</v>
      </c>
      <c r="E2087" s="7" t="s">
        <v>29</v>
      </c>
      <c r="F2087" s="7" t="s">
        <v>56</v>
      </c>
      <c r="G2087" s="7">
        <v>101.1621</v>
      </c>
      <c r="H2087" s="7"/>
    </row>
    <row r="2088" spans="1:8" x14ac:dyDescent="0.35">
      <c r="A2088" s="7" t="s">
        <v>353</v>
      </c>
      <c r="B2088" s="7" t="s">
        <v>26</v>
      </c>
      <c r="C2088" s="7" t="s">
        <v>27</v>
      </c>
      <c r="D2088" s="7" t="s">
        <v>28</v>
      </c>
      <c r="E2088" s="7" t="s">
        <v>29</v>
      </c>
      <c r="F2088" s="7" t="s">
        <v>57</v>
      </c>
      <c r="G2088" s="7">
        <v>101.6078</v>
      </c>
      <c r="H2088" s="7"/>
    </row>
    <row r="2089" spans="1:8" x14ac:dyDescent="0.35">
      <c r="A2089" s="7" t="s">
        <v>353</v>
      </c>
      <c r="B2089" s="7" t="s">
        <v>26</v>
      </c>
      <c r="C2089" s="7" t="s">
        <v>27</v>
      </c>
      <c r="D2089" s="7" t="s">
        <v>28</v>
      </c>
      <c r="E2089" s="7" t="s">
        <v>29</v>
      </c>
      <c r="F2089" s="7" t="s">
        <v>58</v>
      </c>
      <c r="G2089" s="7">
        <v>101.9246</v>
      </c>
      <c r="H2089" s="7"/>
    </row>
    <row r="2090" spans="1:8" x14ac:dyDescent="0.35">
      <c r="A2090" s="7" t="s">
        <v>353</v>
      </c>
      <c r="B2090" s="7" t="s">
        <v>26</v>
      </c>
      <c r="C2090" s="7" t="s">
        <v>27</v>
      </c>
      <c r="D2090" s="7" t="s">
        <v>28</v>
      </c>
      <c r="E2090" s="7" t="s">
        <v>29</v>
      </c>
      <c r="F2090" s="7" t="s">
        <v>59</v>
      </c>
      <c r="G2090" s="7">
        <v>102.0299</v>
      </c>
      <c r="H2090" s="7"/>
    </row>
    <row r="2091" spans="1:8" x14ac:dyDescent="0.35">
      <c r="A2091" s="7" t="s">
        <v>353</v>
      </c>
      <c r="B2091" s="7" t="s">
        <v>26</v>
      </c>
      <c r="C2091" s="7" t="s">
        <v>27</v>
      </c>
      <c r="D2091" s="7" t="s">
        <v>28</v>
      </c>
      <c r="E2091" s="7" t="s">
        <v>29</v>
      </c>
      <c r="F2091" s="7" t="s">
        <v>60</v>
      </c>
      <c r="G2091" s="7">
        <v>102.0483</v>
      </c>
      <c r="H2091" s="7"/>
    </row>
    <row r="2092" spans="1:8" x14ac:dyDescent="0.35">
      <c r="A2092" s="7" t="s">
        <v>353</v>
      </c>
      <c r="B2092" s="7" t="s">
        <v>26</v>
      </c>
      <c r="C2092" s="7" t="s">
        <v>27</v>
      </c>
      <c r="D2092" s="7" t="s">
        <v>28</v>
      </c>
      <c r="E2092" s="7" t="s">
        <v>29</v>
      </c>
      <c r="F2092" s="7" t="s">
        <v>61</v>
      </c>
      <c r="G2092" s="7">
        <v>102.0065</v>
      </c>
      <c r="H2092" s="7"/>
    </row>
    <row r="2093" spans="1:8" x14ac:dyDescent="0.35">
      <c r="A2093" s="7" t="s">
        <v>353</v>
      </c>
      <c r="B2093" s="7" t="s">
        <v>26</v>
      </c>
      <c r="C2093" s="7" t="s">
        <v>27</v>
      </c>
      <c r="D2093" s="7" t="s">
        <v>28</v>
      </c>
      <c r="E2093" s="7" t="s">
        <v>29</v>
      </c>
      <c r="F2093" s="7" t="s">
        <v>62</v>
      </c>
      <c r="G2093" s="7">
        <v>101.8158</v>
      </c>
      <c r="H2093" s="7"/>
    </row>
    <row r="2094" spans="1:8" x14ac:dyDescent="0.35">
      <c r="A2094" s="7" t="s">
        <v>353</v>
      </c>
      <c r="B2094" s="7" t="s">
        <v>26</v>
      </c>
      <c r="C2094" s="7" t="s">
        <v>27</v>
      </c>
      <c r="D2094" s="7" t="s">
        <v>28</v>
      </c>
      <c r="E2094" s="7" t="s">
        <v>29</v>
      </c>
      <c r="F2094" s="7" t="s">
        <v>63</v>
      </c>
      <c r="G2094" s="7">
        <v>101.51220000000001</v>
      </c>
      <c r="H2094" s="7"/>
    </row>
    <row r="2095" spans="1:8" x14ac:dyDescent="0.35">
      <c r="A2095" s="7" t="s">
        <v>353</v>
      </c>
      <c r="B2095" s="7" t="s">
        <v>26</v>
      </c>
      <c r="C2095" s="7" t="s">
        <v>27</v>
      </c>
      <c r="D2095" s="7" t="s">
        <v>28</v>
      </c>
      <c r="E2095" s="7" t="s">
        <v>29</v>
      </c>
      <c r="F2095" s="7" t="s">
        <v>64</v>
      </c>
      <c r="G2095" s="7">
        <v>101.1489</v>
      </c>
      <c r="H2095" s="7"/>
    </row>
    <row r="2096" spans="1:8" x14ac:dyDescent="0.35">
      <c r="A2096" s="7" t="s">
        <v>353</v>
      </c>
      <c r="B2096" s="7" t="s">
        <v>26</v>
      </c>
      <c r="C2096" s="7" t="s">
        <v>27</v>
      </c>
      <c r="D2096" s="7" t="s">
        <v>28</v>
      </c>
      <c r="E2096" s="7" t="s">
        <v>29</v>
      </c>
      <c r="F2096" s="7" t="s">
        <v>65</v>
      </c>
      <c r="G2096" s="7">
        <v>100.8017</v>
      </c>
      <c r="H2096" s="7"/>
    </row>
    <row r="2097" spans="1:8" x14ac:dyDescent="0.35">
      <c r="A2097" s="7" t="s">
        <v>353</v>
      </c>
      <c r="B2097" s="7" t="s">
        <v>26</v>
      </c>
      <c r="C2097" s="7" t="s">
        <v>27</v>
      </c>
      <c r="D2097" s="7" t="s">
        <v>28</v>
      </c>
      <c r="E2097" s="7" t="s">
        <v>29</v>
      </c>
      <c r="F2097" s="7" t="s">
        <v>66</v>
      </c>
      <c r="G2097" s="7">
        <v>100.5337</v>
      </c>
      <c r="H2097" s="7"/>
    </row>
    <row r="2098" spans="1:8" x14ac:dyDescent="0.35">
      <c r="A2098" s="7" t="s">
        <v>353</v>
      </c>
      <c r="B2098" s="7" t="s">
        <v>26</v>
      </c>
      <c r="C2098" s="7" t="s">
        <v>27</v>
      </c>
      <c r="D2098" s="7" t="s">
        <v>28</v>
      </c>
      <c r="E2098" s="7" t="s">
        <v>29</v>
      </c>
      <c r="F2098" s="7" t="s">
        <v>67</v>
      </c>
      <c r="G2098" s="7">
        <v>100.245</v>
      </c>
      <c r="H2098" s="7"/>
    </row>
    <row r="2099" spans="1:8" x14ac:dyDescent="0.35">
      <c r="A2099" s="7" t="s">
        <v>353</v>
      </c>
      <c r="B2099" s="7" t="s">
        <v>26</v>
      </c>
      <c r="C2099" s="7" t="s">
        <v>27</v>
      </c>
      <c r="D2099" s="7" t="s">
        <v>28</v>
      </c>
      <c r="E2099" s="7" t="s">
        <v>29</v>
      </c>
      <c r="F2099" s="7" t="s">
        <v>68</v>
      </c>
      <c r="G2099" s="7">
        <v>99.941280000000006</v>
      </c>
      <c r="H2099" s="7"/>
    </row>
    <row r="2100" spans="1:8" x14ac:dyDescent="0.35">
      <c r="A2100" s="7" t="s">
        <v>353</v>
      </c>
      <c r="B2100" s="7" t="s">
        <v>26</v>
      </c>
      <c r="C2100" s="7" t="s">
        <v>27</v>
      </c>
      <c r="D2100" s="7" t="s">
        <v>28</v>
      </c>
      <c r="E2100" s="7" t="s">
        <v>29</v>
      </c>
      <c r="F2100" s="7" t="s">
        <v>69</v>
      </c>
      <c r="G2100" s="7">
        <v>99.822739999999996</v>
      </c>
      <c r="H2100" s="7"/>
    </row>
    <row r="2101" spans="1:8" x14ac:dyDescent="0.35">
      <c r="A2101" s="7" t="s">
        <v>353</v>
      </c>
      <c r="B2101" s="7" t="s">
        <v>26</v>
      </c>
      <c r="C2101" s="7" t="s">
        <v>27</v>
      </c>
      <c r="D2101" s="7" t="s">
        <v>28</v>
      </c>
      <c r="E2101" s="7" t="s">
        <v>29</v>
      </c>
      <c r="F2101" s="7" t="s">
        <v>70</v>
      </c>
      <c r="G2101" s="7">
        <v>100.0908</v>
      </c>
      <c r="H2101" s="7"/>
    </row>
    <row r="2102" spans="1:8" x14ac:dyDescent="0.35">
      <c r="A2102" s="7" t="s">
        <v>353</v>
      </c>
      <c r="B2102" s="7" t="s">
        <v>26</v>
      </c>
      <c r="C2102" s="7" t="s">
        <v>27</v>
      </c>
      <c r="D2102" s="7" t="s">
        <v>28</v>
      </c>
      <c r="E2102" s="7" t="s">
        <v>29</v>
      </c>
      <c r="F2102" s="7" t="s">
        <v>71</v>
      </c>
      <c r="G2102" s="7">
        <v>100.37</v>
      </c>
      <c r="H2102" s="7"/>
    </row>
    <row r="2103" spans="1:8" x14ac:dyDescent="0.35">
      <c r="A2103" s="7" t="s">
        <v>353</v>
      </c>
      <c r="B2103" s="7" t="s">
        <v>26</v>
      </c>
      <c r="C2103" s="7" t="s">
        <v>27</v>
      </c>
      <c r="D2103" s="7" t="s">
        <v>28</v>
      </c>
      <c r="E2103" s="7" t="s">
        <v>29</v>
      </c>
      <c r="F2103" s="7" t="s">
        <v>72</v>
      </c>
      <c r="G2103" s="7">
        <v>100.3352</v>
      </c>
      <c r="H2103" s="7"/>
    </row>
    <row r="2104" spans="1:8" x14ac:dyDescent="0.35">
      <c r="A2104" s="7" t="s">
        <v>353</v>
      </c>
      <c r="B2104" s="7" t="s">
        <v>26</v>
      </c>
      <c r="C2104" s="7" t="s">
        <v>27</v>
      </c>
      <c r="D2104" s="7" t="s">
        <v>28</v>
      </c>
      <c r="E2104" s="7" t="s">
        <v>29</v>
      </c>
      <c r="F2104" s="7" t="s">
        <v>73</v>
      </c>
      <c r="G2104" s="7">
        <v>100.229</v>
      </c>
      <c r="H2104" s="7"/>
    </row>
    <row r="2105" spans="1:8" x14ac:dyDescent="0.35">
      <c r="A2105" s="7" t="s">
        <v>353</v>
      </c>
      <c r="B2105" s="7" t="s">
        <v>26</v>
      </c>
      <c r="C2105" s="7" t="s">
        <v>27</v>
      </c>
      <c r="D2105" s="7" t="s">
        <v>28</v>
      </c>
      <c r="E2105" s="7" t="s">
        <v>29</v>
      </c>
      <c r="F2105" s="7" t="s">
        <v>74</v>
      </c>
      <c r="G2105" s="7">
        <v>100.1001</v>
      </c>
      <c r="H2105" s="7"/>
    </row>
    <row r="2106" spans="1:8" x14ac:dyDescent="0.35">
      <c r="A2106" s="7" t="s">
        <v>353</v>
      </c>
      <c r="B2106" s="7" t="s">
        <v>26</v>
      </c>
      <c r="C2106" s="7" t="s">
        <v>27</v>
      </c>
      <c r="D2106" s="7" t="s">
        <v>28</v>
      </c>
      <c r="E2106" s="7" t="s">
        <v>29</v>
      </c>
      <c r="F2106" s="7" t="s">
        <v>75</v>
      </c>
      <c r="G2106" s="7">
        <v>100.00879999999999</v>
      </c>
      <c r="H2106" s="7"/>
    </row>
    <row r="2107" spans="1:8" x14ac:dyDescent="0.35">
      <c r="A2107" s="7" t="s">
        <v>353</v>
      </c>
      <c r="B2107" s="7" t="s">
        <v>26</v>
      </c>
      <c r="C2107" s="7" t="s">
        <v>27</v>
      </c>
      <c r="D2107" s="7" t="s">
        <v>28</v>
      </c>
      <c r="E2107" s="7" t="s">
        <v>29</v>
      </c>
      <c r="F2107" s="7" t="s">
        <v>76</v>
      </c>
      <c r="G2107" s="7">
        <v>99.957570000000004</v>
      </c>
      <c r="H2107" s="7"/>
    </row>
    <row r="2108" spans="1:8" x14ac:dyDescent="0.35">
      <c r="A2108" s="7" t="s">
        <v>353</v>
      </c>
      <c r="B2108" s="7" t="s">
        <v>26</v>
      </c>
      <c r="C2108" s="7" t="s">
        <v>27</v>
      </c>
      <c r="D2108" s="7" t="s">
        <v>28</v>
      </c>
      <c r="E2108" s="7" t="s">
        <v>29</v>
      </c>
      <c r="F2108" s="7" t="s">
        <v>77</v>
      </c>
      <c r="G2108" s="7">
        <v>99.981710000000007</v>
      </c>
      <c r="H2108" s="7"/>
    </row>
    <row r="2109" spans="1:8" x14ac:dyDescent="0.35">
      <c r="A2109" s="7" t="s">
        <v>353</v>
      </c>
      <c r="B2109" s="7" t="s">
        <v>26</v>
      </c>
      <c r="C2109" s="7" t="s">
        <v>27</v>
      </c>
      <c r="D2109" s="7" t="s">
        <v>28</v>
      </c>
      <c r="E2109" s="7" t="s">
        <v>29</v>
      </c>
      <c r="F2109" s="7" t="s">
        <v>78</v>
      </c>
      <c r="G2109" s="7">
        <v>100.1014</v>
      </c>
      <c r="H2109" s="7"/>
    </row>
    <row r="2110" spans="1:8" x14ac:dyDescent="0.35">
      <c r="A2110" s="7" t="s">
        <v>353</v>
      </c>
      <c r="B2110" s="7" t="s">
        <v>26</v>
      </c>
      <c r="C2110" s="7" t="s">
        <v>27</v>
      </c>
      <c r="D2110" s="7" t="s">
        <v>28</v>
      </c>
      <c r="E2110" s="7" t="s">
        <v>29</v>
      </c>
      <c r="F2110" s="7" t="s">
        <v>79</v>
      </c>
      <c r="G2110" s="7">
        <v>100.2974</v>
      </c>
      <c r="H2110" s="7"/>
    </row>
    <row r="2111" spans="1:8" x14ac:dyDescent="0.35">
      <c r="A2111" s="7" t="s">
        <v>353</v>
      </c>
      <c r="B2111" s="7" t="s">
        <v>26</v>
      </c>
      <c r="C2111" s="7" t="s">
        <v>27</v>
      </c>
      <c r="D2111" s="7" t="s">
        <v>28</v>
      </c>
      <c r="E2111" s="7" t="s">
        <v>29</v>
      </c>
      <c r="F2111" s="7" t="s">
        <v>80</v>
      </c>
      <c r="G2111" s="7">
        <v>100.5904</v>
      </c>
      <c r="H2111" s="7"/>
    </row>
    <row r="2112" spans="1:8" x14ac:dyDescent="0.35">
      <c r="A2112" s="7" t="s">
        <v>353</v>
      </c>
      <c r="B2112" s="7" t="s">
        <v>26</v>
      </c>
      <c r="C2112" s="7" t="s">
        <v>27</v>
      </c>
      <c r="D2112" s="7" t="s">
        <v>28</v>
      </c>
      <c r="E2112" s="7" t="s">
        <v>29</v>
      </c>
      <c r="F2112" s="7" t="s">
        <v>81</v>
      </c>
      <c r="G2112" s="7">
        <v>100.84529999999999</v>
      </c>
      <c r="H2112" s="7"/>
    </row>
    <row r="2113" spans="1:8" x14ac:dyDescent="0.35">
      <c r="A2113" s="7" t="s">
        <v>353</v>
      </c>
      <c r="B2113" s="7" t="s">
        <v>26</v>
      </c>
      <c r="C2113" s="7" t="s">
        <v>27</v>
      </c>
      <c r="D2113" s="7" t="s">
        <v>28</v>
      </c>
      <c r="E2113" s="7" t="s">
        <v>29</v>
      </c>
      <c r="F2113" s="7" t="s">
        <v>82</v>
      </c>
      <c r="G2113" s="7">
        <v>101.0748</v>
      </c>
      <c r="H2113" s="7"/>
    </row>
    <row r="2114" spans="1:8" x14ac:dyDescent="0.35">
      <c r="A2114" s="7" t="s">
        <v>353</v>
      </c>
      <c r="B2114" s="7" t="s">
        <v>26</v>
      </c>
      <c r="C2114" s="7" t="s">
        <v>27</v>
      </c>
      <c r="D2114" s="7" t="s">
        <v>28</v>
      </c>
      <c r="E2114" s="7" t="s">
        <v>29</v>
      </c>
      <c r="F2114" s="7" t="s">
        <v>83</v>
      </c>
      <c r="G2114" s="7">
        <v>101.0853</v>
      </c>
      <c r="H2114" s="7"/>
    </row>
    <row r="2115" spans="1:8" x14ac:dyDescent="0.35">
      <c r="A2115" s="7" t="s">
        <v>353</v>
      </c>
      <c r="B2115" s="7" t="s">
        <v>26</v>
      </c>
      <c r="C2115" s="7" t="s">
        <v>27</v>
      </c>
      <c r="D2115" s="7" t="s">
        <v>28</v>
      </c>
      <c r="E2115" s="7" t="s">
        <v>29</v>
      </c>
      <c r="F2115" s="7" t="s">
        <v>84</v>
      </c>
      <c r="G2115" s="7">
        <v>100.9435</v>
      </c>
      <c r="H2115" s="7"/>
    </row>
    <row r="2116" spans="1:8" x14ac:dyDescent="0.35">
      <c r="A2116" s="7" t="s">
        <v>353</v>
      </c>
      <c r="B2116" s="7" t="s">
        <v>26</v>
      </c>
      <c r="C2116" s="7" t="s">
        <v>27</v>
      </c>
      <c r="D2116" s="7" t="s">
        <v>28</v>
      </c>
      <c r="E2116" s="7" t="s">
        <v>29</v>
      </c>
      <c r="F2116" s="7" t="s">
        <v>85</v>
      </c>
      <c r="G2116" s="7">
        <v>100.6682</v>
      </c>
      <c r="H2116" s="7"/>
    </row>
    <row r="2117" spans="1:8" x14ac:dyDescent="0.35">
      <c r="A2117" s="7" t="s">
        <v>353</v>
      </c>
      <c r="B2117" s="7" t="s">
        <v>26</v>
      </c>
      <c r="C2117" s="7" t="s">
        <v>27</v>
      </c>
      <c r="D2117" s="7" t="s">
        <v>28</v>
      </c>
      <c r="E2117" s="7" t="s">
        <v>29</v>
      </c>
      <c r="F2117" s="7" t="s">
        <v>86</v>
      </c>
      <c r="G2117" s="7">
        <v>100.37130000000001</v>
      </c>
      <c r="H2117" s="7"/>
    </row>
    <row r="2118" spans="1:8" x14ac:dyDescent="0.35">
      <c r="A2118" s="7" t="s">
        <v>353</v>
      </c>
      <c r="B2118" s="7" t="s">
        <v>26</v>
      </c>
      <c r="C2118" s="7" t="s">
        <v>27</v>
      </c>
      <c r="D2118" s="7" t="s">
        <v>28</v>
      </c>
      <c r="E2118" s="7" t="s">
        <v>29</v>
      </c>
      <c r="F2118" s="7" t="s">
        <v>87</v>
      </c>
      <c r="G2118" s="7">
        <v>100.23520000000001</v>
      </c>
      <c r="H2118" s="7"/>
    </row>
    <row r="2119" spans="1:8" x14ac:dyDescent="0.35">
      <c r="A2119" s="7" t="s">
        <v>353</v>
      </c>
      <c r="B2119" s="7" t="s">
        <v>26</v>
      </c>
      <c r="C2119" s="7" t="s">
        <v>27</v>
      </c>
      <c r="D2119" s="7" t="s">
        <v>28</v>
      </c>
      <c r="E2119" s="7" t="s">
        <v>29</v>
      </c>
      <c r="F2119" s="7" t="s">
        <v>88</v>
      </c>
      <c r="G2119" s="7">
        <v>100.212</v>
      </c>
      <c r="H2119" s="7"/>
    </row>
    <row r="2120" spans="1:8" x14ac:dyDescent="0.35">
      <c r="A2120" s="7" t="s">
        <v>353</v>
      </c>
      <c r="B2120" s="7" t="s">
        <v>26</v>
      </c>
      <c r="C2120" s="7" t="s">
        <v>27</v>
      </c>
      <c r="D2120" s="7" t="s">
        <v>28</v>
      </c>
      <c r="E2120" s="7" t="s">
        <v>29</v>
      </c>
      <c r="F2120" s="7" t="s">
        <v>89</v>
      </c>
      <c r="G2120" s="7">
        <v>100.2599</v>
      </c>
      <c r="H2120" s="7"/>
    </row>
    <row r="2121" spans="1:8" x14ac:dyDescent="0.35">
      <c r="A2121" s="7" t="s">
        <v>353</v>
      </c>
      <c r="B2121" s="7" t="s">
        <v>26</v>
      </c>
      <c r="C2121" s="7" t="s">
        <v>27</v>
      </c>
      <c r="D2121" s="7" t="s">
        <v>28</v>
      </c>
      <c r="E2121" s="7" t="s">
        <v>29</v>
      </c>
      <c r="F2121" s="7" t="s">
        <v>90</v>
      </c>
      <c r="G2121" s="7">
        <v>100.36579999999999</v>
      </c>
      <c r="H2121" s="7"/>
    </row>
    <row r="2122" spans="1:8" x14ac:dyDescent="0.35">
      <c r="A2122" s="7" t="s">
        <v>353</v>
      </c>
      <c r="B2122" s="7" t="s">
        <v>26</v>
      </c>
      <c r="C2122" s="7" t="s">
        <v>27</v>
      </c>
      <c r="D2122" s="7" t="s">
        <v>28</v>
      </c>
      <c r="E2122" s="7" t="s">
        <v>29</v>
      </c>
      <c r="F2122" s="7" t="s">
        <v>91</v>
      </c>
      <c r="G2122" s="7">
        <v>100.3978</v>
      </c>
      <c r="H2122" s="7"/>
    </row>
    <row r="2123" spans="1:8" x14ac:dyDescent="0.35">
      <c r="A2123" s="7" t="s">
        <v>353</v>
      </c>
      <c r="B2123" s="7" t="s">
        <v>26</v>
      </c>
      <c r="C2123" s="7" t="s">
        <v>27</v>
      </c>
      <c r="D2123" s="7" t="s">
        <v>28</v>
      </c>
      <c r="E2123" s="7" t="s">
        <v>29</v>
      </c>
      <c r="F2123" s="7" t="s">
        <v>92</v>
      </c>
      <c r="G2123" s="7">
        <v>100.4975</v>
      </c>
      <c r="H2123" s="7"/>
    </row>
    <row r="2124" spans="1:8" x14ac:dyDescent="0.35">
      <c r="A2124" s="7" t="s">
        <v>353</v>
      </c>
      <c r="B2124" s="7" t="s">
        <v>26</v>
      </c>
      <c r="C2124" s="7" t="s">
        <v>27</v>
      </c>
      <c r="D2124" s="7" t="s">
        <v>28</v>
      </c>
      <c r="E2124" s="7" t="s">
        <v>29</v>
      </c>
      <c r="F2124" s="7" t="s">
        <v>93</v>
      </c>
      <c r="G2124" s="7">
        <v>100.4503</v>
      </c>
      <c r="H2124" s="7"/>
    </row>
    <row r="2125" spans="1:8" x14ac:dyDescent="0.35">
      <c r="A2125" s="7" t="s">
        <v>353</v>
      </c>
      <c r="B2125" s="7" t="s">
        <v>26</v>
      </c>
      <c r="C2125" s="7" t="s">
        <v>27</v>
      </c>
      <c r="D2125" s="7" t="s">
        <v>28</v>
      </c>
      <c r="E2125" s="7" t="s">
        <v>29</v>
      </c>
      <c r="F2125" s="7" t="s">
        <v>94</v>
      </c>
      <c r="G2125" s="7">
        <v>100.3822</v>
      </c>
      <c r="H2125" s="7"/>
    </row>
    <row r="2126" spans="1:8" x14ac:dyDescent="0.35">
      <c r="A2126" s="7" t="s">
        <v>353</v>
      </c>
      <c r="B2126" s="7" t="s">
        <v>26</v>
      </c>
      <c r="C2126" s="7" t="s">
        <v>27</v>
      </c>
      <c r="D2126" s="7" t="s">
        <v>28</v>
      </c>
      <c r="E2126" s="7" t="s">
        <v>29</v>
      </c>
      <c r="F2126" s="7" t="s">
        <v>95</v>
      </c>
      <c r="G2126" s="7">
        <v>100.20959999999999</v>
      </c>
      <c r="H2126" s="7"/>
    </row>
    <row r="2127" spans="1:8" x14ac:dyDescent="0.35">
      <c r="A2127" s="7" t="s">
        <v>353</v>
      </c>
      <c r="B2127" s="7" t="s">
        <v>26</v>
      </c>
      <c r="C2127" s="7" t="s">
        <v>27</v>
      </c>
      <c r="D2127" s="7" t="s">
        <v>28</v>
      </c>
      <c r="E2127" s="7" t="s">
        <v>29</v>
      </c>
      <c r="F2127" s="7" t="s">
        <v>96</v>
      </c>
      <c r="G2127" s="7">
        <v>100.006</v>
      </c>
      <c r="H2127" s="7"/>
    </row>
    <row r="2128" spans="1:8" x14ac:dyDescent="0.35">
      <c r="A2128" s="7" t="s">
        <v>353</v>
      </c>
      <c r="B2128" s="7" t="s">
        <v>26</v>
      </c>
      <c r="C2128" s="7" t="s">
        <v>27</v>
      </c>
      <c r="D2128" s="7" t="s">
        <v>28</v>
      </c>
      <c r="E2128" s="7" t="s">
        <v>29</v>
      </c>
      <c r="F2128" s="7" t="s">
        <v>97</v>
      </c>
      <c r="G2128" s="7">
        <v>99.876369999999994</v>
      </c>
      <c r="H2128" s="7"/>
    </row>
    <row r="2129" spans="1:8" x14ac:dyDescent="0.35">
      <c r="A2129" s="7" t="s">
        <v>353</v>
      </c>
      <c r="B2129" s="7" t="s">
        <v>26</v>
      </c>
      <c r="C2129" s="7" t="s">
        <v>27</v>
      </c>
      <c r="D2129" s="7" t="s">
        <v>28</v>
      </c>
      <c r="E2129" s="7" t="s">
        <v>29</v>
      </c>
      <c r="F2129" s="7" t="s">
        <v>98</v>
      </c>
      <c r="G2129" s="7">
        <v>99.861890000000002</v>
      </c>
      <c r="H2129" s="7"/>
    </row>
    <row r="2130" spans="1:8" x14ac:dyDescent="0.35">
      <c r="A2130" s="7" t="s">
        <v>353</v>
      </c>
      <c r="B2130" s="7" t="s">
        <v>26</v>
      </c>
      <c r="C2130" s="7" t="s">
        <v>27</v>
      </c>
      <c r="D2130" s="7" t="s">
        <v>28</v>
      </c>
      <c r="E2130" s="7" t="s">
        <v>29</v>
      </c>
      <c r="F2130" s="7" t="s">
        <v>99</v>
      </c>
      <c r="G2130" s="7">
        <v>99.970249999999993</v>
      </c>
      <c r="H2130" s="7"/>
    </row>
    <row r="2131" spans="1:8" x14ac:dyDescent="0.35">
      <c r="A2131" s="7" t="s">
        <v>353</v>
      </c>
      <c r="B2131" s="7" t="s">
        <v>26</v>
      </c>
      <c r="C2131" s="7" t="s">
        <v>27</v>
      </c>
      <c r="D2131" s="7" t="s">
        <v>28</v>
      </c>
      <c r="E2131" s="7" t="s">
        <v>29</v>
      </c>
      <c r="F2131" s="7" t="s">
        <v>100</v>
      </c>
      <c r="G2131" s="7">
        <v>100.09059999999999</v>
      </c>
      <c r="H2131" s="7"/>
    </row>
    <row r="2132" spans="1:8" x14ac:dyDescent="0.35">
      <c r="A2132" s="7" t="s">
        <v>353</v>
      </c>
      <c r="B2132" s="7" t="s">
        <v>26</v>
      </c>
      <c r="C2132" s="7" t="s">
        <v>27</v>
      </c>
      <c r="D2132" s="7" t="s">
        <v>28</v>
      </c>
      <c r="E2132" s="7" t="s">
        <v>29</v>
      </c>
      <c r="F2132" s="7" t="s">
        <v>101</v>
      </c>
      <c r="G2132" s="7">
        <v>100.1837</v>
      </c>
      <c r="H2132" s="7"/>
    </row>
    <row r="2133" spans="1:8" x14ac:dyDescent="0.35">
      <c r="A2133" s="7" t="s">
        <v>353</v>
      </c>
      <c r="B2133" s="7" t="s">
        <v>26</v>
      </c>
      <c r="C2133" s="7" t="s">
        <v>27</v>
      </c>
      <c r="D2133" s="7" t="s">
        <v>28</v>
      </c>
      <c r="E2133" s="7" t="s">
        <v>29</v>
      </c>
      <c r="F2133" s="7" t="s">
        <v>102</v>
      </c>
      <c r="G2133" s="7">
        <v>100.26090000000001</v>
      </c>
      <c r="H2133" s="7"/>
    </row>
    <row r="2134" spans="1:8" x14ac:dyDescent="0.35">
      <c r="A2134" s="7" t="s">
        <v>353</v>
      </c>
      <c r="B2134" s="7" t="s">
        <v>26</v>
      </c>
      <c r="C2134" s="7" t="s">
        <v>27</v>
      </c>
      <c r="D2134" s="7" t="s">
        <v>28</v>
      </c>
      <c r="E2134" s="7" t="s">
        <v>29</v>
      </c>
      <c r="F2134" s="7" t="s">
        <v>103</v>
      </c>
      <c r="G2134" s="7">
        <v>100.29170000000001</v>
      </c>
      <c r="H2134" s="7"/>
    </row>
    <row r="2135" spans="1:8" x14ac:dyDescent="0.35">
      <c r="A2135" s="7" t="s">
        <v>353</v>
      </c>
      <c r="B2135" s="7" t="s">
        <v>26</v>
      </c>
      <c r="C2135" s="7" t="s">
        <v>27</v>
      </c>
      <c r="D2135" s="7" t="s">
        <v>28</v>
      </c>
      <c r="E2135" s="7" t="s">
        <v>29</v>
      </c>
      <c r="F2135" s="7" t="s">
        <v>104</v>
      </c>
      <c r="G2135" s="7">
        <v>100.42400000000001</v>
      </c>
      <c r="H2135" s="7"/>
    </row>
    <row r="2136" spans="1:8" x14ac:dyDescent="0.35">
      <c r="A2136" s="7" t="s">
        <v>353</v>
      </c>
      <c r="B2136" s="7" t="s">
        <v>26</v>
      </c>
      <c r="C2136" s="7" t="s">
        <v>27</v>
      </c>
      <c r="D2136" s="7" t="s">
        <v>28</v>
      </c>
      <c r="E2136" s="7" t="s">
        <v>29</v>
      </c>
      <c r="F2136" s="7" t="s">
        <v>105</v>
      </c>
      <c r="G2136" s="7">
        <v>100.4567</v>
      </c>
      <c r="H2136" s="7"/>
    </row>
    <row r="2137" spans="1:8" x14ac:dyDescent="0.35">
      <c r="A2137" s="7" t="s">
        <v>353</v>
      </c>
      <c r="B2137" s="7" t="s">
        <v>26</v>
      </c>
      <c r="C2137" s="7" t="s">
        <v>27</v>
      </c>
      <c r="D2137" s="7" t="s">
        <v>28</v>
      </c>
      <c r="E2137" s="7" t="s">
        <v>29</v>
      </c>
      <c r="F2137" s="7" t="s">
        <v>106</v>
      </c>
      <c r="G2137" s="7">
        <v>100.304</v>
      </c>
      <c r="H2137" s="7"/>
    </row>
    <row r="2138" spans="1:8" x14ac:dyDescent="0.35">
      <c r="A2138" s="7" t="s">
        <v>353</v>
      </c>
      <c r="B2138" s="7" t="s">
        <v>26</v>
      </c>
      <c r="C2138" s="7" t="s">
        <v>27</v>
      </c>
      <c r="D2138" s="7" t="s">
        <v>28</v>
      </c>
      <c r="E2138" s="7" t="s">
        <v>29</v>
      </c>
      <c r="F2138" s="7" t="s">
        <v>107</v>
      </c>
      <c r="G2138" s="7">
        <v>100.16200000000001</v>
      </c>
      <c r="H2138" s="7"/>
    </row>
    <row r="2139" spans="1:8" x14ac:dyDescent="0.35">
      <c r="A2139" s="7" t="s">
        <v>353</v>
      </c>
      <c r="B2139" s="7" t="s">
        <v>26</v>
      </c>
      <c r="C2139" s="7" t="s">
        <v>27</v>
      </c>
      <c r="D2139" s="7" t="s">
        <v>28</v>
      </c>
      <c r="E2139" s="7" t="s">
        <v>29</v>
      </c>
      <c r="F2139" s="7" t="s">
        <v>108</v>
      </c>
      <c r="G2139" s="7">
        <v>99.964420000000004</v>
      </c>
      <c r="H2139" s="7"/>
    </row>
    <row r="2140" spans="1:8" x14ac:dyDescent="0.35">
      <c r="A2140" s="7" t="s">
        <v>353</v>
      </c>
      <c r="B2140" s="7" t="s">
        <v>26</v>
      </c>
      <c r="C2140" s="7" t="s">
        <v>27</v>
      </c>
      <c r="D2140" s="7" t="s">
        <v>28</v>
      </c>
      <c r="E2140" s="7" t="s">
        <v>29</v>
      </c>
      <c r="F2140" s="7" t="s">
        <v>109</v>
      </c>
      <c r="G2140" s="7">
        <v>99.723849999999999</v>
      </c>
      <c r="H2140" s="7"/>
    </row>
    <row r="2141" spans="1:8" x14ac:dyDescent="0.35">
      <c r="A2141" s="7" t="s">
        <v>353</v>
      </c>
      <c r="B2141" s="7" t="s">
        <v>26</v>
      </c>
      <c r="C2141" s="7" t="s">
        <v>27</v>
      </c>
      <c r="D2141" s="7" t="s">
        <v>28</v>
      </c>
      <c r="E2141" s="7" t="s">
        <v>29</v>
      </c>
      <c r="F2141" s="7" t="s">
        <v>110</v>
      </c>
      <c r="G2141" s="7">
        <v>99.729420000000005</v>
      </c>
      <c r="H2141" s="7"/>
    </row>
    <row r="2142" spans="1:8" x14ac:dyDescent="0.35">
      <c r="A2142" s="7" t="s">
        <v>353</v>
      </c>
      <c r="B2142" s="7" t="s">
        <v>26</v>
      </c>
      <c r="C2142" s="7" t="s">
        <v>27</v>
      </c>
      <c r="D2142" s="7" t="s">
        <v>28</v>
      </c>
      <c r="E2142" s="7" t="s">
        <v>29</v>
      </c>
      <c r="F2142" s="7" t="s">
        <v>111</v>
      </c>
      <c r="G2142" s="7">
        <v>99.792180000000002</v>
      </c>
      <c r="H2142" s="7"/>
    </row>
    <row r="2143" spans="1:8" x14ac:dyDescent="0.35">
      <c r="A2143" s="7" t="s">
        <v>353</v>
      </c>
      <c r="B2143" s="7" t="s">
        <v>26</v>
      </c>
      <c r="C2143" s="7" t="s">
        <v>27</v>
      </c>
      <c r="D2143" s="7" t="s">
        <v>28</v>
      </c>
      <c r="E2143" s="7" t="s">
        <v>29</v>
      </c>
      <c r="F2143" s="7" t="s">
        <v>112</v>
      </c>
      <c r="G2143" s="7">
        <v>99.836590000000001</v>
      </c>
      <c r="H2143" s="7"/>
    </row>
    <row r="2144" spans="1:8" x14ac:dyDescent="0.35">
      <c r="A2144" s="7" t="s">
        <v>353</v>
      </c>
      <c r="B2144" s="7" t="s">
        <v>26</v>
      </c>
      <c r="C2144" s="7" t="s">
        <v>27</v>
      </c>
      <c r="D2144" s="7" t="s">
        <v>28</v>
      </c>
      <c r="E2144" s="7" t="s">
        <v>29</v>
      </c>
      <c r="F2144" s="7" t="s">
        <v>113</v>
      </c>
      <c r="G2144" s="7">
        <v>99.93732</v>
      </c>
      <c r="H2144" s="7"/>
    </row>
    <row r="2145" spans="1:8" x14ac:dyDescent="0.35">
      <c r="A2145" s="7" t="s">
        <v>353</v>
      </c>
      <c r="B2145" s="7" t="s">
        <v>26</v>
      </c>
      <c r="C2145" s="7" t="s">
        <v>27</v>
      </c>
      <c r="D2145" s="7" t="s">
        <v>28</v>
      </c>
      <c r="E2145" s="7" t="s">
        <v>29</v>
      </c>
      <c r="F2145" s="7" t="s">
        <v>114</v>
      </c>
      <c r="G2145" s="7">
        <v>100.17529999999999</v>
      </c>
      <c r="H2145" s="7"/>
    </row>
    <row r="2146" spans="1:8" x14ac:dyDescent="0.35">
      <c r="A2146" s="7" t="s">
        <v>353</v>
      </c>
      <c r="B2146" s="7" t="s">
        <v>26</v>
      </c>
      <c r="C2146" s="7" t="s">
        <v>27</v>
      </c>
      <c r="D2146" s="7" t="s">
        <v>28</v>
      </c>
      <c r="E2146" s="7" t="s">
        <v>29</v>
      </c>
      <c r="F2146" s="7" t="s">
        <v>115</v>
      </c>
      <c r="G2146" s="7">
        <v>100.5368</v>
      </c>
      <c r="H2146" s="7"/>
    </row>
    <row r="2147" spans="1:8" x14ac:dyDescent="0.35">
      <c r="A2147" s="7" t="s">
        <v>353</v>
      </c>
      <c r="B2147" s="7" t="s">
        <v>26</v>
      </c>
      <c r="C2147" s="7" t="s">
        <v>27</v>
      </c>
      <c r="D2147" s="7" t="s">
        <v>28</v>
      </c>
      <c r="E2147" s="7" t="s">
        <v>29</v>
      </c>
      <c r="F2147" s="7" t="s">
        <v>116</v>
      </c>
      <c r="G2147" s="7">
        <v>101.074</v>
      </c>
      <c r="H2147" s="7"/>
    </row>
    <row r="2148" spans="1:8" x14ac:dyDescent="0.35">
      <c r="A2148" s="7" t="s">
        <v>353</v>
      </c>
      <c r="B2148" s="7" t="s">
        <v>26</v>
      </c>
      <c r="C2148" s="7" t="s">
        <v>27</v>
      </c>
      <c r="D2148" s="7" t="s">
        <v>28</v>
      </c>
      <c r="E2148" s="7" t="s">
        <v>29</v>
      </c>
      <c r="F2148" s="7" t="s">
        <v>117</v>
      </c>
      <c r="G2148" s="7">
        <v>101.34399999999999</v>
      </c>
      <c r="H2148" s="7"/>
    </row>
    <row r="2149" spans="1:8" x14ac:dyDescent="0.35">
      <c r="A2149" s="7" t="s">
        <v>353</v>
      </c>
      <c r="B2149" s="7" t="s">
        <v>26</v>
      </c>
      <c r="C2149" s="7" t="s">
        <v>27</v>
      </c>
      <c r="D2149" s="7" t="s">
        <v>28</v>
      </c>
      <c r="E2149" s="7" t="s">
        <v>29</v>
      </c>
      <c r="F2149" s="7" t="s">
        <v>118</v>
      </c>
      <c r="G2149" s="7">
        <v>101.36409999999999</v>
      </c>
      <c r="H2149" s="7"/>
    </row>
    <row r="2150" spans="1:8" x14ac:dyDescent="0.35">
      <c r="A2150" s="7" t="s">
        <v>353</v>
      </c>
      <c r="B2150" s="7" t="s">
        <v>26</v>
      </c>
      <c r="C2150" s="7" t="s">
        <v>27</v>
      </c>
      <c r="D2150" s="7" t="s">
        <v>28</v>
      </c>
      <c r="E2150" s="7" t="s">
        <v>29</v>
      </c>
      <c r="F2150" s="7" t="s">
        <v>119</v>
      </c>
      <c r="G2150" s="7">
        <v>101.3424</v>
      </c>
      <c r="H2150" s="7"/>
    </row>
    <row r="2151" spans="1:8" x14ac:dyDescent="0.35">
      <c r="A2151" s="7" t="s">
        <v>353</v>
      </c>
      <c r="B2151" s="7" t="s">
        <v>26</v>
      </c>
      <c r="C2151" s="7" t="s">
        <v>27</v>
      </c>
      <c r="D2151" s="7" t="s">
        <v>28</v>
      </c>
      <c r="E2151" s="7" t="s">
        <v>29</v>
      </c>
      <c r="F2151" s="7" t="s">
        <v>120</v>
      </c>
      <c r="G2151" s="7">
        <v>101.2591</v>
      </c>
      <c r="H2151" s="7"/>
    </row>
    <row r="2152" spans="1:8" x14ac:dyDescent="0.35">
      <c r="A2152" s="7" t="s">
        <v>353</v>
      </c>
      <c r="B2152" s="7" t="s">
        <v>26</v>
      </c>
      <c r="C2152" s="7" t="s">
        <v>27</v>
      </c>
      <c r="D2152" s="7" t="s">
        <v>28</v>
      </c>
      <c r="E2152" s="7" t="s">
        <v>29</v>
      </c>
      <c r="F2152" s="7" t="s">
        <v>121</v>
      </c>
      <c r="G2152" s="7">
        <v>101.0877</v>
      </c>
      <c r="H2152" s="7"/>
    </row>
    <row r="2153" spans="1:8" x14ac:dyDescent="0.35">
      <c r="A2153" s="7" t="s">
        <v>353</v>
      </c>
      <c r="B2153" s="7" t="s">
        <v>26</v>
      </c>
      <c r="C2153" s="7" t="s">
        <v>27</v>
      </c>
      <c r="D2153" s="7" t="s">
        <v>28</v>
      </c>
      <c r="E2153" s="7" t="s">
        <v>29</v>
      </c>
      <c r="F2153" s="7" t="s">
        <v>122</v>
      </c>
      <c r="G2153" s="7">
        <v>100.97750000000001</v>
      </c>
      <c r="H2153" s="7"/>
    </row>
    <row r="2154" spans="1:8" x14ac:dyDescent="0.35">
      <c r="A2154" s="7" t="s">
        <v>353</v>
      </c>
      <c r="B2154" s="7" t="s">
        <v>26</v>
      </c>
      <c r="C2154" s="7" t="s">
        <v>27</v>
      </c>
      <c r="D2154" s="7" t="s">
        <v>28</v>
      </c>
      <c r="E2154" s="7" t="s">
        <v>29</v>
      </c>
      <c r="F2154" s="7" t="s">
        <v>123</v>
      </c>
      <c r="G2154" s="7">
        <v>100.9272</v>
      </c>
      <c r="H2154" s="7"/>
    </row>
    <row r="2155" spans="1:8" x14ac:dyDescent="0.35">
      <c r="A2155" s="7" t="s">
        <v>353</v>
      </c>
      <c r="B2155" s="7" t="s">
        <v>26</v>
      </c>
      <c r="C2155" s="7" t="s">
        <v>27</v>
      </c>
      <c r="D2155" s="7" t="s">
        <v>28</v>
      </c>
      <c r="E2155" s="7" t="s">
        <v>29</v>
      </c>
      <c r="F2155" s="7" t="s">
        <v>124</v>
      </c>
      <c r="G2155" s="7">
        <v>100.9952</v>
      </c>
      <c r="H2155" s="7"/>
    </row>
    <row r="2156" spans="1:8" x14ac:dyDescent="0.35">
      <c r="A2156" s="7" t="s">
        <v>353</v>
      </c>
      <c r="B2156" s="7" t="s">
        <v>26</v>
      </c>
      <c r="C2156" s="7" t="s">
        <v>27</v>
      </c>
      <c r="D2156" s="7" t="s">
        <v>28</v>
      </c>
      <c r="E2156" s="7" t="s">
        <v>29</v>
      </c>
      <c r="F2156" s="7" t="s">
        <v>125</v>
      </c>
      <c r="G2156" s="7">
        <v>101.05119999999999</v>
      </c>
      <c r="H2156" s="7"/>
    </row>
    <row r="2157" spans="1:8" x14ac:dyDescent="0.35">
      <c r="A2157" s="7" t="s">
        <v>353</v>
      </c>
      <c r="B2157" s="7" t="s">
        <v>26</v>
      </c>
      <c r="C2157" s="7" t="s">
        <v>27</v>
      </c>
      <c r="D2157" s="7" t="s">
        <v>28</v>
      </c>
      <c r="E2157" s="7" t="s">
        <v>29</v>
      </c>
      <c r="F2157" s="7" t="s">
        <v>126</v>
      </c>
      <c r="G2157" s="7">
        <v>101.0065</v>
      </c>
      <c r="H2157" s="7"/>
    </row>
    <row r="2158" spans="1:8" x14ac:dyDescent="0.35">
      <c r="A2158" s="7" t="s">
        <v>353</v>
      </c>
      <c r="B2158" s="7" t="s">
        <v>26</v>
      </c>
      <c r="C2158" s="7" t="s">
        <v>27</v>
      </c>
      <c r="D2158" s="7" t="s">
        <v>28</v>
      </c>
      <c r="E2158" s="7" t="s">
        <v>29</v>
      </c>
      <c r="F2158" s="7" t="s">
        <v>127</v>
      </c>
      <c r="G2158" s="7">
        <v>100.85769999999999</v>
      </c>
      <c r="H2158" s="7"/>
    </row>
    <row r="2159" spans="1:8" x14ac:dyDescent="0.35">
      <c r="A2159" s="7" t="s">
        <v>353</v>
      </c>
      <c r="B2159" s="7" t="s">
        <v>26</v>
      </c>
      <c r="C2159" s="7" t="s">
        <v>27</v>
      </c>
      <c r="D2159" s="7" t="s">
        <v>28</v>
      </c>
      <c r="E2159" s="7" t="s">
        <v>29</v>
      </c>
      <c r="F2159" s="7" t="s">
        <v>128</v>
      </c>
      <c r="G2159" s="7">
        <v>100.73139999999999</v>
      </c>
      <c r="H2159" s="7"/>
    </row>
    <row r="2160" spans="1:8" x14ac:dyDescent="0.35">
      <c r="A2160" s="7" t="s">
        <v>353</v>
      </c>
      <c r="B2160" s="7" t="s">
        <v>26</v>
      </c>
      <c r="C2160" s="7" t="s">
        <v>27</v>
      </c>
      <c r="D2160" s="7" t="s">
        <v>28</v>
      </c>
      <c r="E2160" s="7" t="s">
        <v>29</v>
      </c>
      <c r="F2160" s="7" t="s">
        <v>129</v>
      </c>
      <c r="G2160" s="7">
        <v>100.3365</v>
      </c>
      <c r="H2160" s="7"/>
    </row>
    <row r="2161" spans="1:8" x14ac:dyDescent="0.35">
      <c r="A2161" s="7" t="s">
        <v>353</v>
      </c>
      <c r="B2161" s="7" t="s">
        <v>26</v>
      </c>
      <c r="C2161" s="7" t="s">
        <v>27</v>
      </c>
      <c r="D2161" s="7" t="s">
        <v>28</v>
      </c>
      <c r="E2161" s="7" t="s">
        <v>29</v>
      </c>
      <c r="F2161" s="7" t="s">
        <v>130</v>
      </c>
      <c r="G2161" s="7">
        <v>99.985659999999996</v>
      </c>
      <c r="H2161" s="7"/>
    </row>
    <row r="2162" spans="1:8" x14ac:dyDescent="0.35">
      <c r="A2162" s="7" t="s">
        <v>353</v>
      </c>
      <c r="B2162" s="7" t="s">
        <v>26</v>
      </c>
      <c r="C2162" s="7" t="s">
        <v>27</v>
      </c>
      <c r="D2162" s="7" t="s">
        <v>28</v>
      </c>
      <c r="E2162" s="7" t="s">
        <v>29</v>
      </c>
      <c r="F2162" s="7" t="s">
        <v>131</v>
      </c>
      <c r="G2162" s="7">
        <v>99.697190000000006</v>
      </c>
      <c r="H2162" s="7"/>
    </row>
    <row r="2163" spans="1:8" x14ac:dyDescent="0.35">
      <c r="A2163" s="7" t="s">
        <v>353</v>
      </c>
      <c r="B2163" s="7" t="s">
        <v>26</v>
      </c>
      <c r="C2163" s="7" t="s">
        <v>27</v>
      </c>
      <c r="D2163" s="7" t="s">
        <v>28</v>
      </c>
      <c r="E2163" s="7" t="s">
        <v>29</v>
      </c>
      <c r="F2163" s="7" t="s">
        <v>132</v>
      </c>
      <c r="G2163" s="7">
        <v>99.644980000000004</v>
      </c>
      <c r="H2163" s="7"/>
    </row>
    <row r="2164" spans="1:8" x14ac:dyDescent="0.35">
      <c r="A2164" s="7" t="s">
        <v>353</v>
      </c>
      <c r="B2164" s="7" t="s">
        <v>26</v>
      </c>
      <c r="C2164" s="7" t="s">
        <v>27</v>
      </c>
      <c r="D2164" s="7" t="s">
        <v>28</v>
      </c>
      <c r="E2164" s="7" t="s">
        <v>29</v>
      </c>
      <c r="F2164" s="7" t="s">
        <v>133</v>
      </c>
      <c r="G2164" s="7">
        <v>99.949569999999994</v>
      </c>
      <c r="H2164" s="7"/>
    </row>
    <row r="2165" spans="1:8" x14ac:dyDescent="0.35">
      <c r="A2165" s="7" t="s">
        <v>353</v>
      </c>
      <c r="B2165" s="7" t="s">
        <v>26</v>
      </c>
      <c r="C2165" s="7" t="s">
        <v>27</v>
      </c>
      <c r="D2165" s="7" t="s">
        <v>28</v>
      </c>
      <c r="E2165" s="7" t="s">
        <v>29</v>
      </c>
      <c r="F2165" s="7" t="s">
        <v>134</v>
      </c>
      <c r="G2165" s="7">
        <v>100.4318</v>
      </c>
      <c r="H2165" s="7"/>
    </row>
    <row r="2166" spans="1:8" x14ac:dyDescent="0.35">
      <c r="A2166" s="7" t="s">
        <v>353</v>
      </c>
      <c r="B2166" s="7" t="s">
        <v>26</v>
      </c>
      <c r="C2166" s="7" t="s">
        <v>27</v>
      </c>
      <c r="D2166" s="7" t="s">
        <v>28</v>
      </c>
      <c r="E2166" s="7" t="s">
        <v>29</v>
      </c>
      <c r="F2166" s="7" t="s">
        <v>135</v>
      </c>
      <c r="G2166" s="7">
        <v>100.6069</v>
      </c>
      <c r="H2166" s="7"/>
    </row>
    <row r="2167" spans="1:8" x14ac:dyDescent="0.35">
      <c r="A2167" s="7" t="s">
        <v>353</v>
      </c>
      <c r="B2167" s="7" t="s">
        <v>26</v>
      </c>
      <c r="C2167" s="7" t="s">
        <v>27</v>
      </c>
      <c r="D2167" s="7" t="s">
        <v>28</v>
      </c>
      <c r="E2167" s="7" t="s">
        <v>29</v>
      </c>
      <c r="F2167" s="7" t="s">
        <v>136</v>
      </c>
      <c r="G2167" s="7">
        <v>100.29649999999999</v>
      </c>
      <c r="H2167" s="7"/>
    </row>
    <row r="2168" spans="1:8" x14ac:dyDescent="0.35">
      <c r="A2168" s="7" t="s">
        <v>353</v>
      </c>
      <c r="B2168" s="7" t="s">
        <v>26</v>
      </c>
      <c r="C2168" s="7" t="s">
        <v>27</v>
      </c>
      <c r="D2168" s="7" t="s">
        <v>28</v>
      </c>
      <c r="E2168" s="7" t="s">
        <v>29</v>
      </c>
      <c r="F2168" s="7" t="s">
        <v>137</v>
      </c>
      <c r="G2168" s="7">
        <v>99.951390000000004</v>
      </c>
      <c r="H2168" s="7"/>
    </row>
    <row r="2169" spans="1:8" x14ac:dyDescent="0.35">
      <c r="A2169" s="7" t="s">
        <v>353</v>
      </c>
      <c r="B2169" s="7" t="s">
        <v>26</v>
      </c>
      <c r="C2169" s="7" t="s">
        <v>27</v>
      </c>
      <c r="D2169" s="7" t="s">
        <v>28</v>
      </c>
      <c r="E2169" s="7" t="s">
        <v>29</v>
      </c>
      <c r="F2169" s="7" t="s">
        <v>138</v>
      </c>
      <c r="G2169" s="7">
        <v>99.767520000000005</v>
      </c>
      <c r="H2169" s="7"/>
    </row>
    <row r="2170" spans="1:8" x14ac:dyDescent="0.35">
      <c r="A2170" s="7" t="s">
        <v>353</v>
      </c>
      <c r="B2170" s="7" t="s">
        <v>26</v>
      </c>
      <c r="C2170" s="7" t="s">
        <v>27</v>
      </c>
      <c r="D2170" s="7" t="s">
        <v>28</v>
      </c>
      <c r="E2170" s="7" t="s">
        <v>29</v>
      </c>
      <c r="F2170" s="7" t="s">
        <v>139</v>
      </c>
      <c r="G2170" s="7">
        <v>99.832430000000002</v>
      </c>
      <c r="H2170" s="7"/>
    </row>
    <row r="2171" spans="1:8" x14ac:dyDescent="0.35">
      <c r="A2171" s="7" t="s">
        <v>353</v>
      </c>
      <c r="B2171" s="7" t="s">
        <v>26</v>
      </c>
      <c r="C2171" s="7" t="s">
        <v>27</v>
      </c>
      <c r="D2171" s="7" t="s">
        <v>28</v>
      </c>
      <c r="E2171" s="7" t="s">
        <v>29</v>
      </c>
      <c r="F2171" s="7" t="s">
        <v>140</v>
      </c>
      <c r="G2171" s="7">
        <v>99.910920000000004</v>
      </c>
      <c r="H2171" s="7"/>
    </row>
    <row r="2172" spans="1:8" x14ac:dyDescent="0.35">
      <c r="A2172" s="7" t="s">
        <v>353</v>
      </c>
      <c r="B2172" s="7" t="s">
        <v>26</v>
      </c>
      <c r="C2172" s="7" t="s">
        <v>27</v>
      </c>
      <c r="D2172" s="7" t="s">
        <v>28</v>
      </c>
      <c r="E2172" s="7" t="s">
        <v>29</v>
      </c>
      <c r="F2172" s="7" t="s">
        <v>141</v>
      </c>
      <c r="G2172" s="7">
        <v>99.678719999999998</v>
      </c>
      <c r="H2172" s="7"/>
    </row>
    <row r="2173" spans="1:8" x14ac:dyDescent="0.35">
      <c r="A2173" s="7" t="s">
        <v>353</v>
      </c>
      <c r="B2173" s="7" t="s">
        <v>26</v>
      </c>
      <c r="C2173" s="7" t="s">
        <v>27</v>
      </c>
      <c r="D2173" s="7" t="s">
        <v>28</v>
      </c>
      <c r="E2173" s="7" t="s">
        <v>29</v>
      </c>
      <c r="F2173" s="7" t="s">
        <v>142</v>
      </c>
      <c r="G2173" s="7">
        <v>99.240989999999996</v>
      </c>
      <c r="H2173" s="7"/>
    </row>
    <row r="2174" spans="1:8" x14ac:dyDescent="0.35">
      <c r="A2174" s="7" t="s">
        <v>353</v>
      </c>
      <c r="B2174" s="7" t="s">
        <v>26</v>
      </c>
      <c r="C2174" s="7" t="s">
        <v>27</v>
      </c>
      <c r="D2174" s="7" t="s">
        <v>28</v>
      </c>
      <c r="E2174" s="7" t="s">
        <v>29</v>
      </c>
      <c r="F2174" s="7" t="s">
        <v>143</v>
      </c>
      <c r="G2174" s="7">
        <v>99.165559999999999</v>
      </c>
      <c r="H2174" s="7"/>
    </row>
    <row r="2175" spans="1:8" x14ac:dyDescent="0.35">
      <c r="A2175" s="7" t="s">
        <v>353</v>
      </c>
      <c r="B2175" s="7" t="s">
        <v>26</v>
      </c>
      <c r="C2175" s="7" t="s">
        <v>27</v>
      </c>
      <c r="D2175" s="7" t="s">
        <v>28</v>
      </c>
      <c r="E2175" s="7" t="s">
        <v>29</v>
      </c>
      <c r="F2175" s="7" t="s">
        <v>144</v>
      </c>
      <c r="G2175" s="7">
        <v>99.527500000000003</v>
      </c>
      <c r="H2175" s="7"/>
    </row>
    <row r="2176" spans="1:8" x14ac:dyDescent="0.35">
      <c r="A2176" s="7" t="s">
        <v>353</v>
      </c>
      <c r="B2176" s="7" t="s">
        <v>26</v>
      </c>
      <c r="C2176" s="7" t="s">
        <v>27</v>
      </c>
      <c r="D2176" s="7" t="s">
        <v>28</v>
      </c>
      <c r="E2176" s="7" t="s">
        <v>29</v>
      </c>
      <c r="F2176" s="7" t="s">
        <v>145</v>
      </c>
      <c r="G2176" s="7">
        <v>100.08410000000001</v>
      </c>
      <c r="H2176" s="7"/>
    </row>
    <row r="2177" spans="1:8" x14ac:dyDescent="0.35">
      <c r="A2177" s="7" t="s">
        <v>353</v>
      </c>
      <c r="B2177" s="7" t="s">
        <v>26</v>
      </c>
      <c r="C2177" s="7" t="s">
        <v>27</v>
      </c>
      <c r="D2177" s="7" t="s">
        <v>28</v>
      </c>
      <c r="E2177" s="7" t="s">
        <v>29</v>
      </c>
      <c r="F2177" s="7" t="s">
        <v>146</v>
      </c>
      <c r="G2177" s="7">
        <v>100.4106</v>
      </c>
      <c r="H2177" s="7"/>
    </row>
    <row r="2178" spans="1:8" x14ac:dyDescent="0.35">
      <c r="A2178" s="7" t="s">
        <v>353</v>
      </c>
      <c r="B2178" s="7" t="s">
        <v>26</v>
      </c>
      <c r="C2178" s="7" t="s">
        <v>27</v>
      </c>
      <c r="D2178" s="7" t="s">
        <v>28</v>
      </c>
      <c r="E2178" s="7" t="s">
        <v>29</v>
      </c>
      <c r="F2178" s="7" t="s">
        <v>147</v>
      </c>
      <c r="G2178" s="7">
        <v>100.43770000000001</v>
      </c>
      <c r="H2178" s="7"/>
    </row>
    <row r="2179" spans="1:8" x14ac:dyDescent="0.35">
      <c r="A2179" s="7" t="s">
        <v>353</v>
      </c>
      <c r="B2179" s="7" t="s">
        <v>26</v>
      </c>
      <c r="C2179" s="7" t="s">
        <v>27</v>
      </c>
      <c r="D2179" s="7" t="s">
        <v>28</v>
      </c>
      <c r="E2179" s="7" t="s">
        <v>29</v>
      </c>
      <c r="F2179" s="7" t="s">
        <v>148</v>
      </c>
      <c r="G2179" s="7">
        <v>100.32470000000001</v>
      </c>
      <c r="H2179" s="7"/>
    </row>
    <row r="2180" spans="1:8" x14ac:dyDescent="0.35">
      <c r="A2180" s="7" t="s">
        <v>353</v>
      </c>
      <c r="B2180" s="7" t="s">
        <v>26</v>
      </c>
      <c r="C2180" s="7" t="s">
        <v>27</v>
      </c>
      <c r="D2180" s="7" t="s">
        <v>28</v>
      </c>
      <c r="E2180" s="7" t="s">
        <v>29</v>
      </c>
      <c r="F2180" s="7" t="s">
        <v>149</v>
      </c>
      <c r="G2180" s="7">
        <v>100.13330000000001</v>
      </c>
      <c r="H2180" s="7"/>
    </row>
    <row r="2181" spans="1:8" x14ac:dyDescent="0.35">
      <c r="A2181" s="7" t="s">
        <v>353</v>
      </c>
      <c r="B2181" s="7" t="s">
        <v>26</v>
      </c>
      <c r="C2181" s="7" t="s">
        <v>27</v>
      </c>
      <c r="D2181" s="7" t="s">
        <v>28</v>
      </c>
      <c r="E2181" s="7" t="s">
        <v>29</v>
      </c>
      <c r="F2181" s="7" t="s">
        <v>150</v>
      </c>
      <c r="G2181" s="7">
        <v>100.2394</v>
      </c>
      <c r="H2181" s="7"/>
    </row>
    <row r="2182" spans="1:8" x14ac:dyDescent="0.35">
      <c r="A2182" s="7" t="s">
        <v>353</v>
      </c>
      <c r="B2182" s="7" t="s">
        <v>26</v>
      </c>
      <c r="C2182" s="7" t="s">
        <v>27</v>
      </c>
      <c r="D2182" s="7" t="s">
        <v>28</v>
      </c>
      <c r="E2182" s="7" t="s">
        <v>29</v>
      </c>
      <c r="F2182" s="7" t="s">
        <v>151</v>
      </c>
      <c r="G2182" s="7">
        <v>100.62909999999999</v>
      </c>
      <c r="H2182" s="7"/>
    </row>
    <row r="2183" spans="1:8" x14ac:dyDescent="0.35">
      <c r="A2183" s="7" t="s">
        <v>353</v>
      </c>
      <c r="B2183" s="7" t="s">
        <v>26</v>
      </c>
      <c r="C2183" s="7" t="s">
        <v>27</v>
      </c>
      <c r="D2183" s="7" t="s">
        <v>28</v>
      </c>
      <c r="E2183" s="7" t="s">
        <v>29</v>
      </c>
      <c r="F2183" s="7" t="s">
        <v>152</v>
      </c>
      <c r="G2183" s="7">
        <v>101.09099999999999</v>
      </c>
      <c r="H2183" s="7"/>
    </row>
    <row r="2184" spans="1:8" x14ac:dyDescent="0.35">
      <c r="A2184" s="7" t="s">
        <v>353</v>
      </c>
      <c r="B2184" s="7" t="s">
        <v>26</v>
      </c>
      <c r="C2184" s="7" t="s">
        <v>27</v>
      </c>
      <c r="D2184" s="7" t="s">
        <v>28</v>
      </c>
      <c r="E2184" s="7" t="s">
        <v>29</v>
      </c>
      <c r="F2184" s="7" t="s">
        <v>153</v>
      </c>
      <c r="G2184" s="7">
        <v>101.3237</v>
      </c>
      <c r="H2184" s="7"/>
    </row>
    <row r="2185" spans="1:8" x14ac:dyDescent="0.35">
      <c r="A2185" s="7" t="s">
        <v>353</v>
      </c>
      <c r="B2185" s="7" t="s">
        <v>26</v>
      </c>
      <c r="C2185" s="7" t="s">
        <v>27</v>
      </c>
      <c r="D2185" s="7" t="s">
        <v>28</v>
      </c>
      <c r="E2185" s="7" t="s">
        <v>29</v>
      </c>
      <c r="F2185" s="7" t="s">
        <v>154</v>
      </c>
      <c r="G2185" s="7">
        <v>101.37009999999999</v>
      </c>
      <c r="H2185" s="7"/>
    </row>
    <row r="2186" spans="1:8" x14ac:dyDescent="0.35">
      <c r="A2186" s="7" t="s">
        <v>353</v>
      </c>
      <c r="B2186" s="7" t="s">
        <v>26</v>
      </c>
      <c r="C2186" s="7" t="s">
        <v>27</v>
      </c>
      <c r="D2186" s="7" t="s">
        <v>28</v>
      </c>
      <c r="E2186" s="7" t="s">
        <v>29</v>
      </c>
      <c r="F2186" s="7" t="s">
        <v>155</v>
      </c>
      <c r="G2186" s="7">
        <v>101.18510000000001</v>
      </c>
      <c r="H2186" s="7"/>
    </row>
    <row r="2187" spans="1:8" x14ac:dyDescent="0.35">
      <c r="A2187" s="7" t="s">
        <v>353</v>
      </c>
      <c r="B2187" s="7" t="s">
        <v>26</v>
      </c>
      <c r="C2187" s="7" t="s">
        <v>27</v>
      </c>
      <c r="D2187" s="7" t="s">
        <v>28</v>
      </c>
      <c r="E2187" s="7" t="s">
        <v>29</v>
      </c>
      <c r="F2187" s="7" t="s">
        <v>156</v>
      </c>
      <c r="G2187" s="7">
        <v>100.98739999999999</v>
      </c>
      <c r="H2187" s="7"/>
    </row>
    <row r="2188" spans="1:8" x14ac:dyDescent="0.35">
      <c r="A2188" s="7" t="s">
        <v>353</v>
      </c>
      <c r="B2188" s="7" t="s">
        <v>26</v>
      </c>
      <c r="C2188" s="7" t="s">
        <v>27</v>
      </c>
      <c r="D2188" s="7" t="s">
        <v>28</v>
      </c>
      <c r="E2188" s="7" t="s">
        <v>29</v>
      </c>
      <c r="F2188" s="7" t="s">
        <v>157</v>
      </c>
      <c r="G2188" s="7">
        <v>100.848</v>
      </c>
      <c r="H2188" s="7"/>
    </row>
    <row r="2189" spans="1:8" x14ac:dyDescent="0.35">
      <c r="A2189" s="7" t="s">
        <v>353</v>
      </c>
      <c r="B2189" s="7" t="s">
        <v>26</v>
      </c>
      <c r="C2189" s="7" t="s">
        <v>27</v>
      </c>
      <c r="D2189" s="7" t="s">
        <v>28</v>
      </c>
      <c r="E2189" s="7" t="s">
        <v>29</v>
      </c>
      <c r="F2189" s="7" t="s">
        <v>158</v>
      </c>
      <c r="G2189" s="7">
        <v>100.6878</v>
      </c>
      <c r="H2189" s="7"/>
    </row>
    <row r="2190" spans="1:8" x14ac:dyDescent="0.35">
      <c r="A2190" s="7" t="s">
        <v>353</v>
      </c>
      <c r="B2190" s="7" t="s">
        <v>26</v>
      </c>
      <c r="C2190" s="7" t="s">
        <v>27</v>
      </c>
      <c r="D2190" s="7" t="s">
        <v>28</v>
      </c>
      <c r="E2190" s="7" t="s">
        <v>29</v>
      </c>
      <c r="F2190" s="7" t="s">
        <v>159</v>
      </c>
      <c r="G2190" s="7">
        <v>100.5175</v>
      </c>
      <c r="H2190" s="7"/>
    </row>
    <row r="2191" spans="1:8" x14ac:dyDescent="0.35">
      <c r="A2191" s="7" t="s">
        <v>353</v>
      </c>
      <c r="B2191" s="7" t="s">
        <v>26</v>
      </c>
      <c r="C2191" s="7" t="s">
        <v>27</v>
      </c>
      <c r="D2191" s="7" t="s">
        <v>28</v>
      </c>
      <c r="E2191" s="7" t="s">
        <v>29</v>
      </c>
      <c r="F2191" s="7" t="s">
        <v>160</v>
      </c>
      <c r="G2191" s="7">
        <v>100.39830000000001</v>
      </c>
      <c r="H2191" s="7"/>
    </row>
    <row r="2192" spans="1:8" x14ac:dyDescent="0.35">
      <c r="A2192" s="7" t="s">
        <v>353</v>
      </c>
      <c r="B2192" s="7" t="s">
        <v>26</v>
      </c>
      <c r="C2192" s="7" t="s">
        <v>27</v>
      </c>
      <c r="D2192" s="7" t="s">
        <v>28</v>
      </c>
      <c r="E2192" s="7" t="s">
        <v>29</v>
      </c>
      <c r="F2192" s="7" t="s">
        <v>161</v>
      </c>
      <c r="G2192" s="7">
        <v>100.3139</v>
      </c>
      <c r="H2192" s="7"/>
    </row>
    <row r="2193" spans="1:8" x14ac:dyDescent="0.35">
      <c r="A2193" s="7" t="s">
        <v>353</v>
      </c>
      <c r="B2193" s="7" t="s">
        <v>26</v>
      </c>
      <c r="C2193" s="7" t="s">
        <v>27</v>
      </c>
      <c r="D2193" s="7" t="s">
        <v>28</v>
      </c>
      <c r="E2193" s="7" t="s">
        <v>29</v>
      </c>
      <c r="F2193" s="7" t="s">
        <v>162</v>
      </c>
      <c r="G2193" s="7">
        <v>100.3888</v>
      </c>
      <c r="H2193" s="7"/>
    </row>
    <row r="2194" spans="1:8" x14ac:dyDescent="0.35">
      <c r="A2194" s="7" t="s">
        <v>353</v>
      </c>
      <c r="B2194" s="7" t="s">
        <v>26</v>
      </c>
      <c r="C2194" s="7" t="s">
        <v>27</v>
      </c>
      <c r="D2194" s="7" t="s">
        <v>28</v>
      </c>
      <c r="E2194" s="7" t="s">
        <v>29</v>
      </c>
      <c r="F2194" s="7" t="s">
        <v>163</v>
      </c>
      <c r="G2194" s="7">
        <v>100.4757</v>
      </c>
      <c r="H2194" s="7"/>
    </row>
    <row r="2195" spans="1:8" x14ac:dyDescent="0.35">
      <c r="A2195" s="7" t="s">
        <v>353</v>
      </c>
      <c r="B2195" s="7" t="s">
        <v>26</v>
      </c>
      <c r="C2195" s="7" t="s">
        <v>27</v>
      </c>
      <c r="D2195" s="7" t="s">
        <v>28</v>
      </c>
      <c r="E2195" s="7" t="s">
        <v>29</v>
      </c>
      <c r="F2195" s="7" t="s">
        <v>164</v>
      </c>
      <c r="G2195" s="7">
        <v>100.4783</v>
      </c>
      <c r="H2195" s="7"/>
    </row>
    <row r="2196" spans="1:8" x14ac:dyDescent="0.35">
      <c r="A2196" s="7" t="s">
        <v>353</v>
      </c>
      <c r="B2196" s="7" t="s">
        <v>26</v>
      </c>
      <c r="C2196" s="7" t="s">
        <v>27</v>
      </c>
      <c r="D2196" s="7" t="s">
        <v>28</v>
      </c>
      <c r="E2196" s="7" t="s">
        <v>29</v>
      </c>
      <c r="F2196" s="7" t="s">
        <v>165</v>
      </c>
      <c r="G2196" s="7">
        <v>100.2642</v>
      </c>
      <c r="H2196" s="7"/>
    </row>
    <row r="2197" spans="1:8" x14ac:dyDescent="0.35">
      <c r="A2197" s="7" t="s">
        <v>353</v>
      </c>
      <c r="B2197" s="7" t="s">
        <v>26</v>
      </c>
      <c r="C2197" s="7" t="s">
        <v>27</v>
      </c>
      <c r="D2197" s="7" t="s">
        <v>28</v>
      </c>
      <c r="E2197" s="7" t="s">
        <v>29</v>
      </c>
      <c r="F2197" s="7" t="s">
        <v>166</v>
      </c>
      <c r="G2197" s="7">
        <v>100.26009999999999</v>
      </c>
      <c r="H2197" s="7"/>
    </row>
    <row r="2198" spans="1:8" x14ac:dyDescent="0.35">
      <c r="A2198" s="7" t="s">
        <v>353</v>
      </c>
      <c r="B2198" s="7" t="s">
        <v>26</v>
      </c>
      <c r="C2198" s="7" t="s">
        <v>27</v>
      </c>
      <c r="D2198" s="7" t="s">
        <v>28</v>
      </c>
      <c r="E2198" s="7" t="s">
        <v>29</v>
      </c>
      <c r="F2198" s="7" t="s">
        <v>167</v>
      </c>
      <c r="G2198" s="7">
        <v>100.5702</v>
      </c>
      <c r="H2198" s="7"/>
    </row>
    <row r="2199" spans="1:8" x14ac:dyDescent="0.35">
      <c r="A2199" s="7" t="s">
        <v>353</v>
      </c>
      <c r="B2199" s="7" t="s">
        <v>26</v>
      </c>
      <c r="C2199" s="7" t="s">
        <v>27</v>
      </c>
      <c r="D2199" s="7" t="s">
        <v>28</v>
      </c>
      <c r="E2199" s="7" t="s">
        <v>29</v>
      </c>
      <c r="F2199" s="7" t="s">
        <v>168</v>
      </c>
      <c r="G2199" s="7">
        <v>100.8822</v>
      </c>
      <c r="H2199" s="7"/>
    </row>
    <row r="2200" spans="1:8" x14ac:dyDescent="0.35">
      <c r="A2200" s="7" t="s">
        <v>353</v>
      </c>
      <c r="B2200" s="7" t="s">
        <v>26</v>
      </c>
      <c r="C2200" s="7" t="s">
        <v>27</v>
      </c>
      <c r="D2200" s="7" t="s">
        <v>28</v>
      </c>
      <c r="E2200" s="7" t="s">
        <v>29</v>
      </c>
      <c r="F2200" s="7" t="s">
        <v>169</v>
      </c>
      <c r="G2200" s="7">
        <v>101.1508</v>
      </c>
      <c r="H2200" s="7"/>
    </row>
    <row r="2201" spans="1:8" x14ac:dyDescent="0.35">
      <c r="A2201" s="7" t="s">
        <v>353</v>
      </c>
      <c r="B2201" s="7" t="s">
        <v>26</v>
      </c>
      <c r="C2201" s="7" t="s">
        <v>27</v>
      </c>
      <c r="D2201" s="7" t="s">
        <v>28</v>
      </c>
      <c r="E2201" s="7" t="s">
        <v>29</v>
      </c>
      <c r="F2201" s="7" t="s">
        <v>170</v>
      </c>
      <c r="G2201" s="7">
        <v>101.2869</v>
      </c>
      <c r="H2201" s="7"/>
    </row>
    <row r="2202" spans="1:8" x14ac:dyDescent="0.35">
      <c r="A2202" s="7" t="s">
        <v>353</v>
      </c>
      <c r="B2202" s="7" t="s">
        <v>26</v>
      </c>
      <c r="C2202" s="7" t="s">
        <v>27</v>
      </c>
      <c r="D2202" s="7" t="s">
        <v>28</v>
      </c>
      <c r="E2202" s="7" t="s">
        <v>29</v>
      </c>
      <c r="F2202" s="7" t="s">
        <v>171</v>
      </c>
      <c r="G2202" s="7">
        <v>101.2863</v>
      </c>
      <c r="H2202" s="7"/>
    </row>
    <row r="2203" spans="1:8" x14ac:dyDescent="0.35">
      <c r="A2203" s="7" t="s">
        <v>353</v>
      </c>
      <c r="B2203" s="7" t="s">
        <v>26</v>
      </c>
      <c r="C2203" s="7" t="s">
        <v>27</v>
      </c>
      <c r="D2203" s="7" t="s">
        <v>28</v>
      </c>
      <c r="E2203" s="7" t="s">
        <v>29</v>
      </c>
      <c r="F2203" s="7" t="s">
        <v>172</v>
      </c>
      <c r="G2203" s="7">
        <v>101.2931</v>
      </c>
      <c r="H2203" s="7"/>
    </row>
    <row r="2204" spans="1:8" x14ac:dyDescent="0.35">
      <c r="A2204" s="7" t="s">
        <v>353</v>
      </c>
      <c r="B2204" s="7" t="s">
        <v>26</v>
      </c>
      <c r="C2204" s="7" t="s">
        <v>27</v>
      </c>
      <c r="D2204" s="7" t="s">
        <v>28</v>
      </c>
      <c r="E2204" s="7" t="s">
        <v>29</v>
      </c>
      <c r="F2204" s="7" t="s">
        <v>173</v>
      </c>
      <c r="G2204" s="7">
        <v>101.3014</v>
      </c>
      <c r="H2204" s="7"/>
    </row>
    <row r="2205" spans="1:8" x14ac:dyDescent="0.35">
      <c r="A2205" s="7" t="s">
        <v>353</v>
      </c>
      <c r="B2205" s="7" t="s">
        <v>26</v>
      </c>
      <c r="C2205" s="7" t="s">
        <v>27</v>
      </c>
      <c r="D2205" s="7" t="s">
        <v>28</v>
      </c>
      <c r="E2205" s="7" t="s">
        <v>29</v>
      </c>
      <c r="F2205" s="7" t="s">
        <v>174</v>
      </c>
      <c r="G2205" s="7">
        <v>101.248</v>
      </c>
      <c r="H2205" s="7"/>
    </row>
    <row r="2206" spans="1:8" x14ac:dyDescent="0.35">
      <c r="A2206" s="7" t="s">
        <v>353</v>
      </c>
      <c r="B2206" s="7" t="s">
        <v>26</v>
      </c>
      <c r="C2206" s="7" t="s">
        <v>27</v>
      </c>
      <c r="D2206" s="7" t="s">
        <v>28</v>
      </c>
      <c r="E2206" s="7" t="s">
        <v>29</v>
      </c>
      <c r="F2206" s="7" t="s">
        <v>175</v>
      </c>
      <c r="G2206" s="7">
        <v>101.303</v>
      </c>
      <c r="H2206" s="7"/>
    </row>
    <row r="2207" spans="1:8" x14ac:dyDescent="0.35">
      <c r="A2207" s="7" t="s">
        <v>353</v>
      </c>
      <c r="B2207" s="7" t="s">
        <v>26</v>
      </c>
      <c r="C2207" s="7" t="s">
        <v>27</v>
      </c>
      <c r="D2207" s="7" t="s">
        <v>28</v>
      </c>
      <c r="E2207" s="7" t="s">
        <v>29</v>
      </c>
      <c r="F2207" s="7" t="s">
        <v>176</v>
      </c>
      <c r="G2207" s="7">
        <v>101.5248</v>
      </c>
      <c r="H2207" s="7"/>
    </row>
    <row r="2208" spans="1:8" x14ac:dyDescent="0.35">
      <c r="A2208" s="7" t="s">
        <v>353</v>
      </c>
      <c r="B2208" s="7" t="s">
        <v>26</v>
      </c>
      <c r="C2208" s="7" t="s">
        <v>27</v>
      </c>
      <c r="D2208" s="7" t="s">
        <v>28</v>
      </c>
      <c r="E2208" s="7" t="s">
        <v>29</v>
      </c>
      <c r="F2208" s="7" t="s">
        <v>177</v>
      </c>
      <c r="G2208" s="7">
        <v>101.6063</v>
      </c>
      <c r="H2208" s="7"/>
    </row>
    <row r="2209" spans="1:8" x14ac:dyDescent="0.35">
      <c r="A2209" s="7" t="s">
        <v>353</v>
      </c>
      <c r="B2209" s="7" t="s">
        <v>26</v>
      </c>
      <c r="C2209" s="7" t="s">
        <v>27</v>
      </c>
      <c r="D2209" s="7" t="s">
        <v>28</v>
      </c>
      <c r="E2209" s="7" t="s">
        <v>29</v>
      </c>
      <c r="F2209" s="7" t="s">
        <v>178</v>
      </c>
      <c r="G2209" s="7">
        <v>101.5485</v>
      </c>
      <c r="H2209" s="7"/>
    </row>
    <row r="2210" spans="1:8" x14ac:dyDescent="0.35">
      <c r="A2210" s="7" t="s">
        <v>353</v>
      </c>
      <c r="B2210" s="7" t="s">
        <v>26</v>
      </c>
      <c r="C2210" s="7" t="s">
        <v>27</v>
      </c>
      <c r="D2210" s="7" t="s">
        <v>28</v>
      </c>
      <c r="E2210" s="7" t="s">
        <v>29</v>
      </c>
      <c r="F2210" s="7" t="s">
        <v>179</v>
      </c>
      <c r="G2210" s="7">
        <v>101.4798</v>
      </c>
      <c r="H2210" s="7"/>
    </row>
    <row r="2211" spans="1:8" x14ac:dyDescent="0.35">
      <c r="A2211" s="7" t="s">
        <v>353</v>
      </c>
      <c r="B2211" s="7" t="s">
        <v>26</v>
      </c>
      <c r="C2211" s="7" t="s">
        <v>27</v>
      </c>
      <c r="D2211" s="7" t="s">
        <v>28</v>
      </c>
      <c r="E2211" s="7" t="s">
        <v>29</v>
      </c>
      <c r="F2211" s="7" t="s">
        <v>180</v>
      </c>
      <c r="G2211" s="7">
        <v>101.41500000000001</v>
      </c>
      <c r="H2211" s="7"/>
    </row>
    <row r="2212" spans="1:8" x14ac:dyDescent="0.35">
      <c r="A2212" s="7" t="s">
        <v>353</v>
      </c>
      <c r="B2212" s="7" t="s">
        <v>26</v>
      </c>
      <c r="C2212" s="7" t="s">
        <v>27</v>
      </c>
      <c r="D2212" s="7" t="s">
        <v>28</v>
      </c>
      <c r="E2212" s="7" t="s">
        <v>29</v>
      </c>
      <c r="F2212" s="7" t="s">
        <v>181</v>
      </c>
      <c r="G2212" s="7">
        <v>101.4234</v>
      </c>
      <c r="H2212" s="7"/>
    </row>
    <row r="2213" spans="1:8" x14ac:dyDescent="0.35">
      <c r="A2213" s="7" t="s">
        <v>353</v>
      </c>
      <c r="B2213" s="7" t="s">
        <v>26</v>
      </c>
      <c r="C2213" s="7" t="s">
        <v>27</v>
      </c>
      <c r="D2213" s="7" t="s">
        <v>28</v>
      </c>
      <c r="E2213" s="7" t="s">
        <v>29</v>
      </c>
      <c r="F2213" s="7" t="s">
        <v>182</v>
      </c>
      <c r="G2213" s="7">
        <v>101.5943</v>
      </c>
      <c r="H2213" s="7"/>
    </row>
    <row r="2214" spans="1:8" x14ac:dyDescent="0.35">
      <c r="A2214" s="7" t="s">
        <v>353</v>
      </c>
      <c r="B2214" s="7" t="s">
        <v>26</v>
      </c>
      <c r="C2214" s="7" t="s">
        <v>27</v>
      </c>
      <c r="D2214" s="7" t="s">
        <v>28</v>
      </c>
      <c r="E2214" s="7" t="s">
        <v>29</v>
      </c>
      <c r="F2214" s="7" t="s">
        <v>183</v>
      </c>
      <c r="G2214" s="7">
        <v>101.7303</v>
      </c>
      <c r="H2214" s="7"/>
    </row>
    <row r="2215" spans="1:8" x14ac:dyDescent="0.35">
      <c r="A2215" s="7" t="s">
        <v>353</v>
      </c>
      <c r="B2215" s="7" t="s">
        <v>26</v>
      </c>
      <c r="C2215" s="7" t="s">
        <v>27</v>
      </c>
      <c r="D2215" s="7" t="s">
        <v>28</v>
      </c>
      <c r="E2215" s="7" t="s">
        <v>29</v>
      </c>
      <c r="F2215" s="7" t="s">
        <v>184</v>
      </c>
      <c r="G2215" s="7">
        <v>101.77290000000001</v>
      </c>
      <c r="H2215" s="7"/>
    </row>
    <row r="2216" spans="1:8" x14ac:dyDescent="0.35">
      <c r="A2216" s="7" t="s">
        <v>353</v>
      </c>
      <c r="B2216" s="7" t="s">
        <v>26</v>
      </c>
      <c r="C2216" s="7" t="s">
        <v>27</v>
      </c>
      <c r="D2216" s="7" t="s">
        <v>28</v>
      </c>
      <c r="E2216" s="7" t="s">
        <v>29</v>
      </c>
      <c r="F2216" s="7" t="s">
        <v>185</v>
      </c>
      <c r="G2216" s="7">
        <v>101.76649999999999</v>
      </c>
      <c r="H2216" s="7"/>
    </row>
    <row r="2217" spans="1:8" x14ac:dyDescent="0.35">
      <c r="A2217" s="7" t="s">
        <v>353</v>
      </c>
      <c r="B2217" s="7" t="s">
        <v>26</v>
      </c>
      <c r="C2217" s="7" t="s">
        <v>27</v>
      </c>
      <c r="D2217" s="7" t="s">
        <v>28</v>
      </c>
      <c r="E2217" s="7" t="s">
        <v>29</v>
      </c>
      <c r="F2217" s="7" t="s">
        <v>186</v>
      </c>
      <c r="G2217" s="7">
        <v>101.8154</v>
      </c>
      <c r="H2217" s="7"/>
    </row>
    <row r="2218" spans="1:8" x14ac:dyDescent="0.35">
      <c r="A2218" s="7" t="s">
        <v>353</v>
      </c>
      <c r="B2218" s="7" t="s">
        <v>26</v>
      </c>
      <c r="C2218" s="7" t="s">
        <v>27</v>
      </c>
      <c r="D2218" s="7" t="s">
        <v>28</v>
      </c>
      <c r="E2218" s="7" t="s">
        <v>29</v>
      </c>
      <c r="F2218" s="7" t="s">
        <v>187</v>
      </c>
      <c r="G2218" s="7">
        <v>101.8917</v>
      </c>
      <c r="H2218" s="7"/>
    </row>
    <row r="2219" spans="1:8" x14ac:dyDescent="0.35">
      <c r="A2219" s="7" t="s">
        <v>353</v>
      </c>
      <c r="B2219" s="7" t="s">
        <v>26</v>
      </c>
      <c r="C2219" s="7" t="s">
        <v>27</v>
      </c>
      <c r="D2219" s="7" t="s">
        <v>28</v>
      </c>
      <c r="E2219" s="7" t="s">
        <v>29</v>
      </c>
      <c r="F2219" s="7" t="s">
        <v>188</v>
      </c>
      <c r="G2219" s="7">
        <v>101.9847</v>
      </c>
      <c r="H2219" s="7"/>
    </row>
    <row r="2220" spans="1:8" x14ac:dyDescent="0.35">
      <c r="A2220" s="7" t="s">
        <v>353</v>
      </c>
      <c r="B2220" s="7" t="s">
        <v>26</v>
      </c>
      <c r="C2220" s="7" t="s">
        <v>27</v>
      </c>
      <c r="D2220" s="7" t="s">
        <v>28</v>
      </c>
      <c r="E2220" s="7" t="s">
        <v>29</v>
      </c>
      <c r="F2220" s="7" t="s">
        <v>189</v>
      </c>
      <c r="G2220" s="7">
        <v>101.62730000000001</v>
      </c>
      <c r="H2220" s="7"/>
    </row>
    <row r="2221" spans="1:8" x14ac:dyDescent="0.35">
      <c r="A2221" s="7" t="s">
        <v>353</v>
      </c>
      <c r="B2221" s="7" t="s">
        <v>26</v>
      </c>
      <c r="C2221" s="7" t="s">
        <v>27</v>
      </c>
      <c r="D2221" s="7" t="s">
        <v>28</v>
      </c>
      <c r="E2221" s="7" t="s">
        <v>29</v>
      </c>
      <c r="F2221" s="7" t="s">
        <v>190</v>
      </c>
      <c r="G2221" s="7">
        <v>100.9965</v>
      </c>
      <c r="H2221" s="7"/>
    </row>
    <row r="2222" spans="1:8" x14ac:dyDescent="0.35">
      <c r="A2222" s="7" t="s">
        <v>353</v>
      </c>
      <c r="B2222" s="7" t="s">
        <v>26</v>
      </c>
      <c r="C2222" s="7" t="s">
        <v>27</v>
      </c>
      <c r="D2222" s="7" t="s">
        <v>28</v>
      </c>
      <c r="E2222" s="7" t="s">
        <v>29</v>
      </c>
      <c r="F2222" s="7" t="s">
        <v>191</v>
      </c>
      <c r="G2222" s="7">
        <v>100.7735</v>
      </c>
      <c r="H2222" s="7"/>
    </row>
    <row r="2223" spans="1:8" x14ac:dyDescent="0.35">
      <c r="A2223" s="7" t="s">
        <v>353</v>
      </c>
      <c r="B2223" s="7" t="s">
        <v>26</v>
      </c>
      <c r="C2223" s="7" t="s">
        <v>27</v>
      </c>
      <c r="D2223" s="7" t="s">
        <v>28</v>
      </c>
      <c r="E2223" s="7" t="s">
        <v>29</v>
      </c>
      <c r="F2223" s="7" t="s">
        <v>192</v>
      </c>
      <c r="G2223" s="7">
        <v>100.884</v>
      </c>
      <c r="H2223" s="7"/>
    </row>
    <row r="2224" spans="1:8" x14ac:dyDescent="0.35">
      <c r="A2224" s="7" t="s">
        <v>353</v>
      </c>
      <c r="B2224" s="7" t="s">
        <v>26</v>
      </c>
      <c r="C2224" s="7" t="s">
        <v>27</v>
      </c>
      <c r="D2224" s="7" t="s">
        <v>28</v>
      </c>
      <c r="E2224" s="7" t="s">
        <v>29</v>
      </c>
      <c r="F2224" s="7" t="s">
        <v>193</v>
      </c>
      <c r="G2224" s="7">
        <v>100.9199</v>
      </c>
      <c r="H2224" s="7"/>
    </row>
    <row r="2225" spans="1:8" x14ac:dyDescent="0.35">
      <c r="A2225" s="7" t="s">
        <v>353</v>
      </c>
      <c r="B2225" s="7" t="s">
        <v>26</v>
      </c>
      <c r="C2225" s="7" t="s">
        <v>27</v>
      </c>
      <c r="D2225" s="7" t="s">
        <v>28</v>
      </c>
      <c r="E2225" s="7" t="s">
        <v>29</v>
      </c>
      <c r="F2225" s="7" t="s">
        <v>194</v>
      </c>
      <c r="G2225" s="7">
        <v>100.825</v>
      </c>
      <c r="H2225" s="7"/>
    </row>
    <row r="2226" spans="1:8" x14ac:dyDescent="0.35">
      <c r="A2226" s="7" t="s">
        <v>353</v>
      </c>
      <c r="B2226" s="7" t="s">
        <v>26</v>
      </c>
      <c r="C2226" s="7" t="s">
        <v>27</v>
      </c>
      <c r="D2226" s="7" t="s">
        <v>28</v>
      </c>
      <c r="E2226" s="7" t="s">
        <v>29</v>
      </c>
      <c r="F2226" s="7" t="s">
        <v>195</v>
      </c>
      <c r="G2226" s="7">
        <v>100.6604</v>
      </c>
      <c r="H2226" s="7"/>
    </row>
    <row r="2227" spans="1:8" x14ac:dyDescent="0.35">
      <c r="A2227" s="7" t="s">
        <v>353</v>
      </c>
      <c r="B2227" s="7" t="s">
        <v>26</v>
      </c>
      <c r="C2227" s="7" t="s">
        <v>27</v>
      </c>
      <c r="D2227" s="7" t="s">
        <v>28</v>
      </c>
      <c r="E2227" s="7" t="s">
        <v>29</v>
      </c>
      <c r="F2227" s="7" t="s">
        <v>196</v>
      </c>
      <c r="G2227" s="7">
        <v>100.2012</v>
      </c>
      <c r="H2227" s="7"/>
    </row>
    <row r="2228" spans="1:8" x14ac:dyDescent="0.35">
      <c r="A2228" s="7" t="s">
        <v>353</v>
      </c>
      <c r="B2228" s="7" t="s">
        <v>26</v>
      </c>
      <c r="C2228" s="7" t="s">
        <v>27</v>
      </c>
      <c r="D2228" s="7" t="s">
        <v>28</v>
      </c>
      <c r="E2228" s="7" t="s">
        <v>29</v>
      </c>
      <c r="F2228" s="7" t="s">
        <v>197</v>
      </c>
      <c r="G2228" s="7">
        <v>99.997470000000007</v>
      </c>
      <c r="H2228" s="7"/>
    </row>
    <row r="2229" spans="1:8" x14ac:dyDescent="0.35">
      <c r="A2229" s="7" t="s">
        <v>353</v>
      </c>
      <c r="B2229" s="7" t="s">
        <v>26</v>
      </c>
      <c r="C2229" s="7" t="s">
        <v>27</v>
      </c>
      <c r="D2229" s="7" t="s">
        <v>28</v>
      </c>
      <c r="E2229" s="7" t="s">
        <v>29</v>
      </c>
      <c r="F2229" s="7" t="s">
        <v>198</v>
      </c>
      <c r="G2229" s="7">
        <v>100.14109999999999</v>
      </c>
      <c r="H2229" s="7"/>
    </row>
    <row r="2230" spans="1:8" x14ac:dyDescent="0.35">
      <c r="A2230" s="7" t="s">
        <v>353</v>
      </c>
      <c r="B2230" s="7" t="s">
        <v>26</v>
      </c>
      <c r="C2230" s="7" t="s">
        <v>27</v>
      </c>
      <c r="D2230" s="7" t="s">
        <v>28</v>
      </c>
      <c r="E2230" s="7" t="s">
        <v>29</v>
      </c>
      <c r="F2230" s="7" t="s">
        <v>199</v>
      </c>
      <c r="G2230" s="7">
        <v>100.3704</v>
      </c>
      <c r="H2230" s="7"/>
    </row>
    <row r="2231" spans="1:8" x14ac:dyDescent="0.35">
      <c r="A2231" s="7" t="s">
        <v>353</v>
      </c>
      <c r="B2231" s="7" t="s">
        <v>26</v>
      </c>
      <c r="C2231" s="7" t="s">
        <v>27</v>
      </c>
      <c r="D2231" s="7" t="s">
        <v>28</v>
      </c>
      <c r="E2231" s="7" t="s">
        <v>29</v>
      </c>
      <c r="F2231" s="7" t="s">
        <v>200</v>
      </c>
      <c r="G2231" s="7">
        <v>100.7226</v>
      </c>
      <c r="H2231" s="7"/>
    </row>
    <row r="2232" spans="1:8" x14ac:dyDescent="0.35">
      <c r="A2232" s="7" t="s">
        <v>353</v>
      </c>
      <c r="B2232" s="7" t="s">
        <v>26</v>
      </c>
      <c r="C2232" s="7" t="s">
        <v>27</v>
      </c>
      <c r="D2232" s="7" t="s">
        <v>28</v>
      </c>
      <c r="E2232" s="7" t="s">
        <v>29</v>
      </c>
      <c r="F2232" s="7" t="s">
        <v>201</v>
      </c>
      <c r="G2232" s="7">
        <v>100.9062</v>
      </c>
      <c r="H2232" s="7"/>
    </row>
    <row r="2233" spans="1:8" x14ac:dyDescent="0.35">
      <c r="A2233" s="7" t="s">
        <v>353</v>
      </c>
      <c r="B2233" s="7" t="s">
        <v>26</v>
      </c>
      <c r="C2233" s="7" t="s">
        <v>27</v>
      </c>
      <c r="D2233" s="7" t="s">
        <v>28</v>
      </c>
      <c r="E2233" s="7" t="s">
        <v>29</v>
      </c>
      <c r="F2233" s="7" t="s">
        <v>202</v>
      </c>
      <c r="G2233" s="7">
        <v>100.9442</v>
      </c>
      <c r="H2233" s="7"/>
    </row>
    <row r="2234" spans="1:8" x14ac:dyDescent="0.35">
      <c r="A2234" s="7" t="s">
        <v>353</v>
      </c>
      <c r="B2234" s="7" t="s">
        <v>26</v>
      </c>
      <c r="C2234" s="7" t="s">
        <v>27</v>
      </c>
      <c r="D2234" s="7" t="s">
        <v>28</v>
      </c>
      <c r="E2234" s="7" t="s">
        <v>29</v>
      </c>
      <c r="F2234" s="7" t="s">
        <v>203</v>
      </c>
      <c r="G2234" s="7">
        <v>100.79130000000001</v>
      </c>
      <c r="H2234" s="7"/>
    </row>
    <row r="2235" spans="1:8" x14ac:dyDescent="0.35">
      <c r="A2235" s="7" t="s">
        <v>353</v>
      </c>
      <c r="B2235" s="7" t="s">
        <v>26</v>
      </c>
      <c r="C2235" s="7" t="s">
        <v>27</v>
      </c>
      <c r="D2235" s="7" t="s">
        <v>28</v>
      </c>
      <c r="E2235" s="7" t="s">
        <v>29</v>
      </c>
      <c r="F2235" s="7" t="s">
        <v>204</v>
      </c>
      <c r="G2235" s="7">
        <v>100.49469999999999</v>
      </c>
      <c r="H2235" s="7"/>
    </row>
    <row r="2236" spans="1:8" x14ac:dyDescent="0.35">
      <c r="A2236" s="7" t="s">
        <v>353</v>
      </c>
      <c r="B2236" s="7" t="s">
        <v>26</v>
      </c>
      <c r="C2236" s="7" t="s">
        <v>27</v>
      </c>
      <c r="D2236" s="7" t="s">
        <v>28</v>
      </c>
      <c r="E2236" s="7" t="s">
        <v>29</v>
      </c>
      <c r="F2236" s="7" t="s">
        <v>205</v>
      </c>
      <c r="G2236" s="7">
        <v>100.24809999999999</v>
      </c>
      <c r="H2236" s="7"/>
    </row>
    <row r="2237" spans="1:8" x14ac:dyDescent="0.35">
      <c r="A2237" s="7" t="s">
        <v>353</v>
      </c>
      <c r="B2237" s="7" t="s">
        <v>26</v>
      </c>
      <c r="C2237" s="7" t="s">
        <v>27</v>
      </c>
      <c r="D2237" s="7" t="s">
        <v>28</v>
      </c>
      <c r="E2237" s="7" t="s">
        <v>29</v>
      </c>
      <c r="F2237" s="7" t="s">
        <v>206</v>
      </c>
      <c r="G2237" s="7">
        <v>99.991119999999995</v>
      </c>
      <c r="H2237" s="7"/>
    </row>
    <row r="2238" spans="1:8" x14ac:dyDescent="0.35">
      <c r="A2238" s="7" t="s">
        <v>353</v>
      </c>
      <c r="B2238" s="7" t="s">
        <v>26</v>
      </c>
      <c r="C2238" s="7" t="s">
        <v>27</v>
      </c>
      <c r="D2238" s="7" t="s">
        <v>28</v>
      </c>
      <c r="E2238" s="7" t="s">
        <v>29</v>
      </c>
      <c r="F2238" s="7" t="s">
        <v>207</v>
      </c>
      <c r="G2238" s="7">
        <v>99.656229999999994</v>
      </c>
      <c r="H2238" s="7"/>
    </row>
    <row r="2239" spans="1:8" x14ac:dyDescent="0.35">
      <c r="A2239" s="7" t="s">
        <v>353</v>
      </c>
      <c r="B2239" s="7" t="s">
        <v>26</v>
      </c>
      <c r="C2239" s="7" t="s">
        <v>27</v>
      </c>
      <c r="D2239" s="7" t="s">
        <v>28</v>
      </c>
      <c r="E2239" s="7" t="s">
        <v>29</v>
      </c>
      <c r="F2239" s="7" t="s">
        <v>208</v>
      </c>
      <c r="G2239" s="7">
        <v>99.724170000000001</v>
      </c>
      <c r="H2239" s="7"/>
    </row>
    <row r="2240" spans="1:8" x14ac:dyDescent="0.35">
      <c r="A2240" s="7" t="s">
        <v>353</v>
      </c>
      <c r="B2240" s="7" t="s">
        <v>26</v>
      </c>
      <c r="C2240" s="7" t="s">
        <v>27</v>
      </c>
      <c r="D2240" s="7" t="s">
        <v>28</v>
      </c>
      <c r="E2240" s="7" t="s">
        <v>29</v>
      </c>
      <c r="F2240" s="7" t="s">
        <v>209</v>
      </c>
      <c r="G2240" s="7">
        <v>99.867199999999997</v>
      </c>
      <c r="H2240" s="7"/>
    </row>
    <row r="2241" spans="1:8" x14ac:dyDescent="0.35">
      <c r="A2241" s="7" t="s">
        <v>353</v>
      </c>
      <c r="B2241" s="7" t="s">
        <v>26</v>
      </c>
      <c r="C2241" s="7" t="s">
        <v>27</v>
      </c>
      <c r="D2241" s="7" t="s">
        <v>28</v>
      </c>
      <c r="E2241" s="7" t="s">
        <v>29</v>
      </c>
      <c r="F2241" s="7" t="s">
        <v>210</v>
      </c>
      <c r="G2241" s="7">
        <v>99.97578</v>
      </c>
      <c r="H2241" s="7"/>
    </row>
    <row r="2242" spans="1:8" x14ac:dyDescent="0.35">
      <c r="A2242" s="7" t="s">
        <v>353</v>
      </c>
      <c r="B2242" s="7" t="s">
        <v>26</v>
      </c>
      <c r="C2242" s="7" t="s">
        <v>27</v>
      </c>
      <c r="D2242" s="7" t="s">
        <v>28</v>
      </c>
      <c r="E2242" s="7" t="s">
        <v>29</v>
      </c>
      <c r="F2242" s="7" t="s">
        <v>211</v>
      </c>
      <c r="G2242" s="7">
        <v>100.4135</v>
      </c>
      <c r="H2242" s="7"/>
    </row>
    <row r="2243" spans="1:8" x14ac:dyDescent="0.35">
      <c r="A2243" s="7" t="s">
        <v>353</v>
      </c>
      <c r="B2243" s="7" t="s">
        <v>26</v>
      </c>
      <c r="C2243" s="7" t="s">
        <v>27</v>
      </c>
      <c r="D2243" s="7" t="s">
        <v>28</v>
      </c>
      <c r="E2243" s="7" t="s">
        <v>29</v>
      </c>
      <c r="F2243" s="7" t="s">
        <v>212</v>
      </c>
      <c r="G2243" s="7">
        <v>100.9136</v>
      </c>
      <c r="H2243" s="7"/>
    </row>
    <row r="2244" spans="1:8" x14ac:dyDescent="0.35">
      <c r="A2244" s="7" t="s">
        <v>353</v>
      </c>
      <c r="B2244" s="7" t="s">
        <v>26</v>
      </c>
      <c r="C2244" s="7" t="s">
        <v>27</v>
      </c>
      <c r="D2244" s="7" t="s">
        <v>28</v>
      </c>
      <c r="E2244" s="7" t="s">
        <v>29</v>
      </c>
      <c r="F2244" s="7" t="s">
        <v>213</v>
      </c>
      <c r="G2244" s="7">
        <v>101.23560000000001</v>
      </c>
      <c r="H2244" s="7"/>
    </row>
    <row r="2245" spans="1:8" x14ac:dyDescent="0.35">
      <c r="A2245" s="7" t="s">
        <v>353</v>
      </c>
      <c r="B2245" s="7" t="s">
        <v>26</v>
      </c>
      <c r="C2245" s="7" t="s">
        <v>27</v>
      </c>
      <c r="D2245" s="7" t="s">
        <v>28</v>
      </c>
      <c r="E2245" s="7" t="s">
        <v>29</v>
      </c>
      <c r="F2245" s="7" t="s">
        <v>214</v>
      </c>
      <c r="G2245" s="7">
        <v>101.46120000000001</v>
      </c>
      <c r="H2245" s="7"/>
    </row>
    <row r="2246" spans="1:8" x14ac:dyDescent="0.35">
      <c r="A2246" s="7" t="s">
        <v>353</v>
      </c>
      <c r="B2246" s="7" t="s">
        <v>26</v>
      </c>
      <c r="C2246" s="7" t="s">
        <v>27</v>
      </c>
      <c r="D2246" s="7" t="s">
        <v>28</v>
      </c>
      <c r="E2246" s="7" t="s">
        <v>29</v>
      </c>
      <c r="F2246" s="7" t="s">
        <v>215</v>
      </c>
      <c r="G2246" s="7">
        <v>101.6729</v>
      </c>
      <c r="H2246" s="7"/>
    </row>
    <row r="2247" spans="1:8" x14ac:dyDescent="0.35">
      <c r="A2247" s="7" t="s">
        <v>353</v>
      </c>
      <c r="B2247" s="7" t="s">
        <v>26</v>
      </c>
      <c r="C2247" s="7" t="s">
        <v>27</v>
      </c>
      <c r="D2247" s="7" t="s">
        <v>28</v>
      </c>
      <c r="E2247" s="7" t="s">
        <v>29</v>
      </c>
      <c r="F2247" s="7" t="s">
        <v>216</v>
      </c>
      <c r="G2247" s="7">
        <v>101.9264</v>
      </c>
      <c r="H2247" s="7"/>
    </row>
    <row r="2248" spans="1:8" x14ac:dyDescent="0.35">
      <c r="A2248" s="7" t="s">
        <v>353</v>
      </c>
      <c r="B2248" s="7" t="s">
        <v>26</v>
      </c>
      <c r="C2248" s="7" t="s">
        <v>27</v>
      </c>
      <c r="D2248" s="7" t="s">
        <v>28</v>
      </c>
      <c r="E2248" s="7" t="s">
        <v>29</v>
      </c>
      <c r="F2248" s="7" t="s">
        <v>217</v>
      </c>
      <c r="G2248" s="7">
        <v>101.9404</v>
      </c>
      <c r="H2248" s="7"/>
    </row>
    <row r="2249" spans="1:8" x14ac:dyDescent="0.35">
      <c r="A2249" s="7" t="s">
        <v>353</v>
      </c>
      <c r="B2249" s="7" t="s">
        <v>26</v>
      </c>
      <c r="C2249" s="7" t="s">
        <v>27</v>
      </c>
      <c r="D2249" s="7" t="s">
        <v>28</v>
      </c>
      <c r="E2249" s="7" t="s">
        <v>29</v>
      </c>
      <c r="F2249" s="7" t="s">
        <v>218</v>
      </c>
      <c r="G2249" s="7">
        <v>101.7379</v>
      </c>
      <c r="H2249" s="7"/>
    </row>
    <row r="2250" spans="1:8" x14ac:dyDescent="0.35">
      <c r="A2250" s="7" t="s">
        <v>353</v>
      </c>
      <c r="B2250" s="7" t="s">
        <v>26</v>
      </c>
      <c r="C2250" s="7" t="s">
        <v>27</v>
      </c>
      <c r="D2250" s="7" t="s">
        <v>28</v>
      </c>
      <c r="E2250" s="7" t="s">
        <v>29</v>
      </c>
      <c r="F2250" s="7" t="s">
        <v>219</v>
      </c>
      <c r="G2250" s="7">
        <v>101.4337</v>
      </c>
      <c r="H2250" s="7"/>
    </row>
    <row r="2251" spans="1:8" x14ac:dyDescent="0.35">
      <c r="A2251" s="7" t="s">
        <v>353</v>
      </c>
      <c r="B2251" s="7" t="s">
        <v>26</v>
      </c>
      <c r="C2251" s="7" t="s">
        <v>27</v>
      </c>
      <c r="D2251" s="7" t="s">
        <v>28</v>
      </c>
      <c r="E2251" s="7" t="s">
        <v>29</v>
      </c>
      <c r="F2251" s="7" t="s">
        <v>220</v>
      </c>
      <c r="G2251" s="7">
        <v>101.3369</v>
      </c>
      <c r="H2251" s="7"/>
    </row>
    <row r="2252" spans="1:8" x14ac:dyDescent="0.35">
      <c r="A2252" s="7" t="s">
        <v>353</v>
      </c>
      <c r="B2252" s="7" t="s">
        <v>26</v>
      </c>
      <c r="C2252" s="7" t="s">
        <v>27</v>
      </c>
      <c r="D2252" s="7" t="s">
        <v>28</v>
      </c>
      <c r="E2252" s="7" t="s">
        <v>29</v>
      </c>
      <c r="F2252" s="7" t="s">
        <v>221</v>
      </c>
      <c r="G2252" s="7">
        <v>101.2606</v>
      </c>
      <c r="H2252" s="7"/>
    </row>
    <row r="2253" spans="1:8" x14ac:dyDescent="0.35">
      <c r="A2253" s="7" t="s">
        <v>353</v>
      </c>
      <c r="B2253" s="7" t="s">
        <v>26</v>
      </c>
      <c r="C2253" s="7" t="s">
        <v>27</v>
      </c>
      <c r="D2253" s="7" t="s">
        <v>28</v>
      </c>
      <c r="E2253" s="7" t="s">
        <v>29</v>
      </c>
      <c r="F2253" s="7" t="s">
        <v>222</v>
      </c>
      <c r="G2253" s="7">
        <v>101.1159</v>
      </c>
      <c r="H2253" s="7"/>
    </row>
    <row r="2254" spans="1:8" x14ac:dyDescent="0.35">
      <c r="A2254" s="7" t="s">
        <v>353</v>
      </c>
      <c r="B2254" s="7" t="s">
        <v>26</v>
      </c>
      <c r="C2254" s="7" t="s">
        <v>27</v>
      </c>
      <c r="D2254" s="7" t="s">
        <v>28</v>
      </c>
      <c r="E2254" s="7" t="s">
        <v>29</v>
      </c>
      <c r="F2254" s="7" t="s">
        <v>223</v>
      </c>
      <c r="G2254" s="7">
        <v>100.8884</v>
      </c>
      <c r="H2254" s="7"/>
    </row>
    <row r="2255" spans="1:8" x14ac:dyDescent="0.35">
      <c r="A2255" s="7" t="s">
        <v>353</v>
      </c>
      <c r="B2255" s="7" t="s">
        <v>26</v>
      </c>
      <c r="C2255" s="7" t="s">
        <v>27</v>
      </c>
      <c r="D2255" s="7" t="s">
        <v>28</v>
      </c>
      <c r="E2255" s="7" t="s">
        <v>29</v>
      </c>
      <c r="F2255" s="7" t="s">
        <v>224</v>
      </c>
      <c r="G2255" s="7">
        <v>100.3858</v>
      </c>
      <c r="H2255" s="7"/>
    </row>
    <row r="2256" spans="1:8" x14ac:dyDescent="0.35">
      <c r="A2256" s="7" t="s">
        <v>353</v>
      </c>
      <c r="B2256" s="7" t="s">
        <v>26</v>
      </c>
      <c r="C2256" s="7" t="s">
        <v>27</v>
      </c>
      <c r="D2256" s="7" t="s">
        <v>28</v>
      </c>
      <c r="E2256" s="7" t="s">
        <v>29</v>
      </c>
      <c r="F2256" s="7" t="s">
        <v>225</v>
      </c>
      <c r="G2256" s="7">
        <v>99.663349999999994</v>
      </c>
      <c r="H2256" s="7"/>
    </row>
    <row r="2257" spans="1:8" x14ac:dyDescent="0.35">
      <c r="A2257" s="7" t="s">
        <v>353</v>
      </c>
      <c r="B2257" s="7" t="s">
        <v>26</v>
      </c>
      <c r="C2257" s="7" t="s">
        <v>27</v>
      </c>
      <c r="D2257" s="7" t="s">
        <v>28</v>
      </c>
      <c r="E2257" s="7" t="s">
        <v>29</v>
      </c>
      <c r="F2257" s="7" t="s">
        <v>226</v>
      </c>
      <c r="G2257" s="7">
        <v>99.029660000000007</v>
      </c>
      <c r="H2257" s="7"/>
    </row>
    <row r="2258" spans="1:8" x14ac:dyDescent="0.35">
      <c r="A2258" s="7" t="s">
        <v>353</v>
      </c>
      <c r="B2258" s="7" t="s">
        <v>26</v>
      </c>
      <c r="C2258" s="7" t="s">
        <v>27</v>
      </c>
      <c r="D2258" s="7" t="s">
        <v>28</v>
      </c>
      <c r="E2258" s="7" t="s">
        <v>29</v>
      </c>
      <c r="F2258" s="7" t="s">
        <v>227</v>
      </c>
      <c r="G2258" s="7">
        <v>98.674229999999994</v>
      </c>
      <c r="H2258" s="7"/>
    </row>
    <row r="2259" spans="1:8" x14ac:dyDescent="0.35">
      <c r="A2259" s="7" t="s">
        <v>353</v>
      </c>
      <c r="B2259" s="7" t="s">
        <v>26</v>
      </c>
      <c r="C2259" s="7" t="s">
        <v>27</v>
      </c>
      <c r="D2259" s="7" t="s">
        <v>28</v>
      </c>
      <c r="E2259" s="7" t="s">
        <v>29</v>
      </c>
      <c r="F2259" s="7" t="s">
        <v>228</v>
      </c>
      <c r="G2259" s="7">
        <v>98.505189999999999</v>
      </c>
      <c r="H2259" s="7"/>
    </row>
    <row r="2260" spans="1:8" x14ac:dyDescent="0.35">
      <c r="A2260" s="7" t="s">
        <v>353</v>
      </c>
      <c r="B2260" s="7" t="s">
        <v>26</v>
      </c>
      <c r="C2260" s="7" t="s">
        <v>27</v>
      </c>
      <c r="D2260" s="7" t="s">
        <v>28</v>
      </c>
      <c r="E2260" s="7" t="s">
        <v>29</v>
      </c>
      <c r="F2260" s="7" t="s">
        <v>229</v>
      </c>
      <c r="G2260" s="7">
        <v>98.305660000000003</v>
      </c>
      <c r="H2260" s="7"/>
    </row>
    <row r="2261" spans="1:8" x14ac:dyDescent="0.35">
      <c r="A2261" s="7" t="s">
        <v>353</v>
      </c>
      <c r="B2261" s="7" t="s">
        <v>26</v>
      </c>
      <c r="C2261" s="7" t="s">
        <v>27</v>
      </c>
      <c r="D2261" s="7" t="s">
        <v>28</v>
      </c>
      <c r="E2261" s="7" t="s">
        <v>29</v>
      </c>
      <c r="F2261" s="7" t="s">
        <v>230</v>
      </c>
      <c r="G2261" s="7">
        <v>98.20138</v>
      </c>
      <c r="H2261" s="7"/>
    </row>
    <row r="2262" spans="1:8" x14ac:dyDescent="0.35">
      <c r="A2262" s="7" t="s">
        <v>353</v>
      </c>
      <c r="B2262" s="7" t="s">
        <v>26</v>
      </c>
      <c r="C2262" s="7" t="s">
        <v>27</v>
      </c>
      <c r="D2262" s="7" t="s">
        <v>28</v>
      </c>
      <c r="E2262" s="7" t="s">
        <v>29</v>
      </c>
      <c r="F2262" s="7" t="s">
        <v>231</v>
      </c>
      <c r="G2262" s="7">
        <v>98.362660000000005</v>
      </c>
      <c r="H2262" s="7"/>
    </row>
    <row r="2263" spans="1:8" x14ac:dyDescent="0.35">
      <c r="A2263" s="7" t="s">
        <v>353</v>
      </c>
      <c r="B2263" s="7" t="s">
        <v>26</v>
      </c>
      <c r="C2263" s="7" t="s">
        <v>27</v>
      </c>
      <c r="D2263" s="7" t="s">
        <v>28</v>
      </c>
      <c r="E2263" s="7" t="s">
        <v>29</v>
      </c>
      <c r="F2263" s="7" t="s">
        <v>232</v>
      </c>
      <c r="G2263" s="7">
        <v>98.511610000000005</v>
      </c>
      <c r="H2263" s="7"/>
    </row>
    <row r="2264" spans="1:8" x14ac:dyDescent="0.35">
      <c r="A2264" s="7" t="s">
        <v>353</v>
      </c>
      <c r="B2264" s="7" t="s">
        <v>26</v>
      </c>
      <c r="C2264" s="7" t="s">
        <v>27</v>
      </c>
      <c r="D2264" s="7" t="s">
        <v>28</v>
      </c>
      <c r="E2264" s="7" t="s">
        <v>29</v>
      </c>
      <c r="F2264" s="7" t="s">
        <v>233</v>
      </c>
      <c r="G2264" s="7">
        <v>98.457470000000001</v>
      </c>
      <c r="H2264" s="7"/>
    </row>
    <row r="2265" spans="1:8" x14ac:dyDescent="0.35">
      <c r="A2265" s="7" t="s">
        <v>353</v>
      </c>
      <c r="B2265" s="7" t="s">
        <v>26</v>
      </c>
      <c r="C2265" s="7" t="s">
        <v>27</v>
      </c>
      <c r="D2265" s="7" t="s">
        <v>28</v>
      </c>
      <c r="E2265" s="7" t="s">
        <v>29</v>
      </c>
      <c r="F2265" s="7" t="s">
        <v>234</v>
      </c>
      <c r="G2265" s="7">
        <v>98.544619999999995</v>
      </c>
      <c r="H2265" s="7"/>
    </row>
    <row r="2266" spans="1:8" x14ac:dyDescent="0.35">
      <c r="A2266" s="7" t="s">
        <v>353</v>
      </c>
      <c r="B2266" s="7" t="s">
        <v>26</v>
      </c>
      <c r="C2266" s="7" t="s">
        <v>27</v>
      </c>
      <c r="D2266" s="7" t="s">
        <v>28</v>
      </c>
      <c r="E2266" s="7" t="s">
        <v>29</v>
      </c>
      <c r="F2266" s="7" t="s">
        <v>235</v>
      </c>
      <c r="G2266" s="7">
        <v>98.71172</v>
      </c>
      <c r="H2266" s="7"/>
    </row>
    <row r="2267" spans="1:8" x14ac:dyDescent="0.35">
      <c r="A2267" s="7" t="s">
        <v>353</v>
      </c>
      <c r="B2267" s="7" t="s">
        <v>26</v>
      </c>
      <c r="C2267" s="7" t="s">
        <v>27</v>
      </c>
      <c r="D2267" s="7" t="s">
        <v>28</v>
      </c>
      <c r="E2267" s="7" t="s">
        <v>29</v>
      </c>
      <c r="F2267" s="7" t="s">
        <v>236</v>
      </c>
      <c r="G2267" s="7">
        <v>98.70299</v>
      </c>
      <c r="H2267" s="7"/>
    </row>
    <row r="2268" spans="1:8" x14ac:dyDescent="0.35">
      <c r="A2268" s="7" t="s">
        <v>353</v>
      </c>
      <c r="B2268" s="7" t="s">
        <v>26</v>
      </c>
      <c r="C2268" s="7" t="s">
        <v>27</v>
      </c>
      <c r="D2268" s="7" t="s">
        <v>28</v>
      </c>
      <c r="E2268" s="7" t="s">
        <v>29</v>
      </c>
      <c r="F2268" s="7" t="s">
        <v>237</v>
      </c>
      <c r="G2268" s="7">
        <v>98.597769999999997</v>
      </c>
      <c r="H2268" s="7"/>
    </row>
    <row r="2269" spans="1:8" x14ac:dyDescent="0.35">
      <c r="A2269" s="7" t="s">
        <v>353</v>
      </c>
      <c r="B2269" s="7" t="s">
        <v>26</v>
      </c>
      <c r="C2269" s="7" t="s">
        <v>27</v>
      </c>
      <c r="D2269" s="7" t="s">
        <v>28</v>
      </c>
      <c r="E2269" s="7" t="s">
        <v>29</v>
      </c>
      <c r="F2269" s="7" t="s">
        <v>238</v>
      </c>
      <c r="G2269" s="7">
        <v>98.620189999999994</v>
      </c>
      <c r="H2269" s="7"/>
    </row>
    <row r="2270" spans="1:8" x14ac:dyDescent="0.35">
      <c r="A2270" s="7" t="s">
        <v>353</v>
      </c>
      <c r="B2270" s="7" t="s">
        <v>26</v>
      </c>
      <c r="C2270" s="7" t="s">
        <v>27</v>
      </c>
      <c r="D2270" s="7" t="s">
        <v>28</v>
      </c>
      <c r="E2270" s="7" t="s">
        <v>29</v>
      </c>
      <c r="F2270" s="7" t="s">
        <v>239</v>
      </c>
      <c r="G2270" s="7">
        <v>98.846320000000006</v>
      </c>
      <c r="H2270" s="7"/>
    </row>
    <row r="2271" spans="1:8" x14ac:dyDescent="0.35">
      <c r="A2271" s="7" t="s">
        <v>353</v>
      </c>
      <c r="B2271" s="7" t="s">
        <v>26</v>
      </c>
      <c r="C2271" s="7" t="s">
        <v>27</v>
      </c>
      <c r="D2271" s="7" t="s">
        <v>28</v>
      </c>
      <c r="E2271" s="7" t="s">
        <v>29</v>
      </c>
      <c r="F2271" s="7" t="s">
        <v>240</v>
      </c>
      <c r="G2271" s="7">
        <v>99.181839999999994</v>
      </c>
      <c r="H2271" s="7"/>
    </row>
    <row r="2272" spans="1:8" x14ac:dyDescent="0.35">
      <c r="A2272" s="7" t="s">
        <v>353</v>
      </c>
      <c r="B2272" s="7" t="s">
        <v>26</v>
      </c>
      <c r="C2272" s="7" t="s">
        <v>27</v>
      </c>
      <c r="D2272" s="7" t="s">
        <v>28</v>
      </c>
      <c r="E2272" s="7" t="s">
        <v>29</v>
      </c>
      <c r="F2272" s="7" t="s">
        <v>241</v>
      </c>
      <c r="G2272" s="7">
        <v>99.832369999999997</v>
      </c>
      <c r="H2272" s="7"/>
    </row>
    <row r="2273" spans="1:8" x14ac:dyDescent="0.35">
      <c r="A2273" s="7" t="s">
        <v>353</v>
      </c>
      <c r="B2273" s="7" t="s">
        <v>26</v>
      </c>
      <c r="C2273" s="7" t="s">
        <v>27</v>
      </c>
      <c r="D2273" s="7" t="s">
        <v>28</v>
      </c>
      <c r="E2273" s="7" t="s">
        <v>29</v>
      </c>
      <c r="F2273" s="7" t="s">
        <v>242</v>
      </c>
      <c r="G2273" s="7">
        <v>100.57</v>
      </c>
      <c r="H2273" s="7"/>
    </row>
    <row r="2274" spans="1:8" x14ac:dyDescent="0.35">
      <c r="A2274" s="7" t="s">
        <v>353</v>
      </c>
      <c r="B2274" s="7" t="s">
        <v>26</v>
      </c>
      <c r="C2274" s="7" t="s">
        <v>27</v>
      </c>
      <c r="D2274" s="7" t="s">
        <v>28</v>
      </c>
      <c r="E2274" s="7" t="s">
        <v>29</v>
      </c>
      <c r="F2274" s="7" t="s">
        <v>243</v>
      </c>
      <c r="G2274" s="7">
        <v>101.1772</v>
      </c>
      <c r="H2274" s="7"/>
    </row>
    <row r="2275" spans="1:8" x14ac:dyDescent="0.35">
      <c r="A2275" s="7" t="s">
        <v>353</v>
      </c>
      <c r="B2275" s="7" t="s">
        <v>26</v>
      </c>
      <c r="C2275" s="7" t="s">
        <v>27</v>
      </c>
      <c r="D2275" s="7" t="s">
        <v>28</v>
      </c>
      <c r="E2275" s="7" t="s">
        <v>29</v>
      </c>
      <c r="F2275" s="7" t="s">
        <v>244</v>
      </c>
      <c r="G2275" s="7">
        <v>101.605</v>
      </c>
      <c r="H2275" s="7"/>
    </row>
    <row r="2276" spans="1:8" x14ac:dyDescent="0.35">
      <c r="A2276" s="7" t="s">
        <v>353</v>
      </c>
      <c r="B2276" s="7" t="s">
        <v>26</v>
      </c>
      <c r="C2276" s="7" t="s">
        <v>27</v>
      </c>
      <c r="D2276" s="7" t="s">
        <v>28</v>
      </c>
      <c r="E2276" s="7" t="s">
        <v>29</v>
      </c>
      <c r="F2276" s="7" t="s">
        <v>245</v>
      </c>
      <c r="G2276" s="7">
        <v>101.7636</v>
      </c>
      <c r="H2276" s="7"/>
    </row>
    <row r="2277" spans="1:8" x14ac:dyDescent="0.35">
      <c r="A2277" s="7" t="s">
        <v>353</v>
      </c>
      <c r="B2277" s="7" t="s">
        <v>26</v>
      </c>
      <c r="C2277" s="7" t="s">
        <v>27</v>
      </c>
      <c r="D2277" s="7" t="s">
        <v>28</v>
      </c>
      <c r="E2277" s="7" t="s">
        <v>29</v>
      </c>
      <c r="F2277" s="7" t="s">
        <v>246</v>
      </c>
      <c r="G2277" s="7">
        <v>101.6917</v>
      </c>
      <c r="H2277" s="7"/>
    </row>
    <row r="2278" spans="1:8" x14ac:dyDescent="0.35">
      <c r="A2278" s="7" t="s">
        <v>353</v>
      </c>
      <c r="B2278" s="7" t="s">
        <v>26</v>
      </c>
      <c r="C2278" s="7" t="s">
        <v>27</v>
      </c>
      <c r="D2278" s="7" t="s">
        <v>28</v>
      </c>
      <c r="E2278" s="7" t="s">
        <v>29</v>
      </c>
      <c r="F2278" s="7" t="s">
        <v>247</v>
      </c>
      <c r="G2278" s="7">
        <v>101.5967</v>
      </c>
      <c r="H2278" s="7"/>
    </row>
    <row r="2279" spans="1:8" x14ac:dyDescent="0.35">
      <c r="A2279" s="7" t="s">
        <v>353</v>
      </c>
      <c r="B2279" s="7" t="s">
        <v>26</v>
      </c>
      <c r="C2279" s="7" t="s">
        <v>27</v>
      </c>
      <c r="D2279" s="7" t="s">
        <v>28</v>
      </c>
      <c r="E2279" s="7" t="s">
        <v>29</v>
      </c>
      <c r="F2279" s="7" t="s">
        <v>248</v>
      </c>
      <c r="G2279" s="7">
        <v>101.62860000000001</v>
      </c>
      <c r="H2279" s="7"/>
    </row>
    <row r="2280" spans="1:8" x14ac:dyDescent="0.35">
      <c r="A2280" s="7" t="s">
        <v>353</v>
      </c>
      <c r="B2280" s="7" t="s">
        <v>26</v>
      </c>
      <c r="C2280" s="7" t="s">
        <v>27</v>
      </c>
      <c r="D2280" s="7" t="s">
        <v>28</v>
      </c>
      <c r="E2280" s="7" t="s">
        <v>29</v>
      </c>
      <c r="F2280" s="7" t="s">
        <v>249</v>
      </c>
      <c r="G2280" s="7">
        <v>101.5765</v>
      </c>
      <c r="H2280" s="7"/>
    </row>
    <row r="2281" spans="1:8" x14ac:dyDescent="0.35">
      <c r="A2281" s="7" t="s">
        <v>353</v>
      </c>
      <c r="B2281" s="7" t="s">
        <v>26</v>
      </c>
      <c r="C2281" s="7" t="s">
        <v>27</v>
      </c>
      <c r="D2281" s="7" t="s">
        <v>28</v>
      </c>
      <c r="E2281" s="7" t="s">
        <v>29</v>
      </c>
      <c r="F2281" s="7" t="s">
        <v>250</v>
      </c>
      <c r="G2281" s="7">
        <v>101.43389999999999</v>
      </c>
      <c r="H2281" s="7"/>
    </row>
    <row r="2282" spans="1:8" x14ac:dyDescent="0.35">
      <c r="A2282" s="7" t="s">
        <v>353</v>
      </c>
      <c r="B2282" s="7" t="s">
        <v>26</v>
      </c>
      <c r="C2282" s="7" t="s">
        <v>27</v>
      </c>
      <c r="D2282" s="7" t="s">
        <v>28</v>
      </c>
      <c r="E2282" s="7" t="s">
        <v>29</v>
      </c>
      <c r="F2282" s="7" t="s">
        <v>251</v>
      </c>
      <c r="G2282" s="7">
        <v>101.15219999999999</v>
      </c>
      <c r="H2282" s="7"/>
    </row>
    <row r="2283" spans="1:8" x14ac:dyDescent="0.35">
      <c r="A2283" s="7" t="s">
        <v>353</v>
      </c>
      <c r="B2283" s="7" t="s">
        <v>26</v>
      </c>
      <c r="C2283" s="7" t="s">
        <v>27</v>
      </c>
      <c r="D2283" s="7" t="s">
        <v>28</v>
      </c>
      <c r="E2283" s="7" t="s">
        <v>29</v>
      </c>
      <c r="F2283" s="7" t="s">
        <v>252</v>
      </c>
      <c r="G2283" s="7">
        <v>100.78360000000001</v>
      </c>
      <c r="H2283" s="7"/>
    </row>
    <row r="2284" spans="1:8" x14ac:dyDescent="0.35">
      <c r="A2284" s="7" t="s">
        <v>353</v>
      </c>
      <c r="B2284" s="7" t="s">
        <v>26</v>
      </c>
      <c r="C2284" s="7" t="s">
        <v>27</v>
      </c>
      <c r="D2284" s="7" t="s">
        <v>28</v>
      </c>
      <c r="E2284" s="7" t="s">
        <v>29</v>
      </c>
      <c r="F2284" s="7" t="s">
        <v>253</v>
      </c>
      <c r="G2284" s="7">
        <v>100.6626</v>
      </c>
      <c r="H2284" s="7"/>
    </row>
    <row r="2285" spans="1:8" x14ac:dyDescent="0.35">
      <c r="A2285" s="7" t="s">
        <v>353</v>
      </c>
      <c r="B2285" s="7" t="s">
        <v>26</v>
      </c>
      <c r="C2285" s="7" t="s">
        <v>27</v>
      </c>
      <c r="D2285" s="7" t="s">
        <v>28</v>
      </c>
      <c r="E2285" s="7" t="s">
        <v>29</v>
      </c>
      <c r="F2285" s="7" t="s">
        <v>254</v>
      </c>
      <c r="G2285" s="7">
        <v>100.9795</v>
      </c>
      <c r="H2285" s="7"/>
    </row>
    <row r="2286" spans="1:8" x14ac:dyDescent="0.35">
      <c r="A2286" s="7" t="s">
        <v>353</v>
      </c>
      <c r="B2286" s="7" t="s">
        <v>26</v>
      </c>
      <c r="C2286" s="7" t="s">
        <v>27</v>
      </c>
      <c r="D2286" s="7" t="s">
        <v>28</v>
      </c>
      <c r="E2286" s="7" t="s">
        <v>29</v>
      </c>
      <c r="F2286" s="7" t="s">
        <v>255</v>
      </c>
      <c r="G2286" s="7">
        <v>101.3035</v>
      </c>
      <c r="H2286" s="7"/>
    </row>
    <row r="2287" spans="1:8" x14ac:dyDescent="0.35">
      <c r="A2287" s="7" t="s">
        <v>353</v>
      </c>
      <c r="B2287" s="7" t="s">
        <v>26</v>
      </c>
      <c r="C2287" s="7" t="s">
        <v>27</v>
      </c>
      <c r="D2287" s="7" t="s">
        <v>28</v>
      </c>
      <c r="E2287" s="7" t="s">
        <v>29</v>
      </c>
      <c r="F2287" s="7" t="s">
        <v>256</v>
      </c>
      <c r="G2287" s="7">
        <v>101.3609</v>
      </c>
      <c r="H2287" s="7"/>
    </row>
    <row r="2288" spans="1:8" x14ac:dyDescent="0.35">
      <c r="A2288" s="7" t="s">
        <v>353</v>
      </c>
      <c r="B2288" s="7" t="s">
        <v>26</v>
      </c>
      <c r="C2288" s="7" t="s">
        <v>27</v>
      </c>
      <c r="D2288" s="7" t="s">
        <v>28</v>
      </c>
      <c r="E2288" s="7" t="s">
        <v>29</v>
      </c>
      <c r="F2288" s="7" t="s">
        <v>257</v>
      </c>
      <c r="G2288" s="7">
        <v>101.3081</v>
      </c>
      <c r="H2288" s="7"/>
    </row>
    <row r="2289" spans="1:8" x14ac:dyDescent="0.35">
      <c r="A2289" s="7" t="s">
        <v>353</v>
      </c>
      <c r="B2289" s="7" t="s">
        <v>26</v>
      </c>
      <c r="C2289" s="7" t="s">
        <v>27</v>
      </c>
      <c r="D2289" s="7" t="s">
        <v>28</v>
      </c>
      <c r="E2289" s="7" t="s">
        <v>29</v>
      </c>
      <c r="F2289" s="7" t="s">
        <v>258</v>
      </c>
      <c r="G2289" s="7">
        <v>101.077</v>
      </c>
      <c r="H2289" s="7"/>
    </row>
    <row r="2290" spans="1:8" x14ac:dyDescent="0.35">
      <c r="A2290" s="7" t="s">
        <v>353</v>
      </c>
      <c r="B2290" s="7" t="s">
        <v>26</v>
      </c>
      <c r="C2290" s="7" t="s">
        <v>27</v>
      </c>
      <c r="D2290" s="7" t="s">
        <v>28</v>
      </c>
      <c r="E2290" s="7" t="s">
        <v>29</v>
      </c>
      <c r="F2290" s="7" t="s">
        <v>259</v>
      </c>
      <c r="G2290" s="7">
        <v>100.82550000000001</v>
      </c>
      <c r="H2290" s="7"/>
    </row>
    <row r="2291" spans="1:8" x14ac:dyDescent="0.35">
      <c r="A2291" s="7" t="s">
        <v>353</v>
      </c>
      <c r="B2291" s="7" t="s">
        <v>26</v>
      </c>
      <c r="C2291" s="7" t="s">
        <v>27</v>
      </c>
      <c r="D2291" s="7" t="s">
        <v>28</v>
      </c>
      <c r="E2291" s="7" t="s">
        <v>29</v>
      </c>
      <c r="F2291" s="7" t="s">
        <v>260</v>
      </c>
      <c r="G2291" s="7">
        <v>100.5724</v>
      </c>
      <c r="H2291" s="7"/>
    </row>
    <row r="2292" spans="1:8" x14ac:dyDescent="0.35">
      <c r="A2292" s="7" t="s">
        <v>353</v>
      </c>
      <c r="B2292" s="7" t="s">
        <v>26</v>
      </c>
      <c r="C2292" s="7" t="s">
        <v>27</v>
      </c>
      <c r="D2292" s="7" t="s">
        <v>28</v>
      </c>
      <c r="E2292" s="7" t="s">
        <v>29</v>
      </c>
      <c r="F2292" s="7" t="s">
        <v>261</v>
      </c>
      <c r="G2292" s="7">
        <v>100.4481</v>
      </c>
      <c r="H2292" s="7"/>
    </row>
    <row r="2293" spans="1:8" x14ac:dyDescent="0.35">
      <c r="A2293" s="7" t="s">
        <v>353</v>
      </c>
      <c r="B2293" s="7" t="s">
        <v>26</v>
      </c>
      <c r="C2293" s="7" t="s">
        <v>27</v>
      </c>
      <c r="D2293" s="7" t="s">
        <v>28</v>
      </c>
      <c r="E2293" s="7" t="s">
        <v>29</v>
      </c>
      <c r="F2293" s="7" t="s">
        <v>262</v>
      </c>
      <c r="G2293" s="7">
        <v>100.35120000000001</v>
      </c>
      <c r="H2293" s="7"/>
    </row>
    <row r="2294" spans="1:8" x14ac:dyDescent="0.35">
      <c r="A2294" s="7" t="s">
        <v>353</v>
      </c>
      <c r="B2294" s="7" t="s">
        <v>26</v>
      </c>
      <c r="C2294" s="7" t="s">
        <v>27</v>
      </c>
      <c r="D2294" s="7" t="s">
        <v>28</v>
      </c>
      <c r="E2294" s="7" t="s">
        <v>29</v>
      </c>
      <c r="F2294" s="7" t="s">
        <v>263</v>
      </c>
      <c r="G2294" s="7">
        <v>100.2714</v>
      </c>
      <c r="H2294" s="7"/>
    </row>
    <row r="2295" spans="1:8" x14ac:dyDescent="0.35">
      <c r="A2295" s="7" t="s">
        <v>353</v>
      </c>
      <c r="B2295" s="7" t="s">
        <v>26</v>
      </c>
      <c r="C2295" s="7" t="s">
        <v>27</v>
      </c>
      <c r="D2295" s="7" t="s">
        <v>28</v>
      </c>
      <c r="E2295" s="7" t="s">
        <v>29</v>
      </c>
      <c r="F2295" s="7" t="s">
        <v>264</v>
      </c>
      <c r="G2295" s="7">
        <v>100.0883</v>
      </c>
      <c r="H2295" s="7"/>
    </row>
    <row r="2296" spans="1:8" x14ac:dyDescent="0.35">
      <c r="A2296" s="7" t="s">
        <v>353</v>
      </c>
      <c r="B2296" s="7" t="s">
        <v>26</v>
      </c>
      <c r="C2296" s="7" t="s">
        <v>27</v>
      </c>
      <c r="D2296" s="7" t="s">
        <v>28</v>
      </c>
      <c r="E2296" s="7" t="s">
        <v>29</v>
      </c>
      <c r="F2296" s="7" t="s">
        <v>265</v>
      </c>
      <c r="G2296" s="7">
        <v>99.750420000000005</v>
      </c>
      <c r="H2296" s="7"/>
    </row>
    <row r="2297" spans="1:8" x14ac:dyDescent="0.35">
      <c r="A2297" s="7" t="s">
        <v>353</v>
      </c>
      <c r="B2297" s="7" t="s">
        <v>26</v>
      </c>
      <c r="C2297" s="7" t="s">
        <v>27</v>
      </c>
      <c r="D2297" s="7" t="s">
        <v>28</v>
      </c>
      <c r="E2297" s="7" t="s">
        <v>29</v>
      </c>
      <c r="F2297" s="7" t="s">
        <v>266</v>
      </c>
      <c r="G2297" s="7">
        <v>99.358779999999996</v>
      </c>
      <c r="H2297" s="7"/>
    </row>
    <row r="2298" spans="1:8" x14ac:dyDescent="0.35">
      <c r="A2298" s="7" t="s">
        <v>353</v>
      </c>
      <c r="B2298" s="7" t="s">
        <v>26</v>
      </c>
      <c r="C2298" s="7" t="s">
        <v>27</v>
      </c>
      <c r="D2298" s="7" t="s">
        <v>28</v>
      </c>
      <c r="E2298" s="7" t="s">
        <v>29</v>
      </c>
      <c r="F2298" s="7" t="s">
        <v>267</v>
      </c>
      <c r="G2298" s="7">
        <v>99.206389999999999</v>
      </c>
      <c r="H2298" s="7"/>
    </row>
    <row r="2299" spans="1:8" x14ac:dyDescent="0.35">
      <c r="A2299" s="7" t="s">
        <v>353</v>
      </c>
      <c r="B2299" s="7" t="s">
        <v>26</v>
      </c>
      <c r="C2299" s="7" t="s">
        <v>27</v>
      </c>
      <c r="D2299" s="7" t="s">
        <v>28</v>
      </c>
      <c r="E2299" s="7" t="s">
        <v>29</v>
      </c>
      <c r="F2299" s="7" t="s">
        <v>268</v>
      </c>
      <c r="G2299" s="7">
        <v>99.373769999999993</v>
      </c>
      <c r="H2299" s="7"/>
    </row>
    <row r="2300" spans="1:8" x14ac:dyDescent="0.35">
      <c r="A2300" s="7" t="s">
        <v>353</v>
      </c>
      <c r="B2300" s="7" t="s">
        <v>26</v>
      </c>
      <c r="C2300" s="7" t="s">
        <v>27</v>
      </c>
      <c r="D2300" s="7" t="s">
        <v>28</v>
      </c>
      <c r="E2300" s="7" t="s">
        <v>29</v>
      </c>
      <c r="F2300" s="7" t="s">
        <v>269</v>
      </c>
      <c r="G2300" s="7">
        <v>99.582819999999998</v>
      </c>
      <c r="H2300" s="7"/>
    </row>
    <row r="2301" spans="1:8" x14ac:dyDescent="0.35">
      <c r="A2301" s="7" t="s">
        <v>353</v>
      </c>
      <c r="B2301" s="7" t="s">
        <v>26</v>
      </c>
      <c r="C2301" s="7" t="s">
        <v>27</v>
      </c>
      <c r="D2301" s="7" t="s">
        <v>28</v>
      </c>
      <c r="E2301" s="7" t="s">
        <v>29</v>
      </c>
      <c r="F2301" s="7" t="s">
        <v>270</v>
      </c>
      <c r="G2301" s="7">
        <v>99.725980000000007</v>
      </c>
      <c r="H2301" s="7"/>
    </row>
    <row r="2302" spans="1:8" x14ac:dyDescent="0.35">
      <c r="A2302" s="7" t="s">
        <v>353</v>
      </c>
      <c r="B2302" s="7" t="s">
        <v>26</v>
      </c>
      <c r="C2302" s="7" t="s">
        <v>27</v>
      </c>
      <c r="D2302" s="7" t="s">
        <v>28</v>
      </c>
      <c r="E2302" s="7" t="s">
        <v>29</v>
      </c>
      <c r="F2302" s="7" t="s">
        <v>271</v>
      </c>
      <c r="G2302" s="7">
        <v>99.657210000000006</v>
      </c>
      <c r="H2302" s="7"/>
    </row>
    <row r="2303" spans="1:8" x14ac:dyDescent="0.35">
      <c r="A2303" s="7" t="s">
        <v>353</v>
      </c>
      <c r="B2303" s="7" t="s">
        <v>26</v>
      </c>
      <c r="C2303" s="7" t="s">
        <v>27</v>
      </c>
      <c r="D2303" s="7" t="s">
        <v>28</v>
      </c>
      <c r="E2303" s="7" t="s">
        <v>29</v>
      </c>
      <c r="F2303" s="7" t="s">
        <v>272</v>
      </c>
      <c r="G2303" s="7">
        <v>99.645880000000005</v>
      </c>
      <c r="H2303" s="7"/>
    </row>
    <row r="2304" spans="1:8" x14ac:dyDescent="0.35">
      <c r="A2304" s="7" t="s">
        <v>353</v>
      </c>
      <c r="B2304" s="7" t="s">
        <v>26</v>
      </c>
      <c r="C2304" s="7" t="s">
        <v>27</v>
      </c>
      <c r="D2304" s="7" t="s">
        <v>28</v>
      </c>
      <c r="E2304" s="7" t="s">
        <v>29</v>
      </c>
      <c r="F2304" s="7" t="s">
        <v>273</v>
      </c>
      <c r="G2304" s="7">
        <v>99.649429999999995</v>
      </c>
      <c r="H2304" s="7"/>
    </row>
    <row r="2305" spans="1:8" x14ac:dyDescent="0.35">
      <c r="A2305" s="7" t="s">
        <v>353</v>
      </c>
      <c r="B2305" s="7" t="s">
        <v>26</v>
      </c>
      <c r="C2305" s="7" t="s">
        <v>27</v>
      </c>
      <c r="D2305" s="7" t="s">
        <v>28</v>
      </c>
      <c r="E2305" s="7" t="s">
        <v>29</v>
      </c>
      <c r="F2305" s="7" t="s">
        <v>274</v>
      </c>
      <c r="G2305" s="7">
        <v>99.523740000000004</v>
      </c>
      <c r="H2305" s="7"/>
    </row>
    <row r="2306" spans="1:8" x14ac:dyDescent="0.35">
      <c r="A2306" s="7" t="s">
        <v>353</v>
      </c>
      <c r="B2306" s="7" t="s">
        <v>26</v>
      </c>
      <c r="C2306" s="7" t="s">
        <v>27</v>
      </c>
      <c r="D2306" s="7" t="s">
        <v>28</v>
      </c>
      <c r="E2306" s="7" t="s">
        <v>29</v>
      </c>
      <c r="F2306" s="7" t="s">
        <v>275</v>
      </c>
      <c r="G2306" s="7">
        <v>99.417649999999995</v>
      </c>
      <c r="H2306" s="7"/>
    </row>
    <row r="2307" spans="1:8" x14ac:dyDescent="0.35">
      <c r="A2307" s="7" t="s">
        <v>353</v>
      </c>
      <c r="B2307" s="7" t="s">
        <v>26</v>
      </c>
      <c r="C2307" s="7" t="s">
        <v>27</v>
      </c>
      <c r="D2307" s="7" t="s">
        <v>28</v>
      </c>
      <c r="E2307" s="7" t="s">
        <v>29</v>
      </c>
      <c r="F2307" s="7" t="s">
        <v>276</v>
      </c>
      <c r="G2307" s="7">
        <v>99.401020000000003</v>
      </c>
      <c r="H2307" s="7"/>
    </row>
    <row r="2308" spans="1:8" x14ac:dyDescent="0.35">
      <c r="A2308" s="7" t="s">
        <v>353</v>
      </c>
      <c r="B2308" s="7" t="s">
        <v>26</v>
      </c>
      <c r="C2308" s="7" t="s">
        <v>27</v>
      </c>
      <c r="D2308" s="7" t="s">
        <v>28</v>
      </c>
      <c r="E2308" s="7" t="s">
        <v>29</v>
      </c>
      <c r="F2308" s="7" t="s">
        <v>277</v>
      </c>
      <c r="G2308" s="7">
        <v>99.471419999999995</v>
      </c>
      <c r="H2308" s="7"/>
    </row>
    <row r="2309" spans="1:8" x14ac:dyDescent="0.35">
      <c r="A2309" s="7" t="s">
        <v>353</v>
      </c>
      <c r="B2309" s="7" t="s">
        <v>26</v>
      </c>
      <c r="C2309" s="7" t="s">
        <v>27</v>
      </c>
      <c r="D2309" s="7" t="s">
        <v>28</v>
      </c>
      <c r="E2309" s="7" t="s">
        <v>29</v>
      </c>
      <c r="F2309" s="7" t="s">
        <v>278</v>
      </c>
      <c r="G2309" s="7">
        <v>99.570679999999996</v>
      </c>
      <c r="H2309" s="7"/>
    </row>
    <row r="2310" spans="1:8" x14ac:dyDescent="0.35">
      <c r="A2310" s="7" t="s">
        <v>353</v>
      </c>
      <c r="B2310" s="7" t="s">
        <v>26</v>
      </c>
      <c r="C2310" s="7" t="s">
        <v>27</v>
      </c>
      <c r="D2310" s="7" t="s">
        <v>28</v>
      </c>
      <c r="E2310" s="7" t="s">
        <v>29</v>
      </c>
      <c r="F2310" s="7" t="s">
        <v>279</v>
      </c>
      <c r="G2310" s="7">
        <v>99.614019999999996</v>
      </c>
      <c r="H2310" s="7"/>
    </row>
    <row r="2311" spans="1:8" x14ac:dyDescent="0.35">
      <c r="A2311" s="7" t="s">
        <v>353</v>
      </c>
      <c r="B2311" s="7" t="s">
        <v>26</v>
      </c>
      <c r="C2311" s="7" t="s">
        <v>27</v>
      </c>
      <c r="D2311" s="7" t="s">
        <v>28</v>
      </c>
      <c r="E2311" s="7" t="s">
        <v>29</v>
      </c>
      <c r="F2311" s="7" t="s">
        <v>280</v>
      </c>
      <c r="G2311" s="7">
        <v>99.689319999999995</v>
      </c>
      <c r="H2311" s="7"/>
    </row>
    <row r="2312" spans="1:8" x14ac:dyDescent="0.35">
      <c r="A2312" s="7" t="s">
        <v>353</v>
      </c>
      <c r="B2312" s="7" t="s">
        <v>26</v>
      </c>
      <c r="C2312" s="7" t="s">
        <v>27</v>
      </c>
      <c r="D2312" s="7" t="s">
        <v>28</v>
      </c>
      <c r="E2312" s="7" t="s">
        <v>29</v>
      </c>
      <c r="F2312" s="7" t="s">
        <v>281</v>
      </c>
      <c r="G2312" s="7">
        <v>99.814779999999999</v>
      </c>
      <c r="H2312" s="7"/>
    </row>
    <row r="2313" spans="1:8" x14ac:dyDescent="0.35">
      <c r="A2313" s="7" t="s">
        <v>353</v>
      </c>
      <c r="B2313" s="7" t="s">
        <v>26</v>
      </c>
      <c r="C2313" s="7" t="s">
        <v>27</v>
      </c>
      <c r="D2313" s="7" t="s">
        <v>28</v>
      </c>
      <c r="E2313" s="7" t="s">
        <v>29</v>
      </c>
      <c r="F2313" s="7" t="s">
        <v>282</v>
      </c>
      <c r="G2313" s="7">
        <v>99.963070000000002</v>
      </c>
      <c r="H2313" s="7"/>
    </row>
    <row r="2314" spans="1:8" x14ac:dyDescent="0.35">
      <c r="A2314" s="7" t="s">
        <v>353</v>
      </c>
      <c r="B2314" s="7" t="s">
        <v>26</v>
      </c>
      <c r="C2314" s="7" t="s">
        <v>27</v>
      </c>
      <c r="D2314" s="7" t="s">
        <v>28</v>
      </c>
      <c r="E2314" s="7" t="s">
        <v>29</v>
      </c>
      <c r="F2314" s="7" t="s">
        <v>283</v>
      </c>
      <c r="G2314" s="7">
        <v>100.0354</v>
      </c>
      <c r="H2314" s="7"/>
    </row>
    <row r="2315" spans="1:8" x14ac:dyDescent="0.35">
      <c r="A2315" s="7" t="s">
        <v>353</v>
      </c>
      <c r="B2315" s="7" t="s">
        <v>26</v>
      </c>
      <c r="C2315" s="7" t="s">
        <v>27</v>
      </c>
      <c r="D2315" s="7" t="s">
        <v>28</v>
      </c>
      <c r="E2315" s="7" t="s">
        <v>29</v>
      </c>
      <c r="F2315" s="7" t="s">
        <v>284</v>
      </c>
      <c r="G2315" s="7">
        <v>100.2109</v>
      </c>
      <c r="H2315" s="7"/>
    </row>
    <row r="2316" spans="1:8" x14ac:dyDescent="0.35">
      <c r="A2316" s="7" t="s">
        <v>353</v>
      </c>
      <c r="B2316" s="7" t="s">
        <v>26</v>
      </c>
      <c r="C2316" s="7" t="s">
        <v>27</v>
      </c>
      <c r="D2316" s="7" t="s">
        <v>28</v>
      </c>
      <c r="E2316" s="7" t="s">
        <v>29</v>
      </c>
      <c r="F2316" s="7" t="s">
        <v>285</v>
      </c>
      <c r="G2316" s="7">
        <v>100.476</v>
      </c>
      <c r="H2316" s="7"/>
    </row>
    <row r="2317" spans="1:8" x14ac:dyDescent="0.35">
      <c r="A2317" s="7" t="s">
        <v>353</v>
      </c>
      <c r="B2317" s="7" t="s">
        <v>26</v>
      </c>
      <c r="C2317" s="7" t="s">
        <v>27</v>
      </c>
      <c r="D2317" s="7" t="s">
        <v>28</v>
      </c>
      <c r="E2317" s="7" t="s">
        <v>29</v>
      </c>
      <c r="F2317" s="7" t="s">
        <v>286</v>
      </c>
      <c r="G2317" s="7">
        <v>100.5484</v>
      </c>
      <c r="H2317" s="7"/>
    </row>
    <row r="2318" spans="1:8" x14ac:dyDescent="0.35">
      <c r="A2318" s="7" t="s">
        <v>353</v>
      </c>
      <c r="B2318" s="7" t="s">
        <v>26</v>
      </c>
      <c r="C2318" s="7" t="s">
        <v>27</v>
      </c>
      <c r="D2318" s="7" t="s">
        <v>28</v>
      </c>
      <c r="E2318" s="7" t="s">
        <v>29</v>
      </c>
      <c r="F2318" s="7" t="s">
        <v>287</v>
      </c>
      <c r="G2318" s="7">
        <v>100.309</v>
      </c>
      <c r="H2318" s="7"/>
    </row>
    <row r="2319" spans="1:8" x14ac:dyDescent="0.35">
      <c r="A2319" s="7" t="s">
        <v>353</v>
      </c>
      <c r="B2319" s="7" t="s">
        <v>26</v>
      </c>
      <c r="C2319" s="7" t="s">
        <v>27</v>
      </c>
      <c r="D2319" s="7" t="s">
        <v>28</v>
      </c>
      <c r="E2319" s="7" t="s">
        <v>29</v>
      </c>
      <c r="F2319" s="7" t="s">
        <v>288</v>
      </c>
      <c r="G2319" s="7">
        <v>100.02760000000001</v>
      </c>
      <c r="H2319" s="7"/>
    </row>
    <row r="2320" spans="1:8" x14ac:dyDescent="0.35">
      <c r="A2320" s="7" t="s">
        <v>353</v>
      </c>
      <c r="B2320" s="7" t="s">
        <v>26</v>
      </c>
      <c r="C2320" s="7" t="s">
        <v>27</v>
      </c>
      <c r="D2320" s="7" t="s">
        <v>28</v>
      </c>
      <c r="E2320" s="7" t="s">
        <v>29</v>
      </c>
      <c r="F2320" s="7" t="s">
        <v>289</v>
      </c>
      <c r="G2320" s="7">
        <v>100.00530000000001</v>
      </c>
      <c r="H2320" s="7"/>
    </row>
    <row r="2321" spans="1:8" x14ac:dyDescent="0.35">
      <c r="A2321" s="7" t="s">
        <v>353</v>
      </c>
      <c r="B2321" s="7" t="s">
        <v>26</v>
      </c>
      <c r="C2321" s="7" t="s">
        <v>27</v>
      </c>
      <c r="D2321" s="7" t="s">
        <v>28</v>
      </c>
      <c r="E2321" s="7" t="s">
        <v>29</v>
      </c>
      <c r="F2321" s="7" t="s">
        <v>290</v>
      </c>
      <c r="G2321" s="7">
        <v>100.1596</v>
      </c>
      <c r="H2321" s="7"/>
    </row>
    <row r="2322" spans="1:8" x14ac:dyDescent="0.35">
      <c r="A2322" s="7" t="s">
        <v>353</v>
      </c>
      <c r="B2322" s="7" t="s">
        <v>26</v>
      </c>
      <c r="C2322" s="7" t="s">
        <v>27</v>
      </c>
      <c r="D2322" s="7" t="s">
        <v>28</v>
      </c>
      <c r="E2322" s="7" t="s">
        <v>29</v>
      </c>
      <c r="F2322" s="7" t="s">
        <v>291</v>
      </c>
      <c r="G2322" s="7">
        <v>100.4444</v>
      </c>
      <c r="H2322" s="7"/>
    </row>
    <row r="2323" spans="1:8" x14ac:dyDescent="0.35">
      <c r="A2323" s="7" t="s">
        <v>353</v>
      </c>
      <c r="B2323" s="7" t="s">
        <v>26</v>
      </c>
      <c r="C2323" s="7" t="s">
        <v>27</v>
      </c>
      <c r="D2323" s="7" t="s">
        <v>28</v>
      </c>
      <c r="E2323" s="7" t="s">
        <v>29</v>
      </c>
      <c r="F2323" s="7" t="s">
        <v>292</v>
      </c>
      <c r="G2323" s="7">
        <v>100.69580000000001</v>
      </c>
      <c r="H2323" s="7"/>
    </row>
    <row r="2324" spans="1:8" x14ac:dyDescent="0.35">
      <c r="A2324" s="7" t="s">
        <v>353</v>
      </c>
      <c r="B2324" s="7" t="s">
        <v>26</v>
      </c>
      <c r="C2324" s="7" t="s">
        <v>27</v>
      </c>
      <c r="D2324" s="7" t="s">
        <v>28</v>
      </c>
      <c r="E2324" s="7" t="s">
        <v>29</v>
      </c>
      <c r="F2324" s="7" t="s">
        <v>293</v>
      </c>
      <c r="G2324" s="7">
        <v>100.7454</v>
      </c>
      <c r="H2324" s="7"/>
    </row>
    <row r="2325" spans="1:8" x14ac:dyDescent="0.35">
      <c r="A2325" s="7" t="s">
        <v>353</v>
      </c>
      <c r="B2325" s="7" t="s">
        <v>26</v>
      </c>
      <c r="C2325" s="7" t="s">
        <v>27</v>
      </c>
      <c r="D2325" s="7" t="s">
        <v>28</v>
      </c>
      <c r="E2325" s="7" t="s">
        <v>29</v>
      </c>
      <c r="F2325" s="7" t="s">
        <v>294</v>
      </c>
      <c r="G2325" s="7">
        <v>100.66670000000001</v>
      </c>
      <c r="H2325" s="7"/>
    </row>
    <row r="2326" spans="1:8" x14ac:dyDescent="0.35">
      <c r="A2326" s="7" t="s">
        <v>353</v>
      </c>
      <c r="B2326" s="7" t="s">
        <v>26</v>
      </c>
      <c r="C2326" s="7" t="s">
        <v>27</v>
      </c>
      <c r="D2326" s="7" t="s">
        <v>28</v>
      </c>
      <c r="E2326" s="7" t="s">
        <v>29</v>
      </c>
      <c r="F2326" s="7" t="s">
        <v>295</v>
      </c>
      <c r="G2326" s="7">
        <v>100.4265</v>
      </c>
      <c r="H2326" s="7"/>
    </row>
    <row r="2327" spans="1:8" x14ac:dyDescent="0.35">
      <c r="A2327" s="7" t="s">
        <v>353</v>
      </c>
      <c r="B2327" s="7" t="s">
        <v>26</v>
      </c>
      <c r="C2327" s="7" t="s">
        <v>27</v>
      </c>
      <c r="D2327" s="7" t="s">
        <v>28</v>
      </c>
      <c r="E2327" s="7" t="s">
        <v>29</v>
      </c>
      <c r="F2327" s="7" t="s">
        <v>296</v>
      </c>
      <c r="G2327" s="7">
        <v>100.1626</v>
      </c>
      <c r="H2327" s="7"/>
    </row>
    <row r="2328" spans="1:8" x14ac:dyDescent="0.35">
      <c r="A2328" s="7" t="s">
        <v>353</v>
      </c>
      <c r="B2328" s="7" t="s">
        <v>26</v>
      </c>
      <c r="C2328" s="7" t="s">
        <v>27</v>
      </c>
      <c r="D2328" s="7" t="s">
        <v>28</v>
      </c>
      <c r="E2328" s="7" t="s">
        <v>29</v>
      </c>
      <c r="F2328" s="7" t="s">
        <v>297</v>
      </c>
      <c r="G2328" s="7">
        <v>99.927149999999997</v>
      </c>
      <c r="H2328" s="7"/>
    </row>
    <row r="2329" spans="1:8" x14ac:dyDescent="0.35">
      <c r="A2329" s="7" t="s">
        <v>353</v>
      </c>
      <c r="B2329" s="7" t="s">
        <v>26</v>
      </c>
      <c r="C2329" s="7" t="s">
        <v>27</v>
      </c>
      <c r="D2329" s="7" t="s">
        <v>28</v>
      </c>
      <c r="E2329" s="7" t="s">
        <v>29</v>
      </c>
      <c r="F2329" s="7" t="s">
        <v>298</v>
      </c>
      <c r="G2329" s="7">
        <v>99.750659999999996</v>
      </c>
      <c r="H2329" s="7"/>
    </row>
    <row r="2330" spans="1:8" x14ac:dyDescent="0.35">
      <c r="A2330" s="7" t="s">
        <v>353</v>
      </c>
      <c r="B2330" s="7" t="s">
        <v>26</v>
      </c>
      <c r="C2330" s="7" t="s">
        <v>27</v>
      </c>
      <c r="D2330" s="7" t="s">
        <v>28</v>
      </c>
      <c r="E2330" s="7" t="s">
        <v>29</v>
      </c>
      <c r="F2330" s="7" t="s">
        <v>299</v>
      </c>
      <c r="G2330" s="7">
        <v>99.579539999999994</v>
      </c>
      <c r="H2330" s="7"/>
    </row>
    <row r="2331" spans="1:8" x14ac:dyDescent="0.35">
      <c r="A2331" s="7" t="s">
        <v>353</v>
      </c>
      <c r="B2331" s="7" t="s">
        <v>26</v>
      </c>
      <c r="C2331" s="7" t="s">
        <v>27</v>
      </c>
      <c r="D2331" s="7" t="s">
        <v>28</v>
      </c>
      <c r="E2331" s="7" t="s">
        <v>29</v>
      </c>
      <c r="F2331" s="7" t="s">
        <v>300</v>
      </c>
      <c r="G2331" s="7">
        <v>99.352779999999996</v>
      </c>
      <c r="H2331" s="7"/>
    </row>
    <row r="2332" spans="1:8" x14ac:dyDescent="0.35">
      <c r="A2332" s="7" t="s">
        <v>353</v>
      </c>
      <c r="B2332" s="7" t="s">
        <v>26</v>
      </c>
      <c r="C2332" s="7" t="s">
        <v>27</v>
      </c>
      <c r="D2332" s="7" t="s">
        <v>28</v>
      </c>
      <c r="E2332" s="7" t="s">
        <v>29</v>
      </c>
      <c r="F2332" s="7" t="s">
        <v>301</v>
      </c>
      <c r="G2332" s="7">
        <v>99.272750000000002</v>
      </c>
      <c r="H2332" s="7"/>
    </row>
    <row r="2333" spans="1:8" x14ac:dyDescent="0.35">
      <c r="A2333" s="7" t="s">
        <v>353</v>
      </c>
      <c r="B2333" s="7" t="s">
        <v>26</v>
      </c>
      <c r="C2333" s="7" t="s">
        <v>27</v>
      </c>
      <c r="D2333" s="7" t="s">
        <v>28</v>
      </c>
      <c r="E2333" s="7" t="s">
        <v>29</v>
      </c>
      <c r="F2333" s="7" t="s">
        <v>302</v>
      </c>
      <c r="G2333" s="7">
        <v>99.335269999999994</v>
      </c>
      <c r="H2333" s="7"/>
    </row>
    <row r="2334" spans="1:8" x14ac:dyDescent="0.35">
      <c r="A2334" s="7" t="s">
        <v>353</v>
      </c>
      <c r="B2334" s="7" t="s">
        <v>26</v>
      </c>
      <c r="C2334" s="7" t="s">
        <v>27</v>
      </c>
      <c r="D2334" s="7" t="s">
        <v>28</v>
      </c>
      <c r="E2334" s="7" t="s">
        <v>29</v>
      </c>
      <c r="F2334" s="7" t="s">
        <v>303</v>
      </c>
      <c r="G2334" s="7">
        <v>99.409719999999993</v>
      </c>
      <c r="H2334" s="7"/>
    </row>
    <row r="2335" spans="1:8" x14ac:dyDescent="0.35">
      <c r="A2335" s="7" t="s">
        <v>353</v>
      </c>
      <c r="B2335" s="7" t="s">
        <v>26</v>
      </c>
      <c r="C2335" s="7" t="s">
        <v>27</v>
      </c>
      <c r="D2335" s="7" t="s">
        <v>28</v>
      </c>
      <c r="E2335" s="7" t="s">
        <v>29</v>
      </c>
      <c r="F2335" s="7" t="s">
        <v>304</v>
      </c>
      <c r="G2335" s="7">
        <v>99.375550000000004</v>
      </c>
      <c r="H2335" s="7"/>
    </row>
    <row r="2336" spans="1:8" x14ac:dyDescent="0.35">
      <c r="A2336" s="7" t="s">
        <v>353</v>
      </c>
      <c r="B2336" s="7" t="s">
        <v>26</v>
      </c>
      <c r="C2336" s="7" t="s">
        <v>27</v>
      </c>
      <c r="D2336" s="7" t="s">
        <v>28</v>
      </c>
      <c r="E2336" s="7" t="s">
        <v>29</v>
      </c>
      <c r="F2336" s="7" t="s">
        <v>305</v>
      </c>
      <c r="G2336" s="7">
        <v>99.346279999999993</v>
      </c>
      <c r="H2336" s="7"/>
    </row>
    <row r="2337" spans="1:8" x14ac:dyDescent="0.35">
      <c r="A2337" s="7" t="s">
        <v>353</v>
      </c>
      <c r="B2337" s="7" t="s">
        <v>26</v>
      </c>
      <c r="C2337" s="7" t="s">
        <v>27</v>
      </c>
      <c r="D2337" s="7" t="s">
        <v>28</v>
      </c>
      <c r="E2337" s="7" t="s">
        <v>29</v>
      </c>
      <c r="F2337" s="7" t="s">
        <v>306</v>
      </c>
      <c r="G2337" s="7">
        <v>99.305719999999994</v>
      </c>
      <c r="H2337" s="7"/>
    </row>
    <row r="2338" spans="1:8" x14ac:dyDescent="0.35">
      <c r="A2338" s="7" t="s">
        <v>353</v>
      </c>
      <c r="B2338" s="7" t="s">
        <v>26</v>
      </c>
      <c r="C2338" s="7" t="s">
        <v>27</v>
      </c>
      <c r="D2338" s="7" t="s">
        <v>28</v>
      </c>
      <c r="E2338" s="7" t="s">
        <v>29</v>
      </c>
      <c r="F2338" s="7" t="s">
        <v>307</v>
      </c>
      <c r="G2338" s="7">
        <v>99.236660000000001</v>
      </c>
      <c r="H2338" s="7"/>
    </row>
    <row r="2339" spans="1:8" x14ac:dyDescent="0.35">
      <c r="A2339" s="7" t="s">
        <v>353</v>
      </c>
      <c r="B2339" s="7" t="s">
        <v>26</v>
      </c>
      <c r="C2339" s="7" t="s">
        <v>27</v>
      </c>
      <c r="D2339" s="7" t="s">
        <v>28</v>
      </c>
      <c r="E2339" s="7" t="s">
        <v>29</v>
      </c>
      <c r="F2339" s="7" t="s">
        <v>308</v>
      </c>
      <c r="G2339" s="7">
        <v>99.360519999999994</v>
      </c>
      <c r="H2339" s="7"/>
    </row>
    <row r="2340" spans="1:8" x14ac:dyDescent="0.35">
      <c r="A2340" s="7" t="s">
        <v>353</v>
      </c>
      <c r="B2340" s="7" t="s">
        <v>26</v>
      </c>
      <c r="C2340" s="7" t="s">
        <v>27</v>
      </c>
      <c r="D2340" s="7" t="s">
        <v>28</v>
      </c>
      <c r="E2340" s="7" t="s">
        <v>29</v>
      </c>
      <c r="F2340" s="7" t="s">
        <v>309</v>
      </c>
      <c r="G2340" s="7">
        <v>99.609340000000003</v>
      </c>
      <c r="H2340" s="7"/>
    </row>
    <row r="2341" spans="1:8" x14ac:dyDescent="0.35">
      <c r="A2341" s="7" t="s">
        <v>353</v>
      </c>
      <c r="B2341" s="7" t="s">
        <v>26</v>
      </c>
      <c r="C2341" s="7" t="s">
        <v>27</v>
      </c>
      <c r="D2341" s="7" t="s">
        <v>28</v>
      </c>
      <c r="E2341" s="7" t="s">
        <v>29</v>
      </c>
      <c r="F2341" s="7" t="s">
        <v>310</v>
      </c>
      <c r="G2341" s="7">
        <v>99.70093</v>
      </c>
      <c r="H2341" s="7"/>
    </row>
    <row r="2342" spans="1:8" x14ac:dyDescent="0.35">
      <c r="A2342" s="7" t="s">
        <v>353</v>
      </c>
      <c r="B2342" s="7" t="s">
        <v>26</v>
      </c>
      <c r="C2342" s="7" t="s">
        <v>27</v>
      </c>
      <c r="D2342" s="7" t="s">
        <v>28</v>
      </c>
      <c r="E2342" s="7" t="s">
        <v>29</v>
      </c>
      <c r="F2342" s="7" t="s">
        <v>311</v>
      </c>
      <c r="G2342" s="7">
        <v>99.686099999999996</v>
      </c>
      <c r="H2342" s="7"/>
    </row>
    <row r="2343" spans="1:8" x14ac:dyDescent="0.35">
      <c r="A2343" s="7" t="s">
        <v>353</v>
      </c>
      <c r="B2343" s="7" t="s">
        <v>26</v>
      </c>
      <c r="C2343" s="7" t="s">
        <v>27</v>
      </c>
      <c r="D2343" s="7" t="s">
        <v>28</v>
      </c>
      <c r="E2343" s="7" t="s">
        <v>29</v>
      </c>
      <c r="F2343" s="7" t="s">
        <v>312</v>
      </c>
      <c r="G2343" s="7">
        <v>99.658090000000001</v>
      </c>
      <c r="H2343" s="7"/>
    </row>
    <row r="2344" spans="1:8" x14ac:dyDescent="0.35">
      <c r="A2344" s="7" t="s">
        <v>353</v>
      </c>
      <c r="B2344" s="7" t="s">
        <v>26</v>
      </c>
      <c r="C2344" s="7" t="s">
        <v>27</v>
      </c>
      <c r="D2344" s="7" t="s">
        <v>28</v>
      </c>
      <c r="E2344" s="7" t="s">
        <v>29</v>
      </c>
      <c r="F2344" s="7" t="s">
        <v>313</v>
      </c>
      <c r="G2344" s="7">
        <v>99.468829999999997</v>
      </c>
      <c r="H2344" s="7"/>
    </row>
    <row r="2345" spans="1:8" x14ac:dyDescent="0.35">
      <c r="A2345" s="7" t="s">
        <v>353</v>
      </c>
      <c r="B2345" s="7" t="s">
        <v>26</v>
      </c>
      <c r="C2345" s="7" t="s">
        <v>27</v>
      </c>
      <c r="D2345" s="7" t="s">
        <v>28</v>
      </c>
      <c r="E2345" s="7" t="s">
        <v>29</v>
      </c>
      <c r="F2345" s="7" t="s">
        <v>314</v>
      </c>
      <c r="G2345" s="7">
        <v>99.354039999999998</v>
      </c>
      <c r="H2345" s="7"/>
    </row>
    <row r="2346" spans="1:8" x14ac:dyDescent="0.35">
      <c r="A2346" s="7" t="s">
        <v>353</v>
      </c>
      <c r="B2346" s="7" t="s">
        <v>26</v>
      </c>
      <c r="C2346" s="7" t="s">
        <v>27</v>
      </c>
      <c r="D2346" s="7" t="s">
        <v>28</v>
      </c>
      <c r="E2346" s="7" t="s">
        <v>29</v>
      </c>
      <c r="F2346" s="7" t="s">
        <v>315</v>
      </c>
      <c r="G2346" s="7">
        <v>99.425929999999994</v>
      </c>
      <c r="H2346" s="7"/>
    </row>
    <row r="2347" spans="1:8" x14ac:dyDescent="0.35">
      <c r="A2347" s="7" t="s">
        <v>353</v>
      </c>
      <c r="B2347" s="7" t="s">
        <v>26</v>
      </c>
      <c r="C2347" s="7" t="s">
        <v>27</v>
      </c>
      <c r="D2347" s="7" t="s">
        <v>28</v>
      </c>
      <c r="E2347" s="7" t="s">
        <v>29</v>
      </c>
      <c r="F2347" s="7" t="s">
        <v>316</v>
      </c>
      <c r="G2347" s="7">
        <v>99.489410000000007</v>
      </c>
      <c r="H2347" s="7"/>
    </row>
    <row r="2348" spans="1:8" x14ac:dyDescent="0.35">
      <c r="A2348" s="7" t="s">
        <v>353</v>
      </c>
      <c r="B2348" s="7" t="s">
        <v>26</v>
      </c>
      <c r="C2348" s="7" t="s">
        <v>27</v>
      </c>
      <c r="D2348" s="7" t="s">
        <v>28</v>
      </c>
      <c r="E2348" s="7" t="s">
        <v>29</v>
      </c>
      <c r="F2348" s="7" t="s">
        <v>317</v>
      </c>
      <c r="G2348" s="7">
        <v>99.666849999999997</v>
      </c>
      <c r="H2348" s="7"/>
    </row>
    <row r="2349" spans="1:8" x14ac:dyDescent="0.35">
      <c r="A2349" s="7" t="s">
        <v>353</v>
      </c>
      <c r="B2349" s="7" t="s">
        <v>26</v>
      </c>
      <c r="C2349" s="7" t="s">
        <v>27</v>
      </c>
      <c r="D2349" s="7" t="s">
        <v>28</v>
      </c>
      <c r="E2349" s="7" t="s">
        <v>29</v>
      </c>
      <c r="F2349" s="7" t="s">
        <v>318</v>
      </c>
      <c r="G2349" s="7">
        <v>99.837010000000006</v>
      </c>
      <c r="H2349" s="7"/>
    </row>
    <row r="2350" spans="1:8" x14ac:dyDescent="0.35">
      <c r="A2350" s="7" t="s">
        <v>353</v>
      </c>
      <c r="B2350" s="7" t="s">
        <v>26</v>
      </c>
      <c r="C2350" s="7" t="s">
        <v>27</v>
      </c>
      <c r="D2350" s="7" t="s">
        <v>28</v>
      </c>
      <c r="E2350" s="7" t="s">
        <v>29</v>
      </c>
      <c r="F2350" s="7" t="s">
        <v>319</v>
      </c>
      <c r="G2350" s="7">
        <v>99.855580000000003</v>
      </c>
      <c r="H2350" s="7"/>
    </row>
    <row r="2351" spans="1:8" x14ac:dyDescent="0.35">
      <c r="A2351" s="7" t="s">
        <v>353</v>
      </c>
      <c r="B2351" s="7" t="s">
        <v>26</v>
      </c>
      <c r="C2351" s="7" t="s">
        <v>27</v>
      </c>
      <c r="D2351" s="7" t="s">
        <v>28</v>
      </c>
      <c r="E2351" s="7" t="s">
        <v>29</v>
      </c>
      <c r="F2351" s="7" t="s">
        <v>320</v>
      </c>
      <c r="G2351" s="7">
        <v>99.783150000000006</v>
      </c>
      <c r="H2351" s="7"/>
    </row>
    <row r="2352" spans="1:8" x14ac:dyDescent="0.35">
      <c r="A2352" s="7" t="s">
        <v>353</v>
      </c>
      <c r="B2352" s="7" t="s">
        <v>26</v>
      </c>
      <c r="C2352" s="7" t="s">
        <v>27</v>
      </c>
      <c r="D2352" s="7" t="s">
        <v>28</v>
      </c>
      <c r="E2352" s="7" t="s">
        <v>29</v>
      </c>
      <c r="F2352" s="7" t="s">
        <v>321</v>
      </c>
      <c r="G2352" s="7">
        <v>99.767009999999999</v>
      </c>
      <c r="H2352" s="7"/>
    </row>
    <row r="2353" spans="1:8" x14ac:dyDescent="0.35">
      <c r="A2353" s="7" t="s">
        <v>353</v>
      </c>
      <c r="B2353" s="7" t="s">
        <v>26</v>
      </c>
      <c r="C2353" s="7" t="s">
        <v>27</v>
      </c>
      <c r="D2353" s="7" t="s">
        <v>28</v>
      </c>
      <c r="E2353" s="7" t="s">
        <v>29</v>
      </c>
      <c r="F2353" s="7" t="s">
        <v>322</v>
      </c>
      <c r="G2353" s="7">
        <v>99.715699999999998</v>
      </c>
      <c r="H2353" s="7"/>
    </row>
    <row r="2354" spans="1:8" x14ac:dyDescent="0.35">
      <c r="A2354" s="7" t="s">
        <v>353</v>
      </c>
      <c r="B2354" s="7" t="s">
        <v>26</v>
      </c>
      <c r="C2354" s="7" t="s">
        <v>27</v>
      </c>
      <c r="D2354" s="7" t="s">
        <v>28</v>
      </c>
      <c r="E2354" s="7" t="s">
        <v>29</v>
      </c>
      <c r="F2354" s="7" t="s">
        <v>323</v>
      </c>
      <c r="G2354" s="7">
        <v>99.713040000000007</v>
      </c>
      <c r="H2354" s="7"/>
    </row>
    <row r="2355" spans="1:8" x14ac:dyDescent="0.35">
      <c r="A2355" s="7" t="s">
        <v>353</v>
      </c>
      <c r="B2355" s="7" t="s">
        <v>26</v>
      </c>
      <c r="C2355" s="7" t="s">
        <v>27</v>
      </c>
      <c r="D2355" s="7" t="s">
        <v>28</v>
      </c>
      <c r="E2355" s="7" t="s">
        <v>29</v>
      </c>
      <c r="F2355" s="7" t="s">
        <v>324</v>
      </c>
      <c r="G2355" s="7">
        <v>99.870500000000007</v>
      </c>
      <c r="H2355" s="7"/>
    </row>
    <row r="2356" spans="1:8" x14ac:dyDescent="0.35">
      <c r="A2356" s="7" t="s">
        <v>353</v>
      </c>
      <c r="B2356" s="7" t="s">
        <v>26</v>
      </c>
      <c r="C2356" s="7" t="s">
        <v>27</v>
      </c>
      <c r="D2356" s="7" t="s">
        <v>28</v>
      </c>
      <c r="E2356" s="7" t="s">
        <v>29</v>
      </c>
      <c r="F2356" s="7" t="s">
        <v>325</v>
      </c>
      <c r="G2356" s="7">
        <v>99.931820000000002</v>
      </c>
      <c r="H2356" s="7"/>
    </row>
    <row r="2357" spans="1:8" x14ac:dyDescent="0.35">
      <c r="A2357" s="7" t="s">
        <v>353</v>
      </c>
      <c r="B2357" s="7" t="s">
        <v>26</v>
      </c>
      <c r="C2357" s="7" t="s">
        <v>27</v>
      </c>
      <c r="D2357" s="7" t="s">
        <v>28</v>
      </c>
      <c r="E2357" s="7" t="s">
        <v>29</v>
      </c>
      <c r="F2357" s="7" t="s">
        <v>326</v>
      </c>
      <c r="G2357" s="7">
        <v>99.911630000000002</v>
      </c>
      <c r="H2357" s="7"/>
    </row>
    <row r="2358" spans="1:8" x14ac:dyDescent="0.35">
      <c r="A2358" s="7" t="s">
        <v>353</v>
      </c>
      <c r="B2358" s="7" t="s">
        <v>26</v>
      </c>
      <c r="C2358" s="7" t="s">
        <v>27</v>
      </c>
      <c r="D2358" s="7" t="s">
        <v>28</v>
      </c>
      <c r="E2358" s="7" t="s">
        <v>29</v>
      </c>
      <c r="F2358" s="7" t="s">
        <v>327</v>
      </c>
      <c r="G2358" s="7">
        <v>99.934560000000005</v>
      </c>
      <c r="H2358" s="7"/>
    </row>
    <row r="2359" spans="1:8" x14ac:dyDescent="0.35">
      <c r="A2359" s="7" t="s">
        <v>353</v>
      </c>
      <c r="B2359" s="7" t="s">
        <v>26</v>
      </c>
      <c r="C2359" s="7" t="s">
        <v>27</v>
      </c>
      <c r="D2359" s="7" t="s">
        <v>28</v>
      </c>
      <c r="E2359" s="7" t="s">
        <v>29</v>
      </c>
      <c r="F2359" s="7" t="s">
        <v>328</v>
      </c>
      <c r="G2359" s="7">
        <v>99.956990000000005</v>
      </c>
      <c r="H2359" s="7"/>
    </row>
    <row r="2360" spans="1:8" x14ac:dyDescent="0.35">
      <c r="A2360" s="7" t="s">
        <v>353</v>
      </c>
      <c r="B2360" s="7" t="s">
        <v>26</v>
      </c>
      <c r="C2360" s="7" t="s">
        <v>27</v>
      </c>
      <c r="D2360" s="7" t="s">
        <v>28</v>
      </c>
      <c r="E2360" s="7" t="s">
        <v>29</v>
      </c>
      <c r="F2360" s="7" t="s">
        <v>329</v>
      </c>
      <c r="G2360" s="7">
        <v>99.943049999999999</v>
      </c>
      <c r="H2360" s="7"/>
    </row>
    <row r="2361" spans="1:8" x14ac:dyDescent="0.35">
      <c r="A2361" s="7" t="s">
        <v>353</v>
      </c>
      <c r="B2361" s="7" t="s">
        <v>26</v>
      </c>
      <c r="C2361" s="7" t="s">
        <v>27</v>
      </c>
      <c r="D2361" s="7" t="s">
        <v>28</v>
      </c>
      <c r="E2361" s="7" t="s">
        <v>29</v>
      </c>
      <c r="F2361" s="7" t="s">
        <v>330</v>
      </c>
      <c r="G2361" s="7">
        <v>99.842269999999999</v>
      </c>
      <c r="H2361" s="7"/>
    </row>
    <row r="2362" spans="1:8" x14ac:dyDescent="0.35">
      <c r="A2362" s="7" t="s">
        <v>353</v>
      </c>
      <c r="B2362" s="7" t="s">
        <v>26</v>
      </c>
      <c r="C2362" s="7" t="s">
        <v>27</v>
      </c>
      <c r="D2362" s="7" t="s">
        <v>28</v>
      </c>
      <c r="E2362" s="7" t="s">
        <v>29</v>
      </c>
      <c r="F2362" s="7" t="s">
        <v>331</v>
      </c>
      <c r="G2362" s="7">
        <v>99.702960000000004</v>
      </c>
      <c r="H2362" s="7"/>
    </row>
    <row r="2363" spans="1:8" x14ac:dyDescent="0.35">
      <c r="A2363" s="7" t="s">
        <v>353</v>
      </c>
      <c r="B2363" s="7" t="s">
        <v>26</v>
      </c>
      <c r="C2363" s="7" t="s">
        <v>27</v>
      </c>
      <c r="D2363" s="7" t="s">
        <v>28</v>
      </c>
      <c r="E2363" s="7" t="s">
        <v>29</v>
      </c>
      <c r="F2363" s="7" t="s">
        <v>332</v>
      </c>
      <c r="G2363" s="7">
        <v>99.673519999999996</v>
      </c>
      <c r="H2363" s="7"/>
    </row>
    <row r="2364" spans="1:8" x14ac:dyDescent="0.35">
      <c r="A2364" s="7" t="s">
        <v>353</v>
      </c>
      <c r="B2364" s="7" t="s">
        <v>26</v>
      </c>
      <c r="C2364" s="7" t="s">
        <v>27</v>
      </c>
      <c r="D2364" s="7" t="s">
        <v>28</v>
      </c>
      <c r="E2364" s="7" t="s">
        <v>29</v>
      </c>
      <c r="F2364" s="7" t="s">
        <v>333</v>
      </c>
      <c r="G2364" s="7">
        <v>99.743709999999993</v>
      </c>
      <c r="H2364" s="7"/>
    </row>
    <row r="2365" spans="1:8" x14ac:dyDescent="0.35">
      <c r="A2365" s="7" t="s">
        <v>353</v>
      </c>
      <c r="B2365" s="7" t="s">
        <v>26</v>
      </c>
      <c r="C2365" s="7" t="s">
        <v>27</v>
      </c>
      <c r="D2365" s="7" t="s">
        <v>28</v>
      </c>
      <c r="E2365" s="7" t="s">
        <v>29</v>
      </c>
      <c r="F2365" s="7" t="s">
        <v>334</v>
      </c>
      <c r="G2365" s="7">
        <v>99.774090000000001</v>
      </c>
      <c r="H2365" s="7"/>
    </row>
    <row r="2366" spans="1:8" x14ac:dyDescent="0.35">
      <c r="A2366" s="7" t="s">
        <v>353</v>
      </c>
      <c r="B2366" s="7" t="s">
        <v>26</v>
      </c>
      <c r="C2366" s="7" t="s">
        <v>27</v>
      </c>
      <c r="D2366" s="7" t="s">
        <v>28</v>
      </c>
      <c r="E2366" s="7" t="s">
        <v>29</v>
      </c>
      <c r="F2366" s="7" t="s">
        <v>335</v>
      </c>
      <c r="G2366" s="7">
        <v>99.724369999999993</v>
      </c>
      <c r="H2366" s="7"/>
    </row>
    <row r="2367" spans="1:8" x14ac:dyDescent="0.35">
      <c r="A2367" s="7" t="s">
        <v>353</v>
      </c>
      <c r="B2367" s="7" t="s">
        <v>26</v>
      </c>
      <c r="C2367" s="7" t="s">
        <v>27</v>
      </c>
      <c r="D2367" s="7" t="s">
        <v>28</v>
      </c>
      <c r="E2367" s="7" t="s">
        <v>29</v>
      </c>
      <c r="F2367" s="7" t="s">
        <v>336</v>
      </c>
      <c r="G2367" s="7">
        <v>99.622990000000001</v>
      </c>
      <c r="H2367" s="7"/>
    </row>
    <row r="2368" spans="1:8" x14ac:dyDescent="0.35">
      <c r="A2368" s="7" t="s">
        <v>353</v>
      </c>
      <c r="B2368" s="7" t="s">
        <v>26</v>
      </c>
      <c r="C2368" s="7" t="s">
        <v>27</v>
      </c>
      <c r="D2368" s="7" t="s">
        <v>28</v>
      </c>
      <c r="E2368" s="7" t="s">
        <v>29</v>
      </c>
      <c r="F2368" s="7" t="s">
        <v>337</v>
      </c>
      <c r="G2368" s="7">
        <v>99.517390000000006</v>
      </c>
      <c r="H2368" s="7"/>
    </row>
    <row r="2369" spans="1:8" x14ac:dyDescent="0.35">
      <c r="A2369" s="7" t="s">
        <v>353</v>
      </c>
      <c r="B2369" s="7" t="s">
        <v>26</v>
      </c>
      <c r="C2369" s="7" t="s">
        <v>27</v>
      </c>
      <c r="D2369" s="7" t="s">
        <v>28</v>
      </c>
      <c r="E2369" s="7" t="s">
        <v>29</v>
      </c>
      <c r="F2369" s="7" t="s">
        <v>338</v>
      </c>
      <c r="G2369" s="7">
        <v>99.475819999999999</v>
      </c>
      <c r="H2369" s="7"/>
    </row>
    <row r="2370" spans="1:8" x14ac:dyDescent="0.35">
      <c r="A2370" s="7" t="s">
        <v>353</v>
      </c>
      <c r="B2370" s="7" t="s">
        <v>26</v>
      </c>
      <c r="C2370" s="7" t="s">
        <v>27</v>
      </c>
      <c r="D2370" s="7" t="s">
        <v>28</v>
      </c>
      <c r="E2370" s="7" t="s">
        <v>29</v>
      </c>
      <c r="F2370" s="7" t="s">
        <v>339</v>
      </c>
      <c r="G2370" s="7">
        <v>99.493989999999997</v>
      </c>
      <c r="H2370" s="7"/>
    </row>
    <row r="2371" spans="1:8" x14ac:dyDescent="0.35">
      <c r="A2371" s="7" t="s">
        <v>353</v>
      </c>
      <c r="B2371" s="7" t="s">
        <v>26</v>
      </c>
      <c r="C2371" s="7" t="s">
        <v>27</v>
      </c>
      <c r="D2371" s="7" t="s">
        <v>28</v>
      </c>
      <c r="E2371" s="7" t="s">
        <v>29</v>
      </c>
      <c r="F2371" s="7" t="s">
        <v>340</v>
      </c>
      <c r="G2371" s="7">
        <v>99.636060000000001</v>
      </c>
      <c r="H2371" s="7"/>
    </row>
    <row r="2372" spans="1:8" x14ac:dyDescent="0.35">
      <c r="A2372" s="7" t="s">
        <v>353</v>
      </c>
      <c r="B2372" s="7" t="s">
        <v>26</v>
      </c>
      <c r="C2372" s="7" t="s">
        <v>27</v>
      </c>
      <c r="D2372" s="7" t="s">
        <v>28</v>
      </c>
      <c r="E2372" s="7" t="s">
        <v>29</v>
      </c>
      <c r="F2372" s="7" t="s">
        <v>341</v>
      </c>
      <c r="G2372" s="7">
        <v>99.81756</v>
      </c>
      <c r="H2372" s="7"/>
    </row>
    <row r="2373" spans="1:8" x14ac:dyDescent="0.35">
      <c r="A2373" s="7" t="s">
        <v>353</v>
      </c>
      <c r="B2373" s="7" t="s">
        <v>26</v>
      </c>
      <c r="C2373" s="7" t="s">
        <v>27</v>
      </c>
      <c r="D2373" s="7" t="s">
        <v>28</v>
      </c>
      <c r="E2373" s="7" t="s">
        <v>29</v>
      </c>
      <c r="F2373" s="7" t="s">
        <v>342</v>
      </c>
      <c r="G2373" s="7">
        <v>99.961759999999998</v>
      </c>
      <c r="H2373" s="7"/>
    </row>
    <row r="2374" spans="1:8" x14ac:dyDescent="0.35">
      <c r="A2374" s="7" t="s">
        <v>353</v>
      </c>
      <c r="B2374" s="7" t="s">
        <v>26</v>
      </c>
      <c r="C2374" s="7" t="s">
        <v>27</v>
      </c>
      <c r="D2374" s="7" t="s">
        <v>28</v>
      </c>
      <c r="E2374" s="7" t="s">
        <v>29</v>
      </c>
      <c r="F2374" s="7" t="s">
        <v>343</v>
      </c>
      <c r="G2374" s="7">
        <v>100.11669999999999</v>
      </c>
      <c r="H2374" s="7"/>
    </row>
    <row r="2375" spans="1:8" x14ac:dyDescent="0.35">
      <c r="A2375" s="7" t="s">
        <v>353</v>
      </c>
      <c r="B2375" s="7" t="s">
        <v>26</v>
      </c>
      <c r="C2375" s="7" t="s">
        <v>27</v>
      </c>
      <c r="D2375" s="7" t="s">
        <v>28</v>
      </c>
      <c r="E2375" s="7" t="s">
        <v>29</v>
      </c>
      <c r="F2375" s="7" t="s">
        <v>344</v>
      </c>
      <c r="G2375" s="7">
        <v>100.2116</v>
      </c>
      <c r="H2375" s="7"/>
    </row>
    <row r="2376" spans="1:8" x14ac:dyDescent="0.35">
      <c r="A2376" s="7" t="s">
        <v>353</v>
      </c>
      <c r="B2376" s="7" t="s">
        <v>26</v>
      </c>
      <c r="C2376" s="7" t="s">
        <v>27</v>
      </c>
      <c r="D2376" s="7" t="s">
        <v>28</v>
      </c>
      <c r="E2376" s="7" t="s">
        <v>29</v>
      </c>
      <c r="F2376" s="7" t="s">
        <v>345</v>
      </c>
      <c r="G2376" s="7">
        <v>100.2002</v>
      </c>
      <c r="H2376" s="7"/>
    </row>
    <row r="2377" spans="1:8" x14ac:dyDescent="0.35">
      <c r="A2377" s="7" t="s">
        <v>353</v>
      </c>
      <c r="B2377" s="7" t="s">
        <v>26</v>
      </c>
      <c r="C2377" s="7" t="s">
        <v>27</v>
      </c>
      <c r="D2377" s="7" t="s">
        <v>28</v>
      </c>
      <c r="E2377" s="7" t="s">
        <v>29</v>
      </c>
      <c r="F2377" s="7" t="s">
        <v>346</v>
      </c>
      <c r="G2377" s="7">
        <v>100.1651</v>
      </c>
      <c r="H2377" s="7"/>
    </row>
    <row r="2378" spans="1:8" x14ac:dyDescent="0.35">
      <c r="A2378" s="7" t="s">
        <v>354</v>
      </c>
      <c r="B2378" s="7" t="s">
        <v>26</v>
      </c>
      <c r="C2378" s="7" t="s">
        <v>27</v>
      </c>
      <c r="D2378" s="7" t="s">
        <v>28</v>
      </c>
      <c r="E2378" s="7" t="s">
        <v>29</v>
      </c>
      <c r="F2378" s="7" t="s">
        <v>30</v>
      </c>
      <c r="G2378" s="7">
        <v>99.427819999999997</v>
      </c>
      <c r="H2378" s="7"/>
    </row>
    <row r="2379" spans="1:8" x14ac:dyDescent="0.35">
      <c r="A2379" s="7" t="s">
        <v>354</v>
      </c>
      <c r="B2379" s="7" t="s">
        <v>26</v>
      </c>
      <c r="C2379" s="7" t="s">
        <v>27</v>
      </c>
      <c r="D2379" s="7" t="s">
        <v>28</v>
      </c>
      <c r="E2379" s="7" t="s">
        <v>29</v>
      </c>
      <c r="F2379" s="7" t="s">
        <v>31</v>
      </c>
      <c r="G2379" s="7">
        <v>99.248379999999997</v>
      </c>
      <c r="H2379" s="7"/>
    </row>
    <row r="2380" spans="1:8" x14ac:dyDescent="0.35">
      <c r="A2380" s="7" t="s">
        <v>354</v>
      </c>
      <c r="B2380" s="7" t="s">
        <v>26</v>
      </c>
      <c r="C2380" s="7" t="s">
        <v>27</v>
      </c>
      <c r="D2380" s="7" t="s">
        <v>28</v>
      </c>
      <c r="E2380" s="7" t="s">
        <v>29</v>
      </c>
      <c r="F2380" s="7" t="s">
        <v>32</v>
      </c>
      <c r="G2380" s="7">
        <v>99.213130000000007</v>
      </c>
      <c r="H2380" s="7"/>
    </row>
    <row r="2381" spans="1:8" x14ac:dyDescent="0.35">
      <c r="A2381" s="7" t="s">
        <v>354</v>
      </c>
      <c r="B2381" s="7" t="s">
        <v>26</v>
      </c>
      <c r="C2381" s="7" t="s">
        <v>27</v>
      </c>
      <c r="D2381" s="7" t="s">
        <v>28</v>
      </c>
      <c r="E2381" s="7" t="s">
        <v>29</v>
      </c>
      <c r="F2381" s="7" t="s">
        <v>33</v>
      </c>
      <c r="G2381" s="7">
        <v>99.307109999999994</v>
      </c>
      <c r="H2381" s="7"/>
    </row>
    <row r="2382" spans="1:8" x14ac:dyDescent="0.35">
      <c r="A2382" s="7" t="s">
        <v>354</v>
      </c>
      <c r="B2382" s="7" t="s">
        <v>26</v>
      </c>
      <c r="C2382" s="7" t="s">
        <v>27</v>
      </c>
      <c r="D2382" s="7" t="s">
        <v>28</v>
      </c>
      <c r="E2382" s="7" t="s">
        <v>29</v>
      </c>
      <c r="F2382" s="7" t="s">
        <v>34</v>
      </c>
      <c r="G2382" s="7">
        <v>99.47251</v>
      </c>
      <c r="H2382" s="7"/>
    </row>
    <row r="2383" spans="1:8" x14ac:dyDescent="0.35">
      <c r="A2383" s="7" t="s">
        <v>354</v>
      </c>
      <c r="B2383" s="7" t="s">
        <v>26</v>
      </c>
      <c r="C2383" s="7" t="s">
        <v>27</v>
      </c>
      <c r="D2383" s="7" t="s">
        <v>28</v>
      </c>
      <c r="E2383" s="7" t="s">
        <v>29</v>
      </c>
      <c r="F2383" s="7" t="s">
        <v>35</v>
      </c>
      <c r="G2383" s="7">
        <v>99.588470000000001</v>
      </c>
      <c r="H2383" s="7"/>
    </row>
    <row r="2384" spans="1:8" x14ac:dyDescent="0.35">
      <c r="A2384" s="7" t="s">
        <v>354</v>
      </c>
      <c r="B2384" s="7" t="s">
        <v>26</v>
      </c>
      <c r="C2384" s="7" t="s">
        <v>27</v>
      </c>
      <c r="D2384" s="7" t="s">
        <v>28</v>
      </c>
      <c r="E2384" s="7" t="s">
        <v>29</v>
      </c>
      <c r="F2384" s="7" t="s">
        <v>36</v>
      </c>
      <c r="G2384" s="7">
        <v>99.613039999999998</v>
      </c>
      <c r="H2384" s="7"/>
    </row>
    <row r="2385" spans="1:8" x14ac:dyDescent="0.35">
      <c r="A2385" s="7" t="s">
        <v>354</v>
      </c>
      <c r="B2385" s="7" t="s">
        <v>26</v>
      </c>
      <c r="C2385" s="7" t="s">
        <v>27</v>
      </c>
      <c r="D2385" s="7" t="s">
        <v>28</v>
      </c>
      <c r="E2385" s="7" t="s">
        <v>29</v>
      </c>
      <c r="F2385" s="7" t="s">
        <v>37</v>
      </c>
      <c r="G2385" s="7">
        <v>99.523790000000005</v>
      </c>
      <c r="H2385" s="7"/>
    </row>
    <row r="2386" spans="1:8" x14ac:dyDescent="0.35">
      <c r="A2386" s="7" t="s">
        <v>354</v>
      </c>
      <c r="B2386" s="7" t="s">
        <v>26</v>
      </c>
      <c r="C2386" s="7" t="s">
        <v>27</v>
      </c>
      <c r="D2386" s="7" t="s">
        <v>28</v>
      </c>
      <c r="E2386" s="7" t="s">
        <v>29</v>
      </c>
      <c r="F2386" s="7" t="s">
        <v>38</v>
      </c>
      <c r="G2386" s="7">
        <v>99.339780000000005</v>
      </c>
      <c r="H2386" s="7"/>
    </row>
    <row r="2387" spans="1:8" x14ac:dyDescent="0.35">
      <c r="A2387" s="7" t="s">
        <v>354</v>
      </c>
      <c r="B2387" s="7" t="s">
        <v>26</v>
      </c>
      <c r="C2387" s="7" t="s">
        <v>27</v>
      </c>
      <c r="D2387" s="7" t="s">
        <v>28</v>
      </c>
      <c r="E2387" s="7" t="s">
        <v>29</v>
      </c>
      <c r="F2387" s="7" t="s">
        <v>39</v>
      </c>
      <c r="G2387" s="7">
        <v>99.142330000000001</v>
      </c>
      <c r="H2387" s="7"/>
    </row>
    <row r="2388" spans="1:8" x14ac:dyDescent="0.35">
      <c r="A2388" s="7" t="s">
        <v>354</v>
      </c>
      <c r="B2388" s="7" t="s">
        <v>26</v>
      </c>
      <c r="C2388" s="7" t="s">
        <v>27</v>
      </c>
      <c r="D2388" s="7" t="s">
        <v>28</v>
      </c>
      <c r="E2388" s="7" t="s">
        <v>29</v>
      </c>
      <c r="F2388" s="7" t="s">
        <v>40</v>
      </c>
      <c r="G2388" s="7">
        <v>98.977459999999994</v>
      </c>
      <c r="H2388" s="7"/>
    </row>
    <row r="2389" spans="1:8" x14ac:dyDescent="0.35">
      <c r="A2389" s="7" t="s">
        <v>354</v>
      </c>
      <c r="B2389" s="7" t="s">
        <v>26</v>
      </c>
      <c r="C2389" s="7" t="s">
        <v>27</v>
      </c>
      <c r="D2389" s="7" t="s">
        <v>28</v>
      </c>
      <c r="E2389" s="7" t="s">
        <v>29</v>
      </c>
      <c r="F2389" s="7" t="s">
        <v>41</v>
      </c>
      <c r="G2389" s="7">
        <v>98.919160000000005</v>
      </c>
      <c r="H2389" s="7"/>
    </row>
    <row r="2390" spans="1:8" x14ac:dyDescent="0.35">
      <c r="A2390" s="7" t="s">
        <v>354</v>
      </c>
      <c r="B2390" s="7" t="s">
        <v>26</v>
      </c>
      <c r="C2390" s="7" t="s">
        <v>27</v>
      </c>
      <c r="D2390" s="7" t="s">
        <v>28</v>
      </c>
      <c r="E2390" s="7" t="s">
        <v>29</v>
      </c>
      <c r="F2390" s="7" t="s">
        <v>42</v>
      </c>
      <c r="G2390" s="7">
        <v>99.040599999999998</v>
      </c>
      <c r="H2390" s="7"/>
    </row>
    <row r="2391" spans="1:8" x14ac:dyDescent="0.35">
      <c r="A2391" s="7" t="s">
        <v>354</v>
      </c>
      <c r="B2391" s="7" t="s">
        <v>26</v>
      </c>
      <c r="C2391" s="7" t="s">
        <v>27</v>
      </c>
      <c r="D2391" s="7" t="s">
        <v>28</v>
      </c>
      <c r="E2391" s="7" t="s">
        <v>29</v>
      </c>
      <c r="F2391" s="7" t="s">
        <v>43</v>
      </c>
      <c r="G2391" s="7">
        <v>99.177030000000002</v>
      </c>
      <c r="H2391" s="7"/>
    </row>
    <row r="2392" spans="1:8" x14ac:dyDescent="0.35">
      <c r="A2392" s="7" t="s">
        <v>354</v>
      </c>
      <c r="B2392" s="7" t="s">
        <v>26</v>
      </c>
      <c r="C2392" s="7" t="s">
        <v>27</v>
      </c>
      <c r="D2392" s="7" t="s">
        <v>28</v>
      </c>
      <c r="E2392" s="7" t="s">
        <v>29</v>
      </c>
      <c r="F2392" s="7" t="s">
        <v>44</v>
      </c>
      <c r="G2392" s="7">
        <v>99.234250000000003</v>
      </c>
      <c r="H2392" s="7"/>
    </row>
    <row r="2393" spans="1:8" x14ac:dyDescent="0.35">
      <c r="A2393" s="7" t="s">
        <v>354</v>
      </c>
      <c r="B2393" s="7" t="s">
        <v>26</v>
      </c>
      <c r="C2393" s="7" t="s">
        <v>27</v>
      </c>
      <c r="D2393" s="7" t="s">
        <v>28</v>
      </c>
      <c r="E2393" s="7" t="s">
        <v>29</v>
      </c>
      <c r="F2393" s="7" t="s">
        <v>45</v>
      </c>
      <c r="G2393" s="7">
        <v>99.222409999999996</v>
      </c>
      <c r="H2393" s="7"/>
    </row>
    <row r="2394" spans="1:8" x14ac:dyDescent="0.35">
      <c r="A2394" s="7" t="s">
        <v>354</v>
      </c>
      <c r="B2394" s="7" t="s">
        <v>26</v>
      </c>
      <c r="C2394" s="7" t="s">
        <v>27</v>
      </c>
      <c r="D2394" s="7" t="s">
        <v>28</v>
      </c>
      <c r="E2394" s="7" t="s">
        <v>29</v>
      </c>
      <c r="F2394" s="7" t="s">
        <v>46</v>
      </c>
      <c r="G2394" s="7">
        <v>99.215699999999998</v>
      </c>
      <c r="H2394" s="7"/>
    </row>
    <row r="2395" spans="1:8" x14ac:dyDescent="0.35">
      <c r="A2395" s="7" t="s">
        <v>354</v>
      </c>
      <c r="B2395" s="7" t="s">
        <v>26</v>
      </c>
      <c r="C2395" s="7" t="s">
        <v>27</v>
      </c>
      <c r="D2395" s="7" t="s">
        <v>28</v>
      </c>
      <c r="E2395" s="7" t="s">
        <v>29</v>
      </c>
      <c r="F2395" s="7" t="s">
        <v>47</v>
      </c>
      <c r="G2395" s="7">
        <v>99.217770000000002</v>
      </c>
      <c r="H2395" s="7"/>
    </row>
    <row r="2396" spans="1:8" x14ac:dyDescent="0.35">
      <c r="A2396" s="7" t="s">
        <v>354</v>
      </c>
      <c r="B2396" s="7" t="s">
        <v>26</v>
      </c>
      <c r="C2396" s="7" t="s">
        <v>27</v>
      </c>
      <c r="D2396" s="7" t="s">
        <v>28</v>
      </c>
      <c r="E2396" s="7" t="s">
        <v>29</v>
      </c>
      <c r="F2396" s="7" t="s">
        <v>48</v>
      </c>
      <c r="G2396" s="7">
        <v>99.150530000000003</v>
      </c>
      <c r="H2396" s="7"/>
    </row>
    <row r="2397" spans="1:8" x14ac:dyDescent="0.35">
      <c r="A2397" s="7" t="s">
        <v>354</v>
      </c>
      <c r="B2397" s="7" t="s">
        <v>26</v>
      </c>
      <c r="C2397" s="7" t="s">
        <v>27</v>
      </c>
      <c r="D2397" s="7" t="s">
        <v>28</v>
      </c>
      <c r="E2397" s="7" t="s">
        <v>29</v>
      </c>
      <c r="F2397" s="7" t="s">
        <v>49</v>
      </c>
      <c r="G2397" s="7">
        <v>99.027860000000004</v>
      </c>
      <c r="H2397" s="7"/>
    </row>
    <row r="2398" spans="1:8" x14ac:dyDescent="0.35">
      <c r="A2398" s="7" t="s">
        <v>354</v>
      </c>
      <c r="B2398" s="7" t="s">
        <v>26</v>
      </c>
      <c r="C2398" s="7" t="s">
        <v>27</v>
      </c>
      <c r="D2398" s="7" t="s">
        <v>28</v>
      </c>
      <c r="E2398" s="7" t="s">
        <v>29</v>
      </c>
      <c r="F2398" s="7" t="s">
        <v>50</v>
      </c>
      <c r="G2398" s="7">
        <v>98.900729999999996</v>
      </c>
      <c r="H2398" s="7"/>
    </row>
    <row r="2399" spans="1:8" x14ac:dyDescent="0.35">
      <c r="A2399" s="7" t="s">
        <v>354</v>
      </c>
      <c r="B2399" s="7" t="s">
        <v>26</v>
      </c>
      <c r="C2399" s="7" t="s">
        <v>27</v>
      </c>
      <c r="D2399" s="7" t="s">
        <v>28</v>
      </c>
      <c r="E2399" s="7" t="s">
        <v>29</v>
      </c>
      <c r="F2399" s="7" t="s">
        <v>51</v>
      </c>
      <c r="G2399" s="7">
        <v>98.842169999999996</v>
      </c>
      <c r="H2399" s="7"/>
    </row>
    <row r="2400" spans="1:8" x14ac:dyDescent="0.35">
      <c r="A2400" s="7" t="s">
        <v>354</v>
      </c>
      <c r="B2400" s="7" t="s">
        <v>26</v>
      </c>
      <c r="C2400" s="7" t="s">
        <v>27</v>
      </c>
      <c r="D2400" s="7" t="s">
        <v>28</v>
      </c>
      <c r="E2400" s="7" t="s">
        <v>29</v>
      </c>
      <c r="F2400" s="7" t="s">
        <v>52</v>
      </c>
      <c r="G2400" s="7">
        <v>98.855840000000001</v>
      </c>
      <c r="H2400" s="7"/>
    </row>
    <row r="2401" spans="1:8" x14ac:dyDescent="0.35">
      <c r="A2401" s="7" t="s">
        <v>354</v>
      </c>
      <c r="B2401" s="7" t="s">
        <v>26</v>
      </c>
      <c r="C2401" s="7" t="s">
        <v>27</v>
      </c>
      <c r="D2401" s="7" t="s">
        <v>28</v>
      </c>
      <c r="E2401" s="7" t="s">
        <v>29</v>
      </c>
      <c r="F2401" s="7" t="s">
        <v>53</v>
      </c>
      <c r="G2401" s="7">
        <v>98.944969999999998</v>
      </c>
      <c r="H2401" s="7"/>
    </row>
    <row r="2402" spans="1:8" x14ac:dyDescent="0.35">
      <c r="A2402" s="7" t="s">
        <v>354</v>
      </c>
      <c r="B2402" s="7" t="s">
        <v>26</v>
      </c>
      <c r="C2402" s="7" t="s">
        <v>27</v>
      </c>
      <c r="D2402" s="7" t="s">
        <v>28</v>
      </c>
      <c r="E2402" s="7" t="s">
        <v>29</v>
      </c>
      <c r="F2402" s="7" t="s">
        <v>54</v>
      </c>
      <c r="G2402" s="7">
        <v>99.117069999999998</v>
      </c>
      <c r="H2402" s="7"/>
    </row>
    <row r="2403" spans="1:8" x14ac:dyDescent="0.35">
      <c r="A2403" s="7" t="s">
        <v>354</v>
      </c>
      <c r="B2403" s="7" t="s">
        <v>26</v>
      </c>
      <c r="C2403" s="7" t="s">
        <v>27</v>
      </c>
      <c r="D2403" s="7" t="s">
        <v>28</v>
      </c>
      <c r="E2403" s="7" t="s">
        <v>29</v>
      </c>
      <c r="F2403" s="7" t="s">
        <v>55</v>
      </c>
      <c r="G2403" s="7">
        <v>99.427170000000004</v>
      </c>
      <c r="H2403" s="7"/>
    </row>
    <row r="2404" spans="1:8" x14ac:dyDescent="0.35">
      <c r="A2404" s="7" t="s">
        <v>354</v>
      </c>
      <c r="B2404" s="7" t="s">
        <v>26</v>
      </c>
      <c r="C2404" s="7" t="s">
        <v>27</v>
      </c>
      <c r="D2404" s="7" t="s">
        <v>28</v>
      </c>
      <c r="E2404" s="7" t="s">
        <v>29</v>
      </c>
      <c r="F2404" s="7" t="s">
        <v>56</v>
      </c>
      <c r="G2404" s="7">
        <v>99.75206</v>
      </c>
      <c r="H2404" s="7"/>
    </row>
    <row r="2405" spans="1:8" x14ac:dyDescent="0.35">
      <c r="A2405" s="7" t="s">
        <v>354</v>
      </c>
      <c r="B2405" s="7" t="s">
        <v>26</v>
      </c>
      <c r="C2405" s="7" t="s">
        <v>27</v>
      </c>
      <c r="D2405" s="7" t="s">
        <v>28</v>
      </c>
      <c r="E2405" s="7" t="s">
        <v>29</v>
      </c>
      <c r="F2405" s="7" t="s">
        <v>57</v>
      </c>
      <c r="G2405" s="7">
        <v>99.963880000000003</v>
      </c>
      <c r="H2405" s="7"/>
    </row>
    <row r="2406" spans="1:8" x14ac:dyDescent="0.35">
      <c r="A2406" s="7" t="s">
        <v>354</v>
      </c>
      <c r="B2406" s="7" t="s">
        <v>26</v>
      </c>
      <c r="C2406" s="7" t="s">
        <v>27</v>
      </c>
      <c r="D2406" s="7" t="s">
        <v>28</v>
      </c>
      <c r="E2406" s="7" t="s">
        <v>29</v>
      </c>
      <c r="F2406" s="7" t="s">
        <v>58</v>
      </c>
      <c r="G2406" s="7">
        <v>100.11669999999999</v>
      </c>
      <c r="H2406" s="7"/>
    </row>
    <row r="2407" spans="1:8" x14ac:dyDescent="0.35">
      <c r="A2407" s="7" t="s">
        <v>354</v>
      </c>
      <c r="B2407" s="7" t="s">
        <v>26</v>
      </c>
      <c r="C2407" s="7" t="s">
        <v>27</v>
      </c>
      <c r="D2407" s="7" t="s">
        <v>28</v>
      </c>
      <c r="E2407" s="7" t="s">
        <v>29</v>
      </c>
      <c r="F2407" s="7" t="s">
        <v>59</v>
      </c>
      <c r="G2407" s="7">
        <v>100.28789999999999</v>
      </c>
      <c r="H2407" s="7"/>
    </row>
    <row r="2408" spans="1:8" x14ac:dyDescent="0.35">
      <c r="A2408" s="7" t="s">
        <v>354</v>
      </c>
      <c r="B2408" s="7" t="s">
        <v>26</v>
      </c>
      <c r="C2408" s="7" t="s">
        <v>27</v>
      </c>
      <c r="D2408" s="7" t="s">
        <v>28</v>
      </c>
      <c r="E2408" s="7" t="s">
        <v>29</v>
      </c>
      <c r="F2408" s="7" t="s">
        <v>60</v>
      </c>
      <c r="G2408" s="7">
        <v>100.4572</v>
      </c>
      <c r="H2408" s="7"/>
    </row>
    <row r="2409" spans="1:8" x14ac:dyDescent="0.35">
      <c r="A2409" s="7" t="s">
        <v>354</v>
      </c>
      <c r="B2409" s="7" t="s">
        <v>26</v>
      </c>
      <c r="C2409" s="7" t="s">
        <v>27</v>
      </c>
      <c r="D2409" s="7" t="s">
        <v>28</v>
      </c>
      <c r="E2409" s="7" t="s">
        <v>29</v>
      </c>
      <c r="F2409" s="7" t="s">
        <v>61</v>
      </c>
      <c r="G2409" s="7">
        <v>100.58450000000001</v>
      </c>
      <c r="H2409" s="7"/>
    </row>
    <row r="2410" spans="1:8" x14ac:dyDescent="0.35">
      <c r="A2410" s="7" t="s">
        <v>354</v>
      </c>
      <c r="B2410" s="7" t="s">
        <v>26</v>
      </c>
      <c r="C2410" s="7" t="s">
        <v>27</v>
      </c>
      <c r="D2410" s="7" t="s">
        <v>28</v>
      </c>
      <c r="E2410" s="7" t="s">
        <v>29</v>
      </c>
      <c r="F2410" s="7" t="s">
        <v>62</v>
      </c>
      <c r="G2410" s="7">
        <v>100.6618</v>
      </c>
      <c r="H2410" s="7"/>
    </row>
    <row r="2411" spans="1:8" x14ac:dyDescent="0.35">
      <c r="A2411" s="7" t="s">
        <v>354</v>
      </c>
      <c r="B2411" s="7" t="s">
        <v>26</v>
      </c>
      <c r="C2411" s="7" t="s">
        <v>27</v>
      </c>
      <c r="D2411" s="7" t="s">
        <v>28</v>
      </c>
      <c r="E2411" s="7" t="s">
        <v>29</v>
      </c>
      <c r="F2411" s="7" t="s">
        <v>63</v>
      </c>
      <c r="G2411" s="7">
        <v>100.75879999999999</v>
      </c>
      <c r="H2411" s="7"/>
    </row>
    <row r="2412" spans="1:8" x14ac:dyDescent="0.35">
      <c r="A2412" s="7" t="s">
        <v>354</v>
      </c>
      <c r="B2412" s="7" t="s">
        <v>26</v>
      </c>
      <c r="C2412" s="7" t="s">
        <v>27</v>
      </c>
      <c r="D2412" s="7" t="s">
        <v>28</v>
      </c>
      <c r="E2412" s="7" t="s">
        <v>29</v>
      </c>
      <c r="F2412" s="7" t="s">
        <v>64</v>
      </c>
      <c r="G2412" s="7">
        <v>100.84650000000001</v>
      </c>
      <c r="H2412" s="7"/>
    </row>
    <row r="2413" spans="1:8" x14ac:dyDescent="0.35">
      <c r="A2413" s="7" t="s">
        <v>354</v>
      </c>
      <c r="B2413" s="7" t="s">
        <v>26</v>
      </c>
      <c r="C2413" s="7" t="s">
        <v>27</v>
      </c>
      <c r="D2413" s="7" t="s">
        <v>28</v>
      </c>
      <c r="E2413" s="7" t="s">
        <v>29</v>
      </c>
      <c r="F2413" s="7" t="s">
        <v>65</v>
      </c>
      <c r="G2413" s="7">
        <v>100.89660000000001</v>
      </c>
      <c r="H2413" s="7"/>
    </row>
    <row r="2414" spans="1:8" x14ac:dyDescent="0.35">
      <c r="A2414" s="7" t="s">
        <v>354</v>
      </c>
      <c r="B2414" s="7" t="s">
        <v>26</v>
      </c>
      <c r="C2414" s="7" t="s">
        <v>27</v>
      </c>
      <c r="D2414" s="7" t="s">
        <v>28</v>
      </c>
      <c r="E2414" s="7" t="s">
        <v>29</v>
      </c>
      <c r="F2414" s="7" t="s">
        <v>66</v>
      </c>
      <c r="G2414" s="7">
        <v>100.9076</v>
      </c>
      <c r="H2414" s="7"/>
    </row>
    <row r="2415" spans="1:8" x14ac:dyDescent="0.35">
      <c r="A2415" s="7" t="s">
        <v>354</v>
      </c>
      <c r="B2415" s="7" t="s">
        <v>26</v>
      </c>
      <c r="C2415" s="7" t="s">
        <v>27</v>
      </c>
      <c r="D2415" s="7" t="s">
        <v>28</v>
      </c>
      <c r="E2415" s="7" t="s">
        <v>29</v>
      </c>
      <c r="F2415" s="7" t="s">
        <v>67</v>
      </c>
      <c r="G2415" s="7">
        <v>100.9209</v>
      </c>
      <c r="H2415" s="7"/>
    </row>
    <row r="2416" spans="1:8" x14ac:dyDescent="0.35">
      <c r="A2416" s="7" t="s">
        <v>354</v>
      </c>
      <c r="B2416" s="7" t="s">
        <v>26</v>
      </c>
      <c r="C2416" s="7" t="s">
        <v>27</v>
      </c>
      <c r="D2416" s="7" t="s">
        <v>28</v>
      </c>
      <c r="E2416" s="7" t="s">
        <v>29</v>
      </c>
      <c r="F2416" s="7" t="s">
        <v>68</v>
      </c>
      <c r="G2416" s="7">
        <v>100.9135</v>
      </c>
      <c r="H2416" s="7"/>
    </row>
    <row r="2417" spans="1:8" x14ac:dyDescent="0.35">
      <c r="A2417" s="7" t="s">
        <v>354</v>
      </c>
      <c r="B2417" s="7" t="s">
        <v>26</v>
      </c>
      <c r="C2417" s="7" t="s">
        <v>27</v>
      </c>
      <c r="D2417" s="7" t="s">
        <v>28</v>
      </c>
      <c r="E2417" s="7" t="s">
        <v>29</v>
      </c>
      <c r="F2417" s="7" t="s">
        <v>69</v>
      </c>
      <c r="G2417" s="7">
        <v>100.8146</v>
      </c>
      <c r="H2417" s="7"/>
    </row>
    <row r="2418" spans="1:8" x14ac:dyDescent="0.35">
      <c r="A2418" s="7" t="s">
        <v>354</v>
      </c>
      <c r="B2418" s="7" t="s">
        <v>26</v>
      </c>
      <c r="C2418" s="7" t="s">
        <v>27</v>
      </c>
      <c r="D2418" s="7" t="s">
        <v>28</v>
      </c>
      <c r="E2418" s="7" t="s">
        <v>29</v>
      </c>
      <c r="F2418" s="7" t="s">
        <v>70</v>
      </c>
      <c r="G2418" s="7">
        <v>100.6935</v>
      </c>
      <c r="H2418" s="7"/>
    </row>
    <row r="2419" spans="1:8" x14ac:dyDescent="0.35">
      <c r="A2419" s="7" t="s">
        <v>354</v>
      </c>
      <c r="B2419" s="7" t="s">
        <v>26</v>
      </c>
      <c r="C2419" s="7" t="s">
        <v>27</v>
      </c>
      <c r="D2419" s="7" t="s">
        <v>28</v>
      </c>
      <c r="E2419" s="7" t="s">
        <v>29</v>
      </c>
      <c r="F2419" s="7" t="s">
        <v>71</v>
      </c>
      <c r="G2419" s="7">
        <v>100.64490000000001</v>
      </c>
      <c r="H2419" s="7"/>
    </row>
    <row r="2420" spans="1:8" x14ac:dyDescent="0.35">
      <c r="A2420" s="7" t="s">
        <v>354</v>
      </c>
      <c r="B2420" s="7" t="s">
        <v>26</v>
      </c>
      <c r="C2420" s="7" t="s">
        <v>27</v>
      </c>
      <c r="D2420" s="7" t="s">
        <v>28</v>
      </c>
      <c r="E2420" s="7" t="s">
        <v>29</v>
      </c>
      <c r="F2420" s="7" t="s">
        <v>72</v>
      </c>
      <c r="G2420" s="7">
        <v>100.6618</v>
      </c>
      <c r="H2420" s="7"/>
    </row>
    <row r="2421" spans="1:8" x14ac:dyDescent="0.35">
      <c r="A2421" s="7" t="s">
        <v>354</v>
      </c>
      <c r="B2421" s="7" t="s">
        <v>26</v>
      </c>
      <c r="C2421" s="7" t="s">
        <v>27</v>
      </c>
      <c r="D2421" s="7" t="s">
        <v>28</v>
      </c>
      <c r="E2421" s="7" t="s">
        <v>29</v>
      </c>
      <c r="F2421" s="7" t="s">
        <v>73</v>
      </c>
      <c r="G2421" s="7">
        <v>100.7379</v>
      </c>
      <c r="H2421" s="7"/>
    </row>
    <row r="2422" spans="1:8" x14ac:dyDescent="0.35">
      <c r="A2422" s="7" t="s">
        <v>354</v>
      </c>
      <c r="B2422" s="7" t="s">
        <v>26</v>
      </c>
      <c r="C2422" s="7" t="s">
        <v>27</v>
      </c>
      <c r="D2422" s="7" t="s">
        <v>28</v>
      </c>
      <c r="E2422" s="7" t="s">
        <v>29</v>
      </c>
      <c r="F2422" s="7" t="s">
        <v>74</v>
      </c>
      <c r="G2422" s="7">
        <v>100.78879999999999</v>
      </c>
      <c r="H2422" s="7"/>
    </row>
    <row r="2423" spans="1:8" x14ac:dyDescent="0.35">
      <c r="A2423" s="7" t="s">
        <v>354</v>
      </c>
      <c r="B2423" s="7" t="s">
        <v>26</v>
      </c>
      <c r="C2423" s="7" t="s">
        <v>27</v>
      </c>
      <c r="D2423" s="7" t="s">
        <v>28</v>
      </c>
      <c r="E2423" s="7" t="s">
        <v>29</v>
      </c>
      <c r="F2423" s="7" t="s">
        <v>75</v>
      </c>
      <c r="G2423" s="7">
        <v>100.75409999999999</v>
      </c>
      <c r="H2423" s="7"/>
    </row>
    <row r="2424" spans="1:8" x14ac:dyDescent="0.35">
      <c r="A2424" s="7" t="s">
        <v>354</v>
      </c>
      <c r="B2424" s="7" t="s">
        <v>26</v>
      </c>
      <c r="C2424" s="7" t="s">
        <v>27</v>
      </c>
      <c r="D2424" s="7" t="s">
        <v>28</v>
      </c>
      <c r="E2424" s="7" t="s">
        <v>29</v>
      </c>
      <c r="F2424" s="7" t="s">
        <v>76</v>
      </c>
      <c r="G2424" s="7">
        <v>100.6176</v>
      </c>
      <c r="H2424" s="7"/>
    </row>
    <row r="2425" spans="1:8" x14ac:dyDescent="0.35">
      <c r="A2425" s="7" t="s">
        <v>354</v>
      </c>
      <c r="B2425" s="7" t="s">
        <v>26</v>
      </c>
      <c r="C2425" s="7" t="s">
        <v>27</v>
      </c>
      <c r="D2425" s="7" t="s">
        <v>28</v>
      </c>
      <c r="E2425" s="7" t="s">
        <v>29</v>
      </c>
      <c r="F2425" s="7" t="s">
        <v>77</v>
      </c>
      <c r="G2425" s="7">
        <v>100.514</v>
      </c>
      <c r="H2425" s="7"/>
    </row>
    <row r="2426" spans="1:8" x14ac:dyDescent="0.35">
      <c r="A2426" s="7" t="s">
        <v>354</v>
      </c>
      <c r="B2426" s="7" t="s">
        <v>26</v>
      </c>
      <c r="C2426" s="7" t="s">
        <v>27</v>
      </c>
      <c r="D2426" s="7" t="s">
        <v>28</v>
      </c>
      <c r="E2426" s="7" t="s">
        <v>29</v>
      </c>
      <c r="F2426" s="7" t="s">
        <v>78</v>
      </c>
      <c r="G2426" s="7">
        <v>100.4425</v>
      </c>
      <c r="H2426" s="7"/>
    </row>
    <row r="2427" spans="1:8" x14ac:dyDescent="0.35">
      <c r="A2427" s="7" t="s">
        <v>354</v>
      </c>
      <c r="B2427" s="7" t="s">
        <v>26</v>
      </c>
      <c r="C2427" s="7" t="s">
        <v>27</v>
      </c>
      <c r="D2427" s="7" t="s">
        <v>28</v>
      </c>
      <c r="E2427" s="7" t="s">
        <v>29</v>
      </c>
      <c r="F2427" s="7" t="s">
        <v>79</v>
      </c>
      <c r="G2427" s="7">
        <v>100.4067</v>
      </c>
      <c r="H2427" s="7"/>
    </row>
    <row r="2428" spans="1:8" x14ac:dyDescent="0.35">
      <c r="A2428" s="7" t="s">
        <v>354</v>
      </c>
      <c r="B2428" s="7" t="s">
        <v>26</v>
      </c>
      <c r="C2428" s="7" t="s">
        <v>27</v>
      </c>
      <c r="D2428" s="7" t="s">
        <v>28</v>
      </c>
      <c r="E2428" s="7" t="s">
        <v>29</v>
      </c>
      <c r="F2428" s="7" t="s">
        <v>80</v>
      </c>
      <c r="G2428" s="7">
        <v>100.376</v>
      </c>
      <c r="H2428" s="7"/>
    </row>
    <row r="2429" spans="1:8" x14ac:dyDescent="0.35">
      <c r="A2429" s="7" t="s">
        <v>354</v>
      </c>
      <c r="B2429" s="7" t="s">
        <v>26</v>
      </c>
      <c r="C2429" s="7" t="s">
        <v>27</v>
      </c>
      <c r="D2429" s="7" t="s">
        <v>28</v>
      </c>
      <c r="E2429" s="7" t="s">
        <v>29</v>
      </c>
      <c r="F2429" s="7" t="s">
        <v>81</v>
      </c>
      <c r="G2429" s="7">
        <v>100.375</v>
      </c>
      <c r="H2429" s="7"/>
    </row>
    <row r="2430" spans="1:8" x14ac:dyDescent="0.35">
      <c r="A2430" s="7" t="s">
        <v>354</v>
      </c>
      <c r="B2430" s="7" t="s">
        <v>26</v>
      </c>
      <c r="C2430" s="7" t="s">
        <v>27</v>
      </c>
      <c r="D2430" s="7" t="s">
        <v>28</v>
      </c>
      <c r="E2430" s="7" t="s">
        <v>29</v>
      </c>
      <c r="F2430" s="7" t="s">
        <v>82</v>
      </c>
      <c r="G2430" s="7">
        <v>100.41679999999999</v>
      </c>
      <c r="H2430" s="7"/>
    </row>
    <row r="2431" spans="1:8" x14ac:dyDescent="0.35">
      <c r="A2431" s="7" t="s">
        <v>354</v>
      </c>
      <c r="B2431" s="7" t="s">
        <v>26</v>
      </c>
      <c r="C2431" s="7" t="s">
        <v>27</v>
      </c>
      <c r="D2431" s="7" t="s">
        <v>28</v>
      </c>
      <c r="E2431" s="7" t="s">
        <v>29</v>
      </c>
      <c r="F2431" s="7" t="s">
        <v>83</v>
      </c>
      <c r="G2431" s="7">
        <v>100.4203</v>
      </c>
      <c r="H2431" s="7"/>
    </row>
    <row r="2432" spans="1:8" x14ac:dyDescent="0.35">
      <c r="A2432" s="7" t="s">
        <v>354</v>
      </c>
      <c r="B2432" s="7" t="s">
        <v>26</v>
      </c>
      <c r="C2432" s="7" t="s">
        <v>27</v>
      </c>
      <c r="D2432" s="7" t="s">
        <v>28</v>
      </c>
      <c r="E2432" s="7" t="s">
        <v>29</v>
      </c>
      <c r="F2432" s="7" t="s">
        <v>84</v>
      </c>
      <c r="G2432" s="7">
        <v>100.4088</v>
      </c>
      <c r="H2432" s="7"/>
    </row>
    <row r="2433" spans="1:8" x14ac:dyDescent="0.35">
      <c r="A2433" s="7" t="s">
        <v>354</v>
      </c>
      <c r="B2433" s="7" t="s">
        <v>26</v>
      </c>
      <c r="C2433" s="7" t="s">
        <v>27</v>
      </c>
      <c r="D2433" s="7" t="s">
        <v>28</v>
      </c>
      <c r="E2433" s="7" t="s">
        <v>29</v>
      </c>
      <c r="F2433" s="7" t="s">
        <v>85</v>
      </c>
      <c r="G2433" s="7">
        <v>100.43559999999999</v>
      </c>
      <c r="H2433" s="7"/>
    </row>
    <row r="2434" spans="1:8" x14ac:dyDescent="0.35">
      <c r="A2434" s="7" t="s">
        <v>354</v>
      </c>
      <c r="B2434" s="7" t="s">
        <v>26</v>
      </c>
      <c r="C2434" s="7" t="s">
        <v>27</v>
      </c>
      <c r="D2434" s="7" t="s">
        <v>28</v>
      </c>
      <c r="E2434" s="7" t="s">
        <v>29</v>
      </c>
      <c r="F2434" s="7" t="s">
        <v>86</v>
      </c>
      <c r="G2434" s="7">
        <v>100.4714</v>
      </c>
      <c r="H2434" s="7"/>
    </row>
    <row r="2435" spans="1:8" x14ac:dyDescent="0.35">
      <c r="A2435" s="7" t="s">
        <v>354</v>
      </c>
      <c r="B2435" s="7" t="s">
        <v>26</v>
      </c>
      <c r="C2435" s="7" t="s">
        <v>27</v>
      </c>
      <c r="D2435" s="7" t="s">
        <v>28</v>
      </c>
      <c r="E2435" s="7" t="s">
        <v>29</v>
      </c>
      <c r="F2435" s="7" t="s">
        <v>87</v>
      </c>
      <c r="G2435" s="7">
        <v>100.5014</v>
      </c>
      <c r="H2435" s="7"/>
    </row>
    <row r="2436" spans="1:8" x14ac:dyDescent="0.35">
      <c r="A2436" s="7" t="s">
        <v>354</v>
      </c>
      <c r="B2436" s="7" t="s">
        <v>26</v>
      </c>
      <c r="C2436" s="7" t="s">
        <v>27</v>
      </c>
      <c r="D2436" s="7" t="s">
        <v>28</v>
      </c>
      <c r="E2436" s="7" t="s">
        <v>29</v>
      </c>
      <c r="F2436" s="7" t="s">
        <v>88</v>
      </c>
      <c r="G2436" s="7">
        <v>100.51730000000001</v>
      </c>
      <c r="H2436" s="7"/>
    </row>
    <row r="2437" spans="1:8" x14ac:dyDescent="0.35">
      <c r="A2437" s="7" t="s">
        <v>354</v>
      </c>
      <c r="B2437" s="7" t="s">
        <v>26</v>
      </c>
      <c r="C2437" s="7" t="s">
        <v>27</v>
      </c>
      <c r="D2437" s="7" t="s">
        <v>28</v>
      </c>
      <c r="E2437" s="7" t="s">
        <v>29</v>
      </c>
      <c r="F2437" s="7" t="s">
        <v>89</v>
      </c>
      <c r="G2437" s="7">
        <v>100.53</v>
      </c>
      <c r="H2437" s="7"/>
    </row>
    <row r="2438" spans="1:8" x14ac:dyDescent="0.35">
      <c r="A2438" s="7" t="s">
        <v>354</v>
      </c>
      <c r="B2438" s="7" t="s">
        <v>26</v>
      </c>
      <c r="C2438" s="7" t="s">
        <v>27</v>
      </c>
      <c r="D2438" s="7" t="s">
        <v>28</v>
      </c>
      <c r="E2438" s="7" t="s">
        <v>29</v>
      </c>
      <c r="F2438" s="7" t="s">
        <v>90</v>
      </c>
      <c r="G2438" s="7">
        <v>100.51349999999999</v>
      </c>
      <c r="H2438" s="7"/>
    </row>
    <row r="2439" spans="1:8" x14ac:dyDescent="0.35">
      <c r="A2439" s="7" t="s">
        <v>354</v>
      </c>
      <c r="B2439" s="7" t="s">
        <v>26</v>
      </c>
      <c r="C2439" s="7" t="s">
        <v>27</v>
      </c>
      <c r="D2439" s="7" t="s">
        <v>28</v>
      </c>
      <c r="E2439" s="7" t="s">
        <v>29</v>
      </c>
      <c r="F2439" s="7" t="s">
        <v>91</v>
      </c>
      <c r="G2439" s="7">
        <v>100.4691</v>
      </c>
      <c r="H2439" s="7"/>
    </row>
    <row r="2440" spans="1:8" x14ac:dyDescent="0.35">
      <c r="A2440" s="7" t="s">
        <v>354</v>
      </c>
      <c r="B2440" s="7" t="s">
        <v>26</v>
      </c>
      <c r="C2440" s="7" t="s">
        <v>27</v>
      </c>
      <c r="D2440" s="7" t="s">
        <v>28</v>
      </c>
      <c r="E2440" s="7" t="s">
        <v>29</v>
      </c>
      <c r="F2440" s="7" t="s">
        <v>92</v>
      </c>
      <c r="G2440" s="7">
        <v>100.4782</v>
      </c>
      <c r="H2440" s="7"/>
    </row>
    <row r="2441" spans="1:8" x14ac:dyDescent="0.35">
      <c r="A2441" s="7" t="s">
        <v>354</v>
      </c>
      <c r="B2441" s="7" t="s">
        <v>26</v>
      </c>
      <c r="C2441" s="7" t="s">
        <v>27</v>
      </c>
      <c r="D2441" s="7" t="s">
        <v>28</v>
      </c>
      <c r="E2441" s="7" t="s">
        <v>29</v>
      </c>
      <c r="F2441" s="7" t="s">
        <v>93</v>
      </c>
      <c r="G2441" s="7">
        <v>100.55200000000001</v>
      </c>
      <c r="H2441" s="7"/>
    </row>
    <row r="2442" spans="1:8" x14ac:dyDescent="0.35">
      <c r="A2442" s="7" t="s">
        <v>354</v>
      </c>
      <c r="B2442" s="7" t="s">
        <v>26</v>
      </c>
      <c r="C2442" s="7" t="s">
        <v>27</v>
      </c>
      <c r="D2442" s="7" t="s">
        <v>28</v>
      </c>
      <c r="E2442" s="7" t="s">
        <v>29</v>
      </c>
      <c r="F2442" s="7" t="s">
        <v>94</v>
      </c>
      <c r="G2442" s="7">
        <v>100.66330000000001</v>
      </c>
      <c r="H2442" s="7"/>
    </row>
    <row r="2443" spans="1:8" x14ac:dyDescent="0.35">
      <c r="A2443" s="7" t="s">
        <v>354</v>
      </c>
      <c r="B2443" s="7" t="s">
        <v>26</v>
      </c>
      <c r="C2443" s="7" t="s">
        <v>27</v>
      </c>
      <c r="D2443" s="7" t="s">
        <v>28</v>
      </c>
      <c r="E2443" s="7" t="s">
        <v>29</v>
      </c>
      <c r="F2443" s="7" t="s">
        <v>95</v>
      </c>
      <c r="G2443" s="7">
        <v>100.8006</v>
      </c>
      <c r="H2443" s="7"/>
    </row>
    <row r="2444" spans="1:8" x14ac:dyDescent="0.35">
      <c r="A2444" s="7" t="s">
        <v>354</v>
      </c>
      <c r="B2444" s="7" t="s">
        <v>26</v>
      </c>
      <c r="C2444" s="7" t="s">
        <v>27</v>
      </c>
      <c r="D2444" s="7" t="s">
        <v>28</v>
      </c>
      <c r="E2444" s="7" t="s">
        <v>29</v>
      </c>
      <c r="F2444" s="7" t="s">
        <v>96</v>
      </c>
      <c r="G2444" s="7">
        <v>100.94889999999999</v>
      </c>
      <c r="H2444" s="7"/>
    </row>
    <row r="2445" spans="1:8" x14ac:dyDescent="0.35">
      <c r="A2445" s="7" t="s">
        <v>354</v>
      </c>
      <c r="B2445" s="7" t="s">
        <v>26</v>
      </c>
      <c r="C2445" s="7" t="s">
        <v>27</v>
      </c>
      <c r="D2445" s="7" t="s">
        <v>28</v>
      </c>
      <c r="E2445" s="7" t="s">
        <v>29</v>
      </c>
      <c r="F2445" s="7" t="s">
        <v>97</v>
      </c>
      <c r="G2445" s="7">
        <v>101.0791</v>
      </c>
      <c r="H2445" s="7"/>
    </row>
    <row r="2446" spans="1:8" x14ac:dyDescent="0.35">
      <c r="A2446" s="7" t="s">
        <v>354</v>
      </c>
      <c r="B2446" s="7" t="s">
        <v>26</v>
      </c>
      <c r="C2446" s="7" t="s">
        <v>27</v>
      </c>
      <c r="D2446" s="7" t="s">
        <v>28</v>
      </c>
      <c r="E2446" s="7" t="s">
        <v>29</v>
      </c>
      <c r="F2446" s="7" t="s">
        <v>98</v>
      </c>
      <c r="G2446" s="7">
        <v>101.1609</v>
      </c>
      <c r="H2446" s="7"/>
    </row>
    <row r="2447" spans="1:8" x14ac:dyDescent="0.35">
      <c r="A2447" s="7" t="s">
        <v>354</v>
      </c>
      <c r="B2447" s="7" t="s">
        <v>26</v>
      </c>
      <c r="C2447" s="7" t="s">
        <v>27</v>
      </c>
      <c r="D2447" s="7" t="s">
        <v>28</v>
      </c>
      <c r="E2447" s="7" t="s">
        <v>29</v>
      </c>
      <c r="F2447" s="7" t="s">
        <v>99</v>
      </c>
      <c r="G2447" s="7">
        <v>101.166</v>
      </c>
      <c r="H2447" s="7"/>
    </row>
    <row r="2448" spans="1:8" x14ac:dyDescent="0.35">
      <c r="A2448" s="7" t="s">
        <v>354</v>
      </c>
      <c r="B2448" s="7" t="s">
        <v>26</v>
      </c>
      <c r="C2448" s="7" t="s">
        <v>27</v>
      </c>
      <c r="D2448" s="7" t="s">
        <v>28</v>
      </c>
      <c r="E2448" s="7" t="s">
        <v>29</v>
      </c>
      <c r="F2448" s="7" t="s">
        <v>100</v>
      </c>
      <c r="G2448" s="7">
        <v>101.15770000000001</v>
      </c>
      <c r="H2448" s="7"/>
    </row>
    <row r="2449" spans="1:8" x14ac:dyDescent="0.35">
      <c r="A2449" s="7" t="s">
        <v>354</v>
      </c>
      <c r="B2449" s="7" t="s">
        <v>26</v>
      </c>
      <c r="C2449" s="7" t="s">
        <v>27</v>
      </c>
      <c r="D2449" s="7" t="s">
        <v>28</v>
      </c>
      <c r="E2449" s="7" t="s">
        <v>29</v>
      </c>
      <c r="F2449" s="7" t="s">
        <v>101</v>
      </c>
      <c r="G2449" s="7">
        <v>101.13120000000001</v>
      </c>
      <c r="H2449" s="7"/>
    </row>
    <row r="2450" spans="1:8" x14ac:dyDescent="0.35">
      <c r="A2450" s="7" t="s">
        <v>354</v>
      </c>
      <c r="B2450" s="7" t="s">
        <v>26</v>
      </c>
      <c r="C2450" s="7" t="s">
        <v>27</v>
      </c>
      <c r="D2450" s="7" t="s">
        <v>28</v>
      </c>
      <c r="E2450" s="7" t="s">
        <v>29</v>
      </c>
      <c r="F2450" s="7" t="s">
        <v>102</v>
      </c>
      <c r="G2450" s="7">
        <v>101.10169999999999</v>
      </c>
      <c r="H2450" s="7"/>
    </row>
    <row r="2451" spans="1:8" x14ac:dyDescent="0.35">
      <c r="A2451" s="7" t="s">
        <v>354</v>
      </c>
      <c r="B2451" s="7" t="s">
        <v>26</v>
      </c>
      <c r="C2451" s="7" t="s">
        <v>27</v>
      </c>
      <c r="D2451" s="7" t="s">
        <v>28</v>
      </c>
      <c r="E2451" s="7" t="s">
        <v>29</v>
      </c>
      <c r="F2451" s="7" t="s">
        <v>103</v>
      </c>
      <c r="G2451" s="7">
        <v>101.08159999999999</v>
      </c>
      <c r="H2451" s="7"/>
    </row>
    <row r="2452" spans="1:8" x14ac:dyDescent="0.35">
      <c r="A2452" s="7" t="s">
        <v>354</v>
      </c>
      <c r="B2452" s="7" t="s">
        <v>26</v>
      </c>
      <c r="C2452" s="7" t="s">
        <v>27</v>
      </c>
      <c r="D2452" s="7" t="s">
        <v>28</v>
      </c>
      <c r="E2452" s="7" t="s">
        <v>29</v>
      </c>
      <c r="F2452" s="7" t="s">
        <v>104</v>
      </c>
      <c r="G2452" s="7">
        <v>101.1533</v>
      </c>
      <c r="H2452" s="7"/>
    </row>
    <row r="2453" spans="1:8" x14ac:dyDescent="0.35">
      <c r="A2453" s="7" t="s">
        <v>354</v>
      </c>
      <c r="B2453" s="7" t="s">
        <v>26</v>
      </c>
      <c r="C2453" s="7" t="s">
        <v>27</v>
      </c>
      <c r="D2453" s="7" t="s">
        <v>28</v>
      </c>
      <c r="E2453" s="7" t="s">
        <v>29</v>
      </c>
      <c r="F2453" s="7" t="s">
        <v>105</v>
      </c>
      <c r="G2453" s="7">
        <v>101.2456</v>
      </c>
      <c r="H2453" s="7"/>
    </row>
    <row r="2454" spans="1:8" x14ac:dyDescent="0.35">
      <c r="A2454" s="7" t="s">
        <v>354</v>
      </c>
      <c r="B2454" s="7" t="s">
        <v>26</v>
      </c>
      <c r="C2454" s="7" t="s">
        <v>27</v>
      </c>
      <c r="D2454" s="7" t="s">
        <v>28</v>
      </c>
      <c r="E2454" s="7" t="s">
        <v>29</v>
      </c>
      <c r="F2454" s="7" t="s">
        <v>106</v>
      </c>
      <c r="G2454" s="7">
        <v>101.2944</v>
      </c>
      <c r="H2454" s="7"/>
    </row>
    <row r="2455" spans="1:8" x14ac:dyDescent="0.35">
      <c r="A2455" s="7" t="s">
        <v>354</v>
      </c>
      <c r="B2455" s="7" t="s">
        <v>26</v>
      </c>
      <c r="C2455" s="7" t="s">
        <v>27</v>
      </c>
      <c r="D2455" s="7" t="s">
        <v>28</v>
      </c>
      <c r="E2455" s="7" t="s">
        <v>29</v>
      </c>
      <c r="F2455" s="7" t="s">
        <v>107</v>
      </c>
      <c r="G2455" s="7">
        <v>101.33150000000001</v>
      </c>
      <c r="H2455" s="7"/>
    </row>
    <row r="2456" spans="1:8" x14ac:dyDescent="0.35">
      <c r="A2456" s="7" t="s">
        <v>354</v>
      </c>
      <c r="B2456" s="7" t="s">
        <v>26</v>
      </c>
      <c r="C2456" s="7" t="s">
        <v>27</v>
      </c>
      <c r="D2456" s="7" t="s">
        <v>28</v>
      </c>
      <c r="E2456" s="7" t="s">
        <v>29</v>
      </c>
      <c r="F2456" s="7" t="s">
        <v>108</v>
      </c>
      <c r="G2456" s="7">
        <v>101.3147</v>
      </c>
      <c r="H2456" s="7"/>
    </row>
    <row r="2457" spans="1:8" x14ac:dyDescent="0.35">
      <c r="A2457" s="7" t="s">
        <v>354</v>
      </c>
      <c r="B2457" s="7" t="s">
        <v>26</v>
      </c>
      <c r="C2457" s="7" t="s">
        <v>27</v>
      </c>
      <c r="D2457" s="7" t="s">
        <v>28</v>
      </c>
      <c r="E2457" s="7" t="s">
        <v>29</v>
      </c>
      <c r="F2457" s="7" t="s">
        <v>109</v>
      </c>
      <c r="G2457" s="7">
        <v>101.2548</v>
      </c>
      <c r="H2457" s="7"/>
    </row>
    <row r="2458" spans="1:8" x14ac:dyDescent="0.35">
      <c r="A2458" s="7" t="s">
        <v>354</v>
      </c>
      <c r="B2458" s="7" t="s">
        <v>26</v>
      </c>
      <c r="C2458" s="7" t="s">
        <v>27</v>
      </c>
      <c r="D2458" s="7" t="s">
        <v>28</v>
      </c>
      <c r="E2458" s="7" t="s">
        <v>29</v>
      </c>
      <c r="F2458" s="7" t="s">
        <v>110</v>
      </c>
      <c r="G2458" s="7">
        <v>101.1807</v>
      </c>
      <c r="H2458" s="7"/>
    </row>
    <row r="2459" spans="1:8" x14ac:dyDescent="0.35">
      <c r="A2459" s="7" t="s">
        <v>354</v>
      </c>
      <c r="B2459" s="7" t="s">
        <v>26</v>
      </c>
      <c r="C2459" s="7" t="s">
        <v>27</v>
      </c>
      <c r="D2459" s="7" t="s">
        <v>28</v>
      </c>
      <c r="E2459" s="7" t="s">
        <v>29</v>
      </c>
      <c r="F2459" s="7" t="s">
        <v>111</v>
      </c>
      <c r="G2459" s="7">
        <v>101.0718</v>
      </c>
      <c r="H2459" s="7"/>
    </row>
    <row r="2460" spans="1:8" x14ac:dyDescent="0.35">
      <c r="A2460" s="7" t="s">
        <v>354</v>
      </c>
      <c r="B2460" s="7" t="s">
        <v>26</v>
      </c>
      <c r="C2460" s="7" t="s">
        <v>27</v>
      </c>
      <c r="D2460" s="7" t="s">
        <v>28</v>
      </c>
      <c r="E2460" s="7" t="s">
        <v>29</v>
      </c>
      <c r="F2460" s="7" t="s">
        <v>112</v>
      </c>
      <c r="G2460" s="7">
        <v>100.97499999999999</v>
      </c>
      <c r="H2460" s="7"/>
    </row>
    <row r="2461" spans="1:8" x14ac:dyDescent="0.35">
      <c r="A2461" s="7" t="s">
        <v>354</v>
      </c>
      <c r="B2461" s="7" t="s">
        <v>26</v>
      </c>
      <c r="C2461" s="7" t="s">
        <v>27</v>
      </c>
      <c r="D2461" s="7" t="s">
        <v>28</v>
      </c>
      <c r="E2461" s="7" t="s">
        <v>29</v>
      </c>
      <c r="F2461" s="7" t="s">
        <v>113</v>
      </c>
      <c r="G2461" s="7">
        <v>100.9558</v>
      </c>
      <c r="H2461" s="7"/>
    </row>
    <row r="2462" spans="1:8" x14ac:dyDescent="0.35">
      <c r="A2462" s="7" t="s">
        <v>354</v>
      </c>
      <c r="B2462" s="7" t="s">
        <v>26</v>
      </c>
      <c r="C2462" s="7" t="s">
        <v>27</v>
      </c>
      <c r="D2462" s="7" t="s">
        <v>28</v>
      </c>
      <c r="E2462" s="7" t="s">
        <v>29</v>
      </c>
      <c r="F2462" s="7" t="s">
        <v>114</v>
      </c>
      <c r="G2462" s="7">
        <v>101.0578</v>
      </c>
      <c r="H2462" s="7"/>
    </row>
    <row r="2463" spans="1:8" x14ac:dyDescent="0.35">
      <c r="A2463" s="7" t="s">
        <v>354</v>
      </c>
      <c r="B2463" s="7" t="s">
        <v>26</v>
      </c>
      <c r="C2463" s="7" t="s">
        <v>27</v>
      </c>
      <c r="D2463" s="7" t="s">
        <v>28</v>
      </c>
      <c r="E2463" s="7" t="s">
        <v>29</v>
      </c>
      <c r="F2463" s="7" t="s">
        <v>115</v>
      </c>
      <c r="G2463" s="7">
        <v>101.17149999999999</v>
      </c>
      <c r="H2463" s="7"/>
    </row>
    <row r="2464" spans="1:8" x14ac:dyDescent="0.35">
      <c r="A2464" s="7" t="s">
        <v>354</v>
      </c>
      <c r="B2464" s="7" t="s">
        <v>26</v>
      </c>
      <c r="C2464" s="7" t="s">
        <v>27</v>
      </c>
      <c r="D2464" s="7" t="s">
        <v>28</v>
      </c>
      <c r="E2464" s="7" t="s">
        <v>29</v>
      </c>
      <c r="F2464" s="7" t="s">
        <v>116</v>
      </c>
      <c r="G2464" s="7">
        <v>101.3319</v>
      </c>
      <c r="H2464" s="7"/>
    </row>
    <row r="2465" spans="1:8" x14ac:dyDescent="0.35">
      <c r="A2465" s="7" t="s">
        <v>354</v>
      </c>
      <c r="B2465" s="7" t="s">
        <v>26</v>
      </c>
      <c r="C2465" s="7" t="s">
        <v>27</v>
      </c>
      <c r="D2465" s="7" t="s">
        <v>28</v>
      </c>
      <c r="E2465" s="7" t="s">
        <v>29</v>
      </c>
      <c r="F2465" s="7" t="s">
        <v>117</v>
      </c>
      <c r="G2465" s="7">
        <v>101.4405</v>
      </c>
      <c r="H2465" s="7"/>
    </row>
    <row r="2466" spans="1:8" x14ac:dyDescent="0.35">
      <c r="A2466" s="7" t="s">
        <v>354</v>
      </c>
      <c r="B2466" s="7" t="s">
        <v>26</v>
      </c>
      <c r="C2466" s="7" t="s">
        <v>27</v>
      </c>
      <c r="D2466" s="7" t="s">
        <v>28</v>
      </c>
      <c r="E2466" s="7" t="s">
        <v>29</v>
      </c>
      <c r="F2466" s="7" t="s">
        <v>118</v>
      </c>
      <c r="G2466" s="7">
        <v>101.4388</v>
      </c>
      <c r="H2466" s="7"/>
    </row>
    <row r="2467" spans="1:8" x14ac:dyDescent="0.35">
      <c r="A2467" s="7" t="s">
        <v>354</v>
      </c>
      <c r="B2467" s="7" t="s">
        <v>26</v>
      </c>
      <c r="C2467" s="7" t="s">
        <v>27</v>
      </c>
      <c r="D2467" s="7" t="s">
        <v>28</v>
      </c>
      <c r="E2467" s="7" t="s">
        <v>29</v>
      </c>
      <c r="F2467" s="7" t="s">
        <v>119</v>
      </c>
      <c r="G2467" s="7">
        <v>101.4111</v>
      </c>
      <c r="H2467" s="7"/>
    </row>
    <row r="2468" spans="1:8" x14ac:dyDescent="0.35">
      <c r="A2468" s="7" t="s">
        <v>354</v>
      </c>
      <c r="B2468" s="7" t="s">
        <v>26</v>
      </c>
      <c r="C2468" s="7" t="s">
        <v>27</v>
      </c>
      <c r="D2468" s="7" t="s">
        <v>28</v>
      </c>
      <c r="E2468" s="7" t="s">
        <v>29</v>
      </c>
      <c r="F2468" s="7" t="s">
        <v>120</v>
      </c>
      <c r="G2468" s="7">
        <v>101.4314</v>
      </c>
      <c r="H2468" s="7"/>
    </row>
    <row r="2469" spans="1:8" x14ac:dyDescent="0.35">
      <c r="A2469" s="7" t="s">
        <v>354</v>
      </c>
      <c r="B2469" s="7" t="s">
        <v>26</v>
      </c>
      <c r="C2469" s="7" t="s">
        <v>27</v>
      </c>
      <c r="D2469" s="7" t="s">
        <v>28</v>
      </c>
      <c r="E2469" s="7" t="s">
        <v>29</v>
      </c>
      <c r="F2469" s="7" t="s">
        <v>121</v>
      </c>
      <c r="G2469" s="7">
        <v>101.4631</v>
      </c>
      <c r="H2469" s="7"/>
    </row>
    <row r="2470" spans="1:8" x14ac:dyDescent="0.35">
      <c r="A2470" s="7" t="s">
        <v>354</v>
      </c>
      <c r="B2470" s="7" t="s">
        <v>26</v>
      </c>
      <c r="C2470" s="7" t="s">
        <v>27</v>
      </c>
      <c r="D2470" s="7" t="s">
        <v>28</v>
      </c>
      <c r="E2470" s="7" t="s">
        <v>29</v>
      </c>
      <c r="F2470" s="7" t="s">
        <v>122</v>
      </c>
      <c r="G2470" s="7">
        <v>101.48399999999999</v>
      </c>
      <c r="H2470" s="7"/>
    </row>
    <row r="2471" spans="1:8" x14ac:dyDescent="0.35">
      <c r="A2471" s="7" t="s">
        <v>354</v>
      </c>
      <c r="B2471" s="7" t="s">
        <v>26</v>
      </c>
      <c r="C2471" s="7" t="s">
        <v>27</v>
      </c>
      <c r="D2471" s="7" t="s">
        <v>28</v>
      </c>
      <c r="E2471" s="7" t="s">
        <v>29</v>
      </c>
      <c r="F2471" s="7" t="s">
        <v>123</v>
      </c>
      <c r="G2471" s="7">
        <v>101.5004</v>
      </c>
      <c r="H2471" s="7"/>
    </row>
    <row r="2472" spans="1:8" x14ac:dyDescent="0.35">
      <c r="A2472" s="7" t="s">
        <v>354</v>
      </c>
      <c r="B2472" s="7" t="s">
        <v>26</v>
      </c>
      <c r="C2472" s="7" t="s">
        <v>27</v>
      </c>
      <c r="D2472" s="7" t="s">
        <v>28</v>
      </c>
      <c r="E2472" s="7" t="s">
        <v>29</v>
      </c>
      <c r="F2472" s="7" t="s">
        <v>124</v>
      </c>
      <c r="G2472" s="7">
        <v>101.5411</v>
      </c>
      <c r="H2472" s="7"/>
    </row>
    <row r="2473" spans="1:8" x14ac:dyDescent="0.35">
      <c r="A2473" s="7" t="s">
        <v>354</v>
      </c>
      <c r="B2473" s="7" t="s">
        <v>26</v>
      </c>
      <c r="C2473" s="7" t="s">
        <v>27</v>
      </c>
      <c r="D2473" s="7" t="s">
        <v>28</v>
      </c>
      <c r="E2473" s="7" t="s">
        <v>29</v>
      </c>
      <c r="F2473" s="7" t="s">
        <v>125</v>
      </c>
      <c r="G2473" s="7">
        <v>101.5928</v>
      </c>
      <c r="H2473" s="7"/>
    </row>
    <row r="2474" spans="1:8" x14ac:dyDescent="0.35">
      <c r="A2474" s="7" t="s">
        <v>354</v>
      </c>
      <c r="B2474" s="7" t="s">
        <v>26</v>
      </c>
      <c r="C2474" s="7" t="s">
        <v>27</v>
      </c>
      <c r="D2474" s="7" t="s">
        <v>28</v>
      </c>
      <c r="E2474" s="7" t="s">
        <v>29</v>
      </c>
      <c r="F2474" s="7" t="s">
        <v>126</v>
      </c>
      <c r="G2474" s="7">
        <v>101.69110000000001</v>
      </c>
      <c r="H2474" s="7"/>
    </row>
    <row r="2475" spans="1:8" x14ac:dyDescent="0.35">
      <c r="A2475" s="7" t="s">
        <v>354</v>
      </c>
      <c r="B2475" s="7" t="s">
        <v>26</v>
      </c>
      <c r="C2475" s="7" t="s">
        <v>27</v>
      </c>
      <c r="D2475" s="7" t="s">
        <v>28</v>
      </c>
      <c r="E2475" s="7" t="s">
        <v>29</v>
      </c>
      <c r="F2475" s="7" t="s">
        <v>127</v>
      </c>
      <c r="G2475" s="7">
        <v>101.8109</v>
      </c>
      <c r="H2475" s="7"/>
    </row>
    <row r="2476" spans="1:8" x14ac:dyDescent="0.35">
      <c r="A2476" s="7" t="s">
        <v>354</v>
      </c>
      <c r="B2476" s="7" t="s">
        <v>26</v>
      </c>
      <c r="C2476" s="7" t="s">
        <v>27</v>
      </c>
      <c r="D2476" s="7" t="s">
        <v>28</v>
      </c>
      <c r="E2476" s="7" t="s">
        <v>29</v>
      </c>
      <c r="F2476" s="7" t="s">
        <v>128</v>
      </c>
      <c r="G2476" s="7">
        <v>101.94370000000001</v>
      </c>
      <c r="H2476" s="7"/>
    </row>
    <row r="2477" spans="1:8" x14ac:dyDescent="0.35">
      <c r="A2477" s="7" t="s">
        <v>354</v>
      </c>
      <c r="B2477" s="7" t="s">
        <v>26</v>
      </c>
      <c r="C2477" s="7" t="s">
        <v>27</v>
      </c>
      <c r="D2477" s="7" t="s">
        <v>28</v>
      </c>
      <c r="E2477" s="7" t="s">
        <v>29</v>
      </c>
      <c r="F2477" s="7" t="s">
        <v>129</v>
      </c>
      <c r="G2477" s="7">
        <v>101.9748</v>
      </c>
      <c r="H2477" s="7"/>
    </row>
    <row r="2478" spans="1:8" x14ac:dyDescent="0.35">
      <c r="A2478" s="7" t="s">
        <v>354</v>
      </c>
      <c r="B2478" s="7" t="s">
        <v>26</v>
      </c>
      <c r="C2478" s="7" t="s">
        <v>27</v>
      </c>
      <c r="D2478" s="7" t="s">
        <v>28</v>
      </c>
      <c r="E2478" s="7" t="s">
        <v>29</v>
      </c>
      <c r="F2478" s="7" t="s">
        <v>130</v>
      </c>
      <c r="G2478" s="7">
        <v>101.9525</v>
      </c>
      <c r="H2478" s="7"/>
    </row>
    <row r="2479" spans="1:8" x14ac:dyDescent="0.35">
      <c r="A2479" s="7" t="s">
        <v>354</v>
      </c>
      <c r="B2479" s="7" t="s">
        <v>26</v>
      </c>
      <c r="C2479" s="7" t="s">
        <v>27</v>
      </c>
      <c r="D2479" s="7" t="s">
        <v>28</v>
      </c>
      <c r="E2479" s="7" t="s">
        <v>29</v>
      </c>
      <c r="F2479" s="7" t="s">
        <v>131</v>
      </c>
      <c r="G2479" s="7">
        <v>101.96259999999999</v>
      </c>
      <c r="H2479" s="7"/>
    </row>
    <row r="2480" spans="1:8" x14ac:dyDescent="0.35">
      <c r="A2480" s="7" t="s">
        <v>354</v>
      </c>
      <c r="B2480" s="7" t="s">
        <v>26</v>
      </c>
      <c r="C2480" s="7" t="s">
        <v>27</v>
      </c>
      <c r="D2480" s="7" t="s">
        <v>28</v>
      </c>
      <c r="E2480" s="7" t="s">
        <v>29</v>
      </c>
      <c r="F2480" s="7" t="s">
        <v>132</v>
      </c>
      <c r="G2480" s="7">
        <v>101.97790000000001</v>
      </c>
      <c r="H2480" s="7"/>
    </row>
    <row r="2481" spans="1:8" x14ac:dyDescent="0.35">
      <c r="A2481" s="7" t="s">
        <v>354</v>
      </c>
      <c r="B2481" s="7" t="s">
        <v>26</v>
      </c>
      <c r="C2481" s="7" t="s">
        <v>27</v>
      </c>
      <c r="D2481" s="7" t="s">
        <v>28</v>
      </c>
      <c r="E2481" s="7" t="s">
        <v>29</v>
      </c>
      <c r="F2481" s="7" t="s">
        <v>133</v>
      </c>
      <c r="G2481" s="7">
        <v>101.9641</v>
      </c>
      <c r="H2481" s="7"/>
    </row>
    <row r="2482" spans="1:8" x14ac:dyDescent="0.35">
      <c r="A2482" s="7" t="s">
        <v>354</v>
      </c>
      <c r="B2482" s="7" t="s">
        <v>26</v>
      </c>
      <c r="C2482" s="7" t="s">
        <v>27</v>
      </c>
      <c r="D2482" s="7" t="s">
        <v>28</v>
      </c>
      <c r="E2482" s="7" t="s">
        <v>29</v>
      </c>
      <c r="F2482" s="7" t="s">
        <v>134</v>
      </c>
      <c r="G2482" s="7">
        <v>101.96550000000001</v>
      </c>
      <c r="H2482" s="7"/>
    </row>
    <row r="2483" spans="1:8" x14ac:dyDescent="0.35">
      <c r="A2483" s="7" t="s">
        <v>354</v>
      </c>
      <c r="B2483" s="7" t="s">
        <v>26</v>
      </c>
      <c r="C2483" s="7" t="s">
        <v>27</v>
      </c>
      <c r="D2483" s="7" t="s">
        <v>28</v>
      </c>
      <c r="E2483" s="7" t="s">
        <v>29</v>
      </c>
      <c r="F2483" s="7" t="s">
        <v>135</v>
      </c>
      <c r="G2483" s="7">
        <v>101.9213</v>
      </c>
      <c r="H2483" s="7"/>
    </row>
    <row r="2484" spans="1:8" x14ac:dyDescent="0.35">
      <c r="A2484" s="7" t="s">
        <v>354</v>
      </c>
      <c r="B2484" s="7" t="s">
        <v>26</v>
      </c>
      <c r="C2484" s="7" t="s">
        <v>27</v>
      </c>
      <c r="D2484" s="7" t="s">
        <v>28</v>
      </c>
      <c r="E2484" s="7" t="s">
        <v>29</v>
      </c>
      <c r="F2484" s="7" t="s">
        <v>136</v>
      </c>
      <c r="G2484" s="7">
        <v>101.80889999999999</v>
      </c>
      <c r="H2484" s="7"/>
    </row>
    <row r="2485" spans="1:8" x14ac:dyDescent="0.35">
      <c r="A2485" s="7" t="s">
        <v>354</v>
      </c>
      <c r="B2485" s="7" t="s">
        <v>26</v>
      </c>
      <c r="C2485" s="7" t="s">
        <v>27</v>
      </c>
      <c r="D2485" s="7" t="s">
        <v>28</v>
      </c>
      <c r="E2485" s="7" t="s">
        <v>29</v>
      </c>
      <c r="F2485" s="7" t="s">
        <v>137</v>
      </c>
      <c r="G2485" s="7">
        <v>101.7064</v>
      </c>
      <c r="H2485" s="7"/>
    </row>
    <row r="2486" spans="1:8" x14ac:dyDescent="0.35">
      <c r="A2486" s="7" t="s">
        <v>354</v>
      </c>
      <c r="B2486" s="7" t="s">
        <v>26</v>
      </c>
      <c r="C2486" s="7" t="s">
        <v>27</v>
      </c>
      <c r="D2486" s="7" t="s">
        <v>28</v>
      </c>
      <c r="E2486" s="7" t="s">
        <v>29</v>
      </c>
      <c r="F2486" s="7" t="s">
        <v>138</v>
      </c>
      <c r="G2486" s="7">
        <v>101.5585</v>
      </c>
      <c r="H2486" s="7"/>
    </row>
    <row r="2487" spans="1:8" x14ac:dyDescent="0.35">
      <c r="A2487" s="7" t="s">
        <v>354</v>
      </c>
      <c r="B2487" s="7" t="s">
        <v>26</v>
      </c>
      <c r="C2487" s="7" t="s">
        <v>27</v>
      </c>
      <c r="D2487" s="7" t="s">
        <v>28</v>
      </c>
      <c r="E2487" s="7" t="s">
        <v>29</v>
      </c>
      <c r="F2487" s="7" t="s">
        <v>139</v>
      </c>
      <c r="G2487" s="7">
        <v>101.32550000000001</v>
      </c>
      <c r="H2487" s="7"/>
    </row>
    <row r="2488" spans="1:8" x14ac:dyDescent="0.35">
      <c r="A2488" s="7" t="s">
        <v>354</v>
      </c>
      <c r="B2488" s="7" t="s">
        <v>26</v>
      </c>
      <c r="C2488" s="7" t="s">
        <v>27</v>
      </c>
      <c r="D2488" s="7" t="s">
        <v>28</v>
      </c>
      <c r="E2488" s="7" t="s">
        <v>29</v>
      </c>
      <c r="F2488" s="7" t="s">
        <v>140</v>
      </c>
      <c r="G2488" s="7">
        <v>101.1075</v>
      </c>
      <c r="H2488" s="7"/>
    </row>
    <row r="2489" spans="1:8" x14ac:dyDescent="0.35">
      <c r="A2489" s="7" t="s">
        <v>354</v>
      </c>
      <c r="B2489" s="7" t="s">
        <v>26</v>
      </c>
      <c r="C2489" s="7" t="s">
        <v>27</v>
      </c>
      <c r="D2489" s="7" t="s">
        <v>28</v>
      </c>
      <c r="E2489" s="7" t="s">
        <v>29</v>
      </c>
      <c r="F2489" s="7" t="s">
        <v>141</v>
      </c>
      <c r="G2489" s="7">
        <v>100.9448</v>
      </c>
      <c r="H2489" s="7"/>
    </row>
    <row r="2490" spans="1:8" x14ac:dyDescent="0.35">
      <c r="A2490" s="7" t="s">
        <v>354</v>
      </c>
      <c r="B2490" s="7" t="s">
        <v>26</v>
      </c>
      <c r="C2490" s="7" t="s">
        <v>27</v>
      </c>
      <c r="D2490" s="7" t="s">
        <v>28</v>
      </c>
      <c r="E2490" s="7" t="s">
        <v>29</v>
      </c>
      <c r="F2490" s="7" t="s">
        <v>142</v>
      </c>
      <c r="G2490" s="7">
        <v>100.867</v>
      </c>
      <c r="H2490" s="7"/>
    </row>
    <row r="2491" spans="1:8" x14ac:dyDescent="0.35">
      <c r="A2491" s="7" t="s">
        <v>354</v>
      </c>
      <c r="B2491" s="7" t="s">
        <v>26</v>
      </c>
      <c r="C2491" s="7" t="s">
        <v>27</v>
      </c>
      <c r="D2491" s="7" t="s">
        <v>28</v>
      </c>
      <c r="E2491" s="7" t="s">
        <v>29</v>
      </c>
      <c r="F2491" s="7" t="s">
        <v>143</v>
      </c>
      <c r="G2491" s="7">
        <v>100.8231</v>
      </c>
      <c r="H2491" s="7"/>
    </row>
    <row r="2492" spans="1:8" x14ac:dyDescent="0.35">
      <c r="A2492" s="7" t="s">
        <v>354</v>
      </c>
      <c r="B2492" s="7" t="s">
        <v>26</v>
      </c>
      <c r="C2492" s="7" t="s">
        <v>27</v>
      </c>
      <c r="D2492" s="7" t="s">
        <v>28</v>
      </c>
      <c r="E2492" s="7" t="s">
        <v>29</v>
      </c>
      <c r="F2492" s="7" t="s">
        <v>144</v>
      </c>
      <c r="G2492" s="7">
        <v>100.80459999999999</v>
      </c>
      <c r="H2492" s="7"/>
    </row>
    <row r="2493" spans="1:8" x14ac:dyDescent="0.35">
      <c r="A2493" s="7" t="s">
        <v>354</v>
      </c>
      <c r="B2493" s="7" t="s">
        <v>26</v>
      </c>
      <c r="C2493" s="7" t="s">
        <v>27</v>
      </c>
      <c r="D2493" s="7" t="s">
        <v>28</v>
      </c>
      <c r="E2493" s="7" t="s">
        <v>29</v>
      </c>
      <c r="F2493" s="7" t="s">
        <v>145</v>
      </c>
      <c r="G2493" s="7">
        <v>100.7564</v>
      </c>
      <c r="H2493" s="7"/>
    </row>
    <row r="2494" spans="1:8" x14ac:dyDescent="0.35">
      <c r="A2494" s="7" t="s">
        <v>354</v>
      </c>
      <c r="B2494" s="7" t="s">
        <v>26</v>
      </c>
      <c r="C2494" s="7" t="s">
        <v>27</v>
      </c>
      <c r="D2494" s="7" t="s">
        <v>28</v>
      </c>
      <c r="E2494" s="7" t="s">
        <v>29</v>
      </c>
      <c r="F2494" s="7" t="s">
        <v>146</v>
      </c>
      <c r="G2494" s="7">
        <v>100.61409999999999</v>
      </c>
      <c r="H2494" s="7"/>
    </row>
    <row r="2495" spans="1:8" x14ac:dyDescent="0.35">
      <c r="A2495" s="7" t="s">
        <v>354</v>
      </c>
      <c r="B2495" s="7" t="s">
        <v>26</v>
      </c>
      <c r="C2495" s="7" t="s">
        <v>27</v>
      </c>
      <c r="D2495" s="7" t="s">
        <v>28</v>
      </c>
      <c r="E2495" s="7" t="s">
        <v>29</v>
      </c>
      <c r="F2495" s="7" t="s">
        <v>147</v>
      </c>
      <c r="G2495" s="7">
        <v>100.3612</v>
      </c>
      <c r="H2495" s="7"/>
    </row>
    <row r="2496" spans="1:8" x14ac:dyDescent="0.35">
      <c r="A2496" s="7" t="s">
        <v>354</v>
      </c>
      <c r="B2496" s="7" t="s">
        <v>26</v>
      </c>
      <c r="C2496" s="7" t="s">
        <v>27</v>
      </c>
      <c r="D2496" s="7" t="s">
        <v>28</v>
      </c>
      <c r="E2496" s="7" t="s">
        <v>29</v>
      </c>
      <c r="F2496" s="7" t="s">
        <v>148</v>
      </c>
      <c r="G2496" s="7">
        <v>100.0594</v>
      </c>
      <c r="H2496" s="7"/>
    </row>
    <row r="2497" spans="1:8" x14ac:dyDescent="0.35">
      <c r="A2497" s="7" t="s">
        <v>354</v>
      </c>
      <c r="B2497" s="7" t="s">
        <v>26</v>
      </c>
      <c r="C2497" s="7" t="s">
        <v>27</v>
      </c>
      <c r="D2497" s="7" t="s">
        <v>28</v>
      </c>
      <c r="E2497" s="7" t="s">
        <v>29</v>
      </c>
      <c r="F2497" s="7" t="s">
        <v>149</v>
      </c>
      <c r="G2497" s="7">
        <v>99.886189999999999</v>
      </c>
      <c r="H2497" s="7"/>
    </row>
    <row r="2498" spans="1:8" x14ac:dyDescent="0.35">
      <c r="A2498" s="7" t="s">
        <v>354</v>
      </c>
      <c r="B2498" s="7" t="s">
        <v>26</v>
      </c>
      <c r="C2498" s="7" t="s">
        <v>27</v>
      </c>
      <c r="D2498" s="7" t="s">
        <v>28</v>
      </c>
      <c r="E2498" s="7" t="s">
        <v>29</v>
      </c>
      <c r="F2498" s="7" t="s">
        <v>150</v>
      </c>
      <c r="G2498" s="7">
        <v>99.911739999999995</v>
      </c>
      <c r="H2498" s="7"/>
    </row>
    <row r="2499" spans="1:8" x14ac:dyDescent="0.35">
      <c r="A2499" s="7" t="s">
        <v>354</v>
      </c>
      <c r="B2499" s="7" t="s">
        <v>26</v>
      </c>
      <c r="C2499" s="7" t="s">
        <v>27</v>
      </c>
      <c r="D2499" s="7" t="s">
        <v>28</v>
      </c>
      <c r="E2499" s="7" t="s">
        <v>29</v>
      </c>
      <c r="F2499" s="7" t="s">
        <v>151</v>
      </c>
      <c r="G2499" s="7">
        <v>100.0981</v>
      </c>
      <c r="H2499" s="7"/>
    </row>
    <row r="2500" spans="1:8" x14ac:dyDescent="0.35">
      <c r="A2500" s="7" t="s">
        <v>354</v>
      </c>
      <c r="B2500" s="7" t="s">
        <v>26</v>
      </c>
      <c r="C2500" s="7" t="s">
        <v>27</v>
      </c>
      <c r="D2500" s="7" t="s">
        <v>28</v>
      </c>
      <c r="E2500" s="7" t="s">
        <v>29</v>
      </c>
      <c r="F2500" s="7" t="s">
        <v>152</v>
      </c>
      <c r="G2500" s="7">
        <v>100.2993</v>
      </c>
      <c r="H2500" s="7"/>
    </row>
    <row r="2501" spans="1:8" x14ac:dyDescent="0.35">
      <c r="A2501" s="7" t="s">
        <v>354</v>
      </c>
      <c r="B2501" s="7" t="s">
        <v>26</v>
      </c>
      <c r="C2501" s="7" t="s">
        <v>27</v>
      </c>
      <c r="D2501" s="7" t="s">
        <v>28</v>
      </c>
      <c r="E2501" s="7" t="s">
        <v>29</v>
      </c>
      <c r="F2501" s="7" t="s">
        <v>153</v>
      </c>
      <c r="G2501" s="7">
        <v>100.46810000000001</v>
      </c>
      <c r="H2501" s="7"/>
    </row>
    <row r="2502" spans="1:8" x14ac:dyDescent="0.35">
      <c r="A2502" s="7" t="s">
        <v>354</v>
      </c>
      <c r="B2502" s="7" t="s">
        <v>26</v>
      </c>
      <c r="C2502" s="7" t="s">
        <v>27</v>
      </c>
      <c r="D2502" s="7" t="s">
        <v>28</v>
      </c>
      <c r="E2502" s="7" t="s">
        <v>29</v>
      </c>
      <c r="F2502" s="7" t="s">
        <v>154</v>
      </c>
      <c r="G2502" s="7">
        <v>100.62430000000001</v>
      </c>
      <c r="H2502" s="7"/>
    </row>
    <row r="2503" spans="1:8" x14ac:dyDescent="0.35">
      <c r="A2503" s="7" t="s">
        <v>354</v>
      </c>
      <c r="B2503" s="7" t="s">
        <v>26</v>
      </c>
      <c r="C2503" s="7" t="s">
        <v>27</v>
      </c>
      <c r="D2503" s="7" t="s">
        <v>28</v>
      </c>
      <c r="E2503" s="7" t="s">
        <v>29</v>
      </c>
      <c r="F2503" s="7" t="s">
        <v>155</v>
      </c>
      <c r="G2503" s="7">
        <v>100.7022</v>
      </c>
      <c r="H2503" s="7"/>
    </row>
    <row r="2504" spans="1:8" x14ac:dyDescent="0.35">
      <c r="A2504" s="7" t="s">
        <v>354</v>
      </c>
      <c r="B2504" s="7" t="s">
        <v>26</v>
      </c>
      <c r="C2504" s="7" t="s">
        <v>27</v>
      </c>
      <c r="D2504" s="7" t="s">
        <v>28</v>
      </c>
      <c r="E2504" s="7" t="s">
        <v>29</v>
      </c>
      <c r="F2504" s="7" t="s">
        <v>156</v>
      </c>
      <c r="G2504" s="7">
        <v>100.72629999999999</v>
      </c>
      <c r="H2504" s="7"/>
    </row>
    <row r="2505" spans="1:8" x14ac:dyDescent="0.35">
      <c r="A2505" s="7" t="s">
        <v>354</v>
      </c>
      <c r="B2505" s="7" t="s">
        <v>26</v>
      </c>
      <c r="C2505" s="7" t="s">
        <v>27</v>
      </c>
      <c r="D2505" s="7" t="s">
        <v>28</v>
      </c>
      <c r="E2505" s="7" t="s">
        <v>29</v>
      </c>
      <c r="F2505" s="7" t="s">
        <v>157</v>
      </c>
      <c r="G2505" s="7">
        <v>100.6297</v>
      </c>
      <c r="H2505" s="7"/>
    </row>
    <row r="2506" spans="1:8" x14ac:dyDescent="0.35">
      <c r="A2506" s="7" t="s">
        <v>354</v>
      </c>
      <c r="B2506" s="7" t="s">
        <v>26</v>
      </c>
      <c r="C2506" s="7" t="s">
        <v>27</v>
      </c>
      <c r="D2506" s="7" t="s">
        <v>28</v>
      </c>
      <c r="E2506" s="7" t="s">
        <v>29</v>
      </c>
      <c r="F2506" s="7" t="s">
        <v>158</v>
      </c>
      <c r="G2506" s="7">
        <v>100.47029999999999</v>
      </c>
      <c r="H2506" s="7"/>
    </row>
    <row r="2507" spans="1:8" x14ac:dyDescent="0.35">
      <c r="A2507" s="7" t="s">
        <v>354</v>
      </c>
      <c r="B2507" s="7" t="s">
        <v>26</v>
      </c>
      <c r="C2507" s="7" t="s">
        <v>27</v>
      </c>
      <c r="D2507" s="7" t="s">
        <v>28</v>
      </c>
      <c r="E2507" s="7" t="s">
        <v>29</v>
      </c>
      <c r="F2507" s="7" t="s">
        <v>159</v>
      </c>
      <c r="G2507" s="7">
        <v>100.3163</v>
      </c>
      <c r="H2507" s="7"/>
    </row>
    <row r="2508" spans="1:8" x14ac:dyDescent="0.35">
      <c r="A2508" s="7" t="s">
        <v>354</v>
      </c>
      <c r="B2508" s="7" t="s">
        <v>26</v>
      </c>
      <c r="C2508" s="7" t="s">
        <v>27</v>
      </c>
      <c r="D2508" s="7" t="s">
        <v>28</v>
      </c>
      <c r="E2508" s="7" t="s">
        <v>29</v>
      </c>
      <c r="F2508" s="7" t="s">
        <v>160</v>
      </c>
      <c r="G2508" s="7">
        <v>100.154</v>
      </c>
      <c r="H2508" s="7"/>
    </row>
    <row r="2509" spans="1:8" x14ac:dyDescent="0.35">
      <c r="A2509" s="7" t="s">
        <v>354</v>
      </c>
      <c r="B2509" s="7" t="s">
        <v>26</v>
      </c>
      <c r="C2509" s="7" t="s">
        <v>27</v>
      </c>
      <c r="D2509" s="7" t="s">
        <v>28</v>
      </c>
      <c r="E2509" s="7" t="s">
        <v>29</v>
      </c>
      <c r="F2509" s="7" t="s">
        <v>161</v>
      </c>
      <c r="G2509" s="7">
        <v>99.964669999999998</v>
      </c>
      <c r="H2509" s="7"/>
    </row>
    <row r="2510" spans="1:8" x14ac:dyDescent="0.35">
      <c r="A2510" s="7" t="s">
        <v>354</v>
      </c>
      <c r="B2510" s="7" t="s">
        <v>26</v>
      </c>
      <c r="C2510" s="7" t="s">
        <v>27</v>
      </c>
      <c r="D2510" s="7" t="s">
        <v>28</v>
      </c>
      <c r="E2510" s="7" t="s">
        <v>29</v>
      </c>
      <c r="F2510" s="7" t="s">
        <v>162</v>
      </c>
      <c r="G2510" s="7">
        <v>99.837519999999998</v>
      </c>
      <c r="H2510" s="7"/>
    </row>
    <row r="2511" spans="1:8" x14ac:dyDescent="0.35">
      <c r="A2511" s="7" t="s">
        <v>354</v>
      </c>
      <c r="B2511" s="7" t="s">
        <v>26</v>
      </c>
      <c r="C2511" s="7" t="s">
        <v>27</v>
      </c>
      <c r="D2511" s="7" t="s">
        <v>28</v>
      </c>
      <c r="E2511" s="7" t="s">
        <v>29</v>
      </c>
      <c r="F2511" s="7" t="s">
        <v>163</v>
      </c>
      <c r="G2511" s="7">
        <v>99.697940000000003</v>
      </c>
      <c r="H2511" s="7"/>
    </row>
    <row r="2512" spans="1:8" x14ac:dyDescent="0.35">
      <c r="A2512" s="7" t="s">
        <v>354</v>
      </c>
      <c r="B2512" s="7" t="s">
        <v>26</v>
      </c>
      <c r="C2512" s="7" t="s">
        <v>27</v>
      </c>
      <c r="D2512" s="7" t="s">
        <v>28</v>
      </c>
      <c r="E2512" s="7" t="s">
        <v>29</v>
      </c>
      <c r="F2512" s="7" t="s">
        <v>164</v>
      </c>
      <c r="G2512" s="7">
        <v>99.51267</v>
      </c>
      <c r="H2512" s="7"/>
    </row>
    <row r="2513" spans="1:8" x14ac:dyDescent="0.35">
      <c r="A2513" s="7" t="s">
        <v>354</v>
      </c>
      <c r="B2513" s="7" t="s">
        <v>26</v>
      </c>
      <c r="C2513" s="7" t="s">
        <v>27</v>
      </c>
      <c r="D2513" s="7" t="s">
        <v>28</v>
      </c>
      <c r="E2513" s="7" t="s">
        <v>29</v>
      </c>
      <c r="F2513" s="7" t="s">
        <v>165</v>
      </c>
      <c r="G2513" s="7">
        <v>99.365660000000005</v>
      </c>
      <c r="H2513" s="7"/>
    </row>
    <row r="2514" spans="1:8" x14ac:dyDescent="0.35">
      <c r="A2514" s="7" t="s">
        <v>354</v>
      </c>
      <c r="B2514" s="7" t="s">
        <v>26</v>
      </c>
      <c r="C2514" s="7" t="s">
        <v>27</v>
      </c>
      <c r="D2514" s="7" t="s">
        <v>28</v>
      </c>
      <c r="E2514" s="7" t="s">
        <v>29</v>
      </c>
      <c r="F2514" s="7" t="s">
        <v>166</v>
      </c>
      <c r="G2514" s="7">
        <v>99.373720000000006</v>
      </c>
      <c r="H2514" s="7"/>
    </row>
    <row r="2515" spans="1:8" x14ac:dyDescent="0.35">
      <c r="A2515" s="7" t="s">
        <v>354</v>
      </c>
      <c r="B2515" s="7" t="s">
        <v>26</v>
      </c>
      <c r="C2515" s="7" t="s">
        <v>27</v>
      </c>
      <c r="D2515" s="7" t="s">
        <v>28</v>
      </c>
      <c r="E2515" s="7" t="s">
        <v>29</v>
      </c>
      <c r="F2515" s="7" t="s">
        <v>167</v>
      </c>
      <c r="G2515" s="7">
        <v>99.605149999999995</v>
      </c>
      <c r="H2515" s="7"/>
    </row>
    <row r="2516" spans="1:8" x14ac:dyDescent="0.35">
      <c r="A2516" s="7" t="s">
        <v>354</v>
      </c>
      <c r="B2516" s="7" t="s">
        <v>26</v>
      </c>
      <c r="C2516" s="7" t="s">
        <v>27</v>
      </c>
      <c r="D2516" s="7" t="s">
        <v>28</v>
      </c>
      <c r="E2516" s="7" t="s">
        <v>29</v>
      </c>
      <c r="F2516" s="7" t="s">
        <v>168</v>
      </c>
      <c r="G2516" s="7">
        <v>99.862669999999994</v>
      </c>
      <c r="H2516" s="7"/>
    </row>
    <row r="2517" spans="1:8" x14ac:dyDescent="0.35">
      <c r="A2517" s="7" t="s">
        <v>354</v>
      </c>
      <c r="B2517" s="7" t="s">
        <v>26</v>
      </c>
      <c r="C2517" s="7" t="s">
        <v>27</v>
      </c>
      <c r="D2517" s="7" t="s">
        <v>28</v>
      </c>
      <c r="E2517" s="7" t="s">
        <v>29</v>
      </c>
      <c r="F2517" s="7" t="s">
        <v>169</v>
      </c>
      <c r="G2517" s="7">
        <v>100.01309999999999</v>
      </c>
      <c r="H2517" s="7"/>
    </row>
    <row r="2518" spans="1:8" x14ac:dyDescent="0.35">
      <c r="A2518" s="7" t="s">
        <v>354</v>
      </c>
      <c r="B2518" s="7" t="s">
        <v>26</v>
      </c>
      <c r="C2518" s="7" t="s">
        <v>27</v>
      </c>
      <c r="D2518" s="7" t="s">
        <v>28</v>
      </c>
      <c r="E2518" s="7" t="s">
        <v>29</v>
      </c>
      <c r="F2518" s="7" t="s">
        <v>170</v>
      </c>
      <c r="G2518" s="7">
        <v>100.077</v>
      </c>
      <c r="H2518" s="7"/>
    </row>
    <row r="2519" spans="1:8" x14ac:dyDescent="0.35">
      <c r="A2519" s="7" t="s">
        <v>354</v>
      </c>
      <c r="B2519" s="7" t="s">
        <v>26</v>
      </c>
      <c r="C2519" s="7" t="s">
        <v>27</v>
      </c>
      <c r="D2519" s="7" t="s">
        <v>28</v>
      </c>
      <c r="E2519" s="7" t="s">
        <v>29</v>
      </c>
      <c r="F2519" s="7" t="s">
        <v>171</v>
      </c>
      <c r="G2519" s="7">
        <v>100.0779</v>
      </c>
      <c r="H2519" s="7"/>
    </row>
    <row r="2520" spans="1:8" x14ac:dyDescent="0.35">
      <c r="A2520" s="7" t="s">
        <v>354</v>
      </c>
      <c r="B2520" s="7" t="s">
        <v>26</v>
      </c>
      <c r="C2520" s="7" t="s">
        <v>27</v>
      </c>
      <c r="D2520" s="7" t="s">
        <v>28</v>
      </c>
      <c r="E2520" s="7" t="s">
        <v>29</v>
      </c>
      <c r="F2520" s="7" t="s">
        <v>172</v>
      </c>
      <c r="G2520" s="7">
        <v>100.0797</v>
      </c>
      <c r="H2520" s="7"/>
    </row>
    <row r="2521" spans="1:8" x14ac:dyDescent="0.35">
      <c r="A2521" s="7" t="s">
        <v>354</v>
      </c>
      <c r="B2521" s="7" t="s">
        <v>26</v>
      </c>
      <c r="C2521" s="7" t="s">
        <v>27</v>
      </c>
      <c r="D2521" s="7" t="s">
        <v>28</v>
      </c>
      <c r="E2521" s="7" t="s">
        <v>29</v>
      </c>
      <c r="F2521" s="7" t="s">
        <v>173</v>
      </c>
      <c r="G2521" s="7">
        <v>100.1473</v>
      </c>
      <c r="H2521" s="7"/>
    </row>
    <row r="2522" spans="1:8" x14ac:dyDescent="0.35">
      <c r="A2522" s="7" t="s">
        <v>354</v>
      </c>
      <c r="B2522" s="7" t="s">
        <v>26</v>
      </c>
      <c r="C2522" s="7" t="s">
        <v>27</v>
      </c>
      <c r="D2522" s="7" t="s">
        <v>28</v>
      </c>
      <c r="E2522" s="7" t="s">
        <v>29</v>
      </c>
      <c r="F2522" s="7" t="s">
        <v>174</v>
      </c>
      <c r="G2522" s="7">
        <v>100.2878</v>
      </c>
      <c r="H2522" s="7"/>
    </row>
    <row r="2523" spans="1:8" x14ac:dyDescent="0.35">
      <c r="A2523" s="7" t="s">
        <v>354</v>
      </c>
      <c r="B2523" s="7" t="s">
        <v>26</v>
      </c>
      <c r="C2523" s="7" t="s">
        <v>27</v>
      </c>
      <c r="D2523" s="7" t="s">
        <v>28</v>
      </c>
      <c r="E2523" s="7" t="s">
        <v>29</v>
      </c>
      <c r="F2523" s="7" t="s">
        <v>175</v>
      </c>
      <c r="G2523" s="7">
        <v>100.4461</v>
      </c>
      <c r="H2523" s="7"/>
    </row>
    <row r="2524" spans="1:8" x14ac:dyDescent="0.35">
      <c r="A2524" s="7" t="s">
        <v>354</v>
      </c>
      <c r="B2524" s="7" t="s">
        <v>26</v>
      </c>
      <c r="C2524" s="7" t="s">
        <v>27</v>
      </c>
      <c r="D2524" s="7" t="s">
        <v>28</v>
      </c>
      <c r="E2524" s="7" t="s">
        <v>29</v>
      </c>
      <c r="F2524" s="7" t="s">
        <v>176</v>
      </c>
      <c r="G2524" s="7">
        <v>100.59780000000001</v>
      </c>
      <c r="H2524" s="7"/>
    </row>
    <row r="2525" spans="1:8" x14ac:dyDescent="0.35">
      <c r="A2525" s="7" t="s">
        <v>354</v>
      </c>
      <c r="B2525" s="7" t="s">
        <v>26</v>
      </c>
      <c r="C2525" s="7" t="s">
        <v>27</v>
      </c>
      <c r="D2525" s="7" t="s">
        <v>28</v>
      </c>
      <c r="E2525" s="7" t="s">
        <v>29</v>
      </c>
      <c r="F2525" s="7" t="s">
        <v>177</v>
      </c>
      <c r="G2525" s="7">
        <v>100.5908</v>
      </c>
      <c r="H2525" s="7"/>
    </row>
    <row r="2526" spans="1:8" x14ac:dyDescent="0.35">
      <c r="A2526" s="7" t="s">
        <v>354</v>
      </c>
      <c r="B2526" s="7" t="s">
        <v>26</v>
      </c>
      <c r="C2526" s="7" t="s">
        <v>27</v>
      </c>
      <c r="D2526" s="7" t="s">
        <v>28</v>
      </c>
      <c r="E2526" s="7" t="s">
        <v>29</v>
      </c>
      <c r="F2526" s="7" t="s">
        <v>178</v>
      </c>
      <c r="G2526" s="7">
        <v>100.56959999999999</v>
      </c>
      <c r="H2526" s="7"/>
    </row>
    <row r="2527" spans="1:8" x14ac:dyDescent="0.35">
      <c r="A2527" s="7" t="s">
        <v>354</v>
      </c>
      <c r="B2527" s="7" t="s">
        <v>26</v>
      </c>
      <c r="C2527" s="7" t="s">
        <v>27</v>
      </c>
      <c r="D2527" s="7" t="s">
        <v>28</v>
      </c>
      <c r="E2527" s="7" t="s">
        <v>29</v>
      </c>
      <c r="F2527" s="7" t="s">
        <v>179</v>
      </c>
      <c r="G2527" s="7">
        <v>100.5615</v>
      </c>
      <c r="H2527" s="7"/>
    </row>
    <row r="2528" spans="1:8" x14ac:dyDescent="0.35">
      <c r="A2528" s="7" t="s">
        <v>354</v>
      </c>
      <c r="B2528" s="7" t="s">
        <v>26</v>
      </c>
      <c r="C2528" s="7" t="s">
        <v>27</v>
      </c>
      <c r="D2528" s="7" t="s">
        <v>28</v>
      </c>
      <c r="E2528" s="7" t="s">
        <v>29</v>
      </c>
      <c r="F2528" s="7" t="s">
        <v>180</v>
      </c>
      <c r="G2528" s="7">
        <v>100.5604</v>
      </c>
      <c r="H2528" s="7"/>
    </row>
    <row r="2529" spans="1:8" x14ac:dyDescent="0.35">
      <c r="A2529" s="7" t="s">
        <v>354</v>
      </c>
      <c r="B2529" s="7" t="s">
        <v>26</v>
      </c>
      <c r="C2529" s="7" t="s">
        <v>27</v>
      </c>
      <c r="D2529" s="7" t="s">
        <v>28</v>
      </c>
      <c r="E2529" s="7" t="s">
        <v>29</v>
      </c>
      <c r="F2529" s="7" t="s">
        <v>181</v>
      </c>
      <c r="G2529" s="7">
        <v>100.6148</v>
      </c>
      <c r="H2529" s="7"/>
    </row>
    <row r="2530" spans="1:8" x14ac:dyDescent="0.35">
      <c r="A2530" s="7" t="s">
        <v>354</v>
      </c>
      <c r="B2530" s="7" t="s">
        <v>26</v>
      </c>
      <c r="C2530" s="7" t="s">
        <v>27</v>
      </c>
      <c r="D2530" s="7" t="s">
        <v>28</v>
      </c>
      <c r="E2530" s="7" t="s">
        <v>29</v>
      </c>
      <c r="F2530" s="7" t="s">
        <v>182</v>
      </c>
      <c r="G2530" s="7">
        <v>100.6631</v>
      </c>
      <c r="H2530" s="7"/>
    </row>
    <row r="2531" spans="1:8" x14ac:dyDescent="0.35">
      <c r="A2531" s="7" t="s">
        <v>354</v>
      </c>
      <c r="B2531" s="7" t="s">
        <v>26</v>
      </c>
      <c r="C2531" s="7" t="s">
        <v>27</v>
      </c>
      <c r="D2531" s="7" t="s">
        <v>28</v>
      </c>
      <c r="E2531" s="7" t="s">
        <v>29</v>
      </c>
      <c r="F2531" s="7" t="s">
        <v>183</v>
      </c>
      <c r="G2531" s="7">
        <v>100.64660000000001</v>
      </c>
      <c r="H2531" s="7"/>
    </row>
    <row r="2532" spans="1:8" x14ac:dyDescent="0.35">
      <c r="A2532" s="7" t="s">
        <v>354</v>
      </c>
      <c r="B2532" s="7" t="s">
        <v>26</v>
      </c>
      <c r="C2532" s="7" t="s">
        <v>27</v>
      </c>
      <c r="D2532" s="7" t="s">
        <v>28</v>
      </c>
      <c r="E2532" s="7" t="s">
        <v>29</v>
      </c>
      <c r="F2532" s="7" t="s">
        <v>184</v>
      </c>
      <c r="G2532" s="7">
        <v>100.5939</v>
      </c>
      <c r="H2532" s="7"/>
    </row>
    <row r="2533" spans="1:8" x14ac:dyDescent="0.35">
      <c r="A2533" s="7" t="s">
        <v>354</v>
      </c>
      <c r="B2533" s="7" t="s">
        <v>26</v>
      </c>
      <c r="C2533" s="7" t="s">
        <v>27</v>
      </c>
      <c r="D2533" s="7" t="s">
        <v>28</v>
      </c>
      <c r="E2533" s="7" t="s">
        <v>29</v>
      </c>
      <c r="F2533" s="7" t="s">
        <v>185</v>
      </c>
      <c r="G2533" s="7">
        <v>100.5658</v>
      </c>
      <c r="H2533" s="7"/>
    </row>
    <row r="2534" spans="1:8" x14ac:dyDescent="0.35">
      <c r="A2534" s="7" t="s">
        <v>354</v>
      </c>
      <c r="B2534" s="7" t="s">
        <v>26</v>
      </c>
      <c r="C2534" s="7" t="s">
        <v>27</v>
      </c>
      <c r="D2534" s="7" t="s">
        <v>28</v>
      </c>
      <c r="E2534" s="7" t="s">
        <v>29</v>
      </c>
      <c r="F2534" s="7" t="s">
        <v>186</v>
      </c>
      <c r="G2534" s="7">
        <v>100.6086</v>
      </c>
      <c r="H2534" s="7"/>
    </row>
    <row r="2535" spans="1:8" x14ac:dyDescent="0.35">
      <c r="A2535" s="7" t="s">
        <v>354</v>
      </c>
      <c r="B2535" s="7" t="s">
        <v>26</v>
      </c>
      <c r="C2535" s="7" t="s">
        <v>27</v>
      </c>
      <c r="D2535" s="7" t="s">
        <v>28</v>
      </c>
      <c r="E2535" s="7" t="s">
        <v>29</v>
      </c>
      <c r="F2535" s="7" t="s">
        <v>187</v>
      </c>
      <c r="G2535" s="7">
        <v>100.6923</v>
      </c>
      <c r="H2535" s="7"/>
    </row>
    <row r="2536" spans="1:8" x14ac:dyDescent="0.35">
      <c r="A2536" s="7" t="s">
        <v>354</v>
      </c>
      <c r="B2536" s="7" t="s">
        <v>26</v>
      </c>
      <c r="C2536" s="7" t="s">
        <v>27</v>
      </c>
      <c r="D2536" s="7" t="s">
        <v>28</v>
      </c>
      <c r="E2536" s="7" t="s">
        <v>29</v>
      </c>
      <c r="F2536" s="7" t="s">
        <v>188</v>
      </c>
      <c r="G2536" s="7">
        <v>100.7471</v>
      </c>
      <c r="H2536" s="7"/>
    </row>
    <row r="2537" spans="1:8" x14ac:dyDescent="0.35">
      <c r="A2537" s="7" t="s">
        <v>354</v>
      </c>
      <c r="B2537" s="7" t="s">
        <v>26</v>
      </c>
      <c r="C2537" s="7" t="s">
        <v>27</v>
      </c>
      <c r="D2537" s="7" t="s">
        <v>28</v>
      </c>
      <c r="E2537" s="7" t="s">
        <v>29</v>
      </c>
      <c r="F2537" s="7" t="s">
        <v>189</v>
      </c>
      <c r="G2537" s="7">
        <v>100.7114</v>
      </c>
      <c r="H2537" s="7"/>
    </row>
    <row r="2538" spans="1:8" x14ac:dyDescent="0.35">
      <c r="A2538" s="7" t="s">
        <v>354</v>
      </c>
      <c r="B2538" s="7" t="s">
        <v>26</v>
      </c>
      <c r="C2538" s="7" t="s">
        <v>27</v>
      </c>
      <c r="D2538" s="7" t="s">
        <v>28</v>
      </c>
      <c r="E2538" s="7" t="s">
        <v>29</v>
      </c>
      <c r="F2538" s="7" t="s">
        <v>190</v>
      </c>
      <c r="G2538" s="7">
        <v>100.6</v>
      </c>
      <c r="H2538" s="7"/>
    </row>
    <row r="2539" spans="1:8" x14ac:dyDescent="0.35">
      <c r="A2539" s="7" t="s">
        <v>354</v>
      </c>
      <c r="B2539" s="7" t="s">
        <v>26</v>
      </c>
      <c r="C2539" s="7" t="s">
        <v>27</v>
      </c>
      <c r="D2539" s="7" t="s">
        <v>28</v>
      </c>
      <c r="E2539" s="7" t="s">
        <v>29</v>
      </c>
      <c r="F2539" s="7" t="s">
        <v>191</v>
      </c>
      <c r="G2539" s="7">
        <v>100.50060000000001</v>
      </c>
      <c r="H2539" s="7"/>
    </row>
    <row r="2540" spans="1:8" x14ac:dyDescent="0.35">
      <c r="A2540" s="7" t="s">
        <v>354</v>
      </c>
      <c r="B2540" s="7" t="s">
        <v>26</v>
      </c>
      <c r="C2540" s="7" t="s">
        <v>27</v>
      </c>
      <c r="D2540" s="7" t="s">
        <v>28</v>
      </c>
      <c r="E2540" s="7" t="s">
        <v>29</v>
      </c>
      <c r="F2540" s="7" t="s">
        <v>192</v>
      </c>
      <c r="G2540" s="7">
        <v>100.4823</v>
      </c>
      <c r="H2540" s="7"/>
    </row>
    <row r="2541" spans="1:8" x14ac:dyDescent="0.35">
      <c r="A2541" s="7" t="s">
        <v>354</v>
      </c>
      <c r="B2541" s="7" t="s">
        <v>26</v>
      </c>
      <c r="C2541" s="7" t="s">
        <v>27</v>
      </c>
      <c r="D2541" s="7" t="s">
        <v>28</v>
      </c>
      <c r="E2541" s="7" t="s">
        <v>29</v>
      </c>
      <c r="F2541" s="7" t="s">
        <v>193</v>
      </c>
      <c r="G2541" s="7">
        <v>100.53230000000001</v>
      </c>
      <c r="H2541" s="7"/>
    </row>
    <row r="2542" spans="1:8" x14ac:dyDescent="0.35">
      <c r="A2542" s="7" t="s">
        <v>354</v>
      </c>
      <c r="B2542" s="7" t="s">
        <v>26</v>
      </c>
      <c r="C2542" s="7" t="s">
        <v>27</v>
      </c>
      <c r="D2542" s="7" t="s">
        <v>28</v>
      </c>
      <c r="E2542" s="7" t="s">
        <v>29</v>
      </c>
      <c r="F2542" s="7" t="s">
        <v>194</v>
      </c>
      <c r="G2542" s="7">
        <v>100.4858</v>
      </c>
      <c r="H2542" s="7"/>
    </row>
    <row r="2543" spans="1:8" x14ac:dyDescent="0.35">
      <c r="A2543" s="7" t="s">
        <v>354</v>
      </c>
      <c r="B2543" s="7" t="s">
        <v>26</v>
      </c>
      <c r="C2543" s="7" t="s">
        <v>27</v>
      </c>
      <c r="D2543" s="7" t="s">
        <v>28</v>
      </c>
      <c r="E2543" s="7" t="s">
        <v>29</v>
      </c>
      <c r="F2543" s="7" t="s">
        <v>195</v>
      </c>
      <c r="G2543" s="7">
        <v>100.2698</v>
      </c>
      <c r="H2543" s="7"/>
    </row>
    <row r="2544" spans="1:8" x14ac:dyDescent="0.35">
      <c r="A2544" s="7" t="s">
        <v>354</v>
      </c>
      <c r="B2544" s="7" t="s">
        <v>26</v>
      </c>
      <c r="C2544" s="7" t="s">
        <v>27</v>
      </c>
      <c r="D2544" s="7" t="s">
        <v>28</v>
      </c>
      <c r="E2544" s="7" t="s">
        <v>29</v>
      </c>
      <c r="F2544" s="7" t="s">
        <v>196</v>
      </c>
      <c r="G2544" s="7">
        <v>100.0213</v>
      </c>
      <c r="H2544" s="7"/>
    </row>
    <row r="2545" spans="1:8" x14ac:dyDescent="0.35">
      <c r="A2545" s="7" t="s">
        <v>354</v>
      </c>
      <c r="B2545" s="7" t="s">
        <v>26</v>
      </c>
      <c r="C2545" s="7" t="s">
        <v>27</v>
      </c>
      <c r="D2545" s="7" t="s">
        <v>28</v>
      </c>
      <c r="E2545" s="7" t="s">
        <v>29</v>
      </c>
      <c r="F2545" s="7" t="s">
        <v>197</v>
      </c>
      <c r="G2545" s="7">
        <v>99.997820000000004</v>
      </c>
      <c r="H2545" s="7"/>
    </row>
    <row r="2546" spans="1:8" x14ac:dyDescent="0.35">
      <c r="A2546" s="7" t="s">
        <v>354</v>
      </c>
      <c r="B2546" s="7" t="s">
        <v>26</v>
      </c>
      <c r="C2546" s="7" t="s">
        <v>27</v>
      </c>
      <c r="D2546" s="7" t="s">
        <v>28</v>
      </c>
      <c r="E2546" s="7" t="s">
        <v>29</v>
      </c>
      <c r="F2546" s="7" t="s">
        <v>198</v>
      </c>
      <c r="G2546" s="7">
        <v>100.22020000000001</v>
      </c>
      <c r="H2546" s="7"/>
    </row>
    <row r="2547" spans="1:8" x14ac:dyDescent="0.35">
      <c r="A2547" s="7" t="s">
        <v>354</v>
      </c>
      <c r="B2547" s="7" t="s">
        <v>26</v>
      </c>
      <c r="C2547" s="7" t="s">
        <v>27</v>
      </c>
      <c r="D2547" s="7" t="s">
        <v>28</v>
      </c>
      <c r="E2547" s="7" t="s">
        <v>29</v>
      </c>
      <c r="F2547" s="7" t="s">
        <v>199</v>
      </c>
      <c r="G2547" s="7">
        <v>100.5252</v>
      </c>
      <c r="H2547" s="7"/>
    </row>
    <row r="2548" spans="1:8" x14ac:dyDescent="0.35">
      <c r="A2548" s="7" t="s">
        <v>354</v>
      </c>
      <c r="B2548" s="7" t="s">
        <v>26</v>
      </c>
      <c r="C2548" s="7" t="s">
        <v>27</v>
      </c>
      <c r="D2548" s="7" t="s">
        <v>28</v>
      </c>
      <c r="E2548" s="7" t="s">
        <v>29</v>
      </c>
      <c r="F2548" s="7" t="s">
        <v>200</v>
      </c>
      <c r="G2548" s="7">
        <v>100.708</v>
      </c>
      <c r="H2548" s="7"/>
    </row>
    <row r="2549" spans="1:8" x14ac:dyDescent="0.35">
      <c r="A2549" s="7" t="s">
        <v>354</v>
      </c>
      <c r="B2549" s="7" t="s">
        <v>26</v>
      </c>
      <c r="C2549" s="7" t="s">
        <v>27</v>
      </c>
      <c r="D2549" s="7" t="s">
        <v>28</v>
      </c>
      <c r="E2549" s="7" t="s">
        <v>29</v>
      </c>
      <c r="F2549" s="7" t="s">
        <v>201</v>
      </c>
      <c r="G2549" s="7">
        <v>100.72920000000001</v>
      </c>
      <c r="H2549" s="7"/>
    </row>
    <row r="2550" spans="1:8" x14ac:dyDescent="0.35">
      <c r="A2550" s="7" t="s">
        <v>354</v>
      </c>
      <c r="B2550" s="7" t="s">
        <v>26</v>
      </c>
      <c r="C2550" s="7" t="s">
        <v>27</v>
      </c>
      <c r="D2550" s="7" t="s">
        <v>28</v>
      </c>
      <c r="E2550" s="7" t="s">
        <v>29</v>
      </c>
      <c r="F2550" s="7" t="s">
        <v>202</v>
      </c>
      <c r="G2550" s="7">
        <v>100.68</v>
      </c>
      <c r="H2550" s="7"/>
    </row>
    <row r="2551" spans="1:8" x14ac:dyDescent="0.35">
      <c r="A2551" s="7" t="s">
        <v>354</v>
      </c>
      <c r="B2551" s="7" t="s">
        <v>26</v>
      </c>
      <c r="C2551" s="7" t="s">
        <v>27</v>
      </c>
      <c r="D2551" s="7" t="s">
        <v>28</v>
      </c>
      <c r="E2551" s="7" t="s">
        <v>29</v>
      </c>
      <c r="F2551" s="7" t="s">
        <v>203</v>
      </c>
      <c r="G2551" s="7">
        <v>100.5802</v>
      </c>
      <c r="H2551" s="7"/>
    </row>
    <row r="2552" spans="1:8" x14ac:dyDescent="0.35">
      <c r="A2552" s="7" t="s">
        <v>354</v>
      </c>
      <c r="B2552" s="7" t="s">
        <v>26</v>
      </c>
      <c r="C2552" s="7" t="s">
        <v>27</v>
      </c>
      <c r="D2552" s="7" t="s">
        <v>28</v>
      </c>
      <c r="E2552" s="7" t="s">
        <v>29</v>
      </c>
      <c r="F2552" s="7" t="s">
        <v>204</v>
      </c>
      <c r="G2552" s="7">
        <v>100.4408</v>
      </c>
      <c r="H2552" s="7"/>
    </row>
    <row r="2553" spans="1:8" x14ac:dyDescent="0.35">
      <c r="A2553" s="7" t="s">
        <v>354</v>
      </c>
      <c r="B2553" s="7" t="s">
        <v>26</v>
      </c>
      <c r="C2553" s="7" t="s">
        <v>27</v>
      </c>
      <c r="D2553" s="7" t="s">
        <v>28</v>
      </c>
      <c r="E2553" s="7" t="s">
        <v>29</v>
      </c>
      <c r="F2553" s="7" t="s">
        <v>205</v>
      </c>
      <c r="G2553" s="7">
        <v>100.3736</v>
      </c>
      <c r="H2553" s="7"/>
    </row>
    <row r="2554" spans="1:8" x14ac:dyDescent="0.35">
      <c r="A2554" s="7" t="s">
        <v>354</v>
      </c>
      <c r="B2554" s="7" t="s">
        <v>26</v>
      </c>
      <c r="C2554" s="7" t="s">
        <v>27</v>
      </c>
      <c r="D2554" s="7" t="s">
        <v>28</v>
      </c>
      <c r="E2554" s="7" t="s">
        <v>29</v>
      </c>
      <c r="F2554" s="7" t="s">
        <v>206</v>
      </c>
      <c r="G2554" s="7">
        <v>100.3545</v>
      </c>
      <c r="H2554" s="7"/>
    </row>
    <row r="2555" spans="1:8" x14ac:dyDescent="0.35">
      <c r="A2555" s="7" t="s">
        <v>354</v>
      </c>
      <c r="B2555" s="7" t="s">
        <v>26</v>
      </c>
      <c r="C2555" s="7" t="s">
        <v>27</v>
      </c>
      <c r="D2555" s="7" t="s">
        <v>28</v>
      </c>
      <c r="E2555" s="7" t="s">
        <v>29</v>
      </c>
      <c r="F2555" s="7" t="s">
        <v>207</v>
      </c>
      <c r="G2555" s="7">
        <v>100.3703</v>
      </c>
      <c r="H2555" s="7"/>
    </row>
    <row r="2556" spans="1:8" x14ac:dyDescent="0.35">
      <c r="A2556" s="7" t="s">
        <v>354</v>
      </c>
      <c r="B2556" s="7" t="s">
        <v>26</v>
      </c>
      <c r="C2556" s="7" t="s">
        <v>27</v>
      </c>
      <c r="D2556" s="7" t="s">
        <v>28</v>
      </c>
      <c r="E2556" s="7" t="s">
        <v>29</v>
      </c>
      <c r="F2556" s="7" t="s">
        <v>208</v>
      </c>
      <c r="G2556" s="7">
        <v>100.491</v>
      </c>
      <c r="H2556" s="7"/>
    </row>
    <row r="2557" spans="1:8" x14ac:dyDescent="0.35">
      <c r="A2557" s="7" t="s">
        <v>354</v>
      </c>
      <c r="B2557" s="7" t="s">
        <v>26</v>
      </c>
      <c r="C2557" s="7" t="s">
        <v>27</v>
      </c>
      <c r="D2557" s="7" t="s">
        <v>28</v>
      </c>
      <c r="E2557" s="7" t="s">
        <v>29</v>
      </c>
      <c r="F2557" s="7" t="s">
        <v>209</v>
      </c>
      <c r="G2557" s="7">
        <v>100.67529999999999</v>
      </c>
      <c r="H2557" s="7"/>
    </row>
    <row r="2558" spans="1:8" x14ac:dyDescent="0.35">
      <c r="A2558" s="7" t="s">
        <v>354</v>
      </c>
      <c r="B2558" s="7" t="s">
        <v>26</v>
      </c>
      <c r="C2558" s="7" t="s">
        <v>27</v>
      </c>
      <c r="D2558" s="7" t="s">
        <v>28</v>
      </c>
      <c r="E2558" s="7" t="s">
        <v>29</v>
      </c>
      <c r="F2558" s="7" t="s">
        <v>210</v>
      </c>
      <c r="G2558" s="7">
        <v>100.79040000000001</v>
      </c>
      <c r="H2558" s="7"/>
    </row>
    <row r="2559" spans="1:8" x14ac:dyDescent="0.35">
      <c r="A2559" s="7" t="s">
        <v>354</v>
      </c>
      <c r="B2559" s="7" t="s">
        <v>26</v>
      </c>
      <c r="C2559" s="7" t="s">
        <v>27</v>
      </c>
      <c r="D2559" s="7" t="s">
        <v>28</v>
      </c>
      <c r="E2559" s="7" t="s">
        <v>29</v>
      </c>
      <c r="F2559" s="7" t="s">
        <v>211</v>
      </c>
      <c r="G2559" s="7">
        <v>100.8623</v>
      </c>
      <c r="H2559" s="7"/>
    </row>
    <row r="2560" spans="1:8" x14ac:dyDescent="0.35">
      <c r="A2560" s="7" t="s">
        <v>354</v>
      </c>
      <c r="B2560" s="7" t="s">
        <v>26</v>
      </c>
      <c r="C2560" s="7" t="s">
        <v>27</v>
      </c>
      <c r="D2560" s="7" t="s">
        <v>28</v>
      </c>
      <c r="E2560" s="7" t="s">
        <v>29</v>
      </c>
      <c r="F2560" s="7" t="s">
        <v>212</v>
      </c>
      <c r="G2560" s="7">
        <v>100.90560000000001</v>
      </c>
      <c r="H2560" s="7"/>
    </row>
    <row r="2561" spans="1:8" x14ac:dyDescent="0.35">
      <c r="A2561" s="7" t="s">
        <v>354</v>
      </c>
      <c r="B2561" s="7" t="s">
        <v>26</v>
      </c>
      <c r="C2561" s="7" t="s">
        <v>27</v>
      </c>
      <c r="D2561" s="7" t="s">
        <v>28</v>
      </c>
      <c r="E2561" s="7" t="s">
        <v>29</v>
      </c>
      <c r="F2561" s="7" t="s">
        <v>213</v>
      </c>
      <c r="G2561" s="7">
        <v>100.8618</v>
      </c>
      <c r="H2561" s="7"/>
    </row>
    <row r="2562" spans="1:8" x14ac:dyDescent="0.35">
      <c r="A2562" s="7" t="s">
        <v>354</v>
      </c>
      <c r="B2562" s="7" t="s">
        <v>26</v>
      </c>
      <c r="C2562" s="7" t="s">
        <v>27</v>
      </c>
      <c r="D2562" s="7" t="s">
        <v>28</v>
      </c>
      <c r="E2562" s="7" t="s">
        <v>29</v>
      </c>
      <c r="F2562" s="7" t="s">
        <v>214</v>
      </c>
      <c r="G2562" s="7">
        <v>100.7979</v>
      </c>
      <c r="H2562" s="7"/>
    </row>
    <row r="2563" spans="1:8" x14ac:dyDescent="0.35">
      <c r="A2563" s="7" t="s">
        <v>354</v>
      </c>
      <c r="B2563" s="7" t="s">
        <v>26</v>
      </c>
      <c r="C2563" s="7" t="s">
        <v>27</v>
      </c>
      <c r="D2563" s="7" t="s">
        <v>28</v>
      </c>
      <c r="E2563" s="7" t="s">
        <v>29</v>
      </c>
      <c r="F2563" s="7" t="s">
        <v>215</v>
      </c>
      <c r="G2563" s="7">
        <v>100.7848</v>
      </c>
      <c r="H2563" s="7"/>
    </row>
    <row r="2564" spans="1:8" x14ac:dyDescent="0.35">
      <c r="A2564" s="7" t="s">
        <v>354</v>
      </c>
      <c r="B2564" s="7" t="s">
        <v>26</v>
      </c>
      <c r="C2564" s="7" t="s">
        <v>27</v>
      </c>
      <c r="D2564" s="7" t="s">
        <v>28</v>
      </c>
      <c r="E2564" s="7" t="s">
        <v>29</v>
      </c>
      <c r="F2564" s="7" t="s">
        <v>216</v>
      </c>
      <c r="G2564" s="7">
        <v>100.8117</v>
      </c>
      <c r="H2564" s="7"/>
    </row>
    <row r="2565" spans="1:8" x14ac:dyDescent="0.35">
      <c r="A2565" s="7" t="s">
        <v>354</v>
      </c>
      <c r="B2565" s="7" t="s">
        <v>26</v>
      </c>
      <c r="C2565" s="7" t="s">
        <v>27</v>
      </c>
      <c r="D2565" s="7" t="s">
        <v>28</v>
      </c>
      <c r="E2565" s="7" t="s">
        <v>29</v>
      </c>
      <c r="F2565" s="7" t="s">
        <v>217</v>
      </c>
      <c r="G2565" s="7">
        <v>100.7983</v>
      </c>
      <c r="H2565" s="7"/>
    </row>
    <row r="2566" spans="1:8" x14ac:dyDescent="0.35">
      <c r="A2566" s="7" t="s">
        <v>354</v>
      </c>
      <c r="B2566" s="7" t="s">
        <v>26</v>
      </c>
      <c r="C2566" s="7" t="s">
        <v>27</v>
      </c>
      <c r="D2566" s="7" t="s">
        <v>28</v>
      </c>
      <c r="E2566" s="7" t="s">
        <v>29</v>
      </c>
      <c r="F2566" s="7" t="s">
        <v>218</v>
      </c>
      <c r="G2566" s="7">
        <v>100.7638</v>
      </c>
      <c r="H2566" s="7"/>
    </row>
    <row r="2567" spans="1:8" x14ac:dyDescent="0.35">
      <c r="A2567" s="7" t="s">
        <v>354</v>
      </c>
      <c r="B2567" s="7" t="s">
        <v>26</v>
      </c>
      <c r="C2567" s="7" t="s">
        <v>27</v>
      </c>
      <c r="D2567" s="7" t="s">
        <v>28</v>
      </c>
      <c r="E2567" s="7" t="s">
        <v>29</v>
      </c>
      <c r="F2567" s="7" t="s">
        <v>219</v>
      </c>
      <c r="G2567" s="7">
        <v>100.61669999999999</v>
      </c>
      <c r="H2567" s="7"/>
    </row>
    <row r="2568" spans="1:8" x14ac:dyDescent="0.35">
      <c r="A2568" s="7" t="s">
        <v>354</v>
      </c>
      <c r="B2568" s="7" t="s">
        <v>26</v>
      </c>
      <c r="C2568" s="7" t="s">
        <v>27</v>
      </c>
      <c r="D2568" s="7" t="s">
        <v>28</v>
      </c>
      <c r="E2568" s="7" t="s">
        <v>29</v>
      </c>
      <c r="F2568" s="7" t="s">
        <v>220</v>
      </c>
      <c r="G2568" s="7">
        <v>100.4269</v>
      </c>
      <c r="H2568" s="7"/>
    </row>
    <row r="2569" spans="1:8" x14ac:dyDescent="0.35">
      <c r="A2569" s="7" t="s">
        <v>354</v>
      </c>
      <c r="B2569" s="7" t="s">
        <v>26</v>
      </c>
      <c r="C2569" s="7" t="s">
        <v>27</v>
      </c>
      <c r="D2569" s="7" t="s">
        <v>28</v>
      </c>
      <c r="E2569" s="7" t="s">
        <v>29</v>
      </c>
      <c r="F2569" s="7" t="s">
        <v>221</v>
      </c>
      <c r="G2569" s="7">
        <v>100.20140000000001</v>
      </c>
      <c r="H2569" s="7"/>
    </row>
    <row r="2570" spans="1:8" x14ac:dyDescent="0.35">
      <c r="A2570" s="7" t="s">
        <v>354</v>
      </c>
      <c r="B2570" s="7" t="s">
        <v>26</v>
      </c>
      <c r="C2570" s="7" t="s">
        <v>27</v>
      </c>
      <c r="D2570" s="7" t="s">
        <v>28</v>
      </c>
      <c r="E2570" s="7" t="s">
        <v>29</v>
      </c>
      <c r="F2570" s="7" t="s">
        <v>222</v>
      </c>
      <c r="G2570" s="7">
        <v>99.964340000000007</v>
      </c>
      <c r="H2570" s="7"/>
    </row>
    <row r="2571" spans="1:8" x14ac:dyDescent="0.35">
      <c r="A2571" s="7" t="s">
        <v>354</v>
      </c>
      <c r="B2571" s="7" t="s">
        <v>26</v>
      </c>
      <c r="C2571" s="7" t="s">
        <v>27</v>
      </c>
      <c r="D2571" s="7" t="s">
        <v>28</v>
      </c>
      <c r="E2571" s="7" t="s">
        <v>29</v>
      </c>
      <c r="F2571" s="7" t="s">
        <v>223</v>
      </c>
      <c r="G2571" s="7">
        <v>99.787869999999998</v>
      </c>
      <c r="H2571" s="7"/>
    </row>
    <row r="2572" spans="1:8" x14ac:dyDescent="0.35">
      <c r="A2572" s="7" t="s">
        <v>354</v>
      </c>
      <c r="B2572" s="7" t="s">
        <v>26</v>
      </c>
      <c r="C2572" s="7" t="s">
        <v>27</v>
      </c>
      <c r="D2572" s="7" t="s">
        <v>28</v>
      </c>
      <c r="E2572" s="7" t="s">
        <v>29</v>
      </c>
      <c r="F2572" s="7" t="s">
        <v>224</v>
      </c>
      <c r="G2572" s="7">
        <v>99.589820000000003</v>
      </c>
      <c r="H2572" s="7"/>
    </row>
    <row r="2573" spans="1:8" x14ac:dyDescent="0.35">
      <c r="A2573" s="7" t="s">
        <v>354</v>
      </c>
      <c r="B2573" s="7" t="s">
        <v>26</v>
      </c>
      <c r="C2573" s="7" t="s">
        <v>27</v>
      </c>
      <c r="D2573" s="7" t="s">
        <v>28</v>
      </c>
      <c r="E2573" s="7" t="s">
        <v>29</v>
      </c>
      <c r="F2573" s="7" t="s">
        <v>225</v>
      </c>
      <c r="G2573" s="7">
        <v>99.289720000000003</v>
      </c>
      <c r="H2573" s="7"/>
    </row>
    <row r="2574" spans="1:8" x14ac:dyDescent="0.35">
      <c r="A2574" s="7" t="s">
        <v>354</v>
      </c>
      <c r="B2574" s="7" t="s">
        <v>26</v>
      </c>
      <c r="C2574" s="7" t="s">
        <v>27</v>
      </c>
      <c r="D2574" s="7" t="s">
        <v>28</v>
      </c>
      <c r="E2574" s="7" t="s">
        <v>29</v>
      </c>
      <c r="F2574" s="7" t="s">
        <v>226</v>
      </c>
      <c r="G2574" s="7">
        <v>98.958640000000003</v>
      </c>
      <c r="H2574" s="7"/>
    </row>
    <row r="2575" spans="1:8" x14ac:dyDescent="0.35">
      <c r="A2575" s="7" t="s">
        <v>354</v>
      </c>
      <c r="B2575" s="7" t="s">
        <v>26</v>
      </c>
      <c r="C2575" s="7" t="s">
        <v>27</v>
      </c>
      <c r="D2575" s="7" t="s">
        <v>28</v>
      </c>
      <c r="E2575" s="7" t="s">
        <v>29</v>
      </c>
      <c r="F2575" s="7" t="s">
        <v>227</v>
      </c>
      <c r="G2575" s="7">
        <v>98.586939999999998</v>
      </c>
      <c r="H2575" s="7"/>
    </row>
    <row r="2576" spans="1:8" x14ac:dyDescent="0.35">
      <c r="A2576" s="7" t="s">
        <v>354</v>
      </c>
      <c r="B2576" s="7" t="s">
        <v>26</v>
      </c>
      <c r="C2576" s="7" t="s">
        <v>27</v>
      </c>
      <c r="D2576" s="7" t="s">
        <v>28</v>
      </c>
      <c r="E2576" s="7" t="s">
        <v>29</v>
      </c>
      <c r="F2576" s="7" t="s">
        <v>228</v>
      </c>
      <c r="G2576" s="7">
        <v>98.249690000000001</v>
      </c>
      <c r="H2576" s="7"/>
    </row>
    <row r="2577" spans="1:8" x14ac:dyDescent="0.35">
      <c r="A2577" s="7" t="s">
        <v>354</v>
      </c>
      <c r="B2577" s="7" t="s">
        <v>26</v>
      </c>
      <c r="C2577" s="7" t="s">
        <v>27</v>
      </c>
      <c r="D2577" s="7" t="s">
        <v>28</v>
      </c>
      <c r="E2577" s="7" t="s">
        <v>29</v>
      </c>
      <c r="F2577" s="7" t="s">
        <v>229</v>
      </c>
      <c r="G2577" s="7">
        <v>98.008740000000003</v>
      </c>
      <c r="H2577" s="7"/>
    </row>
    <row r="2578" spans="1:8" x14ac:dyDescent="0.35">
      <c r="A2578" s="7" t="s">
        <v>354</v>
      </c>
      <c r="B2578" s="7" t="s">
        <v>26</v>
      </c>
      <c r="C2578" s="7" t="s">
        <v>27</v>
      </c>
      <c r="D2578" s="7" t="s">
        <v>28</v>
      </c>
      <c r="E2578" s="7" t="s">
        <v>29</v>
      </c>
      <c r="F2578" s="7" t="s">
        <v>230</v>
      </c>
      <c r="G2578" s="7">
        <v>97.937659999999994</v>
      </c>
      <c r="H2578" s="7"/>
    </row>
    <row r="2579" spans="1:8" x14ac:dyDescent="0.35">
      <c r="A2579" s="7" t="s">
        <v>354</v>
      </c>
      <c r="B2579" s="7" t="s">
        <v>26</v>
      </c>
      <c r="C2579" s="7" t="s">
        <v>27</v>
      </c>
      <c r="D2579" s="7" t="s">
        <v>28</v>
      </c>
      <c r="E2579" s="7" t="s">
        <v>29</v>
      </c>
      <c r="F2579" s="7" t="s">
        <v>231</v>
      </c>
      <c r="G2579" s="7">
        <v>97.964839999999995</v>
      </c>
      <c r="H2579" s="7"/>
    </row>
    <row r="2580" spans="1:8" x14ac:dyDescent="0.35">
      <c r="A2580" s="7" t="s">
        <v>354</v>
      </c>
      <c r="B2580" s="7" t="s">
        <v>26</v>
      </c>
      <c r="C2580" s="7" t="s">
        <v>27</v>
      </c>
      <c r="D2580" s="7" t="s">
        <v>28</v>
      </c>
      <c r="E2580" s="7" t="s">
        <v>29</v>
      </c>
      <c r="F2580" s="7" t="s">
        <v>232</v>
      </c>
      <c r="G2580" s="7">
        <v>97.888729999999995</v>
      </c>
      <c r="H2580" s="7"/>
    </row>
    <row r="2581" spans="1:8" x14ac:dyDescent="0.35">
      <c r="A2581" s="7" t="s">
        <v>354</v>
      </c>
      <c r="B2581" s="7" t="s">
        <v>26</v>
      </c>
      <c r="C2581" s="7" t="s">
        <v>27</v>
      </c>
      <c r="D2581" s="7" t="s">
        <v>28</v>
      </c>
      <c r="E2581" s="7" t="s">
        <v>29</v>
      </c>
      <c r="F2581" s="7" t="s">
        <v>233</v>
      </c>
      <c r="G2581" s="7">
        <v>97.532070000000004</v>
      </c>
      <c r="H2581" s="7"/>
    </row>
    <row r="2582" spans="1:8" x14ac:dyDescent="0.35">
      <c r="A2582" s="7" t="s">
        <v>354</v>
      </c>
      <c r="B2582" s="7" t="s">
        <v>26</v>
      </c>
      <c r="C2582" s="7" t="s">
        <v>27</v>
      </c>
      <c r="D2582" s="7" t="s">
        <v>28</v>
      </c>
      <c r="E2582" s="7" t="s">
        <v>29</v>
      </c>
      <c r="F2582" s="7" t="s">
        <v>234</v>
      </c>
      <c r="G2582" s="7">
        <v>97.198170000000005</v>
      </c>
      <c r="H2582" s="7"/>
    </row>
    <row r="2583" spans="1:8" x14ac:dyDescent="0.35">
      <c r="A2583" s="7" t="s">
        <v>354</v>
      </c>
      <c r="B2583" s="7" t="s">
        <v>26</v>
      </c>
      <c r="C2583" s="7" t="s">
        <v>27</v>
      </c>
      <c r="D2583" s="7" t="s">
        <v>28</v>
      </c>
      <c r="E2583" s="7" t="s">
        <v>29</v>
      </c>
      <c r="F2583" s="7" t="s">
        <v>235</v>
      </c>
      <c r="G2583" s="7">
        <v>96.994659999999996</v>
      </c>
      <c r="H2583" s="7"/>
    </row>
    <row r="2584" spans="1:8" x14ac:dyDescent="0.35">
      <c r="A2584" s="7" t="s">
        <v>354</v>
      </c>
      <c r="B2584" s="7" t="s">
        <v>26</v>
      </c>
      <c r="C2584" s="7" t="s">
        <v>27</v>
      </c>
      <c r="D2584" s="7" t="s">
        <v>28</v>
      </c>
      <c r="E2584" s="7" t="s">
        <v>29</v>
      </c>
      <c r="F2584" s="7" t="s">
        <v>236</v>
      </c>
      <c r="G2584" s="7">
        <v>96.884609999999995</v>
      </c>
      <c r="H2584" s="7"/>
    </row>
    <row r="2585" spans="1:8" x14ac:dyDescent="0.35">
      <c r="A2585" s="7" t="s">
        <v>354</v>
      </c>
      <c r="B2585" s="7" t="s">
        <v>26</v>
      </c>
      <c r="C2585" s="7" t="s">
        <v>27</v>
      </c>
      <c r="D2585" s="7" t="s">
        <v>28</v>
      </c>
      <c r="E2585" s="7" t="s">
        <v>29</v>
      </c>
      <c r="F2585" s="7" t="s">
        <v>237</v>
      </c>
      <c r="G2585" s="7">
        <v>96.862049999999996</v>
      </c>
      <c r="H2585" s="7"/>
    </row>
    <row r="2586" spans="1:8" x14ac:dyDescent="0.35">
      <c r="A2586" s="7" t="s">
        <v>354</v>
      </c>
      <c r="B2586" s="7" t="s">
        <v>26</v>
      </c>
      <c r="C2586" s="7" t="s">
        <v>27</v>
      </c>
      <c r="D2586" s="7" t="s">
        <v>28</v>
      </c>
      <c r="E2586" s="7" t="s">
        <v>29</v>
      </c>
      <c r="F2586" s="7" t="s">
        <v>238</v>
      </c>
      <c r="G2586" s="7">
        <v>97.061809999999994</v>
      </c>
      <c r="H2586" s="7"/>
    </row>
    <row r="2587" spans="1:8" x14ac:dyDescent="0.35">
      <c r="A2587" s="7" t="s">
        <v>354</v>
      </c>
      <c r="B2587" s="7" t="s">
        <v>26</v>
      </c>
      <c r="C2587" s="7" t="s">
        <v>27</v>
      </c>
      <c r="D2587" s="7" t="s">
        <v>28</v>
      </c>
      <c r="E2587" s="7" t="s">
        <v>29</v>
      </c>
      <c r="F2587" s="7" t="s">
        <v>239</v>
      </c>
      <c r="G2587" s="7">
        <v>97.493229999999997</v>
      </c>
      <c r="H2587" s="7"/>
    </row>
    <row r="2588" spans="1:8" x14ac:dyDescent="0.35">
      <c r="A2588" s="7" t="s">
        <v>354</v>
      </c>
      <c r="B2588" s="7" t="s">
        <v>26</v>
      </c>
      <c r="C2588" s="7" t="s">
        <v>27</v>
      </c>
      <c r="D2588" s="7" t="s">
        <v>28</v>
      </c>
      <c r="E2588" s="7" t="s">
        <v>29</v>
      </c>
      <c r="F2588" s="7" t="s">
        <v>240</v>
      </c>
      <c r="G2588" s="7">
        <v>97.925169999999994</v>
      </c>
      <c r="H2588" s="7"/>
    </row>
    <row r="2589" spans="1:8" x14ac:dyDescent="0.35">
      <c r="A2589" s="7" t="s">
        <v>354</v>
      </c>
      <c r="B2589" s="7" t="s">
        <v>26</v>
      </c>
      <c r="C2589" s="7" t="s">
        <v>27</v>
      </c>
      <c r="D2589" s="7" t="s">
        <v>28</v>
      </c>
      <c r="E2589" s="7" t="s">
        <v>29</v>
      </c>
      <c r="F2589" s="7" t="s">
        <v>241</v>
      </c>
      <c r="G2589" s="7">
        <v>98.253680000000003</v>
      </c>
      <c r="H2589" s="7"/>
    </row>
    <row r="2590" spans="1:8" x14ac:dyDescent="0.35">
      <c r="A2590" s="7" t="s">
        <v>354</v>
      </c>
      <c r="B2590" s="7" t="s">
        <v>26</v>
      </c>
      <c r="C2590" s="7" t="s">
        <v>27</v>
      </c>
      <c r="D2590" s="7" t="s">
        <v>28</v>
      </c>
      <c r="E2590" s="7" t="s">
        <v>29</v>
      </c>
      <c r="F2590" s="7" t="s">
        <v>242</v>
      </c>
      <c r="G2590" s="7">
        <v>98.455629999999999</v>
      </c>
      <c r="H2590" s="7"/>
    </row>
    <row r="2591" spans="1:8" x14ac:dyDescent="0.35">
      <c r="A2591" s="7" t="s">
        <v>354</v>
      </c>
      <c r="B2591" s="7" t="s">
        <v>26</v>
      </c>
      <c r="C2591" s="7" t="s">
        <v>27</v>
      </c>
      <c r="D2591" s="7" t="s">
        <v>28</v>
      </c>
      <c r="E2591" s="7" t="s">
        <v>29</v>
      </c>
      <c r="F2591" s="7" t="s">
        <v>243</v>
      </c>
      <c r="G2591" s="7">
        <v>98.63306</v>
      </c>
      <c r="H2591" s="7"/>
    </row>
    <row r="2592" spans="1:8" x14ac:dyDescent="0.35">
      <c r="A2592" s="7" t="s">
        <v>354</v>
      </c>
      <c r="B2592" s="7" t="s">
        <v>26</v>
      </c>
      <c r="C2592" s="7" t="s">
        <v>27</v>
      </c>
      <c r="D2592" s="7" t="s">
        <v>28</v>
      </c>
      <c r="E2592" s="7" t="s">
        <v>29</v>
      </c>
      <c r="F2592" s="7" t="s">
        <v>244</v>
      </c>
      <c r="G2592" s="7">
        <v>98.824780000000004</v>
      </c>
      <c r="H2592" s="7"/>
    </row>
    <row r="2593" spans="1:8" x14ac:dyDescent="0.35">
      <c r="A2593" s="7" t="s">
        <v>354</v>
      </c>
      <c r="B2593" s="7" t="s">
        <v>26</v>
      </c>
      <c r="C2593" s="7" t="s">
        <v>27</v>
      </c>
      <c r="D2593" s="7" t="s">
        <v>28</v>
      </c>
      <c r="E2593" s="7" t="s">
        <v>29</v>
      </c>
      <c r="F2593" s="7" t="s">
        <v>245</v>
      </c>
      <c r="G2593" s="7">
        <v>98.905460000000005</v>
      </c>
      <c r="H2593" s="7"/>
    </row>
    <row r="2594" spans="1:8" x14ac:dyDescent="0.35">
      <c r="A2594" s="7" t="s">
        <v>354</v>
      </c>
      <c r="B2594" s="7" t="s">
        <v>26</v>
      </c>
      <c r="C2594" s="7" t="s">
        <v>27</v>
      </c>
      <c r="D2594" s="7" t="s">
        <v>28</v>
      </c>
      <c r="E2594" s="7" t="s">
        <v>29</v>
      </c>
      <c r="F2594" s="7" t="s">
        <v>246</v>
      </c>
      <c r="G2594" s="7">
        <v>98.937780000000004</v>
      </c>
      <c r="H2594" s="7"/>
    </row>
    <row r="2595" spans="1:8" x14ac:dyDescent="0.35">
      <c r="A2595" s="7" t="s">
        <v>354</v>
      </c>
      <c r="B2595" s="7" t="s">
        <v>26</v>
      </c>
      <c r="C2595" s="7" t="s">
        <v>27</v>
      </c>
      <c r="D2595" s="7" t="s">
        <v>28</v>
      </c>
      <c r="E2595" s="7" t="s">
        <v>29</v>
      </c>
      <c r="F2595" s="7" t="s">
        <v>247</v>
      </c>
      <c r="G2595" s="7">
        <v>99.028059999999996</v>
      </c>
      <c r="H2595" s="7"/>
    </row>
    <row r="2596" spans="1:8" x14ac:dyDescent="0.35">
      <c r="A2596" s="7" t="s">
        <v>354</v>
      </c>
      <c r="B2596" s="7" t="s">
        <v>26</v>
      </c>
      <c r="C2596" s="7" t="s">
        <v>27</v>
      </c>
      <c r="D2596" s="7" t="s">
        <v>28</v>
      </c>
      <c r="E2596" s="7" t="s">
        <v>29</v>
      </c>
      <c r="F2596" s="7" t="s">
        <v>248</v>
      </c>
      <c r="G2596" s="7">
        <v>99.135409999999993</v>
      </c>
      <c r="H2596" s="7"/>
    </row>
    <row r="2597" spans="1:8" x14ac:dyDescent="0.35">
      <c r="A2597" s="7" t="s">
        <v>354</v>
      </c>
      <c r="B2597" s="7" t="s">
        <v>26</v>
      </c>
      <c r="C2597" s="7" t="s">
        <v>27</v>
      </c>
      <c r="D2597" s="7" t="s">
        <v>28</v>
      </c>
      <c r="E2597" s="7" t="s">
        <v>29</v>
      </c>
      <c r="F2597" s="7" t="s">
        <v>249</v>
      </c>
      <c r="G2597" s="7">
        <v>99.204480000000004</v>
      </c>
      <c r="H2597" s="7"/>
    </row>
    <row r="2598" spans="1:8" x14ac:dyDescent="0.35">
      <c r="A2598" s="7" t="s">
        <v>354</v>
      </c>
      <c r="B2598" s="7" t="s">
        <v>26</v>
      </c>
      <c r="C2598" s="7" t="s">
        <v>27</v>
      </c>
      <c r="D2598" s="7" t="s">
        <v>28</v>
      </c>
      <c r="E2598" s="7" t="s">
        <v>29</v>
      </c>
      <c r="F2598" s="7" t="s">
        <v>250</v>
      </c>
      <c r="G2598" s="7">
        <v>99.261279999999999</v>
      </c>
      <c r="H2598" s="7"/>
    </row>
    <row r="2599" spans="1:8" x14ac:dyDescent="0.35">
      <c r="A2599" s="7" t="s">
        <v>354</v>
      </c>
      <c r="B2599" s="7" t="s">
        <v>26</v>
      </c>
      <c r="C2599" s="7" t="s">
        <v>27</v>
      </c>
      <c r="D2599" s="7" t="s">
        <v>28</v>
      </c>
      <c r="E2599" s="7" t="s">
        <v>29</v>
      </c>
      <c r="F2599" s="7" t="s">
        <v>251</v>
      </c>
      <c r="G2599" s="7">
        <v>99.305059999999997</v>
      </c>
      <c r="H2599" s="7"/>
    </row>
    <row r="2600" spans="1:8" x14ac:dyDescent="0.35">
      <c r="A2600" s="7" t="s">
        <v>354</v>
      </c>
      <c r="B2600" s="7" t="s">
        <v>26</v>
      </c>
      <c r="C2600" s="7" t="s">
        <v>27</v>
      </c>
      <c r="D2600" s="7" t="s">
        <v>28</v>
      </c>
      <c r="E2600" s="7" t="s">
        <v>29</v>
      </c>
      <c r="F2600" s="7" t="s">
        <v>252</v>
      </c>
      <c r="G2600" s="7">
        <v>99.323549999999997</v>
      </c>
      <c r="H2600" s="7"/>
    </row>
    <row r="2601" spans="1:8" x14ac:dyDescent="0.35">
      <c r="A2601" s="7" t="s">
        <v>354</v>
      </c>
      <c r="B2601" s="7" t="s">
        <v>26</v>
      </c>
      <c r="C2601" s="7" t="s">
        <v>27</v>
      </c>
      <c r="D2601" s="7" t="s">
        <v>28</v>
      </c>
      <c r="E2601" s="7" t="s">
        <v>29</v>
      </c>
      <c r="F2601" s="7" t="s">
        <v>253</v>
      </c>
      <c r="G2601" s="7">
        <v>99.330830000000006</v>
      </c>
      <c r="H2601" s="7"/>
    </row>
    <row r="2602" spans="1:8" x14ac:dyDescent="0.35">
      <c r="A2602" s="7" t="s">
        <v>354</v>
      </c>
      <c r="B2602" s="7" t="s">
        <v>26</v>
      </c>
      <c r="C2602" s="7" t="s">
        <v>27</v>
      </c>
      <c r="D2602" s="7" t="s">
        <v>28</v>
      </c>
      <c r="E2602" s="7" t="s">
        <v>29</v>
      </c>
      <c r="F2602" s="7" t="s">
        <v>254</v>
      </c>
      <c r="G2602" s="7">
        <v>99.294200000000004</v>
      </c>
      <c r="H2602" s="7"/>
    </row>
    <row r="2603" spans="1:8" x14ac:dyDescent="0.35">
      <c r="A2603" s="7" t="s">
        <v>354</v>
      </c>
      <c r="B2603" s="7" t="s">
        <v>26</v>
      </c>
      <c r="C2603" s="7" t="s">
        <v>27</v>
      </c>
      <c r="D2603" s="7" t="s">
        <v>28</v>
      </c>
      <c r="E2603" s="7" t="s">
        <v>29</v>
      </c>
      <c r="F2603" s="7" t="s">
        <v>255</v>
      </c>
      <c r="G2603" s="7">
        <v>99.291309999999996</v>
      </c>
      <c r="H2603" s="7"/>
    </row>
    <row r="2604" spans="1:8" x14ac:dyDescent="0.35">
      <c r="A2604" s="7" t="s">
        <v>354</v>
      </c>
      <c r="B2604" s="7" t="s">
        <v>26</v>
      </c>
      <c r="C2604" s="7" t="s">
        <v>27</v>
      </c>
      <c r="D2604" s="7" t="s">
        <v>28</v>
      </c>
      <c r="E2604" s="7" t="s">
        <v>29</v>
      </c>
      <c r="F2604" s="7" t="s">
        <v>256</v>
      </c>
      <c r="G2604" s="7">
        <v>99.299850000000006</v>
      </c>
      <c r="H2604" s="7"/>
    </row>
    <row r="2605" spans="1:8" x14ac:dyDescent="0.35">
      <c r="A2605" s="7" t="s">
        <v>354</v>
      </c>
      <c r="B2605" s="7" t="s">
        <v>26</v>
      </c>
      <c r="C2605" s="7" t="s">
        <v>27</v>
      </c>
      <c r="D2605" s="7" t="s">
        <v>28</v>
      </c>
      <c r="E2605" s="7" t="s">
        <v>29</v>
      </c>
      <c r="F2605" s="7" t="s">
        <v>257</v>
      </c>
      <c r="G2605" s="7">
        <v>99.346180000000004</v>
      </c>
      <c r="H2605" s="7"/>
    </row>
    <row r="2606" spans="1:8" x14ac:dyDescent="0.35">
      <c r="A2606" s="7" t="s">
        <v>354</v>
      </c>
      <c r="B2606" s="7" t="s">
        <v>26</v>
      </c>
      <c r="C2606" s="7" t="s">
        <v>27</v>
      </c>
      <c r="D2606" s="7" t="s">
        <v>28</v>
      </c>
      <c r="E2606" s="7" t="s">
        <v>29</v>
      </c>
      <c r="F2606" s="7" t="s">
        <v>258</v>
      </c>
      <c r="G2606" s="7">
        <v>99.447640000000007</v>
      </c>
      <c r="H2606" s="7"/>
    </row>
    <row r="2607" spans="1:8" x14ac:dyDescent="0.35">
      <c r="A2607" s="7" t="s">
        <v>354</v>
      </c>
      <c r="B2607" s="7" t="s">
        <v>26</v>
      </c>
      <c r="C2607" s="7" t="s">
        <v>27</v>
      </c>
      <c r="D2607" s="7" t="s">
        <v>28</v>
      </c>
      <c r="E2607" s="7" t="s">
        <v>29</v>
      </c>
      <c r="F2607" s="7" t="s">
        <v>259</v>
      </c>
      <c r="G2607" s="7">
        <v>99.522959999999998</v>
      </c>
      <c r="H2607" s="7"/>
    </row>
    <row r="2608" spans="1:8" x14ac:dyDescent="0.35">
      <c r="A2608" s="7" t="s">
        <v>354</v>
      </c>
      <c r="B2608" s="7" t="s">
        <v>26</v>
      </c>
      <c r="C2608" s="7" t="s">
        <v>27</v>
      </c>
      <c r="D2608" s="7" t="s">
        <v>28</v>
      </c>
      <c r="E2608" s="7" t="s">
        <v>29</v>
      </c>
      <c r="F2608" s="7" t="s">
        <v>260</v>
      </c>
      <c r="G2608" s="7">
        <v>99.524829999999994</v>
      </c>
      <c r="H2608" s="7"/>
    </row>
    <row r="2609" spans="1:8" x14ac:dyDescent="0.35">
      <c r="A2609" s="7" t="s">
        <v>354</v>
      </c>
      <c r="B2609" s="7" t="s">
        <v>26</v>
      </c>
      <c r="C2609" s="7" t="s">
        <v>27</v>
      </c>
      <c r="D2609" s="7" t="s">
        <v>28</v>
      </c>
      <c r="E2609" s="7" t="s">
        <v>29</v>
      </c>
      <c r="F2609" s="7" t="s">
        <v>261</v>
      </c>
      <c r="G2609" s="7">
        <v>99.441760000000002</v>
      </c>
      <c r="H2609" s="7"/>
    </row>
    <row r="2610" spans="1:8" x14ac:dyDescent="0.35">
      <c r="A2610" s="7" t="s">
        <v>354</v>
      </c>
      <c r="B2610" s="7" t="s">
        <v>26</v>
      </c>
      <c r="C2610" s="7" t="s">
        <v>27</v>
      </c>
      <c r="D2610" s="7" t="s">
        <v>28</v>
      </c>
      <c r="E2610" s="7" t="s">
        <v>29</v>
      </c>
      <c r="F2610" s="7" t="s">
        <v>262</v>
      </c>
      <c r="G2610" s="7">
        <v>99.248609999999999</v>
      </c>
      <c r="H2610" s="7"/>
    </row>
    <row r="2611" spans="1:8" x14ac:dyDescent="0.35">
      <c r="A2611" s="7" t="s">
        <v>354</v>
      </c>
      <c r="B2611" s="7" t="s">
        <v>26</v>
      </c>
      <c r="C2611" s="7" t="s">
        <v>27</v>
      </c>
      <c r="D2611" s="7" t="s">
        <v>28</v>
      </c>
      <c r="E2611" s="7" t="s">
        <v>29</v>
      </c>
      <c r="F2611" s="7" t="s">
        <v>263</v>
      </c>
      <c r="G2611" s="7">
        <v>99.154849999999996</v>
      </c>
      <c r="H2611" s="7"/>
    </row>
    <row r="2612" spans="1:8" x14ac:dyDescent="0.35">
      <c r="A2612" s="7" t="s">
        <v>354</v>
      </c>
      <c r="B2612" s="7" t="s">
        <v>26</v>
      </c>
      <c r="C2612" s="7" t="s">
        <v>27</v>
      </c>
      <c r="D2612" s="7" t="s">
        <v>28</v>
      </c>
      <c r="E2612" s="7" t="s">
        <v>29</v>
      </c>
      <c r="F2612" s="7" t="s">
        <v>264</v>
      </c>
      <c r="G2612" s="7">
        <v>99.165559999999999</v>
      </c>
      <c r="H2612" s="7"/>
    </row>
    <row r="2613" spans="1:8" x14ac:dyDescent="0.35">
      <c r="A2613" s="7" t="s">
        <v>354</v>
      </c>
      <c r="B2613" s="7" t="s">
        <v>26</v>
      </c>
      <c r="C2613" s="7" t="s">
        <v>27</v>
      </c>
      <c r="D2613" s="7" t="s">
        <v>28</v>
      </c>
      <c r="E2613" s="7" t="s">
        <v>29</v>
      </c>
      <c r="F2613" s="7" t="s">
        <v>265</v>
      </c>
      <c r="G2613" s="7">
        <v>99.068240000000003</v>
      </c>
      <c r="H2613" s="7"/>
    </row>
    <row r="2614" spans="1:8" x14ac:dyDescent="0.35">
      <c r="A2614" s="7" t="s">
        <v>354</v>
      </c>
      <c r="B2614" s="7" t="s">
        <v>26</v>
      </c>
      <c r="C2614" s="7" t="s">
        <v>27</v>
      </c>
      <c r="D2614" s="7" t="s">
        <v>28</v>
      </c>
      <c r="E2614" s="7" t="s">
        <v>29</v>
      </c>
      <c r="F2614" s="7" t="s">
        <v>266</v>
      </c>
      <c r="G2614" s="7">
        <v>98.797089999999997</v>
      </c>
      <c r="H2614" s="7"/>
    </row>
    <row r="2615" spans="1:8" x14ac:dyDescent="0.35">
      <c r="A2615" s="7" t="s">
        <v>354</v>
      </c>
      <c r="B2615" s="7" t="s">
        <v>26</v>
      </c>
      <c r="C2615" s="7" t="s">
        <v>27</v>
      </c>
      <c r="D2615" s="7" t="s">
        <v>28</v>
      </c>
      <c r="E2615" s="7" t="s">
        <v>29</v>
      </c>
      <c r="F2615" s="7" t="s">
        <v>267</v>
      </c>
      <c r="G2615" s="7">
        <v>98.480869999999996</v>
      </c>
      <c r="H2615" s="7"/>
    </row>
    <row r="2616" spans="1:8" x14ac:dyDescent="0.35">
      <c r="A2616" s="7" t="s">
        <v>354</v>
      </c>
      <c r="B2616" s="7" t="s">
        <v>26</v>
      </c>
      <c r="C2616" s="7" t="s">
        <v>27</v>
      </c>
      <c r="D2616" s="7" t="s">
        <v>28</v>
      </c>
      <c r="E2616" s="7" t="s">
        <v>29</v>
      </c>
      <c r="F2616" s="7" t="s">
        <v>268</v>
      </c>
      <c r="G2616" s="7">
        <v>98.336200000000005</v>
      </c>
      <c r="H2616" s="7"/>
    </row>
    <row r="2617" spans="1:8" x14ac:dyDescent="0.35">
      <c r="A2617" s="7" t="s">
        <v>354</v>
      </c>
      <c r="B2617" s="7" t="s">
        <v>26</v>
      </c>
      <c r="C2617" s="7" t="s">
        <v>27</v>
      </c>
      <c r="D2617" s="7" t="s">
        <v>28</v>
      </c>
      <c r="E2617" s="7" t="s">
        <v>29</v>
      </c>
      <c r="F2617" s="7" t="s">
        <v>269</v>
      </c>
      <c r="G2617" s="7">
        <v>98.338340000000002</v>
      </c>
      <c r="H2617" s="7"/>
    </row>
    <row r="2618" spans="1:8" x14ac:dyDescent="0.35">
      <c r="A2618" s="7" t="s">
        <v>354</v>
      </c>
      <c r="B2618" s="7" t="s">
        <v>26</v>
      </c>
      <c r="C2618" s="7" t="s">
        <v>27</v>
      </c>
      <c r="D2618" s="7" t="s">
        <v>28</v>
      </c>
      <c r="E2618" s="7" t="s">
        <v>29</v>
      </c>
      <c r="F2618" s="7" t="s">
        <v>270</v>
      </c>
      <c r="G2618" s="7">
        <v>98.465580000000003</v>
      </c>
      <c r="H2618" s="7"/>
    </row>
    <row r="2619" spans="1:8" x14ac:dyDescent="0.35">
      <c r="A2619" s="7" t="s">
        <v>354</v>
      </c>
      <c r="B2619" s="7" t="s">
        <v>26</v>
      </c>
      <c r="C2619" s="7" t="s">
        <v>27</v>
      </c>
      <c r="D2619" s="7" t="s">
        <v>28</v>
      </c>
      <c r="E2619" s="7" t="s">
        <v>29</v>
      </c>
      <c r="F2619" s="7" t="s">
        <v>271</v>
      </c>
      <c r="G2619" s="7">
        <v>98.661240000000006</v>
      </c>
      <c r="H2619" s="7"/>
    </row>
    <row r="2620" spans="1:8" x14ac:dyDescent="0.35">
      <c r="A2620" s="7" t="s">
        <v>354</v>
      </c>
      <c r="B2620" s="7" t="s">
        <v>26</v>
      </c>
      <c r="C2620" s="7" t="s">
        <v>27</v>
      </c>
      <c r="D2620" s="7" t="s">
        <v>28</v>
      </c>
      <c r="E2620" s="7" t="s">
        <v>29</v>
      </c>
      <c r="F2620" s="7" t="s">
        <v>272</v>
      </c>
      <c r="G2620" s="7">
        <v>98.874440000000007</v>
      </c>
      <c r="H2620" s="7"/>
    </row>
    <row r="2621" spans="1:8" x14ac:dyDescent="0.35">
      <c r="A2621" s="7" t="s">
        <v>354</v>
      </c>
      <c r="B2621" s="7" t="s">
        <v>26</v>
      </c>
      <c r="C2621" s="7" t="s">
        <v>27</v>
      </c>
      <c r="D2621" s="7" t="s">
        <v>28</v>
      </c>
      <c r="E2621" s="7" t="s">
        <v>29</v>
      </c>
      <c r="F2621" s="7" t="s">
        <v>273</v>
      </c>
      <c r="G2621" s="7">
        <v>99.022139999999993</v>
      </c>
      <c r="H2621" s="7"/>
    </row>
    <row r="2622" spans="1:8" x14ac:dyDescent="0.35">
      <c r="A2622" s="7" t="s">
        <v>354</v>
      </c>
      <c r="B2622" s="7" t="s">
        <v>26</v>
      </c>
      <c r="C2622" s="7" t="s">
        <v>27</v>
      </c>
      <c r="D2622" s="7" t="s">
        <v>28</v>
      </c>
      <c r="E2622" s="7" t="s">
        <v>29</v>
      </c>
      <c r="F2622" s="7" t="s">
        <v>274</v>
      </c>
      <c r="G2622" s="7">
        <v>99.10136</v>
      </c>
      <c r="H2622" s="7"/>
    </row>
    <row r="2623" spans="1:8" x14ac:dyDescent="0.35">
      <c r="A2623" s="7" t="s">
        <v>354</v>
      </c>
      <c r="B2623" s="7" t="s">
        <v>26</v>
      </c>
      <c r="C2623" s="7" t="s">
        <v>27</v>
      </c>
      <c r="D2623" s="7" t="s">
        <v>28</v>
      </c>
      <c r="E2623" s="7" t="s">
        <v>29</v>
      </c>
      <c r="F2623" s="7" t="s">
        <v>275</v>
      </c>
      <c r="G2623" s="7">
        <v>99.12115</v>
      </c>
      <c r="H2623" s="7"/>
    </row>
    <row r="2624" spans="1:8" x14ac:dyDescent="0.35">
      <c r="A2624" s="7" t="s">
        <v>354</v>
      </c>
      <c r="B2624" s="7" t="s">
        <v>26</v>
      </c>
      <c r="C2624" s="7" t="s">
        <v>27</v>
      </c>
      <c r="D2624" s="7" t="s">
        <v>28</v>
      </c>
      <c r="E2624" s="7" t="s">
        <v>29</v>
      </c>
      <c r="F2624" s="7" t="s">
        <v>276</v>
      </c>
      <c r="G2624" s="7">
        <v>99.096909999999994</v>
      </c>
      <c r="H2624" s="7"/>
    </row>
    <row r="2625" spans="1:8" x14ac:dyDescent="0.35">
      <c r="A2625" s="7" t="s">
        <v>354</v>
      </c>
      <c r="B2625" s="7" t="s">
        <v>26</v>
      </c>
      <c r="C2625" s="7" t="s">
        <v>27</v>
      </c>
      <c r="D2625" s="7" t="s">
        <v>28</v>
      </c>
      <c r="E2625" s="7" t="s">
        <v>29</v>
      </c>
      <c r="F2625" s="7" t="s">
        <v>277</v>
      </c>
      <c r="G2625" s="7">
        <v>98.987200000000001</v>
      </c>
      <c r="H2625" s="7"/>
    </row>
    <row r="2626" spans="1:8" x14ac:dyDescent="0.35">
      <c r="A2626" s="7" t="s">
        <v>354</v>
      </c>
      <c r="B2626" s="7" t="s">
        <v>26</v>
      </c>
      <c r="C2626" s="7" t="s">
        <v>27</v>
      </c>
      <c r="D2626" s="7" t="s">
        <v>28</v>
      </c>
      <c r="E2626" s="7" t="s">
        <v>29</v>
      </c>
      <c r="F2626" s="7" t="s">
        <v>278</v>
      </c>
      <c r="G2626" s="7">
        <v>98.898610000000005</v>
      </c>
      <c r="H2626" s="7"/>
    </row>
    <row r="2627" spans="1:8" x14ac:dyDescent="0.35">
      <c r="A2627" s="7" t="s">
        <v>354</v>
      </c>
      <c r="B2627" s="7" t="s">
        <v>26</v>
      </c>
      <c r="C2627" s="7" t="s">
        <v>27</v>
      </c>
      <c r="D2627" s="7" t="s">
        <v>28</v>
      </c>
      <c r="E2627" s="7" t="s">
        <v>29</v>
      </c>
      <c r="F2627" s="7" t="s">
        <v>279</v>
      </c>
      <c r="G2627" s="7">
        <v>98.857740000000007</v>
      </c>
      <c r="H2627" s="7"/>
    </row>
    <row r="2628" spans="1:8" x14ac:dyDescent="0.35">
      <c r="A2628" s="7" t="s">
        <v>354</v>
      </c>
      <c r="B2628" s="7" t="s">
        <v>26</v>
      </c>
      <c r="C2628" s="7" t="s">
        <v>27</v>
      </c>
      <c r="D2628" s="7" t="s">
        <v>28</v>
      </c>
      <c r="E2628" s="7" t="s">
        <v>29</v>
      </c>
      <c r="F2628" s="7" t="s">
        <v>280</v>
      </c>
      <c r="G2628" s="7">
        <v>98.878069999999994</v>
      </c>
      <c r="H2628" s="7"/>
    </row>
    <row r="2629" spans="1:8" x14ac:dyDescent="0.35">
      <c r="A2629" s="7" t="s">
        <v>354</v>
      </c>
      <c r="B2629" s="7" t="s">
        <v>26</v>
      </c>
      <c r="C2629" s="7" t="s">
        <v>27</v>
      </c>
      <c r="D2629" s="7" t="s">
        <v>28</v>
      </c>
      <c r="E2629" s="7" t="s">
        <v>29</v>
      </c>
      <c r="F2629" s="7" t="s">
        <v>281</v>
      </c>
      <c r="G2629" s="7">
        <v>98.922449999999998</v>
      </c>
      <c r="H2629" s="7"/>
    </row>
    <row r="2630" spans="1:8" x14ac:dyDescent="0.35">
      <c r="A2630" s="7" t="s">
        <v>354</v>
      </c>
      <c r="B2630" s="7" t="s">
        <v>26</v>
      </c>
      <c r="C2630" s="7" t="s">
        <v>27</v>
      </c>
      <c r="D2630" s="7" t="s">
        <v>28</v>
      </c>
      <c r="E2630" s="7" t="s">
        <v>29</v>
      </c>
      <c r="F2630" s="7" t="s">
        <v>282</v>
      </c>
      <c r="G2630" s="7">
        <v>98.922139999999999</v>
      </c>
      <c r="H2630" s="7"/>
    </row>
    <row r="2631" spans="1:8" x14ac:dyDescent="0.35">
      <c r="A2631" s="7" t="s">
        <v>354</v>
      </c>
      <c r="B2631" s="7" t="s">
        <v>26</v>
      </c>
      <c r="C2631" s="7" t="s">
        <v>27</v>
      </c>
      <c r="D2631" s="7" t="s">
        <v>28</v>
      </c>
      <c r="E2631" s="7" t="s">
        <v>29</v>
      </c>
      <c r="F2631" s="7" t="s">
        <v>283</v>
      </c>
      <c r="G2631" s="7">
        <v>98.883579999999995</v>
      </c>
      <c r="H2631" s="7"/>
    </row>
    <row r="2632" spans="1:8" x14ac:dyDescent="0.35">
      <c r="A2632" s="7" t="s">
        <v>354</v>
      </c>
      <c r="B2632" s="7" t="s">
        <v>26</v>
      </c>
      <c r="C2632" s="7" t="s">
        <v>27</v>
      </c>
      <c r="D2632" s="7" t="s">
        <v>28</v>
      </c>
      <c r="E2632" s="7" t="s">
        <v>29</v>
      </c>
      <c r="F2632" s="7" t="s">
        <v>284</v>
      </c>
      <c r="G2632" s="7">
        <v>98.96002</v>
      </c>
      <c r="H2632" s="7"/>
    </row>
    <row r="2633" spans="1:8" x14ac:dyDescent="0.35">
      <c r="A2633" s="7" t="s">
        <v>354</v>
      </c>
      <c r="B2633" s="7" t="s">
        <v>26</v>
      </c>
      <c r="C2633" s="7" t="s">
        <v>27</v>
      </c>
      <c r="D2633" s="7" t="s">
        <v>28</v>
      </c>
      <c r="E2633" s="7" t="s">
        <v>29</v>
      </c>
      <c r="F2633" s="7" t="s">
        <v>285</v>
      </c>
      <c r="G2633" s="7">
        <v>99.087100000000007</v>
      </c>
      <c r="H2633" s="7"/>
    </row>
    <row r="2634" spans="1:8" x14ac:dyDescent="0.35">
      <c r="A2634" s="7" t="s">
        <v>354</v>
      </c>
      <c r="B2634" s="7" t="s">
        <v>26</v>
      </c>
      <c r="C2634" s="7" t="s">
        <v>27</v>
      </c>
      <c r="D2634" s="7" t="s">
        <v>28</v>
      </c>
      <c r="E2634" s="7" t="s">
        <v>29</v>
      </c>
      <c r="F2634" s="7" t="s">
        <v>286</v>
      </c>
      <c r="G2634" s="7">
        <v>99.203810000000004</v>
      </c>
      <c r="H2634" s="7"/>
    </row>
    <row r="2635" spans="1:8" x14ac:dyDescent="0.35">
      <c r="A2635" s="7" t="s">
        <v>354</v>
      </c>
      <c r="B2635" s="7" t="s">
        <v>26</v>
      </c>
      <c r="C2635" s="7" t="s">
        <v>27</v>
      </c>
      <c r="D2635" s="7" t="s">
        <v>28</v>
      </c>
      <c r="E2635" s="7" t="s">
        <v>29</v>
      </c>
      <c r="F2635" s="7" t="s">
        <v>287</v>
      </c>
      <c r="G2635" s="7">
        <v>99.327309999999997</v>
      </c>
      <c r="H2635" s="7"/>
    </row>
    <row r="2636" spans="1:8" x14ac:dyDescent="0.35">
      <c r="A2636" s="7" t="s">
        <v>354</v>
      </c>
      <c r="B2636" s="7" t="s">
        <v>26</v>
      </c>
      <c r="C2636" s="7" t="s">
        <v>27</v>
      </c>
      <c r="D2636" s="7" t="s">
        <v>28</v>
      </c>
      <c r="E2636" s="7" t="s">
        <v>29</v>
      </c>
      <c r="F2636" s="7" t="s">
        <v>288</v>
      </c>
      <c r="G2636" s="7">
        <v>99.513030000000001</v>
      </c>
      <c r="H2636" s="7"/>
    </row>
    <row r="2637" spans="1:8" x14ac:dyDescent="0.35">
      <c r="A2637" s="7" t="s">
        <v>354</v>
      </c>
      <c r="B2637" s="7" t="s">
        <v>26</v>
      </c>
      <c r="C2637" s="7" t="s">
        <v>27</v>
      </c>
      <c r="D2637" s="7" t="s">
        <v>28</v>
      </c>
      <c r="E2637" s="7" t="s">
        <v>29</v>
      </c>
      <c r="F2637" s="7" t="s">
        <v>289</v>
      </c>
      <c r="G2637" s="7">
        <v>99.674499999999995</v>
      </c>
      <c r="H2637" s="7"/>
    </row>
    <row r="2638" spans="1:8" x14ac:dyDescent="0.35">
      <c r="A2638" s="7" t="s">
        <v>354</v>
      </c>
      <c r="B2638" s="7" t="s">
        <v>26</v>
      </c>
      <c r="C2638" s="7" t="s">
        <v>27</v>
      </c>
      <c r="D2638" s="7" t="s">
        <v>28</v>
      </c>
      <c r="E2638" s="7" t="s">
        <v>29</v>
      </c>
      <c r="F2638" s="7" t="s">
        <v>290</v>
      </c>
      <c r="G2638" s="7">
        <v>99.771839999999997</v>
      </c>
      <c r="H2638" s="7"/>
    </row>
    <row r="2639" spans="1:8" x14ac:dyDescent="0.35">
      <c r="A2639" s="7" t="s">
        <v>354</v>
      </c>
      <c r="B2639" s="7" t="s">
        <v>26</v>
      </c>
      <c r="C2639" s="7" t="s">
        <v>27</v>
      </c>
      <c r="D2639" s="7" t="s">
        <v>28</v>
      </c>
      <c r="E2639" s="7" t="s">
        <v>29</v>
      </c>
      <c r="F2639" s="7" t="s">
        <v>291</v>
      </c>
      <c r="G2639" s="7">
        <v>99.747529999999998</v>
      </c>
      <c r="H2639" s="7"/>
    </row>
    <row r="2640" spans="1:8" x14ac:dyDescent="0.35">
      <c r="A2640" s="7" t="s">
        <v>354</v>
      </c>
      <c r="B2640" s="7" t="s">
        <v>26</v>
      </c>
      <c r="C2640" s="7" t="s">
        <v>27</v>
      </c>
      <c r="D2640" s="7" t="s">
        <v>28</v>
      </c>
      <c r="E2640" s="7" t="s">
        <v>29</v>
      </c>
      <c r="F2640" s="7" t="s">
        <v>292</v>
      </c>
      <c r="G2640" s="7">
        <v>99.643619999999999</v>
      </c>
      <c r="H2640" s="7"/>
    </row>
    <row r="2641" spans="1:8" x14ac:dyDescent="0.35">
      <c r="A2641" s="7" t="s">
        <v>354</v>
      </c>
      <c r="B2641" s="7" t="s">
        <v>26</v>
      </c>
      <c r="C2641" s="7" t="s">
        <v>27</v>
      </c>
      <c r="D2641" s="7" t="s">
        <v>28</v>
      </c>
      <c r="E2641" s="7" t="s">
        <v>29</v>
      </c>
      <c r="F2641" s="7" t="s">
        <v>293</v>
      </c>
      <c r="G2641" s="7">
        <v>99.555589999999995</v>
      </c>
      <c r="H2641" s="7"/>
    </row>
    <row r="2642" spans="1:8" x14ac:dyDescent="0.35">
      <c r="A2642" s="7" t="s">
        <v>354</v>
      </c>
      <c r="B2642" s="7" t="s">
        <v>26</v>
      </c>
      <c r="C2642" s="7" t="s">
        <v>27</v>
      </c>
      <c r="D2642" s="7" t="s">
        <v>28</v>
      </c>
      <c r="E2642" s="7" t="s">
        <v>29</v>
      </c>
      <c r="F2642" s="7" t="s">
        <v>294</v>
      </c>
      <c r="G2642" s="7">
        <v>99.586200000000005</v>
      </c>
      <c r="H2642" s="7"/>
    </row>
    <row r="2643" spans="1:8" x14ac:dyDescent="0.35">
      <c r="A2643" s="7" t="s">
        <v>354</v>
      </c>
      <c r="B2643" s="7" t="s">
        <v>26</v>
      </c>
      <c r="C2643" s="7" t="s">
        <v>27</v>
      </c>
      <c r="D2643" s="7" t="s">
        <v>28</v>
      </c>
      <c r="E2643" s="7" t="s">
        <v>29</v>
      </c>
      <c r="F2643" s="7" t="s">
        <v>295</v>
      </c>
      <c r="G2643" s="7">
        <v>99.682559999999995</v>
      </c>
      <c r="H2643" s="7"/>
    </row>
    <row r="2644" spans="1:8" x14ac:dyDescent="0.35">
      <c r="A2644" s="7" t="s">
        <v>354</v>
      </c>
      <c r="B2644" s="7" t="s">
        <v>26</v>
      </c>
      <c r="C2644" s="7" t="s">
        <v>27</v>
      </c>
      <c r="D2644" s="7" t="s">
        <v>28</v>
      </c>
      <c r="E2644" s="7" t="s">
        <v>29</v>
      </c>
      <c r="F2644" s="7" t="s">
        <v>296</v>
      </c>
      <c r="G2644" s="7">
        <v>99.733339999999998</v>
      </c>
      <c r="H2644" s="7"/>
    </row>
    <row r="2645" spans="1:8" x14ac:dyDescent="0.35">
      <c r="A2645" s="7" t="s">
        <v>354</v>
      </c>
      <c r="B2645" s="7" t="s">
        <v>26</v>
      </c>
      <c r="C2645" s="7" t="s">
        <v>27</v>
      </c>
      <c r="D2645" s="7" t="s">
        <v>28</v>
      </c>
      <c r="E2645" s="7" t="s">
        <v>29</v>
      </c>
      <c r="F2645" s="7" t="s">
        <v>297</v>
      </c>
      <c r="G2645" s="7">
        <v>99.764629999999997</v>
      </c>
      <c r="H2645" s="7"/>
    </row>
    <row r="2646" spans="1:8" x14ac:dyDescent="0.35">
      <c r="A2646" s="7" t="s">
        <v>354</v>
      </c>
      <c r="B2646" s="7" t="s">
        <v>26</v>
      </c>
      <c r="C2646" s="7" t="s">
        <v>27</v>
      </c>
      <c r="D2646" s="7" t="s">
        <v>28</v>
      </c>
      <c r="E2646" s="7" t="s">
        <v>29</v>
      </c>
      <c r="F2646" s="7" t="s">
        <v>298</v>
      </c>
      <c r="G2646" s="7">
        <v>99.854770000000002</v>
      </c>
      <c r="H2646" s="7"/>
    </row>
    <row r="2647" spans="1:8" x14ac:dyDescent="0.35">
      <c r="A2647" s="7" t="s">
        <v>354</v>
      </c>
      <c r="B2647" s="7" t="s">
        <v>26</v>
      </c>
      <c r="C2647" s="7" t="s">
        <v>27</v>
      </c>
      <c r="D2647" s="7" t="s">
        <v>28</v>
      </c>
      <c r="E2647" s="7" t="s">
        <v>29</v>
      </c>
      <c r="F2647" s="7" t="s">
        <v>299</v>
      </c>
      <c r="G2647" s="7">
        <v>99.982860000000002</v>
      </c>
      <c r="H2647" s="7"/>
    </row>
    <row r="2648" spans="1:8" x14ac:dyDescent="0.35">
      <c r="A2648" s="7" t="s">
        <v>354</v>
      </c>
      <c r="B2648" s="7" t="s">
        <v>26</v>
      </c>
      <c r="C2648" s="7" t="s">
        <v>27</v>
      </c>
      <c r="D2648" s="7" t="s">
        <v>28</v>
      </c>
      <c r="E2648" s="7" t="s">
        <v>29</v>
      </c>
      <c r="F2648" s="7" t="s">
        <v>300</v>
      </c>
      <c r="G2648" s="7">
        <v>100.0521</v>
      </c>
      <c r="H2648" s="7"/>
    </row>
    <row r="2649" spans="1:8" x14ac:dyDescent="0.35">
      <c r="A2649" s="7" t="s">
        <v>354</v>
      </c>
      <c r="B2649" s="7" t="s">
        <v>26</v>
      </c>
      <c r="C2649" s="7" t="s">
        <v>27</v>
      </c>
      <c r="D2649" s="7" t="s">
        <v>28</v>
      </c>
      <c r="E2649" s="7" t="s">
        <v>29</v>
      </c>
      <c r="F2649" s="7" t="s">
        <v>301</v>
      </c>
      <c r="G2649" s="7">
        <v>100.0655</v>
      </c>
      <c r="H2649" s="7"/>
    </row>
    <row r="2650" spans="1:8" x14ac:dyDescent="0.35">
      <c r="A2650" s="7" t="s">
        <v>354</v>
      </c>
      <c r="B2650" s="7" t="s">
        <v>26</v>
      </c>
      <c r="C2650" s="7" t="s">
        <v>27</v>
      </c>
      <c r="D2650" s="7" t="s">
        <v>28</v>
      </c>
      <c r="E2650" s="7" t="s">
        <v>29</v>
      </c>
      <c r="F2650" s="7" t="s">
        <v>302</v>
      </c>
      <c r="G2650" s="7">
        <v>100.03360000000001</v>
      </c>
      <c r="H2650" s="7"/>
    </row>
    <row r="2651" spans="1:8" x14ac:dyDescent="0.35">
      <c r="A2651" s="7" t="s">
        <v>354</v>
      </c>
      <c r="B2651" s="7" t="s">
        <v>26</v>
      </c>
      <c r="C2651" s="7" t="s">
        <v>27</v>
      </c>
      <c r="D2651" s="7" t="s">
        <v>28</v>
      </c>
      <c r="E2651" s="7" t="s">
        <v>29</v>
      </c>
      <c r="F2651" s="7" t="s">
        <v>303</v>
      </c>
      <c r="G2651" s="7">
        <v>100.0001</v>
      </c>
      <c r="H2651" s="7"/>
    </row>
    <row r="2652" spans="1:8" x14ac:dyDescent="0.35">
      <c r="A2652" s="7" t="s">
        <v>354</v>
      </c>
      <c r="B2652" s="7" t="s">
        <v>26</v>
      </c>
      <c r="C2652" s="7" t="s">
        <v>27</v>
      </c>
      <c r="D2652" s="7" t="s">
        <v>28</v>
      </c>
      <c r="E2652" s="7" t="s">
        <v>29</v>
      </c>
      <c r="F2652" s="7" t="s">
        <v>304</v>
      </c>
      <c r="G2652" s="7">
        <v>99.994280000000003</v>
      </c>
      <c r="H2652" s="7"/>
    </row>
    <row r="2653" spans="1:8" x14ac:dyDescent="0.35">
      <c r="A2653" s="7" t="s">
        <v>354</v>
      </c>
      <c r="B2653" s="7" t="s">
        <v>26</v>
      </c>
      <c r="C2653" s="7" t="s">
        <v>27</v>
      </c>
      <c r="D2653" s="7" t="s">
        <v>28</v>
      </c>
      <c r="E2653" s="7" t="s">
        <v>29</v>
      </c>
      <c r="F2653" s="7" t="s">
        <v>305</v>
      </c>
      <c r="G2653" s="7">
        <v>100.02800000000001</v>
      </c>
      <c r="H2653" s="7"/>
    </row>
    <row r="2654" spans="1:8" x14ac:dyDescent="0.35">
      <c r="A2654" s="7" t="s">
        <v>354</v>
      </c>
      <c r="B2654" s="7" t="s">
        <v>26</v>
      </c>
      <c r="C2654" s="7" t="s">
        <v>27</v>
      </c>
      <c r="D2654" s="7" t="s">
        <v>28</v>
      </c>
      <c r="E2654" s="7" t="s">
        <v>29</v>
      </c>
      <c r="F2654" s="7" t="s">
        <v>306</v>
      </c>
      <c r="G2654" s="7">
        <v>100.1163</v>
      </c>
      <c r="H2654" s="7"/>
    </row>
    <row r="2655" spans="1:8" x14ac:dyDescent="0.35">
      <c r="A2655" s="7" t="s">
        <v>354</v>
      </c>
      <c r="B2655" s="7" t="s">
        <v>26</v>
      </c>
      <c r="C2655" s="7" t="s">
        <v>27</v>
      </c>
      <c r="D2655" s="7" t="s">
        <v>28</v>
      </c>
      <c r="E2655" s="7" t="s">
        <v>29</v>
      </c>
      <c r="F2655" s="7" t="s">
        <v>307</v>
      </c>
      <c r="G2655" s="7">
        <v>100.2788</v>
      </c>
      <c r="H2655" s="7"/>
    </row>
    <row r="2656" spans="1:8" x14ac:dyDescent="0.35">
      <c r="A2656" s="7" t="s">
        <v>354</v>
      </c>
      <c r="B2656" s="7" t="s">
        <v>26</v>
      </c>
      <c r="C2656" s="7" t="s">
        <v>27</v>
      </c>
      <c r="D2656" s="7" t="s">
        <v>28</v>
      </c>
      <c r="E2656" s="7" t="s">
        <v>29</v>
      </c>
      <c r="F2656" s="7" t="s">
        <v>308</v>
      </c>
      <c r="G2656" s="7">
        <v>100.4515</v>
      </c>
      <c r="H2656" s="7"/>
    </row>
    <row r="2657" spans="1:8" x14ac:dyDescent="0.35">
      <c r="A2657" s="7" t="s">
        <v>354</v>
      </c>
      <c r="B2657" s="7" t="s">
        <v>26</v>
      </c>
      <c r="C2657" s="7" t="s">
        <v>27</v>
      </c>
      <c r="D2657" s="7" t="s">
        <v>28</v>
      </c>
      <c r="E2657" s="7" t="s">
        <v>29</v>
      </c>
      <c r="F2657" s="7" t="s">
        <v>309</v>
      </c>
      <c r="G2657" s="7">
        <v>100.5527</v>
      </c>
      <c r="H2657" s="7"/>
    </row>
    <row r="2658" spans="1:8" x14ac:dyDescent="0.35">
      <c r="A2658" s="7" t="s">
        <v>354</v>
      </c>
      <c r="B2658" s="7" t="s">
        <v>26</v>
      </c>
      <c r="C2658" s="7" t="s">
        <v>27</v>
      </c>
      <c r="D2658" s="7" t="s">
        <v>28</v>
      </c>
      <c r="E2658" s="7" t="s">
        <v>29</v>
      </c>
      <c r="F2658" s="7" t="s">
        <v>310</v>
      </c>
      <c r="G2658" s="7">
        <v>100.59220000000001</v>
      </c>
      <c r="H2658" s="7"/>
    </row>
    <row r="2659" spans="1:8" x14ac:dyDescent="0.35">
      <c r="A2659" s="7" t="s">
        <v>354</v>
      </c>
      <c r="B2659" s="7" t="s">
        <v>26</v>
      </c>
      <c r="C2659" s="7" t="s">
        <v>27</v>
      </c>
      <c r="D2659" s="7" t="s">
        <v>28</v>
      </c>
      <c r="E2659" s="7" t="s">
        <v>29</v>
      </c>
      <c r="F2659" s="7" t="s">
        <v>311</v>
      </c>
      <c r="G2659" s="7">
        <v>100.5903</v>
      </c>
      <c r="H2659" s="7"/>
    </row>
    <row r="2660" spans="1:8" x14ac:dyDescent="0.35">
      <c r="A2660" s="7" t="s">
        <v>354</v>
      </c>
      <c r="B2660" s="7" t="s">
        <v>26</v>
      </c>
      <c r="C2660" s="7" t="s">
        <v>27</v>
      </c>
      <c r="D2660" s="7" t="s">
        <v>28</v>
      </c>
      <c r="E2660" s="7" t="s">
        <v>29</v>
      </c>
      <c r="F2660" s="7" t="s">
        <v>312</v>
      </c>
      <c r="G2660" s="7">
        <v>100.53100000000001</v>
      </c>
      <c r="H2660" s="7"/>
    </row>
    <row r="2661" spans="1:8" x14ac:dyDescent="0.35">
      <c r="A2661" s="7" t="s">
        <v>354</v>
      </c>
      <c r="B2661" s="7" t="s">
        <v>26</v>
      </c>
      <c r="C2661" s="7" t="s">
        <v>27</v>
      </c>
      <c r="D2661" s="7" t="s">
        <v>28</v>
      </c>
      <c r="E2661" s="7" t="s">
        <v>29</v>
      </c>
      <c r="F2661" s="7" t="s">
        <v>313</v>
      </c>
      <c r="G2661" s="7">
        <v>100.48609999999999</v>
      </c>
      <c r="H2661" s="7"/>
    </row>
    <row r="2662" spans="1:8" x14ac:dyDescent="0.35">
      <c r="A2662" s="7" t="s">
        <v>354</v>
      </c>
      <c r="B2662" s="7" t="s">
        <v>26</v>
      </c>
      <c r="C2662" s="7" t="s">
        <v>27</v>
      </c>
      <c r="D2662" s="7" t="s">
        <v>28</v>
      </c>
      <c r="E2662" s="7" t="s">
        <v>29</v>
      </c>
      <c r="F2662" s="7" t="s">
        <v>314</v>
      </c>
      <c r="G2662" s="7">
        <v>100.3724</v>
      </c>
      <c r="H2662" s="7"/>
    </row>
    <row r="2663" spans="1:8" x14ac:dyDescent="0.35">
      <c r="A2663" s="7" t="s">
        <v>354</v>
      </c>
      <c r="B2663" s="7" t="s">
        <v>26</v>
      </c>
      <c r="C2663" s="7" t="s">
        <v>27</v>
      </c>
      <c r="D2663" s="7" t="s">
        <v>28</v>
      </c>
      <c r="E2663" s="7" t="s">
        <v>29</v>
      </c>
      <c r="F2663" s="7" t="s">
        <v>315</v>
      </c>
      <c r="G2663" s="7">
        <v>100.25660000000001</v>
      </c>
      <c r="H2663" s="7"/>
    </row>
    <row r="2664" spans="1:8" x14ac:dyDescent="0.35">
      <c r="A2664" s="7" t="s">
        <v>354</v>
      </c>
      <c r="B2664" s="7" t="s">
        <v>26</v>
      </c>
      <c r="C2664" s="7" t="s">
        <v>27</v>
      </c>
      <c r="D2664" s="7" t="s">
        <v>28</v>
      </c>
      <c r="E2664" s="7" t="s">
        <v>29</v>
      </c>
      <c r="F2664" s="7" t="s">
        <v>316</v>
      </c>
      <c r="G2664" s="7">
        <v>100.1904</v>
      </c>
      <c r="H2664" s="7"/>
    </row>
    <row r="2665" spans="1:8" x14ac:dyDescent="0.35">
      <c r="A2665" s="7" t="s">
        <v>354</v>
      </c>
      <c r="B2665" s="7" t="s">
        <v>26</v>
      </c>
      <c r="C2665" s="7" t="s">
        <v>27</v>
      </c>
      <c r="D2665" s="7" t="s">
        <v>28</v>
      </c>
      <c r="E2665" s="7" t="s">
        <v>29</v>
      </c>
      <c r="F2665" s="7" t="s">
        <v>317</v>
      </c>
      <c r="G2665" s="7">
        <v>100.28440000000001</v>
      </c>
      <c r="H2665" s="7"/>
    </row>
    <row r="2666" spans="1:8" x14ac:dyDescent="0.35">
      <c r="A2666" s="7" t="s">
        <v>354</v>
      </c>
      <c r="B2666" s="7" t="s">
        <v>26</v>
      </c>
      <c r="C2666" s="7" t="s">
        <v>27</v>
      </c>
      <c r="D2666" s="7" t="s">
        <v>28</v>
      </c>
      <c r="E2666" s="7" t="s">
        <v>29</v>
      </c>
      <c r="F2666" s="7" t="s">
        <v>318</v>
      </c>
      <c r="G2666" s="7">
        <v>100.4419</v>
      </c>
      <c r="H2666" s="7"/>
    </row>
    <row r="2667" spans="1:8" x14ac:dyDescent="0.35">
      <c r="A2667" s="7" t="s">
        <v>354</v>
      </c>
      <c r="B2667" s="7" t="s">
        <v>26</v>
      </c>
      <c r="C2667" s="7" t="s">
        <v>27</v>
      </c>
      <c r="D2667" s="7" t="s">
        <v>28</v>
      </c>
      <c r="E2667" s="7" t="s">
        <v>29</v>
      </c>
      <c r="F2667" s="7" t="s">
        <v>319</v>
      </c>
      <c r="G2667" s="7">
        <v>100.50230000000001</v>
      </c>
      <c r="H2667" s="7"/>
    </row>
    <row r="2668" spans="1:8" x14ac:dyDescent="0.35">
      <c r="A2668" s="7" t="s">
        <v>354</v>
      </c>
      <c r="B2668" s="7" t="s">
        <v>26</v>
      </c>
      <c r="C2668" s="7" t="s">
        <v>27</v>
      </c>
      <c r="D2668" s="7" t="s">
        <v>28</v>
      </c>
      <c r="E2668" s="7" t="s">
        <v>29</v>
      </c>
      <c r="F2668" s="7" t="s">
        <v>320</v>
      </c>
      <c r="G2668" s="7">
        <v>100.43559999999999</v>
      </c>
      <c r="H2668" s="7"/>
    </row>
    <row r="2669" spans="1:8" x14ac:dyDescent="0.35">
      <c r="A2669" s="7" t="s">
        <v>354</v>
      </c>
      <c r="B2669" s="7" t="s">
        <v>26</v>
      </c>
      <c r="C2669" s="7" t="s">
        <v>27</v>
      </c>
      <c r="D2669" s="7" t="s">
        <v>28</v>
      </c>
      <c r="E2669" s="7" t="s">
        <v>29</v>
      </c>
      <c r="F2669" s="7" t="s">
        <v>321</v>
      </c>
      <c r="G2669" s="7">
        <v>100.30549999999999</v>
      </c>
      <c r="H2669" s="7"/>
    </row>
    <row r="2670" spans="1:8" x14ac:dyDescent="0.35">
      <c r="A2670" s="7" t="s">
        <v>354</v>
      </c>
      <c r="B2670" s="7" t="s">
        <v>26</v>
      </c>
      <c r="C2670" s="7" t="s">
        <v>27</v>
      </c>
      <c r="D2670" s="7" t="s">
        <v>28</v>
      </c>
      <c r="E2670" s="7" t="s">
        <v>29</v>
      </c>
      <c r="F2670" s="7" t="s">
        <v>322</v>
      </c>
      <c r="G2670" s="7">
        <v>100.235</v>
      </c>
      <c r="H2670" s="7"/>
    </row>
    <row r="2671" spans="1:8" x14ac:dyDescent="0.35">
      <c r="A2671" s="7" t="s">
        <v>354</v>
      </c>
      <c r="B2671" s="7" t="s">
        <v>26</v>
      </c>
      <c r="C2671" s="7" t="s">
        <v>27</v>
      </c>
      <c r="D2671" s="7" t="s">
        <v>28</v>
      </c>
      <c r="E2671" s="7" t="s">
        <v>29</v>
      </c>
      <c r="F2671" s="7" t="s">
        <v>323</v>
      </c>
      <c r="G2671" s="7">
        <v>100.2466</v>
      </c>
      <c r="H2671" s="7"/>
    </row>
    <row r="2672" spans="1:8" x14ac:dyDescent="0.35">
      <c r="A2672" s="7" t="s">
        <v>354</v>
      </c>
      <c r="B2672" s="7" t="s">
        <v>26</v>
      </c>
      <c r="C2672" s="7" t="s">
        <v>27</v>
      </c>
      <c r="D2672" s="7" t="s">
        <v>28</v>
      </c>
      <c r="E2672" s="7" t="s">
        <v>29</v>
      </c>
      <c r="F2672" s="7" t="s">
        <v>324</v>
      </c>
      <c r="G2672" s="7">
        <v>100.3197</v>
      </c>
      <c r="H2672" s="7"/>
    </row>
    <row r="2673" spans="1:8" x14ac:dyDescent="0.35">
      <c r="A2673" s="7" t="s">
        <v>354</v>
      </c>
      <c r="B2673" s="7" t="s">
        <v>26</v>
      </c>
      <c r="C2673" s="7" t="s">
        <v>27</v>
      </c>
      <c r="D2673" s="7" t="s">
        <v>28</v>
      </c>
      <c r="E2673" s="7" t="s">
        <v>29</v>
      </c>
      <c r="F2673" s="7" t="s">
        <v>325</v>
      </c>
      <c r="G2673" s="7">
        <v>100.3252</v>
      </c>
      <c r="H2673" s="7"/>
    </row>
    <row r="2674" spans="1:8" x14ac:dyDescent="0.35">
      <c r="A2674" s="7" t="s">
        <v>354</v>
      </c>
      <c r="B2674" s="7" t="s">
        <v>26</v>
      </c>
      <c r="C2674" s="7" t="s">
        <v>27</v>
      </c>
      <c r="D2674" s="7" t="s">
        <v>28</v>
      </c>
      <c r="E2674" s="7" t="s">
        <v>29</v>
      </c>
      <c r="F2674" s="7" t="s">
        <v>326</v>
      </c>
      <c r="G2674" s="7">
        <v>100.26309999999999</v>
      </c>
      <c r="H2674" s="7"/>
    </row>
    <row r="2675" spans="1:8" x14ac:dyDescent="0.35">
      <c r="A2675" s="7" t="s">
        <v>354</v>
      </c>
      <c r="B2675" s="7" t="s">
        <v>26</v>
      </c>
      <c r="C2675" s="7" t="s">
        <v>27</v>
      </c>
      <c r="D2675" s="7" t="s">
        <v>28</v>
      </c>
      <c r="E2675" s="7" t="s">
        <v>29</v>
      </c>
      <c r="F2675" s="7" t="s">
        <v>327</v>
      </c>
      <c r="G2675" s="7">
        <v>100.2486</v>
      </c>
      <c r="H2675" s="7"/>
    </row>
    <row r="2676" spans="1:8" x14ac:dyDescent="0.35">
      <c r="A2676" s="7" t="s">
        <v>354</v>
      </c>
      <c r="B2676" s="7" t="s">
        <v>26</v>
      </c>
      <c r="C2676" s="7" t="s">
        <v>27</v>
      </c>
      <c r="D2676" s="7" t="s">
        <v>28</v>
      </c>
      <c r="E2676" s="7" t="s">
        <v>29</v>
      </c>
      <c r="F2676" s="7" t="s">
        <v>328</v>
      </c>
      <c r="G2676" s="7">
        <v>100.2653</v>
      </c>
      <c r="H2676" s="7"/>
    </row>
    <row r="2677" spans="1:8" x14ac:dyDescent="0.35">
      <c r="A2677" s="7" t="s">
        <v>354</v>
      </c>
      <c r="B2677" s="7" t="s">
        <v>26</v>
      </c>
      <c r="C2677" s="7" t="s">
        <v>27</v>
      </c>
      <c r="D2677" s="7" t="s">
        <v>28</v>
      </c>
      <c r="E2677" s="7" t="s">
        <v>29</v>
      </c>
      <c r="F2677" s="7" t="s">
        <v>329</v>
      </c>
      <c r="G2677" s="7">
        <v>100.2804</v>
      </c>
      <c r="H2677" s="7"/>
    </row>
    <row r="2678" spans="1:8" x14ac:dyDescent="0.35">
      <c r="A2678" s="7" t="s">
        <v>354</v>
      </c>
      <c r="B2678" s="7" t="s">
        <v>26</v>
      </c>
      <c r="C2678" s="7" t="s">
        <v>27</v>
      </c>
      <c r="D2678" s="7" t="s">
        <v>28</v>
      </c>
      <c r="E2678" s="7" t="s">
        <v>29</v>
      </c>
      <c r="F2678" s="7" t="s">
        <v>330</v>
      </c>
      <c r="G2678" s="7">
        <v>100.3498</v>
      </c>
      <c r="H2678" s="7"/>
    </row>
    <row r="2679" spans="1:8" x14ac:dyDescent="0.35">
      <c r="A2679" s="7" t="s">
        <v>354</v>
      </c>
      <c r="B2679" s="7" t="s">
        <v>26</v>
      </c>
      <c r="C2679" s="7" t="s">
        <v>27</v>
      </c>
      <c r="D2679" s="7" t="s">
        <v>28</v>
      </c>
      <c r="E2679" s="7" t="s">
        <v>29</v>
      </c>
      <c r="F2679" s="7" t="s">
        <v>331</v>
      </c>
      <c r="G2679" s="7">
        <v>100.4316</v>
      </c>
      <c r="H2679" s="7"/>
    </row>
    <row r="2680" spans="1:8" x14ac:dyDescent="0.35">
      <c r="A2680" s="7" t="s">
        <v>354</v>
      </c>
      <c r="B2680" s="7" t="s">
        <v>26</v>
      </c>
      <c r="C2680" s="7" t="s">
        <v>27</v>
      </c>
      <c r="D2680" s="7" t="s">
        <v>28</v>
      </c>
      <c r="E2680" s="7" t="s">
        <v>29</v>
      </c>
      <c r="F2680" s="7" t="s">
        <v>332</v>
      </c>
      <c r="G2680" s="7">
        <v>100.4636</v>
      </c>
      <c r="H2680" s="7"/>
    </row>
    <row r="2681" spans="1:8" x14ac:dyDescent="0.35">
      <c r="A2681" s="7" t="s">
        <v>354</v>
      </c>
      <c r="B2681" s="7" t="s">
        <v>26</v>
      </c>
      <c r="C2681" s="7" t="s">
        <v>27</v>
      </c>
      <c r="D2681" s="7" t="s">
        <v>28</v>
      </c>
      <c r="E2681" s="7" t="s">
        <v>29</v>
      </c>
      <c r="F2681" s="7" t="s">
        <v>333</v>
      </c>
      <c r="G2681" s="7">
        <v>100.4949</v>
      </c>
      <c r="H2681" s="7"/>
    </row>
    <row r="2682" spans="1:8" x14ac:dyDescent="0.35">
      <c r="A2682" s="7" t="s">
        <v>354</v>
      </c>
      <c r="B2682" s="7" t="s">
        <v>26</v>
      </c>
      <c r="C2682" s="7" t="s">
        <v>27</v>
      </c>
      <c r="D2682" s="7" t="s">
        <v>28</v>
      </c>
      <c r="E2682" s="7" t="s">
        <v>29</v>
      </c>
      <c r="F2682" s="7" t="s">
        <v>334</v>
      </c>
      <c r="G2682" s="7">
        <v>100.584</v>
      </c>
      <c r="H2682" s="7"/>
    </row>
    <row r="2683" spans="1:8" x14ac:dyDescent="0.35">
      <c r="A2683" s="7" t="s">
        <v>354</v>
      </c>
      <c r="B2683" s="7" t="s">
        <v>26</v>
      </c>
      <c r="C2683" s="7" t="s">
        <v>27</v>
      </c>
      <c r="D2683" s="7" t="s">
        <v>28</v>
      </c>
      <c r="E2683" s="7" t="s">
        <v>29</v>
      </c>
      <c r="F2683" s="7" t="s">
        <v>335</v>
      </c>
      <c r="G2683" s="7">
        <v>100.6855</v>
      </c>
      <c r="H2683" s="7"/>
    </row>
    <row r="2684" spans="1:8" x14ac:dyDescent="0.35">
      <c r="A2684" s="7" t="s">
        <v>354</v>
      </c>
      <c r="B2684" s="7" t="s">
        <v>26</v>
      </c>
      <c r="C2684" s="7" t="s">
        <v>27</v>
      </c>
      <c r="D2684" s="7" t="s">
        <v>28</v>
      </c>
      <c r="E2684" s="7" t="s">
        <v>29</v>
      </c>
      <c r="F2684" s="7" t="s">
        <v>336</v>
      </c>
      <c r="G2684" s="7">
        <v>100.75279999999999</v>
      </c>
      <c r="H2684" s="7"/>
    </row>
    <row r="2685" spans="1:8" x14ac:dyDescent="0.35">
      <c r="A2685" s="7" t="s">
        <v>354</v>
      </c>
      <c r="B2685" s="7" t="s">
        <v>26</v>
      </c>
      <c r="C2685" s="7" t="s">
        <v>27</v>
      </c>
      <c r="D2685" s="7" t="s">
        <v>28</v>
      </c>
      <c r="E2685" s="7" t="s">
        <v>29</v>
      </c>
      <c r="F2685" s="7" t="s">
        <v>337</v>
      </c>
      <c r="G2685" s="7">
        <v>100.7677</v>
      </c>
      <c r="H2685" s="7"/>
    </row>
    <row r="2686" spans="1:8" x14ac:dyDescent="0.35">
      <c r="A2686" s="7" t="s">
        <v>354</v>
      </c>
      <c r="B2686" s="7" t="s">
        <v>26</v>
      </c>
      <c r="C2686" s="7" t="s">
        <v>27</v>
      </c>
      <c r="D2686" s="7" t="s">
        <v>28</v>
      </c>
      <c r="E2686" s="7" t="s">
        <v>29</v>
      </c>
      <c r="F2686" s="7" t="s">
        <v>338</v>
      </c>
      <c r="G2686" s="7">
        <v>100.7807</v>
      </c>
      <c r="H2686" s="7"/>
    </row>
    <row r="2687" spans="1:8" x14ac:dyDescent="0.35">
      <c r="A2687" s="7" t="s">
        <v>354</v>
      </c>
      <c r="B2687" s="7" t="s">
        <v>26</v>
      </c>
      <c r="C2687" s="7" t="s">
        <v>27</v>
      </c>
      <c r="D2687" s="7" t="s">
        <v>28</v>
      </c>
      <c r="E2687" s="7" t="s">
        <v>29</v>
      </c>
      <c r="F2687" s="7" t="s">
        <v>339</v>
      </c>
      <c r="G2687" s="7">
        <v>100.8246</v>
      </c>
      <c r="H2687" s="7"/>
    </row>
    <row r="2688" spans="1:8" x14ac:dyDescent="0.35">
      <c r="A2688" s="7" t="s">
        <v>354</v>
      </c>
      <c r="B2688" s="7" t="s">
        <v>26</v>
      </c>
      <c r="C2688" s="7" t="s">
        <v>27</v>
      </c>
      <c r="D2688" s="7" t="s">
        <v>28</v>
      </c>
      <c r="E2688" s="7" t="s">
        <v>29</v>
      </c>
      <c r="F2688" s="7" t="s">
        <v>340</v>
      </c>
      <c r="G2688" s="7">
        <v>100.8814</v>
      </c>
      <c r="H2688" s="7"/>
    </row>
    <row r="2689" spans="1:8" x14ac:dyDescent="0.35">
      <c r="A2689" s="7" t="s">
        <v>354</v>
      </c>
      <c r="B2689" s="7" t="s">
        <v>26</v>
      </c>
      <c r="C2689" s="7" t="s">
        <v>27</v>
      </c>
      <c r="D2689" s="7" t="s">
        <v>28</v>
      </c>
      <c r="E2689" s="7" t="s">
        <v>29</v>
      </c>
      <c r="F2689" s="7" t="s">
        <v>341</v>
      </c>
      <c r="G2689" s="7">
        <v>100.9551</v>
      </c>
      <c r="H2689" s="7"/>
    </row>
    <row r="2690" spans="1:8" x14ac:dyDescent="0.35">
      <c r="A2690" s="7" t="s">
        <v>354</v>
      </c>
      <c r="B2690" s="7" t="s">
        <v>26</v>
      </c>
      <c r="C2690" s="7" t="s">
        <v>27</v>
      </c>
      <c r="D2690" s="7" t="s">
        <v>28</v>
      </c>
      <c r="E2690" s="7" t="s">
        <v>29</v>
      </c>
      <c r="F2690" s="7" t="s">
        <v>342</v>
      </c>
      <c r="G2690" s="7">
        <v>100.9755</v>
      </c>
      <c r="H2690" s="7"/>
    </row>
    <row r="2691" spans="1:8" x14ac:dyDescent="0.35">
      <c r="A2691" s="7" t="s">
        <v>354</v>
      </c>
      <c r="B2691" s="7" t="s">
        <v>26</v>
      </c>
      <c r="C2691" s="7" t="s">
        <v>27</v>
      </c>
      <c r="D2691" s="7" t="s">
        <v>28</v>
      </c>
      <c r="E2691" s="7" t="s">
        <v>29</v>
      </c>
      <c r="F2691" s="7" t="s">
        <v>343</v>
      </c>
      <c r="G2691" s="7">
        <v>100.9727</v>
      </c>
      <c r="H2691" s="7"/>
    </row>
    <row r="2692" spans="1:8" x14ac:dyDescent="0.35">
      <c r="A2692" s="7" t="s">
        <v>354</v>
      </c>
      <c r="B2692" s="7" t="s">
        <v>26</v>
      </c>
      <c r="C2692" s="7" t="s">
        <v>27</v>
      </c>
      <c r="D2692" s="7" t="s">
        <v>28</v>
      </c>
      <c r="E2692" s="7" t="s">
        <v>29</v>
      </c>
      <c r="F2692" s="7" t="s">
        <v>344</v>
      </c>
      <c r="G2692" s="7">
        <v>101.0052</v>
      </c>
      <c r="H2692" s="7"/>
    </row>
    <row r="2693" spans="1:8" x14ac:dyDescent="0.35">
      <c r="A2693" s="7" t="s">
        <v>354</v>
      </c>
      <c r="B2693" s="7" t="s">
        <v>26</v>
      </c>
      <c r="C2693" s="7" t="s">
        <v>27</v>
      </c>
      <c r="D2693" s="7" t="s">
        <v>28</v>
      </c>
      <c r="E2693" s="7" t="s">
        <v>29</v>
      </c>
      <c r="F2693" s="7" t="s">
        <v>345</v>
      </c>
      <c r="G2693" s="7">
        <v>101.0478</v>
      </c>
      <c r="H2693" s="7"/>
    </row>
    <row r="2694" spans="1:8" x14ac:dyDescent="0.35">
      <c r="A2694" s="7" t="s">
        <v>355</v>
      </c>
      <c r="B2694" s="7" t="s">
        <v>26</v>
      </c>
      <c r="C2694" s="7" t="s">
        <v>27</v>
      </c>
      <c r="D2694" s="7" t="s">
        <v>28</v>
      </c>
      <c r="E2694" s="7" t="s">
        <v>29</v>
      </c>
      <c r="F2694" s="7" t="s">
        <v>77</v>
      </c>
      <c r="G2694" s="7">
        <v>98.418660000000003</v>
      </c>
      <c r="H2694" s="7"/>
    </row>
    <row r="2695" spans="1:8" x14ac:dyDescent="0.35">
      <c r="A2695" s="7" t="s">
        <v>355</v>
      </c>
      <c r="B2695" s="7" t="s">
        <v>26</v>
      </c>
      <c r="C2695" s="7" t="s">
        <v>27</v>
      </c>
      <c r="D2695" s="7" t="s">
        <v>28</v>
      </c>
      <c r="E2695" s="7" t="s">
        <v>29</v>
      </c>
      <c r="F2695" s="7" t="s">
        <v>78</v>
      </c>
      <c r="G2695" s="7">
        <v>98.317610000000002</v>
      </c>
      <c r="H2695" s="7"/>
    </row>
    <row r="2696" spans="1:8" x14ac:dyDescent="0.35">
      <c r="A2696" s="7" t="s">
        <v>355</v>
      </c>
      <c r="B2696" s="7" t="s">
        <v>26</v>
      </c>
      <c r="C2696" s="7" t="s">
        <v>27</v>
      </c>
      <c r="D2696" s="7" t="s">
        <v>28</v>
      </c>
      <c r="E2696" s="7" t="s">
        <v>29</v>
      </c>
      <c r="F2696" s="7" t="s">
        <v>79</v>
      </c>
      <c r="G2696" s="7">
        <v>98.143749999999997</v>
      </c>
      <c r="H2696" s="7"/>
    </row>
    <row r="2697" spans="1:8" x14ac:dyDescent="0.35">
      <c r="A2697" s="7" t="s">
        <v>355</v>
      </c>
      <c r="B2697" s="7" t="s">
        <v>26</v>
      </c>
      <c r="C2697" s="7" t="s">
        <v>27</v>
      </c>
      <c r="D2697" s="7" t="s">
        <v>28</v>
      </c>
      <c r="E2697" s="7" t="s">
        <v>29</v>
      </c>
      <c r="F2697" s="7" t="s">
        <v>80</v>
      </c>
      <c r="G2697" s="7">
        <v>97.693060000000003</v>
      </c>
      <c r="H2697" s="7"/>
    </row>
    <row r="2698" spans="1:8" x14ac:dyDescent="0.35">
      <c r="A2698" s="7" t="s">
        <v>355</v>
      </c>
      <c r="B2698" s="7" t="s">
        <v>26</v>
      </c>
      <c r="C2698" s="7" t="s">
        <v>27</v>
      </c>
      <c r="D2698" s="7" t="s">
        <v>28</v>
      </c>
      <c r="E2698" s="7" t="s">
        <v>29</v>
      </c>
      <c r="F2698" s="7" t="s">
        <v>81</v>
      </c>
      <c r="G2698" s="7">
        <v>97.322370000000006</v>
      </c>
      <c r="H2698" s="7"/>
    </row>
    <row r="2699" spans="1:8" x14ac:dyDescent="0.35">
      <c r="A2699" s="7" t="s">
        <v>355</v>
      </c>
      <c r="B2699" s="7" t="s">
        <v>26</v>
      </c>
      <c r="C2699" s="7" t="s">
        <v>27</v>
      </c>
      <c r="D2699" s="7" t="s">
        <v>28</v>
      </c>
      <c r="E2699" s="7" t="s">
        <v>29</v>
      </c>
      <c r="F2699" s="7" t="s">
        <v>82</v>
      </c>
      <c r="G2699" s="7">
        <v>97.10463</v>
      </c>
      <c r="H2699" s="7"/>
    </row>
    <row r="2700" spans="1:8" x14ac:dyDescent="0.35">
      <c r="A2700" s="7" t="s">
        <v>355</v>
      </c>
      <c r="B2700" s="7" t="s">
        <v>26</v>
      </c>
      <c r="C2700" s="7" t="s">
        <v>27</v>
      </c>
      <c r="D2700" s="7" t="s">
        <v>28</v>
      </c>
      <c r="E2700" s="7" t="s">
        <v>29</v>
      </c>
      <c r="F2700" s="7" t="s">
        <v>83</v>
      </c>
      <c r="G2700" s="7">
        <v>97.119929999999997</v>
      </c>
      <c r="H2700" s="7"/>
    </row>
    <row r="2701" spans="1:8" x14ac:dyDescent="0.35">
      <c r="A2701" s="7" t="s">
        <v>355</v>
      </c>
      <c r="B2701" s="7" t="s">
        <v>26</v>
      </c>
      <c r="C2701" s="7" t="s">
        <v>27</v>
      </c>
      <c r="D2701" s="7" t="s">
        <v>28</v>
      </c>
      <c r="E2701" s="7" t="s">
        <v>29</v>
      </c>
      <c r="F2701" s="7" t="s">
        <v>84</v>
      </c>
      <c r="G2701" s="7">
        <v>97.135140000000007</v>
      </c>
      <c r="H2701" s="7"/>
    </row>
    <row r="2702" spans="1:8" x14ac:dyDescent="0.35">
      <c r="A2702" s="7" t="s">
        <v>355</v>
      </c>
      <c r="B2702" s="7" t="s">
        <v>26</v>
      </c>
      <c r="C2702" s="7" t="s">
        <v>27</v>
      </c>
      <c r="D2702" s="7" t="s">
        <v>28</v>
      </c>
      <c r="E2702" s="7" t="s">
        <v>29</v>
      </c>
      <c r="F2702" s="7" t="s">
        <v>85</v>
      </c>
      <c r="G2702" s="7">
        <v>97.08681</v>
      </c>
      <c r="H2702" s="7"/>
    </row>
    <row r="2703" spans="1:8" x14ac:dyDescent="0.35">
      <c r="A2703" s="7" t="s">
        <v>355</v>
      </c>
      <c r="B2703" s="7" t="s">
        <v>26</v>
      </c>
      <c r="C2703" s="7" t="s">
        <v>27</v>
      </c>
      <c r="D2703" s="7" t="s">
        <v>28</v>
      </c>
      <c r="E2703" s="7" t="s">
        <v>29</v>
      </c>
      <c r="F2703" s="7" t="s">
        <v>86</v>
      </c>
      <c r="G2703" s="7">
        <v>96.946430000000007</v>
      </c>
      <c r="H2703" s="7"/>
    </row>
    <row r="2704" spans="1:8" x14ac:dyDescent="0.35">
      <c r="A2704" s="7" t="s">
        <v>355</v>
      </c>
      <c r="B2704" s="7" t="s">
        <v>26</v>
      </c>
      <c r="C2704" s="7" t="s">
        <v>27</v>
      </c>
      <c r="D2704" s="7" t="s">
        <v>28</v>
      </c>
      <c r="E2704" s="7" t="s">
        <v>29</v>
      </c>
      <c r="F2704" s="7" t="s">
        <v>87</v>
      </c>
      <c r="G2704" s="7">
        <v>96.868390000000005</v>
      </c>
      <c r="H2704" s="7"/>
    </row>
    <row r="2705" spans="1:8" x14ac:dyDescent="0.35">
      <c r="A2705" s="7" t="s">
        <v>355</v>
      </c>
      <c r="B2705" s="7" t="s">
        <v>26</v>
      </c>
      <c r="C2705" s="7" t="s">
        <v>27</v>
      </c>
      <c r="D2705" s="7" t="s">
        <v>28</v>
      </c>
      <c r="E2705" s="7" t="s">
        <v>29</v>
      </c>
      <c r="F2705" s="7" t="s">
        <v>88</v>
      </c>
      <c r="G2705" s="7">
        <v>96.732479999999995</v>
      </c>
      <c r="H2705" s="7"/>
    </row>
    <row r="2706" spans="1:8" x14ac:dyDescent="0.35">
      <c r="A2706" s="7" t="s">
        <v>355</v>
      </c>
      <c r="B2706" s="7" t="s">
        <v>26</v>
      </c>
      <c r="C2706" s="7" t="s">
        <v>27</v>
      </c>
      <c r="D2706" s="7" t="s">
        <v>28</v>
      </c>
      <c r="E2706" s="7" t="s">
        <v>29</v>
      </c>
      <c r="F2706" s="7" t="s">
        <v>89</v>
      </c>
      <c r="G2706" s="7">
        <v>96.819820000000007</v>
      </c>
      <c r="H2706" s="7"/>
    </row>
    <row r="2707" spans="1:8" x14ac:dyDescent="0.35">
      <c r="A2707" s="7" t="s">
        <v>355</v>
      </c>
      <c r="B2707" s="7" t="s">
        <v>26</v>
      </c>
      <c r="C2707" s="7" t="s">
        <v>27</v>
      </c>
      <c r="D2707" s="7" t="s">
        <v>28</v>
      </c>
      <c r="E2707" s="7" t="s">
        <v>29</v>
      </c>
      <c r="F2707" s="7" t="s">
        <v>90</v>
      </c>
      <c r="G2707" s="7">
        <v>96.912459999999996</v>
      </c>
      <c r="H2707" s="7"/>
    </row>
    <row r="2708" spans="1:8" x14ac:dyDescent="0.35">
      <c r="A2708" s="7" t="s">
        <v>355</v>
      </c>
      <c r="B2708" s="7" t="s">
        <v>26</v>
      </c>
      <c r="C2708" s="7" t="s">
        <v>27</v>
      </c>
      <c r="D2708" s="7" t="s">
        <v>28</v>
      </c>
      <c r="E2708" s="7" t="s">
        <v>29</v>
      </c>
      <c r="F2708" s="7" t="s">
        <v>91</v>
      </c>
      <c r="G2708" s="7">
        <v>96.923469999999995</v>
      </c>
      <c r="H2708" s="7"/>
    </row>
    <row r="2709" spans="1:8" x14ac:dyDescent="0.35">
      <c r="A2709" s="7" t="s">
        <v>355</v>
      </c>
      <c r="B2709" s="7" t="s">
        <v>26</v>
      </c>
      <c r="C2709" s="7" t="s">
        <v>27</v>
      </c>
      <c r="D2709" s="7" t="s">
        <v>28</v>
      </c>
      <c r="E2709" s="7" t="s">
        <v>29</v>
      </c>
      <c r="F2709" s="7" t="s">
        <v>92</v>
      </c>
      <c r="G2709" s="7">
        <v>97.043469999999999</v>
      </c>
      <c r="H2709" s="7"/>
    </row>
    <row r="2710" spans="1:8" x14ac:dyDescent="0.35">
      <c r="A2710" s="7" t="s">
        <v>355</v>
      </c>
      <c r="B2710" s="7" t="s">
        <v>26</v>
      </c>
      <c r="C2710" s="7" t="s">
        <v>27</v>
      </c>
      <c r="D2710" s="7" t="s">
        <v>28</v>
      </c>
      <c r="E2710" s="7" t="s">
        <v>29</v>
      </c>
      <c r="F2710" s="7" t="s">
        <v>93</v>
      </c>
      <c r="G2710" s="7">
        <v>97.311089999999993</v>
      </c>
      <c r="H2710" s="7"/>
    </row>
    <row r="2711" spans="1:8" x14ac:dyDescent="0.35">
      <c r="A2711" s="7" t="s">
        <v>355</v>
      </c>
      <c r="B2711" s="7" t="s">
        <v>26</v>
      </c>
      <c r="C2711" s="7" t="s">
        <v>27</v>
      </c>
      <c r="D2711" s="7" t="s">
        <v>28</v>
      </c>
      <c r="E2711" s="7" t="s">
        <v>29</v>
      </c>
      <c r="F2711" s="7" t="s">
        <v>94</v>
      </c>
      <c r="G2711" s="7">
        <v>97.71217</v>
      </c>
      <c r="H2711" s="7"/>
    </row>
    <row r="2712" spans="1:8" x14ac:dyDescent="0.35">
      <c r="A2712" s="7" t="s">
        <v>355</v>
      </c>
      <c r="B2712" s="7" t="s">
        <v>26</v>
      </c>
      <c r="C2712" s="7" t="s">
        <v>27</v>
      </c>
      <c r="D2712" s="7" t="s">
        <v>28</v>
      </c>
      <c r="E2712" s="7" t="s">
        <v>29</v>
      </c>
      <c r="F2712" s="7" t="s">
        <v>95</v>
      </c>
      <c r="G2712" s="7">
        <v>98.091539999999995</v>
      </c>
      <c r="H2712" s="7"/>
    </row>
    <row r="2713" spans="1:8" x14ac:dyDescent="0.35">
      <c r="A2713" s="7" t="s">
        <v>355</v>
      </c>
      <c r="B2713" s="7" t="s">
        <v>26</v>
      </c>
      <c r="C2713" s="7" t="s">
        <v>27</v>
      </c>
      <c r="D2713" s="7" t="s">
        <v>28</v>
      </c>
      <c r="E2713" s="7" t="s">
        <v>29</v>
      </c>
      <c r="F2713" s="7" t="s">
        <v>96</v>
      </c>
      <c r="G2713" s="7">
        <v>98.449420000000003</v>
      </c>
      <c r="H2713" s="7"/>
    </row>
    <row r="2714" spans="1:8" x14ac:dyDescent="0.35">
      <c r="A2714" s="7" t="s">
        <v>355</v>
      </c>
      <c r="B2714" s="7" t="s">
        <v>26</v>
      </c>
      <c r="C2714" s="7" t="s">
        <v>27</v>
      </c>
      <c r="D2714" s="7" t="s">
        <v>28</v>
      </c>
      <c r="E2714" s="7" t="s">
        <v>29</v>
      </c>
      <c r="F2714" s="7" t="s">
        <v>97</v>
      </c>
      <c r="G2714" s="7">
        <v>98.72148</v>
      </c>
      <c r="H2714" s="7"/>
    </row>
    <row r="2715" spans="1:8" x14ac:dyDescent="0.35">
      <c r="A2715" s="7" t="s">
        <v>355</v>
      </c>
      <c r="B2715" s="7" t="s">
        <v>26</v>
      </c>
      <c r="C2715" s="7" t="s">
        <v>27</v>
      </c>
      <c r="D2715" s="7" t="s">
        <v>28</v>
      </c>
      <c r="E2715" s="7" t="s">
        <v>29</v>
      </c>
      <c r="F2715" s="7" t="s">
        <v>98</v>
      </c>
      <c r="G2715" s="7">
        <v>98.899259999999998</v>
      </c>
      <c r="H2715" s="7"/>
    </row>
    <row r="2716" spans="1:8" x14ac:dyDescent="0.35">
      <c r="A2716" s="7" t="s">
        <v>355</v>
      </c>
      <c r="B2716" s="7" t="s">
        <v>26</v>
      </c>
      <c r="C2716" s="7" t="s">
        <v>27</v>
      </c>
      <c r="D2716" s="7" t="s">
        <v>28</v>
      </c>
      <c r="E2716" s="7" t="s">
        <v>29</v>
      </c>
      <c r="F2716" s="7" t="s">
        <v>99</v>
      </c>
      <c r="G2716" s="7">
        <v>99.216440000000006</v>
      </c>
      <c r="H2716" s="7"/>
    </row>
    <row r="2717" spans="1:8" x14ac:dyDescent="0.35">
      <c r="A2717" s="7" t="s">
        <v>355</v>
      </c>
      <c r="B2717" s="7" t="s">
        <v>26</v>
      </c>
      <c r="C2717" s="7" t="s">
        <v>27</v>
      </c>
      <c r="D2717" s="7" t="s">
        <v>28</v>
      </c>
      <c r="E2717" s="7" t="s">
        <v>29</v>
      </c>
      <c r="F2717" s="7" t="s">
        <v>100</v>
      </c>
      <c r="G2717" s="7">
        <v>99.771799999999999</v>
      </c>
      <c r="H2717" s="7"/>
    </row>
    <row r="2718" spans="1:8" x14ac:dyDescent="0.35">
      <c r="A2718" s="7" t="s">
        <v>355</v>
      </c>
      <c r="B2718" s="7" t="s">
        <v>26</v>
      </c>
      <c r="C2718" s="7" t="s">
        <v>27</v>
      </c>
      <c r="D2718" s="7" t="s">
        <v>28</v>
      </c>
      <c r="E2718" s="7" t="s">
        <v>29</v>
      </c>
      <c r="F2718" s="7" t="s">
        <v>101</v>
      </c>
      <c r="G2718" s="7">
        <v>100.0924</v>
      </c>
      <c r="H2718" s="7"/>
    </row>
    <row r="2719" spans="1:8" x14ac:dyDescent="0.35">
      <c r="A2719" s="7" t="s">
        <v>355</v>
      </c>
      <c r="B2719" s="7" t="s">
        <v>26</v>
      </c>
      <c r="C2719" s="7" t="s">
        <v>27</v>
      </c>
      <c r="D2719" s="7" t="s">
        <v>28</v>
      </c>
      <c r="E2719" s="7" t="s">
        <v>29</v>
      </c>
      <c r="F2719" s="7" t="s">
        <v>102</v>
      </c>
      <c r="G2719" s="7">
        <v>100.1927</v>
      </c>
      <c r="H2719" s="7"/>
    </row>
    <row r="2720" spans="1:8" x14ac:dyDescent="0.35">
      <c r="A2720" s="7" t="s">
        <v>355</v>
      </c>
      <c r="B2720" s="7" t="s">
        <v>26</v>
      </c>
      <c r="C2720" s="7" t="s">
        <v>27</v>
      </c>
      <c r="D2720" s="7" t="s">
        <v>28</v>
      </c>
      <c r="E2720" s="7" t="s">
        <v>29</v>
      </c>
      <c r="F2720" s="7" t="s">
        <v>103</v>
      </c>
      <c r="G2720" s="7">
        <v>100.19370000000001</v>
      </c>
      <c r="H2720" s="7"/>
    </row>
    <row r="2721" spans="1:8" x14ac:dyDescent="0.35">
      <c r="A2721" s="7" t="s">
        <v>355</v>
      </c>
      <c r="B2721" s="7" t="s">
        <v>26</v>
      </c>
      <c r="C2721" s="7" t="s">
        <v>27</v>
      </c>
      <c r="D2721" s="7" t="s">
        <v>28</v>
      </c>
      <c r="E2721" s="7" t="s">
        <v>29</v>
      </c>
      <c r="F2721" s="7" t="s">
        <v>104</v>
      </c>
      <c r="G2721" s="7">
        <v>100.1033</v>
      </c>
      <c r="H2721" s="7"/>
    </row>
    <row r="2722" spans="1:8" x14ac:dyDescent="0.35">
      <c r="A2722" s="7" t="s">
        <v>355</v>
      </c>
      <c r="B2722" s="7" t="s">
        <v>26</v>
      </c>
      <c r="C2722" s="7" t="s">
        <v>27</v>
      </c>
      <c r="D2722" s="7" t="s">
        <v>28</v>
      </c>
      <c r="E2722" s="7" t="s">
        <v>29</v>
      </c>
      <c r="F2722" s="7" t="s">
        <v>105</v>
      </c>
      <c r="G2722" s="7">
        <v>99.955179999999999</v>
      </c>
      <c r="H2722" s="7"/>
    </row>
    <row r="2723" spans="1:8" x14ac:dyDescent="0.35">
      <c r="A2723" s="7" t="s">
        <v>355</v>
      </c>
      <c r="B2723" s="7" t="s">
        <v>26</v>
      </c>
      <c r="C2723" s="7" t="s">
        <v>27</v>
      </c>
      <c r="D2723" s="7" t="s">
        <v>28</v>
      </c>
      <c r="E2723" s="7" t="s">
        <v>29</v>
      </c>
      <c r="F2723" s="7" t="s">
        <v>106</v>
      </c>
      <c r="G2723" s="7">
        <v>99.938389999999998</v>
      </c>
      <c r="H2723" s="7"/>
    </row>
    <row r="2724" spans="1:8" x14ac:dyDescent="0.35">
      <c r="A2724" s="7" t="s">
        <v>355</v>
      </c>
      <c r="B2724" s="7" t="s">
        <v>26</v>
      </c>
      <c r="C2724" s="7" t="s">
        <v>27</v>
      </c>
      <c r="D2724" s="7" t="s">
        <v>28</v>
      </c>
      <c r="E2724" s="7" t="s">
        <v>29</v>
      </c>
      <c r="F2724" s="7" t="s">
        <v>107</v>
      </c>
      <c r="G2724" s="7">
        <v>100.0278</v>
      </c>
      <c r="H2724" s="7"/>
    </row>
    <row r="2725" spans="1:8" x14ac:dyDescent="0.35">
      <c r="A2725" s="7" t="s">
        <v>355</v>
      </c>
      <c r="B2725" s="7" t="s">
        <v>26</v>
      </c>
      <c r="C2725" s="7" t="s">
        <v>27</v>
      </c>
      <c r="D2725" s="7" t="s">
        <v>28</v>
      </c>
      <c r="E2725" s="7" t="s">
        <v>29</v>
      </c>
      <c r="F2725" s="7" t="s">
        <v>108</v>
      </c>
      <c r="G2725" s="7">
        <v>100.0804</v>
      </c>
      <c r="H2725" s="7"/>
    </row>
    <row r="2726" spans="1:8" x14ac:dyDescent="0.35">
      <c r="A2726" s="7" t="s">
        <v>355</v>
      </c>
      <c r="B2726" s="7" t="s">
        <v>26</v>
      </c>
      <c r="C2726" s="7" t="s">
        <v>27</v>
      </c>
      <c r="D2726" s="7" t="s">
        <v>28</v>
      </c>
      <c r="E2726" s="7" t="s">
        <v>29</v>
      </c>
      <c r="F2726" s="7" t="s">
        <v>109</v>
      </c>
      <c r="G2726" s="7">
        <v>100.045</v>
      </c>
      <c r="H2726" s="7"/>
    </row>
    <row r="2727" spans="1:8" x14ac:dyDescent="0.35">
      <c r="A2727" s="7" t="s">
        <v>355</v>
      </c>
      <c r="B2727" s="7" t="s">
        <v>26</v>
      </c>
      <c r="C2727" s="7" t="s">
        <v>27</v>
      </c>
      <c r="D2727" s="7" t="s">
        <v>28</v>
      </c>
      <c r="E2727" s="7" t="s">
        <v>29</v>
      </c>
      <c r="F2727" s="7" t="s">
        <v>110</v>
      </c>
      <c r="G2727" s="7">
        <v>100.24809999999999</v>
      </c>
      <c r="H2727" s="7"/>
    </row>
    <row r="2728" spans="1:8" x14ac:dyDescent="0.35">
      <c r="A2728" s="7" t="s">
        <v>355</v>
      </c>
      <c r="B2728" s="7" t="s">
        <v>26</v>
      </c>
      <c r="C2728" s="7" t="s">
        <v>27</v>
      </c>
      <c r="D2728" s="7" t="s">
        <v>28</v>
      </c>
      <c r="E2728" s="7" t="s">
        <v>29</v>
      </c>
      <c r="F2728" s="7" t="s">
        <v>111</v>
      </c>
      <c r="G2728" s="7">
        <v>100.3139</v>
      </c>
      <c r="H2728" s="7"/>
    </row>
    <row r="2729" spans="1:8" x14ac:dyDescent="0.35">
      <c r="A2729" s="7" t="s">
        <v>355</v>
      </c>
      <c r="B2729" s="7" t="s">
        <v>26</v>
      </c>
      <c r="C2729" s="7" t="s">
        <v>27</v>
      </c>
      <c r="D2729" s="7" t="s">
        <v>28</v>
      </c>
      <c r="E2729" s="7" t="s">
        <v>29</v>
      </c>
      <c r="F2729" s="7" t="s">
        <v>112</v>
      </c>
      <c r="G2729" s="7">
        <v>100.2157</v>
      </c>
      <c r="H2729" s="7"/>
    </row>
    <row r="2730" spans="1:8" x14ac:dyDescent="0.35">
      <c r="A2730" s="7" t="s">
        <v>355</v>
      </c>
      <c r="B2730" s="7" t="s">
        <v>26</v>
      </c>
      <c r="C2730" s="7" t="s">
        <v>27</v>
      </c>
      <c r="D2730" s="7" t="s">
        <v>28</v>
      </c>
      <c r="E2730" s="7" t="s">
        <v>29</v>
      </c>
      <c r="F2730" s="7" t="s">
        <v>113</v>
      </c>
      <c r="G2730" s="7">
        <v>99.852580000000003</v>
      </c>
      <c r="H2730" s="7"/>
    </row>
    <row r="2731" spans="1:8" x14ac:dyDescent="0.35">
      <c r="A2731" s="7" t="s">
        <v>355</v>
      </c>
      <c r="B2731" s="7" t="s">
        <v>26</v>
      </c>
      <c r="C2731" s="7" t="s">
        <v>27</v>
      </c>
      <c r="D2731" s="7" t="s">
        <v>28</v>
      </c>
      <c r="E2731" s="7" t="s">
        <v>29</v>
      </c>
      <c r="F2731" s="7" t="s">
        <v>114</v>
      </c>
      <c r="G2731" s="7">
        <v>99.445509999999999</v>
      </c>
      <c r="H2731" s="7"/>
    </row>
    <row r="2732" spans="1:8" x14ac:dyDescent="0.35">
      <c r="A2732" s="7" t="s">
        <v>355</v>
      </c>
      <c r="B2732" s="7" t="s">
        <v>26</v>
      </c>
      <c r="C2732" s="7" t="s">
        <v>27</v>
      </c>
      <c r="D2732" s="7" t="s">
        <v>28</v>
      </c>
      <c r="E2732" s="7" t="s">
        <v>29</v>
      </c>
      <c r="F2732" s="7" t="s">
        <v>115</v>
      </c>
      <c r="G2732" s="7">
        <v>99.044089999999997</v>
      </c>
      <c r="H2732" s="7"/>
    </row>
    <row r="2733" spans="1:8" x14ac:dyDescent="0.35">
      <c r="A2733" s="7" t="s">
        <v>355</v>
      </c>
      <c r="B2733" s="7" t="s">
        <v>26</v>
      </c>
      <c r="C2733" s="7" t="s">
        <v>27</v>
      </c>
      <c r="D2733" s="7" t="s">
        <v>28</v>
      </c>
      <c r="E2733" s="7" t="s">
        <v>29</v>
      </c>
      <c r="F2733" s="7" t="s">
        <v>116</v>
      </c>
      <c r="G2733" s="7">
        <v>98.993269999999995</v>
      </c>
      <c r="H2733" s="7"/>
    </row>
    <row r="2734" spans="1:8" x14ac:dyDescent="0.35">
      <c r="A2734" s="7" t="s">
        <v>355</v>
      </c>
      <c r="B2734" s="7" t="s">
        <v>26</v>
      </c>
      <c r="C2734" s="7" t="s">
        <v>27</v>
      </c>
      <c r="D2734" s="7" t="s">
        <v>28</v>
      </c>
      <c r="E2734" s="7" t="s">
        <v>29</v>
      </c>
      <c r="F2734" s="7" t="s">
        <v>117</v>
      </c>
      <c r="G2734" s="7">
        <v>99.119079999999997</v>
      </c>
      <c r="H2734" s="7"/>
    </row>
    <row r="2735" spans="1:8" x14ac:dyDescent="0.35">
      <c r="A2735" s="7" t="s">
        <v>355</v>
      </c>
      <c r="B2735" s="7" t="s">
        <v>26</v>
      </c>
      <c r="C2735" s="7" t="s">
        <v>27</v>
      </c>
      <c r="D2735" s="7" t="s">
        <v>28</v>
      </c>
      <c r="E2735" s="7" t="s">
        <v>29</v>
      </c>
      <c r="F2735" s="7" t="s">
        <v>118</v>
      </c>
      <c r="G2735" s="7">
        <v>99.317589999999996</v>
      </c>
      <c r="H2735" s="7"/>
    </row>
    <row r="2736" spans="1:8" x14ac:dyDescent="0.35">
      <c r="A2736" s="7" t="s">
        <v>355</v>
      </c>
      <c r="B2736" s="7" t="s">
        <v>26</v>
      </c>
      <c r="C2736" s="7" t="s">
        <v>27</v>
      </c>
      <c r="D2736" s="7" t="s">
        <v>28</v>
      </c>
      <c r="E2736" s="7" t="s">
        <v>29</v>
      </c>
      <c r="F2736" s="7" t="s">
        <v>119</v>
      </c>
      <c r="G2736" s="7">
        <v>99.60839</v>
      </c>
      <c r="H2736" s="7"/>
    </row>
    <row r="2737" spans="1:8" x14ac:dyDescent="0.35">
      <c r="A2737" s="7" t="s">
        <v>355</v>
      </c>
      <c r="B2737" s="7" t="s">
        <v>26</v>
      </c>
      <c r="C2737" s="7" t="s">
        <v>27</v>
      </c>
      <c r="D2737" s="7" t="s">
        <v>28</v>
      </c>
      <c r="E2737" s="7" t="s">
        <v>29</v>
      </c>
      <c r="F2737" s="7" t="s">
        <v>120</v>
      </c>
      <c r="G2737" s="7">
        <v>100.0757</v>
      </c>
      <c r="H2737" s="7"/>
    </row>
    <row r="2738" spans="1:8" x14ac:dyDescent="0.35">
      <c r="A2738" s="7" t="s">
        <v>355</v>
      </c>
      <c r="B2738" s="7" t="s">
        <v>26</v>
      </c>
      <c r="C2738" s="7" t="s">
        <v>27</v>
      </c>
      <c r="D2738" s="7" t="s">
        <v>28</v>
      </c>
      <c r="E2738" s="7" t="s">
        <v>29</v>
      </c>
      <c r="F2738" s="7" t="s">
        <v>121</v>
      </c>
      <c r="G2738" s="7">
        <v>100.657</v>
      </c>
      <c r="H2738" s="7"/>
    </row>
    <row r="2739" spans="1:8" x14ac:dyDescent="0.35">
      <c r="A2739" s="7" t="s">
        <v>355</v>
      </c>
      <c r="B2739" s="7" t="s">
        <v>26</v>
      </c>
      <c r="C2739" s="7" t="s">
        <v>27</v>
      </c>
      <c r="D2739" s="7" t="s">
        <v>28</v>
      </c>
      <c r="E2739" s="7" t="s">
        <v>29</v>
      </c>
      <c r="F2739" s="7" t="s">
        <v>122</v>
      </c>
      <c r="G2739" s="7">
        <v>100.95529999999999</v>
      </c>
      <c r="H2739" s="7"/>
    </row>
    <row r="2740" spans="1:8" x14ac:dyDescent="0.35">
      <c r="A2740" s="7" t="s">
        <v>355</v>
      </c>
      <c r="B2740" s="7" t="s">
        <v>26</v>
      </c>
      <c r="C2740" s="7" t="s">
        <v>27</v>
      </c>
      <c r="D2740" s="7" t="s">
        <v>28</v>
      </c>
      <c r="E2740" s="7" t="s">
        <v>29</v>
      </c>
      <c r="F2740" s="7" t="s">
        <v>123</v>
      </c>
      <c r="G2740" s="7">
        <v>101.19159999999999</v>
      </c>
      <c r="H2740" s="7"/>
    </row>
    <row r="2741" spans="1:8" x14ac:dyDescent="0.35">
      <c r="A2741" s="7" t="s">
        <v>355</v>
      </c>
      <c r="B2741" s="7" t="s">
        <v>26</v>
      </c>
      <c r="C2741" s="7" t="s">
        <v>27</v>
      </c>
      <c r="D2741" s="7" t="s">
        <v>28</v>
      </c>
      <c r="E2741" s="7" t="s">
        <v>29</v>
      </c>
      <c r="F2741" s="7" t="s">
        <v>124</v>
      </c>
      <c r="G2741" s="7">
        <v>101.3691</v>
      </c>
      <c r="H2741" s="7"/>
    </row>
    <row r="2742" spans="1:8" x14ac:dyDescent="0.35">
      <c r="A2742" s="7" t="s">
        <v>355</v>
      </c>
      <c r="B2742" s="7" t="s">
        <v>26</v>
      </c>
      <c r="C2742" s="7" t="s">
        <v>27</v>
      </c>
      <c r="D2742" s="7" t="s">
        <v>28</v>
      </c>
      <c r="E2742" s="7" t="s">
        <v>29</v>
      </c>
      <c r="F2742" s="7" t="s">
        <v>125</v>
      </c>
      <c r="G2742" s="7">
        <v>101.3754</v>
      </c>
      <c r="H2742" s="7"/>
    </row>
    <row r="2743" spans="1:8" x14ac:dyDescent="0.35">
      <c r="A2743" s="7" t="s">
        <v>355</v>
      </c>
      <c r="B2743" s="7" t="s">
        <v>26</v>
      </c>
      <c r="C2743" s="7" t="s">
        <v>27</v>
      </c>
      <c r="D2743" s="7" t="s">
        <v>28</v>
      </c>
      <c r="E2743" s="7" t="s">
        <v>29</v>
      </c>
      <c r="F2743" s="7" t="s">
        <v>126</v>
      </c>
      <c r="G2743" s="7">
        <v>101.4226</v>
      </c>
      <c r="H2743" s="7"/>
    </row>
    <row r="2744" spans="1:8" x14ac:dyDescent="0.35">
      <c r="A2744" s="7" t="s">
        <v>355</v>
      </c>
      <c r="B2744" s="7" t="s">
        <v>26</v>
      </c>
      <c r="C2744" s="7" t="s">
        <v>27</v>
      </c>
      <c r="D2744" s="7" t="s">
        <v>28</v>
      </c>
      <c r="E2744" s="7" t="s">
        <v>29</v>
      </c>
      <c r="F2744" s="7" t="s">
        <v>127</v>
      </c>
      <c r="G2744" s="7">
        <v>101.66289999999999</v>
      </c>
      <c r="H2744" s="7"/>
    </row>
    <row r="2745" spans="1:8" x14ac:dyDescent="0.35">
      <c r="A2745" s="7" t="s">
        <v>355</v>
      </c>
      <c r="B2745" s="7" t="s">
        <v>26</v>
      </c>
      <c r="C2745" s="7" t="s">
        <v>27</v>
      </c>
      <c r="D2745" s="7" t="s">
        <v>28</v>
      </c>
      <c r="E2745" s="7" t="s">
        <v>29</v>
      </c>
      <c r="F2745" s="7" t="s">
        <v>128</v>
      </c>
      <c r="G2745" s="7">
        <v>101.9618</v>
      </c>
      <c r="H2745" s="7"/>
    </row>
    <row r="2746" spans="1:8" x14ac:dyDescent="0.35">
      <c r="A2746" s="7" t="s">
        <v>355</v>
      </c>
      <c r="B2746" s="7" t="s">
        <v>26</v>
      </c>
      <c r="C2746" s="7" t="s">
        <v>27</v>
      </c>
      <c r="D2746" s="7" t="s">
        <v>28</v>
      </c>
      <c r="E2746" s="7" t="s">
        <v>29</v>
      </c>
      <c r="F2746" s="7" t="s">
        <v>129</v>
      </c>
      <c r="G2746" s="7">
        <v>102.21550000000001</v>
      </c>
      <c r="H2746" s="7"/>
    </row>
    <row r="2747" spans="1:8" x14ac:dyDescent="0.35">
      <c r="A2747" s="7" t="s">
        <v>355</v>
      </c>
      <c r="B2747" s="7" t="s">
        <v>26</v>
      </c>
      <c r="C2747" s="7" t="s">
        <v>27</v>
      </c>
      <c r="D2747" s="7" t="s">
        <v>28</v>
      </c>
      <c r="E2747" s="7" t="s">
        <v>29</v>
      </c>
      <c r="F2747" s="7" t="s">
        <v>130</v>
      </c>
      <c r="G2747" s="7">
        <v>102.4512</v>
      </c>
      <c r="H2747" s="7"/>
    </row>
    <row r="2748" spans="1:8" x14ac:dyDescent="0.35">
      <c r="A2748" s="7" t="s">
        <v>355</v>
      </c>
      <c r="B2748" s="7" t="s">
        <v>26</v>
      </c>
      <c r="C2748" s="7" t="s">
        <v>27</v>
      </c>
      <c r="D2748" s="7" t="s">
        <v>28</v>
      </c>
      <c r="E2748" s="7" t="s">
        <v>29</v>
      </c>
      <c r="F2748" s="7" t="s">
        <v>131</v>
      </c>
      <c r="G2748" s="7">
        <v>102.57259999999999</v>
      </c>
      <c r="H2748" s="7"/>
    </row>
    <row r="2749" spans="1:8" x14ac:dyDescent="0.35">
      <c r="A2749" s="7" t="s">
        <v>355</v>
      </c>
      <c r="B2749" s="7" t="s">
        <v>26</v>
      </c>
      <c r="C2749" s="7" t="s">
        <v>27</v>
      </c>
      <c r="D2749" s="7" t="s">
        <v>28</v>
      </c>
      <c r="E2749" s="7" t="s">
        <v>29</v>
      </c>
      <c r="F2749" s="7" t="s">
        <v>132</v>
      </c>
      <c r="G2749" s="7">
        <v>102.64319999999999</v>
      </c>
      <c r="H2749" s="7"/>
    </row>
    <row r="2750" spans="1:8" x14ac:dyDescent="0.35">
      <c r="A2750" s="7" t="s">
        <v>355</v>
      </c>
      <c r="B2750" s="7" t="s">
        <v>26</v>
      </c>
      <c r="C2750" s="7" t="s">
        <v>27</v>
      </c>
      <c r="D2750" s="7" t="s">
        <v>28</v>
      </c>
      <c r="E2750" s="7" t="s">
        <v>29</v>
      </c>
      <c r="F2750" s="7" t="s">
        <v>133</v>
      </c>
      <c r="G2750" s="7">
        <v>102.70440000000001</v>
      </c>
      <c r="H2750" s="7"/>
    </row>
    <row r="2751" spans="1:8" x14ac:dyDescent="0.35">
      <c r="A2751" s="7" t="s">
        <v>355</v>
      </c>
      <c r="B2751" s="7" t="s">
        <v>26</v>
      </c>
      <c r="C2751" s="7" t="s">
        <v>27</v>
      </c>
      <c r="D2751" s="7" t="s">
        <v>28</v>
      </c>
      <c r="E2751" s="7" t="s">
        <v>29</v>
      </c>
      <c r="F2751" s="7" t="s">
        <v>134</v>
      </c>
      <c r="G2751" s="7">
        <v>102.6454</v>
      </c>
      <c r="H2751" s="7"/>
    </row>
    <row r="2752" spans="1:8" x14ac:dyDescent="0.35">
      <c r="A2752" s="7" t="s">
        <v>355</v>
      </c>
      <c r="B2752" s="7" t="s">
        <v>26</v>
      </c>
      <c r="C2752" s="7" t="s">
        <v>27</v>
      </c>
      <c r="D2752" s="7" t="s">
        <v>28</v>
      </c>
      <c r="E2752" s="7" t="s">
        <v>29</v>
      </c>
      <c r="F2752" s="7" t="s">
        <v>135</v>
      </c>
      <c r="G2752" s="7">
        <v>102.54089999999999</v>
      </c>
      <c r="H2752" s="7"/>
    </row>
    <row r="2753" spans="1:8" x14ac:dyDescent="0.35">
      <c r="A2753" s="7" t="s">
        <v>355</v>
      </c>
      <c r="B2753" s="7" t="s">
        <v>26</v>
      </c>
      <c r="C2753" s="7" t="s">
        <v>27</v>
      </c>
      <c r="D2753" s="7" t="s">
        <v>28</v>
      </c>
      <c r="E2753" s="7" t="s">
        <v>29</v>
      </c>
      <c r="F2753" s="7" t="s">
        <v>136</v>
      </c>
      <c r="G2753" s="7">
        <v>102.271</v>
      </c>
      <c r="H2753" s="7"/>
    </row>
    <row r="2754" spans="1:8" x14ac:dyDescent="0.35">
      <c r="A2754" s="7" t="s">
        <v>355</v>
      </c>
      <c r="B2754" s="7" t="s">
        <v>26</v>
      </c>
      <c r="C2754" s="7" t="s">
        <v>27</v>
      </c>
      <c r="D2754" s="7" t="s">
        <v>28</v>
      </c>
      <c r="E2754" s="7" t="s">
        <v>29</v>
      </c>
      <c r="F2754" s="7" t="s">
        <v>137</v>
      </c>
      <c r="G2754" s="7">
        <v>101.925</v>
      </c>
      <c r="H2754" s="7"/>
    </row>
    <row r="2755" spans="1:8" x14ac:dyDescent="0.35">
      <c r="A2755" s="7" t="s">
        <v>355</v>
      </c>
      <c r="B2755" s="7" t="s">
        <v>26</v>
      </c>
      <c r="C2755" s="7" t="s">
        <v>27</v>
      </c>
      <c r="D2755" s="7" t="s">
        <v>28</v>
      </c>
      <c r="E2755" s="7" t="s">
        <v>29</v>
      </c>
      <c r="F2755" s="7" t="s">
        <v>138</v>
      </c>
      <c r="G2755" s="7">
        <v>101.5134</v>
      </c>
      <c r="H2755" s="7"/>
    </row>
    <row r="2756" spans="1:8" x14ac:dyDescent="0.35">
      <c r="A2756" s="7" t="s">
        <v>355</v>
      </c>
      <c r="B2756" s="7" t="s">
        <v>26</v>
      </c>
      <c r="C2756" s="7" t="s">
        <v>27</v>
      </c>
      <c r="D2756" s="7" t="s">
        <v>28</v>
      </c>
      <c r="E2756" s="7" t="s">
        <v>29</v>
      </c>
      <c r="F2756" s="7" t="s">
        <v>139</v>
      </c>
      <c r="G2756" s="7">
        <v>101.0149</v>
      </c>
      <c r="H2756" s="7"/>
    </row>
    <row r="2757" spans="1:8" x14ac:dyDescent="0.35">
      <c r="A2757" s="7" t="s">
        <v>355</v>
      </c>
      <c r="B2757" s="7" t="s">
        <v>26</v>
      </c>
      <c r="C2757" s="7" t="s">
        <v>27</v>
      </c>
      <c r="D2757" s="7" t="s">
        <v>28</v>
      </c>
      <c r="E2757" s="7" t="s">
        <v>29</v>
      </c>
      <c r="F2757" s="7" t="s">
        <v>140</v>
      </c>
      <c r="G2757" s="7">
        <v>100.5485</v>
      </c>
      <c r="H2757" s="7"/>
    </row>
    <row r="2758" spans="1:8" x14ac:dyDescent="0.35">
      <c r="A2758" s="7" t="s">
        <v>355</v>
      </c>
      <c r="B2758" s="7" t="s">
        <v>26</v>
      </c>
      <c r="C2758" s="7" t="s">
        <v>27</v>
      </c>
      <c r="D2758" s="7" t="s">
        <v>28</v>
      </c>
      <c r="E2758" s="7" t="s">
        <v>29</v>
      </c>
      <c r="F2758" s="7" t="s">
        <v>141</v>
      </c>
      <c r="G2758" s="7">
        <v>100.1155</v>
      </c>
      <c r="H2758" s="7"/>
    </row>
    <row r="2759" spans="1:8" x14ac:dyDescent="0.35">
      <c r="A2759" s="7" t="s">
        <v>355</v>
      </c>
      <c r="B2759" s="7" t="s">
        <v>26</v>
      </c>
      <c r="C2759" s="7" t="s">
        <v>27</v>
      </c>
      <c r="D2759" s="7" t="s">
        <v>28</v>
      </c>
      <c r="E2759" s="7" t="s">
        <v>29</v>
      </c>
      <c r="F2759" s="7" t="s">
        <v>142</v>
      </c>
      <c r="G2759" s="7">
        <v>99.666359999999997</v>
      </c>
      <c r="H2759" s="7"/>
    </row>
    <row r="2760" spans="1:8" x14ac:dyDescent="0.35">
      <c r="A2760" s="7" t="s">
        <v>355</v>
      </c>
      <c r="B2760" s="7" t="s">
        <v>26</v>
      </c>
      <c r="C2760" s="7" t="s">
        <v>27</v>
      </c>
      <c r="D2760" s="7" t="s">
        <v>28</v>
      </c>
      <c r="E2760" s="7" t="s">
        <v>29</v>
      </c>
      <c r="F2760" s="7" t="s">
        <v>143</v>
      </c>
      <c r="G2760" s="7">
        <v>99.255420000000001</v>
      </c>
      <c r="H2760" s="7"/>
    </row>
    <row r="2761" spans="1:8" x14ac:dyDescent="0.35">
      <c r="A2761" s="7" t="s">
        <v>355</v>
      </c>
      <c r="B2761" s="7" t="s">
        <v>26</v>
      </c>
      <c r="C2761" s="7" t="s">
        <v>27</v>
      </c>
      <c r="D2761" s="7" t="s">
        <v>28</v>
      </c>
      <c r="E2761" s="7" t="s">
        <v>29</v>
      </c>
      <c r="F2761" s="7" t="s">
        <v>144</v>
      </c>
      <c r="G2761" s="7">
        <v>99.150940000000006</v>
      </c>
      <c r="H2761" s="7"/>
    </row>
    <row r="2762" spans="1:8" x14ac:dyDescent="0.35">
      <c r="A2762" s="7" t="s">
        <v>355</v>
      </c>
      <c r="B2762" s="7" t="s">
        <v>26</v>
      </c>
      <c r="C2762" s="7" t="s">
        <v>27</v>
      </c>
      <c r="D2762" s="7" t="s">
        <v>28</v>
      </c>
      <c r="E2762" s="7" t="s">
        <v>29</v>
      </c>
      <c r="F2762" s="7" t="s">
        <v>145</v>
      </c>
      <c r="G2762" s="7">
        <v>99.209860000000006</v>
      </c>
      <c r="H2762" s="7"/>
    </row>
    <row r="2763" spans="1:8" x14ac:dyDescent="0.35">
      <c r="A2763" s="7" t="s">
        <v>355</v>
      </c>
      <c r="B2763" s="7" t="s">
        <v>26</v>
      </c>
      <c r="C2763" s="7" t="s">
        <v>27</v>
      </c>
      <c r="D2763" s="7" t="s">
        <v>28</v>
      </c>
      <c r="E2763" s="7" t="s">
        <v>29</v>
      </c>
      <c r="F2763" s="7" t="s">
        <v>146</v>
      </c>
      <c r="G2763" s="7">
        <v>98.962299999999999</v>
      </c>
      <c r="H2763" s="7"/>
    </row>
    <row r="2764" spans="1:8" x14ac:dyDescent="0.35">
      <c r="A2764" s="7" t="s">
        <v>355</v>
      </c>
      <c r="B2764" s="7" t="s">
        <v>26</v>
      </c>
      <c r="C2764" s="7" t="s">
        <v>27</v>
      </c>
      <c r="D2764" s="7" t="s">
        <v>28</v>
      </c>
      <c r="E2764" s="7" t="s">
        <v>29</v>
      </c>
      <c r="F2764" s="7" t="s">
        <v>147</v>
      </c>
      <c r="G2764" s="7">
        <v>98.409580000000005</v>
      </c>
      <c r="H2764" s="7"/>
    </row>
    <row r="2765" spans="1:8" x14ac:dyDescent="0.35">
      <c r="A2765" s="7" t="s">
        <v>355</v>
      </c>
      <c r="B2765" s="7" t="s">
        <v>26</v>
      </c>
      <c r="C2765" s="7" t="s">
        <v>27</v>
      </c>
      <c r="D2765" s="7" t="s">
        <v>28</v>
      </c>
      <c r="E2765" s="7" t="s">
        <v>29</v>
      </c>
      <c r="F2765" s="7" t="s">
        <v>148</v>
      </c>
      <c r="G2765" s="7">
        <v>97.873249999999999</v>
      </c>
      <c r="H2765" s="7"/>
    </row>
    <row r="2766" spans="1:8" x14ac:dyDescent="0.35">
      <c r="A2766" s="7" t="s">
        <v>355</v>
      </c>
      <c r="B2766" s="7" t="s">
        <v>26</v>
      </c>
      <c r="C2766" s="7" t="s">
        <v>27</v>
      </c>
      <c r="D2766" s="7" t="s">
        <v>28</v>
      </c>
      <c r="E2766" s="7" t="s">
        <v>29</v>
      </c>
      <c r="F2766" s="7" t="s">
        <v>149</v>
      </c>
      <c r="G2766" s="7">
        <v>97.650949999999995</v>
      </c>
      <c r="H2766" s="7"/>
    </row>
    <row r="2767" spans="1:8" x14ac:dyDescent="0.35">
      <c r="A2767" s="7" t="s">
        <v>355</v>
      </c>
      <c r="B2767" s="7" t="s">
        <v>26</v>
      </c>
      <c r="C2767" s="7" t="s">
        <v>27</v>
      </c>
      <c r="D2767" s="7" t="s">
        <v>28</v>
      </c>
      <c r="E2767" s="7" t="s">
        <v>29</v>
      </c>
      <c r="F2767" s="7" t="s">
        <v>150</v>
      </c>
      <c r="G2767" s="7">
        <v>97.77561</v>
      </c>
      <c r="H2767" s="7"/>
    </row>
    <row r="2768" spans="1:8" x14ac:dyDescent="0.35">
      <c r="A2768" s="7" t="s">
        <v>355</v>
      </c>
      <c r="B2768" s="7" t="s">
        <v>26</v>
      </c>
      <c r="C2768" s="7" t="s">
        <v>27</v>
      </c>
      <c r="D2768" s="7" t="s">
        <v>28</v>
      </c>
      <c r="E2768" s="7" t="s">
        <v>29</v>
      </c>
      <c r="F2768" s="7" t="s">
        <v>151</v>
      </c>
      <c r="G2768" s="7">
        <v>98.197810000000004</v>
      </c>
      <c r="H2768" s="7"/>
    </row>
    <row r="2769" spans="1:8" x14ac:dyDescent="0.35">
      <c r="A2769" s="7" t="s">
        <v>355</v>
      </c>
      <c r="B2769" s="7" t="s">
        <v>26</v>
      </c>
      <c r="C2769" s="7" t="s">
        <v>27</v>
      </c>
      <c r="D2769" s="7" t="s">
        <v>28</v>
      </c>
      <c r="E2769" s="7" t="s">
        <v>29</v>
      </c>
      <c r="F2769" s="7" t="s">
        <v>152</v>
      </c>
      <c r="G2769" s="7">
        <v>98.760819999999995</v>
      </c>
      <c r="H2769" s="7"/>
    </row>
    <row r="2770" spans="1:8" x14ac:dyDescent="0.35">
      <c r="A2770" s="7" t="s">
        <v>355</v>
      </c>
      <c r="B2770" s="7" t="s">
        <v>26</v>
      </c>
      <c r="C2770" s="7" t="s">
        <v>27</v>
      </c>
      <c r="D2770" s="7" t="s">
        <v>28</v>
      </c>
      <c r="E2770" s="7" t="s">
        <v>29</v>
      </c>
      <c r="F2770" s="7" t="s">
        <v>153</v>
      </c>
      <c r="G2770" s="7">
        <v>99.475849999999994</v>
      </c>
      <c r="H2770" s="7"/>
    </row>
    <row r="2771" spans="1:8" x14ac:dyDescent="0.35">
      <c r="A2771" s="7" t="s">
        <v>355</v>
      </c>
      <c r="B2771" s="7" t="s">
        <v>26</v>
      </c>
      <c r="C2771" s="7" t="s">
        <v>27</v>
      </c>
      <c r="D2771" s="7" t="s">
        <v>28</v>
      </c>
      <c r="E2771" s="7" t="s">
        <v>29</v>
      </c>
      <c r="F2771" s="7" t="s">
        <v>154</v>
      </c>
      <c r="G2771" s="7">
        <v>99.979029999999995</v>
      </c>
      <c r="H2771" s="7"/>
    </row>
    <row r="2772" spans="1:8" x14ac:dyDescent="0.35">
      <c r="A2772" s="7" t="s">
        <v>355</v>
      </c>
      <c r="B2772" s="7" t="s">
        <v>26</v>
      </c>
      <c r="C2772" s="7" t="s">
        <v>27</v>
      </c>
      <c r="D2772" s="7" t="s">
        <v>28</v>
      </c>
      <c r="E2772" s="7" t="s">
        <v>29</v>
      </c>
      <c r="F2772" s="7" t="s">
        <v>155</v>
      </c>
      <c r="G2772" s="7">
        <v>100.0718</v>
      </c>
      <c r="H2772" s="7"/>
    </row>
    <row r="2773" spans="1:8" x14ac:dyDescent="0.35">
      <c r="A2773" s="7" t="s">
        <v>355</v>
      </c>
      <c r="B2773" s="7" t="s">
        <v>26</v>
      </c>
      <c r="C2773" s="7" t="s">
        <v>27</v>
      </c>
      <c r="D2773" s="7" t="s">
        <v>28</v>
      </c>
      <c r="E2773" s="7" t="s">
        <v>29</v>
      </c>
      <c r="F2773" s="7" t="s">
        <v>156</v>
      </c>
      <c r="G2773" s="7">
        <v>100.13460000000001</v>
      </c>
      <c r="H2773" s="7"/>
    </row>
    <row r="2774" spans="1:8" x14ac:dyDescent="0.35">
      <c r="A2774" s="7" t="s">
        <v>355</v>
      </c>
      <c r="B2774" s="7" t="s">
        <v>26</v>
      </c>
      <c r="C2774" s="7" t="s">
        <v>27</v>
      </c>
      <c r="D2774" s="7" t="s">
        <v>28</v>
      </c>
      <c r="E2774" s="7" t="s">
        <v>29</v>
      </c>
      <c r="F2774" s="7" t="s">
        <v>157</v>
      </c>
      <c r="G2774" s="7">
        <v>100.3762</v>
      </c>
      <c r="H2774" s="7"/>
    </row>
    <row r="2775" spans="1:8" x14ac:dyDescent="0.35">
      <c r="A2775" s="7" t="s">
        <v>355</v>
      </c>
      <c r="B2775" s="7" t="s">
        <v>26</v>
      </c>
      <c r="C2775" s="7" t="s">
        <v>27</v>
      </c>
      <c r="D2775" s="7" t="s">
        <v>28</v>
      </c>
      <c r="E2775" s="7" t="s">
        <v>29</v>
      </c>
      <c r="F2775" s="7" t="s">
        <v>158</v>
      </c>
      <c r="G2775" s="7">
        <v>100.5121</v>
      </c>
      <c r="H2775" s="7"/>
    </row>
    <row r="2776" spans="1:8" x14ac:dyDescent="0.35">
      <c r="A2776" s="7" t="s">
        <v>355</v>
      </c>
      <c r="B2776" s="7" t="s">
        <v>26</v>
      </c>
      <c r="C2776" s="7" t="s">
        <v>27</v>
      </c>
      <c r="D2776" s="7" t="s">
        <v>28</v>
      </c>
      <c r="E2776" s="7" t="s">
        <v>29</v>
      </c>
      <c r="F2776" s="7" t="s">
        <v>159</v>
      </c>
      <c r="G2776" s="7">
        <v>100.4794</v>
      </c>
      <c r="H2776" s="7"/>
    </row>
    <row r="2777" spans="1:8" x14ac:dyDescent="0.35">
      <c r="A2777" s="7" t="s">
        <v>355</v>
      </c>
      <c r="B2777" s="7" t="s">
        <v>26</v>
      </c>
      <c r="C2777" s="7" t="s">
        <v>27</v>
      </c>
      <c r="D2777" s="7" t="s">
        <v>28</v>
      </c>
      <c r="E2777" s="7" t="s">
        <v>29</v>
      </c>
      <c r="F2777" s="7" t="s">
        <v>160</v>
      </c>
      <c r="G2777" s="7">
        <v>100.30070000000001</v>
      </c>
      <c r="H2777" s="7"/>
    </row>
    <row r="2778" spans="1:8" x14ac:dyDescent="0.35">
      <c r="A2778" s="7" t="s">
        <v>355</v>
      </c>
      <c r="B2778" s="7" t="s">
        <v>26</v>
      </c>
      <c r="C2778" s="7" t="s">
        <v>27</v>
      </c>
      <c r="D2778" s="7" t="s">
        <v>28</v>
      </c>
      <c r="E2778" s="7" t="s">
        <v>29</v>
      </c>
      <c r="F2778" s="7" t="s">
        <v>161</v>
      </c>
      <c r="G2778" s="7">
        <v>99.957790000000003</v>
      </c>
      <c r="H2778" s="7"/>
    </row>
    <row r="2779" spans="1:8" x14ac:dyDescent="0.35">
      <c r="A2779" s="7" t="s">
        <v>355</v>
      </c>
      <c r="B2779" s="7" t="s">
        <v>26</v>
      </c>
      <c r="C2779" s="7" t="s">
        <v>27</v>
      </c>
      <c r="D2779" s="7" t="s">
        <v>28</v>
      </c>
      <c r="E2779" s="7" t="s">
        <v>29</v>
      </c>
      <c r="F2779" s="7" t="s">
        <v>162</v>
      </c>
      <c r="G2779" s="7">
        <v>99.749309999999994</v>
      </c>
      <c r="H2779" s="7"/>
    </row>
    <row r="2780" spans="1:8" x14ac:dyDescent="0.35">
      <c r="A2780" s="7" t="s">
        <v>355</v>
      </c>
      <c r="B2780" s="7" t="s">
        <v>26</v>
      </c>
      <c r="C2780" s="7" t="s">
        <v>27</v>
      </c>
      <c r="D2780" s="7" t="s">
        <v>28</v>
      </c>
      <c r="E2780" s="7" t="s">
        <v>29</v>
      </c>
      <c r="F2780" s="7" t="s">
        <v>163</v>
      </c>
      <c r="G2780" s="7">
        <v>99.478020000000001</v>
      </c>
      <c r="H2780" s="7"/>
    </row>
    <row r="2781" spans="1:8" x14ac:dyDescent="0.35">
      <c r="A2781" s="7" t="s">
        <v>355</v>
      </c>
      <c r="B2781" s="7" t="s">
        <v>26</v>
      </c>
      <c r="C2781" s="7" t="s">
        <v>27</v>
      </c>
      <c r="D2781" s="7" t="s">
        <v>28</v>
      </c>
      <c r="E2781" s="7" t="s">
        <v>29</v>
      </c>
      <c r="F2781" s="7" t="s">
        <v>164</v>
      </c>
      <c r="G2781" s="7">
        <v>99.097660000000005</v>
      </c>
      <c r="H2781" s="7"/>
    </row>
    <row r="2782" spans="1:8" x14ac:dyDescent="0.35">
      <c r="A2782" s="7" t="s">
        <v>355</v>
      </c>
      <c r="B2782" s="7" t="s">
        <v>26</v>
      </c>
      <c r="C2782" s="7" t="s">
        <v>27</v>
      </c>
      <c r="D2782" s="7" t="s">
        <v>28</v>
      </c>
      <c r="E2782" s="7" t="s">
        <v>29</v>
      </c>
      <c r="F2782" s="7" t="s">
        <v>165</v>
      </c>
      <c r="G2782" s="7">
        <v>98.745059999999995</v>
      </c>
      <c r="H2782" s="7"/>
    </row>
    <row r="2783" spans="1:8" x14ac:dyDescent="0.35">
      <c r="A2783" s="7" t="s">
        <v>355</v>
      </c>
      <c r="B2783" s="7" t="s">
        <v>26</v>
      </c>
      <c r="C2783" s="7" t="s">
        <v>27</v>
      </c>
      <c r="D2783" s="7" t="s">
        <v>28</v>
      </c>
      <c r="E2783" s="7" t="s">
        <v>29</v>
      </c>
      <c r="F2783" s="7" t="s">
        <v>166</v>
      </c>
      <c r="G2783" s="7">
        <v>98.482830000000007</v>
      </c>
      <c r="H2783" s="7"/>
    </row>
    <row r="2784" spans="1:8" x14ac:dyDescent="0.35">
      <c r="A2784" s="7" t="s">
        <v>355</v>
      </c>
      <c r="B2784" s="7" t="s">
        <v>26</v>
      </c>
      <c r="C2784" s="7" t="s">
        <v>27</v>
      </c>
      <c r="D2784" s="7" t="s">
        <v>28</v>
      </c>
      <c r="E2784" s="7" t="s">
        <v>29</v>
      </c>
      <c r="F2784" s="7" t="s">
        <v>167</v>
      </c>
      <c r="G2784" s="7">
        <v>98.412800000000004</v>
      </c>
      <c r="H2784" s="7"/>
    </row>
    <row r="2785" spans="1:8" x14ac:dyDescent="0.35">
      <c r="A2785" s="7" t="s">
        <v>355</v>
      </c>
      <c r="B2785" s="7" t="s">
        <v>26</v>
      </c>
      <c r="C2785" s="7" t="s">
        <v>27</v>
      </c>
      <c r="D2785" s="7" t="s">
        <v>28</v>
      </c>
      <c r="E2785" s="7" t="s">
        <v>29</v>
      </c>
      <c r="F2785" s="7" t="s">
        <v>168</v>
      </c>
      <c r="G2785" s="7">
        <v>98.499859999999998</v>
      </c>
      <c r="H2785" s="7"/>
    </row>
    <row r="2786" spans="1:8" x14ac:dyDescent="0.35">
      <c r="A2786" s="7" t="s">
        <v>355</v>
      </c>
      <c r="B2786" s="7" t="s">
        <v>26</v>
      </c>
      <c r="C2786" s="7" t="s">
        <v>27</v>
      </c>
      <c r="D2786" s="7" t="s">
        <v>28</v>
      </c>
      <c r="E2786" s="7" t="s">
        <v>29</v>
      </c>
      <c r="F2786" s="7" t="s">
        <v>169</v>
      </c>
      <c r="G2786" s="7">
        <v>98.721599999999995</v>
      </c>
      <c r="H2786" s="7"/>
    </row>
    <row r="2787" spans="1:8" x14ac:dyDescent="0.35">
      <c r="A2787" s="7" t="s">
        <v>355</v>
      </c>
      <c r="B2787" s="7" t="s">
        <v>26</v>
      </c>
      <c r="C2787" s="7" t="s">
        <v>27</v>
      </c>
      <c r="D2787" s="7" t="s">
        <v>28</v>
      </c>
      <c r="E2787" s="7" t="s">
        <v>29</v>
      </c>
      <c r="F2787" s="7" t="s">
        <v>170</v>
      </c>
      <c r="G2787" s="7">
        <v>99.041139999999999</v>
      </c>
      <c r="H2787" s="7"/>
    </row>
    <row r="2788" spans="1:8" x14ac:dyDescent="0.35">
      <c r="A2788" s="7" t="s">
        <v>355</v>
      </c>
      <c r="B2788" s="7" t="s">
        <v>26</v>
      </c>
      <c r="C2788" s="7" t="s">
        <v>27</v>
      </c>
      <c r="D2788" s="7" t="s">
        <v>28</v>
      </c>
      <c r="E2788" s="7" t="s">
        <v>29</v>
      </c>
      <c r="F2788" s="7" t="s">
        <v>171</v>
      </c>
      <c r="G2788" s="7">
        <v>99.265090000000001</v>
      </c>
      <c r="H2788" s="7"/>
    </row>
    <row r="2789" spans="1:8" x14ac:dyDescent="0.35">
      <c r="A2789" s="7" t="s">
        <v>355</v>
      </c>
      <c r="B2789" s="7" t="s">
        <v>26</v>
      </c>
      <c r="C2789" s="7" t="s">
        <v>27</v>
      </c>
      <c r="D2789" s="7" t="s">
        <v>28</v>
      </c>
      <c r="E2789" s="7" t="s">
        <v>29</v>
      </c>
      <c r="F2789" s="7" t="s">
        <v>172</v>
      </c>
      <c r="G2789" s="7">
        <v>99.301900000000003</v>
      </c>
      <c r="H2789" s="7"/>
    </row>
    <row r="2790" spans="1:8" x14ac:dyDescent="0.35">
      <c r="A2790" s="7" t="s">
        <v>355</v>
      </c>
      <c r="B2790" s="7" t="s">
        <v>26</v>
      </c>
      <c r="C2790" s="7" t="s">
        <v>27</v>
      </c>
      <c r="D2790" s="7" t="s">
        <v>28</v>
      </c>
      <c r="E2790" s="7" t="s">
        <v>29</v>
      </c>
      <c r="F2790" s="7" t="s">
        <v>173</v>
      </c>
      <c r="G2790" s="7">
        <v>99.057460000000006</v>
      </c>
      <c r="H2790" s="7"/>
    </row>
    <row r="2791" spans="1:8" x14ac:dyDescent="0.35">
      <c r="A2791" s="7" t="s">
        <v>355</v>
      </c>
      <c r="B2791" s="7" t="s">
        <v>26</v>
      </c>
      <c r="C2791" s="7" t="s">
        <v>27</v>
      </c>
      <c r="D2791" s="7" t="s">
        <v>28</v>
      </c>
      <c r="E2791" s="7" t="s">
        <v>29</v>
      </c>
      <c r="F2791" s="7" t="s">
        <v>174</v>
      </c>
      <c r="G2791" s="7">
        <v>98.757109999999997</v>
      </c>
      <c r="H2791" s="7"/>
    </row>
    <row r="2792" spans="1:8" x14ac:dyDescent="0.35">
      <c r="A2792" s="7" t="s">
        <v>355</v>
      </c>
      <c r="B2792" s="7" t="s">
        <v>26</v>
      </c>
      <c r="C2792" s="7" t="s">
        <v>27</v>
      </c>
      <c r="D2792" s="7" t="s">
        <v>28</v>
      </c>
      <c r="E2792" s="7" t="s">
        <v>29</v>
      </c>
      <c r="F2792" s="7" t="s">
        <v>175</v>
      </c>
      <c r="G2792" s="7">
        <v>98.651889999999995</v>
      </c>
      <c r="H2792" s="7"/>
    </row>
    <row r="2793" spans="1:8" x14ac:dyDescent="0.35">
      <c r="A2793" s="7" t="s">
        <v>355</v>
      </c>
      <c r="B2793" s="7" t="s">
        <v>26</v>
      </c>
      <c r="C2793" s="7" t="s">
        <v>27</v>
      </c>
      <c r="D2793" s="7" t="s">
        <v>28</v>
      </c>
      <c r="E2793" s="7" t="s">
        <v>29</v>
      </c>
      <c r="F2793" s="7" t="s">
        <v>176</v>
      </c>
      <c r="G2793" s="7">
        <v>98.741039999999998</v>
      </c>
      <c r="H2793" s="7"/>
    </row>
    <row r="2794" spans="1:8" x14ac:dyDescent="0.35">
      <c r="A2794" s="7" t="s">
        <v>355</v>
      </c>
      <c r="B2794" s="7" t="s">
        <v>26</v>
      </c>
      <c r="C2794" s="7" t="s">
        <v>27</v>
      </c>
      <c r="D2794" s="7" t="s">
        <v>28</v>
      </c>
      <c r="E2794" s="7" t="s">
        <v>29</v>
      </c>
      <c r="F2794" s="7" t="s">
        <v>177</v>
      </c>
      <c r="G2794" s="7">
        <v>98.797439999999995</v>
      </c>
      <c r="H2794" s="7"/>
    </row>
    <row r="2795" spans="1:8" x14ac:dyDescent="0.35">
      <c r="A2795" s="7" t="s">
        <v>355</v>
      </c>
      <c r="B2795" s="7" t="s">
        <v>26</v>
      </c>
      <c r="C2795" s="7" t="s">
        <v>27</v>
      </c>
      <c r="D2795" s="7" t="s">
        <v>28</v>
      </c>
      <c r="E2795" s="7" t="s">
        <v>29</v>
      </c>
      <c r="F2795" s="7" t="s">
        <v>178</v>
      </c>
      <c r="G2795" s="7">
        <v>98.776750000000007</v>
      </c>
      <c r="H2795" s="7"/>
    </row>
    <row r="2796" spans="1:8" x14ac:dyDescent="0.35">
      <c r="A2796" s="7" t="s">
        <v>355</v>
      </c>
      <c r="B2796" s="7" t="s">
        <v>26</v>
      </c>
      <c r="C2796" s="7" t="s">
        <v>27</v>
      </c>
      <c r="D2796" s="7" t="s">
        <v>28</v>
      </c>
      <c r="E2796" s="7" t="s">
        <v>29</v>
      </c>
      <c r="F2796" s="7" t="s">
        <v>179</v>
      </c>
      <c r="G2796" s="7">
        <v>98.880529999999993</v>
      </c>
      <c r="H2796" s="7"/>
    </row>
    <row r="2797" spans="1:8" x14ac:dyDescent="0.35">
      <c r="A2797" s="7" t="s">
        <v>355</v>
      </c>
      <c r="B2797" s="7" t="s">
        <v>26</v>
      </c>
      <c r="C2797" s="7" t="s">
        <v>27</v>
      </c>
      <c r="D2797" s="7" t="s">
        <v>28</v>
      </c>
      <c r="E2797" s="7" t="s">
        <v>29</v>
      </c>
      <c r="F2797" s="7" t="s">
        <v>180</v>
      </c>
      <c r="G2797" s="7">
        <v>98.979079999999996</v>
      </c>
      <c r="H2797" s="7"/>
    </row>
    <row r="2798" spans="1:8" x14ac:dyDescent="0.35">
      <c r="A2798" s="7" t="s">
        <v>355</v>
      </c>
      <c r="B2798" s="7" t="s">
        <v>26</v>
      </c>
      <c r="C2798" s="7" t="s">
        <v>27</v>
      </c>
      <c r="D2798" s="7" t="s">
        <v>28</v>
      </c>
      <c r="E2798" s="7" t="s">
        <v>29</v>
      </c>
      <c r="F2798" s="7" t="s">
        <v>181</v>
      </c>
      <c r="G2798" s="7">
        <v>99.085589999999996</v>
      </c>
      <c r="H2798" s="7"/>
    </row>
    <row r="2799" spans="1:8" x14ac:dyDescent="0.35">
      <c r="A2799" s="7" t="s">
        <v>355</v>
      </c>
      <c r="B2799" s="7" t="s">
        <v>26</v>
      </c>
      <c r="C2799" s="7" t="s">
        <v>27</v>
      </c>
      <c r="D2799" s="7" t="s">
        <v>28</v>
      </c>
      <c r="E2799" s="7" t="s">
        <v>29</v>
      </c>
      <c r="F2799" s="7" t="s">
        <v>182</v>
      </c>
      <c r="G2799" s="7">
        <v>99.138019999999997</v>
      </c>
      <c r="H2799" s="7"/>
    </row>
    <row r="2800" spans="1:8" x14ac:dyDescent="0.35">
      <c r="A2800" s="7" t="s">
        <v>355</v>
      </c>
      <c r="B2800" s="7" t="s">
        <v>26</v>
      </c>
      <c r="C2800" s="7" t="s">
        <v>27</v>
      </c>
      <c r="D2800" s="7" t="s">
        <v>28</v>
      </c>
      <c r="E2800" s="7" t="s">
        <v>29</v>
      </c>
      <c r="F2800" s="7" t="s">
        <v>183</v>
      </c>
      <c r="G2800" s="7">
        <v>99.231380000000001</v>
      </c>
      <c r="H2800" s="7"/>
    </row>
    <row r="2801" spans="1:8" x14ac:dyDescent="0.35">
      <c r="A2801" s="7" t="s">
        <v>355</v>
      </c>
      <c r="B2801" s="7" t="s">
        <v>26</v>
      </c>
      <c r="C2801" s="7" t="s">
        <v>27</v>
      </c>
      <c r="D2801" s="7" t="s">
        <v>28</v>
      </c>
      <c r="E2801" s="7" t="s">
        <v>29</v>
      </c>
      <c r="F2801" s="7" t="s">
        <v>184</v>
      </c>
      <c r="G2801" s="7">
        <v>99.306229999999999</v>
      </c>
      <c r="H2801" s="7"/>
    </row>
    <row r="2802" spans="1:8" x14ac:dyDescent="0.35">
      <c r="A2802" s="7" t="s">
        <v>355</v>
      </c>
      <c r="B2802" s="7" t="s">
        <v>26</v>
      </c>
      <c r="C2802" s="7" t="s">
        <v>27</v>
      </c>
      <c r="D2802" s="7" t="s">
        <v>28</v>
      </c>
      <c r="E2802" s="7" t="s">
        <v>29</v>
      </c>
      <c r="F2802" s="7" t="s">
        <v>185</v>
      </c>
      <c r="G2802" s="7">
        <v>99.37415</v>
      </c>
      <c r="H2802" s="7"/>
    </row>
    <row r="2803" spans="1:8" x14ac:dyDescent="0.35">
      <c r="A2803" s="7" t="s">
        <v>355</v>
      </c>
      <c r="B2803" s="7" t="s">
        <v>26</v>
      </c>
      <c r="C2803" s="7" t="s">
        <v>27</v>
      </c>
      <c r="D2803" s="7" t="s">
        <v>28</v>
      </c>
      <c r="E2803" s="7" t="s">
        <v>29</v>
      </c>
      <c r="F2803" s="7" t="s">
        <v>186</v>
      </c>
      <c r="G2803" s="7">
        <v>99.442959999999999</v>
      </c>
      <c r="H2803" s="7"/>
    </row>
    <row r="2804" spans="1:8" x14ac:dyDescent="0.35">
      <c r="A2804" s="7" t="s">
        <v>355</v>
      </c>
      <c r="B2804" s="7" t="s">
        <v>26</v>
      </c>
      <c r="C2804" s="7" t="s">
        <v>27</v>
      </c>
      <c r="D2804" s="7" t="s">
        <v>28</v>
      </c>
      <c r="E2804" s="7" t="s">
        <v>29</v>
      </c>
      <c r="F2804" s="7" t="s">
        <v>187</v>
      </c>
      <c r="G2804" s="7">
        <v>99.548349999999999</v>
      </c>
      <c r="H2804" s="7"/>
    </row>
    <row r="2805" spans="1:8" x14ac:dyDescent="0.35">
      <c r="A2805" s="7" t="s">
        <v>355</v>
      </c>
      <c r="B2805" s="7" t="s">
        <v>26</v>
      </c>
      <c r="C2805" s="7" t="s">
        <v>27</v>
      </c>
      <c r="D2805" s="7" t="s">
        <v>28</v>
      </c>
      <c r="E2805" s="7" t="s">
        <v>29</v>
      </c>
      <c r="F2805" s="7" t="s">
        <v>188</v>
      </c>
      <c r="G2805" s="7">
        <v>99.545640000000006</v>
      </c>
      <c r="H2805" s="7"/>
    </row>
    <row r="2806" spans="1:8" x14ac:dyDescent="0.35">
      <c r="A2806" s="7" t="s">
        <v>355</v>
      </c>
      <c r="B2806" s="7" t="s">
        <v>26</v>
      </c>
      <c r="C2806" s="7" t="s">
        <v>27</v>
      </c>
      <c r="D2806" s="7" t="s">
        <v>28</v>
      </c>
      <c r="E2806" s="7" t="s">
        <v>29</v>
      </c>
      <c r="F2806" s="7" t="s">
        <v>189</v>
      </c>
      <c r="G2806" s="7">
        <v>99.462710000000001</v>
      </c>
      <c r="H2806" s="7"/>
    </row>
    <row r="2807" spans="1:8" x14ac:dyDescent="0.35">
      <c r="A2807" s="7" t="s">
        <v>355</v>
      </c>
      <c r="B2807" s="7" t="s">
        <v>26</v>
      </c>
      <c r="C2807" s="7" t="s">
        <v>27</v>
      </c>
      <c r="D2807" s="7" t="s">
        <v>28</v>
      </c>
      <c r="E2807" s="7" t="s">
        <v>29</v>
      </c>
      <c r="F2807" s="7" t="s">
        <v>190</v>
      </c>
      <c r="G2807" s="7">
        <v>99.283519999999996</v>
      </c>
      <c r="H2807" s="7"/>
    </row>
    <row r="2808" spans="1:8" x14ac:dyDescent="0.35">
      <c r="A2808" s="7" t="s">
        <v>355</v>
      </c>
      <c r="B2808" s="7" t="s">
        <v>26</v>
      </c>
      <c r="C2808" s="7" t="s">
        <v>27</v>
      </c>
      <c r="D2808" s="7" t="s">
        <v>28</v>
      </c>
      <c r="E2808" s="7" t="s">
        <v>29</v>
      </c>
      <c r="F2808" s="7" t="s">
        <v>191</v>
      </c>
      <c r="G2808" s="7">
        <v>99.031040000000004</v>
      </c>
      <c r="H2808" s="7"/>
    </row>
    <row r="2809" spans="1:8" x14ac:dyDescent="0.35">
      <c r="A2809" s="7" t="s">
        <v>355</v>
      </c>
      <c r="B2809" s="7" t="s">
        <v>26</v>
      </c>
      <c r="C2809" s="7" t="s">
        <v>27</v>
      </c>
      <c r="D2809" s="7" t="s">
        <v>28</v>
      </c>
      <c r="E2809" s="7" t="s">
        <v>29</v>
      </c>
      <c r="F2809" s="7" t="s">
        <v>192</v>
      </c>
      <c r="G2809" s="7">
        <v>98.806920000000005</v>
      </c>
      <c r="H2809" s="7"/>
    </row>
    <row r="2810" spans="1:8" x14ac:dyDescent="0.35">
      <c r="A2810" s="7" t="s">
        <v>355</v>
      </c>
      <c r="B2810" s="7" t="s">
        <v>26</v>
      </c>
      <c r="C2810" s="7" t="s">
        <v>27</v>
      </c>
      <c r="D2810" s="7" t="s">
        <v>28</v>
      </c>
      <c r="E2810" s="7" t="s">
        <v>29</v>
      </c>
      <c r="F2810" s="7" t="s">
        <v>193</v>
      </c>
      <c r="G2810" s="7">
        <v>98.725149999999999</v>
      </c>
      <c r="H2810" s="7"/>
    </row>
    <row r="2811" spans="1:8" x14ac:dyDescent="0.35">
      <c r="A2811" s="7" t="s">
        <v>355</v>
      </c>
      <c r="B2811" s="7" t="s">
        <v>26</v>
      </c>
      <c r="C2811" s="7" t="s">
        <v>27</v>
      </c>
      <c r="D2811" s="7" t="s">
        <v>28</v>
      </c>
      <c r="E2811" s="7" t="s">
        <v>29</v>
      </c>
      <c r="F2811" s="7" t="s">
        <v>194</v>
      </c>
      <c r="G2811" s="7">
        <v>98.797349999999994</v>
      </c>
      <c r="H2811" s="7"/>
    </row>
    <row r="2812" spans="1:8" x14ac:dyDescent="0.35">
      <c r="A2812" s="7" t="s">
        <v>355</v>
      </c>
      <c r="B2812" s="7" t="s">
        <v>26</v>
      </c>
      <c r="C2812" s="7" t="s">
        <v>27</v>
      </c>
      <c r="D2812" s="7" t="s">
        <v>28</v>
      </c>
      <c r="E2812" s="7" t="s">
        <v>29</v>
      </c>
      <c r="F2812" s="7" t="s">
        <v>195</v>
      </c>
      <c r="G2812" s="7">
        <v>98.994609999999994</v>
      </c>
      <c r="H2812" s="7"/>
    </row>
    <row r="2813" spans="1:8" x14ac:dyDescent="0.35">
      <c r="A2813" s="7" t="s">
        <v>355</v>
      </c>
      <c r="B2813" s="7" t="s">
        <v>26</v>
      </c>
      <c r="C2813" s="7" t="s">
        <v>27</v>
      </c>
      <c r="D2813" s="7" t="s">
        <v>28</v>
      </c>
      <c r="E2813" s="7" t="s">
        <v>29</v>
      </c>
      <c r="F2813" s="7" t="s">
        <v>196</v>
      </c>
      <c r="G2813" s="7">
        <v>99.255039999999994</v>
      </c>
      <c r="H2813" s="7"/>
    </row>
    <row r="2814" spans="1:8" x14ac:dyDescent="0.35">
      <c r="A2814" s="7" t="s">
        <v>355</v>
      </c>
      <c r="B2814" s="7" t="s">
        <v>26</v>
      </c>
      <c r="C2814" s="7" t="s">
        <v>27</v>
      </c>
      <c r="D2814" s="7" t="s">
        <v>28</v>
      </c>
      <c r="E2814" s="7" t="s">
        <v>29</v>
      </c>
      <c r="F2814" s="7" t="s">
        <v>197</v>
      </c>
      <c r="G2814" s="7">
        <v>99.445909999999998</v>
      </c>
      <c r="H2814" s="7"/>
    </row>
    <row r="2815" spans="1:8" x14ac:dyDescent="0.35">
      <c r="A2815" s="7" t="s">
        <v>355</v>
      </c>
      <c r="B2815" s="7" t="s">
        <v>26</v>
      </c>
      <c r="C2815" s="7" t="s">
        <v>27</v>
      </c>
      <c r="D2815" s="7" t="s">
        <v>28</v>
      </c>
      <c r="E2815" s="7" t="s">
        <v>29</v>
      </c>
      <c r="F2815" s="7" t="s">
        <v>198</v>
      </c>
      <c r="G2815" s="7">
        <v>99.621399999999994</v>
      </c>
      <c r="H2815" s="7"/>
    </row>
    <row r="2816" spans="1:8" x14ac:dyDescent="0.35">
      <c r="A2816" s="7" t="s">
        <v>355</v>
      </c>
      <c r="B2816" s="7" t="s">
        <v>26</v>
      </c>
      <c r="C2816" s="7" t="s">
        <v>27</v>
      </c>
      <c r="D2816" s="7" t="s">
        <v>28</v>
      </c>
      <c r="E2816" s="7" t="s">
        <v>29</v>
      </c>
      <c r="F2816" s="7" t="s">
        <v>199</v>
      </c>
      <c r="G2816" s="7">
        <v>99.891459999999995</v>
      </c>
      <c r="H2816" s="7"/>
    </row>
    <row r="2817" spans="1:8" x14ac:dyDescent="0.35">
      <c r="A2817" s="7" t="s">
        <v>355</v>
      </c>
      <c r="B2817" s="7" t="s">
        <v>26</v>
      </c>
      <c r="C2817" s="7" t="s">
        <v>27</v>
      </c>
      <c r="D2817" s="7" t="s">
        <v>28</v>
      </c>
      <c r="E2817" s="7" t="s">
        <v>29</v>
      </c>
      <c r="F2817" s="7" t="s">
        <v>200</v>
      </c>
      <c r="G2817" s="7">
        <v>100.1069</v>
      </c>
      <c r="H2817" s="7"/>
    </row>
    <row r="2818" spans="1:8" x14ac:dyDescent="0.35">
      <c r="A2818" s="7" t="s">
        <v>355</v>
      </c>
      <c r="B2818" s="7" t="s">
        <v>26</v>
      </c>
      <c r="C2818" s="7" t="s">
        <v>27</v>
      </c>
      <c r="D2818" s="7" t="s">
        <v>28</v>
      </c>
      <c r="E2818" s="7" t="s">
        <v>29</v>
      </c>
      <c r="F2818" s="7" t="s">
        <v>201</v>
      </c>
      <c r="G2818" s="7">
        <v>100.20699999999999</v>
      </c>
      <c r="H2818" s="7"/>
    </row>
    <row r="2819" spans="1:8" x14ac:dyDescent="0.35">
      <c r="A2819" s="7" t="s">
        <v>355</v>
      </c>
      <c r="B2819" s="7" t="s">
        <v>26</v>
      </c>
      <c r="C2819" s="7" t="s">
        <v>27</v>
      </c>
      <c r="D2819" s="7" t="s">
        <v>28</v>
      </c>
      <c r="E2819" s="7" t="s">
        <v>29</v>
      </c>
      <c r="F2819" s="7" t="s">
        <v>202</v>
      </c>
      <c r="G2819" s="7">
        <v>100.343</v>
      </c>
      <c r="H2819" s="7"/>
    </row>
    <row r="2820" spans="1:8" x14ac:dyDescent="0.35">
      <c r="A2820" s="7" t="s">
        <v>355</v>
      </c>
      <c r="B2820" s="7" t="s">
        <v>26</v>
      </c>
      <c r="C2820" s="7" t="s">
        <v>27</v>
      </c>
      <c r="D2820" s="7" t="s">
        <v>28</v>
      </c>
      <c r="E2820" s="7" t="s">
        <v>29</v>
      </c>
      <c r="F2820" s="7" t="s">
        <v>203</v>
      </c>
      <c r="G2820" s="7">
        <v>100.5586</v>
      </c>
      <c r="H2820" s="7"/>
    </row>
    <row r="2821" spans="1:8" x14ac:dyDescent="0.35">
      <c r="A2821" s="7" t="s">
        <v>355</v>
      </c>
      <c r="B2821" s="7" t="s">
        <v>26</v>
      </c>
      <c r="C2821" s="7" t="s">
        <v>27</v>
      </c>
      <c r="D2821" s="7" t="s">
        <v>28</v>
      </c>
      <c r="E2821" s="7" t="s">
        <v>29</v>
      </c>
      <c r="F2821" s="7" t="s">
        <v>204</v>
      </c>
      <c r="G2821" s="7">
        <v>100.6942</v>
      </c>
      <c r="H2821" s="7"/>
    </row>
    <row r="2822" spans="1:8" x14ac:dyDescent="0.35">
      <c r="A2822" s="7" t="s">
        <v>355</v>
      </c>
      <c r="B2822" s="7" t="s">
        <v>26</v>
      </c>
      <c r="C2822" s="7" t="s">
        <v>27</v>
      </c>
      <c r="D2822" s="7" t="s">
        <v>28</v>
      </c>
      <c r="E2822" s="7" t="s">
        <v>29</v>
      </c>
      <c r="F2822" s="7" t="s">
        <v>205</v>
      </c>
      <c r="G2822" s="7">
        <v>100.6091</v>
      </c>
      <c r="H2822" s="7"/>
    </row>
    <row r="2823" spans="1:8" x14ac:dyDescent="0.35">
      <c r="A2823" s="7" t="s">
        <v>355</v>
      </c>
      <c r="B2823" s="7" t="s">
        <v>26</v>
      </c>
      <c r="C2823" s="7" t="s">
        <v>27</v>
      </c>
      <c r="D2823" s="7" t="s">
        <v>28</v>
      </c>
      <c r="E2823" s="7" t="s">
        <v>29</v>
      </c>
      <c r="F2823" s="7" t="s">
        <v>206</v>
      </c>
      <c r="G2823" s="7">
        <v>100.5646</v>
      </c>
      <c r="H2823" s="7"/>
    </row>
    <row r="2824" spans="1:8" x14ac:dyDescent="0.35">
      <c r="A2824" s="7" t="s">
        <v>355</v>
      </c>
      <c r="B2824" s="7" t="s">
        <v>26</v>
      </c>
      <c r="C2824" s="7" t="s">
        <v>27</v>
      </c>
      <c r="D2824" s="7" t="s">
        <v>28</v>
      </c>
      <c r="E2824" s="7" t="s">
        <v>29</v>
      </c>
      <c r="F2824" s="7" t="s">
        <v>207</v>
      </c>
      <c r="G2824" s="7">
        <v>100.6512</v>
      </c>
      <c r="H2824" s="7"/>
    </row>
    <row r="2825" spans="1:8" x14ac:dyDescent="0.35">
      <c r="A2825" s="7" t="s">
        <v>355</v>
      </c>
      <c r="B2825" s="7" t="s">
        <v>26</v>
      </c>
      <c r="C2825" s="7" t="s">
        <v>27</v>
      </c>
      <c r="D2825" s="7" t="s">
        <v>28</v>
      </c>
      <c r="E2825" s="7" t="s">
        <v>29</v>
      </c>
      <c r="F2825" s="7" t="s">
        <v>208</v>
      </c>
      <c r="G2825" s="7">
        <v>100.9328</v>
      </c>
      <c r="H2825" s="7"/>
    </row>
    <row r="2826" spans="1:8" x14ac:dyDescent="0.35">
      <c r="A2826" s="7" t="s">
        <v>355</v>
      </c>
      <c r="B2826" s="7" t="s">
        <v>26</v>
      </c>
      <c r="C2826" s="7" t="s">
        <v>27</v>
      </c>
      <c r="D2826" s="7" t="s">
        <v>28</v>
      </c>
      <c r="E2826" s="7" t="s">
        <v>29</v>
      </c>
      <c r="F2826" s="7" t="s">
        <v>209</v>
      </c>
      <c r="G2826" s="7">
        <v>101.1806</v>
      </c>
      <c r="H2826" s="7"/>
    </row>
    <row r="2827" spans="1:8" x14ac:dyDescent="0.35">
      <c r="A2827" s="7" t="s">
        <v>355</v>
      </c>
      <c r="B2827" s="7" t="s">
        <v>26</v>
      </c>
      <c r="C2827" s="7" t="s">
        <v>27</v>
      </c>
      <c r="D2827" s="7" t="s">
        <v>28</v>
      </c>
      <c r="E2827" s="7" t="s">
        <v>29</v>
      </c>
      <c r="F2827" s="7" t="s">
        <v>210</v>
      </c>
      <c r="G2827" s="7">
        <v>101.2495</v>
      </c>
      <c r="H2827" s="7"/>
    </row>
    <row r="2828" spans="1:8" x14ac:dyDescent="0.35">
      <c r="A2828" s="7" t="s">
        <v>355</v>
      </c>
      <c r="B2828" s="7" t="s">
        <v>26</v>
      </c>
      <c r="C2828" s="7" t="s">
        <v>27</v>
      </c>
      <c r="D2828" s="7" t="s">
        <v>28</v>
      </c>
      <c r="E2828" s="7" t="s">
        <v>29</v>
      </c>
      <c r="F2828" s="7" t="s">
        <v>211</v>
      </c>
      <c r="G2828" s="7">
        <v>101.3481</v>
      </c>
      <c r="H2828" s="7"/>
    </row>
    <row r="2829" spans="1:8" x14ac:dyDescent="0.35">
      <c r="A2829" s="7" t="s">
        <v>355</v>
      </c>
      <c r="B2829" s="7" t="s">
        <v>26</v>
      </c>
      <c r="C2829" s="7" t="s">
        <v>27</v>
      </c>
      <c r="D2829" s="7" t="s">
        <v>28</v>
      </c>
      <c r="E2829" s="7" t="s">
        <v>29</v>
      </c>
      <c r="F2829" s="7" t="s">
        <v>212</v>
      </c>
      <c r="G2829" s="7">
        <v>101.4521</v>
      </c>
      <c r="H2829" s="7"/>
    </row>
    <row r="2830" spans="1:8" x14ac:dyDescent="0.35">
      <c r="A2830" s="7" t="s">
        <v>355</v>
      </c>
      <c r="B2830" s="7" t="s">
        <v>26</v>
      </c>
      <c r="C2830" s="7" t="s">
        <v>27</v>
      </c>
      <c r="D2830" s="7" t="s">
        <v>28</v>
      </c>
      <c r="E2830" s="7" t="s">
        <v>29</v>
      </c>
      <c r="F2830" s="7" t="s">
        <v>213</v>
      </c>
      <c r="G2830" s="7">
        <v>101.6833</v>
      </c>
      <c r="H2830" s="7"/>
    </row>
    <row r="2831" spans="1:8" x14ac:dyDescent="0.35">
      <c r="A2831" s="7" t="s">
        <v>355</v>
      </c>
      <c r="B2831" s="7" t="s">
        <v>26</v>
      </c>
      <c r="C2831" s="7" t="s">
        <v>27</v>
      </c>
      <c r="D2831" s="7" t="s">
        <v>28</v>
      </c>
      <c r="E2831" s="7" t="s">
        <v>29</v>
      </c>
      <c r="F2831" s="7" t="s">
        <v>214</v>
      </c>
      <c r="G2831" s="7">
        <v>101.9075</v>
      </c>
      <c r="H2831" s="7"/>
    </row>
    <row r="2832" spans="1:8" x14ac:dyDescent="0.35">
      <c r="A2832" s="7" t="s">
        <v>355</v>
      </c>
      <c r="B2832" s="7" t="s">
        <v>26</v>
      </c>
      <c r="C2832" s="7" t="s">
        <v>27</v>
      </c>
      <c r="D2832" s="7" t="s">
        <v>28</v>
      </c>
      <c r="E2832" s="7" t="s">
        <v>29</v>
      </c>
      <c r="F2832" s="7" t="s">
        <v>215</v>
      </c>
      <c r="G2832" s="7">
        <v>102.1799</v>
      </c>
      <c r="H2832" s="7"/>
    </row>
    <row r="2833" spans="1:8" x14ac:dyDescent="0.35">
      <c r="A2833" s="7" t="s">
        <v>355</v>
      </c>
      <c r="B2833" s="7" t="s">
        <v>26</v>
      </c>
      <c r="C2833" s="7" t="s">
        <v>27</v>
      </c>
      <c r="D2833" s="7" t="s">
        <v>28</v>
      </c>
      <c r="E2833" s="7" t="s">
        <v>29</v>
      </c>
      <c r="F2833" s="7" t="s">
        <v>216</v>
      </c>
      <c r="G2833" s="7">
        <v>102.22280000000001</v>
      </c>
      <c r="H2833" s="7"/>
    </row>
    <row r="2834" spans="1:8" x14ac:dyDescent="0.35">
      <c r="A2834" s="7" t="s">
        <v>355</v>
      </c>
      <c r="B2834" s="7" t="s">
        <v>26</v>
      </c>
      <c r="C2834" s="7" t="s">
        <v>27</v>
      </c>
      <c r="D2834" s="7" t="s">
        <v>28</v>
      </c>
      <c r="E2834" s="7" t="s">
        <v>29</v>
      </c>
      <c r="F2834" s="7" t="s">
        <v>217</v>
      </c>
      <c r="G2834" s="7">
        <v>102.1095</v>
      </c>
      <c r="H2834" s="7"/>
    </row>
    <row r="2835" spans="1:8" x14ac:dyDescent="0.35">
      <c r="A2835" s="7" t="s">
        <v>355</v>
      </c>
      <c r="B2835" s="7" t="s">
        <v>26</v>
      </c>
      <c r="C2835" s="7" t="s">
        <v>27</v>
      </c>
      <c r="D2835" s="7" t="s">
        <v>28</v>
      </c>
      <c r="E2835" s="7" t="s">
        <v>29</v>
      </c>
      <c r="F2835" s="7" t="s">
        <v>218</v>
      </c>
      <c r="G2835" s="7">
        <v>102.0021</v>
      </c>
      <c r="H2835" s="7"/>
    </row>
    <row r="2836" spans="1:8" x14ac:dyDescent="0.35">
      <c r="A2836" s="7" t="s">
        <v>355</v>
      </c>
      <c r="B2836" s="7" t="s">
        <v>26</v>
      </c>
      <c r="C2836" s="7" t="s">
        <v>27</v>
      </c>
      <c r="D2836" s="7" t="s">
        <v>28</v>
      </c>
      <c r="E2836" s="7" t="s">
        <v>29</v>
      </c>
      <c r="F2836" s="7" t="s">
        <v>219</v>
      </c>
      <c r="G2836" s="7">
        <v>101.8464</v>
      </c>
      <c r="H2836" s="7"/>
    </row>
    <row r="2837" spans="1:8" x14ac:dyDescent="0.35">
      <c r="A2837" s="7" t="s">
        <v>355</v>
      </c>
      <c r="B2837" s="7" t="s">
        <v>26</v>
      </c>
      <c r="C2837" s="7" t="s">
        <v>27</v>
      </c>
      <c r="D2837" s="7" t="s">
        <v>28</v>
      </c>
      <c r="E2837" s="7" t="s">
        <v>29</v>
      </c>
      <c r="F2837" s="7" t="s">
        <v>220</v>
      </c>
      <c r="G2837" s="7">
        <v>101.6782</v>
      </c>
      <c r="H2837" s="7"/>
    </row>
    <row r="2838" spans="1:8" x14ac:dyDescent="0.35">
      <c r="A2838" s="7" t="s">
        <v>355</v>
      </c>
      <c r="B2838" s="7" t="s">
        <v>26</v>
      </c>
      <c r="C2838" s="7" t="s">
        <v>27</v>
      </c>
      <c r="D2838" s="7" t="s">
        <v>28</v>
      </c>
      <c r="E2838" s="7" t="s">
        <v>29</v>
      </c>
      <c r="F2838" s="7" t="s">
        <v>221</v>
      </c>
      <c r="G2838" s="7">
        <v>101.5008</v>
      </c>
      <c r="H2838" s="7"/>
    </row>
    <row r="2839" spans="1:8" x14ac:dyDescent="0.35">
      <c r="A2839" s="7" t="s">
        <v>355</v>
      </c>
      <c r="B2839" s="7" t="s">
        <v>26</v>
      </c>
      <c r="C2839" s="7" t="s">
        <v>27</v>
      </c>
      <c r="D2839" s="7" t="s">
        <v>28</v>
      </c>
      <c r="E2839" s="7" t="s">
        <v>29</v>
      </c>
      <c r="F2839" s="7" t="s">
        <v>222</v>
      </c>
      <c r="G2839" s="7">
        <v>101.2332</v>
      </c>
      <c r="H2839" s="7"/>
    </row>
    <row r="2840" spans="1:8" x14ac:dyDescent="0.35">
      <c r="A2840" s="7" t="s">
        <v>355</v>
      </c>
      <c r="B2840" s="7" t="s">
        <v>26</v>
      </c>
      <c r="C2840" s="7" t="s">
        <v>27</v>
      </c>
      <c r="D2840" s="7" t="s">
        <v>28</v>
      </c>
      <c r="E2840" s="7" t="s">
        <v>29</v>
      </c>
      <c r="F2840" s="7" t="s">
        <v>223</v>
      </c>
      <c r="G2840" s="7">
        <v>100.8678</v>
      </c>
      <c r="H2840" s="7"/>
    </row>
    <row r="2841" spans="1:8" x14ac:dyDescent="0.35">
      <c r="A2841" s="7" t="s">
        <v>355</v>
      </c>
      <c r="B2841" s="7" t="s">
        <v>26</v>
      </c>
      <c r="C2841" s="7" t="s">
        <v>27</v>
      </c>
      <c r="D2841" s="7" t="s">
        <v>28</v>
      </c>
      <c r="E2841" s="7" t="s">
        <v>29</v>
      </c>
      <c r="F2841" s="7" t="s">
        <v>224</v>
      </c>
      <c r="G2841" s="7">
        <v>100.3995</v>
      </c>
      <c r="H2841" s="7"/>
    </row>
    <row r="2842" spans="1:8" x14ac:dyDescent="0.35">
      <c r="A2842" s="7" t="s">
        <v>355</v>
      </c>
      <c r="B2842" s="7" t="s">
        <v>26</v>
      </c>
      <c r="C2842" s="7" t="s">
        <v>27</v>
      </c>
      <c r="D2842" s="7" t="s">
        <v>28</v>
      </c>
      <c r="E2842" s="7" t="s">
        <v>29</v>
      </c>
      <c r="F2842" s="7" t="s">
        <v>225</v>
      </c>
      <c r="G2842" s="7">
        <v>99.931950000000001</v>
      </c>
      <c r="H2842" s="7"/>
    </row>
    <row r="2843" spans="1:8" x14ac:dyDescent="0.35">
      <c r="A2843" s="7" t="s">
        <v>355</v>
      </c>
      <c r="B2843" s="7" t="s">
        <v>26</v>
      </c>
      <c r="C2843" s="7" t="s">
        <v>27</v>
      </c>
      <c r="D2843" s="7" t="s">
        <v>28</v>
      </c>
      <c r="E2843" s="7" t="s">
        <v>29</v>
      </c>
      <c r="F2843" s="7" t="s">
        <v>226</v>
      </c>
      <c r="G2843" s="7">
        <v>99.687029999999993</v>
      </c>
      <c r="H2843" s="7"/>
    </row>
    <row r="2844" spans="1:8" x14ac:dyDescent="0.35">
      <c r="A2844" s="7" t="s">
        <v>355</v>
      </c>
      <c r="B2844" s="7" t="s">
        <v>26</v>
      </c>
      <c r="C2844" s="7" t="s">
        <v>27</v>
      </c>
      <c r="D2844" s="7" t="s">
        <v>28</v>
      </c>
      <c r="E2844" s="7" t="s">
        <v>29</v>
      </c>
      <c r="F2844" s="7" t="s">
        <v>227</v>
      </c>
      <c r="G2844" s="7">
        <v>99.376850000000005</v>
      </c>
      <c r="H2844" s="7"/>
    </row>
    <row r="2845" spans="1:8" x14ac:dyDescent="0.35">
      <c r="A2845" s="7" t="s">
        <v>355</v>
      </c>
      <c r="B2845" s="7" t="s">
        <v>26</v>
      </c>
      <c r="C2845" s="7" t="s">
        <v>27</v>
      </c>
      <c r="D2845" s="7" t="s">
        <v>28</v>
      </c>
      <c r="E2845" s="7" t="s">
        <v>29</v>
      </c>
      <c r="F2845" s="7" t="s">
        <v>228</v>
      </c>
      <c r="G2845" s="7">
        <v>98.9666</v>
      </c>
      <c r="H2845" s="7"/>
    </row>
    <row r="2846" spans="1:8" x14ac:dyDescent="0.35">
      <c r="A2846" s="7" t="s">
        <v>355</v>
      </c>
      <c r="B2846" s="7" t="s">
        <v>26</v>
      </c>
      <c r="C2846" s="7" t="s">
        <v>27</v>
      </c>
      <c r="D2846" s="7" t="s">
        <v>28</v>
      </c>
      <c r="E2846" s="7" t="s">
        <v>29</v>
      </c>
      <c r="F2846" s="7" t="s">
        <v>229</v>
      </c>
      <c r="G2846" s="7">
        <v>98.386899999999997</v>
      </c>
      <c r="H2846" s="7"/>
    </row>
    <row r="2847" spans="1:8" x14ac:dyDescent="0.35">
      <c r="A2847" s="7" t="s">
        <v>355</v>
      </c>
      <c r="B2847" s="7" t="s">
        <v>26</v>
      </c>
      <c r="C2847" s="7" t="s">
        <v>27</v>
      </c>
      <c r="D2847" s="7" t="s">
        <v>28</v>
      </c>
      <c r="E2847" s="7" t="s">
        <v>29</v>
      </c>
      <c r="F2847" s="7" t="s">
        <v>230</v>
      </c>
      <c r="G2847" s="7">
        <v>97.884289999999993</v>
      </c>
      <c r="H2847" s="7"/>
    </row>
    <row r="2848" spans="1:8" x14ac:dyDescent="0.35">
      <c r="A2848" s="7" t="s">
        <v>355</v>
      </c>
      <c r="B2848" s="7" t="s">
        <v>26</v>
      </c>
      <c r="C2848" s="7" t="s">
        <v>27</v>
      </c>
      <c r="D2848" s="7" t="s">
        <v>28</v>
      </c>
      <c r="E2848" s="7" t="s">
        <v>29</v>
      </c>
      <c r="F2848" s="7" t="s">
        <v>231</v>
      </c>
      <c r="G2848" s="7">
        <v>97.50479</v>
      </c>
      <c r="H2848" s="7"/>
    </row>
    <row r="2849" spans="1:8" x14ac:dyDescent="0.35">
      <c r="A2849" s="7" t="s">
        <v>355</v>
      </c>
      <c r="B2849" s="7" t="s">
        <v>26</v>
      </c>
      <c r="C2849" s="7" t="s">
        <v>27</v>
      </c>
      <c r="D2849" s="7" t="s">
        <v>28</v>
      </c>
      <c r="E2849" s="7" t="s">
        <v>29</v>
      </c>
      <c r="F2849" s="7" t="s">
        <v>232</v>
      </c>
      <c r="G2849" s="7">
        <v>97.098370000000003</v>
      </c>
      <c r="H2849" s="7"/>
    </row>
    <row r="2850" spans="1:8" x14ac:dyDescent="0.35">
      <c r="A2850" s="7" t="s">
        <v>355</v>
      </c>
      <c r="B2850" s="7" t="s">
        <v>26</v>
      </c>
      <c r="C2850" s="7" t="s">
        <v>27</v>
      </c>
      <c r="D2850" s="7" t="s">
        <v>28</v>
      </c>
      <c r="E2850" s="7" t="s">
        <v>29</v>
      </c>
      <c r="F2850" s="7" t="s">
        <v>233</v>
      </c>
      <c r="G2850" s="7">
        <v>96.598730000000003</v>
      </c>
      <c r="H2850" s="7"/>
    </row>
    <row r="2851" spans="1:8" x14ac:dyDescent="0.35">
      <c r="A2851" s="7" t="s">
        <v>355</v>
      </c>
      <c r="B2851" s="7" t="s">
        <v>26</v>
      </c>
      <c r="C2851" s="7" t="s">
        <v>27</v>
      </c>
      <c r="D2851" s="7" t="s">
        <v>28</v>
      </c>
      <c r="E2851" s="7" t="s">
        <v>29</v>
      </c>
      <c r="F2851" s="7" t="s">
        <v>234</v>
      </c>
      <c r="G2851" s="7">
        <v>96.330150000000003</v>
      </c>
      <c r="H2851" s="7"/>
    </row>
    <row r="2852" spans="1:8" x14ac:dyDescent="0.35">
      <c r="A2852" s="7" t="s">
        <v>355</v>
      </c>
      <c r="B2852" s="7" t="s">
        <v>26</v>
      </c>
      <c r="C2852" s="7" t="s">
        <v>27</v>
      </c>
      <c r="D2852" s="7" t="s">
        <v>28</v>
      </c>
      <c r="E2852" s="7" t="s">
        <v>29</v>
      </c>
      <c r="F2852" s="7" t="s">
        <v>235</v>
      </c>
      <c r="G2852" s="7">
        <v>96.271529999999998</v>
      </c>
      <c r="H2852" s="7"/>
    </row>
    <row r="2853" spans="1:8" x14ac:dyDescent="0.35">
      <c r="A2853" s="7" t="s">
        <v>355</v>
      </c>
      <c r="B2853" s="7" t="s">
        <v>26</v>
      </c>
      <c r="C2853" s="7" t="s">
        <v>27</v>
      </c>
      <c r="D2853" s="7" t="s">
        <v>28</v>
      </c>
      <c r="E2853" s="7" t="s">
        <v>29</v>
      </c>
      <c r="F2853" s="7" t="s">
        <v>236</v>
      </c>
      <c r="G2853" s="7">
        <v>96.484340000000003</v>
      </c>
      <c r="H2853" s="7"/>
    </row>
    <row r="2854" spans="1:8" x14ac:dyDescent="0.35">
      <c r="A2854" s="7" t="s">
        <v>355</v>
      </c>
      <c r="B2854" s="7" t="s">
        <v>26</v>
      </c>
      <c r="C2854" s="7" t="s">
        <v>27</v>
      </c>
      <c r="D2854" s="7" t="s">
        <v>28</v>
      </c>
      <c r="E2854" s="7" t="s">
        <v>29</v>
      </c>
      <c r="F2854" s="7" t="s">
        <v>237</v>
      </c>
      <c r="G2854" s="7">
        <v>96.712999999999994</v>
      </c>
      <c r="H2854" s="7"/>
    </row>
    <row r="2855" spans="1:8" x14ac:dyDescent="0.35">
      <c r="A2855" s="7" t="s">
        <v>355</v>
      </c>
      <c r="B2855" s="7" t="s">
        <v>26</v>
      </c>
      <c r="C2855" s="7" t="s">
        <v>27</v>
      </c>
      <c r="D2855" s="7" t="s">
        <v>28</v>
      </c>
      <c r="E2855" s="7" t="s">
        <v>29</v>
      </c>
      <c r="F2855" s="7" t="s">
        <v>238</v>
      </c>
      <c r="G2855" s="7">
        <v>96.789730000000006</v>
      </c>
      <c r="H2855" s="7"/>
    </row>
    <row r="2856" spans="1:8" x14ac:dyDescent="0.35">
      <c r="A2856" s="7" t="s">
        <v>355</v>
      </c>
      <c r="B2856" s="7" t="s">
        <v>26</v>
      </c>
      <c r="C2856" s="7" t="s">
        <v>27</v>
      </c>
      <c r="D2856" s="7" t="s">
        <v>28</v>
      </c>
      <c r="E2856" s="7" t="s">
        <v>29</v>
      </c>
      <c r="F2856" s="7" t="s">
        <v>239</v>
      </c>
      <c r="G2856" s="7">
        <v>96.983930000000001</v>
      </c>
      <c r="H2856" s="7"/>
    </row>
    <row r="2857" spans="1:8" x14ac:dyDescent="0.35">
      <c r="A2857" s="7" t="s">
        <v>355</v>
      </c>
      <c r="B2857" s="7" t="s">
        <v>26</v>
      </c>
      <c r="C2857" s="7" t="s">
        <v>27</v>
      </c>
      <c r="D2857" s="7" t="s">
        <v>28</v>
      </c>
      <c r="E2857" s="7" t="s">
        <v>29</v>
      </c>
      <c r="F2857" s="7" t="s">
        <v>240</v>
      </c>
      <c r="G2857" s="7">
        <v>97.726070000000007</v>
      </c>
      <c r="H2857" s="7"/>
    </row>
    <row r="2858" spans="1:8" x14ac:dyDescent="0.35">
      <c r="A2858" s="7" t="s">
        <v>355</v>
      </c>
      <c r="B2858" s="7" t="s">
        <v>26</v>
      </c>
      <c r="C2858" s="7" t="s">
        <v>27</v>
      </c>
      <c r="D2858" s="7" t="s">
        <v>28</v>
      </c>
      <c r="E2858" s="7" t="s">
        <v>29</v>
      </c>
      <c r="F2858" s="7" t="s">
        <v>241</v>
      </c>
      <c r="G2858" s="7">
        <v>98.576570000000004</v>
      </c>
      <c r="H2858" s="7"/>
    </row>
    <row r="2859" spans="1:8" x14ac:dyDescent="0.35">
      <c r="A2859" s="7" t="s">
        <v>355</v>
      </c>
      <c r="B2859" s="7" t="s">
        <v>26</v>
      </c>
      <c r="C2859" s="7" t="s">
        <v>27</v>
      </c>
      <c r="D2859" s="7" t="s">
        <v>28</v>
      </c>
      <c r="E2859" s="7" t="s">
        <v>29</v>
      </c>
      <c r="F2859" s="7" t="s">
        <v>242</v>
      </c>
      <c r="G2859" s="7">
        <v>99.396730000000005</v>
      </c>
      <c r="H2859" s="7"/>
    </row>
    <row r="2860" spans="1:8" x14ac:dyDescent="0.35">
      <c r="A2860" s="7" t="s">
        <v>355</v>
      </c>
      <c r="B2860" s="7" t="s">
        <v>26</v>
      </c>
      <c r="C2860" s="7" t="s">
        <v>27</v>
      </c>
      <c r="D2860" s="7" t="s">
        <v>28</v>
      </c>
      <c r="E2860" s="7" t="s">
        <v>29</v>
      </c>
      <c r="F2860" s="7" t="s">
        <v>243</v>
      </c>
      <c r="G2860" s="7">
        <v>100.0962</v>
      </c>
      <c r="H2860" s="7"/>
    </row>
    <row r="2861" spans="1:8" x14ac:dyDescent="0.35">
      <c r="A2861" s="7" t="s">
        <v>355</v>
      </c>
      <c r="B2861" s="7" t="s">
        <v>26</v>
      </c>
      <c r="C2861" s="7" t="s">
        <v>27</v>
      </c>
      <c r="D2861" s="7" t="s">
        <v>28</v>
      </c>
      <c r="E2861" s="7" t="s">
        <v>29</v>
      </c>
      <c r="F2861" s="7" t="s">
        <v>244</v>
      </c>
      <c r="G2861" s="7">
        <v>100.5699</v>
      </c>
      <c r="H2861" s="7"/>
    </row>
    <row r="2862" spans="1:8" x14ac:dyDescent="0.35">
      <c r="A2862" s="7" t="s">
        <v>355</v>
      </c>
      <c r="B2862" s="7" t="s">
        <v>26</v>
      </c>
      <c r="C2862" s="7" t="s">
        <v>27</v>
      </c>
      <c r="D2862" s="7" t="s">
        <v>28</v>
      </c>
      <c r="E2862" s="7" t="s">
        <v>29</v>
      </c>
      <c r="F2862" s="7" t="s">
        <v>245</v>
      </c>
      <c r="G2862" s="7">
        <v>100.9156</v>
      </c>
      <c r="H2862" s="7"/>
    </row>
    <row r="2863" spans="1:8" x14ac:dyDescent="0.35">
      <c r="A2863" s="7" t="s">
        <v>355</v>
      </c>
      <c r="B2863" s="7" t="s">
        <v>26</v>
      </c>
      <c r="C2863" s="7" t="s">
        <v>27</v>
      </c>
      <c r="D2863" s="7" t="s">
        <v>28</v>
      </c>
      <c r="E2863" s="7" t="s">
        <v>29</v>
      </c>
      <c r="F2863" s="7" t="s">
        <v>246</v>
      </c>
      <c r="G2863" s="7">
        <v>101.1593</v>
      </c>
      <c r="H2863" s="7"/>
    </row>
    <row r="2864" spans="1:8" x14ac:dyDescent="0.35">
      <c r="A2864" s="7" t="s">
        <v>355</v>
      </c>
      <c r="B2864" s="7" t="s">
        <v>26</v>
      </c>
      <c r="C2864" s="7" t="s">
        <v>27</v>
      </c>
      <c r="D2864" s="7" t="s">
        <v>28</v>
      </c>
      <c r="E2864" s="7" t="s">
        <v>29</v>
      </c>
      <c r="F2864" s="7" t="s">
        <v>247</v>
      </c>
      <c r="G2864" s="7">
        <v>101.288</v>
      </c>
      <c r="H2864" s="7"/>
    </row>
    <row r="2865" spans="1:8" x14ac:dyDescent="0.35">
      <c r="A2865" s="7" t="s">
        <v>355</v>
      </c>
      <c r="B2865" s="7" t="s">
        <v>26</v>
      </c>
      <c r="C2865" s="7" t="s">
        <v>27</v>
      </c>
      <c r="D2865" s="7" t="s">
        <v>28</v>
      </c>
      <c r="E2865" s="7" t="s">
        <v>29</v>
      </c>
      <c r="F2865" s="7" t="s">
        <v>248</v>
      </c>
      <c r="G2865" s="7">
        <v>101.5044</v>
      </c>
      <c r="H2865" s="7"/>
    </row>
    <row r="2866" spans="1:8" x14ac:dyDescent="0.35">
      <c r="A2866" s="7" t="s">
        <v>355</v>
      </c>
      <c r="B2866" s="7" t="s">
        <v>26</v>
      </c>
      <c r="C2866" s="7" t="s">
        <v>27</v>
      </c>
      <c r="D2866" s="7" t="s">
        <v>28</v>
      </c>
      <c r="E2866" s="7" t="s">
        <v>29</v>
      </c>
      <c r="F2866" s="7" t="s">
        <v>249</v>
      </c>
      <c r="G2866" s="7">
        <v>101.99890000000001</v>
      </c>
      <c r="H2866" s="7"/>
    </row>
    <row r="2867" spans="1:8" x14ac:dyDescent="0.35">
      <c r="A2867" s="7" t="s">
        <v>355</v>
      </c>
      <c r="B2867" s="7" t="s">
        <v>26</v>
      </c>
      <c r="C2867" s="7" t="s">
        <v>27</v>
      </c>
      <c r="D2867" s="7" t="s">
        <v>28</v>
      </c>
      <c r="E2867" s="7" t="s">
        <v>29</v>
      </c>
      <c r="F2867" s="7" t="s">
        <v>250</v>
      </c>
      <c r="G2867" s="7">
        <v>102.45350000000001</v>
      </c>
      <c r="H2867" s="7"/>
    </row>
    <row r="2868" spans="1:8" x14ac:dyDescent="0.35">
      <c r="A2868" s="7" t="s">
        <v>355</v>
      </c>
      <c r="B2868" s="7" t="s">
        <v>26</v>
      </c>
      <c r="C2868" s="7" t="s">
        <v>27</v>
      </c>
      <c r="D2868" s="7" t="s">
        <v>28</v>
      </c>
      <c r="E2868" s="7" t="s">
        <v>29</v>
      </c>
      <c r="F2868" s="7" t="s">
        <v>251</v>
      </c>
      <c r="G2868" s="7">
        <v>102.8232</v>
      </c>
      <c r="H2868" s="7"/>
    </row>
    <row r="2869" spans="1:8" x14ac:dyDescent="0.35">
      <c r="A2869" s="7" t="s">
        <v>355</v>
      </c>
      <c r="B2869" s="7" t="s">
        <v>26</v>
      </c>
      <c r="C2869" s="7" t="s">
        <v>27</v>
      </c>
      <c r="D2869" s="7" t="s">
        <v>28</v>
      </c>
      <c r="E2869" s="7" t="s">
        <v>29</v>
      </c>
      <c r="F2869" s="7" t="s">
        <v>252</v>
      </c>
      <c r="G2869" s="7">
        <v>103.041</v>
      </c>
      <c r="H2869" s="7"/>
    </row>
    <row r="2870" spans="1:8" x14ac:dyDescent="0.35">
      <c r="A2870" s="7" t="s">
        <v>355</v>
      </c>
      <c r="B2870" s="7" t="s">
        <v>26</v>
      </c>
      <c r="C2870" s="7" t="s">
        <v>27</v>
      </c>
      <c r="D2870" s="7" t="s">
        <v>28</v>
      </c>
      <c r="E2870" s="7" t="s">
        <v>29</v>
      </c>
      <c r="F2870" s="7" t="s">
        <v>253</v>
      </c>
      <c r="G2870" s="7">
        <v>103.22539999999999</v>
      </c>
      <c r="H2870" s="7"/>
    </row>
    <row r="2871" spans="1:8" x14ac:dyDescent="0.35">
      <c r="A2871" s="7" t="s">
        <v>355</v>
      </c>
      <c r="B2871" s="7" t="s">
        <v>26</v>
      </c>
      <c r="C2871" s="7" t="s">
        <v>27</v>
      </c>
      <c r="D2871" s="7" t="s">
        <v>28</v>
      </c>
      <c r="E2871" s="7" t="s">
        <v>29</v>
      </c>
      <c r="F2871" s="7" t="s">
        <v>254</v>
      </c>
      <c r="G2871" s="7">
        <v>103.2641</v>
      </c>
      <c r="H2871" s="7"/>
    </row>
    <row r="2872" spans="1:8" x14ac:dyDescent="0.35">
      <c r="A2872" s="7" t="s">
        <v>355</v>
      </c>
      <c r="B2872" s="7" t="s">
        <v>26</v>
      </c>
      <c r="C2872" s="7" t="s">
        <v>27</v>
      </c>
      <c r="D2872" s="7" t="s">
        <v>28</v>
      </c>
      <c r="E2872" s="7" t="s">
        <v>29</v>
      </c>
      <c r="F2872" s="7" t="s">
        <v>255</v>
      </c>
      <c r="G2872" s="7">
        <v>103.2469</v>
      </c>
      <c r="H2872" s="7"/>
    </row>
    <row r="2873" spans="1:8" x14ac:dyDescent="0.35">
      <c r="A2873" s="7" t="s">
        <v>355</v>
      </c>
      <c r="B2873" s="7" t="s">
        <v>26</v>
      </c>
      <c r="C2873" s="7" t="s">
        <v>27</v>
      </c>
      <c r="D2873" s="7" t="s">
        <v>28</v>
      </c>
      <c r="E2873" s="7" t="s">
        <v>29</v>
      </c>
      <c r="F2873" s="7" t="s">
        <v>256</v>
      </c>
      <c r="G2873" s="7">
        <v>103.2079</v>
      </c>
      <c r="H2873" s="7"/>
    </row>
    <row r="2874" spans="1:8" x14ac:dyDescent="0.35">
      <c r="A2874" s="7" t="s">
        <v>355</v>
      </c>
      <c r="B2874" s="7" t="s">
        <v>26</v>
      </c>
      <c r="C2874" s="7" t="s">
        <v>27</v>
      </c>
      <c r="D2874" s="7" t="s">
        <v>28</v>
      </c>
      <c r="E2874" s="7" t="s">
        <v>29</v>
      </c>
      <c r="F2874" s="7" t="s">
        <v>257</v>
      </c>
      <c r="G2874" s="7">
        <v>103.0235</v>
      </c>
      <c r="H2874" s="7"/>
    </row>
    <row r="2875" spans="1:8" x14ac:dyDescent="0.35">
      <c r="A2875" s="7" t="s">
        <v>355</v>
      </c>
      <c r="B2875" s="7" t="s">
        <v>26</v>
      </c>
      <c r="C2875" s="7" t="s">
        <v>27</v>
      </c>
      <c r="D2875" s="7" t="s">
        <v>28</v>
      </c>
      <c r="E2875" s="7" t="s">
        <v>29</v>
      </c>
      <c r="F2875" s="7" t="s">
        <v>258</v>
      </c>
      <c r="G2875" s="7">
        <v>102.889</v>
      </c>
      <c r="H2875" s="7"/>
    </row>
    <row r="2876" spans="1:8" x14ac:dyDescent="0.35">
      <c r="A2876" s="7" t="s">
        <v>355</v>
      </c>
      <c r="B2876" s="7" t="s">
        <v>26</v>
      </c>
      <c r="C2876" s="7" t="s">
        <v>27</v>
      </c>
      <c r="D2876" s="7" t="s">
        <v>28</v>
      </c>
      <c r="E2876" s="7" t="s">
        <v>29</v>
      </c>
      <c r="F2876" s="7" t="s">
        <v>259</v>
      </c>
      <c r="G2876" s="7">
        <v>102.86620000000001</v>
      </c>
      <c r="H2876" s="7"/>
    </row>
    <row r="2877" spans="1:8" x14ac:dyDescent="0.35">
      <c r="A2877" s="7" t="s">
        <v>355</v>
      </c>
      <c r="B2877" s="7" t="s">
        <v>26</v>
      </c>
      <c r="C2877" s="7" t="s">
        <v>27</v>
      </c>
      <c r="D2877" s="7" t="s">
        <v>28</v>
      </c>
      <c r="E2877" s="7" t="s">
        <v>29</v>
      </c>
      <c r="F2877" s="7" t="s">
        <v>260</v>
      </c>
      <c r="G2877" s="7">
        <v>102.9177</v>
      </c>
      <c r="H2877" s="7"/>
    </row>
    <row r="2878" spans="1:8" x14ac:dyDescent="0.35">
      <c r="A2878" s="7" t="s">
        <v>355</v>
      </c>
      <c r="B2878" s="7" t="s">
        <v>26</v>
      </c>
      <c r="C2878" s="7" t="s">
        <v>27</v>
      </c>
      <c r="D2878" s="7" t="s">
        <v>28</v>
      </c>
      <c r="E2878" s="7" t="s">
        <v>29</v>
      </c>
      <c r="F2878" s="7" t="s">
        <v>261</v>
      </c>
      <c r="G2878" s="7">
        <v>102.82989999999999</v>
      </c>
      <c r="H2878" s="7"/>
    </row>
    <row r="2879" spans="1:8" x14ac:dyDescent="0.35">
      <c r="A2879" s="7" t="s">
        <v>355</v>
      </c>
      <c r="B2879" s="7" t="s">
        <v>26</v>
      </c>
      <c r="C2879" s="7" t="s">
        <v>27</v>
      </c>
      <c r="D2879" s="7" t="s">
        <v>28</v>
      </c>
      <c r="E2879" s="7" t="s">
        <v>29</v>
      </c>
      <c r="F2879" s="7" t="s">
        <v>262</v>
      </c>
      <c r="G2879" s="7">
        <v>102.68040000000001</v>
      </c>
      <c r="H2879" s="7"/>
    </row>
    <row r="2880" spans="1:8" x14ac:dyDescent="0.35">
      <c r="A2880" s="7" t="s">
        <v>355</v>
      </c>
      <c r="B2880" s="7" t="s">
        <v>26</v>
      </c>
      <c r="C2880" s="7" t="s">
        <v>27</v>
      </c>
      <c r="D2880" s="7" t="s">
        <v>28</v>
      </c>
      <c r="E2880" s="7" t="s">
        <v>29</v>
      </c>
      <c r="F2880" s="7" t="s">
        <v>263</v>
      </c>
      <c r="G2880" s="7">
        <v>102.52630000000001</v>
      </c>
      <c r="H2880" s="7"/>
    </row>
    <row r="2881" spans="1:8" x14ac:dyDescent="0.35">
      <c r="A2881" s="7" t="s">
        <v>355</v>
      </c>
      <c r="B2881" s="7" t="s">
        <v>26</v>
      </c>
      <c r="C2881" s="7" t="s">
        <v>27</v>
      </c>
      <c r="D2881" s="7" t="s">
        <v>28</v>
      </c>
      <c r="E2881" s="7" t="s">
        <v>29</v>
      </c>
      <c r="F2881" s="7" t="s">
        <v>264</v>
      </c>
      <c r="G2881" s="7">
        <v>102.31529999999999</v>
      </c>
      <c r="H2881" s="7"/>
    </row>
    <row r="2882" spans="1:8" x14ac:dyDescent="0.35">
      <c r="A2882" s="7" t="s">
        <v>355</v>
      </c>
      <c r="B2882" s="7" t="s">
        <v>26</v>
      </c>
      <c r="C2882" s="7" t="s">
        <v>27</v>
      </c>
      <c r="D2882" s="7" t="s">
        <v>28</v>
      </c>
      <c r="E2882" s="7" t="s">
        <v>29</v>
      </c>
      <c r="F2882" s="7" t="s">
        <v>265</v>
      </c>
      <c r="G2882" s="7">
        <v>101.9995</v>
      </c>
      <c r="H2882" s="7"/>
    </row>
    <row r="2883" spans="1:8" x14ac:dyDescent="0.35">
      <c r="A2883" s="7" t="s">
        <v>355</v>
      </c>
      <c r="B2883" s="7" t="s">
        <v>26</v>
      </c>
      <c r="C2883" s="7" t="s">
        <v>27</v>
      </c>
      <c r="D2883" s="7" t="s">
        <v>28</v>
      </c>
      <c r="E2883" s="7" t="s">
        <v>29</v>
      </c>
      <c r="F2883" s="7" t="s">
        <v>266</v>
      </c>
      <c r="G2883" s="7">
        <v>101.3081</v>
      </c>
      <c r="H2883" s="7"/>
    </row>
    <row r="2884" spans="1:8" x14ac:dyDescent="0.35">
      <c r="A2884" s="7" t="s">
        <v>355</v>
      </c>
      <c r="B2884" s="7" t="s">
        <v>26</v>
      </c>
      <c r="C2884" s="7" t="s">
        <v>27</v>
      </c>
      <c r="D2884" s="7" t="s">
        <v>28</v>
      </c>
      <c r="E2884" s="7" t="s">
        <v>29</v>
      </c>
      <c r="F2884" s="7" t="s">
        <v>267</v>
      </c>
      <c r="G2884" s="7">
        <v>100.3424</v>
      </c>
      <c r="H2884" s="7"/>
    </row>
    <row r="2885" spans="1:8" x14ac:dyDescent="0.35">
      <c r="A2885" s="7" t="s">
        <v>355</v>
      </c>
      <c r="B2885" s="7" t="s">
        <v>26</v>
      </c>
      <c r="C2885" s="7" t="s">
        <v>27</v>
      </c>
      <c r="D2885" s="7" t="s">
        <v>28</v>
      </c>
      <c r="E2885" s="7" t="s">
        <v>29</v>
      </c>
      <c r="F2885" s="7" t="s">
        <v>268</v>
      </c>
      <c r="G2885" s="7">
        <v>99.390069999999994</v>
      </c>
      <c r="H2885" s="7"/>
    </row>
    <row r="2886" spans="1:8" x14ac:dyDescent="0.35">
      <c r="A2886" s="7" t="s">
        <v>355</v>
      </c>
      <c r="B2886" s="7" t="s">
        <v>26</v>
      </c>
      <c r="C2886" s="7" t="s">
        <v>27</v>
      </c>
      <c r="D2886" s="7" t="s">
        <v>28</v>
      </c>
      <c r="E2886" s="7" t="s">
        <v>29</v>
      </c>
      <c r="F2886" s="7" t="s">
        <v>269</v>
      </c>
      <c r="G2886" s="7">
        <v>98.794880000000006</v>
      </c>
      <c r="H2886" s="7"/>
    </row>
    <row r="2887" spans="1:8" x14ac:dyDescent="0.35">
      <c r="A2887" s="7" t="s">
        <v>355</v>
      </c>
      <c r="B2887" s="7" t="s">
        <v>26</v>
      </c>
      <c r="C2887" s="7" t="s">
        <v>27</v>
      </c>
      <c r="D2887" s="7" t="s">
        <v>28</v>
      </c>
      <c r="E2887" s="7" t="s">
        <v>29</v>
      </c>
      <c r="F2887" s="7" t="s">
        <v>270</v>
      </c>
      <c r="G2887" s="7">
        <v>98.593770000000006</v>
      </c>
      <c r="H2887" s="7"/>
    </row>
    <row r="2888" spans="1:8" x14ac:dyDescent="0.35">
      <c r="A2888" s="7" t="s">
        <v>355</v>
      </c>
      <c r="B2888" s="7" t="s">
        <v>26</v>
      </c>
      <c r="C2888" s="7" t="s">
        <v>27</v>
      </c>
      <c r="D2888" s="7" t="s">
        <v>28</v>
      </c>
      <c r="E2888" s="7" t="s">
        <v>29</v>
      </c>
      <c r="F2888" s="7" t="s">
        <v>271</v>
      </c>
      <c r="G2888" s="7">
        <v>98.713390000000004</v>
      </c>
      <c r="H2888" s="7"/>
    </row>
    <row r="2889" spans="1:8" x14ac:dyDescent="0.35">
      <c r="A2889" s="7" t="s">
        <v>355</v>
      </c>
      <c r="B2889" s="7" t="s">
        <v>26</v>
      </c>
      <c r="C2889" s="7" t="s">
        <v>27</v>
      </c>
      <c r="D2889" s="7" t="s">
        <v>28</v>
      </c>
      <c r="E2889" s="7" t="s">
        <v>29</v>
      </c>
      <c r="F2889" s="7" t="s">
        <v>272</v>
      </c>
      <c r="G2889" s="7">
        <v>98.991960000000006</v>
      </c>
      <c r="H2889" s="7"/>
    </row>
    <row r="2890" spans="1:8" x14ac:dyDescent="0.35">
      <c r="A2890" s="7" t="s">
        <v>355</v>
      </c>
      <c r="B2890" s="7" t="s">
        <v>26</v>
      </c>
      <c r="C2890" s="7" t="s">
        <v>27</v>
      </c>
      <c r="D2890" s="7" t="s">
        <v>28</v>
      </c>
      <c r="E2890" s="7" t="s">
        <v>29</v>
      </c>
      <c r="F2890" s="7" t="s">
        <v>273</v>
      </c>
      <c r="G2890" s="7">
        <v>99.278729999999996</v>
      </c>
      <c r="H2890" s="7"/>
    </row>
    <row r="2891" spans="1:8" x14ac:dyDescent="0.35">
      <c r="A2891" s="7" t="s">
        <v>355</v>
      </c>
      <c r="B2891" s="7" t="s">
        <v>26</v>
      </c>
      <c r="C2891" s="7" t="s">
        <v>27</v>
      </c>
      <c r="D2891" s="7" t="s">
        <v>28</v>
      </c>
      <c r="E2891" s="7" t="s">
        <v>29</v>
      </c>
      <c r="F2891" s="7" t="s">
        <v>274</v>
      </c>
      <c r="G2891" s="7">
        <v>99.713549999999998</v>
      </c>
      <c r="H2891" s="7"/>
    </row>
    <row r="2892" spans="1:8" x14ac:dyDescent="0.35">
      <c r="A2892" s="7" t="s">
        <v>355</v>
      </c>
      <c r="B2892" s="7" t="s">
        <v>26</v>
      </c>
      <c r="C2892" s="7" t="s">
        <v>27</v>
      </c>
      <c r="D2892" s="7" t="s">
        <v>28</v>
      </c>
      <c r="E2892" s="7" t="s">
        <v>29</v>
      </c>
      <c r="F2892" s="7" t="s">
        <v>275</v>
      </c>
      <c r="G2892" s="7">
        <v>100.0813</v>
      </c>
      <c r="H2892" s="7"/>
    </row>
    <row r="2893" spans="1:8" x14ac:dyDescent="0.35">
      <c r="A2893" s="7" t="s">
        <v>355</v>
      </c>
      <c r="B2893" s="7" t="s">
        <v>26</v>
      </c>
      <c r="C2893" s="7" t="s">
        <v>27</v>
      </c>
      <c r="D2893" s="7" t="s">
        <v>28</v>
      </c>
      <c r="E2893" s="7" t="s">
        <v>29</v>
      </c>
      <c r="F2893" s="7" t="s">
        <v>276</v>
      </c>
      <c r="G2893" s="7">
        <v>100.19410000000001</v>
      </c>
      <c r="H2893" s="7"/>
    </row>
    <row r="2894" spans="1:8" x14ac:dyDescent="0.35">
      <c r="A2894" s="7" t="s">
        <v>355</v>
      </c>
      <c r="B2894" s="7" t="s">
        <v>26</v>
      </c>
      <c r="C2894" s="7" t="s">
        <v>27</v>
      </c>
      <c r="D2894" s="7" t="s">
        <v>28</v>
      </c>
      <c r="E2894" s="7" t="s">
        <v>29</v>
      </c>
      <c r="F2894" s="7" t="s">
        <v>277</v>
      </c>
      <c r="G2894" s="7">
        <v>100.1615</v>
      </c>
      <c r="H2894" s="7"/>
    </row>
    <row r="2895" spans="1:8" x14ac:dyDescent="0.35">
      <c r="A2895" s="7" t="s">
        <v>355</v>
      </c>
      <c r="B2895" s="7" t="s">
        <v>26</v>
      </c>
      <c r="C2895" s="7" t="s">
        <v>27</v>
      </c>
      <c r="D2895" s="7" t="s">
        <v>28</v>
      </c>
      <c r="E2895" s="7" t="s">
        <v>29</v>
      </c>
      <c r="F2895" s="7" t="s">
        <v>278</v>
      </c>
      <c r="G2895" s="7">
        <v>100.11799999999999</v>
      </c>
      <c r="H2895" s="7"/>
    </row>
    <row r="2896" spans="1:8" x14ac:dyDescent="0.35">
      <c r="A2896" s="7" t="s">
        <v>355</v>
      </c>
      <c r="B2896" s="7" t="s">
        <v>26</v>
      </c>
      <c r="C2896" s="7" t="s">
        <v>27</v>
      </c>
      <c r="D2896" s="7" t="s">
        <v>28</v>
      </c>
      <c r="E2896" s="7" t="s">
        <v>29</v>
      </c>
      <c r="F2896" s="7" t="s">
        <v>279</v>
      </c>
      <c r="G2896" s="7">
        <v>99.917109999999994</v>
      </c>
      <c r="H2896" s="7"/>
    </row>
    <row r="2897" spans="1:8" x14ac:dyDescent="0.35">
      <c r="A2897" s="7" t="s">
        <v>355</v>
      </c>
      <c r="B2897" s="7" t="s">
        <v>26</v>
      </c>
      <c r="C2897" s="7" t="s">
        <v>27</v>
      </c>
      <c r="D2897" s="7" t="s">
        <v>28</v>
      </c>
      <c r="E2897" s="7" t="s">
        <v>29</v>
      </c>
      <c r="F2897" s="7" t="s">
        <v>280</v>
      </c>
      <c r="G2897" s="7">
        <v>99.513469999999998</v>
      </c>
      <c r="H2897" s="7"/>
    </row>
    <row r="2898" spans="1:8" x14ac:dyDescent="0.35">
      <c r="A2898" s="7" t="s">
        <v>355</v>
      </c>
      <c r="B2898" s="7" t="s">
        <v>26</v>
      </c>
      <c r="C2898" s="7" t="s">
        <v>27</v>
      </c>
      <c r="D2898" s="7" t="s">
        <v>28</v>
      </c>
      <c r="E2898" s="7" t="s">
        <v>29</v>
      </c>
      <c r="F2898" s="7" t="s">
        <v>281</v>
      </c>
      <c r="G2898" s="7">
        <v>98.944509999999994</v>
      </c>
      <c r="H2898" s="7"/>
    </row>
    <row r="2899" spans="1:8" x14ac:dyDescent="0.35">
      <c r="A2899" s="7" t="s">
        <v>355</v>
      </c>
      <c r="B2899" s="7" t="s">
        <v>26</v>
      </c>
      <c r="C2899" s="7" t="s">
        <v>27</v>
      </c>
      <c r="D2899" s="7" t="s">
        <v>28</v>
      </c>
      <c r="E2899" s="7" t="s">
        <v>29</v>
      </c>
      <c r="F2899" s="7" t="s">
        <v>282</v>
      </c>
      <c r="G2899" s="7">
        <v>98.475070000000002</v>
      </c>
      <c r="H2899" s="7"/>
    </row>
    <row r="2900" spans="1:8" x14ac:dyDescent="0.35">
      <c r="A2900" s="7" t="s">
        <v>355</v>
      </c>
      <c r="B2900" s="7" t="s">
        <v>26</v>
      </c>
      <c r="C2900" s="7" t="s">
        <v>27</v>
      </c>
      <c r="D2900" s="7" t="s">
        <v>28</v>
      </c>
      <c r="E2900" s="7" t="s">
        <v>29</v>
      </c>
      <c r="F2900" s="7" t="s">
        <v>283</v>
      </c>
      <c r="G2900" s="7">
        <v>98.349220000000003</v>
      </c>
      <c r="H2900" s="7"/>
    </row>
    <row r="2901" spans="1:8" x14ac:dyDescent="0.35">
      <c r="A2901" s="7" t="s">
        <v>355</v>
      </c>
      <c r="B2901" s="7" t="s">
        <v>26</v>
      </c>
      <c r="C2901" s="7" t="s">
        <v>27</v>
      </c>
      <c r="D2901" s="7" t="s">
        <v>28</v>
      </c>
      <c r="E2901" s="7" t="s">
        <v>29</v>
      </c>
      <c r="F2901" s="7" t="s">
        <v>284</v>
      </c>
      <c r="G2901" s="7">
        <v>98.681870000000004</v>
      </c>
      <c r="H2901" s="7"/>
    </row>
    <row r="2902" spans="1:8" x14ac:dyDescent="0.35">
      <c r="A2902" s="7" t="s">
        <v>355</v>
      </c>
      <c r="B2902" s="7" t="s">
        <v>26</v>
      </c>
      <c r="C2902" s="7" t="s">
        <v>27</v>
      </c>
      <c r="D2902" s="7" t="s">
        <v>28</v>
      </c>
      <c r="E2902" s="7" t="s">
        <v>29</v>
      </c>
      <c r="F2902" s="7" t="s">
        <v>285</v>
      </c>
      <c r="G2902" s="7">
        <v>99.245739999999998</v>
      </c>
      <c r="H2902" s="7"/>
    </row>
    <row r="2903" spans="1:8" x14ac:dyDescent="0.35">
      <c r="A2903" s="7" t="s">
        <v>355</v>
      </c>
      <c r="B2903" s="7" t="s">
        <v>26</v>
      </c>
      <c r="C2903" s="7" t="s">
        <v>27</v>
      </c>
      <c r="D2903" s="7" t="s">
        <v>28</v>
      </c>
      <c r="E2903" s="7" t="s">
        <v>29</v>
      </c>
      <c r="F2903" s="7" t="s">
        <v>286</v>
      </c>
      <c r="G2903" s="7">
        <v>99.816310000000001</v>
      </c>
      <c r="H2903" s="7"/>
    </row>
    <row r="2904" spans="1:8" x14ac:dyDescent="0.35">
      <c r="A2904" s="7" t="s">
        <v>355</v>
      </c>
      <c r="B2904" s="7" t="s">
        <v>26</v>
      </c>
      <c r="C2904" s="7" t="s">
        <v>27</v>
      </c>
      <c r="D2904" s="7" t="s">
        <v>28</v>
      </c>
      <c r="E2904" s="7" t="s">
        <v>29</v>
      </c>
      <c r="F2904" s="7" t="s">
        <v>287</v>
      </c>
      <c r="G2904" s="7">
        <v>100.1461</v>
      </c>
      <c r="H2904" s="7"/>
    </row>
    <row r="2905" spans="1:8" x14ac:dyDescent="0.35">
      <c r="A2905" s="7" t="s">
        <v>355</v>
      </c>
      <c r="B2905" s="7" t="s">
        <v>26</v>
      </c>
      <c r="C2905" s="7" t="s">
        <v>27</v>
      </c>
      <c r="D2905" s="7" t="s">
        <v>28</v>
      </c>
      <c r="E2905" s="7" t="s">
        <v>29</v>
      </c>
      <c r="F2905" s="7" t="s">
        <v>288</v>
      </c>
      <c r="G2905" s="7">
        <v>100.27070000000001</v>
      </c>
      <c r="H2905" s="7"/>
    </row>
    <row r="2906" spans="1:8" x14ac:dyDescent="0.35">
      <c r="A2906" s="7" t="s">
        <v>355</v>
      </c>
      <c r="B2906" s="7" t="s">
        <v>26</v>
      </c>
      <c r="C2906" s="7" t="s">
        <v>27</v>
      </c>
      <c r="D2906" s="7" t="s">
        <v>28</v>
      </c>
      <c r="E2906" s="7" t="s">
        <v>29</v>
      </c>
      <c r="F2906" s="7" t="s">
        <v>289</v>
      </c>
      <c r="G2906" s="7">
        <v>100.4584</v>
      </c>
      <c r="H2906" s="7"/>
    </row>
    <row r="2907" spans="1:8" x14ac:dyDescent="0.35">
      <c r="A2907" s="7" t="s">
        <v>355</v>
      </c>
      <c r="B2907" s="7" t="s">
        <v>26</v>
      </c>
      <c r="C2907" s="7" t="s">
        <v>27</v>
      </c>
      <c r="D2907" s="7" t="s">
        <v>28</v>
      </c>
      <c r="E2907" s="7" t="s">
        <v>29</v>
      </c>
      <c r="F2907" s="7" t="s">
        <v>290</v>
      </c>
      <c r="G2907" s="7">
        <v>100.7067</v>
      </c>
      <c r="H2907" s="7"/>
    </row>
    <row r="2908" spans="1:8" x14ac:dyDescent="0.35">
      <c r="A2908" s="7" t="s">
        <v>355</v>
      </c>
      <c r="B2908" s="7" t="s">
        <v>26</v>
      </c>
      <c r="C2908" s="7" t="s">
        <v>27</v>
      </c>
      <c r="D2908" s="7" t="s">
        <v>28</v>
      </c>
      <c r="E2908" s="7" t="s">
        <v>29</v>
      </c>
      <c r="F2908" s="7" t="s">
        <v>291</v>
      </c>
      <c r="G2908" s="7">
        <v>100.83369999999999</v>
      </c>
      <c r="H2908" s="7"/>
    </row>
    <row r="2909" spans="1:8" x14ac:dyDescent="0.35">
      <c r="A2909" s="7" t="s">
        <v>355</v>
      </c>
      <c r="B2909" s="7" t="s">
        <v>26</v>
      </c>
      <c r="C2909" s="7" t="s">
        <v>27</v>
      </c>
      <c r="D2909" s="7" t="s">
        <v>28</v>
      </c>
      <c r="E2909" s="7" t="s">
        <v>29</v>
      </c>
      <c r="F2909" s="7" t="s">
        <v>292</v>
      </c>
      <c r="G2909" s="7">
        <v>100.90689999999999</v>
      </c>
      <c r="H2909" s="7"/>
    </row>
    <row r="2910" spans="1:8" x14ac:dyDescent="0.35">
      <c r="A2910" s="7" t="s">
        <v>355</v>
      </c>
      <c r="B2910" s="7" t="s">
        <v>26</v>
      </c>
      <c r="C2910" s="7" t="s">
        <v>27</v>
      </c>
      <c r="D2910" s="7" t="s">
        <v>28</v>
      </c>
      <c r="E2910" s="7" t="s">
        <v>29</v>
      </c>
      <c r="F2910" s="7" t="s">
        <v>293</v>
      </c>
      <c r="G2910" s="7">
        <v>101.0573</v>
      </c>
      <c r="H2910" s="7"/>
    </row>
    <row r="2911" spans="1:8" x14ac:dyDescent="0.35">
      <c r="A2911" s="7" t="s">
        <v>355</v>
      </c>
      <c r="B2911" s="7" t="s">
        <v>26</v>
      </c>
      <c r="C2911" s="7" t="s">
        <v>27</v>
      </c>
      <c r="D2911" s="7" t="s">
        <v>28</v>
      </c>
      <c r="E2911" s="7" t="s">
        <v>29</v>
      </c>
      <c r="F2911" s="7" t="s">
        <v>294</v>
      </c>
      <c r="G2911" s="7">
        <v>101.28579999999999</v>
      </c>
      <c r="H2911" s="7"/>
    </row>
    <row r="2912" spans="1:8" x14ac:dyDescent="0.35">
      <c r="A2912" s="7" t="s">
        <v>355</v>
      </c>
      <c r="B2912" s="7" t="s">
        <v>26</v>
      </c>
      <c r="C2912" s="7" t="s">
        <v>27</v>
      </c>
      <c r="D2912" s="7" t="s">
        <v>28</v>
      </c>
      <c r="E2912" s="7" t="s">
        <v>29</v>
      </c>
      <c r="F2912" s="7" t="s">
        <v>295</v>
      </c>
      <c r="G2912" s="7">
        <v>101.4526</v>
      </c>
      <c r="H2912" s="7"/>
    </row>
    <row r="2913" spans="1:8" x14ac:dyDescent="0.35">
      <c r="A2913" s="7" t="s">
        <v>355</v>
      </c>
      <c r="B2913" s="7" t="s">
        <v>26</v>
      </c>
      <c r="C2913" s="7" t="s">
        <v>27</v>
      </c>
      <c r="D2913" s="7" t="s">
        <v>28</v>
      </c>
      <c r="E2913" s="7" t="s">
        <v>29</v>
      </c>
      <c r="F2913" s="7" t="s">
        <v>296</v>
      </c>
      <c r="G2913" s="7">
        <v>101.4675</v>
      </c>
      <c r="H2913" s="7"/>
    </row>
    <row r="2914" spans="1:8" x14ac:dyDescent="0.35">
      <c r="A2914" s="7" t="s">
        <v>355</v>
      </c>
      <c r="B2914" s="7" t="s">
        <v>26</v>
      </c>
      <c r="C2914" s="7" t="s">
        <v>27</v>
      </c>
      <c r="D2914" s="7" t="s">
        <v>28</v>
      </c>
      <c r="E2914" s="7" t="s">
        <v>29</v>
      </c>
      <c r="F2914" s="7" t="s">
        <v>297</v>
      </c>
      <c r="G2914" s="7">
        <v>101.38160000000001</v>
      </c>
      <c r="H2914" s="7"/>
    </row>
    <row r="2915" spans="1:8" x14ac:dyDescent="0.35">
      <c r="A2915" s="7" t="s">
        <v>355</v>
      </c>
      <c r="B2915" s="7" t="s">
        <v>26</v>
      </c>
      <c r="C2915" s="7" t="s">
        <v>27</v>
      </c>
      <c r="D2915" s="7" t="s">
        <v>28</v>
      </c>
      <c r="E2915" s="7" t="s">
        <v>29</v>
      </c>
      <c r="F2915" s="7" t="s">
        <v>298</v>
      </c>
      <c r="G2915" s="7">
        <v>101.2932</v>
      </c>
      <c r="H2915" s="7"/>
    </row>
    <row r="2916" spans="1:8" x14ac:dyDescent="0.35">
      <c r="A2916" s="7" t="s">
        <v>355</v>
      </c>
      <c r="B2916" s="7" t="s">
        <v>26</v>
      </c>
      <c r="C2916" s="7" t="s">
        <v>27</v>
      </c>
      <c r="D2916" s="7" t="s">
        <v>28</v>
      </c>
      <c r="E2916" s="7" t="s">
        <v>29</v>
      </c>
      <c r="F2916" s="7" t="s">
        <v>299</v>
      </c>
      <c r="G2916" s="7">
        <v>101.3737</v>
      </c>
      <c r="H2916" s="7"/>
    </row>
    <row r="2917" spans="1:8" x14ac:dyDescent="0.35">
      <c r="A2917" s="7" t="s">
        <v>355</v>
      </c>
      <c r="B2917" s="7" t="s">
        <v>26</v>
      </c>
      <c r="C2917" s="7" t="s">
        <v>27</v>
      </c>
      <c r="D2917" s="7" t="s">
        <v>28</v>
      </c>
      <c r="E2917" s="7" t="s">
        <v>29</v>
      </c>
      <c r="F2917" s="7" t="s">
        <v>300</v>
      </c>
      <c r="G2917" s="7">
        <v>101.5373</v>
      </c>
      <c r="H2917" s="7"/>
    </row>
    <row r="2918" spans="1:8" x14ac:dyDescent="0.35">
      <c r="A2918" s="7" t="s">
        <v>355</v>
      </c>
      <c r="B2918" s="7" t="s">
        <v>26</v>
      </c>
      <c r="C2918" s="7" t="s">
        <v>27</v>
      </c>
      <c r="D2918" s="7" t="s">
        <v>28</v>
      </c>
      <c r="E2918" s="7" t="s">
        <v>29</v>
      </c>
      <c r="F2918" s="7" t="s">
        <v>301</v>
      </c>
      <c r="G2918" s="7">
        <v>101.66</v>
      </c>
      <c r="H2918" s="7"/>
    </row>
    <row r="2919" spans="1:8" x14ac:dyDescent="0.35">
      <c r="A2919" s="7" t="s">
        <v>355</v>
      </c>
      <c r="B2919" s="7" t="s">
        <v>26</v>
      </c>
      <c r="C2919" s="7" t="s">
        <v>27</v>
      </c>
      <c r="D2919" s="7" t="s">
        <v>28</v>
      </c>
      <c r="E2919" s="7" t="s">
        <v>29</v>
      </c>
      <c r="F2919" s="7" t="s">
        <v>302</v>
      </c>
      <c r="G2919" s="7">
        <v>101.77379999999999</v>
      </c>
      <c r="H2919" s="7"/>
    </row>
    <row r="2920" spans="1:8" x14ac:dyDescent="0.35">
      <c r="A2920" s="7" t="s">
        <v>355</v>
      </c>
      <c r="B2920" s="7" t="s">
        <v>26</v>
      </c>
      <c r="C2920" s="7" t="s">
        <v>27</v>
      </c>
      <c r="D2920" s="7" t="s">
        <v>28</v>
      </c>
      <c r="E2920" s="7" t="s">
        <v>29</v>
      </c>
      <c r="F2920" s="7" t="s">
        <v>303</v>
      </c>
      <c r="G2920" s="7">
        <v>101.8058</v>
      </c>
      <c r="H2920" s="7"/>
    </row>
    <row r="2921" spans="1:8" x14ac:dyDescent="0.35">
      <c r="A2921" s="7" t="s">
        <v>355</v>
      </c>
      <c r="B2921" s="7" t="s">
        <v>26</v>
      </c>
      <c r="C2921" s="7" t="s">
        <v>27</v>
      </c>
      <c r="D2921" s="7" t="s">
        <v>28</v>
      </c>
      <c r="E2921" s="7" t="s">
        <v>29</v>
      </c>
      <c r="F2921" s="7" t="s">
        <v>304</v>
      </c>
      <c r="G2921" s="7">
        <v>101.64230000000001</v>
      </c>
      <c r="H2921" s="7"/>
    </row>
    <row r="2922" spans="1:8" x14ac:dyDescent="0.35">
      <c r="A2922" s="7" t="s">
        <v>355</v>
      </c>
      <c r="B2922" s="7" t="s">
        <v>26</v>
      </c>
      <c r="C2922" s="7" t="s">
        <v>27</v>
      </c>
      <c r="D2922" s="7" t="s">
        <v>28</v>
      </c>
      <c r="E2922" s="7" t="s">
        <v>29</v>
      </c>
      <c r="F2922" s="7" t="s">
        <v>305</v>
      </c>
      <c r="G2922" s="7">
        <v>101.2574</v>
      </c>
      <c r="H2922" s="7"/>
    </row>
    <row r="2923" spans="1:8" x14ac:dyDescent="0.35">
      <c r="A2923" s="7" t="s">
        <v>355</v>
      </c>
      <c r="B2923" s="7" t="s">
        <v>26</v>
      </c>
      <c r="C2923" s="7" t="s">
        <v>27</v>
      </c>
      <c r="D2923" s="7" t="s">
        <v>28</v>
      </c>
      <c r="E2923" s="7" t="s">
        <v>29</v>
      </c>
      <c r="F2923" s="7" t="s">
        <v>306</v>
      </c>
      <c r="G2923" s="7">
        <v>100.9357</v>
      </c>
      <c r="H2923" s="7"/>
    </row>
    <row r="2924" spans="1:8" x14ac:dyDescent="0.35">
      <c r="A2924" s="7" t="s">
        <v>355</v>
      </c>
      <c r="B2924" s="7" t="s">
        <v>26</v>
      </c>
      <c r="C2924" s="7" t="s">
        <v>27</v>
      </c>
      <c r="D2924" s="7" t="s">
        <v>28</v>
      </c>
      <c r="E2924" s="7" t="s">
        <v>29</v>
      </c>
      <c r="F2924" s="7" t="s">
        <v>307</v>
      </c>
      <c r="G2924" s="7">
        <v>100.7805</v>
      </c>
      <c r="H2924" s="7"/>
    </row>
    <row r="2925" spans="1:8" x14ac:dyDescent="0.35">
      <c r="A2925" s="7" t="s">
        <v>355</v>
      </c>
      <c r="B2925" s="7" t="s">
        <v>26</v>
      </c>
      <c r="C2925" s="7" t="s">
        <v>27</v>
      </c>
      <c r="D2925" s="7" t="s">
        <v>28</v>
      </c>
      <c r="E2925" s="7" t="s">
        <v>29</v>
      </c>
      <c r="F2925" s="7" t="s">
        <v>308</v>
      </c>
      <c r="G2925" s="7">
        <v>100.59699999999999</v>
      </c>
      <c r="H2925" s="7"/>
    </row>
    <row r="2926" spans="1:8" x14ac:dyDescent="0.35">
      <c r="A2926" s="7" t="s">
        <v>355</v>
      </c>
      <c r="B2926" s="7" t="s">
        <v>26</v>
      </c>
      <c r="C2926" s="7" t="s">
        <v>27</v>
      </c>
      <c r="D2926" s="7" t="s">
        <v>28</v>
      </c>
      <c r="E2926" s="7" t="s">
        <v>29</v>
      </c>
      <c r="F2926" s="7" t="s">
        <v>309</v>
      </c>
      <c r="G2926" s="7">
        <v>100.4062</v>
      </c>
      <c r="H2926" s="7"/>
    </row>
    <row r="2927" spans="1:8" x14ac:dyDescent="0.35">
      <c r="A2927" s="7" t="s">
        <v>355</v>
      </c>
      <c r="B2927" s="7" t="s">
        <v>26</v>
      </c>
      <c r="C2927" s="7" t="s">
        <v>27</v>
      </c>
      <c r="D2927" s="7" t="s">
        <v>28</v>
      </c>
      <c r="E2927" s="7" t="s">
        <v>29</v>
      </c>
      <c r="F2927" s="7" t="s">
        <v>310</v>
      </c>
      <c r="G2927" s="7">
        <v>100.2298</v>
      </c>
      <c r="H2927" s="7"/>
    </row>
    <row r="2928" spans="1:8" x14ac:dyDescent="0.35">
      <c r="A2928" s="7" t="s">
        <v>355</v>
      </c>
      <c r="B2928" s="7" t="s">
        <v>26</v>
      </c>
      <c r="C2928" s="7" t="s">
        <v>27</v>
      </c>
      <c r="D2928" s="7" t="s">
        <v>28</v>
      </c>
      <c r="E2928" s="7" t="s">
        <v>29</v>
      </c>
      <c r="F2928" s="7" t="s">
        <v>311</v>
      </c>
      <c r="G2928" s="7">
        <v>100.042</v>
      </c>
      <c r="H2928" s="7"/>
    </row>
    <row r="2929" spans="1:8" x14ac:dyDescent="0.35">
      <c r="A2929" s="7" t="s">
        <v>355</v>
      </c>
      <c r="B2929" s="7" t="s">
        <v>26</v>
      </c>
      <c r="C2929" s="7" t="s">
        <v>27</v>
      </c>
      <c r="D2929" s="7" t="s">
        <v>28</v>
      </c>
      <c r="E2929" s="7" t="s">
        <v>29</v>
      </c>
      <c r="F2929" s="7" t="s">
        <v>312</v>
      </c>
      <c r="G2929" s="7">
        <v>100.0056</v>
      </c>
      <c r="H2929" s="7"/>
    </row>
    <row r="2930" spans="1:8" x14ac:dyDescent="0.35">
      <c r="A2930" s="7" t="s">
        <v>355</v>
      </c>
      <c r="B2930" s="7" t="s">
        <v>26</v>
      </c>
      <c r="C2930" s="7" t="s">
        <v>27</v>
      </c>
      <c r="D2930" s="7" t="s">
        <v>28</v>
      </c>
      <c r="E2930" s="7" t="s">
        <v>29</v>
      </c>
      <c r="F2930" s="7" t="s">
        <v>313</v>
      </c>
      <c r="G2930" s="7">
        <v>100.04170000000001</v>
      </c>
      <c r="H2930" s="7"/>
    </row>
    <row r="2931" spans="1:8" x14ac:dyDescent="0.35">
      <c r="A2931" s="7" t="s">
        <v>355</v>
      </c>
      <c r="B2931" s="7" t="s">
        <v>26</v>
      </c>
      <c r="C2931" s="7" t="s">
        <v>27</v>
      </c>
      <c r="D2931" s="7" t="s">
        <v>28</v>
      </c>
      <c r="E2931" s="7" t="s">
        <v>29</v>
      </c>
      <c r="F2931" s="7" t="s">
        <v>314</v>
      </c>
      <c r="G2931" s="7">
        <v>100.04640000000001</v>
      </c>
      <c r="H2931" s="7"/>
    </row>
    <row r="2932" spans="1:8" x14ac:dyDescent="0.35">
      <c r="A2932" s="7" t="s">
        <v>355</v>
      </c>
      <c r="B2932" s="7" t="s">
        <v>26</v>
      </c>
      <c r="C2932" s="7" t="s">
        <v>27</v>
      </c>
      <c r="D2932" s="7" t="s">
        <v>28</v>
      </c>
      <c r="E2932" s="7" t="s">
        <v>29</v>
      </c>
      <c r="F2932" s="7" t="s">
        <v>315</v>
      </c>
      <c r="G2932" s="7">
        <v>99.973150000000004</v>
      </c>
      <c r="H2932" s="7"/>
    </row>
    <row r="2933" spans="1:8" x14ac:dyDescent="0.35">
      <c r="A2933" s="7" t="s">
        <v>355</v>
      </c>
      <c r="B2933" s="7" t="s">
        <v>26</v>
      </c>
      <c r="C2933" s="7" t="s">
        <v>27</v>
      </c>
      <c r="D2933" s="7" t="s">
        <v>28</v>
      </c>
      <c r="E2933" s="7" t="s">
        <v>29</v>
      </c>
      <c r="F2933" s="7" t="s">
        <v>316</v>
      </c>
      <c r="G2933" s="7">
        <v>99.768969999999996</v>
      </c>
      <c r="H2933" s="7"/>
    </row>
    <row r="2934" spans="1:8" x14ac:dyDescent="0.35">
      <c r="A2934" s="7" t="s">
        <v>355</v>
      </c>
      <c r="B2934" s="7" t="s">
        <v>26</v>
      </c>
      <c r="C2934" s="7" t="s">
        <v>27</v>
      </c>
      <c r="D2934" s="7" t="s">
        <v>28</v>
      </c>
      <c r="E2934" s="7" t="s">
        <v>29</v>
      </c>
      <c r="F2934" s="7" t="s">
        <v>317</v>
      </c>
      <c r="G2934" s="7">
        <v>99.487319999999997</v>
      </c>
      <c r="H2934" s="7"/>
    </row>
    <row r="2935" spans="1:8" x14ac:dyDescent="0.35">
      <c r="A2935" s="7" t="s">
        <v>355</v>
      </c>
      <c r="B2935" s="7" t="s">
        <v>26</v>
      </c>
      <c r="C2935" s="7" t="s">
        <v>27</v>
      </c>
      <c r="D2935" s="7" t="s">
        <v>28</v>
      </c>
      <c r="E2935" s="7" t="s">
        <v>29</v>
      </c>
      <c r="F2935" s="7" t="s">
        <v>318</v>
      </c>
      <c r="G2935" s="7">
        <v>99.213359999999994</v>
      </c>
      <c r="H2935" s="7"/>
    </row>
    <row r="2936" spans="1:8" x14ac:dyDescent="0.35">
      <c r="A2936" s="7" t="s">
        <v>355</v>
      </c>
      <c r="B2936" s="7" t="s">
        <v>26</v>
      </c>
      <c r="C2936" s="7" t="s">
        <v>27</v>
      </c>
      <c r="D2936" s="7" t="s">
        <v>28</v>
      </c>
      <c r="E2936" s="7" t="s">
        <v>29</v>
      </c>
      <c r="F2936" s="7" t="s">
        <v>319</v>
      </c>
      <c r="G2936" s="7">
        <v>99.285780000000003</v>
      </c>
      <c r="H2936" s="7"/>
    </row>
    <row r="2937" spans="1:8" x14ac:dyDescent="0.35">
      <c r="A2937" s="7" t="s">
        <v>355</v>
      </c>
      <c r="B2937" s="7" t="s">
        <v>26</v>
      </c>
      <c r="C2937" s="7" t="s">
        <v>27</v>
      </c>
      <c r="D2937" s="7" t="s">
        <v>28</v>
      </c>
      <c r="E2937" s="7" t="s">
        <v>29</v>
      </c>
      <c r="F2937" s="7" t="s">
        <v>320</v>
      </c>
      <c r="G2937" s="7">
        <v>99.494609999999994</v>
      </c>
      <c r="H2937" s="7"/>
    </row>
    <row r="2938" spans="1:8" x14ac:dyDescent="0.35">
      <c r="A2938" s="7" t="s">
        <v>355</v>
      </c>
      <c r="B2938" s="7" t="s">
        <v>26</v>
      </c>
      <c r="C2938" s="7" t="s">
        <v>27</v>
      </c>
      <c r="D2938" s="7" t="s">
        <v>28</v>
      </c>
      <c r="E2938" s="7" t="s">
        <v>29</v>
      </c>
      <c r="F2938" s="7" t="s">
        <v>321</v>
      </c>
      <c r="G2938" s="7">
        <v>99.666460000000001</v>
      </c>
      <c r="H2938" s="7"/>
    </row>
    <row r="2939" spans="1:8" x14ac:dyDescent="0.35">
      <c r="A2939" s="7" t="s">
        <v>355</v>
      </c>
      <c r="B2939" s="7" t="s">
        <v>26</v>
      </c>
      <c r="C2939" s="7" t="s">
        <v>27</v>
      </c>
      <c r="D2939" s="7" t="s">
        <v>28</v>
      </c>
      <c r="E2939" s="7" t="s">
        <v>29</v>
      </c>
      <c r="F2939" s="7" t="s">
        <v>322</v>
      </c>
      <c r="G2939" s="7">
        <v>99.774510000000006</v>
      </c>
      <c r="H2939" s="7"/>
    </row>
    <row r="2940" spans="1:8" x14ac:dyDescent="0.35">
      <c r="A2940" s="7" t="s">
        <v>355</v>
      </c>
      <c r="B2940" s="7" t="s">
        <v>26</v>
      </c>
      <c r="C2940" s="7" t="s">
        <v>27</v>
      </c>
      <c r="D2940" s="7" t="s">
        <v>28</v>
      </c>
      <c r="E2940" s="7" t="s">
        <v>29</v>
      </c>
      <c r="F2940" s="7" t="s">
        <v>323</v>
      </c>
      <c r="G2940" s="7">
        <v>99.786649999999995</v>
      </c>
      <c r="H2940" s="7"/>
    </row>
    <row r="2941" spans="1:8" x14ac:dyDescent="0.35">
      <c r="A2941" s="7" t="s">
        <v>355</v>
      </c>
      <c r="B2941" s="7" t="s">
        <v>26</v>
      </c>
      <c r="C2941" s="7" t="s">
        <v>27</v>
      </c>
      <c r="D2941" s="7" t="s">
        <v>28</v>
      </c>
      <c r="E2941" s="7" t="s">
        <v>29</v>
      </c>
      <c r="F2941" s="7" t="s">
        <v>324</v>
      </c>
      <c r="G2941" s="7">
        <v>99.816460000000006</v>
      </c>
      <c r="H2941" s="7"/>
    </row>
    <row r="2942" spans="1:8" x14ac:dyDescent="0.35">
      <c r="A2942" s="7" t="s">
        <v>355</v>
      </c>
      <c r="B2942" s="7" t="s">
        <v>26</v>
      </c>
      <c r="C2942" s="7" t="s">
        <v>27</v>
      </c>
      <c r="D2942" s="7" t="s">
        <v>28</v>
      </c>
      <c r="E2942" s="7" t="s">
        <v>29</v>
      </c>
      <c r="F2942" s="7" t="s">
        <v>325</v>
      </c>
      <c r="G2942" s="7">
        <v>99.891840000000002</v>
      </c>
      <c r="H2942" s="7"/>
    </row>
    <row r="2943" spans="1:8" x14ac:dyDescent="0.35">
      <c r="A2943" s="7" t="s">
        <v>355</v>
      </c>
      <c r="B2943" s="7" t="s">
        <v>26</v>
      </c>
      <c r="C2943" s="7" t="s">
        <v>27</v>
      </c>
      <c r="D2943" s="7" t="s">
        <v>28</v>
      </c>
      <c r="E2943" s="7" t="s">
        <v>29</v>
      </c>
      <c r="F2943" s="7" t="s">
        <v>326</v>
      </c>
      <c r="G2943" s="7">
        <v>99.925250000000005</v>
      </c>
      <c r="H2943" s="7"/>
    </row>
    <row r="2944" spans="1:8" x14ac:dyDescent="0.35">
      <c r="A2944" s="7" t="s">
        <v>355</v>
      </c>
      <c r="B2944" s="7" t="s">
        <v>26</v>
      </c>
      <c r="C2944" s="7" t="s">
        <v>27</v>
      </c>
      <c r="D2944" s="7" t="s">
        <v>28</v>
      </c>
      <c r="E2944" s="7" t="s">
        <v>29</v>
      </c>
      <c r="F2944" s="7" t="s">
        <v>327</v>
      </c>
      <c r="G2944" s="7">
        <v>100.0568</v>
      </c>
      <c r="H2944" s="7"/>
    </row>
    <row r="2945" spans="1:8" x14ac:dyDescent="0.35">
      <c r="A2945" s="7" t="s">
        <v>355</v>
      </c>
      <c r="B2945" s="7" t="s">
        <v>26</v>
      </c>
      <c r="C2945" s="7" t="s">
        <v>27</v>
      </c>
      <c r="D2945" s="7" t="s">
        <v>28</v>
      </c>
      <c r="E2945" s="7" t="s">
        <v>29</v>
      </c>
      <c r="F2945" s="7" t="s">
        <v>328</v>
      </c>
      <c r="G2945" s="7">
        <v>100.3419</v>
      </c>
      <c r="H2945" s="7"/>
    </row>
    <row r="2946" spans="1:8" x14ac:dyDescent="0.35">
      <c r="A2946" s="7" t="s">
        <v>355</v>
      </c>
      <c r="B2946" s="7" t="s">
        <v>26</v>
      </c>
      <c r="C2946" s="7" t="s">
        <v>27</v>
      </c>
      <c r="D2946" s="7" t="s">
        <v>28</v>
      </c>
      <c r="E2946" s="7" t="s">
        <v>29</v>
      </c>
      <c r="F2946" s="7" t="s">
        <v>329</v>
      </c>
      <c r="G2946" s="7">
        <v>100.55970000000001</v>
      </c>
      <c r="H2946" s="7"/>
    </row>
    <row r="2947" spans="1:8" x14ac:dyDescent="0.35">
      <c r="A2947" s="7" t="s">
        <v>355</v>
      </c>
      <c r="B2947" s="7" t="s">
        <v>26</v>
      </c>
      <c r="C2947" s="7" t="s">
        <v>27</v>
      </c>
      <c r="D2947" s="7" t="s">
        <v>28</v>
      </c>
      <c r="E2947" s="7" t="s">
        <v>29</v>
      </c>
      <c r="F2947" s="7" t="s">
        <v>330</v>
      </c>
      <c r="G2947" s="7">
        <v>100.7056</v>
      </c>
      <c r="H2947" s="7"/>
    </row>
    <row r="2948" spans="1:8" x14ac:dyDescent="0.35">
      <c r="A2948" s="7" t="s">
        <v>355</v>
      </c>
      <c r="B2948" s="7" t="s">
        <v>26</v>
      </c>
      <c r="C2948" s="7" t="s">
        <v>27</v>
      </c>
      <c r="D2948" s="7" t="s">
        <v>28</v>
      </c>
      <c r="E2948" s="7" t="s">
        <v>29</v>
      </c>
      <c r="F2948" s="7" t="s">
        <v>331</v>
      </c>
      <c r="G2948" s="7">
        <v>100.8728</v>
      </c>
      <c r="H2948" s="7"/>
    </row>
    <row r="2949" spans="1:8" x14ac:dyDescent="0.35">
      <c r="A2949" s="7" t="s">
        <v>355</v>
      </c>
      <c r="B2949" s="7" t="s">
        <v>26</v>
      </c>
      <c r="C2949" s="7" t="s">
        <v>27</v>
      </c>
      <c r="D2949" s="7" t="s">
        <v>28</v>
      </c>
      <c r="E2949" s="7" t="s">
        <v>29</v>
      </c>
      <c r="F2949" s="7" t="s">
        <v>332</v>
      </c>
      <c r="G2949" s="7">
        <v>101.0067</v>
      </c>
      <c r="H2949" s="7"/>
    </row>
    <row r="2950" spans="1:8" x14ac:dyDescent="0.35">
      <c r="A2950" s="7" t="s">
        <v>355</v>
      </c>
      <c r="B2950" s="7" t="s">
        <v>26</v>
      </c>
      <c r="C2950" s="7" t="s">
        <v>27</v>
      </c>
      <c r="D2950" s="7" t="s">
        <v>28</v>
      </c>
      <c r="E2950" s="7" t="s">
        <v>29</v>
      </c>
      <c r="F2950" s="7" t="s">
        <v>333</v>
      </c>
      <c r="G2950" s="7">
        <v>101.0968</v>
      </c>
      <c r="H2950" s="7"/>
    </row>
    <row r="2951" spans="1:8" x14ac:dyDescent="0.35">
      <c r="A2951" s="7" t="s">
        <v>355</v>
      </c>
      <c r="B2951" s="7" t="s">
        <v>26</v>
      </c>
      <c r="C2951" s="7" t="s">
        <v>27</v>
      </c>
      <c r="D2951" s="7" t="s">
        <v>28</v>
      </c>
      <c r="E2951" s="7" t="s">
        <v>29</v>
      </c>
      <c r="F2951" s="7" t="s">
        <v>334</v>
      </c>
      <c r="G2951" s="7">
        <v>101.1818</v>
      </c>
      <c r="H2951" s="7"/>
    </row>
    <row r="2952" spans="1:8" x14ac:dyDescent="0.35">
      <c r="A2952" s="7" t="s">
        <v>355</v>
      </c>
      <c r="B2952" s="7" t="s">
        <v>26</v>
      </c>
      <c r="C2952" s="7" t="s">
        <v>27</v>
      </c>
      <c r="D2952" s="7" t="s">
        <v>28</v>
      </c>
      <c r="E2952" s="7" t="s">
        <v>29</v>
      </c>
      <c r="F2952" s="7" t="s">
        <v>335</v>
      </c>
      <c r="G2952" s="7">
        <v>101.1802</v>
      </c>
      <c r="H2952" s="7"/>
    </row>
    <row r="2953" spans="1:8" x14ac:dyDescent="0.35">
      <c r="A2953" s="7" t="s">
        <v>355</v>
      </c>
      <c r="B2953" s="7" t="s">
        <v>26</v>
      </c>
      <c r="C2953" s="7" t="s">
        <v>27</v>
      </c>
      <c r="D2953" s="7" t="s">
        <v>28</v>
      </c>
      <c r="E2953" s="7" t="s">
        <v>29</v>
      </c>
      <c r="F2953" s="7" t="s">
        <v>336</v>
      </c>
      <c r="G2953" s="7">
        <v>101.104</v>
      </c>
      <c r="H2953" s="7"/>
    </row>
    <row r="2954" spans="1:8" x14ac:dyDescent="0.35">
      <c r="A2954" s="7" t="s">
        <v>355</v>
      </c>
      <c r="B2954" s="7" t="s">
        <v>26</v>
      </c>
      <c r="C2954" s="7" t="s">
        <v>27</v>
      </c>
      <c r="D2954" s="7" t="s">
        <v>28</v>
      </c>
      <c r="E2954" s="7" t="s">
        <v>29</v>
      </c>
      <c r="F2954" s="7" t="s">
        <v>337</v>
      </c>
      <c r="G2954" s="7">
        <v>100.8811</v>
      </c>
      <c r="H2954" s="7"/>
    </row>
    <row r="2955" spans="1:8" x14ac:dyDescent="0.35">
      <c r="A2955" s="7" t="s">
        <v>355</v>
      </c>
      <c r="B2955" s="7" t="s">
        <v>26</v>
      </c>
      <c r="C2955" s="7" t="s">
        <v>27</v>
      </c>
      <c r="D2955" s="7" t="s">
        <v>28</v>
      </c>
      <c r="E2955" s="7" t="s">
        <v>29</v>
      </c>
      <c r="F2955" s="7" t="s">
        <v>338</v>
      </c>
      <c r="G2955" s="7">
        <v>100.7503</v>
      </c>
      <c r="H2955" s="7"/>
    </row>
    <row r="2956" spans="1:8" x14ac:dyDescent="0.35">
      <c r="A2956" s="7" t="s">
        <v>355</v>
      </c>
      <c r="B2956" s="7" t="s">
        <v>26</v>
      </c>
      <c r="C2956" s="7" t="s">
        <v>27</v>
      </c>
      <c r="D2956" s="7" t="s">
        <v>28</v>
      </c>
      <c r="E2956" s="7" t="s">
        <v>29</v>
      </c>
      <c r="F2956" s="7" t="s">
        <v>339</v>
      </c>
      <c r="G2956" s="7">
        <v>100.7666</v>
      </c>
      <c r="H2956" s="7"/>
    </row>
    <row r="2957" spans="1:8" x14ac:dyDescent="0.35">
      <c r="A2957" s="7" t="s">
        <v>355</v>
      </c>
      <c r="B2957" s="7" t="s">
        <v>26</v>
      </c>
      <c r="C2957" s="7" t="s">
        <v>27</v>
      </c>
      <c r="D2957" s="7" t="s">
        <v>28</v>
      </c>
      <c r="E2957" s="7" t="s">
        <v>29</v>
      </c>
      <c r="F2957" s="7" t="s">
        <v>340</v>
      </c>
      <c r="G2957" s="7">
        <v>100.9122</v>
      </c>
      <c r="H2957" s="7"/>
    </row>
    <row r="2958" spans="1:8" x14ac:dyDescent="0.35">
      <c r="A2958" s="7" t="s">
        <v>355</v>
      </c>
      <c r="B2958" s="7" t="s">
        <v>26</v>
      </c>
      <c r="C2958" s="7" t="s">
        <v>27</v>
      </c>
      <c r="D2958" s="7" t="s">
        <v>28</v>
      </c>
      <c r="E2958" s="7" t="s">
        <v>29</v>
      </c>
      <c r="F2958" s="7" t="s">
        <v>341</v>
      </c>
      <c r="G2958" s="7">
        <v>101.12</v>
      </c>
      <c r="H2958" s="7"/>
    </row>
    <row r="2959" spans="1:8" x14ac:dyDescent="0.35">
      <c r="A2959" s="7" t="s">
        <v>355</v>
      </c>
      <c r="B2959" s="7" t="s">
        <v>26</v>
      </c>
      <c r="C2959" s="7" t="s">
        <v>27</v>
      </c>
      <c r="D2959" s="7" t="s">
        <v>28</v>
      </c>
      <c r="E2959" s="7" t="s">
        <v>29</v>
      </c>
      <c r="F2959" s="7" t="s">
        <v>342</v>
      </c>
      <c r="G2959" s="7">
        <v>101.2677</v>
      </c>
      <c r="H2959" s="7"/>
    </row>
    <row r="2960" spans="1:8" x14ac:dyDescent="0.35">
      <c r="A2960" s="7" t="s">
        <v>355</v>
      </c>
      <c r="B2960" s="7" t="s">
        <v>26</v>
      </c>
      <c r="C2960" s="7" t="s">
        <v>27</v>
      </c>
      <c r="D2960" s="7" t="s">
        <v>28</v>
      </c>
      <c r="E2960" s="7" t="s">
        <v>29</v>
      </c>
      <c r="F2960" s="7" t="s">
        <v>343</v>
      </c>
      <c r="G2960" s="7">
        <v>101.2684</v>
      </c>
      <c r="H2960" s="7"/>
    </row>
    <row r="2961" spans="1:8" x14ac:dyDescent="0.35">
      <c r="A2961" s="7" t="s">
        <v>355</v>
      </c>
      <c r="B2961" s="7" t="s">
        <v>26</v>
      </c>
      <c r="C2961" s="7" t="s">
        <v>27</v>
      </c>
      <c r="D2961" s="7" t="s">
        <v>28</v>
      </c>
      <c r="E2961" s="7" t="s">
        <v>29</v>
      </c>
      <c r="F2961" s="7" t="s">
        <v>344</v>
      </c>
      <c r="G2961" s="7">
        <v>101.1429</v>
      </c>
      <c r="H2961" s="7"/>
    </row>
    <row r="2962" spans="1:8" x14ac:dyDescent="0.35">
      <c r="A2962" s="7" t="s">
        <v>355</v>
      </c>
      <c r="B2962" s="7" t="s">
        <v>26</v>
      </c>
      <c r="C2962" s="7" t="s">
        <v>27</v>
      </c>
      <c r="D2962" s="7" t="s">
        <v>28</v>
      </c>
      <c r="E2962" s="7" t="s">
        <v>29</v>
      </c>
      <c r="F2962" s="7" t="s">
        <v>345</v>
      </c>
      <c r="G2962" s="7">
        <v>100.9187</v>
      </c>
      <c r="H2962" s="7"/>
    </row>
    <row r="2963" spans="1:8" x14ac:dyDescent="0.35">
      <c r="A2963" s="7" t="s">
        <v>355</v>
      </c>
      <c r="B2963" s="7" t="s">
        <v>26</v>
      </c>
      <c r="C2963" s="7" t="s">
        <v>27</v>
      </c>
      <c r="D2963" s="7" t="s">
        <v>28</v>
      </c>
      <c r="E2963" s="7" t="s">
        <v>29</v>
      </c>
      <c r="F2963" s="7" t="s">
        <v>346</v>
      </c>
      <c r="G2963" s="7">
        <v>100.676</v>
      </c>
      <c r="H2963" s="7"/>
    </row>
    <row r="2964" spans="1:8" x14ac:dyDescent="0.35">
      <c r="A2964" s="7" t="s">
        <v>356</v>
      </c>
      <c r="B2964" s="7" t="s">
        <v>26</v>
      </c>
      <c r="C2964" s="7" t="s">
        <v>27</v>
      </c>
      <c r="D2964" s="7" t="s">
        <v>28</v>
      </c>
      <c r="E2964" s="7" t="s">
        <v>29</v>
      </c>
      <c r="F2964" s="7" t="s">
        <v>143</v>
      </c>
      <c r="G2964" s="7">
        <v>103.3344</v>
      </c>
      <c r="H2964" s="7"/>
    </row>
    <row r="2965" spans="1:8" x14ac:dyDescent="0.35">
      <c r="A2965" s="7" t="s">
        <v>356</v>
      </c>
      <c r="B2965" s="7" t="s">
        <v>26</v>
      </c>
      <c r="C2965" s="7" t="s">
        <v>27</v>
      </c>
      <c r="D2965" s="7" t="s">
        <v>28</v>
      </c>
      <c r="E2965" s="7" t="s">
        <v>29</v>
      </c>
      <c r="F2965" s="7" t="s">
        <v>144</v>
      </c>
      <c r="G2965" s="7">
        <v>103.12220000000001</v>
      </c>
      <c r="H2965" s="7"/>
    </row>
    <row r="2966" spans="1:8" x14ac:dyDescent="0.35">
      <c r="A2966" s="7" t="s">
        <v>356</v>
      </c>
      <c r="B2966" s="7" t="s">
        <v>26</v>
      </c>
      <c r="C2966" s="7" t="s">
        <v>27</v>
      </c>
      <c r="D2966" s="7" t="s">
        <v>28</v>
      </c>
      <c r="E2966" s="7" t="s">
        <v>29</v>
      </c>
      <c r="F2966" s="7" t="s">
        <v>145</v>
      </c>
      <c r="G2966" s="7">
        <v>103.1673</v>
      </c>
      <c r="H2966" s="7"/>
    </row>
    <row r="2967" spans="1:8" x14ac:dyDescent="0.35">
      <c r="A2967" s="7" t="s">
        <v>356</v>
      </c>
      <c r="B2967" s="7" t="s">
        <v>26</v>
      </c>
      <c r="C2967" s="7" t="s">
        <v>27</v>
      </c>
      <c r="D2967" s="7" t="s">
        <v>28</v>
      </c>
      <c r="E2967" s="7" t="s">
        <v>29</v>
      </c>
      <c r="F2967" s="7" t="s">
        <v>146</v>
      </c>
      <c r="G2967" s="7">
        <v>103.4853</v>
      </c>
      <c r="H2967" s="7"/>
    </row>
    <row r="2968" spans="1:8" x14ac:dyDescent="0.35">
      <c r="A2968" s="7" t="s">
        <v>356</v>
      </c>
      <c r="B2968" s="7" t="s">
        <v>26</v>
      </c>
      <c r="C2968" s="7" t="s">
        <v>27</v>
      </c>
      <c r="D2968" s="7" t="s">
        <v>28</v>
      </c>
      <c r="E2968" s="7" t="s">
        <v>29</v>
      </c>
      <c r="F2968" s="7" t="s">
        <v>147</v>
      </c>
      <c r="G2968" s="7">
        <v>103.4789</v>
      </c>
      <c r="H2968" s="7"/>
    </row>
    <row r="2969" spans="1:8" x14ac:dyDescent="0.35">
      <c r="A2969" s="7" t="s">
        <v>356</v>
      </c>
      <c r="B2969" s="7" t="s">
        <v>26</v>
      </c>
      <c r="C2969" s="7" t="s">
        <v>27</v>
      </c>
      <c r="D2969" s="7" t="s">
        <v>28</v>
      </c>
      <c r="E2969" s="7" t="s">
        <v>29</v>
      </c>
      <c r="F2969" s="7" t="s">
        <v>148</v>
      </c>
      <c r="G2969" s="7">
        <v>102.8206</v>
      </c>
      <c r="H2969" s="7"/>
    </row>
    <row r="2970" spans="1:8" x14ac:dyDescent="0.35">
      <c r="A2970" s="7" t="s">
        <v>356</v>
      </c>
      <c r="B2970" s="7" t="s">
        <v>26</v>
      </c>
      <c r="C2970" s="7" t="s">
        <v>27</v>
      </c>
      <c r="D2970" s="7" t="s">
        <v>28</v>
      </c>
      <c r="E2970" s="7" t="s">
        <v>29</v>
      </c>
      <c r="F2970" s="7" t="s">
        <v>149</v>
      </c>
      <c r="G2970" s="7">
        <v>102.0171</v>
      </c>
      <c r="H2970" s="7"/>
    </row>
    <row r="2971" spans="1:8" x14ac:dyDescent="0.35">
      <c r="A2971" s="7" t="s">
        <v>356</v>
      </c>
      <c r="B2971" s="7" t="s">
        <v>26</v>
      </c>
      <c r="C2971" s="7" t="s">
        <v>27</v>
      </c>
      <c r="D2971" s="7" t="s">
        <v>28</v>
      </c>
      <c r="E2971" s="7" t="s">
        <v>29</v>
      </c>
      <c r="F2971" s="7" t="s">
        <v>150</v>
      </c>
      <c r="G2971" s="7">
        <v>101.4585</v>
      </c>
      <c r="H2971" s="7"/>
    </row>
    <row r="2972" spans="1:8" x14ac:dyDescent="0.35">
      <c r="A2972" s="7" t="s">
        <v>356</v>
      </c>
      <c r="B2972" s="7" t="s">
        <v>26</v>
      </c>
      <c r="C2972" s="7" t="s">
        <v>27</v>
      </c>
      <c r="D2972" s="7" t="s">
        <v>28</v>
      </c>
      <c r="E2972" s="7" t="s">
        <v>29</v>
      </c>
      <c r="F2972" s="7" t="s">
        <v>151</v>
      </c>
      <c r="G2972" s="7">
        <v>100.91079999999999</v>
      </c>
      <c r="H2972" s="7"/>
    </row>
    <row r="2973" spans="1:8" x14ac:dyDescent="0.35">
      <c r="A2973" s="7" t="s">
        <v>356</v>
      </c>
      <c r="B2973" s="7" t="s">
        <v>26</v>
      </c>
      <c r="C2973" s="7" t="s">
        <v>27</v>
      </c>
      <c r="D2973" s="7" t="s">
        <v>28</v>
      </c>
      <c r="E2973" s="7" t="s">
        <v>29</v>
      </c>
      <c r="F2973" s="7" t="s">
        <v>152</v>
      </c>
      <c r="G2973" s="7">
        <v>100.01909999999999</v>
      </c>
      <c r="H2973" s="7"/>
    </row>
    <row r="2974" spans="1:8" x14ac:dyDescent="0.35">
      <c r="A2974" s="7" t="s">
        <v>356</v>
      </c>
      <c r="B2974" s="7" t="s">
        <v>26</v>
      </c>
      <c r="C2974" s="7" t="s">
        <v>27</v>
      </c>
      <c r="D2974" s="7" t="s">
        <v>28</v>
      </c>
      <c r="E2974" s="7" t="s">
        <v>29</v>
      </c>
      <c r="F2974" s="7" t="s">
        <v>153</v>
      </c>
      <c r="G2974" s="7">
        <v>99.733379999999997</v>
      </c>
      <c r="H2974" s="7"/>
    </row>
    <row r="2975" spans="1:8" x14ac:dyDescent="0.35">
      <c r="A2975" s="7" t="s">
        <v>356</v>
      </c>
      <c r="B2975" s="7" t="s">
        <v>26</v>
      </c>
      <c r="C2975" s="7" t="s">
        <v>27</v>
      </c>
      <c r="D2975" s="7" t="s">
        <v>28</v>
      </c>
      <c r="E2975" s="7" t="s">
        <v>29</v>
      </c>
      <c r="F2975" s="7" t="s">
        <v>154</v>
      </c>
      <c r="G2975" s="7">
        <v>100.06699999999999</v>
      </c>
      <c r="H2975" s="7"/>
    </row>
    <row r="2976" spans="1:8" x14ac:dyDescent="0.35">
      <c r="A2976" s="7" t="s">
        <v>356</v>
      </c>
      <c r="B2976" s="7" t="s">
        <v>26</v>
      </c>
      <c r="C2976" s="7" t="s">
        <v>27</v>
      </c>
      <c r="D2976" s="7" t="s">
        <v>28</v>
      </c>
      <c r="E2976" s="7" t="s">
        <v>29</v>
      </c>
      <c r="F2976" s="7" t="s">
        <v>155</v>
      </c>
      <c r="G2976" s="7">
        <v>100.56100000000001</v>
      </c>
      <c r="H2976" s="7"/>
    </row>
    <row r="2977" spans="1:8" x14ac:dyDescent="0.35">
      <c r="A2977" s="7" t="s">
        <v>356</v>
      </c>
      <c r="B2977" s="7" t="s">
        <v>26</v>
      </c>
      <c r="C2977" s="7" t="s">
        <v>27</v>
      </c>
      <c r="D2977" s="7" t="s">
        <v>28</v>
      </c>
      <c r="E2977" s="7" t="s">
        <v>29</v>
      </c>
      <c r="F2977" s="7" t="s">
        <v>156</v>
      </c>
      <c r="G2977" s="7">
        <v>101.1215</v>
      </c>
      <c r="H2977" s="7"/>
    </row>
    <row r="2978" spans="1:8" x14ac:dyDescent="0.35">
      <c r="A2978" s="7" t="s">
        <v>356</v>
      </c>
      <c r="B2978" s="7" t="s">
        <v>26</v>
      </c>
      <c r="C2978" s="7" t="s">
        <v>27</v>
      </c>
      <c r="D2978" s="7" t="s">
        <v>28</v>
      </c>
      <c r="E2978" s="7" t="s">
        <v>29</v>
      </c>
      <c r="F2978" s="7" t="s">
        <v>157</v>
      </c>
      <c r="G2978" s="7">
        <v>101.51779999999999</v>
      </c>
      <c r="H2978" s="7"/>
    </row>
    <row r="2979" spans="1:8" x14ac:dyDescent="0.35">
      <c r="A2979" s="7" t="s">
        <v>356</v>
      </c>
      <c r="B2979" s="7" t="s">
        <v>26</v>
      </c>
      <c r="C2979" s="7" t="s">
        <v>27</v>
      </c>
      <c r="D2979" s="7" t="s">
        <v>28</v>
      </c>
      <c r="E2979" s="7" t="s">
        <v>29</v>
      </c>
      <c r="F2979" s="7" t="s">
        <v>158</v>
      </c>
      <c r="G2979" s="7">
        <v>101.78870000000001</v>
      </c>
      <c r="H2979" s="7"/>
    </row>
    <row r="2980" spans="1:8" x14ac:dyDescent="0.35">
      <c r="A2980" s="7" t="s">
        <v>356</v>
      </c>
      <c r="B2980" s="7" t="s">
        <v>26</v>
      </c>
      <c r="C2980" s="7" t="s">
        <v>27</v>
      </c>
      <c r="D2980" s="7" t="s">
        <v>28</v>
      </c>
      <c r="E2980" s="7" t="s">
        <v>29</v>
      </c>
      <c r="F2980" s="7" t="s">
        <v>159</v>
      </c>
      <c r="G2980" s="7">
        <v>101.8849</v>
      </c>
      <c r="H2980" s="7"/>
    </row>
    <row r="2981" spans="1:8" x14ac:dyDescent="0.35">
      <c r="A2981" s="7" t="s">
        <v>356</v>
      </c>
      <c r="B2981" s="7" t="s">
        <v>26</v>
      </c>
      <c r="C2981" s="7" t="s">
        <v>27</v>
      </c>
      <c r="D2981" s="7" t="s">
        <v>28</v>
      </c>
      <c r="E2981" s="7" t="s">
        <v>29</v>
      </c>
      <c r="F2981" s="7" t="s">
        <v>160</v>
      </c>
      <c r="G2981" s="7">
        <v>101.79510000000001</v>
      </c>
      <c r="H2981" s="7"/>
    </row>
    <row r="2982" spans="1:8" x14ac:dyDescent="0.35">
      <c r="A2982" s="7" t="s">
        <v>356</v>
      </c>
      <c r="B2982" s="7" t="s">
        <v>26</v>
      </c>
      <c r="C2982" s="7" t="s">
        <v>27</v>
      </c>
      <c r="D2982" s="7" t="s">
        <v>28</v>
      </c>
      <c r="E2982" s="7" t="s">
        <v>29</v>
      </c>
      <c r="F2982" s="7" t="s">
        <v>161</v>
      </c>
      <c r="G2982" s="7">
        <v>101.758</v>
      </c>
      <c r="H2982" s="7"/>
    </row>
    <row r="2983" spans="1:8" x14ac:dyDescent="0.35">
      <c r="A2983" s="7" t="s">
        <v>356</v>
      </c>
      <c r="B2983" s="7" t="s">
        <v>26</v>
      </c>
      <c r="C2983" s="7" t="s">
        <v>27</v>
      </c>
      <c r="D2983" s="7" t="s">
        <v>28</v>
      </c>
      <c r="E2983" s="7" t="s">
        <v>29</v>
      </c>
      <c r="F2983" s="7" t="s">
        <v>162</v>
      </c>
      <c r="G2983" s="7">
        <v>101.86539999999999</v>
      </c>
      <c r="H2983" s="7"/>
    </row>
    <row r="2984" spans="1:8" x14ac:dyDescent="0.35">
      <c r="A2984" s="7" t="s">
        <v>356</v>
      </c>
      <c r="B2984" s="7" t="s">
        <v>26</v>
      </c>
      <c r="C2984" s="7" t="s">
        <v>27</v>
      </c>
      <c r="D2984" s="7" t="s">
        <v>28</v>
      </c>
      <c r="E2984" s="7" t="s">
        <v>29</v>
      </c>
      <c r="F2984" s="7" t="s">
        <v>163</v>
      </c>
      <c r="G2984" s="7">
        <v>101.693</v>
      </c>
      <c r="H2984" s="7"/>
    </row>
    <row r="2985" spans="1:8" x14ac:dyDescent="0.35">
      <c r="A2985" s="7" t="s">
        <v>356</v>
      </c>
      <c r="B2985" s="7" t="s">
        <v>26</v>
      </c>
      <c r="C2985" s="7" t="s">
        <v>27</v>
      </c>
      <c r="D2985" s="7" t="s">
        <v>28</v>
      </c>
      <c r="E2985" s="7" t="s">
        <v>29</v>
      </c>
      <c r="F2985" s="7" t="s">
        <v>164</v>
      </c>
      <c r="G2985" s="7">
        <v>100.99769999999999</v>
      </c>
      <c r="H2985" s="7"/>
    </row>
    <row r="2986" spans="1:8" x14ac:dyDescent="0.35">
      <c r="A2986" s="7" t="s">
        <v>356</v>
      </c>
      <c r="B2986" s="7" t="s">
        <v>26</v>
      </c>
      <c r="C2986" s="7" t="s">
        <v>27</v>
      </c>
      <c r="D2986" s="7" t="s">
        <v>28</v>
      </c>
      <c r="E2986" s="7" t="s">
        <v>29</v>
      </c>
      <c r="F2986" s="7" t="s">
        <v>165</v>
      </c>
      <c r="G2986" s="7">
        <v>100.2602</v>
      </c>
      <c r="H2986" s="7"/>
    </row>
    <row r="2987" spans="1:8" x14ac:dyDescent="0.35">
      <c r="A2987" s="7" t="s">
        <v>356</v>
      </c>
      <c r="B2987" s="7" t="s">
        <v>26</v>
      </c>
      <c r="C2987" s="7" t="s">
        <v>27</v>
      </c>
      <c r="D2987" s="7" t="s">
        <v>28</v>
      </c>
      <c r="E2987" s="7" t="s">
        <v>29</v>
      </c>
      <c r="F2987" s="7" t="s">
        <v>166</v>
      </c>
      <c r="G2987" s="7">
        <v>99.959400000000002</v>
      </c>
      <c r="H2987" s="7"/>
    </row>
    <row r="2988" spans="1:8" x14ac:dyDescent="0.35">
      <c r="A2988" s="7" t="s">
        <v>356</v>
      </c>
      <c r="B2988" s="7" t="s">
        <v>26</v>
      </c>
      <c r="C2988" s="7" t="s">
        <v>27</v>
      </c>
      <c r="D2988" s="7" t="s">
        <v>28</v>
      </c>
      <c r="E2988" s="7" t="s">
        <v>29</v>
      </c>
      <c r="F2988" s="7" t="s">
        <v>167</v>
      </c>
      <c r="G2988" s="7">
        <v>100.2346</v>
      </c>
      <c r="H2988" s="7"/>
    </row>
    <row r="2989" spans="1:8" x14ac:dyDescent="0.35">
      <c r="A2989" s="7" t="s">
        <v>356</v>
      </c>
      <c r="B2989" s="7" t="s">
        <v>26</v>
      </c>
      <c r="C2989" s="7" t="s">
        <v>27</v>
      </c>
      <c r="D2989" s="7" t="s">
        <v>28</v>
      </c>
      <c r="E2989" s="7" t="s">
        <v>29</v>
      </c>
      <c r="F2989" s="7" t="s">
        <v>168</v>
      </c>
      <c r="G2989" s="7">
        <v>100.64530000000001</v>
      </c>
      <c r="H2989" s="7"/>
    </row>
    <row r="2990" spans="1:8" x14ac:dyDescent="0.35">
      <c r="A2990" s="7" t="s">
        <v>356</v>
      </c>
      <c r="B2990" s="7" t="s">
        <v>26</v>
      </c>
      <c r="C2990" s="7" t="s">
        <v>27</v>
      </c>
      <c r="D2990" s="7" t="s">
        <v>28</v>
      </c>
      <c r="E2990" s="7" t="s">
        <v>29</v>
      </c>
      <c r="F2990" s="7" t="s">
        <v>169</v>
      </c>
      <c r="G2990" s="7">
        <v>100.9315</v>
      </c>
      <c r="H2990" s="7"/>
    </row>
    <row r="2991" spans="1:8" x14ac:dyDescent="0.35">
      <c r="A2991" s="7" t="s">
        <v>356</v>
      </c>
      <c r="B2991" s="7" t="s">
        <v>26</v>
      </c>
      <c r="C2991" s="7" t="s">
        <v>27</v>
      </c>
      <c r="D2991" s="7" t="s">
        <v>28</v>
      </c>
      <c r="E2991" s="7" t="s">
        <v>29</v>
      </c>
      <c r="F2991" s="7" t="s">
        <v>170</v>
      </c>
      <c r="G2991" s="7">
        <v>100.988</v>
      </c>
      <c r="H2991" s="7"/>
    </row>
    <row r="2992" spans="1:8" x14ac:dyDescent="0.35">
      <c r="A2992" s="7" t="s">
        <v>356</v>
      </c>
      <c r="B2992" s="7" t="s">
        <v>26</v>
      </c>
      <c r="C2992" s="7" t="s">
        <v>27</v>
      </c>
      <c r="D2992" s="7" t="s">
        <v>28</v>
      </c>
      <c r="E2992" s="7" t="s">
        <v>29</v>
      </c>
      <c r="F2992" s="7" t="s">
        <v>171</v>
      </c>
      <c r="G2992" s="7">
        <v>100.8212</v>
      </c>
      <c r="H2992" s="7"/>
    </row>
    <row r="2993" spans="1:8" x14ac:dyDescent="0.35">
      <c r="A2993" s="7" t="s">
        <v>356</v>
      </c>
      <c r="B2993" s="7" t="s">
        <v>26</v>
      </c>
      <c r="C2993" s="7" t="s">
        <v>27</v>
      </c>
      <c r="D2993" s="7" t="s">
        <v>28</v>
      </c>
      <c r="E2993" s="7" t="s">
        <v>29</v>
      </c>
      <c r="F2993" s="7" t="s">
        <v>172</v>
      </c>
      <c r="G2993" s="7">
        <v>100.5167</v>
      </c>
      <c r="H2993" s="7"/>
    </row>
    <row r="2994" spans="1:8" x14ac:dyDescent="0.35">
      <c r="A2994" s="7" t="s">
        <v>356</v>
      </c>
      <c r="B2994" s="7" t="s">
        <v>26</v>
      </c>
      <c r="C2994" s="7" t="s">
        <v>27</v>
      </c>
      <c r="D2994" s="7" t="s">
        <v>28</v>
      </c>
      <c r="E2994" s="7" t="s">
        <v>29</v>
      </c>
      <c r="F2994" s="7" t="s">
        <v>173</v>
      </c>
      <c r="G2994" s="7">
        <v>100.2445</v>
      </c>
      <c r="H2994" s="7"/>
    </row>
    <row r="2995" spans="1:8" x14ac:dyDescent="0.35">
      <c r="A2995" s="7" t="s">
        <v>356</v>
      </c>
      <c r="B2995" s="7" t="s">
        <v>26</v>
      </c>
      <c r="C2995" s="7" t="s">
        <v>27</v>
      </c>
      <c r="D2995" s="7" t="s">
        <v>28</v>
      </c>
      <c r="E2995" s="7" t="s">
        <v>29</v>
      </c>
      <c r="F2995" s="7" t="s">
        <v>174</v>
      </c>
      <c r="G2995" s="7">
        <v>100.07299999999999</v>
      </c>
      <c r="H2995" s="7"/>
    </row>
    <row r="2996" spans="1:8" x14ac:dyDescent="0.35">
      <c r="A2996" s="7" t="s">
        <v>356</v>
      </c>
      <c r="B2996" s="7" t="s">
        <v>26</v>
      </c>
      <c r="C2996" s="7" t="s">
        <v>27</v>
      </c>
      <c r="D2996" s="7" t="s">
        <v>28</v>
      </c>
      <c r="E2996" s="7" t="s">
        <v>29</v>
      </c>
      <c r="F2996" s="7" t="s">
        <v>175</v>
      </c>
      <c r="G2996" s="7">
        <v>100.0549</v>
      </c>
      <c r="H2996" s="7"/>
    </row>
    <row r="2997" spans="1:8" x14ac:dyDescent="0.35">
      <c r="A2997" s="7" t="s">
        <v>356</v>
      </c>
      <c r="B2997" s="7" t="s">
        <v>26</v>
      </c>
      <c r="C2997" s="7" t="s">
        <v>27</v>
      </c>
      <c r="D2997" s="7" t="s">
        <v>28</v>
      </c>
      <c r="E2997" s="7" t="s">
        <v>29</v>
      </c>
      <c r="F2997" s="7" t="s">
        <v>176</v>
      </c>
      <c r="G2997" s="7">
        <v>100.0741</v>
      </c>
      <c r="H2997" s="7"/>
    </row>
    <row r="2998" spans="1:8" x14ac:dyDescent="0.35">
      <c r="A2998" s="7" t="s">
        <v>356</v>
      </c>
      <c r="B2998" s="7" t="s">
        <v>26</v>
      </c>
      <c r="C2998" s="7" t="s">
        <v>27</v>
      </c>
      <c r="D2998" s="7" t="s">
        <v>28</v>
      </c>
      <c r="E2998" s="7" t="s">
        <v>29</v>
      </c>
      <c r="F2998" s="7" t="s">
        <v>177</v>
      </c>
      <c r="G2998" s="7">
        <v>100.1264</v>
      </c>
      <c r="H2998" s="7"/>
    </row>
    <row r="2999" spans="1:8" x14ac:dyDescent="0.35">
      <c r="A2999" s="7" t="s">
        <v>356</v>
      </c>
      <c r="B2999" s="7" t="s">
        <v>26</v>
      </c>
      <c r="C2999" s="7" t="s">
        <v>27</v>
      </c>
      <c r="D2999" s="7" t="s">
        <v>28</v>
      </c>
      <c r="E2999" s="7" t="s">
        <v>29</v>
      </c>
      <c r="F2999" s="7" t="s">
        <v>178</v>
      </c>
      <c r="G2999" s="7">
        <v>100.2722</v>
      </c>
      <c r="H2999" s="7"/>
    </row>
    <row r="3000" spans="1:8" x14ac:dyDescent="0.35">
      <c r="A3000" s="7" t="s">
        <v>356</v>
      </c>
      <c r="B3000" s="7" t="s">
        <v>26</v>
      </c>
      <c r="C3000" s="7" t="s">
        <v>27</v>
      </c>
      <c r="D3000" s="7" t="s">
        <v>28</v>
      </c>
      <c r="E3000" s="7" t="s">
        <v>29</v>
      </c>
      <c r="F3000" s="7" t="s">
        <v>179</v>
      </c>
      <c r="G3000" s="7">
        <v>100.4962</v>
      </c>
      <c r="H3000" s="7"/>
    </row>
    <row r="3001" spans="1:8" x14ac:dyDescent="0.35">
      <c r="A3001" s="7" t="s">
        <v>356</v>
      </c>
      <c r="B3001" s="7" t="s">
        <v>26</v>
      </c>
      <c r="C3001" s="7" t="s">
        <v>27</v>
      </c>
      <c r="D3001" s="7" t="s">
        <v>28</v>
      </c>
      <c r="E3001" s="7" t="s">
        <v>29</v>
      </c>
      <c r="F3001" s="7" t="s">
        <v>180</v>
      </c>
      <c r="G3001" s="7">
        <v>100.7398</v>
      </c>
      <c r="H3001" s="7"/>
    </row>
    <row r="3002" spans="1:8" x14ac:dyDescent="0.35">
      <c r="A3002" s="7" t="s">
        <v>356</v>
      </c>
      <c r="B3002" s="7" t="s">
        <v>26</v>
      </c>
      <c r="C3002" s="7" t="s">
        <v>27</v>
      </c>
      <c r="D3002" s="7" t="s">
        <v>28</v>
      </c>
      <c r="E3002" s="7" t="s">
        <v>29</v>
      </c>
      <c r="F3002" s="7" t="s">
        <v>181</v>
      </c>
      <c r="G3002" s="7">
        <v>100.7299</v>
      </c>
      <c r="H3002" s="7"/>
    </row>
    <row r="3003" spans="1:8" x14ac:dyDescent="0.35">
      <c r="A3003" s="7" t="s">
        <v>356</v>
      </c>
      <c r="B3003" s="7" t="s">
        <v>26</v>
      </c>
      <c r="C3003" s="7" t="s">
        <v>27</v>
      </c>
      <c r="D3003" s="7" t="s">
        <v>28</v>
      </c>
      <c r="E3003" s="7" t="s">
        <v>29</v>
      </c>
      <c r="F3003" s="7" t="s">
        <v>182</v>
      </c>
      <c r="G3003" s="7">
        <v>100.4699</v>
      </c>
      <c r="H3003" s="7"/>
    </row>
    <row r="3004" spans="1:8" x14ac:dyDescent="0.35">
      <c r="A3004" s="7" t="s">
        <v>356</v>
      </c>
      <c r="B3004" s="7" t="s">
        <v>26</v>
      </c>
      <c r="C3004" s="7" t="s">
        <v>27</v>
      </c>
      <c r="D3004" s="7" t="s">
        <v>28</v>
      </c>
      <c r="E3004" s="7" t="s">
        <v>29</v>
      </c>
      <c r="F3004" s="7" t="s">
        <v>183</v>
      </c>
      <c r="G3004" s="7">
        <v>100.2428</v>
      </c>
      <c r="H3004" s="7"/>
    </row>
    <row r="3005" spans="1:8" x14ac:dyDescent="0.35">
      <c r="A3005" s="7" t="s">
        <v>356</v>
      </c>
      <c r="B3005" s="7" t="s">
        <v>26</v>
      </c>
      <c r="C3005" s="7" t="s">
        <v>27</v>
      </c>
      <c r="D3005" s="7" t="s">
        <v>28</v>
      </c>
      <c r="E3005" s="7" t="s">
        <v>29</v>
      </c>
      <c r="F3005" s="7" t="s">
        <v>184</v>
      </c>
      <c r="G3005" s="7">
        <v>100.15600000000001</v>
      </c>
      <c r="H3005" s="7"/>
    </row>
    <row r="3006" spans="1:8" x14ac:dyDescent="0.35">
      <c r="A3006" s="7" t="s">
        <v>356</v>
      </c>
      <c r="B3006" s="7" t="s">
        <v>26</v>
      </c>
      <c r="C3006" s="7" t="s">
        <v>27</v>
      </c>
      <c r="D3006" s="7" t="s">
        <v>28</v>
      </c>
      <c r="E3006" s="7" t="s">
        <v>29</v>
      </c>
      <c r="F3006" s="7" t="s">
        <v>185</v>
      </c>
      <c r="G3006" s="7">
        <v>100.14360000000001</v>
      </c>
      <c r="H3006" s="7"/>
    </row>
    <row r="3007" spans="1:8" x14ac:dyDescent="0.35">
      <c r="A3007" s="7" t="s">
        <v>356</v>
      </c>
      <c r="B3007" s="7" t="s">
        <v>26</v>
      </c>
      <c r="C3007" s="7" t="s">
        <v>27</v>
      </c>
      <c r="D3007" s="7" t="s">
        <v>28</v>
      </c>
      <c r="E3007" s="7" t="s">
        <v>29</v>
      </c>
      <c r="F3007" s="7" t="s">
        <v>186</v>
      </c>
      <c r="G3007" s="7">
        <v>100.4212</v>
      </c>
      <c r="H3007" s="7"/>
    </row>
    <row r="3008" spans="1:8" x14ac:dyDescent="0.35">
      <c r="A3008" s="7" t="s">
        <v>356</v>
      </c>
      <c r="B3008" s="7" t="s">
        <v>26</v>
      </c>
      <c r="C3008" s="7" t="s">
        <v>27</v>
      </c>
      <c r="D3008" s="7" t="s">
        <v>28</v>
      </c>
      <c r="E3008" s="7" t="s">
        <v>29</v>
      </c>
      <c r="F3008" s="7" t="s">
        <v>187</v>
      </c>
      <c r="G3008" s="7">
        <v>101.0117</v>
      </c>
      <c r="H3008" s="7"/>
    </row>
    <row r="3009" spans="1:8" x14ac:dyDescent="0.35">
      <c r="A3009" s="7" t="s">
        <v>356</v>
      </c>
      <c r="B3009" s="7" t="s">
        <v>26</v>
      </c>
      <c r="C3009" s="7" t="s">
        <v>27</v>
      </c>
      <c r="D3009" s="7" t="s">
        <v>28</v>
      </c>
      <c r="E3009" s="7" t="s">
        <v>29</v>
      </c>
      <c r="F3009" s="7" t="s">
        <v>188</v>
      </c>
      <c r="G3009" s="7">
        <v>101.49590000000001</v>
      </c>
      <c r="H3009" s="7"/>
    </row>
    <row r="3010" spans="1:8" x14ac:dyDescent="0.35">
      <c r="A3010" s="7" t="s">
        <v>356</v>
      </c>
      <c r="B3010" s="7" t="s">
        <v>26</v>
      </c>
      <c r="C3010" s="7" t="s">
        <v>27</v>
      </c>
      <c r="D3010" s="7" t="s">
        <v>28</v>
      </c>
      <c r="E3010" s="7" t="s">
        <v>29</v>
      </c>
      <c r="F3010" s="7" t="s">
        <v>189</v>
      </c>
      <c r="G3010" s="7">
        <v>101.7638</v>
      </c>
      <c r="H3010" s="7"/>
    </row>
    <row r="3011" spans="1:8" x14ac:dyDescent="0.35">
      <c r="A3011" s="7" t="s">
        <v>356</v>
      </c>
      <c r="B3011" s="7" t="s">
        <v>26</v>
      </c>
      <c r="C3011" s="7" t="s">
        <v>27</v>
      </c>
      <c r="D3011" s="7" t="s">
        <v>28</v>
      </c>
      <c r="E3011" s="7" t="s">
        <v>29</v>
      </c>
      <c r="F3011" s="7" t="s">
        <v>190</v>
      </c>
      <c r="G3011" s="7">
        <v>101.6397</v>
      </c>
      <c r="H3011" s="7"/>
    </row>
    <row r="3012" spans="1:8" x14ac:dyDescent="0.35">
      <c r="A3012" s="7" t="s">
        <v>356</v>
      </c>
      <c r="B3012" s="7" t="s">
        <v>26</v>
      </c>
      <c r="C3012" s="7" t="s">
        <v>27</v>
      </c>
      <c r="D3012" s="7" t="s">
        <v>28</v>
      </c>
      <c r="E3012" s="7" t="s">
        <v>29</v>
      </c>
      <c r="F3012" s="7" t="s">
        <v>191</v>
      </c>
      <c r="G3012" s="7">
        <v>101.2547</v>
      </c>
      <c r="H3012" s="7"/>
    </row>
    <row r="3013" spans="1:8" x14ac:dyDescent="0.35">
      <c r="A3013" s="7" t="s">
        <v>356</v>
      </c>
      <c r="B3013" s="7" t="s">
        <v>26</v>
      </c>
      <c r="C3013" s="7" t="s">
        <v>27</v>
      </c>
      <c r="D3013" s="7" t="s">
        <v>28</v>
      </c>
      <c r="E3013" s="7" t="s">
        <v>29</v>
      </c>
      <c r="F3013" s="7" t="s">
        <v>192</v>
      </c>
      <c r="G3013" s="7">
        <v>100.95910000000001</v>
      </c>
      <c r="H3013" s="7"/>
    </row>
    <row r="3014" spans="1:8" x14ac:dyDescent="0.35">
      <c r="A3014" s="7" t="s">
        <v>356</v>
      </c>
      <c r="B3014" s="7" t="s">
        <v>26</v>
      </c>
      <c r="C3014" s="7" t="s">
        <v>27</v>
      </c>
      <c r="D3014" s="7" t="s">
        <v>28</v>
      </c>
      <c r="E3014" s="7" t="s">
        <v>29</v>
      </c>
      <c r="F3014" s="7" t="s">
        <v>193</v>
      </c>
      <c r="G3014" s="7">
        <v>100.86669999999999</v>
      </c>
      <c r="H3014" s="7"/>
    </row>
    <row r="3015" spans="1:8" x14ac:dyDescent="0.35">
      <c r="A3015" s="7" t="s">
        <v>356</v>
      </c>
      <c r="B3015" s="7" t="s">
        <v>26</v>
      </c>
      <c r="C3015" s="7" t="s">
        <v>27</v>
      </c>
      <c r="D3015" s="7" t="s">
        <v>28</v>
      </c>
      <c r="E3015" s="7" t="s">
        <v>29</v>
      </c>
      <c r="F3015" s="7" t="s">
        <v>194</v>
      </c>
      <c r="G3015" s="7">
        <v>100.8574</v>
      </c>
      <c r="H3015" s="7"/>
    </row>
    <row r="3016" spans="1:8" x14ac:dyDescent="0.35">
      <c r="A3016" s="7" t="s">
        <v>356</v>
      </c>
      <c r="B3016" s="7" t="s">
        <v>26</v>
      </c>
      <c r="C3016" s="7" t="s">
        <v>27</v>
      </c>
      <c r="D3016" s="7" t="s">
        <v>28</v>
      </c>
      <c r="E3016" s="7" t="s">
        <v>29</v>
      </c>
      <c r="F3016" s="7" t="s">
        <v>195</v>
      </c>
      <c r="G3016" s="7">
        <v>100.9328</v>
      </c>
      <c r="H3016" s="7"/>
    </row>
    <row r="3017" spans="1:8" x14ac:dyDescent="0.35">
      <c r="A3017" s="7" t="s">
        <v>356</v>
      </c>
      <c r="B3017" s="7" t="s">
        <v>26</v>
      </c>
      <c r="C3017" s="7" t="s">
        <v>27</v>
      </c>
      <c r="D3017" s="7" t="s">
        <v>28</v>
      </c>
      <c r="E3017" s="7" t="s">
        <v>29</v>
      </c>
      <c r="F3017" s="7" t="s">
        <v>196</v>
      </c>
      <c r="G3017" s="7">
        <v>101.18210000000001</v>
      </c>
      <c r="H3017" s="7"/>
    </row>
    <row r="3018" spans="1:8" x14ac:dyDescent="0.35">
      <c r="A3018" s="7" t="s">
        <v>356</v>
      </c>
      <c r="B3018" s="7" t="s">
        <v>26</v>
      </c>
      <c r="C3018" s="7" t="s">
        <v>27</v>
      </c>
      <c r="D3018" s="7" t="s">
        <v>28</v>
      </c>
      <c r="E3018" s="7" t="s">
        <v>29</v>
      </c>
      <c r="F3018" s="7" t="s">
        <v>197</v>
      </c>
      <c r="G3018" s="7">
        <v>101.4361</v>
      </c>
      <c r="H3018" s="7"/>
    </row>
    <row r="3019" spans="1:8" x14ac:dyDescent="0.35">
      <c r="A3019" s="7" t="s">
        <v>356</v>
      </c>
      <c r="B3019" s="7" t="s">
        <v>26</v>
      </c>
      <c r="C3019" s="7" t="s">
        <v>27</v>
      </c>
      <c r="D3019" s="7" t="s">
        <v>28</v>
      </c>
      <c r="E3019" s="7" t="s">
        <v>29</v>
      </c>
      <c r="F3019" s="7" t="s">
        <v>198</v>
      </c>
      <c r="G3019" s="7">
        <v>101.753</v>
      </c>
      <c r="H3019" s="7"/>
    </row>
    <row r="3020" spans="1:8" x14ac:dyDescent="0.35">
      <c r="A3020" s="7" t="s">
        <v>356</v>
      </c>
      <c r="B3020" s="7" t="s">
        <v>26</v>
      </c>
      <c r="C3020" s="7" t="s">
        <v>27</v>
      </c>
      <c r="D3020" s="7" t="s">
        <v>28</v>
      </c>
      <c r="E3020" s="7" t="s">
        <v>29</v>
      </c>
      <c r="F3020" s="7" t="s">
        <v>199</v>
      </c>
      <c r="G3020" s="7">
        <v>102.1943</v>
      </c>
      <c r="H3020" s="7"/>
    </row>
    <row r="3021" spans="1:8" x14ac:dyDescent="0.35">
      <c r="A3021" s="7" t="s">
        <v>356</v>
      </c>
      <c r="B3021" s="7" t="s">
        <v>26</v>
      </c>
      <c r="C3021" s="7" t="s">
        <v>27</v>
      </c>
      <c r="D3021" s="7" t="s">
        <v>28</v>
      </c>
      <c r="E3021" s="7" t="s">
        <v>29</v>
      </c>
      <c r="F3021" s="7" t="s">
        <v>200</v>
      </c>
      <c r="G3021" s="7">
        <v>102.49469999999999</v>
      </c>
      <c r="H3021" s="7"/>
    </row>
    <row r="3022" spans="1:8" x14ac:dyDescent="0.35">
      <c r="A3022" s="7" t="s">
        <v>356</v>
      </c>
      <c r="B3022" s="7" t="s">
        <v>26</v>
      </c>
      <c r="C3022" s="7" t="s">
        <v>27</v>
      </c>
      <c r="D3022" s="7" t="s">
        <v>28</v>
      </c>
      <c r="E3022" s="7" t="s">
        <v>29</v>
      </c>
      <c r="F3022" s="7" t="s">
        <v>201</v>
      </c>
      <c r="G3022" s="7">
        <v>102.7373</v>
      </c>
      <c r="H3022" s="7"/>
    </row>
    <row r="3023" spans="1:8" x14ac:dyDescent="0.35">
      <c r="A3023" s="7" t="s">
        <v>356</v>
      </c>
      <c r="B3023" s="7" t="s">
        <v>26</v>
      </c>
      <c r="C3023" s="7" t="s">
        <v>27</v>
      </c>
      <c r="D3023" s="7" t="s">
        <v>28</v>
      </c>
      <c r="E3023" s="7" t="s">
        <v>29</v>
      </c>
      <c r="F3023" s="7" t="s">
        <v>202</v>
      </c>
      <c r="G3023" s="7">
        <v>102.94240000000001</v>
      </c>
      <c r="H3023" s="7"/>
    </row>
    <row r="3024" spans="1:8" x14ac:dyDescent="0.35">
      <c r="A3024" s="7" t="s">
        <v>356</v>
      </c>
      <c r="B3024" s="7" t="s">
        <v>26</v>
      </c>
      <c r="C3024" s="7" t="s">
        <v>27</v>
      </c>
      <c r="D3024" s="7" t="s">
        <v>28</v>
      </c>
      <c r="E3024" s="7" t="s">
        <v>29</v>
      </c>
      <c r="F3024" s="7" t="s">
        <v>203</v>
      </c>
      <c r="G3024" s="7">
        <v>102.89790000000001</v>
      </c>
      <c r="H3024" s="7"/>
    </row>
    <row r="3025" spans="1:8" x14ac:dyDescent="0.35">
      <c r="A3025" s="7" t="s">
        <v>356</v>
      </c>
      <c r="B3025" s="7" t="s">
        <v>26</v>
      </c>
      <c r="C3025" s="7" t="s">
        <v>27</v>
      </c>
      <c r="D3025" s="7" t="s">
        <v>28</v>
      </c>
      <c r="E3025" s="7" t="s">
        <v>29</v>
      </c>
      <c r="F3025" s="7" t="s">
        <v>204</v>
      </c>
      <c r="G3025" s="7">
        <v>102.80419999999999</v>
      </c>
      <c r="H3025" s="7"/>
    </row>
    <row r="3026" spans="1:8" x14ac:dyDescent="0.35">
      <c r="A3026" s="7" t="s">
        <v>356</v>
      </c>
      <c r="B3026" s="7" t="s">
        <v>26</v>
      </c>
      <c r="C3026" s="7" t="s">
        <v>27</v>
      </c>
      <c r="D3026" s="7" t="s">
        <v>28</v>
      </c>
      <c r="E3026" s="7" t="s">
        <v>29</v>
      </c>
      <c r="F3026" s="7" t="s">
        <v>205</v>
      </c>
      <c r="G3026" s="7">
        <v>102.7359</v>
      </c>
      <c r="H3026" s="7"/>
    </row>
    <row r="3027" spans="1:8" x14ac:dyDescent="0.35">
      <c r="A3027" s="7" t="s">
        <v>356</v>
      </c>
      <c r="B3027" s="7" t="s">
        <v>26</v>
      </c>
      <c r="C3027" s="7" t="s">
        <v>27</v>
      </c>
      <c r="D3027" s="7" t="s">
        <v>28</v>
      </c>
      <c r="E3027" s="7" t="s">
        <v>29</v>
      </c>
      <c r="F3027" s="7" t="s">
        <v>206</v>
      </c>
      <c r="G3027" s="7">
        <v>102.8142</v>
      </c>
      <c r="H3027" s="7"/>
    </row>
    <row r="3028" spans="1:8" x14ac:dyDescent="0.35">
      <c r="A3028" s="7" t="s">
        <v>356</v>
      </c>
      <c r="B3028" s="7" t="s">
        <v>26</v>
      </c>
      <c r="C3028" s="7" t="s">
        <v>27</v>
      </c>
      <c r="D3028" s="7" t="s">
        <v>28</v>
      </c>
      <c r="E3028" s="7" t="s">
        <v>29</v>
      </c>
      <c r="F3028" s="7" t="s">
        <v>207</v>
      </c>
      <c r="G3028" s="7">
        <v>102.8937</v>
      </c>
      <c r="H3028" s="7"/>
    </row>
    <row r="3029" spans="1:8" x14ac:dyDescent="0.35">
      <c r="A3029" s="7" t="s">
        <v>356</v>
      </c>
      <c r="B3029" s="7" t="s">
        <v>26</v>
      </c>
      <c r="C3029" s="7" t="s">
        <v>27</v>
      </c>
      <c r="D3029" s="7" t="s">
        <v>28</v>
      </c>
      <c r="E3029" s="7" t="s">
        <v>29</v>
      </c>
      <c r="F3029" s="7" t="s">
        <v>208</v>
      </c>
      <c r="G3029" s="7">
        <v>102.8433</v>
      </c>
      <c r="H3029" s="7"/>
    </row>
    <row r="3030" spans="1:8" x14ac:dyDescent="0.35">
      <c r="A3030" s="7" t="s">
        <v>356</v>
      </c>
      <c r="B3030" s="7" t="s">
        <v>26</v>
      </c>
      <c r="C3030" s="7" t="s">
        <v>27</v>
      </c>
      <c r="D3030" s="7" t="s">
        <v>28</v>
      </c>
      <c r="E3030" s="7" t="s">
        <v>29</v>
      </c>
      <c r="F3030" s="7" t="s">
        <v>209</v>
      </c>
      <c r="G3030" s="7">
        <v>102.64530000000001</v>
      </c>
      <c r="H3030" s="7"/>
    </row>
    <row r="3031" spans="1:8" x14ac:dyDescent="0.35">
      <c r="A3031" s="7" t="s">
        <v>356</v>
      </c>
      <c r="B3031" s="7" t="s">
        <v>26</v>
      </c>
      <c r="C3031" s="7" t="s">
        <v>27</v>
      </c>
      <c r="D3031" s="7" t="s">
        <v>28</v>
      </c>
      <c r="E3031" s="7" t="s">
        <v>29</v>
      </c>
      <c r="F3031" s="7" t="s">
        <v>210</v>
      </c>
      <c r="G3031" s="7">
        <v>102.4303</v>
      </c>
      <c r="H3031" s="7"/>
    </row>
    <row r="3032" spans="1:8" x14ac:dyDescent="0.35">
      <c r="A3032" s="7" t="s">
        <v>356</v>
      </c>
      <c r="B3032" s="7" t="s">
        <v>26</v>
      </c>
      <c r="C3032" s="7" t="s">
        <v>27</v>
      </c>
      <c r="D3032" s="7" t="s">
        <v>28</v>
      </c>
      <c r="E3032" s="7" t="s">
        <v>29</v>
      </c>
      <c r="F3032" s="7" t="s">
        <v>211</v>
      </c>
      <c r="G3032" s="7">
        <v>102.3017</v>
      </c>
      <c r="H3032" s="7"/>
    </row>
    <row r="3033" spans="1:8" x14ac:dyDescent="0.35">
      <c r="A3033" s="7" t="s">
        <v>356</v>
      </c>
      <c r="B3033" s="7" t="s">
        <v>26</v>
      </c>
      <c r="C3033" s="7" t="s">
        <v>27</v>
      </c>
      <c r="D3033" s="7" t="s">
        <v>28</v>
      </c>
      <c r="E3033" s="7" t="s">
        <v>29</v>
      </c>
      <c r="F3033" s="7" t="s">
        <v>212</v>
      </c>
      <c r="G3033" s="7">
        <v>102.0432</v>
      </c>
      <c r="H3033" s="7"/>
    </row>
    <row r="3034" spans="1:8" x14ac:dyDescent="0.35">
      <c r="A3034" s="7" t="s">
        <v>356</v>
      </c>
      <c r="B3034" s="7" t="s">
        <v>26</v>
      </c>
      <c r="C3034" s="7" t="s">
        <v>27</v>
      </c>
      <c r="D3034" s="7" t="s">
        <v>28</v>
      </c>
      <c r="E3034" s="7" t="s">
        <v>29</v>
      </c>
      <c r="F3034" s="7" t="s">
        <v>213</v>
      </c>
      <c r="G3034" s="7">
        <v>101.9462</v>
      </c>
      <c r="H3034" s="7"/>
    </row>
    <row r="3035" spans="1:8" x14ac:dyDescent="0.35">
      <c r="A3035" s="7" t="s">
        <v>356</v>
      </c>
      <c r="B3035" s="7" t="s">
        <v>26</v>
      </c>
      <c r="C3035" s="7" t="s">
        <v>27</v>
      </c>
      <c r="D3035" s="7" t="s">
        <v>28</v>
      </c>
      <c r="E3035" s="7" t="s">
        <v>29</v>
      </c>
      <c r="F3035" s="7" t="s">
        <v>214</v>
      </c>
      <c r="G3035" s="7">
        <v>102.0573</v>
      </c>
      <c r="H3035" s="7"/>
    </row>
    <row r="3036" spans="1:8" x14ac:dyDescent="0.35">
      <c r="A3036" s="7" t="s">
        <v>356</v>
      </c>
      <c r="B3036" s="7" t="s">
        <v>26</v>
      </c>
      <c r="C3036" s="7" t="s">
        <v>27</v>
      </c>
      <c r="D3036" s="7" t="s">
        <v>28</v>
      </c>
      <c r="E3036" s="7" t="s">
        <v>29</v>
      </c>
      <c r="F3036" s="7" t="s">
        <v>215</v>
      </c>
      <c r="G3036" s="7">
        <v>102.1588</v>
      </c>
      <c r="H3036" s="7"/>
    </row>
    <row r="3037" spans="1:8" x14ac:dyDescent="0.35">
      <c r="A3037" s="7" t="s">
        <v>356</v>
      </c>
      <c r="B3037" s="7" t="s">
        <v>26</v>
      </c>
      <c r="C3037" s="7" t="s">
        <v>27</v>
      </c>
      <c r="D3037" s="7" t="s">
        <v>28</v>
      </c>
      <c r="E3037" s="7" t="s">
        <v>29</v>
      </c>
      <c r="F3037" s="7" t="s">
        <v>216</v>
      </c>
      <c r="G3037" s="7">
        <v>102.1972</v>
      </c>
      <c r="H3037" s="7"/>
    </row>
    <row r="3038" spans="1:8" x14ac:dyDescent="0.35">
      <c r="A3038" s="7" t="s">
        <v>356</v>
      </c>
      <c r="B3038" s="7" t="s">
        <v>26</v>
      </c>
      <c r="C3038" s="7" t="s">
        <v>27</v>
      </c>
      <c r="D3038" s="7" t="s">
        <v>28</v>
      </c>
      <c r="E3038" s="7" t="s">
        <v>29</v>
      </c>
      <c r="F3038" s="7" t="s">
        <v>217</v>
      </c>
      <c r="G3038" s="7">
        <v>102.1378</v>
      </c>
      <c r="H3038" s="7"/>
    </row>
    <row r="3039" spans="1:8" x14ac:dyDescent="0.35">
      <c r="A3039" s="7" t="s">
        <v>356</v>
      </c>
      <c r="B3039" s="7" t="s">
        <v>26</v>
      </c>
      <c r="C3039" s="7" t="s">
        <v>27</v>
      </c>
      <c r="D3039" s="7" t="s">
        <v>28</v>
      </c>
      <c r="E3039" s="7" t="s">
        <v>29</v>
      </c>
      <c r="F3039" s="7" t="s">
        <v>218</v>
      </c>
      <c r="G3039" s="7">
        <v>102.1135</v>
      </c>
      <c r="H3039" s="7"/>
    </row>
    <row r="3040" spans="1:8" x14ac:dyDescent="0.35">
      <c r="A3040" s="7" t="s">
        <v>356</v>
      </c>
      <c r="B3040" s="7" t="s">
        <v>26</v>
      </c>
      <c r="C3040" s="7" t="s">
        <v>27</v>
      </c>
      <c r="D3040" s="7" t="s">
        <v>28</v>
      </c>
      <c r="E3040" s="7" t="s">
        <v>29</v>
      </c>
      <c r="F3040" s="7" t="s">
        <v>219</v>
      </c>
      <c r="G3040" s="7">
        <v>102.1015</v>
      </c>
      <c r="H3040" s="7"/>
    </row>
    <row r="3041" spans="1:8" x14ac:dyDescent="0.35">
      <c r="A3041" s="7" t="s">
        <v>356</v>
      </c>
      <c r="B3041" s="7" t="s">
        <v>26</v>
      </c>
      <c r="C3041" s="7" t="s">
        <v>27</v>
      </c>
      <c r="D3041" s="7" t="s">
        <v>28</v>
      </c>
      <c r="E3041" s="7" t="s">
        <v>29</v>
      </c>
      <c r="F3041" s="7" t="s">
        <v>220</v>
      </c>
      <c r="G3041" s="7">
        <v>101.8562</v>
      </c>
      <c r="H3041" s="7"/>
    </row>
    <row r="3042" spans="1:8" x14ac:dyDescent="0.35">
      <c r="A3042" s="7" t="s">
        <v>356</v>
      </c>
      <c r="B3042" s="7" t="s">
        <v>26</v>
      </c>
      <c r="C3042" s="7" t="s">
        <v>27</v>
      </c>
      <c r="D3042" s="7" t="s">
        <v>28</v>
      </c>
      <c r="E3042" s="7" t="s">
        <v>29</v>
      </c>
      <c r="F3042" s="7" t="s">
        <v>221</v>
      </c>
      <c r="G3042" s="7">
        <v>101.53740000000001</v>
      </c>
      <c r="H3042" s="7"/>
    </row>
    <row r="3043" spans="1:8" x14ac:dyDescent="0.35">
      <c r="A3043" s="7" t="s">
        <v>356</v>
      </c>
      <c r="B3043" s="7" t="s">
        <v>26</v>
      </c>
      <c r="C3043" s="7" t="s">
        <v>27</v>
      </c>
      <c r="D3043" s="7" t="s">
        <v>28</v>
      </c>
      <c r="E3043" s="7" t="s">
        <v>29</v>
      </c>
      <c r="F3043" s="7" t="s">
        <v>222</v>
      </c>
      <c r="G3043" s="7">
        <v>101.44629999999999</v>
      </c>
      <c r="H3043" s="7"/>
    </row>
    <row r="3044" spans="1:8" x14ac:dyDescent="0.35">
      <c r="A3044" s="7" t="s">
        <v>356</v>
      </c>
      <c r="B3044" s="7" t="s">
        <v>26</v>
      </c>
      <c r="C3044" s="7" t="s">
        <v>27</v>
      </c>
      <c r="D3044" s="7" t="s">
        <v>28</v>
      </c>
      <c r="E3044" s="7" t="s">
        <v>29</v>
      </c>
      <c r="F3044" s="7" t="s">
        <v>223</v>
      </c>
      <c r="G3044" s="7">
        <v>101.6095</v>
      </c>
      <c r="H3044" s="7"/>
    </row>
    <row r="3045" spans="1:8" x14ac:dyDescent="0.35">
      <c r="A3045" s="7" t="s">
        <v>356</v>
      </c>
      <c r="B3045" s="7" t="s">
        <v>26</v>
      </c>
      <c r="C3045" s="7" t="s">
        <v>27</v>
      </c>
      <c r="D3045" s="7" t="s">
        <v>28</v>
      </c>
      <c r="E3045" s="7" t="s">
        <v>29</v>
      </c>
      <c r="F3045" s="7" t="s">
        <v>224</v>
      </c>
      <c r="G3045" s="7">
        <v>101.59780000000001</v>
      </c>
      <c r="H3045" s="7"/>
    </row>
    <row r="3046" spans="1:8" x14ac:dyDescent="0.35">
      <c r="A3046" s="7" t="s">
        <v>356</v>
      </c>
      <c r="B3046" s="7" t="s">
        <v>26</v>
      </c>
      <c r="C3046" s="7" t="s">
        <v>27</v>
      </c>
      <c r="D3046" s="7" t="s">
        <v>28</v>
      </c>
      <c r="E3046" s="7" t="s">
        <v>29</v>
      </c>
      <c r="F3046" s="7" t="s">
        <v>225</v>
      </c>
      <c r="G3046" s="7">
        <v>101.42230000000001</v>
      </c>
      <c r="H3046" s="7"/>
    </row>
    <row r="3047" spans="1:8" x14ac:dyDescent="0.35">
      <c r="A3047" s="7" t="s">
        <v>356</v>
      </c>
      <c r="B3047" s="7" t="s">
        <v>26</v>
      </c>
      <c r="C3047" s="7" t="s">
        <v>27</v>
      </c>
      <c r="D3047" s="7" t="s">
        <v>28</v>
      </c>
      <c r="E3047" s="7" t="s">
        <v>29</v>
      </c>
      <c r="F3047" s="7" t="s">
        <v>226</v>
      </c>
      <c r="G3047" s="7">
        <v>101.14490000000001</v>
      </c>
      <c r="H3047" s="7"/>
    </row>
    <row r="3048" spans="1:8" x14ac:dyDescent="0.35">
      <c r="A3048" s="7" t="s">
        <v>356</v>
      </c>
      <c r="B3048" s="7" t="s">
        <v>26</v>
      </c>
      <c r="C3048" s="7" t="s">
        <v>27</v>
      </c>
      <c r="D3048" s="7" t="s">
        <v>28</v>
      </c>
      <c r="E3048" s="7" t="s">
        <v>29</v>
      </c>
      <c r="F3048" s="7" t="s">
        <v>227</v>
      </c>
      <c r="G3048" s="7">
        <v>100.5959</v>
      </c>
      <c r="H3048" s="7"/>
    </row>
    <row r="3049" spans="1:8" x14ac:dyDescent="0.35">
      <c r="A3049" s="7" t="s">
        <v>356</v>
      </c>
      <c r="B3049" s="7" t="s">
        <v>26</v>
      </c>
      <c r="C3049" s="7" t="s">
        <v>27</v>
      </c>
      <c r="D3049" s="7" t="s">
        <v>28</v>
      </c>
      <c r="E3049" s="7" t="s">
        <v>29</v>
      </c>
      <c r="F3049" s="7" t="s">
        <v>228</v>
      </c>
      <c r="G3049" s="7">
        <v>99.956980000000001</v>
      </c>
      <c r="H3049" s="7"/>
    </row>
    <row r="3050" spans="1:8" x14ac:dyDescent="0.35">
      <c r="A3050" s="7" t="s">
        <v>356</v>
      </c>
      <c r="B3050" s="7" t="s">
        <v>26</v>
      </c>
      <c r="C3050" s="7" t="s">
        <v>27</v>
      </c>
      <c r="D3050" s="7" t="s">
        <v>28</v>
      </c>
      <c r="E3050" s="7" t="s">
        <v>29</v>
      </c>
      <c r="F3050" s="7" t="s">
        <v>229</v>
      </c>
      <c r="G3050" s="7">
        <v>99.394279999999995</v>
      </c>
      <c r="H3050" s="7"/>
    </row>
    <row r="3051" spans="1:8" x14ac:dyDescent="0.35">
      <c r="A3051" s="7" t="s">
        <v>356</v>
      </c>
      <c r="B3051" s="7" t="s">
        <v>26</v>
      </c>
      <c r="C3051" s="7" t="s">
        <v>27</v>
      </c>
      <c r="D3051" s="7" t="s">
        <v>28</v>
      </c>
      <c r="E3051" s="7" t="s">
        <v>29</v>
      </c>
      <c r="F3051" s="7" t="s">
        <v>230</v>
      </c>
      <c r="G3051" s="7">
        <v>99.024569999999997</v>
      </c>
      <c r="H3051" s="7"/>
    </row>
    <row r="3052" spans="1:8" x14ac:dyDescent="0.35">
      <c r="A3052" s="7" t="s">
        <v>356</v>
      </c>
      <c r="B3052" s="7" t="s">
        <v>26</v>
      </c>
      <c r="C3052" s="7" t="s">
        <v>27</v>
      </c>
      <c r="D3052" s="7" t="s">
        <v>28</v>
      </c>
      <c r="E3052" s="7" t="s">
        <v>29</v>
      </c>
      <c r="F3052" s="7" t="s">
        <v>231</v>
      </c>
      <c r="G3052" s="7">
        <v>98.814449999999994</v>
      </c>
      <c r="H3052" s="7"/>
    </row>
    <row r="3053" spans="1:8" x14ac:dyDescent="0.35">
      <c r="A3053" s="7" t="s">
        <v>356</v>
      </c>
      <c r="B3053" s="7" t="s">
        <v>26</v>
      </c>
      <c r="C3053" s="7" t="s">
        <v>27</v>
      </c>
      <c r="D3053" s="7" t="s">
        <v>28</v>
      </c>
      <c r="E3053" s="7" t="s">
        <v>29</v>
      </c>
      <c r="F3053" s="7" t="s">
        <v>232</v>
      </c>
      <c r="G3053" s="7">
        <v>98.515950000000004</v>
      </c>
      <c r="H3053" s="7"/>
    </row>
    <row r="3054" spans="1:8" x14ac:dyDescent="0.35">
      <c r="A3054" s="7" t="s">
        <v>356</v>
      </c>
      <c r="B3054" s="7" t="s">
        <v>26</v>
      </c>
      <c r="C3054" s="7" t="s">
        <v>27</v>
      </c>
      <c r="D3054" s="7" t="s">
        <v>28</v>
      </c>
      <c r="E3054" s="7" t="s">
        <v>29</v>
      </c>
      <c r="F3054" s="7" t="s">
        <v>233</v>
      </c>
      <c r="G3054" s="7">
        <v>98.109650000000002</v>
      </c>
      <c r="H3054" s="7"/>
    </row>
    <row r="3055" spans="1:8" x14ac:dyDescent="0.35">
      <c r="A3055" s="7" t="s">
        <v>356</v>
      </c>
      <c r="B3055" s="7" t="s">
        <v>26</v>
      </c>
      <c r="C3055" s="7" t="s">
        <v>27</v>
      </c>
      <c r="D3055" s="7" t="s">
        <v>28</v>
      </c>
      <c r="E3055" s="7" t="s">
        <v>29</v>
      </c>
      <c r="F3055" s="7" t="s">
        <v>234</v>
      </c>
      <c r="G3055" s="7">
        <v>97.91901</v>
      </c>
      <c r="H3055" s="7"/>
    </row>
    <row r="3056" spans="1:8" x14ac:dyDescent="0.35">
      <c r="A3056" s="7" t="s">
        <v>356</v>
      </c>
      <c r="B3056" s="7" t="s">
        <v>26</v>
      </c>
      <c r="C3056" s="7" t="s">
        <v>27</v>
      </c>
      <c r="D3056" s="7" t="s">
        <v>28</v>
      </c>
      <c r="E3056" s="7" t="s">
        <v>29</v>
      </c>
      <c r="F3056" s="7" t="s">
        <v>235</v>
      </c>
      <c r="G3056" s="7">
        <v>97.76679</v>
      </c>
      <c r="H3056" s="7"/>
    </row>
    <row r="3057" spans="1:8" x14ac:dyDescent="0.35">
      <c r="A3057" s="7" t="s">
        <v>356</v>
      </c>
      <c r="B3057" s="7" t="s">
        <v>26</v>
      </c>
      <c r="C3057" s="7" t="s">
        <v>27</v>
      </c>
      <c r="D3057" s="7" t="s">
        <v>28</v>
      </c>
      <c r="E3057" s="7" t="s">
        <v>29</v>
      </c>
      <c r="F3057" s="7" t="s">
        <v>236</v>
      </c>
      <c r="G3057" s="7">
        <v>97.519040000000004</v>
      </c>
      <c r="H3057" s="7"/>
    </row>
    <row r="3058" spans="1:8" x14ac:dyDescent="0.35">
      <c r="A3058" s="7" t="s">
        <v>356</v>
      </c>
      <c r="B3058" s="7" t="s">
        <v>26</v>
      </c>
      <c r="C3058" s="7" t="s">
        <v>27</v>
      </c>
      <c r="D3058" s="7" t="s">
        <v>28</v>
      </c>
      <c r="E3058" s="7" t="s">
        <v>29</v>
      </c>
      <c r="F3058" s="7" t="s">
        <v>237</v>
      </c>
      <c r="G3058" s="7">
        <v>97.274889999999999</v>
      </c>
      <c r="H3058" s="7"/>
    </row>
    <row r="3059" spans="1:8" x14ac:dyDescent="0.35">
      <c r="A3059" s="7" t="s">
        <v>356</v>
      </c>
      <c r="B3059" s="7" t="s">
        <v>26</v>
      </c>
      <c r="C3059" s="7" t="s">
        <v>27</v>
      </c>
      <c r="D3059" s="7" t="s">
        <v>28</v>
      </c>
      <c r="E3059" s="7" t="s">
        <v>29</v>
      </c>
      <c r="F3059" s="7" t="s">
        <v>238</v>
      </c>
      <c r="G3059" s="7">
        <v>97.215860000000006</v>
      </c>
      <c r="H3059" s="7"/>
    </row>
    <row r="3060" spans="1:8" x14ac:dyDescent="0.35">
      <c r="A3060" s="7" t="s">
        <v>356</v>
      </c>
      <c r="B3060" s="7" t="s">
        <v>26</v>
      </c>
      <c r="C3060" s="7" t="s">
        <v>27</v>
      </c>
      <c r="D3060" s="7" t="s">
        <v>28</v>
      </c>
      <c r="E3060" s="7" t="s">
        <v>29</v>
      </c>
      <c r="F3060" s="7" t="s">
        <v>239</v>
      </c>
      <c r="G3060" s="7">
        <v>97.28049</v>
      </c>
      <c r="H3060" s="7"/>
    </row>
    <row r="3061" spans="1:8" x14ac:dyDescent="0.35">
      <c r="A3061" s="7" t="s">
        <v>356</v>
      </c>
      <c r="B3061" s="7" t="s">
        <v>26</v>
      </c>
      <c r="C3061" s="7" t="s">
        <v>27</v>
      </c>
      <c r="D3061" s="7" t="s">
        <v>28</v>
      </c>
      <c r="E3061" s="7" t="s">
        <v>29</v>
      </c>
      <c r="F3061" s="7" t="s">
        <v>240</v>
      </c>
      <c r="G3061" s="7">
        <v>97.32114</v>
      </c>
      <c r="H3061" s="7"/>
    </row>
    <row r="3062" spans="1:8" x14ac:dyDescent="0.35">
      <c r="A3062" s="7" t="s">
        <v>356</v>
      </c>
      <c r="B3062" s="7" t="s">
        <v>26</v>
      </c>
      <c r="C3062" s="7" t="s">
        <v>27</v>
      </c>
      <c r="D3062" s="7" t="s">
        <v>28</v>
      </c>
      <c r="E3062" s="7" t="s">
        <v>29</v>
      </c>
      <c r="F3062" s="7" t="s">
        <v>241</v>
      </c>
      <c r="G3062" s="7">
        <v>97.544920000000005</v>
      </c>
      <c r="H3062" s="7"/>
    </row>
    <row r="3063" spans="1:8" x14ac:dyDescent="0.35">
      <c r="A3063" s="7" t="s">
        <v>356</v>
      </c>
      <c r="B3063" s="7" t="s">
        <v>26</v>
      </c>
      <c r="C3063" s="7" t="s">
        <v>27</v>
      </c>
      <c r="D3063" s="7" t="s">
        <v>28</v>
      </c>
      <c r="E3063" s="7" t="s">
        <v>29</v>
      </c>
      <c r="F3063" s="7" t="s">
        <v>242</v>
      </c>
      <c r="G3063" s="7">
        <v>97.751350000000002</v>
      </c>
      <c r="H3063" s="7"/>
    </row>
    <row r="3064" spans="1:8" x14ac:dyDescent="0.35">
      <c r="A3064" s="7" t="s">
        <v>356</v>
      </c>
      <c r="B3064" s="7" t="s">
        <v>26</v>
      </c>
      <c r="C3064" s="7" t="s">
        <v>27</v>
      </c>
      <c r="D3064" s="7" t="s">
        <v>28</v>
      </c>
      <c r="E3064" s="7" t="s">
        <v>29</v>
      </c>
      <c r="F3064" s="7" t="s">
        <v>243</v>
      </c>
      <c r="G3064" s="7">
        <v>97.627250000000004</v>
      </c>
      <c r="H3064" s="7"/>
    </row>
    <row r="3065" spans="1:8" x14ac:dyDescent="0.35">
      <c r="A3065" s="7" t="s">
        <v>356</v>
      </c>
      <c r="B3065" s="7" t="s">
        <v>26</v>
      </c>
      <c r="C3065" s="7" t="s">
        <v>27</v>
      </c>
      <c r="D3065" s="7" t="s">
        <v>28</v>
      </c>
      <c r="E3065" s="7" t="s">
        <v>29</v>
      </c>
      <c r="F3065" s="7" t="s">
        <v>244</v>
      </c>
      <c r="G3065" s="7">
        <v>97.363609999999994</v>
      </c>
      <c r="H3065" s="7"/>
    </row>
    <row r="3066" spans="1:8" x14ac:dyDescent="0.35">
      <c r="A3066" s="7" t="s">
        <v>356</v>
      </c>
      <c r="B3066" s="7" t="s">
        <v>26</v>
      </c>
      <c r="C3066" s="7" t="s">
        <v>27</v>
      </c>
      <c r="D3066" s="7" t="s">
        <v>28</v>
      </c>
      <c r="E3066" s="7" t="s">
        <v>29</v>
      </c>
      <c r="F3066" s="7" t="s">
        <v>245</v>
      </c>
      <c r="G3066" s="7">
        <v>97.052289999999999</v>
      </c>
      <c r="H3066" s="7"/>
    </row>
    <row r="3067" spans="1:8" x14ac:dyDescent="0.35">
      <c r="A3067" s="7" t="s">
        <v>356</v>
      </c>
      <c r="B3067" s="7" t="s">
        <v>26</v>
      </c>
      <c r="C3067" s="7" t="s">
        <v>27</v>
      </c>
      <c r="D3067" s="7" t="s">
        <v>28</v>
      </c>
      <c r="E3067" s="7" t="s">
        <v>29</v>
      </c>
      <c r="F3067" s="7" t="s">
        <v>246</v>
      </c>
      <c r="G3067" s="7">
        <v>97.015429999999995</v>
      </c>
      <c r="H3067" s="7"/>
    </row>
    <row r="3068" spans="1:8" x14ac:dyDescent="0.35">
      <c r="A3068" s="7" t="s">
        <v>356</v>
      </c>
      <c r="B3068" s="7" t="s">
        <v>26</v>
      </c>
      <c r="C3068" s="7" t="s">
        <v>27</v>
      </c>
      <c r="D3068" s="7" t="s">
        <v>28</v>
      </c>
      <c r="E3068" s="7" t="s">
        <v>29</v>
      </c>
      <c r="F3068" s="7" t="s">
        <v>247</v>
      </c>
      <c r="G3068" s="7">
        <v>97.186419999999998</v>
      </c>
      <c r="H3068" s="7"/>
    </row>
    <row r="3069" spans="1:8" x14ac:dyDescent="0.35">
      <c r="A3069" s="7" t="s">
        <v>356</v>
      </c>
      <c r="B3069" s="7" t="s">
        <v>26</v>
      </c>
      <c r="C3069" s="7" t="s">
        <v>27</v>
      </c>
      <c r="D3069" s="7" t="s">
        <v>28</v>
      </c>
      <c r="E3069" s="7" t="s">
        <v>29</v>
      </c>
      <c r="F3069" s="7" t="s">
        <v>248</v>
      </c>
      <c r="G3069" s="7">
        <v>97.374179999999996</v>
      </c>
      <c r="H3069" s="7"/>
    </row>
    <row r="3070" spans="1:8" x14ac:dyDescent="0.35">
      <c r="A3070" s="7" t="s">
        <v>356</v>
      </c>
      <c r="B3070" s="7" t="s">
        <v>26</v>
      </c>
      <c r="C3070" s="7" t="s">
        <v>27</v>
      </c>
      <c r="D3070" s="7" t="s">
        <v>28</v>
      </c>
      <c r="E3070" s="7" t="s">
        <v>29</v>
      </c>
      <c r="F3070" s="7" t="s">
        <v>249</v>
      </c>
      <c r="G3070" s="7">
        <v>97.462440000000001</v>
      </c>
      <c r="H3070" s="7"/>
    </row>
    <row r="3071" spans="1:8" x14ac:dyDescent="0.35">
      <c r="A3071" s="7" t="s">
        <v>356</v>
      </c>
      <c r="B3071" s="7" t="s">
        <v>26</v>
      </c>
      <c r="C3071" s="7" t="s">
        <v>27</v>
      </c>
      <c r="D3071" s="7" t="s">
        <v>28</v>
      </c>
      <c r="E3071" s="7" t="s">
        <v>29</v>
      </c>
      <c r="F3071" s="7" t="s">
        <v>250</v>
      </c>
      <c r="G3071" s="7">
        <v>97.595969999999994</v>
      </c>
      <c r="H3071" s="7"/>
    </row>
    <row r="3072" spans="1:8" x14ac:dyDescent="0.35">
      <c r="A3072" s="7" t="s">
        <v>356</v>
      </c>
      <c r="B3072" s="7" t="s">
        <v>26</v>
      </c>
      <c r="C3072" s="7" t="s">
        <v>27</v>
      </c>
      <c r="D3072" s="7" t="s">
        <v>28</v>
      </c>
      <c r="E3072" s="7" t="s">
        <v>29</v>
      </c>
      <c r="F3072" s="7" t="s">
        <v>251</v>
      </c>
      <c r="G3072" s="7">
        <v>97.812330000000003</v>
      </c>
      <c r="H3072" s="7"/>
    </row>
    <row r="3073" spans="1:8" x14ac:dyDescent="0.35">
      <c r="A3073" s="7" t="s">
        <v>356</v>
      </c>
      <c r="B3073" s="7" t="s">
        <v>26</v>
      </c>
      <c r="C3073" s="7" t="s">
        <v>27</v>
      </c>
      <c r="D3073" s="7" t="s">
        <v>28</v>
      </c>
      <c r="E3073" s="7" t="s">
        <v>29</v>
      </c>
      <c r="F3073" s="7" t="s">
        <v>252</v>
      </c>
      <c r="G3073" s="7">
        <v>98.130089999999996</v>
      </c>
      <c r="H3073" s="7"/>
    </row>
    <row r="3074" spans="1:8" x14ac:dyDescent="0.35">
      <c r="A3074" s="7" t="s">
        <v>356</v>
      </c>
      <c r="B3074" s="7" t="s">
        <v>26</v>
      </c>
      <c r="C3074" s="7" t="s">
        <v>27</v>
      </c>
      <c r="D3074" s="7" t="s">
        <v>28</v>
      </c>
      <c r="E3074" s="7" t="s">
        <v>29</v>
      </c>
      <c r="F3074" s="7" t="s">
        <v>253</v>
      </c>
      <c r="G3074" s="7">
        <v>98.469669999999994</v>
      </c>
      <c r="H3074" s="7"/>
    </row>
    <row r="3075" spans="1:8" x14ac:dyDescent="0.35">
      <c r="A3075" s="7" t="s">
        <v>356</v>
      </c>
      <c r="B3075" s="7" t="s">
        <v>26</v>
      </c>
      <c r="C3075" s="7" t="s">
        <v>27</v>
      </c>
      <c r="D3075" s="7" t="s">
        <v>28</v>
      </c>
      <c r="E3075" s="7" t="s">
        <v>29</v>
      </c>
      <c r="F3075" s="7" t="s">
        <v>254</v>
      </c>
      <c r="G3075" s="7">
        <v>98.720879999999994</v>
      </c>
      <c r="H3075" s="7"/>
    </row>
    <row r="3076" spans="1:8" x14ac:dyDescent="0.35">
      <c r="A3076" s="7" t="s">
        <v>356</v>
      </c>
      <c r="B3076" s="7" t="s">
        <v>26</v>
      </c>
      <c r="C3076" s="7" t="s">
        <v>27</v>
      </c>
      <c r="D3076" s="7" t="s">
        <v>28</v>
      </c>
      <c r="E3076" s="7" t="s">
        <v>29</v>
      </c>
      <c r="F3076" s="7" t="s">
        <v>255</v>
      </c>
      <c r="G3076" s="7">
        <v>98.942830000000001</v>
      </c>
      <c r="H3076" s="7"/>
    </row>
    <row r="3077" spans="1:8" x14ac:dyDescent="0.35">
      <c r="A3077" s="7" t="s">
        <v>356</v>
      </c>
      <c r="B3077" s="7" t="s">
        <v>26</v>
      </c>
      <c r="C3077" s="7" t="s">
        <v>27</v>
      </c>
      <c r="D3077" s="7" t="s">
        <v>28</v>
      </c>
      <c r="E3077" s="7" t="s">
        <v>29</v>
      </c>
      <c r="F3077" s="7" t="s">
        <v>256</v>
      </c>
      <c r="G3077" s="7">
        <v>99.0976</v>
      </c>
      <c r="H3077" s="7"/>
    </row>
    <row r="3078" spans="1:8" x14ac:dyDescent="0.35">
      <c r="A3078" s="7" t="s">
        <v>356</v>
      </c>
      <c r="B3078" s="7" t="s">
        <v>26</v>
      </c>
      <c r="C3078" s="7" t="s">
        <v>27</v>
      </c>
      <c r="D3078" s="7" t="s">
        <v>28</v>
      </c>
      <c r="E3078" s="7" t="s">
        <v>29</v>
      </c>
      <c r="F3078" s="7" t="s">
        <v>257</v>
      </c>
      <c r="G3078" s="7">
        <v>99.078320000000005</v>
      </c>
      <c r="H3078" s="7"/>
    </row>
    <row r="3079" spans="1:8" x14ac:dyDescent="0.35">
      <c r="A3079" s="7" t="s">
        <v>356</v>
      </c>
      <c r="B3079" s="7" t="s">
        <v>26</v>
      </c>
      <c r="C3079" s="7" t="s">
        <v>27</v>
      </c>
      <c r="D3079" s="7" t="s">
        <v>28</v>
      </c>
      <c r="E3079" s="7" t="s">
        <v>29</v>
      </c>
      <c r="F3079" s="7" t="s">
        <v>258</v>
      </c>
      <c r="G3079" s="7">
        <v>99.105130000000003</v>
      </c>
      <c r="H3079" s="7"/>
    </row>
    <row r="3080" spans="1:8" x14ac:dyDescent="0.35">
      <c r="A3080" s="7" t="s">
        <v>356</v>
      </c>
      <c r="B3080" s="7" t="s">
        <v>26</v>
      </c>
      <c r="C3080" s="7" t="s">
        <v>27</v>
      </c>
      <c r="D3080" s="7" t="s">
        <v>28</v>
      </c>
      <c r="E3080" s="7" t="s">
        <v>29</v>
      </c>
      <c r="F3080" s="7" t="s">
        <v>259</v>
      </c>
      <c r="G3080" s="7">
        <v>99.278229999999994</v>
      </c>
      <c r="H3080" s="7"/>
    </row>
    <row r="3081" spans="1:8" x14ac:dyDescent="0.35">
      <c r="A3081" s="7" t="s">
        <v>356</v>
      </c>
      <c r="B3081" s="7" t="s">
        <v>26</v>
      </c>
      <c r="C3081" s="7" t="s">
        <v>27</v>
      </c>
      <c r="D3081" s="7" t="s">
        <v>28</v>
      </c>
      <c r="E3081" s="7" t="s">
        <v>29</v>
      </c>
      <c r="F3081" s="7" t="s">
        <v>260</v>
      </c>
      <c r="G3081" s="7">
        <v>99.427139999999994</v>
      </c>
      <c r="H3081" s="7"/>
    </row>
    <row r="3082" spans="1:8" x14ac:dyDescent="0.35">
      <c r="A3082" s="7" t="s">
        <v>356</v>
      </c>
      <c r="B3082" s="7" t="s">
        <v>26</v>
      </c>
      <c r="C3082" s="7" t="s">
        <v>27</v>
      </c>
      <c r="D3082" s="7" t="s">
        <v>28</v>
      </c>
      <c r="E3082" s="7" t="s">
        <v>29</v>
      </c>
      <c r="F3082" s="7" t="s">
        <v>261</v>
      </c>
      <c r="G3082" s="7">
        <v>99.444990000000004</v>
      </c>
      <c r="H3082" s="7"/>
    </row>
    <row r="3083" spans="1:8" x14ac:dyDescent="0.35">
      <c r="A3083" s="7" t="s">
        <v>356</v>
      </c>
      <c r="B3083" s="7" t="s">
        <v>26</v>
      </c>
      <c r="C3083" s="7" t="s">
        <v>27</v>
      </c>
      <c r="D3083" s="7" t="s">
        <v>28</v>
      </c>
      <c r="E3083" s="7" t="s">
        <v>29</v>
      </c>
      <c r="F3083" s="7" t="s">
        <v>262</v>
      </c>
      <c r="G3083" s="7">
        <v>99.34451</v>
      </c>
      <c r="H3083" s="7"/>
    </row>
    <row r="3084" spans="1:8" x14ac:dyDescent="0.35">
      <c r="A3084" s="7" t="s">
        <v>356</v>
      </c>
      <c r="B3084" s="7" t="s">
        <v>26</v>
      </c>
      <c r="C3084" s="7" t="s">
        <v>27</v>
      </c>
      <c r="D3084" s="7" t="s">
        <v>28</v>
      </c>
      <c r="E3084" s="7" t="s">
        <v>29</v>
      </c>
      <c r="F3084" s="7" t="s">
        <v>263</v>
      </c>
      <c r="G3084" s="7">
        <v>99.232669999999999</v>
      </c>
      <c r="H3084" s="7"/>
    </row>
    <row r="3085" spans="1:8" x14ac:dyDescent="0.35">
      <c r="A3085" s="7" t="s">
        <v>356</v>
      </c>
      <c r="B3085" s="7" t="s">
        <v>26</v>
      </c>
      <c r="C3085" s="7" t="s">
        <v>27</v>
      </c>
      <c r="D3085" s="7" t="s">
        <v>28</v>
      </c>
      <c r="E3085" s="7" t="s">
        <v>29</v>
      </c>
      <c r="F3085" s="7" t="s">
        <v>264</v>
      </c>
      <c r="G3085" s="7">
        <v>99.305890000000005</v>
      </c>
      <c r="H3085" s="7"/>
    </row>
    <row r="3086" spans="1:8" x14ac:dyDescent="0.35">
      <c r="A3086" s="7" t="s">
        <v>356</v>
      </c>
      <c r="B3086" s="7" t="s">
        <v>26</v>
      </c>
      <c r="C3086" s="7" t="s">
        <v>27</v>
      </c>
      <c r="D3086" s="7" t="s">
        <v>28</v>
      </c>
      <c r="E3086" s="7" t="s">
        <v>29</v>
      </c>
      <c r="F3086" s="7" t="s">
        <v>265</v>
      </c>
      <c r="G3086" s="7">
        <v>99.595359999999999</v>
      </c>
      <c r="H3086" s="7"/>
    </row>
    <row r="3087" spans="1:8" x14ac:dyDescent="0.35">
      <c r="A3087" s="7" t="s">
        <v>356</v>
      </c>
      <c r="B3087" s="7" t="s">
        <v>26</v>
      </c>
      <c r="C3087" s="7" t="s">
        <v>27</v>
      </c>
      <c r="D3087" s="7" t="s">
        <v>28</v>
      </c>
      <c r="E3087" s="7" t="s">
        <v>29</v>
      </c>
      <c r="F3087" s="7" t="s">
        <v>266</v>
      </c>
      <c r="G3087" s="7">
        <v>99.809290000000004</v>
      </c>
      <c r="H3087" s="7"/>
    </row>
    <row r="3088" spans="1:8" x14ac:dyDescent="0.35">
      <c r="A3088" s="7" t="s">
        <v>356</v>
      </c>
      <c r="B3088" s="7" t="s">
        <v>26</v>
      </c>
      <c r="C3088" s="7" t="s">
        <v>27</v>
      </c>
      <c r="D3088" s="7" t="s">
        <v>28</v>
      </c>
      <c r="E3088" s="7" t="s">
        <v>29</v>
      </c>
      <c r="F3088" s="7" t="s">
        <v>267</v>
      </c>
      <c r="G3088" s="7">
        <v>99.744450000000001</v>
      </c>
      <c r="H3088" s="7"/>
    </row>
    <row r="3089" spans="1:8" x14ac:dyDescent="0.35">
      <c r="A3089" s="7" t="s">
        <v>356</v>
      </c>
      <c r="B3089" s="7" t="s">
        <v>26</v>
      </c>
      <c r="C3089" s="7" t="s">
        <v>27</v>
      </c>
      <c r="D3089" s="7" t="s">
        <v>28</v>
      </c>
      <c r="E3089" s="7" t="s">
        <v>29</v>
      </c>
      <c r="F3089" s="7" t="s">
        <v>268</v>
      </c>
      <c r="G3089" s="7">
        <v>99.532780000000002</v>
      </c>
      <c r="H3089" s="7"/>
    </row>
    <row r="3090" spans="1:8" x14ac:dyDescent="0.35">
      <c r="A3090" s="7" t="s">
        <v>356</v>
      </c>
      <c r="B3090" s="7" t="s">
        <v>26</v>
      </c>
      <c r="C3090" s="7" t="s">
        <v>27</v>
      </c>
      <c r="D3090" s="7" t="s">
        <v>28</v>
      </c>
      <c r="E3090" s="7" t="s">
        <v>29</v>
      </c>
      <c r="F3090" s="7" t="s">
        <v>269</v>
      </c>
      <c r="G3090" s="7">
        <v>99.309579999999997</v>
      </c>
      <c r="H3090" s="7"/>
    </row>
    <row r="3091" spans="1:8" x14ac:dyDescent="0.35">
      <c r="A3091" s="7" t="s">
        <v>356</v>
      </c>
      <c r="B3091" s="7" t="s">
        <v>26</v>
      </c>
      <c r="C3091" s="7" t="s">
        <v>27</v>
      </c>
      <c r="D3091" s="7" t="s">
        <v>28</v>
      </c>
      <c r="E3091" s="7" t="s">
        <v>29</v>
      </c>
      <c r="F3091" s="7" t="s">
        <v>270</v>
      </c>
      <c r="G3091" s="7">
        <v>99.242900000000006</v>
      </c>
      <c r="H3091" s="7"/>
    </row>
    <row r="3092" spans="1:8" x14ac:dyDescent="0.35">
      <c r="A3092" s="7" t="s">
        <v>356</v>
      </c>
      <c r="B3092" s="7" t="s">
        <v>26</v>
      </c>
      <c r="C3092" s="7" t="s">
        <v>27</v>
      </c>
      <c r="D3092" s="7" t="s">
        <v>28</v>
      </c>
      <c r="E3092" s="7" t="s">
        <v>29</v>
      </c>
      <c r="F3092" s="7" t="s">
        <v>271</v>
      </c>
      <c r="G3092" s="7">
        <v>99.420360000000002</v>
      </c>
      <c r="H3092" s="7"/>
    </row>
    <row r="3093" spans="1:8" x14ac:dyDescent="0.35">
      <c r="A3093" s="7" t="s">
        <v>356</v>
      </c>
      <c r="B3093" s="7" t="s">
        <v>26</v>
      </c>
      <c r="C3093" s="7" t="s">
        <v>27</v>
      </c>
      <c r="D3093" s="7" t="s">
        <v>28</v>
      </c>
      <c r="E3093" s="7" t="s">
        <v>29</v>
      </c>
      <c r="F3093" s="7" t="s">
        <v>272</v>
      </c>
      <c r="G3093" s="7">
        <v>99.718350000000001</v>
      </c>
      <c r="H3093" s="7"/>
    </row>
    <row r="3094" spans="1:8" x14ac:dyDescent="0.35">
      <c r="A3094" s="7" t="s">
        <v>356</v>
      </c>
      <c r="B3094" s="7" t="s">
        <v>26</v>
      </c>
      <c r="C3094" s="7" t="s">
        <v>27</v>
      </c>
      <c r="D3094" s="7" t="s">
        <v>28</v>
      </c>
      <c r="E3094" s="7" t="s">
        <v>29</v>
      </c>
      <c r="F3094" s="7" t="s">
        <v>273</v>
      </c>
      <c r="G3094" s="7">
        <v>99.867159999999998</v>
      </c>
      <c r="H3094" s="7"/>
    </row>
    <row r="3095" spans="1:8" x14ac:dyDescent="0.35">
      <c r="A3095" s="7" t="s">
        <v>356</v>
      </c>
      <c r="B3095" s="7" t="s">
        <v>26</v>
      </c>
      <c r="C3095" s="7" t="s">
        <v>27</v>
      </c>
      <c r="D3095" s="7" t="s">
        <v>28</v>
      </c>
      <c r="E3095" s="7" t="s">
        <v>29</v>
      </c>
      <c r="F3095" s="7" t="s">
        <v>274</v>
      </c>
      <c r="G3095" s="7">
        <v>100.01</v>
      </c>
      <c r="H3095" s="7"/>
    </row>
    <row r="3096" spans="1:8" x14ac:dyDescent="0.35">
      <c r="A3096" s="7" t="s">
        <v>356</v>
      </c>
      <c r="B3096" s="7" t="s">
        <v>26</v>
      </c>
      <c r="C3096" s="7" t="s">
        <v>27</v>
      </c>
      <c r="D3096" s="7" t="s">
        <v>28</v>
      </c>
      <c r="E3096" s="7" t="s">
        <v>29</v>
      </c>
      <c r="F3096" s="7" t="s">
        <v>275</v>
      </c>
      <c r="G3096" s="7">
        <v>100.22329999999999</v>
      </c>
      <c r="H3096" s="7"/>
    </row>
    <row r="3097" spans="1:8" x14ac:dyDescent="0.35">
      <c r="A3097" s="7" t="s">
        <v>356</v>
      </c>
      <c r="B3097" s="7" t="s">
        <v>26</v>
      </c>
      <c r="C3097" s="7" t="s">
        <v>27</v>
      </c>
      <c r="D3097" s="7" t="s">
        <v>28</v>
      </c>
      <c r="E3097" s="7" t="s">
        <v>29</v>
      </c>
      <c r="F3097" s="7" t="s">
        <v>276</v>
      </c>
      <c r="G3097" s="7">
        <v>100.32899999999999</v>
      </c>
      <c r="H3097" s="7"/>
    </row>
    <row r="3098" spans="1:8" x14ac:dyDescent="0.35">
      <c r="A3098" s="7" t="s">
        <v>356</v>
      </c>
      <c r="B3098" s="7" t="s">
        <v>26</v>
      </c>
      <c r="C3098" s="7" t="s">
        <v>27</v>
      </c>
      <c r="D3098" s="7" t="s">
        <v>28</v>
      </c>
      <c r="E3098" s="7" t="s">
        <v>29</v>
      </c>
      <c r="F3098" s="7" t="s">
        <v>277</v>
      </c>
      <c r="G3098" s="7">
        <v>100.401</v>
      </c>
      <c r="H3098" s="7"/>
    </row>
    <row r="3099" spans="1:8" x14ac:dyDescent="0.35">
      <c r="A3099" s="7" t="s">
        <v>356</v>
      </c>
      <c r="B3099" s="7" t="s">
        <v>26</v>
      </c>
      <c r="C3099" s="7" t="s">
        <v>27</v>
      </c>
      <c r="D3099" s="7" t="s">
        <v>28</v>
      </c>
      <c r="E3099" s="7" t="s">
        <v>29</v>
      </c>
      <c r="F3099" s="7" t="s">
        <v>278</v>
      </c>
      <c r="G3099" s="7">
        <v>100.4786</v>
      </c>
      <c r="H3099" s="7"/>
    </row>
    <row r="3100" spans="1:8" x14ac:dyDescent="0.35">
      <c r="A3100" s="7" t="s">
        <v>356</v>
      </c>
      <c r="B3100" s="7" t="s">
        <v>26</v>
      </c>
      <c r="C3100" s="7" t="s">
        <v>27</v>
      </c>
      <c r="D3100" s="7" t="s">
        <v>28</v>
      </c>
      <c r="E3100" s="7" t="s">
        <v>29</v>
      </c>
      <c r="F3100" s="7" t="s">
        <v>279</v>
      </c>
      <c r="G3100" s="7">
        <v>100.3582</v>
      </c>
      <c r="H3100" s="7"/>
    </row>
    <row r="3101" spans="1:8" x14ac:dyDescent="0.35">
      <c r="A3101" s="7" t="s">
        <v>356</v>
      </c>
      <c r="B3101" s="7" t="s">
        <v>26</v>
      </c>
      <c r="C3101" s="7" t="s">
        <v>27</v>
      </c>
      <c r="D3101" s="7" t="s">
        <v>28</v>
      </c>
      <c r="E3101" s="7" t="s">
        <v>29</v>
      </c>
      <c r="F3101" s="7" t="s">
        <v>280</v>
      </c>
      <c r="G3101" s="7">
        <v>100.137</v>
      </c>
      <c r="H3101" s="7"/>
    </row>
    <row r="3102" spans="1:8" x14ac:dyDescent="0.35">
      <c r="A3102" s="7" t="s">
        <v>356</v>
      </c>
      <c r="B3102" s="7" t="s">
        <v>26</v>
      </c>
      <c r="C3102" s="7" t="s">
        <v>27</v>
      </c>
      <c r="D3102" s="7" t="s">
        <v>28</v>
      </c>
      <c r="E3102" s="7" t="s">
        <v>29</v>
      </c>
      <c r="F3102" s="7" t="s">
        <v>281</v>
      </c>
      <c r="G3102" s="7">
        <v>100.08929999999999</v>
      </c>
      <c r="H3102" s="7"/>
    </row>
    <row r="3103" spans="1:8" x14ac:dyDescent="0.35">
      <c r="A3103" s="7" t="s">
        <v>356</v>
      </c>
      <c r="B3103" s="7" t="s">
        <v>26</v>
      </c>
      <c r="C3103" s="7" t="s">
        <v>27</v>
      </c>
      <c r="D3103" s="7" t="s">
        <v>28</v>
      </c>
      <c r="E3103" s="7" t="s">
        <v>29</v>
      </c>
      <c r="F3103" s="7" t="s">
        <v>282</v>
      </c>
      <c r="G3103" s="7">
        <v>100.2285</v>
      </c>
      <c r="H3103" s="7"/>
    </row>
    <row r="3104" spans="1:8" x14ac:dyDescent="0.35">
      <c r="A3104" s="7" t="s">
        <v>356</v>
      </c>
      <c r="B3104" s="7" t="s">
        <v>26</v>
      </c>
      <c r="C3104" s="7" t="s">
        <v>27</v>
      </c>
      <c r="D3104" s="7" t="s">
        <v>28</v>
      </c>
      <c r="E3104" s="7" t="s">
        <v>29</v>
      </c>
      <c r="F3104" s="7" t="s">
        <v>283</v>
      </c>
      <c r="G3104" s="7">
        <v>100.5211</v>
      </c>
      <c r="H3104" s="7"/>
    </row>
    <row r="3105" spans="1:8" x14ac:dyDescent="0.35">
      <c r="A3105" s="7" t="s">
        <v>356</v>
      </c>
      <c r="B3105" s="7" t="s">
        <v>26</v>
      </c>
      <c r="C3105" s="7" t="s">
        <v>27</v>
      </c>
      <c r="D3105" s="7" t="s">
        <v>28</v>
      </c>
      <c r="E3105" s="7" t="s">
        <v>29</v>
      </c>
      <c r="F3105" s="7" t="s">
        <v>284</v>
      </c>
      <c r="G3105" s="7">
        <v>100.6037</v>
      </c>
      <c r="H3105" s="7"/>
    </row>
    <row r="3106" spans="1:8" x14ac:dyDescent="0.35">
      <c r="A3106" s="7" t="s">
        <v>356</v>
      </c>
      <c r="B3106" s="7" t="s">
        <v>26</v>
      </c>
      <c r="C3106" s="7" t="s">
        <v>27</v>
      </c>
      <c r="D3106" s="7" t="s">
        <v>28</v>
      </c>
      <c r="E3106" s="7" t="s">
        <v>29</v>
      </c>
      <c r="F3106" s="7" t="s">
        <v>285</v>
      </c>
      <c r="G3106" s="7">
        <v>100.3974</v>
      </c>
      <c r="H3106" s="7"/>
    </row>
    <row r="3107" spans="1:8" x14ac:dyDescent="0.35">
      <c r="A3107" s="7" t="s">
        <v>356</v>
      </c>
      <c r="B3107" s="7" t="s">
        <v>26</v>
      </c>
      <c r="C3107" s="7" t="s">
        <v>27</v>
      </c>
      <c r="D3107" s="7" t="s">
        <v>28</v>
      </c>
      <c r="E3107" s="7" t="s">
        <v>29</v>
      </c>
      <c r="F3107" s="7" t="s">
        <v>286</v>
      </c>
      <c r="G3107" s="7">
        <v>100.2179</v>
      </c>
      <c r="H3107" s="7"/>
    </row>
    <row r="3108" spans="1:8" x14ac:dyDescent="0.35">
      <c r="A3108" s="7" t="s">
        <v>356</v>
      </c>
      <c r="B3108" s="7" t="s">
        <v>26</v>
      </c>
      <c r="C3108" s="7" t="s">
        <v>27</v>
      </c>
      <c r="D3108" s="7" t="s">
        <v>28</v>
      </c>
      <c r="E3108" s="7" t="s">
        <v>29</v>
      </c>
      <c r="F3108" s="7" t="s">
        <v>287</v>
      </c>
      <c r="G3108" s="7">
        <v>100.1236</v>
      </c>
      <c r="H3108" s="7"/>
    </row>
    <row r="3109" spans="1:8" x14ac:dyDescent="0.35">
      <c r="A3109" s="7" t="s">
        <v>356</v>
      </c>
      <c r="B3109" s="7" t="s">
        <v>26</v>
      </c>
      <c r="C3109" s="7" t="s">
        <v>27</v>
      </c>
      <c r="D3109" s="7" t="s">
        <v>28</v>
      </c>
      <c r="E3109" s="7" t="s">
        <v>29</v>
      </c>
      <c r="F3109" s="7" t="s">
        <v>288</v>
      </c>
      <c r="G3109" s="7">
        <v>100.08280000000001</v>
      </c>
      <c r="H3109" s="7"/>
    </row>
    <row r="3110" spans="1:8" x14ac:dyDescent="0.35">
      <c r="A3110" s="7" t="s">
        <v>356</v>
      </c>
      <c r="B3110" s="7" t="s">
        <v>26</v>
      </c>
      <c r="C3110" s="7" t="s">
        <v>27</v>
      </c>
      <c r="D3110" s="7" t="s">
        <v>28</v>
      </c>
      <c r="E3110" s="7" t="s">
        <v>29</v>
      </c>
      <c r="F3110" s="7" t="s">
        <v>289</v>
      </c>
      <c r="G3110" s="7">
        <v>100.1336</v>
      </c>
      <c r="H3110" s="7"/>
    </row>
    <row r="3111" spans="1:8" x14ac:dyDescent="0.35">
      <c r="A3111" s="7" t="s">
        <v>356</v>
      </c>
      <c r="B3111" s="7" t="s">
        <v>26</v>
      </c>
      <c r="C3111" s="7" t="s">
        <v>27</v>
      </c>
      <c r="D3111" s="7" t="s">
        <v>28</v>
      </c>
      <c r="E3111" s="7" t="s">
        <v>29</v>
      </c>
      <c r="F3111" s="7" t="s">
        <v>290</v>
      </c>
      <c r="G3111" s="7">
        <v>100.3154</v>
      </c>
      <c r="H3111" s="7"/>
    </row>
    <row r="3112" spans="1:8" x14ac:dyDescent="0.35">
      <c r="A3112" s="7" t="s">
        <v>356</v>
      </c>
      <c r="B3112" s="7" t="s">
        <v>26</v>
      </c>
      <c r="C3112" s="7" t="s">
        <v>27</v>
      </c>
      <c r="D3112" s="7" t="s">
        <v>28</v>
      </c>
      <c r="E3112" s="7" t="s">
        <v>29</v>
      </c>
      <c r="F3112" s="7" t="s">
        <v>291</v>
      </c>
      <c r="G3112" s="7">
        <v>100.26309999999999</v>
      </c>
      <c r="H3112" s="7"/>
    </row>
    <row r="3113" spans="1:8" x14ac:dyDescent="0.35">
      <c r="A3113" s="7" t="s">
        <v>356</v>
      </c>
      <c r="B3113" s="7" t="s">
        <v>26</v>
      </c>
      <c r="C3113" s="7" t="s">
        <v>27</v>
      </c>
      <c r="D3113" s="7" t="s">
        <v>28</v>
      </c>
      <c r="E3113" s="7" t="s">
        <v>29</v>
      </c>
      <c r="F3113" s="7" t="s">
        <v>292</v>
      </c>
      <c r="G3113" s="7">
        <v>99.908820000000006</v>
      </c>
      <c r="H3113" s="7"/>
    </row>
    <row r="3114" spans="1:8" x14ac:dyDescent="0.35">
      <c r="A3114" s="7" t="s">
        <v>356</v>
      </c>
      <c r="B3114" s="7" t="s">
        <v>26</v>
      </c>
      <c r="C3114" s="7" t="s">
        <v>27</v>
      </c>
      <c r="D3114" s="7" t="s">
        <v>28</v>
      </c>
      <c r="E3114" s="7" t="s">
        <v>29</v>
      </c>
      <c r="F3114" s="7" t="s">
        <v>293</v>
      </c>
      <c r="G3114" s="7">
        <v>99.435980000000001</v>
      </c>
      <c r="H3114" s="7"/>
    </row>
    <row r="3115" spans="1:8" x14ac:dyDescent="0.35">
      <c r="A3115" s="7" t="s">
        <v>356</v>
      </c>
      <c r="B3115" s="7" t="s">
        <v>26</v>
      </c>
      <c r="C3115" s="7" t="s">
        <v>27</v>
      </c>
      <c r="D3115" s="7" t="s">
        <v>28</v>
      </c>
      <c r="E3115" s="7" t="s">
        <v>29</v>
      </c>
      <c r="F3115" s="7" t="s">
        <v>294</v>
      </c>
      <c r="G3115" s="7">
        <v>99.006290000000007</v>
      </c>
      <c r="H3115" s="7"/>
    </row>
    <row r="3116" spans="1:8" x14ac:dyDescent="0.35">
      <c r="A3116" s="7" t="s">
        <v>356</v>
      </c>
      <c r="B3116" s="7" t="s">
        <v>26</v>
      </c>
      <c r="C3116" s="7" t="s">
        <v>27</v>
      </c>
      <c r="D3116" s="7" t="s">
        <v>28</v>
      </c>
      <c r="E3116" s="7" t="s">
        <v>29</v>
      </c>
      <c r="F3116" s="7" t="s">
        <v>295</v>
      </c>
      <c r="G3116" s="7">
        <v>98.679760000000002</v>
      </c>
      <c r="H3116" s="7"/>
    </row>
    <row r="3117" spans="1:8" x14ac:dyDescent="0.35">
      <c r="A3117" s="7" t="s">
        <v>356</v>
      </c>
      <c r="B3117" s="7" t="s">
        <v>26</v>
      </c>
      <c r="C3117" s="7" t="s">
        <v>27</v>
      </c>
      <c r="D3117" s="7" t="s">
        <v>28</v>
      </c>
      <c r="E3117" s="7" t="s">
        <v>29</v>
      </c>
      <c r="F3117" s="7" t="s">
        <v>296</v>
      </c>
      <c r="G3117" s="7">
        <v>98.376469999999998</v>
      </c>
      <c r="H3117" s="7"/>
    </row>
    <row r="3118" spans="1:8" x14ac:dyDescent="0.35">
      <c r="A3118" s="7" t="s">
        <v>356</v>
      </c>
      <c r="B3118" s="7" t="s">
        <v>26</v>
      </c>
      <c r="C3118" s="7" t="s">
        <v>27</v>
      </c>
      <c r="D3118" s="7" t="s">
        <v>28</v>
      </c>
      <c r="E3118" s="7" t="s">
        <v>29</v>
      </c>
      <c r="F3118" s="7" t="s">
        <v>297</v>
      </c>
      <c r="G3118" s="7">
        <v>98.389179999999996</v>
      </c>
      <c r="H3118" s="7"/>
    </row>
    <row r="3119" spans="1:8" x14ac:dyDescent="0.35">
      <c r="A3119" s="7" t="s">
        <v>356</v>
      </c>
      <c r="B3119" s="7" t="s">
        <v>26</v>
      </c>
      <c r="C3119" s="7" t="s">
        <v>27</v>
      </c>
      <c r="D3119" s="7" t="s">
        <v>28</v>
      </c>
      <c r="E3119" s="7" t="s">
        <v>29</v>
      </c>
      <c r="F3119" s="7" t="s">
        <v>298</v>
      </c>
      <c r="G3119" s="7">
        <v>98.709220000000002</v>
      </c>
      <c r="H3119" s="7"/>
    </row>
    <row r="3120" spans="1:8" x14ac:dyDescent="0.35">
      <c r="A3120" s="7" t="s">
        <v>356</v>
      </c>
      <c r="B3120" s="7" t="s">
        <v>26</v>
      </c>
      <c r="C3120" s="7" t="s">
        <v>27</v>
      </c>
      <c r="D3120" s="7" t="s">
        <v>28</v>
      </c>
      <c r="E3120" s="7" t="s">
        <v>29</v>
      </c>
      <c r="F3120" s="7" t="s">
        <v>299</v>
      </c>
      <c r="G3120" s="7">
        <v>99.025099999999995</v>
      </c>
      <c r="H3120" s="7"/>
    </row>
    <row r="3121" spans="1:8" x14ac:dyDescent="0.35">
      <c r="A3121" s="7" t="s">
        <v>356</v>
      </c>
      <c r="B3121" s="7" t="s">
        <v>26</v>
      </c>
      <c r="C3121" s="7" t="s">
        <v>27</v>
      </c>
      <c r="D3121" s="7" t="s">
        <v>28</v>
      </c>
      <c r="E3121" s="7" t="s">
        <v>29</v>
      </c>
      <c r="F3121" s="7" t="s">
        <v>300</v>
      </c>
      <c r="G3121" s="7">
        <v>99.204999999999998</v>
      </c>
      <c r="H3121" s="7"/>
    </row>
    <row r="3122" spans="1:8" x14ac:dyDescent="0.35">
      <c r="A3122" s="7" t="s">
        <v>356</v>
      </c>
      <c r="B3122" s="7" t="s">
        <v>26</v>
      </c>
      <c r="C3122" s="7" t="s">
        <v>27</v>
      </c>
      <c r="D3122" s="7" t="s">
        <v>28</v>
      </c>
      <c r="E3122" s="7" t="s">
        <v>29</v>
      </c>
      <c r="F3122" s="7" t="s">
        <v>301</v>
      </c>
      <c r="G3122" s="7">
        <v>99.257199999999997</v>
      </c>
      <c r="H3122" s="7"/>
    </row>
    <row r="3123" spans="1:8" x14ac:dyDescent="0.35">
      <c r="A3123" s="7" t="s">
        <v>356</v>
      </c>
      <c r="B3123" s="7" t="s">
        <v>26</v>
      </c>
      <c r="C3123" s="7" t="s">
        <v>27</v>
      </c>
      <c r="D3123" s="7" t="s">
        <v>28</v>
      </c>
      <c r="E3123" s="7" t="s">
        <v>29</v>
      </c>
      <c r="F3123" s="7" t="s">
        <v>302</v>
      </c>
      <c r="G3123" s="7">
        <v>99.234729999999999</v>
      </c>
      <c r="H3123" s="7"/>
    </row>
    <row r="3124" spans="1:8" x14ac:dyDescent="0.35">
      <c r="A3124" s="7" t="s">
        <v>356</v>
      </c>
      <c r="B3124" s="7" t="s">
        <v>26</v>
      </c>
      <c r="C3124" s="7" t="s">
        <v>27</v>
      </c>
      <c r="D3124" s="7" t="s">
        <v>28</v>
      </c>
      <c r="E3124" s="7" t="s">
        <v>29</v>
      </c>
      <c r="F3124" s="7" t="s">
        <v>303</v>
      </c>
      <c r="G3124" s="7">
        <v>99.232089999999999</v>
      </c>
      <c r="H3124" s="7"/>
    </row>
    <row r="3125" spans="1:8" x14ac:dyDescent="0.35">
      <c r="A3125" s="7" t="s">
        <v>356</v>
      </c>
      <c r="B3125" s="7" t="s">
        <v>26</v>
      </c>
      <c r="C3125" s="7" t="s">
        <v>27</v>
      </c>
      <c r="D3125" s="7" t="s">
        <v>28</v>
      </c>
      <c r="E3125" s="7" t="s">
        <v>29</v>
      </c>
      <c r="F3125" s="7" t="s">
        <v>304</v>
      </c>
      <c r="G3125" s="7">
        <v>99.323070000000001</v>
      </c>
      <c r="H3125" s="7"/>
    </row>
    <row r="3126" spans="1:8" x14ac:dyDescent="0.35">
      <c r="A3126" s="7" t="s">
        <v>356</v>
      </c>
      <c r="B3126" s="7" t="s">
        <v>26</v>
      </c>
      <c r="C3126" s="7" t="s">
        <v>27</v>
      </c>
      <c r="D3126" s="7" t="s">
        <v>28</v>
      </c>
      <c r="E3126" s="7" t="s">
        <v>29</v>
      </c>
      <c r="F3126" s="7" t="s">
        <v>305</v>
      </c>
      <c r="G3126" s="7">
        <v>99.411190000000005</v>
      </c>
      <c r="H3126" s="7"/>
    </row>
    <row r="3127" spans="1:8" x14ac:dyDescent="0.35">
      <c r="A3127" s="7" t="s">
        <v>356</v>
      </c>
      <c r="B3127" s="7" t="s">
        <v>26</v>
      </c>
      <c r="C3127" s="7" t="s">
        <v>27</v>
      </c>
      <c r="D3127" s="7" t="s">
        <v>28</v>
      </c>
      <c r="E3127" s="7" t="s">
        <v>29</v>
      </c>
      <c r="F3127" s="7" t="s">
        <v>306</v>
      </c>
      <c r="G3127" s="7">
        <v>99.539090000000002</v>
      </c>
      <c r="H3127" s="7"/>
    </row>
    <row r="3128" spans="1:8" x14ac:dyDescent="0.35">
      <c r="A3128" s="7" t="s">
        <v>356</v>
      </c>
      <c r="B3128" s="7" t="s">
        <v>26</v>
      </c>
      <c r="C3128" s="7" t="s">
        <v>27</v>
      </c>
      <c r="D3128" s="7" t="s">
        <v>28</v>
      </c>
      <c r="E3128" s="7" t="s">
        <v>29</v>
      </c>
      <c r="F3128" s="7" t="s">
        <v>307</v>
      </c>
      <c r="G3128" s="7">
        <v>99.559749999999994</v>
      </c>
      <c r="H3128" s="7"/>
    </row>
    <row r="3129" spans="1:8" x14ac:dyDescent="0.35">
      <c r="A3129" s="7" t="s">
        <v>356</v>
      </c>
      <c r="B3129" s="7" t="s">
        <v>26</v>
      </c>
      <c r="C3129" s="7" t="s">
        <v>27</v>
      </c>
      <c r="D3129" s="7" t="s">
        <v>28</v>
      </c>
      <c r="E3129" s="7" t="s">
        <v>29</v>
      </c>
      <c r="F3129" s="7" t="s">
        <v>308</v>
      </c>
      <c r="G3129" s="7">
        <v>99.444720000000004</v>
      </c>
      <c r="H3129" s="7"/>
    </row>
    <row r="3130" spans="1:8" x14ac:dyDescent="0.35">
      <c r="A3130" s="7" t="s">
        <v>356</v>
      </c>
      <c r="B3130" s="7" t="s">
        <v>26</v>
      </c>
      <c r="C3130" s="7" t="s">
        <v>27</v>
      </c>
      <c r="D3130" s="7" t="s">
        <v>28</v>
      </c>
      <c r="E3130" s="7" t="s">
        <v>29</v>
      </c>
      <c r="F3130" s="7" t="s">
        <v>309</v>
      </c>
      <c r="G3130" s="7">
        <v>99.389330000000001</v>
      </c>
      <c r="H3130" s="7"/>
    </row>
    <row r="3131" spans="1:8" x14ac:dyDescent="0.35">
      <c r="A3131" s="7" t="s">
        <v>356</v>
      </c>
      <c r="B3131" s="7" t="s">
        <v>26</v>
      </c>
      <c r="C3131" s="7" t="s">
        <v>27</v>
      </c>
      <c r="D3131" s="7" t="s">
        <v>28</v>
      </c>
      <c r="E3131" s="7" t="s">
        <v>29</v>
      </c>
      <c r="F3131" s="7" t="s">
        <v>310</v>
      </c>
      <c r="G3131" s="7">
        <v>99.461619999999996</v>
      </c>
      <c r="H3131" s="7"/>
    </row>
    <row r="3132" spans="1:8" x14ac:dyDescent="0.35">
      <c r="A3132" s="7" t="s">
        <v>356</v>
      </c>
      <c r="B3132" s="7" t="s">
        <v>26</v>
      </c>
      <c r="C3132" s="7" t="s">
        <v>27</v>
      </c>
      <c r="D3132" s="7" t="s">
        <v>28</v>
      </c>
      <c r="E3132" s="7" t="s">
        <v>29</v>
      </c>
      <c r="F3132" s="7" t="s">
        <v>311</v>
      </c>
      <c r="G3132" s="7">
        <v>99.505520000000004</v>
      </c>
      <c r="H3132" s="7"/>
    </row>
    <row r="3133" spans="1:8" x14ac:dyDescent="0.35">
      <c r="A3133" s="7" t="s">
        <v>356</v>
      </c>
      <c r="B3133" s="7" t="s">
        <v>26</v>
      </c>
      <c r="C3133" s="7" t="s">
        <v>27</v>
      </c>
      <c r="D3133" s="7" t="s">
        <v>28</v>
      </c>
      <c r="E3133" s="7" t="s">
        <v>29</v>
      </c>
      <c r="F3133" s="7" t="s">
        <v>312</v>
      </c>
      <c r="G3133" s="7">
        <v>99.59478</v>
      </c>
      <c r="H3133" s="7"/>
    </row>
    <row r="3134" spans="1:8" x14ac:dyDescent="0.35">
      <c r="A3134" s="7" t="s">
        <v>356</v>
      </c>
      <c r="B3134" s="7" t="s">
        <v>26</v>
      </c>
      <c r="C3134" s="7" t="s">
        <v>27</v>
      </c>
      <c r="D3134" s="7" t="s">
        <v>28</v>
      </c>
      <c r="E3134" s="7" t="s">
        <v>29</v>
      </c>
      <c r="F3134" s="7" t="s">
        <v>313</v>
      </c>
      <c r="G3134" s="7">
        <v>99.662059999999997</v>
      </c>
      <c r="H3134" s="7"/>
    </row>
    <row r="3135" spans="1:8" x14ac:dyDescent="0.35">
      <c r="A3135" s="7" t="s">
        <v>356</v>
      </c>
      <c r="B3135" s="7" t="s">
        <v>26</v>
      </c>
      <c r="C3135" s="7" t="s">
        <v>27</v>
      </c>
      <c r="D3135" s="7" t="s">
        <v>28</v>
      </c>
      <c r="E3135" s="7" t="s">
        <v>29</v>
      </c>
      <c r="F3135" s="7" t="s">
        <v>314</v>
      </c>
      <c r="G3135" s="7">
        <v>99.528080000000003</v>
      </c>
      <c r="H3135" s="7"/>
    </row>
    <row r="3136" spans="1:8" x14ac:dyDescent="0.35">
      <c r="A3136" s="7" t="s">
        <v>356</v>
      </c>
      <c r="B3136" s="7" t="s">
        <v>26</v>
      </c>
      <c r="C3136" s="7" t="s">
        <v>27</v>
      </c>
      <c r="D3136" s="7" t="s">
        <v>28</v>
      </c>
      <c r="E3136" s="7" t="s">
        <v>29</v>
      </c>
      <c r="F3136" s="7" t="s">
        <v>315</v>
      </c>
      <c r="G3136" s="7">
        <v>99.358689999999996</v>
      </c>
      <c r="H3136" s="7"/>
    </row>
    <row r="3137" spans="1:8" x14ac:dyDescent="0.35">
      <c r="A3137" s="7" t="s">
        <v>356</v>
      </c>
      <c r="B3137" s="7" t="s">
        <v>26</v>
      </c>
      <c r="C3137" s="7" t="s">
        <v>27</v>
      </c>
      <c r="D3137" s="7" t="s">
        <v>28</v>
      </c>
      <c r="E3137" s="7" t="s">
        <v>29</v>
      </c>
      <c r="F3137" s="7" t="s">
        <v>316</v>
      </c>
      <c r="G3137" s="7">
        <v>99.315880000000007</v>
      </c>
      <c r="H3137" s="7"/>
    </row>
    <row r="3138" spans="1:8" x14ac:dyDescent="0.35">
      <c r="A3138" s="7" t="s">
        <v>356</v>
      </c>
      <c r="B3138" s="7" t="s">
        <v>26</v>
      </c>
      <c r="C3138" s="7" t="s">
        <v>27</v>
      </c>
      <c r="D3138" s="7" t="s">
        <v>28</v>
      </c>
      <c r="E3138" s="7" t="s">
        <v>29</v>
      </c>
      <c r="F3138" s="7" t="s">
        <v>317</v>
      </c>
      <c r="G3138" s="7">
        <v>99.400069999999999</v>
      </c>
      <c r="H3138" s="7"/>
    </row>
    <row r="3139" spans="1:8" x14ac:dyDescent="0.35">
      <c r="A3139" s="7" t="s">
        <v>356</v>
      </c>
      <c r="B3139" s="7" t="s">
        <v>26</v>
      </c>
      <c r="C3139" s="7" t="s">
        <v>27</v>
      </c>
      <c r="D3139" s="7" t="s">
        <v>28</v>
      </c>
      <c r="E3139" s="7" t="s">
        <v>29</v>
      </c>
      <c r="F3139" s="7" t="s">
        <v>318</v>
      </c>
      <c r="G3139" s="7">
        <v>99.521140000000003</v>
      </c>
      <c r="H3139" s="7"/>
    </row>
    <row r="3140" spans="1:8" x14ac:dyDescent="0.35">
      <c r="A3140" s="7" t="s">
        <v>356</v>
      </c>
      <c r="B3140" s="7" t="s">
        <v>26</v>
      </c>
      <c r="C3140" s="7" t="s">
        <v>27</v>
      </c>
      <c r="D3140" s="7" t="s">
        <v>28</v>
      </c>
      <c r="E3140" s="7" t="s">
        <v>29</v>
      </c>
      <c r="F3140" s="7" t="s">
        <v>319</v>
      </c>
      <c r="G3140" s="7">
        <v>99.542069999999995</v>
      </c>
      <c r="H3140" s="7"/>
    </row>
    <row r="3141" spans="1:8" x14ac:dyDescent="0.35">
      <c r="A3141" s="7" t="s">
        <v>356</v>
      </c>
      <c r="B3141" s="7" t="s">
        <v>26</v>
      </c>
      <c r="C3141" s="7" t="s">
        <v>27</v>
      </c>
      <c r="D3141" s="7" t="s">
        <v>28</v>
      </c>
      <c r="E3141" s="7" t="s">
        <v>29</v>
      </c>
      <c r="F3141" s="7" t="s">
        <v>320</v>
      </c>
      <c r="G3141" s="7">
        <v>99.390860000000004</v>
      </c>
      <c r="H3141" s="7"/>
    </row>
    <row r="3142" spans="1:8" x14ac:dyDescent="0.35">
      <c r="A3142" s="7" t="s">
        <v>356</v>
      </c>
      <c r="B3142" s="7" t="s">
        <v>26</v>
      </c>
      <c r="C3142" s="7" t="s">
        <v>27</v>
      </c>
      <c r="D3142" s="7" t="s">
        <v>28</v>
      </c>
      <c r="E3142" s="7" t="s">
        <v>29</v>
      </c>
      <c r="F3142" s="7" t="s">
        <v>321</v>
      </c>
      <c r="G3142" s="7">
        <v>99.131789999999995</v>
      </c>
      <c r="H3142" s="7"/>
    </row>
    <row r="3143" spans="1:8" x14ac:dyDescent="0.35">
      <c r="A3143" s="7" t="s">
        <v>356</v>
      </c>
      <c r="B3143" s="7" t="s">
        <v>26</v>
      </c>
      <c r="C3143" s="7" t="s">
        <v>27</v>
      </c>
      <c r="D3143" s="7" t="s">
        <v>28</v>
      </c>
      <c r="E3143" s="7" t="s">
        <v>29</v>
      </c>
      <c r="F3143" s="7" t="s">
        <v>322</v>
      </c>
      <c r="G3143" s="7">
        <v>99.030100000000004</v>
      </c>
      <c r="H3143" s="7"/>
    </row>
    <row r="3144" spans="1:8" x14ac:dyDescent="0.35">
      <c r="A3144" s="7" t="s">
        <v>356</v>
      </c>
      <c r="B3144" s="7" t="s">
        <v>26</v>
      </c>
      <c r="C3144" s="7" t="s">
        <v>27</v>
      </c>
      <c r="D3144" s="7" t="s">
        <v>28</v>
      </c>
      <c r="E3144" s="7" t="s">
        <v>29</v>
      </c>
      <c r="F3144" s="7" t="s">
        <v>323</v>
      </c>
      <c r="G3144" s="7">
        <v>99.091229999999996</v>
      </c>
      <c r="H3144" s="7"/>
    </row>
    <row r="3145" spans="1:8" x14ac:dyDescent="0.35">
      <c r="A3145" s="7" t="s">
        <v>356</v>
      </c>
      <c r="B3145" s="7" t="s">
        <v>26</v>
      </c>
      <c r="C3145" s="7" t="s">
        <v>27</v>
      </c>
      <c r="D3145" s="7" t="s">
        <v>28</v>
      </c>
      <c r="E3145" s="7" t="s">
        <v>29</v>
      </c>
      <c r="F3145" s="7" t="s">
        <v>324</v>
      </c>
      <c r="G3145" s="7">
        <v>99.258380000000002</v>
      </c>
      <c r="H3145" s="7"/>
    </row>
    <row r="3146" spans="1:8" x14ac:dyDescent="0.35">
      <c r="A3146" s="7" t="s">
        <v>356</v>
      </c>
      <c r="B3146" s="7" t="s">
        <v>26</v>
      </c>
      <c r="C3146" s="7" t="s">
        <v>27</v>
      </c>
      <c r="D3146" s="7" t="s">
        <v>28</v>
      </c>
      <c r="E3146" s="7" t="s">
        <v>29</v>
      </c>
      <c r="F3146" s="7" t="s">
        <v>325</v>
      </c>
      <c r="G3146" s="7">
        <v>99.29307</v>
      </c>
      <c r="H3146" s="7"/>
    </row>
    <row r="3147" spans="1:8" x14ac:dyDescent="0.35">
      <c r="A3147" s="7" t="s">
        <v>356</v>
      </c>
      <c r="B3147" s="7" t="s">
        <v>26</v>
      </c>
      <c r="C3147" s="7" t="s">
        <v>27</v>
      </c>
      <c r="D3147" s="7" t="s">
        <v>28</v>
      </c>
      <c r="E3147" s="7" t="s">
        <v>29</v>
      </c>
      <c r="F3147" s="7" t="s">
        <v>326</v>
      </c>
      <c r="G3147" s="7">
        <v>98.985789999999994</v>
      </c>
      <c r="H3147" s="7"/>
    </row>
    <row r="3148" spans="1:8" x14ac:dyDescent="0.35">
      <c r="A3148" s="7" t="s">
        <v>356</v>
      </c>
      <c r="B3148" s="7" t="s">
        <v>26</v>
      </c>
      <c r="C3148" s="7" t="s">
        <v>27</v>
      </c>
      <c r="D3148" s="7" t="s">
        <v>28</v>
      </c>
      <c r="E3148" s="7" t="s">
        <v>29</v>
      </c>
      <c r="F3148" s="7" t="s">
        <v>327</v>
      </c>
      <c r="G3148" s="7">
        <v>98.593109999999996</v>
      </c>
      <c r="H3148" s="7"/>
    </row>
    <row r="3149" spans="1:8" x14ac:dyDescent="0.35">
      <c r="A3149" s="7" t="s">
        <v>356</v>
      </c>
      <c r="B3149" s="7" t="s">
        <v>26</v>
      </c>
      <c r="C3149" s="7" t="s">
        <v>27</v>
      </c>
      <c r="D3149" s="7" t="s">
        <v>28</v>
      </c>
      <c r="E3149" s="7" t="s">
        <v>29</v>
      </c>
      <c r="F3149" s="7" t="s">
        <v>328</v>
      </c>
      <c r="G3149" s="7">
        <v>98.289739999999995</v>
      </c>
      <c r="H3149" s="7"/>
    </row>
    <row r="3150" spans="1:8" x14ac:dyDescent="0.35">
      <c r="A3150" s="7" t="s">
        <v>356</v>
      </c>
      <c r="B3150" s="7" t="s">
        <v>26</v>
      </c>
      <c r="C3150" s="7" t="s">
        <v>27</v>
      </c>
      <c r="D3150" s="7" t="s">
        <v>28</v>
      </c>
      <c r="E3150" s="7" t="s">
        <v>29</v>
      </c>
      <c r="F3150" s="7" t="s">
        <v>329</v>
      </c>
      <c r="G3150" s="7">
        <v>98.115769999999998</v>
      </c>
      <c r="H3150" s="7"/>
    </row>
    <row r="3151" spans="1:8" x14ac:dyDescent="0.35">
      <c r="A3151" s="7" t="s">
        <v>356</v>
      </c>
      <c r="B3151" s="7" t="s">
        <v>26</v>
      </c>
      <c r="C3151" s="7" t="s">
        <v>27</v>
      </c>
      <c r="D3151" s="7" t="s">
        <v>28</v>
      </c>
      <c r="E3151" s="7" t="s">
        <v>29</v>
      </c>
      <c r="F3151" s="7" t="s">
        <v>330</v>
      </c>
      <c r="G3151" s="7">
        <v>97.838310000000007</v>
      </c>
      <c r="H3151" s="7"/>
    </row>
    <row r="3152" spans="1:8" x14ac:dyDescent="0.35">
      <c r="A3152" s="7" t="s">
        <v>356</v>
      </c>
      <c r="B3152" s="7" t="s">
        <v>26</v>
      </c>
      <c r="C3152" s="7" t="s">
        <v>27</v>
      </c>
      <c r="D3152" s="7" t="s">
        <v>28</v>
      </c>
      <c r="E3152" s="7" t="s">
        <v>29</v>
      </c>
      <c r="F3152" s="7" t="s">
        <v>331</v>
      </c>
      <c r="G3152" s="7">
        <v>97.279690000000002</v>
      </c>
      <c r="H3152" s="7"/>
    </row>
    <row r="3153" spans="1:8" x14ac:dyDescent="0.35">
      <c r="A3153" s="7" t="s">
        <v>356</v>
      </c>
      <c r="B3153" s="7" t="s">
        <v>26</v>
      </c>
      <c r="C3153" s="7" t="s">
        <v>27</v>
      </c>
      <c r="D3153" s="7" t="s">
        <v>28</v>
      </c>
      <c r="E3153" s="7" t="s">
        <v>29</v>
      </c>
      <c r="F3153" s="7" t="s">
        <v>332</v>
      </c>
      <c r="G3153" s="7">
        <v>96.493279999999999</v>
      </c>
      <c r="H3153" s="7"/>
    </row>
    <row r="3154" spans="1:8" x14ac:dyDescent="0.35">
      <c r="A3154" s="7" t="s">
        <v>356</v>
      </c>
      <c r="B3154" s="7" t="s">
        <v>26</v>
      </c>
      <c r="C3154" s="7" t="s">
        <v>27</v>
      </c>
      <c r="D3154" s="7" t="s">
        <v>28</v>
      </c>
      <c r="E3154" s="7" t="s">
        <v>29</v>
      </c>
      <c r="F3154" s="7" t="s">
        <v>333</v>
      </c>
      <c r="G3154" s="7">
        <v>96.566569999999999</v>
      </c>
      <c r="H3154" s="7"/>
    </row>
    <row r="3155" spans="1:8" x14ac:dyDescent="0.35">
      <c r="A3155" s="7" t="s">
        <v>356</v>
      </c>
      <c r="B3155" s="7" t="s">
        <v>26</v>
      </c>
      <c r="C3155" s="7" t="s">
        <v>27</v>
      </c>
      <c r="D3155" s="7" t="s">
        <v>28</v>
      </c>
      <c r="E3155" s="7" t="s">
        <v>29</v>
      </c>
      <c r="F3155" s="7" t="s">
        <v>334</v>
      </c>
      <c r="G3155" s="7">
        <v>97.167240000000007</v>
      </c>
      <c r="H3155" s="7"/>
    </row>
    <row r="3156" spans="1:8" x14ac:dyDescent="0.35">
      <c r="A3156" s="7" t="s">
        <v>356</v>
      </c>
      <c r="B3156" s="7" t="s">
        <v>26</v>
      </c>
      <c r="C3156" s="7" t="s">
        <v>27</v>
      </c>
      <c r="D3156" s="7" t="s">
        <v>28</v>
      </c>
      <c r="E3156" s="7" t="s">
        <v>29</v>
      </c>
      <c r="F3156" s="7" t="s">
        <v>335</v>
      </c>
      <c r="G3156" s="7">
        <v>97.830600000000004</v>
      </c>
      <c r="H3156" s="7"/>
    </row>
    <row r="3157" spans="1:8" x14ac:dyDescent="0.35">
      <c r="A3157" s="7" t="s">
        <v>356</v>
      </c>
      <c r="B3157" s="7" t="s">
        <v>26</v>
      </c>
      <c r="C3157" s="7" t="s">
        <v>27</v>
      </c>
      <c r="D3157" s="7" t="s">
        <v>28</v>
      </c>
      <c r="E3157" s="7" t="s">
        <v>29</v>
      </c>
      <c r="F3157" s="7" t="s">
        <v>336</v>
      </c>
      <c r="G3157" s="7">
        <v>98.351330000000004</v>
      </c>
      <c r="H3157" s="7"/>
    </row>
    <row r="3158" spans="1:8" x14ac:dyDescent="0.35">
      <c r="A3158" s="7" t="s">
        <v>356</v>
      </c>
      <c r="B3158" s="7" t="s">
        <v>26</v>
      </c>
      <c r="C3158" s="7" t="s">
        <v>27</v>
      </c>
      <c r="D3158" s="7" t="s">
        <v>28</v>
      </c>
      <c r="E3158" s="7" t="s">
        <v>29</v>
      </c>
      <c r="F3158" s="7" t="s">
        <v>337</v>
      </c>
      <c r="G3158" s="7">
        <v>98.653989999999993</v>
      </c>
      <c r="H3158" s="7"/>
    </row>
    <row r="3159" spans="1:8" x14ac:dyDescent="0.35">
      <c r="A3159" s="7" t="s">
        <v>356</v>
      </c>
      <c r="B3159" s="7" t="s">
        <v>26</v>
      </c>
      <c r="C3159" s="7" t="s">
        <v>27</v>
      </c>
      <c r="D3159" s="7" t="s">
        <v>28</v>
      </c>
      <c r="E3159" s="7" t="s">
        <v>29</v>
      </c>
      <c r="F3159" s="7" t="s">
        <v>338</v>
      </c>
      <c r="G3159" s="7">
        <v>98.830359999999999</v>
      </c>
      <c r="H3159" s="7"/>
    </row>
    <row r="3160" spans="1:8" x14ac:dyDescent="0.35">
      <c r="A3160" s="7" t="s">
        <v>356</v>
      </c>
      <c r="B3160" s="7" t="s">
        <v>26</v>
      </c>
      <c r="C3160" s="7" t="s">
        <v>27</v>
      </c>
      <c r="D3160" s="7" t="s">
        <v>28</v>
      </c>
      <c r="E3160" s="7" t="s">
        <v>29</v>
      </c>
      <c r="F3160" s="7" t="s">
        <v>339</v>
      </c>
      <c r="G3160" s="7">
        <v>98.908339999999995</v>
      </c>
      <c r="H3160" s="7"/>
    </row>
    <row r="3161" spans="1:8" x14ac:dyDescent="0.35">
      <c r="A3161" s="7" t="s">
        <v>356</v>
      </c>
      <c r="B3161" s="7" t="s">
        <v>26</v>
      </c>
      <c r="C3161" s="7" t="s">
        <v>27</v>
      </c>
      <c r="D3161" s="7" t="s">
        <v>28</v>
      </c>
      <c r="E3161" s="7" t="s">
        <v>29</v>
      </c>
      <c r="F3161" s="7" t="s">
        <v>340</v>
      </c>
      <c r="G3161" s="7">
        <v>98.948040000000006</v>
      </c>
      <c r="H3161" s="7"/>
    </row>
    <row r="3162" spans="1:8" x14ac:dyDescent="0.35">
      <c r="A3162" s="7" t="s">
        <v>356</v>
      </c>
      <c r="B3162" s="7" t="s">
        <v>26</v>
      </c>
      <c r="C3162" s="7" t="s">
        <v>27</v>
      </c>
      <c r="D3162" s="7" t="s">
        <v>28</v>
      </c>
      <c r="E3162" s="7" t="s">
        <v>29</v>
      </c>
      <c r="F3162" s="7" t="s">
        <v>341</v>
      </c>
      <c r="G3162" s="7">
        <v>98.933719999999994</v>
      </c>
      <c r="H3162" s="7"/>
    </row>
    <row r="3163" spans="1:8" x14ac:dyDescent="0.35">
      <c r="A3163" s="7" t="s">
        <v>356</v>
      </c>
      <c r="B3163" s="7" t="s">
        <v>26</v>
      </c>
      <c r="C3163" s="7" t="s">
        <v>27</v>
      </c>
      <c r="D3163" s="7" t="s">
        <v>28</v>
      </c>
      <c r="E3163" s="7" t="s">
        <v>29</v>
      </c>
      <c r="F3163" s="7" t="s">
        <v>342</v>
      </c>
      <c r="G3163" s="7">
        <v>98.875110000000006</v>
      </c>
      <c r="H3163" s="7"/>
    </row>
    <row r="3164" spans="1:8" x14ac:dyDescent="0.35">
      <c r="A3164" s="7" t="s">
        <v>356</v>
      </c>
      <c r="B3164" s="7" t="s">
        <v>26</v>
      </c>
      <c r="C3164" s="7" t="s">
        <v>27</v>
      </c>
      <c r="D3164" s="7" t="s">
        <v>28</v>
      </c>
      <c r="E3164" s="7" t="s">
        <v>29</v>
      </c>
      <c r="F3164" s="7" t="s">
        <v>343</v>
      </c>
      <c r="G3164" s="7">
        <v>98.63</v>
      </c>
      <c r="H3164" s="7"/>
    </row>
    <row r="3165" spans="1:8" x14ac:dyDescent="0.35">
      <c r="A3165" s="7" t="s">
        <v>356</v>
      </c>
      <c r="B3165" s="7" t="s">
        <v>26</v>
      </c>
      <c r="C3165" s="7" t="s">
        <v>27</v>
      </c>
      <c r="D3165" s="7" t="s">
        <v>28</v>
      </c>
      <c r="E3165" s="7" t="s">
        <v>29</v>
      </c>
      <c r="F3165" s="7" t="s">
        <v>344</v>
      </c>
      <c r="G3165" s="7">
        <v>98.162030000000001</v>
      </c>
      <c r="H3165" s="7"/>
    </row>
    <row r="3166" spans="1:8" x14ac:dyDescent="0.35">
      <c r="A3166" s="7" t="s">
        <v>356</v>
      </c>
      <c r="B3166" s="7" t="s">
        <v>26</v>
      </c>
      <c r="C3166" s="7" t="s">
        <v>27</v>
      </c>
      <c r="D3166" s="7" t="s">
        <v>28</v>
      </c>
      <c r="E3166" s="7" t="s">
        <v>29</v>
      </c>
      <c r="F3166" s="7" t="s">
        <v>345</v>
      </c>
      <c r="G3166" s="7">
        <v>97.650570000000002</v>
      </c>
      <c r="H3166" s="7"/>
    </row>
    <row r="3167" spans="1:8" x14ac:dyDescent="0.35">
      <c r="A3167" s="7" t="s">
        <v>357</v>
      </c>
      <c r="B3167" s="7" t="s">
        <v>26</v>
      </c>
      <c r="C3167" s="7" t="s">
        <v>27</v>
      </c>
      <c r="D3167" s="7" t="s">
        <v>28</v>
      </c>
      <c r="E3167" s="7" t="s">
        <v>29</v>
      </c>
      <c r="F3167" s="7" t="s">
        <v>30</v>
      </c>
      <c r="G3167" s="7">
        <v>99.508309999999994</v>
      </c>
      <c r="H3167" s="7"/>
    </row>
    <row r="3168" spans="1:8" x14ac:dyDescent="0.35">
      <c r="A3168" s="7" t="s">
        <v>357</v>
      </c>
      <c r="B3168" s="7" t="s">
        <v>26</v>
      </c>
      <c r="C3168" s="7" t="s">
        <v>27</v>
      </c>
      <c r="D3168" s="7" t="s">
        <v>28</v>
      </c>
      <c r="E3168" s="7" t="s">
        <v>29</v>
      </c>
      <c r="F3168" s="7" t="s">
        <v>31</v>
      </c>
      <c r="G3168" s="7">
        <v>99.295919999999995</v>
      </c>
      <c r="H3168" s="7"/>
    </row>
    <row r="3169" spans="1:8" x14ac:dyDescent="0.35">
      <c r="A3169" s="7" t="s">
        <v>357</v>
      </c>
      <c r="B3169" s="7" t="s">
        <v>26</v>
      </c>
      <c r="C3169" s="7" t="s">
        <v>27</v>
      </c>
      <c r="D3169" s="7" t="s">
        <v>28</v>
      </c>
      <c r="E3169" s="7" t="s">
        <v>29</v>
      </c>
      <c r="F3169" s="7" t="s">
        <v>32</v>
      </c>
      <c r="G3169" s="7">
        <v>99.257289999999998</v>
      </c>
      <c r="H3169" s="7"/>
    </row>
    <row r="3170" spans="1:8" x14ac:dyDescent="0.35">
      <c r="A3170" s="7" t="s">
        <v>357</v>
      </c>
      <c r="B3170" s="7" t="s">
        <v>26</v>
      </c>
      <c r="C3170" s="7" t="s">
        <v>27</v>
      </c>
      <c r="D3170" s="7" t="s">
        <v>28</v>
      </c>
      <c r="E3170" s="7" t="s">
        <v>29</v>
      </c>
      <c r="F3170" s="7" t="s">
        <v>33</v>
      </c>
      <c r="G3170" s="7">
        <v>99.500799999999998</v>
      </c>
      <c r="H3170" s="7"/>
    </row>
    <row r="3171" spans="1:8" x14ac:dyDescent="0.35">
      <c r="A3171" s="7" t="s">
        <v>357</v>
      </c>
      <c r="B3171" s="7" t="s">
        <v>26</v>
      </c>
      <c r="C3171" s="7" t="s">
        <v>27</v>
      </c>
      <c r="D3171" s="7" t="s">
        <v>28</v>
      </c>
      <c r="E3171" s="7" t="s">
        <v>29</v>
      </c>
      <c r="F3171" s="7" t="s">
        <v>34</v>
      </c>
      <c r="G3171" s="7">
        <v>99.925839999999994</v>
      </c>
      <c r="H3171" s="7"/>
    </row>
    <row r="3172" spans="1:8" x14ac:dyDescent="0.35">
      <c r="A3172" s="7" t="s">
        <v>357</v>
      </c>
      <c r="B3172" s="7" t="s">
        <v>26</v>
      </c>
      <c r="C3172" s="7" t="s">
        <v>27</v>
      </c>
      <c r="D3172" s="7" t="s">
        <v>28</v>
      </c>
      <c r="E3172" s="7" t="s">
        <v>29</v>
      </c>
      <c r="F3172" s="7" t="s">
        <v>35</v>
      </c>
      <c r="G3172" s="7">
        <v>100.22580000000001</v>
      </c>
      <c r="H3172" s="7"/>
    </row>
    <row r="3173" spans="1:8" x14ac:dyDescent="0.35">
      <c r="A3173" s="7" t="s">
        <v>357</v>
      </c>
      <c r="B3173" s="7" t="s">
        <v>26</v>
      </c>
      <c r="C3173" s="7" t="s">
        <v>27</v>
      </c>
      <c r="D3173" s="7" t="s">
        <v>28</v>
      </c>
      <c r="E3173" s="7" t="s">
        <v>29</v>
      </c>
      <c r="F3173" s="7" t="s">
        <v>36</v>
      </c>
      <c r="G3173" s="7">
        <v>100.1722</v>
      </c>
      <c r="H3173" s="7"/>
    </row>
    <row r="3174" spans="1:8" x14ac:dyDescent="0.35">
      <c r="A3174" s="7" t="s">
        <v>357</v>
      </c>
      <c r="B3174" s="7" t="s">
        <v>26</v>
      </c>
      <c r="C3174" s="7" t="s">
        <v>27</v>
      </c>
      <c r="D3174" s="7" t="s">
        <v>28</v>
      </c>
      <c r="E3174" s="7" t="s">
        <v>29</v>
      </c>
      <c r="F3174" s="7" t="s">
        <v>37</v>
      </c>
      <c r="G3174" s="7">
        <v>99.683999999999997</v>
      </c>
      <c r="H3174" s="7"/>
    </row>
    <row r="3175" spans="1:8" x14ac:dyDescent="0.35">
      <c r="A3175" s="7" t="s">
        <v>357</v>
      </c>
      <c r="B3175" s="7" t="s">
        <v>26</v>
      </c>
      <c r="C3175" s="7" t="s">
        <v>27</v>
      </c>
      <c r="D3175" s="7" t="s">
        <v>28</v>
      </c>
      <c r="E3175" s="7" t="s">
        <v>29</v>
      </c>
      <c r="F3175" s="7" t="s">
        <v>38</v>
      </c>
      <c r="G3175" s="7">
        <v>98.974440000000001</v>
      </c>
      <c r="H3175" s="7"/>
    </row>
    <row r="3176" spans="1:8" x14ac:dyDescent="0.35">
      <c r="A3176" s="7" t="s">
        <v>357</v>
      </c>
      <c r="B3176" s="7" t="s">
        <v>26</v>
      </c>
      <c r="C3176" s="7" t="s">
        <v>27</v>
      </c>
      <c r="D3176" s="7" t="s">
        <v>28</v>
      </c>
      <c r="E3176" s="7" t="s">
        <v>29</v>
      </c>
      <c r="F3176" s="7" t="s">
        <v>39</v>
      </c>
      <c r="G3176" s="7">
        <v>98.237340000000003</v>
      </c>
      <c r="H3176" s="7"/>
    </row>
    <row r="3177" spans="1:8" x14ac:dyDescent="0.35">
      <c r="A3177" s="7" t="s">
        <v>357</v>
      </c>
      <c r="B3177" s="7" t="s">
        <v>26</v>
      </c>
      <c r="C3177" s="7" t="s">
        <v>27</v>
      </c>
      <c r="D3177" s="7" t="s">
        <v>28</v>
      </c>
      <c r="E3177" s="7" t="s">
        <v>29</v>
      </c>
      <c r="F3177" s="7" t="s">
        <v>40</v>
      </c>
      <c r="G3177" s="7">
        <v>97.586280000000002</v>
      </c>
      <c r="H3177" s="7"/>
    </row>
    <row r="3178" spans="1:8" x14ac:dyDescent="0.35">
      <c r="A3178" s="7" t="s">
        <v>357</v>
      </c>
      <c r="B3178" s="7" t="s">
        <v>26</v>
      </c>
      <c r="C3178" s="7" t="s">
        <v>27</v>
      </c>
      <c r="D3178" s="7" t="s">
        <v>28</v>
      </c>
      <c r="E3178" s="7" t="s">
        <v>29</v>
      </c>
      <c r="F3178" s="7" t="s">
        <v>41</v>
      </c>
      <c r="G3178" s="7">
        <v>97.159809999999993</v>
      </c>
      <c r="H3178" s="7"/>
    </row>
    <row r="3179" spans="1:8" x14ac:dyDescent="0.35">
      <c r="A3179" s="7" t="s">
        <v>357</v>
      </c>
      <c r="B3179" s="7" t="s">
        <v>26</v>
      </c>
      <c r="C3179" s="7" t="s">
        <v>27</v>
      </c>
      <c r="D3179" s="7" t="s">
        <v>28</v>
      </c>
      <c r="E3179" s="7" t="s">
        <v>29</v>
      </c>
      <c r="F3179" s="7" t="s">
        <v>42</v>
      </c>
      <c r="G3179" s="7">
        <v>97.140690000000006</v>
      </c>
      <c r="H3179" s="7"/>
    </row>
    <row r="3180" spans="1:8" x14ac:dyDescent="0.35">
      <c r="A3180" s="7" t="s">
        <v>357</v>
      </c>
      <c r="B3180" s="7" t="s">
        <v>26</v>
      </c>
      <c r="C3180" s="7" t="s">
        <v>27</v>
      </c>
      <c r="D3180" s="7" t="s">
        <v>28</v>
      </c>
      <c r="E3180" s="7" t="s">
        <v>29</v>
      </c>
      <c r="F3180" s="7" t="s">
        <v>43</v>
      </c>
      <c r="G3180" s="7">
        <v>97.427130000000005</v>
      </c>
      <c r="H3180" s="7"/>
    </row>
    <row r="3181" spans="1:8" x14ac:dyDescent="0.35">
      <c r="A3181" s="7" t="s">
        <v>357</v>
      </c>
      <c r="B3181" s="7" t="s">
        <v>26</v>
      </c>
      <c r="C3181" s="7" t="s">
        <v>27</v>
      </c>
      <c r="D3181" s="7" t="s">
        <v>28</v>
      </c>
      <c r="E3181" s="7" t="s">
        <v>29</v>
      </c>
      <c r="F3181" s="7" t="s">
        <v>44</v>
      </c>
      <c r="G3181" s="7">
        <v>97.79074</v>
      </c>
      <c r="H3181" s="7"/>
    </row>
    <row r="3182" spans="1:8" x14ac:dyDescent="0.35">
      <c r="A3182" s="7" t="s">
        <v>357</v>
      </c>
      <c r="B3182" s="7" t="s">
        <v>26</v>
      </c>
      <c r="C3182" s="7" t="s">
        <v>27</v>
      </c>
      <c r="D3182" s="7" t="s">
        <v>28</v>
      </c>
      <c r="E3182" s="7" t="s">
        <v>29</v>
      </c>
      <c r="F3182" s="7" t="s">
        <v>45</v>
      </c>
      <c r="G3182" s="7">
        <v>97.929000000000002</v>
      </c>
      <c r="H3182" s="7"/>
    </row>
    <row r="3183" spans="1:8" x14ac:dyDescent="0.35">
      <c r="A3183" s="7" t="s">
        <v>357</v>
      </c>
      <c r="B3183" s="7" t="s">
        <v>26</v>
      </c>
      <c r="C3183" s="7" t="s">
        <v>27</v>
      </c>
      <c r="D3183" s="7" t="s">
        <v>28</v>
      </c>
      <c r="E3183" s="7" t="s">
        <v>29</v>
      </c>
      <c r="F3183" s="7" t="s">
        <v>46</v>
      </c>
      <c r="G3183" s="7">
        <v>98.118899999999996</v>
      </c>
      <c r="H3183" s="7"/>
    </row>
    <row r="3184" spans="1:8" x14ac:dyDescent="0.35">
      <c r="A3184" s="7" t="s">
        <v>357</v>
      </c>
      <c r="B3184" s="7" t="s">
        <v>26</v>
      </c>
      <c r="C3184" s="7" t="s">
        <v>27</v>
      </c>
      <c r="D3184" s="7" t="s">
        <v>28</v>
      </c>
      <c r="E3184" s="7" t="s">
        <v>29</v>
      </c>
      <c r="F3184" s="7" t="s">
        <v>47</v>
      </c>
      <c r="G3184" s="7">
        <v>98.462130000000002</v>
      </c>
      <c r="H3184" s="7"/>
    </row>
    <row r="3185" spans="1:8" x14ac:dyDescent="0.35">
      <c r="A3185" s="7" t="s">
        <v>357</v>
      </c>
      <c r="B3185" s="7" t="s">
        <v>26</v>
      </c>
      <c r="C3185" s="7" t="s">
        <v>27</v>
      </c>
      <c r="D3185" s="7" t="s">
        <v>28</v>
      </c>
      <c r="E3185" s="7" t="s">
        <v>29</v>
      </c>
      <c r="F3185" s="7" t="s">
        <v>48</v>
      </c>
      <c r="G3185" s="7">
        <v>98.880210000000005</v>
      </c>
      <c r="H3185" s="7"/>
    </row>
    <row r="3186" spans="1:8" x14ac:dyDescent="0.35">
      <c r="A3186" s="7" t="s">
        <v>357</v>
      </c>
      <c r="B3186" s="7" t="s">
        <v>26</v>
      </c>
      <c r="C3186" s="7" t="s">
        <v>27</v>
      </c>
      <c r="D3186" s="7" t="s">
        <v>28</v>
      </c>
      <c r="E3186" s="7" t="s">
        <v>29</v>
      </c>
      <c r="F3186" s="7" t="s">
        <v>49</v>
      </c>
      <c r="G3186" s="7">
        <v>99.002369999999999</v>
      </c>
      <c r="H3186" s="7"/>
    </row>
    <row r="3187" spans="1:8" x14ac:dyDescent="0.35">
      <c r="A3187" s="7" t="s">
        <v>357</v>
      </c>
      <c r="B3187" s="7" t="s">
        <v>26</v>
      </c>
      <c r="C3187" s="7" t="s">
        <v>27</v>
      </c>
      <c r="D3187" s="7" t="s">
        <v>28</v>
      </c>
      <c r="E3187" s="7" t="s">
        <v>29</v>
      </c>
      <c r="F3187" s="7" t="s">
        <v>50</v>
      </c>
      <c r="G3187" s="7">
        <v>99.119050000000001</v>
      </c>
      <c r="H3187" s="7"/>
    </row>
    <row r="3188" spans="1:8" x14ac:dyDescent="0.35">
      <c r="A3188" s="7" t="s">
        <v>357</v>
      </c>
      <c r="B3188" s="7" t="s">
        <v>26</v>
      </c>
      <c r="C3188" s="7" t="s">
        <v>27</v>
      </c>
      <c r="D3188" s="7" t="s">
        <v>28</v>
      </c>
      <c r="E3188" s="7" t="s">
        <v>29</v>
      </c>
      <c r="F3188" s="7" t="s">
        <v>51</v>
      </c>
      <c r="G3188" s="7">
        <v>99.243020000000001</v>
      </c>
      <c r="H3188" s="7"/>
    </row>
    <row r="3189" spans="1:8" x14ac:dyDescent="0.35">
      <c r="A3189" s="7" t="s">
        <v>357</v>
      </c>
      <c r="B3189" s="7" t="s">
        <v>26</v>
      </c>
      <c r="C3189" s="7" t="s">
        <v>27</v>
      </c>
      <c r="D3189" s="7" t="s">
        <v>28</v>
      </c>
      <c r="E3189" s="7" t="s">
        <v>29</v>
      </c>
      <c r="F3189" s="7" t="s">
        <v>52</v>
      </c>
      <c r="G3189" s="7">
        <v>99.162149999999997</v>
      </c>
      <c r="H3189" s="7"/>
    </row>
    <row r="3190" spans="1:8" x14ac:dyDescent="0.35">
      <c r="A3190" s="7" t="s">
        <v>357</v>
      </c>
      <c r="B3190" s="7" t="s">
        <v>26</v>
      </c>
      <c r="C3190" s="7" t="s">
        <v>27</v>
      </c>
      <c r="D3190" s="7" t="s">
        <v>28</v>
      </c>
      <c r="E3190" s="7" t="s">
        <v>29</v>
      </c>
      <c r="F3190" s="7" t="s">
        <v>53</v>
      </c>
      <c r="G3190" s="7">
        <v>98.916489999999996</v>
      </c>
      <c r="H3190" s="7"/>
    </row>
    <row r="3191" spans="1:8" x14ac:dyDescent="0.35">
      <c r="A3191" s="7" t="s">
        <v>357</v>
      </c>
      <c r="B3191" s="7" t="s">
        <v>26</v>
      </c>
      <c r="C3191" s="7" t="s">
        <v>27</v>
      </c>
      <c r="D3191" s="7" t="s">
        <v>28</v>
      </c>
      <c r="E3191" s="7" t="s">
        <v>29</v>
      </c>
      <c r="F3191" s="7" t="s">
        <v>54</v>
      </c>
      <c r="G3191" s="7">
        <v>98.771289999999993</v>
      </c>
      <c r="H3191" s="7"/>
    </row>
    <row r="3192" spans="1:8" x14ac:dyDescent="0.35">
      <c r="A3192" s="7" t="s">
        <v>357</v>
      </c>
      <c r="B3192" s="7" t="s">
        <v>26</v>
      </c>
      <c r="C3192" s="7" t="s">
        <v>27</v>
      </c>
      <c r="D3192" s="7" t="s">
        <v>28</v>
      </c>
      <c r="E3192" s="7" t="s">
        <v>29</v>
      </c>
      <c r="F3192" s="7" t="s">
        <v>55</v>
      </c>
      <c r="G3192" s="7">
        <v>98.784509999999997</v>
      </c>
      <c r="H3192" s="7"/>
    </row>
    <row r="3193" spans="1:8" x14ac:dyDescent="0.35">
      <c r="A3193" s="7" t="s">
        <v>357</v>
      </c>
      <c r="B3193" s="7" t="s">
        <v>26</v>
      </c>
      <c r="C3193" s="7" t="s">
        <v>27</v>
      </c>
      <c r="D3193" s="7" t="s">
        <v>28</v>
      </c>
      <c r="E3193" s="7" t="s">
        <v>29</v>
      </c>
      <c r="F3193" s="7" t="s">
        <v>56</v>
      </c>
      <c r="G3193" s="7">
        <v>98.875060000000005</v>
      </c>
      <c r="H3193" s="7"/>
    </row>
    <row r="3194" spans="1:8" x14ac:dyDescent="0.35">
      <c r="A3194" s="7" t="s">
        <v>357</v>
      </c>
      <c r="B3194" s="7" t="s">
        <v>26</v>
      </c>
      <c r="C3194" s="7" t="s">
        <v>27</v>
      </c>
      <c r="D3194" s="7" t="s">
        <v>28</v>
      </c>
      <c r="E3194" s="7" t="s">
        <v>29</v>
      </c>
      <c r="F3194" s="7" t="s">
        <v>57</v>
      </c>
      <c r="G3194" s="7">
        <v>98.701620000000005</v>
      </c>
      <c r="H3194" s="7"/>
    </row>
    <row r="3195" spans="1:8" x14ac:dyDescent="0.35">
      <c r="A3195" s="7" t="s">
        <v>357</v>
      </c>
      <c r="B3195" s="7" t="s">
        <v>26</v>
      </c>
      <c r="C3195" s="7" t="s">
        <v>27</v>
      </c>
      <c r="D3195" s="7" t="s">
        <v>28</v>
      </c>
      <c r="E3195" s="7" t="s">
        <v>29</v>
      </c>
      <c r="F3195" s="7" t="s">
        <v>58</v>
      </c>
      <c r="G3195" s="7">
        <v>98.342669999999998</v>
      </c>
      <c r="H3195" s="7"/>
    </row>
    <row r="3196" spans="1:8" x14ac:dyDescent="0.35">
      <c r="A3196" s="7" t="s">
        <v>357</v>
      </c>
      <c r="B3196" s="7" t="s">
        <v>26</v>
      </c>
      <c r="C3196" s="7" t="s">
        <v>27</v>
      </c>
      <c r="D3196" s="7" t="s">
        <v>28</v>
      </c>
      <c r="E3196" s="7" t="s">
        <v>29</v>
      </c>
      <c r="F3196" s="7" t="s">
        <v>59</v>
      </c>
      <c r="G3196" s="7">
        <v>98.14631</v>
      </c>
      <c r="H3196" s="7"/>
    </row>
    <row r="3197" spans="1:8" x14ac:dyDescent="0.35">
      <c r="A3197" s="7" t="s">
        <v>357</v>
      </c>
      <c r="B3197" s="7" t="s">
        <v>26</v>
      </c>
      <c r="C3197" s="7" t="s">
        <v>27</v>
      </c>
      <c r="D3197" s="7" t="s">
        <v>28</v>
      </c>
      <c r="E3197" s="7" t="s">
        <v>29</v>
      </c>
      <c r="F3197" s="7" t="s">
        <v>60</v>
      </c>
      <c r="G3197" s="7">
        <v>98.272390000000001</v>
      </c>
      <c r="H3197" s="7"/>
    </row>
    <row r="3198" spans="1:8" x14ac:dyDescent="0.35">
      <c r="A3198" s="7" t="s">
        <v>357</v>
      </c>
      <c r="B3198" s="7" t="s">
        <v>26</v>
      </c>
      <c r="C3198" s="7" t="s">
        <v>27</v>
      </c>
      <c r="D3198" s="7" t="s">
        <v>28</v>
      </c>
      <c r="E3198" s="7" t="s">
        <v>29</v>
      </c>
      <c r="F3198" s="7" t="s">
        <v>61</v>
      </c>
      <c r="G3198" s="7">
        <v>98.626940000000005</v>
      </c>
      <c r="H3198" s="7"/>
    </row>
    <row r="3199" spans="1:8" x14ac:dyDescent="0.35">
      <c r="A3199" s="7" t="s">
        <v>357</v>
      </c>
      <c r="B3199" s="7" t="s">
        <v>26</v>
      </c>
      <c r="C3199" s="7" t="s">
        <v>27</v>
      </c>
      <c r="D3199" s="7" t="s">
        <v>28</v>
      </c>
      <c r="E3199" s="7" t="s">
        <v>29</v>
      </c>
      <c r="F3199" s="7" t="s">
        <v>62</v>
      </c>
      <c r="G3199" s="7">
        <v>98.997990000000001</v>
      </c>
      <c r="H3199" s="7"/>
    </row>
    <row r="3200" spans="1:8" x14ac:dyDescent="0.35">
      <c r="A3200" s="7" t="s">
        <v>357</v>
      </c>
      <c r="B3200" s="7" t="s">
        <v>26</v>
      </c>
      <c r="C3200" s="7" t="s">
        <v>27</v>
      </c>
      <c r="D3200" s="7" t="s">
        <v>28</v>
      </c>
      <c r="E3200" s="7" t="s">
        <v>29</v>
      </c>
      <c r="F3200" s="7" t="s">
        <v>63</v>
      </c>
      <c r="G3200" s="7">
        <v>99.317570000000003</v>
      </c>
      <c r="H3200" s="7"/>
    </row>
    <row r="3201" spans="1:8" x14ac:dyDescent="0.35">
      <c r="A3201" s="7" t="s">
        <v>357</v>
      </c>
      <c r="B3201" s="7" t="s">
        <v>26</v>
      </c>
      <c r="C3201" s="7" t="s">
        <v>27</v>
      </c>
      <c r="D3201" s="7" t="s">
        <v>28</v>
      </c>
      <c r="E3201" s="7" t="s">
        <v>29</v>
      </c>
      <c r="F3201" s="7" t="s">
        <v>64</v>
      </c>
      <c r="G3201" s="7">
        <v>99.475499999999997</v>
      </c>
      <c r="H3201" s="7"/>
    </row>
    <row r="3202" spans="1:8" x14ac:dyDescent="0.35">
      <c r="A3202" s="7" t="s">
        <v>357</v>
      </c>
      <c r="B3202" s="7" t="s">
        <v>26</v>
      </c>
      <c r="C3202" s="7" t="s">
        <v>27</v>
      </c>
      <c r="D3202" s="7" t="s">
        <v>28</v>
      </c>
      <c r="E3202" s="7" t="s">
        <v>29</v>
      </c>
      <c r="F3202" s="7" t="s">
        <v>65</v>
      </c>
      <c r="G3202" s="7">
        <v>99.554649999999995</v>
      </c>
      <c r="H3202" s="7"/>
    </row>
    <row r="3203" spans="1:8" x14ac:dyDescent="0.35">
      <c r="A3203" s="7" t="s">
        <v>357</v>
      </c>
      <c r="B3203" s="7" t="s">
        <v>26</v>
      </c>
      <c r="C3203" s="7" t="s">
        <v>27</v>
      </c>
      <c r="D3203" s="7" t="s">
        <v>28</v>
      </c>
      <c r="E3203" s="7" t="s">
        <v>29</v>
      </c>
      <c r="F3203" s="7" t="s">
        <v>66</v>
      </c>
      <c r="G3203" s="7">
        <v>99.488060000000004</v>
      </c>
      <c r="H3203" s="7"/>
    </row>
    <row r="3204" spans="1:8" x14ac:dyDescent="0.35">
      <c r="A3204" s="7" t="s">
        <v>357</v>
      </c>
      <c r="B3204" s="7" t="s">
        <v>26</v>
      </c>
      <c r="C3204" s="7" t="s">
        <v>27</v>
      </c>
      <c r="D3204" s="7" t="s">
        <v>28</v>
      </c>
      <c r="E3204" s="7" t="s">
        <v>29</v>
      </c>
      <c r="F3204" s="7" t="s">
        <v>67</v>
      </c>
      <c r="G3204" s="7">
        <v>99.318879999999993</v>
      </c>
      <c r="H3204" s="7"/>
    </row>
    <row r="3205" spans="1:8" x14ac:dyDescent="0.35">
      <c r="A3205" s="7" t="s">
        <v>357</v>
      </c>
      <c r="B3205" s="7" t="s">
        <v>26</v>
      </c>
      <c r="C3205" s="7" t="s">
        <v>27</v>
      </c>
      <c r="D3205" s="7" t="s">
        <v>28</v>
      </c>
      <c r="E3205" s="7" t="s">
        <v>29</v>
      </c>
      <c r="F3205" s="7" t="s">
        <v>68</v>
      </c>
      <c r="G3205" s="7">
        <v>99.359369999999998</v>
      </c>
      <c r="H3205" s="7"/>
    </row>
    <row r="3206" spans="1:8" x14ac:dyDescent="0.35">
      <c r="A3206" s="7" t="s">
        <v>357</v>
      </c>
      <c r="B3206" s="7" t="s">
        <v>26</v>
      </c>
      <c r="C3206" s="7" t="s">
        <v>27</v>
      </c>
      <c r="D3206" s="7" t="s">
        <v>28</v>
      </c>
      <c r="E3206" s="7" t="s">
        <v>29</v>
      </c>
      <c r="F3206" s="7" t="s">
        <v>69</v>
      </c>
      <c r="G3206" s="7">
        <v>99.358379999999997</v>
      </c>
      <c r="H3206" s="7"/>
    </row>
    <row r="3207" spans="1:8" x14ac:dyDescent="0.35">
      <c r="A3207" s="7" t="s">
        <v>357</v>
      </c>
      <c r="B3207" s="7" t="s">
        <v>26</v>
      </c>
      <c r="C3207" s="7" t="s">
        <v>27</v>
      </c>
      <c r="D3207" s="7" t="s">
        <v>28</v>
      </c>
      <c r="E3207" s="7" t="s">
        <v>29</v>
      </c>
      <c r="F3207" s="7" t="s">
        <v>70</v>
      </c>
      <c r="G3207" s="7">
        <v>99.323920000000001</v>
      </c>
      <c r="H3207" s="7"/>
    </row>
    <row r="3208" spans="1:8" x14ac:dyDescent="0.35">
      <c r="A3208" s="7" t="s">
        <v>357</v>
      </c>
      <c r="B3208" s="7" t="s">
        <v>26</v>
      </c>
      <c r="C3208" s="7" t="s">
        <v>27</v>
      </c>
      <c r="D3208" s="7" t="s">
        <v>28</v>
      </c>
      <c r="E3208" s="7" t="s">
        <v>29</v>
      </c>
      <c r="F3208" s="7" t="s">
        <v>71</v>
      </c>
      <c r="G3208" s="7">
        <v>99.277500000000003</v>
      </c>
      <c r="H3208" s="7"/>
    </row>
    <row r="3209" spans="1:8" x14ac:dyDescent="0.35">
      <c r="A3209" s="7" t="s">
        <v>357</v>
      </c>
      <c r="B3209" s="7" t="s">
        <v>26</v>
      </c>
      <c r="C3209" s="7" t="s">
        <v>27</v>
      </c>
      <c r="D3209" s="7" t="s">
        <v>28</v>
      </c>
      <c r="E3209" s="7" t="s">
        <v>29</v>
      </c>
      <c r="F3209" s="7" t="s">
        <v>72</v>
      </c>
      <c r="G3209" s="7">
        <v>99.396510000000006</v>
      </c>
      <c r="H3209" s="7"/>
    </row>
    <row r="3210" spans="1:8" x14ac:dyDescent="0.35">
      <c r="A3210" s="7" t="s">
        <v>357</v>
      </c>
      <c r="B3210" s="7" t="s">
        <v>26</v>
      </c>
      <c r="C3210" s="7" t="s">
        <v>27</v>
      </c>
      <c r="D3210" s="7" t="s">
        <v>28</v>
      </c>
      <c r="E3210" s="7" t="s">
        <v>29</v>
      </c>
      <c r="F3210" s="7" t="s">
        <v>73</v>
      </c>
      <c r="G3210" s="7">
        <v>99.783249999999995</v>
      </c>
      <c r="H3210" s="7"/>
    </row>
    <row r="3211" spans="1:8" x14ac:dyDescent="0.35">
      <c r="A3211" s="7" t="s">
        <v>357</v>
      </c>
      <c r="B3211" s="7" t="s">
        <v>26</v>
      </c>
      <c r="C3211" s="7" t="s">
        <v>27</v>
      </c>
      <c r="D3211" s="7" t="s">
        <v>28</v>
      </c>
      <c r="E3211" s="7" t="s">
        <v>29</v>
      </c>
      <c r="F3211" s="7" t="s">
        <v>74</v>
      </c>
      <c r="G3211" s="7">
        <v>100.1147</v>
      </c>
      <c r="H3211" s="7"/>
    </row>
    <row r="3212" spans="1:8" x14ac:dyDescent="0.35">
      <c r="A3212" s="7" t="s">
        <v>357</v>
      </c>
      <c r="B3212" s="7" t="s">
        <v>26</v>
      </c>
      <c r="C3212" s="7" t="s">
        <v>27</v>
      </c>
      <c r="D3212" s="7" t="s">
        <v>28</v>
      </c>
      <c r="E3212" s="7" t="s">
        <v>29</v>
      </c>
      <c r="F3212" s="7" t="s">
        <v>75</v>
      </c>
      <c r="G3212" s="7">
        <v>100.2576</v>
      </c>
      <c r="H3212" s="7"/>
    </row>
    <row r="3213" spans="1:8" x14ac:dyDescent="0.35">
      <c r="A3213" s="7" t="s">
        <v>357</v>
      </c>
      <c r="B3213" s="7" t="s">
        <v>26</v>
      </c>
      <c r="C3213" s="7" t="s">
        <v>27</v>
      </c>
      <c r="D3213" s="7" t="s">
        <v>28</v>
      </c>
      <c r="E3213" s="7" t="s">
        <v>29</v>
      </c>
      <c r="F3213" s="7" t="s">
        <v>76</v>
      </c>
      <c r="G3213" s="7">
        <v>100.27589999999999</v>
      </c>
      <c r="H3213" s="7"/>
    </row>
    <row r="3214" spans="1:8" x14ac:dyDescent="0.35">
      <c r="A3214" s="7" t="s">
        <v>357</v>
      </c>
      <c r="B3214" s="7" t="s">
        <v>26</v>
      </c>
      <c r="C3214" s="7" t="s">
        <v>27</v>
      </c>
      <c r="D3214" s="7" t="s">
        <v>28</v>
      </c>
      <c r="E3214" s="7" t="s">
        <v>29</v>
      </c>
      <c r="F3214" s="7" t="s">
        <v>77</v>
      </c>
      <c r="G3214" s="7">
        <v>100.3034</v>
      </c>
      <c r="H3214" s="7"/>
    </row>
    <row r="3215" spans="1:8" x14ac:dyDescent="0.35">
      <c r="A3215" s="7" t="s">
        <v>357</v>
      </c>
      <c r="B3215" s="7" t="s">
        <v>26</v>
      </c>
      <c r="C3215" s="7" t="s">
        <v>27</v>
      </c>
      <c r="D3215" s="7" t="s">
        <v>28</v>
      </c>
      <c r="E3215" s="7" t="s">
        <v>29</v>
      </c>
      <c r="F3215" s="7" t="s">
        <v>78</v>
      </c>
      <c r="G3215" s="7">
        <v>100.3099</v>
      </c>
      <c r="H3215" s="7"/>
    </row>
    <row r="3216" spans="1:8" x14ac:dyDescent="0.35">
      <c r="A3216" s="7" t="s">
        <v>357</v>
      </c>
      <c r="B3216" s="7" t="s">
        <v>26</v>
      </c>
      <c r="C3216" s="7" t="s">
        <v>27</v>
      </c>
      <c r="D3216" s="7" t="s">
        <v>28</v>
      </c>
      <c r="E3216" s="7" t="s">
        <v>29</v>
      </c>
      <c r="F3216" s="7" t="s">
        <v>79</v>
      </c>
      <c r="G3216" s="7">
        <v>100.3506</v>
      </c>
      <c r="H3216" s="7"/>
    </row>
    <row r="3217" spans="1:8" x14ac:dyDescent="0.35">
      <c r="A3217" s="7" t="s">
        <v>357</v>
      </c>
      <c r="B3217" s="7" t="s">
        <v>26</v>
      </c>
      <c r="C3217" s="7" t="s">
        <v>27</v>
      </c>
      <c r="D3217" s="7" t="s">
        <v>28</v>
      </c>
      <c r="E3217" s="7" t="s">
        <v>29</v>
      </c>
      <c r="F3217" s="7" t="s">
        <v>80</v>
      </c>
      <c r="G3217" s="7">
        <v>100.4212</v>
      </c>
      <c r="H3217" s="7"/>
    </row>
    <row r="3218" spans="1:8" x14ac:dyDescent="0.35">
      <c r="A3218" s="7" t="s">
        <v>357</v>
      </c>
      <c r="B3218" s="7" t="s">
        <v>26</v>
      </c>
      <c r="C3218" s="7" t="s">
        <v>27</v>
      </c>
      <c r="D3218" s="7" t="s">
        <v>28</v>
      </c>
      <c r="E3218" s="7" t="s">
        <v>29</v>
      </c>
      <c r="F3218" s="7" t="s">
        <v>81</v>
      </c>
      <c r="G3218" s="7">
        <v>100.4173</v>
      </c>
      <c r="H3218" s="7"/>
    </row>
    <row r="3219" spans="1:8" x14ac:dyDescent="0.35">
      <c r="A3219" s="7" t="s">
        <v>357</v>
      </c>
      <c r="B3219" s="7" t="s">
        <v>26</v>
      </c>
      <c r="C3219" s="7" t="s">
        <v>27</v>
      </c>
      <c r="D3219" s="7" t="s">
        <v>28</v>
      </c>
      <c r="E3219" s="7" t="s">
        <v>29</v>
      </c>
      <c r="F3219" s="7" t="s">
        <v>82</v>
      </c>
      <c r="G3219" s="7">
        <v>100.38720000000001</v>
      </c>
      <c r="H3219" s="7"/>
    </row>
    <row r="3220" spans="1:8" x14ac:dyDescent="0.35">
      <c r="A3220" s="7" t="s">
        <v>357</v>
      </c>
      <c r="B3220" s="7" t="s">
        <v>26</v>
      </c>
      <c r="C3220" s="7" t="s">
        <v>27</v>
      </c>
      <c r="D3220" s="7" t="s">
        <v>28</v>
      </c>
      <c r="E3220" s="7" t="s">
        <v>29</v>
      </c>
      <c r="F3220" s="7" t="s">
        <v>83</v>
      </c>
      <c r="G3220" s="7">
        <v>100.3049</v>
      </c>
      <c r="H3220" s="7"/>
    </row>
    <row r="3221" spans="1:8" x14ac:dyDescent="0.35">
      <c r="A3221" s="7" t="s">
        <v>357</v>
      </c>
      <c r="B3221" s="7" t="s">
        <v>26</v>
      </c>
      <c r="C3221" s="7" t="s">
        <v>27</v>
      </c>
      <c r="D3221" s="7" t="s">
        <v>28</v>
      </c>
      <c r="E3221" s="7" t="s">
        <v>29</v>
      </c>
      <c r="F3221" s="7" t="s">
        <v>84</v>
      </c>
      <c r="G3221" s="7">
        <v>100.20780000000001</v>
      </c>
      <c r="H3221" s="7"/>
    </row>
    <row r="3222" spans="1:8" x14ac:dyDescent="0.35">
      <c r="A3222" s="7" t="s">
        <v>357</v>
      </c>
      <c r="B3222" s="7" t="s">
        <v>26</v>
      </c>
      <c r="C3222" s="7" t="s">
        <v>27</v>
      </c>
      <c r="D3222" s="7" t="s">
        <v>28</v>
      </c>
      <c r="E3222" s="7" t="s">
        <v>29</v>
      </c>
      <c r="F3222" s="7" t="s">
        <v>85</v>
      </c>
      <c r="G3222" s="7">
        <v>100.2484</v>
      </c>
      <c r="H3222" s="7"/>
    </row>
    <row r="3223" spans="1:8" x14ac:dyDescent="0.35">
      <c r="A3223" s="7" t="s">
        <v>357</v>
      </c>
      <c r="B3223" s="7" t="s">
        <v>26</v>
      </c>
      <c r="C3223" s="7" t="s">
        <v>27</v>
      </c>
      <c r="D3223" s="7" t="s">
        <v>28</v>
      </c>
      <c r="E3223" s="7" t="s">
        <v>29</v>
      </c>
      <c r="F3223" s="7" t="s">
        <v>86</v>
      </c>
      <c r="G3223" s="7">
        <v>100.4367</v>
      </c>
      <c r="H3223" s="7"/>
    </row>
    <row r="3224" spans="1:8" x14ac:dyDescent="0.35">
      <c r="A3224" s="7" t="s">
        <v>357</v>
      </c>
      <c r="B3224" s="7" t="s">
        <v>26</v>
      </c>
      <c r="C3224" s="7" t="s">
        <v>27</v>
      </c>
      <c r="D3224" s="7" t="s">
        <v>28</v>
      </c>
      <c r="E3224" s="7" t="s">
        <v>29</v>
      </c>
      <c r="F3224" s="7" t="s">
        <v>87</v>
      </c>
      <c r="G3224" s="7">
        <v>100.6152</v>
      </c>
      <c r="H3224" s="7"/>
    </row>
    <row r="3225" spans="1:8" x14ac:dyDescent="0.35">
      <c r="A3225" s="7" t="s">
        <v>357</v>
      </c>
      <c r="B3225" s="7" t="s">
        <v>26</v>
      </c>
      <c r="C3225" s="7" t="s">
        <v>27</v>
      </c>
      <c r="D3225" s="7" t="s">
        <v>28</v>
      </c>
      <c r="E3225" s="7" t="s">
        <v>29</v>
      </c>
      <c r="F3225" s="7" t="s">
        <v>88</v>
      </c>
      <c r="G3225" s="7">
        <v>100.8254</v>
      </c>
      <c r="H3225" s="7"/>
    </row>
    <row r="3226" spans="1:8" x14ac:dyDescent="0.35">
      <c r="A3226" s="7" t="s">
        <v>357</v>
      </c>
      <c r="B3226" s="7" t="s">
        <v>26</v>
      </c>
      <c r="C3226" s="7" t="s">
        <v>27</v>
      </c>
      <c r="D3226" s="7" t="s">
        <v>28</v>
      </c>
      <c r="E3226" s="7" t="s">
        <v>29</v>
      </c>
      <c r="F3226" s="7" t="s">
        <v>89</v>
      </c>
      <c r="G3226" s="7">
        <v>101.00579999999999</v>
      </c>
      <c r="H3226" s="7"/>
    </row>
    <row r="3227" spans="1:8" x14ac:dyDescent="0.35">
      <c r="A3227" s="7" t="s">
        <v>357</v>
      </c>
      <c r="B3227" s="7" t="s">
        <v>26</v>
      </c>
      <c r="C3227" s="7" t="s">
        <v>27</v>
      </c>
      <c r="D3227" s="7" t="s">
        <v>28</v>
      </c>
      <c r="E3227" s="7" t="s">
        <v>29</v>
      </c>
      <c r="F3227" s="7" t="s">
        <v>90</v>
      </c>
      <c r="G3227" s="7">
        <v>101.121</v>
      </c>
      <c r="H3227" s="7"/>
    </row>
    <row r="3228" spans="1:8" x14ac:dyDescent="0.35">
      <c r="A3228" s="7" t="s">
        <v>357</v>
      </c>
      <c r="B3228" s="7" t="s">
        <v>26</v>
      </c>
      <c r="C3228" s="7" t="s">
        <v>27</v>
      </c>
      <c r="D3228" s="7" t="s">
        <v>28</v>
      </c>
      <c r="E3228" s="7" t="s">
        <v>29</v>
      </c>
      <c r="F3228" s="7" t="s">
        <v>91</v>
      </c>
      <c r="G3228" s="7">
        <v>101.13500000000001</v>
      </c>
      <c r="H3228" s="7"/>
    </row>
    <row r="3229" spans="1:8" x14ac:dyDescent="0.35">
      <c r="A3229" s="7" t="s">
        <v>357</v>
      </c>
      <c r="B3229" s="7" t="s">
        <v>26</v>
      </c>
      <c r="C3229" s="7" t="s">
        <v>27</v>
      </c>
      <c r="D3229" s="7" t="s">
        <v>28</v>
      </c>
      <c r="E3229" s="7" t="s">
        <v>29</v>
      </c>
      <c r="F3229" s="7" t="s">
        <v>92</v>
      </c>
      <c r="G3229" s="7">
        <v>101.25109999999999</v>
      </c>
      <c r="H3229" s="7"/>
    </row>
    <row r="3230" spans="1:8" x14ac:dyDescent="0.35">
      <c r="A3230" s="7" t="s">
        <v>357</v>
      </c>
      <c r="B3230" s="7" t="s">
        <v>26</v>
      </c>
      <c r="C3230" s="7" t="s">
        <v>27</v>
      </c>
      <c r="D3230" s="7" t="s">
        <v>28</v>
      </c>
      <c r="E3230" s="7" t="s">
        <v>29</v>
      </c>
      <c r="F3230" s="7" t="s">
        <v>93</v>
      </c>
      <c r="G3230" s="7">
        <v>101.4041</v>
      </c>
      <c r="H3230" s="7"/>
    </row>
    <row r="3231" spans="1:8" x14ac:dyDescent="0.35">
      <c r="A3231" s="7" t="s">
        <v>357</v>
      </c>
      <c r="B3231" s="7" t="s">
        <v>26</v>
      </c>
      <c r="C3231" s="7" t="s">
        <v>27</v>
      </c>
      <c r="D3231" s="7" t="s">
        <v>28</v>
      </c>
      <c r="E3231" s="7" t="s">
        <v>29</v>
      </c>
      <c r="F3231" s="7" t="s">
        <v>94</v>
      </c>
      <c r="G3231" s="7">
        <v>101.51439999999999</v>
      </c>
      <c r="H3231" s="7"/>
    </row>
    <row r="3232" spans="1:8" x14ac:dyDescent="0.35">
      <c r="A3232" s="7" t="s">
        <v>357</v>
      </c>
      <c r="B3232" s="7" t="s">
        <v>26</v>
      </c>
      <c r="C3232" s="7" t="s">
        <v>27</v>
      </c>
      <c r="D3232" s="7" t="s">
        <v>28</v>
      </c>
      <c r="E3232" s="7" t="s">
        <v>29</v>
      </c>
      <c r="F3232" s="7" t="s">
        <v>95</v>
      </c>
      <c r="G3232" s="7">
        <v>101.70480000000001</v>
      </c>
      <c r="H3232" s="7"/>
    </row>
    <row r="3233" spans="1:8" x14ac:dyDescent="0.35">
      <c r="A3233" s="7" t="s">
        <v>357</v>
      </c>
      <c r="B3233" s="7" t="s">
        <v>26</v>
      </c>
      <c r="C3233" s="7" t="s">
        <v>27</v>
      </c>
      <c r="D3233" s="7" t="s">
        <v>28</v>
      </c>
      <c r="E3233" s="7" t="s">
        <v>29</v>
      </c>
      <c r="F3233" s="7" t="s">
        <v>96</v>
      </c>
      <c r="G3233" s="7">
        <v>101.9898</v>
      </c>
      <c r="H3233" s="7"/>
    </row>
    <row r="3234" spans="1:8" x14ac:dyDescent="0.35">
      <c r="A3234" s="7" t="s">
        <v>357</v>
      </c>
      <c r="B3234" s="7" t="s">
        <v>26</v>
      </c>
      <c r="C3234" s="7" t="s">
        <v>27</v>
      </c>
      <c r="D3234" s="7" t="s">
        <v>28</v>
      </c>
      <c r="E3234" s="7" t="s">
        <v>29</v>
      </c>
      <c r="F3234" s="7" t="s">
        <v>97</v>
      </c>
      <c r="G3234" s="7">
        <v>102.1626</v>
      </c>
      <c r="H3234" s="7"/>
    </row>
    <row r="3235" spans="1:8" x14ac:dyDescent="0.35">
      <c r="A3235" s="7" t="s">
        <v>357</v>
      </c>
      <c r="B3235" s="7" t="s">
        <v>26</v>
      </c>
      <c r="C3235" s="7" t="s">
        <v>27</v>
      </c>
      <c r="D3235" s="7" t="s">
        <v>28</v>
      </c>
      <c r="E3235" s="7" t="s">
        <v>29</v>
      </c>
      <c r="F3235" s="7" t="s">
        <v>98</v>
      </c>
      <c r="G3235" s="7">
        <v>102.203</v>
      </c>
      <c r="H3235" s="7"/>
    </row>
    <row r="3236" spans="1:8" x14ac:dyDescent="0.35">
      <c r="A3236" s="7" t="s">
        <v>357</v>
      </c>
      <c r="B3236" s="7" t="s">
        <v>26</v>
      </c>
      <c r="C3236" s="7" t="s">
        <v>27</v>
      </c>
      <c r="D3236" s="7" t="s">
        <v>28</v>
      </c>
      <c r="E3236" s="7" t="s">
        <v>29</v>
      </c>
      <c r="F3236" s="7" t="s">
        <v>99</v>
      </c>
      <c r="G3236" s="7">
        <v>102.16670000000001</v>
      </c>
      <c r="H3236" s="7"/>
    </row>
    <row r="3237" spans="1:8" x14ac:dyDescent="0.35">
      <c r="A3237" s="7" t="s">
        <v>357</v>
      </c>
      <c r="B3237" s="7" t="s">
        <v>26</v>
      </c>
      <c r="C3237" s="7" t="s">
        <v>27</v>
      </c>
      <c r="D3237" s="7" t="s">
        <v>28</v>
      </c>
      <c r="E3237" s="7" t="s">
        <v>29</v>
      </c>
      <c r="F3237" s="7" t="s">
        <v>100</v>
      </c>
      <c r="G3237" s="7">
        <v>102.19110000000001</v>
      </c>
      <c r="H3237" s="7"/>
    </row>
    <row r="3238" spans="1:8" x14ac:dyDescent="0.35">
      <c r="A3238" s="7" t="s">
        <v>357</v>
      </c>
      <c r="B3238" s="7" t="s">
        <v>26</v>
      </c>
      <c r="C3238" s="7" t="s">
        <v>27</v>
      </c>
      <c r="D3238" s="7" t="s">
        <v>28</v>
      </c>
      <c r="E3238" s="7" t="s">
        <v>29</v>
      </c>
      <c r="F3238" s="7" t="s">
        <v>101</v>
      </c>
      <c r="G3238" s="7">
        <v>102.17700000000001</v>
      </c>
      <c r="H3238" s="7"/>
    </row>
    <row r="3239" spans="1:8" x14ac:dyDescent="0.35">
      <c r="A3239" s="7" t="s">
        <v>357</v>
      </c>
      <c r="B3239" s="7" t="s">
        <v>26</v>
      </c>
      <c r="C3239" s="7" t="s">
        <v>27</v>
      </c>
      <c r="D3239" s="7" t="s">
        <v>28</v>
      </c>
      <c r="E3239" s="7" t="s">
        <v>29</v>
      </c>
      <c r="F3239" s="7" t="s">
        <v>102</v>
      </c>
      <c r="G3239" s="7">
        <v>102.0108</v>
      </c>
      <c r="H3239" s="7"/>
    </row>
    <row r="3240" spans="1:8" x14ac:dyDescent="0.35">
      <c r="A3240" s="7" t="s">
        <v>357</v>
      </c>
      <c r="B3240" s="7" t="s">
        <v>26</v>
      </c>
      <c r="C3240" s="7" t="s">
        <v>27</v>
      </c>
      <c r="D3240" s="7" t="s">
        <v>28</v>
      </c>
      <c r="E3240" s="7" t="s">
        <v>29</v>
      </c>
      <c r="F3240" s="7" t="s">
        <v>103</v>
      </c>
      <c r="G3240" s="7">
        <v>101.9025</v>
      </c>
      <c r="H3240" s="7"/>
    </row>
    <row r="3241" spans="1:8" x14ac:dyDescent="0.35">
      <c r="A3241" s="7" t="s">
        <v>357</v>
      </c>
      <c r="B3241" s="7" t="s">
        <v>26</v>
      </c>
      <c r="C3241" s="7" t="s">
        <v>27</v>
      </c>
      <c r="D3241" s="7" t="s">
        <v>28</v>
      </c>
      <c r="E3241" s="7" t="s">
        <v>29</v>
      </c>
      <c r="F3241" s="7" t="s">
        <v>104</v>
      </c>
      <c r="G3241" s="7">
        <v>101.8579</v>
      </c>
      <c r="H3241" s="7"/>
    </row>
    <row r="3242" spans="1:8" x14ac:dyDescent="0.35">
      <c r="A3242" s="7" t="s">
        <v>357</v>
      </c>
      <c r="B3242" s="7" t="s">
        <v>26</v>
      </c>
      <c r="C3242" s="7" t="s">
        <v>27</v>
      </c>
      <c r="D3242" s="7" t="s">
        <v>28</v>
      </c>
      <c r="E3242" s="7" t="s">
        <v>29</v>
      </c>
      <c r="F3242" s="7" t="s">
        <v>105</v>
      </c>
      <c r="G3242" s="7">
        <v>101.89530000000001</v>
      </c>
      <c r="H3242" s="7"/>
    </row>
    <row r="3243" spans="1:8" x14ac:dyDescent="0.35">
      <c r="A3243" s="7" t="s">
        <v>357</v>
      </c>
      <c r="B3243" s="7" t="s">
        <v>26</v>
      </c>
      <c r="C3243" s="7" t="s">
        <v>27</v>
      </c>
      <c r="D3243" s="7" t="s">
        <v>28</v>
      </c>
      <c r="E3243" s="7" t="s">
        <v>29</v>
      </c>
      <c r="F3243" s="7" t="s">
        <v>106</v>
      </c>
      <c r="G3243" s="7">
        <v>102.01260000000001</v>
      </c>
      <c r="H3243" s="7"/>
    </row>
    <row r="3244" spans="1:8" x14ac:dyDescent="0.35">
      <c r="A3244" s="7" t="s">
        <v>357</v>
      </c>
      <c r="B3244" s="7" t="s">
        <v>26</v>
      </c>
      <c r="C3244" s="7" t="s">
        <v>27</v>
      </c>
      <c r="D3244" s="7" t="s">
        <v>28</v>
      </c>
      <c r="E3244" s="7" t="s">
        <v>29</v>
      </c>
      <c r="F3244" s="7" t="s">
        <v>107</v>
      </c>
      <c r="G3244" s="7">
        <v>102.1195</v>
      </c>
      <c r="H3244" s="7"/>
    </row>
    <row r="3245" spans="1:8" x14ac:dyDescent="0.35">
      <c r="A3245" s="7" t="s">
        <v>357</v>
      </c>
      <c r="B3245" s="7" t="s">
        <v>26</v>
      </c>
      <c r="C3245" s="7" t="s">
        <v>27</v>
      </c>
      <c r="D3245" s="7" t="s">
        <v>28</v>
      </c>
      <c r="E3245" s="7" t="s">
        <v>29</v>
      </c>
      <c r="F3245" s="7" t="s">
        <v>108</v>
      </c>
      <c r="G3245" s="7">
        <v>101.99679999999999</v>
      </c>
      <c r="H3245" s="7"/>
    </row>
    <row r="3246" spans="1:8" x14ac:dyDescent="0.35">
      <c r="A3246" s="7" t="s">
        <v>357</v>
      </c>
      <c r="B3246" s="7" t="s">
        <v>26</v>
      </c>
      <c r="C3246" s="7" t="s">
        <v>27</v>
      </c>
      <c r="D3246" s="7" t="s">
        <v>28</v>
      </c>
      <c r="E3246" s="7" t="s">
        <v>29</v>
      </c>
      <c r="F3246" s="7" t="s">
        <v>109</v>
      </c>
      <c r="G3246" s="7">
        <v>101.59050000000001</v>
      </c>
      <c r="H3246" s="7"/>
    </row>
    <row r="3247" spans="1:8" x14ac:dyDescent="0.35">
      <c r="A3247" s="7" t="s">
        <v>357</v>
      </c>
      <c r="B3247" s="7" t="s">
        <v>26</v>
      </c>
      <c r="C3247" s="7" t="s">
        <v>27</v>
      </c>
      <c r="D3247" s="7" t="s">
        <v>28</v>
      </c>
      <c r="E3247" s="7" t="s">
        <v>29</v>
      </c>
      <c r="F3247" s="7" t="s">
        <v>110</v>
      </c>
      <c r="G3247" s="7">
        <v>100.9803</v>
      </c>
      <c r="H3247" s="7"/>
    </row>
    <row r="3248" spans="1:8" x14ac:dyDescent="0.35">
      <c r="A3248" s="7" t="s">
        <v>357</v>
      </c>
      <c r="B3248" s="7" t="s">
        <v>26</v>
      </c>
      <c r="C3248" s="7" t="s">
        <v>27</v>
      </c>
      <c r="D3248" s="7" t="s">
        <v>28</v>
      </c>
      <c r="E3248" s="7" t="s">
        <v>29</v>
      </c>
      <c r="F3248" s="7" t="s">
        <v>111</v>
      </c>
      <c r="G3248" s="7">
        <v>100.38500000000001</v>
      </c>
      <c r="H3248" s="7"/>
    </row>
    <row r="3249" spans="1:8" x14ac:dyDescent="0.35">
      <c r="A3249" s="7" t="s">
        <v>357</v>
      </c>
      <c r="B3249" s="7" t="s">
        <v>26</v>
      </c>
      <c r="C3249" s="7" t="s">
        <v>27</v>
      </c>
      <c r="D3249" s="7" t="s">
        <v>28</v>
      </c>
      <c r="E3249" s="7" t="s">
        <v>29</v>
      </c>
      <c r="F3249" s="7" t="s">
        <v>112</v>
      </c>
      <c r="G3249" s="7">
        <v>100.0797</v>
      </c>
      <c r="H3249" s="7"/>
    </row>
    <row r="3250" spans="1:8" x14ac:dyDescent="0.35">
      <c r="A3250" s="7" t="s">
        <v>357</v>
      </c>
      <c r="B3250" s="7" t="s">
        <v>26</v>
      </c>
      <c r="C3250" s="7" t="s">
        <v>27</v>
      </c>
      <c r="D3250" s="7" t="s">
        <v>28</v>
      </c>
      <c r="E3250" s="7" t="s">
        <v>29</v>
      </c>
      <c r="F3250" s="7" t="s">
        <v>113</v>
      </c>
      <c r="G3250" s="7">
        <v>99.911950000000004</v>
      </c>
      <c r="H3250" s="7"/>
    </row>
    <row r="3251" spans="1:8" x14ac:dyDescent="0.35">
      <c r="A3251" s="7" t="s">
        <v>357</v>
      </c>
      <c r="B3251" s="7" t="s">
        <v>26</v>
      </c>
      <c r="C3251" s="7" t="s">
        <v>27</v>
      </c>
      <c r="D3251" s="7" t="s">
        <v>28</v>
      </c>
      <c r="E3251" s="7" t="s">
        <v>29</v>
      </c>
      <c r="F3251" s="7" t="s">
        <v>114</v>
      </c>
      <c r="G3251" s="7">
        <v>99.976879999999994</v>
      </c>
      <c r="H3251" s="7"/>
    </row>
    <row r="3252" spans="1:8" x14ac:dyDescent="0.35">
      <c r="A3252" s="7" t="s">
        <v>357</v>
      </c>
      <c r="B3252" s="7" t="s">
        <v>26</v>
      </c>
      <c r="C3252" s="7" t="s">
        <v>27</v>
      </c>
      <c r="D3252" s="7" t="s">
        <v>28</v>
      </c>
      <c r="E3252" s="7" t="s">
        <v>29</v>
      </c>
      <c r="F3252" s="7" t="s">
        <v>115</v>
      </c>
      <c r="G3252" s="7">
        <v>100.1379</v>
      </c>
      <c r="H3252" s="7"/>
    </row>
    <row r="3253" spans="1:8" x14ac:dyDescent="0.35">
      <c r="A3253" s="7" t="s">
        <v>357</v>
      </c>
      <c r="B3253" s="7" t="s">
        <v>26</v>
      </c>
      <c r="C3253" s="7" t="s">
        <v>27</v>
      </c>
      <c r="D3253" s="7" t="s">
        <v>28</v>
      </c>
      <c r="E3253" s="7" t="s">
        <v>29</v>
      </c>
      <c r="F3253" s="7" t="s">
        <v>116</v>
      </c>
      <c r="G3253" s="7">
        <v>100.3777</v>
      </c>
      <c r="H3253" s="7"/>
    </row>
    <row r="3254" spans="1:8" x14ac:dyDescent="0.35">
      <c r="A3254" s="7" t="s">
        <v>357</v>
      </c>
      <c r="B3254" s="7" t="s">
        <v>26</v>
      </c>
      <c r="C3254" s="7" t="s">
        <v>27</v>
      </c>
      <c r="D3254" s="7" t="s">
        <v>28</v>
      </c>
      <c r="E3254" s="7" t="s">
        <v>29</v>
      </c>
      <c r="F3254" s="7" t="s">
        <v>117</v>
      </c>
      <c r="G3254" s="7">
        <v>100.6683</v>
      </c>
      <c r="H3254" s="7"/>
    </row>
    <row r="3255" spans="1:8" x14ac:dyDescent="0.35">
      <c r="A3255" s="7" t="s">
        <v>357</v>
      </c>
      <c r="B3255" s="7" t="s">
        <v>26</v>
      </c>
      <c r="C3255" s="7" t="s">
        <v>27</v>
      </c>
      <c r="D3255" s="7" t="s">
        <v>28</v>
      </c>
      <c r="E3255" s="7" t="s">
        <v>29</v>
      </c>
      <c r="F3255" s="7" t="s">
        <v>118</v>
      </c>
      <c r="G3255" s="7">
        <v>100.90049999999999</v>
      </c>
      <c r="H3255" s="7"/>
    </row>
    <row r="3256" spans="1:8" x14ac:dyDescent="0.35">
      <c r="A3256" s="7" t="s">
        <v>357</v>
      </c>
      <c r="B3256" s="7" t="s">
        <v>26</v>
      </c>
      <c r="C3256" s="7" t="s">
        <v>27</v>
      </c>
      <c r="D3256" s="7" t="s">
        <v>28</v>
      </c>
      <c r="E3256" s="7" t="s">
        <v>29</v>
      </c>
      <c r="F3256" s="7" t="s">
        <v>119</v>
      </c>
      <c r="G3256" s="7">
        <v>101.0093</v>
      </c>
      <c r="H3256" s="7"/>
    </row>
    <row r="3257" spans="1:8" x14ac:dyDescent="0.35">
      <c r="A3257" s="7" t="s">
        <v>357</v>
      </c>
      <c r="B3257" s="7" t="s">
        <v>26</v>
      </c>
      <c r="C3257" s="7" t="s">
        <v>27</v>
      </c>
      <c r="D3257" s="7" t="s">
        <v>28</v>
      </c>
      <c r="E3257" s="7" t="s">
        <v>29</v>
      </c>
      <c r="F3257" s="7" t="s">
        <v>120</v>
      </c>
      <c r="G3257" s="7">
        <v>101.035</v>
      </c>
      <c r="H3257" s="7"/>
    </row>
    <row r="3258" spans="1:8" x14ac:dyDescent="0.35">
      <c r="A3258" s="7" t="s">
        <v>357</v>
      </c>
      <c r="B3258" s="7" t="s">
        <v>26</v>
      </c>
      <c r="C3258" s="7" t="s">
        <v>27</v>
      </c>
      <c r="D3258" s="7" t="s">
        <v>28</v>
      </c>
      <c r="E3258" s="7" t="s">
        <v>29</v>
      </c>
      <c r="F3258" s="7" t="s">
        <v>121</v>
      </c>
      <c r="G3258" s="7">
        <v>100.9983</v>
      </c>
      <c r="H3258" s="7"/>
    </row>
    <row r="3259" spans="1:8" x14ac:dyDescent="0.35">
      <c r="A3259" s="7" t="s">
        <v>357</v>
      </c>
      <c r="B3259" s="7" t="s">
        <v>26</v>
      </c>
      <c r="C3259" s="7" t="s">
        <v>27</v>
      </c>
      <c r="D3259" s="7" t="s">
        <v>28</v>
      </c>
      <c r="E3259" s="7" t="s">
        <v>29</v>
      </c>
      <c r="F3259" s="7" t="s">
        <v>122</v>
      </c>
      <c r="G3259" s="7">
        <v>100.93689999999999</v>
      </c>
      <c r="H3259" s="7"/>
    </row>
    <row r="3260" spans="1:8" x14ac:dyDescent="0.35">
      <c r="A3260" s="7" t="s">
        <v>357</v>
      </c>
      <c r="B3260" s="7" t="s">
        <v>26</v>
      </c>
      <c r="C3260" s="7" t="s">
        <v>27</v>
      </c>
      <c r="D3260" s="7" t="s">
        <v>28</v>
      </c>
      <c r="E3260" s="7" t="s">
        <v>29</v>
      </c>
      <c r="F3260" s="7" t="s">
        <v>123</v>
      </c>
      <c r="G3260" s="7">
        <v>100.95740000000001</v>
      </c>
      <c r="H3260" s="7"/>
    </row>
    <row r="3261" spans="1:8" x14ac:dyDescent="0.35">
      <c r="A3261" s="7" t="s">
        <v>357</v>
      </c>
      <c r="B3261" s="7" t="s">
        <v>26</v>
      </c>
      <c r="C3261" s="7" t="s">
        <v>27</v>
      </c>
      <c r="D3261" s="7" t="s">
        <v>28</v>
      </c>
      <c r="E3261" s="7" t="s">
        <v>29</v>
      </c>
      <c r="F3261" s="7" t="s">
        <v>124</v>
      </c>
      <c r="G3261" s="7">
        <v>100.98820000000001</v>
      </c>
      <c r="H3261" s="7"/>
    </row>
    <row r="3262" spans="1:8" x14ac:dyDescent="0.35">
      <c r="A3262" s="7" t="s">
        <v>357</v>
      </c>
      <c r="B3262" s="7" t="s">
        <v>26</v>
      </c>
      <c r="C3262" s="7" t="s">
        <v>27</v>
      </c>
      <c r="D3262" s="7" t="s">
        <v>28</v>
      </c>
      <c r="E3262" s="7" t="s">
        <v>29</v>
      </c>
      <c r="F3262" s="7" t="s">
        <v>125</v>
      </c>
      <c r="G3262" s="7">
        <v>101.0984</v>
      </c>
      <c r="H3262" s="7"/>
    </row>
    <row r="3263" spans="1:8" x14ac:dyDescent="0.35">
      <c r="A3263" s="7" t="s">
        <v>357</v>
      </c>
      <c r="B3263" s="7" t="s">
        <v>26</v>
      </c>
      <c r="C3263" s="7" t="s">
        <v>27</v>
      </c>
      <c r="D3263" s="7" t="s">
        <v>28</v>
      </c>
      <c r="E3263" s="7" t="s">
        <v>29</v>
      </c>
      <c r="F3263" s="7" t="s">
        <v>126</v>
      </c>
      <c r="G3263" s="7">
        <v>101.1742</v>
      </c>
      <c r="H3263" s="7"/>
    </row>
    <row r="3264" spans="1:8" x14ac:dyDescent="0.35">
      <c r="A3264" s="7" t="s">
        <v>357</v>
      </c>
      <c r="B3264" s="7" t="s">
        <v>26</v>
      </c>
      <c r="C3264" s="7" t="s">
        <v>27</v>
      </c>
      <c r="D3264" s="7" t="s">
        <v>28</v>
      </c>
      <c r="E3264" s="7" t="s">
        <v>29</v>
      </c>
      <c r="F3264" s="7" t="s">
        <v>127</v>
      </c>
      <c r="G3264" s="7">
        <v>101.33240000000001</v>
      </c>
      <c r="H3264" s="7"/>
    </row>
    <row r="3265" spans="1:8" x14ac:dyDescent="0.35">
      <c r="A3265" s="7" t="s">
        <v>357</v>
      </c>
      <c r="B3265" s="7" t="s">
        <v>26</v>
      </c>
      <c r="C3265" s="7" t="s">
        <v>27</v>
      </c>
      <c r="D3265" s="7" t="s">
        <v>28</v>
      </c>
      <c r="E3265" s="7" t="s">
        <v>29</v>
      </c>
      <c r="F3265" s="7" t="s">
        <v>128</v>
      </c>
      <c r="G3265" s="7">
        <v>101.30540000000001</v>
      </c>
      <c r="H3265" s="7"/>
    </row>
    <row r="3266" spans="1:8" x14ac:dyDescent="0.35">
      <c r="A3266" s="7" t="s">
        <v>357</v>
      </c>
      <c r="B3266" s="7" t="s">
        <v>26</v>
      </c>
      <c r="C3266" s="7" t="s">
        <v>27</v>
      </c>
      <c r="D3266" s="7" t="s">
        <v>28</v>
      </c>
      <c r="E3266" s="7" t="s">
        <v>29</v>
      </c>
      <c r="F3266" s="7" t="s">
        <v>129</v>
      </c>
      <c r="G3266" s="7">
        <v>101.0688</v>
      </c>
      <c r="H3266" s="7"/>
    </row>
    <row r="3267" spans="1:8" x14ac:dyDescent="0.35">
      <c r="A3267" s="7" t="s">
        <v>357</v>
      </c>
      <c r="B3267" s="7" t="s">
        <v>26</v>
      </c>
      <c r="C3267" s="7" t="s">
        <v>27</v>
      </c>
      <c r="D3267" s="7" t="s">
        <v>28</v>
      </c>
      <c r="E3267" s="7" t="s">
        <v>29</v>
      </c>
      <c r="F3267" s="7" t="s">
        <v>130</v>
      </c>
      <c r="G3267" s="7">
        <v>100.7608</v>
      </c>
      <c r="H3267" s="7"/>
    </row>
    <row r="3268" spans="1:8" x14ac:dyDescent="0.35">
      <c r="A3268" s="7" t="s">
        <v>357</v>
      </c>
      <c r="B3268" s="7" t="s">
        <v>26</v>
      </c>
      <c r="C3268" s="7" t="s">
        <v>27</v>
      </c>
      <c r="D3268" s="7" t="s">
        <v>28</v>
      </c>
      <c r="E3268" s="7" t="s">
        <v>29</v>
      </c>
      <c r="F3268" s="7" t="s">
        <v>131</v>
      </c>
      <c r="G3268" s="7">
        <v>100.5334</v>
      </c>
      <c r="H3268" s="7"/>
    </row>
    <row r="3269" spans="1:8" x14ac:dyDescent="0.35">
      <c r="A3269" s="7" t="s">
        <v>357</v>
      </c>
      <c r="B3269" s="7" t="s">
        <v>26</v>
      </c>
      <c r="C3269" s="7" t="s">
        <v>27</v>
      </c>
      <c r="D3269" s="7" t="s">
        <v>28</v>
      </c>
      <c r="E3269" s="7" t="s">
        <v>29</v>
      </c>
      <c r="F3269" s="7" t="s">
        <v>132</v>
      </c>
      <c r="G3269" s="7">
        <v>100.45959999999999</v>
      </c>
      <c r="H3269" s="7"/>
    </row>
    <row r="3270" spans="1:8" x14ac:dyDescent="0.35">
      <c r="A3270" s="7" t="s">
        <v>357</v>
      </c>
      <c r="B3270" s="7" t="s">
        <v>26</v>
      </c>
      <c r="C3270" s="7" t="s">
        <v>27</v>
      </c>
      <c r="D3270" s="7" t="s">
        <v>28</v>
      </c>
      <c r="E3270" s="7" t="s">
        <v>29</v>
      </c>
      <c r="F3270" s="7" t="s">
        <v>133</v>
      </c>
      <c r="G3270" s="7">
        <v>100.48350000000001</v>
      </c>
      <c r="H3270" s="7"/>
    </row>
    <row r="3271" spans="1:8" x14ac:dyDescent="0.35">
      <c r="A3271" s="7" t="s">
        <v>357</v>
      </c>
      <c r="B3271" s="7" t="s">
        <v>26</v>
      </c>
      <c r="C3271" s="7" t="s">
        <v>27</v>
      </c>
      <c r="D3271" s="7" t="s">
        <v>28</v>
      </c>
      <c r="E3271" s="7" t="s">
        <v>29</v>
      </c>
      <c r="F3271" s="7" t="s">
        <v>134</v>
      </c>
      <c r="G3271" s="7">
        <v>100.5558</v>
      </c>
      <c r="H3271" s="7"/>
    </row>
    <row r="3272" spans="1:8" x14ac:dyDescent="0.35">
      <c r="A3272" s="7" t="s">
        <v>357</v>
      </c>
      <c r="B3272" s="7" t="s">
        <v>26</v>
      </c>
      <c r="C3272" s="7" t="s">
        <v>27</v>
      </c>
      <c r="D3272" s="7" t="s">
        <v>28</v>
      </c>
      <c r="E3272" s="7" t="s">
        <v>29</v>
      </c>
      <c r="F3272" s="7" t="s">
        <v>135</v>
      </c>
      <c r="G3272" s="7">
        <v>100.6558</v>
      </c>
      <c r="H3272" s="7"/>
    </row>
    <row r="3273" spans="1:8" x14ac:dyDescent="0.35">
      <c r="A3273" s="7" t="s">
        <v>357</v>
      </c>
      <c r="B3273" s="7" t="s">
        <v>26</v>
      </c>
      <c r="C3273" s="7" t="s">
        <v>27</v>
      </c>
      <c r="D3273" s="7" t="s">
        <v>28</v>
      </c>
      <c r="E3273" s="7" t="s">
        <v>29</v>
      </c>
      <c r="F3273" s="7" t="s">
        <v>136</v>
      </c>
      <c r="G3273" s="7">
        <v>100.6887</v>
      </c>
      <c r="H3273" s="7"/>
    </row>
    <row r="3274" spans="1:8" x14ac:dyDescent="0.35">
      <c r="A3274" s="7" t="s">
        <v>357</v>
      </c>
      <c r="B3274" s="7" t="s">
        <v>26</v>
      </c>
      <c r="C3274" s="7" t="s">
        <v>27</v>
      </c>
      <c r="D3274" s="7" t="s">
        <v>28</v>
      </c>
      <c r="E3274" s="7" t="s">
        <v>29</v>
      </c>
      <c r="F3274" s="7" t="s">
        <v>137</v>
      </c>
      <c r="G3274" s="7">
        <v>100.9246</v>
      </c>
      <c r="H3274" s="7"/>
    </row>
    <row r="3275" spans="1:8" x14ac:dyDescent="0.35">
      <c r="A3275" s="7" t="s">
        <v>357</v>
      </c>
      <c r="B3275" s="7" t="s">
        <v>26</v>
      </c>
      <c r="C3275" s="7" t="s">
        <v>27</v>
      </c>
      <c r="D3275" s="7" t="s">
        <v>28</v>
      </c>
      <c r="E3275" s="7" t="s">
        <v>29</v>
      </c>
      <c r="F3275" s="7" t="s">
        <v>138</v>
      </c>
      <c r="G3275" s="7">
        <v>101.1028</v>
      </c>
      <c r="H3275" s="7"/>
    </row>
    <row r="3276" spans="1:8" x14ac:dyDescent="0.35">
      <c r="A3276" s="7" t="s">
        <v>357</v>
      </c>
      <c r="B3276" s="7" t="s">
        <v>26</v>
      </c>
      <c r="C3276" s="7" t="s">
        <v>27</v>
      </c>
      <c r="D3276" s="7" t="s">
        <v>28</v>
      </c>
      <c r="E3276" s="7" t="s">
        <v>29</v>
      </c>
      <c r="F3276" s="7" t="s">
        <v>139</v>
      </c>
      <c r="G3276" s="7">
        <v>101.1825</v>
      </c>
      <c r="H3276" s="7"/>
    </row>
    <row r="3277" spans="1:8" x14ac:dyDescent="0.35">
      <c r="A3277" s="7" t="s">
        <v>357</v>
      </c>
      <c r="B3277" s="7" t="s">
        <v>26</v>
      </c>
      <c r="C3277" s="7" t="s">
        <v>27</v>
      </c>
      <c r="D3277" s="7" t="s">
        <v>28</v>
      </c>
      <c r="E3277" s="7" t="s">
        <v>29</v>
      </c>
      <c r="F3277" s="7" t="s">
        <v>140</v>
      </c>
      <c r="G3277" s="7">
        <v>101.1486</v>
      </c>
      <c r="H3277" s="7"/>
    </row>
    <row r="3278" spans="1:8" x14ac:dyDescent="0.35">
      <c r="A3278" s="7" t="s">
        <v>357</v>
      </c>
      <c r="B3278" s="7" t="s">
        <v>26</v>
      </c>
      <c r="C3278" s="7" t="s">
        <v>27</v>
      </c>
      <c r="D3278" s="7" t="s">
        <v>28</v>
      </c>
      <c r="E3278" s="7" t="s">
        <v>29</v>
      </c>
      <c r="F3278" s="7" t="s">
        <v>141</v>
      </c>
      <c r="G3278" s="7">
        <v>101.0556</v>
      </c>
      <c r="H3278" s="7"/>
    </row>
    <row r="3279" spans="1:8" x14ac:dyDescent="0.35">
      <c r="A3279" s="7" t="s">
        <v>357</v>
      </c>
      <c r="B3279" s="7" t="s">
        <v>26</v>
      </c>
      <c r="C3279" s="7" t="s">
        <v>27</v>
      </c>
      <c r="D3279" s="7" t="s">
        <v>28</v>
      </c>
      <c r="E3279" s="7" t="s">
        <v>29</v>
      </c>
      <c r="F3279" s="7" t="s">
        <v>142</v>
      </c>
      <c r="G3279" s="7">
        <v>101.01560000000001</v>
      </c>
      <c r="H3279" s="7"/>
    </row>
    <row r="3280" spans="1:8" x14ac:dyDescent="0.35">
      <c r="A3280" s="7" t="s">
        <v>357</v>
      </c>
      <c r="B3280" s="7" t="s">
        <v>26</v>
      </c>
      <c r="C3280" s="7" t="s">
        <v>27</v>
      </c>
      <c r="D3280" s="7" t="s">
        <v>28</v>
      </c>
      <c r="E3280" s="7" t="s">
        <v>29</v>
      </c>
      <c r="F3280" s="7" t="s">
        <v>143</v>
      </c>
      <c r="G3280" s="7">
        <v>100.9821</v>
      </c>
      <c r="H3280" s="7"/>
    </row>
    <row r="3281" spans="1:8" x14ac:dyDescent="0.35">
      <c r="A3281" s="7" t="s">
        <v>357</v>
      </c>
      <c r="B3281" s="7" t="s">
        <v>26</v>
      </c>
      <c r="C3281" s="7" t="s">
        <v>27</v>
      </c>
      <c r="D3281" s="7" t="s">
        <v>28</v>
      </c>
      <c r="E3281" s="7" t="s">
        <v>29</v>
      </c>
      <c r="F3281" s="7" t="s">
        <v>144</v>
      </c>
      <c r="G3281" s="7">
        <v>101.0223</v>
      </c>
      <c r="H3281" s="7"/>
    </row>
    <row r="3282" spans="1:8" x14ac:dyDescent="0.35">
      <c r="A3282" s="7" t="s">
        <v>357</v>
      </c>
      <c r="B3282" s="7" t="s">
        <v>26</v>
      </c>
      <c r="C3282" s="7" t="s">
        <v>27</v>
      </c>
      <c r="D3282" s="7" t="s">
        <v>28</v>
      </c>
      <c r="E3282" s="7" t="s">
        <v>29</v>
      </c>
      <c r="F3282" s="7" t="s">
        <v>145</v>
      </c>
      <c r="G3282" s="7">
        <v>101.11879999999999</v>
      </c>
      <c r="H3282" s="7"/>
    </row>
    <row r="3283" spans="1:8" x14ac:dyDescent="0.35">
      <c r="A3283" s="7" t="s">
        <v>357</v>
      </c>
      <c r="B3283" s="7" t="s">
        <v>26</v>
      </c>
      <c r="C3283" s="7" t="s">
        <v>27</v>
      </c>
      <c r="D3283" s="7" t="s">
        <v>28</v>
      </c>
      <c r="E3283" s="7" t="s">
        <v>29</v>
      </c>
      <c r="F3283" s="7" t="s">
        <v>146</v>
      </c>
      <c r="G3283" s="7">
        <v>101.006</v>
      </c>
      <c r="H3283" s="7"/>
    </row>
    <row r="3284" spans="1:8" x14ac:dyDescent="0.35">
      <c r="A3284" s="7" t="s">
        <v>357</v>
      </c>
      <c r="B3284" s="7" t="s">
        <v>26</v>
      </c>
      <c r="C3284" s="7" t="s">
        <v>27</v>
      </c>
      <c r="D3284" s="7" t="s">
        <v>28</v>
      </c>
      <c r="E3284" s="7" t="s">
        <v>29</v>
      </c>
      <c r="F3284" s="7" t="s">
        <v>147</v>
      </c>
      <c r="G3284" s="7">
        <v>100.6288</v>
      </c>
      <c r="H3284" s="7"/>
    </row>
    <row r="3285" spans="1:8" x14ac:dyDescent="0.35">
      <c r="A3285" s="7" t="s">
        <v>357</v>
      </c>
      <c r="B3285" s="7" t="s">
        <v>26</v>
      </c>
      <c r="C3285" s="7" t="s">
        <v>27</v>
      </c>
      <c r="D3285" s="7" t="s">
        <v>28</v>
      </c>
      <c r="E3285" s="7" t="s">
        <v>29</v>
      </c>
      <c r="F3285" s="7" t="s">
        <v>148</v>
      </c>
      <c r="G3285" s="7">
        <v>100.25530000000001</v>
      </c>
      <c r="H3285" s="7"/>
    </row>
    <row r="3286" spans="1:8" x14ac:dyDescent="0.35">
      <c r="A3286" s="7" t="s">
        <v>357</v>
      </c>
      <c r="B3286" s="7" t="s">
        <v>26</v>
      </c>
      <c r="C3286" s="7" t="s">
        <v>27</v>
      </c>
      <c r="D3286" s="7" t="s">
        <v>28</v>
      </c>
      <c r="E3286" s="7" t="s">
        <v>29</v>
      </c>
      <c r="F3286" s="7" t="s">
        <v>149</v>
      </c>
      <c r="G3286" s="7">
        <v>99.913809999999998</v>
      </c>
      <c r="H3286" s="7"/>
    </row>
    <row r="3287" spans="1:8" x14ac:dyDescent="0.35">
      <c r="A3287" s="7" t="s">
        <v>357</v>
      </c>
      <c r="B3287" s="7" t="s">
        <v>26</v>
      </c>
      <c r="C3287" s="7" t="s">
        <v>27</v>
      </c>
      <c r="D3287" s="7" t="s">
        <v>28</v>
      </c>
      <c r="E3287" s="7" t="s">
        <v>29</v>
      </c>
      <c r="F3287" s="7" t="s">
        <v>150</v>
      </c>
      <c r="G3287" s="7">
        <v>99.920360000000002</v>
      </c>
      <c r="H3287" s="7"/>
    </row>
    <row r="3288" spans="1:8" x14ac:dyDescent="0.35">
      <c r="A3288" s="7" t="s">
        <v>357</v>
      </c>
      <c r="B3288" s="7" t="s">
        <v>26</v>
      </c>
      <c r="C3288" s="7" t="s">
        <v>27</v>
      </c>
      <c r="D3288" s="7" t="s">
        <v>28</v>
      </c>
      <c r="E3288" s="7" t="s">
        <v>29</v>
      </c>
      <c r="F3288" s="7" t="s">
        <v>151</v>
      </c>
      <c r="G3288" s="7">
        <v>100.1262</v>
      </c>
      <c r="H3288" s="7"/>
    </row>
    <row r="3289" spans="1:8" x14ac:dyDescent="0.35">
      <c r="A3289" s="7" t="s">
        <v>357</v>
      </c>
      <c r="B3289" s="7" t="s">
        <v>26</v>
      </c>
      <c r="C3289" s="7" t="s">
        <v>27</v>
      </c>
      <c r="D3289" s="7" t="s">
        <v>28</v>
      </c>
      <c r="E3289" s="7" t="s">
        <v>29</v>
      </c>
      <c r="F3289" s="7" t="s">
        <v>152</v>
      </c>
      <c r="G3289" s="7">
        <v>100.4045</v>
      </c>
      <c r="H3289" s="7"/>
    </row>
    <row r="3290" spans="1:8" x14ac:dyDescent="0.35">
      <c r="A3290" s="7" t="s">
        <v>357</v>
      </c>
      <c r="B3290" s="7" t="s">
        <v>26</v>
      </c>
      <c r="C3290" s="7" t="s">
        <v>27</v>
      </c>
      <c r="D3290" s="7" t="s">
        <v>28</v>
      </c>
      <c r="E3290" s="7" t="s">
        <v>29</v>
      </c>
      <c r="F3290" s="7" t="s">
        <v>153</v>
      </c>
      <c r="G3290" s="7">
        <v>100.629</v>
      </c>
      <c r="H3290" s="7"/>
    </row>
    <row r="3291" spans="1:8" x14ac:dyDescent="0.35">
      <c r="A3291" s="7" t="s">
        <v>357</v>
      </c>
      <c r="B3291" s="7" t="s">
        <v>26</v>
      </c>
      <c r="C3291" s="7" t="s">
        <v>27</v>
      </c>
      <c r="D3291" s="7" t="s">
        <v>28</v>
      </c>
      <c r="E3291" s="7" t="s">
        <v>29</v>
      </c>
      <c r="F3291" s="7" t="s">
        <v>154</v>
      </c>
      <c r="G3291" s="7">
        <v>100.78149999999999</v>
      </c>
      <c r="H3291" s="7"/>
    </row>
    <row r="3292" spans="1:8" x14ac:dyDescent="0.35">
      <c r="A3292" s="7" t="s">
        <v>357</v>
      </c>
      <c r="B3292" s="7" t="s">
        <v>26</v>
      </c>
      <c r="C3292" s="7" t="s">
        <v>27</v>
      </c>
      <c r="D3292" s="7" t="s">
        <v>28</v>
      </c>
      <c r="E3292" s="7" t="s">
        <v>29</v>
      </c>
      <c r="F3292" s="7" t="s">
        <v>155</v>
      </c>
      <c r="G3292" s="7">
        <v>100.9119</v>
      </c>
      <c r="H3292" s="7"/>
    </row>
    <row r="3293" spans="1:8" x14ac:dyDescent="0.35">
      <c r="A3293" s="7" t="s">
        <v>357</v>
      </c>
      <c r="B3293" s="7" t="s">
        <v>26</v>
      </c>
      <c r="C3293" s="7" t="s">
        <v>27</v>
      </c>
      <c r="D3293" s="7" t="s">
        <v>28</v>
      </c>
      <c r="E3293" s="7" t="s">
        <v>29</v>
      </c>
      <c r="F3293" s="7" t="s">
        <v>156</v>
      </c>
      <c r="G3293" s="7">
        <v>100.9395</v>
      </c>
      <c r="H3293" s="7"/>
    </row>
    <row r="3294" spans="1:8" x14ac:dyDescent="0.35">
      <c r="A3294" s="7" t="s">
        <v>357</v>
      </c>
      <c r="B3294" s="7" t="s">
        <v>26</v>
      </c>
      <c r="C3294" s="7" t="s">
        <v>27</v>
      </c>
      <c r="D3294" s="7" t="s">
        <v>28</v>
      </c>
      <c r="E3294" s="7" t="s">
        <v>29</v>
      </c>
      <c r="F3294" s="7" t="s">
        <v>157</v>
      </c>
      <c r="G3294" s="7">
        <v>100.9237</v>
      </c>
      <c r="H3294" s="7"/>
    </row>
    <row r="3295" spans="1:8" x14ac:dyDescent="0.35">
      <c r="A3295" s="7" t="s">
        <v>357</v>
      </c>
      <c r="B3295" s="7" t="s">
        <v>26</v>
      </c>
      <c r="C3295" s="7" t="s">
        <v>27</v>
      </c>
      <c r="D3295" s="7" t="s">
        <v>28</v>
      </c>
      <c r="E3295" s="7" t="s">
        <v>29</v>
      </c>
      <c r="F3295" s="7" t="s">
        <v>158</v>
      </c>
      <c r="G3295" s="7">
        <v>100.9744</v>
      </c>
      <c r="H3295" s="7"/>
    </row>
    <row r="3296" spans="1:8" x14ac:dyDescent="0.35">
      <c r="A3296" s="7" t="s">
        <v>357</v>
      </c>
      <c r="B3296" s="7" t="s">
        <v>26</v>
      </c>
      <c r="C3296" s="7" t="s">
        <v>27</v>
      </c>
      <c r="D3296" s="7" t="s">
        <v>28</v>
      </c>
      <c r="E3296" s="7" t="s">
        <v>29</v>
      </c>
      <c r="F3296" s="7" t="s">
        <v>159</v>
      </c>
      <c r="G3296" s="7">
        <v>101.11369999999999</v>
      </c>
      <c r="H3296" s="7"/>
    </row>
    <row r="3297" spans="1:8" x14ac:dyDescent="0.35">
      <c r="A3297" s="7" t="s">
        <v>357</v>
      </c>
      <c r="B3297" s="7" t="s">
        <v>26</v>
      </c>
      <c r="C3297" s="7" t="s">
        <v>27</v>
      </c>
      <c r="D3297" s="7" t="s">
        <v>28</v>
      </c>
      <c r="E3297" s="7" t="s">
        <v>29</v>
      </c>
      <c r="F3297" s="7" t="s">
        <v>160</v>
      </c>
      <c r="G3297" s="7">
        <v>101.2098</v>
      </c>
      <c r="H3297" s="7"/>
    </row>
    <row r="3298" spans="1:8" x14ac:dyDescent="0.35">
      <c r="A3298" s="7" t="s">
        <v>357</v>
      </c>
      <c r="B3298" s="7" t="s">
        <v>26</v>
      </c>
      <c r="C3298" s="7" t="s">
        <v>27</v>
      </c>
      <c r="D3298" s="7" t="s">
        <v>28</v>
      </c>
      <c r="E3298" s="7" t="s">
        <v>29</v>
      </c>
      <c r="F3298" s="7" t="s">
        <v>161</v>
      </c>
      <c r="G3298" s="7">
        <v>101.146</v>
      </c>
      <c r="H3298" s="7"/>
    </row>
    <row r="3299" spans="1:8" x14ac:dyDescent="0.35">
      <c r="A3299" s="7" t="s">
        <v>357</v>
      </c>
      <c r="B3299" s="7" t="s">
        <v>26</v>
      </c>
      <c r="C3299" s="7" t="s">
        <v>27</v>
      </c>
      <c r="D3299" s="7" t="s">
        <v>28</v>
      </c>
      <c r="E3299" s="7" t="s">
        <v>29</v>
      </c>
      <c r="F3299" s="7" t="s">
        <v>162</v>
      </c>
      <c r="G3299" s="7">
        <v>100.9248</v>
      </c>
      <c r="H3299" s="7"/>
    </row>
    <row r="3300" spans="1:8" x14ac:dyDescent="0.35">
      <c r="A3300" s="7" t="s">
        <v>357</v>
      </c>
      <c r="B3300" s="7" t="s">
        <v>26</v>
      </c>
      <c r="C3300" s="7" t="s">
        <v>27</v>
      </c>
      <c r="D3300" s="7" t="s">
        <v>28</v>
      </c>
      <c r="E3300" s="7" t="s">
        <v>29</v>
      </c>
      <c r="F3300" s="7" t="s">
        <v>163</v>
      </c>
      <c r="G3300" s="7">
        <v>100.4853</v>
      </c>
      <c r="H3300" s="7"/>
    </row>
    <row r="3301" spans="1:8" x14ac:dyDescent="0.35">
      <c r="A3301" s="7" t="s">
        <v>357</v>
      </c>
      <c r="B3301" s="7" t="s">
        <v>26</v>
      </c>
      <c r="C3301" s="7" t="s">
        <v>27</v>
      </c>
      <c r="D3301" s="7" t="s">
        <v>28</v>
      </c>
      <c r="E3301" s="7" t="s">
        <v>29</v>
      </c>
      <c r="F3301" s="7" t="s">
        <v>164</v>
      </c>
      <c r="G3301" s="7">
        <v>100.1092</v>
      </c>
      <c r="H3301" s="7"/>
    </row>
    <row r="3302" spans="1:8" x14ac:dyDescent="0.35">
      <c r="A3302" s="7" t="s">
        <v>357</v>
      </c>
      <c r="B3302" s="7" t="s">
        <v>26</v>
      </c>
      <c r="C3302" s="7" t="s">
        <v>27</v>
      </c>
      <c r="D3302" s="7" t="s">
        <v>28</v>
      </c>
      <c r="E3302" s="7" t="s">
        <v>29</v>
      </c>
      <c r="F3302" s="7" t="s">
        <v>165</v>
      </c>
      <c r="G3302" s="7">
        <v>99.920330000000007</v>
      </c>
      <c r="H3302" s="7"/>
    </row>
    <row r="3303" spans="1:8" x14ac:dyDescent="0.35">
      <c r="A3303" s="7" t="s">
        <v>357</v>
      </c>
      <c r="B3303" s="7" t="s">
        <v>26</v>
      </c>
      <c r="C3303" s="7" t="s">
        <v>27</v>
      </c>
      <c r="D3303" s="7" t="s">
        <v>28</v>
      </c>
      <c r="E3303" s="7" t="s">
        <v>29</v>
      </c>
      <c r="F3303" s="7" t="s">
        <v>166</v>
      </c>
      <c r="G3303" s="7">
        <v>99.952610000000007</v>
      </c>
      <c r="H3303" s="7"/>
    </row>
    <row r="3304" spans="1:8" x14ac:dyDescent="0.35">
      <c r="A3304" s="7" t="s">
        <v>357</v>
      </c>
      <c r="B3304" s="7" t="s">
        <v>26</v>
      </c>
      <c r="C3304" s="7" t="s">
        <v>27</v>
      </c>
      <c r="D3304" s="7" t="s">
        <v>28</v>
      </c>
      <c r="E3304" s="7" t="s">
        <v>29</v>
      </c>
      <c r="F3304" s="7" t="s">
        <v>167</v>
      </c>
      <c r="G3304" s="7">
        <v>100.1846</v>
      </c>
      <c r="H3304" s="7"/>
    </row>
    <row r="3305" spans="1:8" x14ac:dyDescent="0.35">
      <c r="A3305" s="7" t="s">
        <v>357</v>
      </c>
      <c r="B3305" s="7" t="s">
        <v>26</v>
      </c>
      <c r="C3305" s="7" t="s">
        <v>27</v>
      </c>
      <c r="D3305" s="7" t="s">
        <v>28</v>
      </c>
      <c r="E3305" s="7" t="s">
        <v>29</v>
      </c>
      <c r="F3305" s="7" t="s">
        <v>168</v>
      </c>
      <c r="G3305" s="7">
        <v>100.4149</v>
      </c>
      <c r="H3305" s="7"/>
    </row>
    <row r="3306" spans="1:8" x14ac:dyDescent="0.35">
      <c r="A3306" s="7" t="s">
        <v>357</v>
      </c>
      <c r="B3306" s="7" t="s">
        <v>26</v>
      </c>
      <c r="C3306" s="7" t="s">
        <v>27</v>
      </c>
      <c r="D3306" s="7" t="s">
        <v>28</v>
      </c>
      <c r="E3306" s="7" t="s">
        <v>29</v>
      </c>
      <c r="F3306" s="7" t="s">
        <v>169</v>
      </c>
      <c r="G3306" s="7">
        <v>100.554</v>
      </c>
      <c r="H3306" s="7"/>
    </row>
    <row r="3307" spans="1:8" x14ac:dyDescent="0.35">
      <c r="A3307" s="7" t="s">
        <v>357</v>
      </c>
      <c r="B3307" s="7" t="s">
        <v>26</v>
      </c>
      <c r="C3307" s="7" t="s">
        <v>27</v>
      </c>
      <c r="D3307" s="7" t="s">
        <v>28</v>
      </c>
      <c r="E3307" s="7" t="s">
        <v>29</v>
      </c>
      <c r="F3307" s="7" t="s">
        <v>170</v>
      </c>
      <c r="G3307" s="7">
        <v>100.6101</v>
      </c>
      <c r="H3307" s="7"/>
    </row>
    <row r="3308" spans="1:8" x14ac:dyDescent="0.35">
      <c r="A3308" s="7" t="s">
        <v>357</v>
      </c>
      <c r="B3308" s="7" t="s">
        <v>26</v>
      </c>
      <c r="C3308" s="7" t="s">
        <v>27</v>
      </c>
      <c r="D3308" s="7" t="s">
        <v>28</v>
      </c>
      <c r="E3308" s="7" t="s">
        <v>29</v>
      </c>
      <c r="F3308" s="7" t="s">
        <v>171</v>
      </c>
      <c r="G3308" s="7">
        <v>100.6726</v>
      </c>
      <c r="H3308" s="7"/>
    </row>
    <row r="3309" spans="1:8" x14ac:dyDescent="0.35">
      <c r="A3309" s="7" t="s">
        <v>357</v>
      </c>
      <c r="B3309" s="7" t="s">
        <v>26</v>
      </c>
      <c r="C3309" s="7" t="s">
        <v>27</v>
      </c>
      <c r="D3309" s="7" t="s">
        <v>28</v>
      </c>
      <c r="E3309" s="7" t="s">
        <v>29</v>
      </c>
      <c r="F3309" s="7" t="s">
        <v>172</v>
      </c>
      <c r="G3309" s="7">
        <v>100.79519999999999</v>
      </c>
      <c r="H3309" s="7"/>
    </row>
    <row r="3310" spans="1:8" x14ac:dyDescent="0.35">
      <c r="A3310" s="7" t="s">
        <v>357</v>
      </c>
      <c r="B3310" s="7" t="s">
        <v>26</v>
      </c>
      <c r="C3310" s="7" t="s">
        <v>27</v>
      </c>
      <c r="D3310" s="7" t="s">
        <v>28</v>
      </c>
      <c r="E3310" s="7" t="s">
        <v>29</v>
      </c>
      <c r="F3310" s="7" t="s">
        <v>173</v>
      </c>
      <c r="G3310" s="7">
        <v>100.8402</v>
      </c>
      <c r="H3310" s="7"/>
    </row>
    <row r="3311" spans="1:8" x14ac:dyDescent="0.35">
      <c r="A3311" s="7" t="s">
        <v>357</v>
      </c>
      <c r="B3311" s="7" t="s">
        <v>26</v>
      </c>
      <c r="C3311" s="7" t="s">
        <v>27</v>
      </c>
      <c r="D3311" s="7" t="s">
        <v>28</v>
      </c>
      <c r="E3311" s="7" t="s">
        <v>29</v>
      </c>
      <c r="F3311" s="7" t="s">
        <v>174</v>
      </c>
      <c r="G3311" s="7">
        <v>100.83410000000001</v>
      </c>
      <c r="H3311" s="7"/>
    </row>
    <row r="3312" spans="1:8" x14ac:dyDescent="0.35">
      <c r="A3312" s="7" t="s">
        <v>357</v>
      </c>
      <c r="B3312" s="7" t="s">
        <v>26</v>
      </c>
      <c r="C3312" s="7" t="s">
        <v>27</v>
      </c>
      <c r="D3312" s="7" t="s">
        <v>28</v>
      </c>
      <c r="E3312" s="7" t="s">
        <v>29</v>
      </c>
      <c r="F3312" s="7" t="s">
        <v>175</v>
      </c>
      <c r="G3312" s="7">
        <v>100.90689999999999</v>
      </c>
      <c r="H3312" s="7"/>
    </row>
    <row r="3313" spans="1:8" x14ac:dyDescent="0.35">
      <c r="A3313" s="7" t="s">
        <v>357</v>
      </c>
      <c r="B3313" s="7" t="s">
        <v>26</v>
      </c>
      <c r="C3313" s="7" t="s">
        <v>27</v>
      </c>
      <c r="D3313" s="7" t="s">
        <v>28</v>
      </c>
      <c r="E3313" s="7" t="s">
        <v>29</v>
      </c>
      <c r="F3313" s="7" t="s">
        <v>176</v>
      </c>
      <c r="G3313" s="7">
        <v>101.0213</v>
      </c>
      <c r="H3313" s="7"/>
    </row>
    <row r="3314" spans="1:8" x14ac:dyDescent="0.35">
      <c r="A3314" s="7" t="s">
        <v>357</v>
      </c>
      <c r="B3314" s="7" t="s">
        <v>26</v>
      </c>
      <c r="C3314" s="7" t="s">
        <v>27</v>
      </c>
      <c r="D3314" s="7" t="s">
        <v>28</v>
      </c>
      <c r="E3314" s="7" t="s">
        <v>29</v>
      </c>
      <c r="F3314" s="7" t="s">
        <v>177</v>
      </c>
      <c r="G3314" s="7">
        <v>101.0997</v>
      </c>
      <c r="H3314" s="7"/>
    </row>
    <row r="3315" spans="1:8" x14ac:dyDescent="0.35">
      <c r="A3315" s="7" t="s">
        <v>357</v>
      </c>
      <c r="B3315" s="7" t="s">
        <v>26</v>
      </c>
      <c r="C3315" s="7" t="s">
        <v>27</v>
      </c>
      <c r="D3315" s="7" t="s">
        <v>28</v>
      </c>
      <c r="E3315" s="7" t="s">
        <v>29</v>
      </c>
      <c r="F3315" s="7" t="s">
        <v>178</v>
      </c>
      <c r="G3315" s="7">
        <v>101.1101</v>
      </c>
      <c r="H3315" s="7"/>
    </row>
    <row r="3316" spans="1:8" x14ac:dyDescent="0.35">
      <c r="A3316" s="7" t="s">
        <v>357</v>
      </c>
      <c r="B3316" s="7" t="s">
        <v>26</v>
      </c>
      <c r="C3316" s="7" t="s">
        <v>27</v>
      </c>
      <c r="D3316" s="7" t="s">
        <v>28</v>
      </c>
      <c r="E3316" s="7" t="s">
        <v>29</v>
      </c>
      <c r="F3316" s="7" t="s">
        <v>179</v>
      </c>
      <c r="G3316" s="7">
        <v>101.00369999999999</v>
      </c>
      <c r="H3316" s="7"/>
    </row>
    <row r="3317" spans="1:8" x14ac:dyDescent="0.35">
      <c r="A3317" s="7" t="s">
        <v>357</v>
      </c>
      <c r="B3317" s="7" t="s">
        <v>26</v>
      </c>
      <c r="C3317" s="7" t="s">
        <v>27</v>
      </c>
      <c r="D3317" s="7" t="s">
        <v>28</v>
      </c>
      <c r="E3317" s="7" t="s">
        <v>29</v>
      </c>
      <c r="F3317" s="7" t="s">
        <v>180</v>
      </c>
      <c r="G3317" s="7">
        <v>100.84269999999999</v>
      </c>
      <c r="H3317" s="7"/>
    </row>
    <row r="3318" spans="1:8" x14ac:dyDescent="0.35">
      <c r="A3318" s="7" t="s">
        <v>357</v>
      </c>
      <c r="B3318" s="7" t="s">
        <v>26</v>
      </c>
      <c r="C3318" s="7" t="s">
        <v>27</v>
      </c>
      <c r="D3318" s="7" t="s">
        <v>28</v>
      </c>
      <c r="E3318" s="7" t="s">
        <v>29</v>
      </c>
      <c r="F3318" s="7" t="s">
        <v>181</v>
      </c>
      <c r="G3318" s="7">
        <v>100.7683</v>
      </c>
      <c r="H3318" s="7"/>
    </row>
    <row r="3319" spans="1:8" x14ac:dyDescent="0.35">
      <c r="A3319" s="7" t="s">
        <v>357</v>
      </c>
      <c r="B3319" s="7" t="s">
        <v>26</v>
      </c>
      <c r="C3319" s="7" t="s">
        <v>27</v>
      </c>
      <c r="D3319" s="7" t="s">
        <v>28</v>
      </c>
      <c r="E3319" s="7" t="s">
        <v>29</v>
      </c>
      <c r="F3319" s="7" t="s">
        <v>182</v>
      </c>
      <c r="G3319" s="7">
        <v>100.7915</v>
      </c>
      <c r="H3319" s="7"/>
    </row>
    <row r="3320" spans="1:8" x14ac:dyDescent="0.35">
      <c r="A3320" s="7" t="s">
        <v>357</v>
      </c>
      <c r="B3320" s="7" t="s">
        <v>26</v>
      </c>
      <c r="C3320" s="7" t="s">
        <v>27</v>
      </c>
      <c r="D3320" s="7" t="s">
        <v>28</v>
      </c>
      <c r="E3320" s="7" t="s">
        <v>29</v>
      </c>
      <c r="F3320" s="7" t="s">
        <v>183</v>
      </c>
      <c r="G3320" s="7">
        <v>100.8215</v>
      </c>
      <c r="H3320" s="7"/>
    </row>
    <row r="3321" spans="1:8" x14ac:dyDescent="0.35">
      <c r="A3321" s="7" t="s">
        <v>357</v>
      </c>
      <c r="B3321" s="7" t="s">
        <v>26</v>
      </c>
      <c r="C3321" s="7" t="s">
        <v>27</v>
      </c>
      <c r="D3321" s="7" t="s">
        <v>28</v>
      </c>
      <c r="E3321" s="7" t="s">
        <v>29</v>
      </c>
      <c r="F3321" s="7" t="s">
        <v>184</v>
      </c>
      <c r="G3321" s="7">
        <v>100.9199</v>
      </c>
      <c r="H3321" s="7"/>
    </row>
    <row r="3322" spans="1:8" x14ac:dyDescent="0.35">
      <c r="A3322" s="7" t="s">
        <v>357</v>
      </c>
      <c r="B3322" s="7" t="s">
        <v>26</v>
      </c>
      <c r="C3322" s="7" t="s">
        <v>27</v>
      </c>
      <c r="D3322" s="7" t="s">
        <v>28</v>
      </c>
      <c r="E3322" s="7" t="s">
        <v>29</v>
      </c>
      <c r="F3322" s="7" t="s">
        <v>185</v>
      </c>
      <c r="G3322" s="7">
        <v>101.07</v>
      </c>
      <c r="H3322" s="7"/>
    </row>
    <row r="3323" spans="1:8" x14ac:dyDescent="0.35">
      <c r="A3323" s="7" t="s">
        <v>357</v>
      </c>
      <c r="B3323" s="7" t="s">
        <v>26</v>
      </c>
      <c r="C3323" s="7" t="s">
        <v>27</v>
      </c>
      <c r="D3323" s="7" t="s">
        <v>28</v>
      </c>
      <c r="E3323" s="7" t="s">
        <v>29</v>
      </c>
      <c r="F3323" s="7" t="s">
        <v>186</v>
      </c>
      <c r="G3323" s="7">
        <v>101.23309999999999</v>
      </c>
      <c r="H3323" s="7"/>
    </row>
    <row r="3324" spans="1:8" x14ac:dyDescent="0.35">
      <c r="A3324" s="7" t="s">
        <v>357</v>
      </c>
      <c r="B3324" s="7" t="s">
        <v>26</v>
      </c>
      <c r="C3324" s="7" t="s">
        <v>27</v>
      </c>
      <c r="D3324" s="7" t="s">
        <v>28</v>
      </c>
      <c r="E3324" s="7" t="s">
        <v>29</v>
      </c>
      <c r="F3324" s="7" t="s">
        <v>187</v>
      </c>
      <c r="G3324" s="7">
        <v>101.3368</v>
      </c>
      <c r="H3324" s="7"/>
    </row>
    <row r="3325" spans="1:8" x14ac:dyDescent="0.35">
      <c r="A3325" s="7" t="s">
        <v>357</v>
      </c>
      <c r="B3325" s="7" t="s">
        <v>26</v>
      </c>
      <c r="C3325" s="7" t="s">
        <v>27</v>
      </c>
      <c r="D3325" s="7" t="s">
        <v>28</v>
      </c>
      <c r="E3325" s="7" t="s">
        <v>29</v>
      </c>
      <c r="F3325" s="7" t="s">
        <v>188</v>
      </c>
      <c r="G3325" s="7">
        <v>101.4353</v>
      </c>
      <c r="H3325" s="7"/>
    </row>
    <row r="3326" spans="1:8" x14ac:dyDescent="0.35">
      <c r="A3326" s="7" t="s">
        <v>357</v>
      </c>
      <c r="B3326" s="7" t="s">
        <v>26</v>
      </c>
      <c r="C3326" s="7" t="s">
        <v>27</v>
      </c>
      <c r="D3326" s="7" t="s">
        <v>28</v>
      </c>
      <c r="E3326" s="7" t="s">
        <v>29</v>
      </c>
      <c r="F3326" s="7" t="s">
        <v>189</v>
      </c>
      <c r="G3326" s="7">
        <v>101.5291</v>
      </c>
      <c r="H3326" s="7"/>
    </row>
    <row r="3327" spans="1:8" x14ac:dyDescent="0.35">
      <c r="A3327" s="7" t="s">
        <v>357</v>
      </c>
      <c r="B3327" s="7" t="s">
        <v>26</v>
      </c>
      <c r="C3327" s="7" t="s">
        <v>27</v>
      </c>
      <c r="D3327" s="7" t="s">
        <v>28</v>
      </c>
      <c r="E3327" s="7" t="s">
        <v>29</v>
      </c>
      <c r="F3327" s="7" t="s">
        <v>190</v>
      </c>
      <c r="G3327" s="7">
        <v>101.5586</v>
      </c>
      <c r="H3327" s="7"/>
    </row>
    <row r="3328" spans="1:8" x14ac:dyDescent="0.35">
      <c r="A3328" s="7" t="s">
        <v>357</v>
      </c>
      <c r="B3328" s="7" t="s">
        <v>26</v>
      </c>
      <c r="C3328" s="7" t="s">
        <v>27</v>
      </c>
      <c r="D3328" s="7" t="s">
        <v>28</v>
      </c>
      <c r="E3328" s="7" t="s">
        <v>29</v>
      </c>
      <c r="F3328" s="7" t="s">
        <v>191</v>
      </c>
      <c r="G3328" s="7">
        <v>101.3875</v>
      </c>
      <c r="H3328" s="7"/>
    </row>
    <row r="3329" spans="1:8" x14ac:dyDescent="0.35">
      <c r="A3329" s="7" t="s">
        <v>357</v>
      </c>
      <c r="B3329" s="7" t="s">
        <v>26</v>
      </c>
      <c r="C3329" s="7" t="s">
        <v>27</v>
      </c>
      <c r="D3329" s="7" t="s">
        <v>28</v>
      </c>
      <c r="E3329" s="7" t="s">
        <v>29</v>
      </c>
      <c r="F3329" s="7" t="s">
        <v>192</v>
      </c>
      <c r="G3329" s="7">
        <v>101.1742</v>
      </c>
      <c r="H3329" s="7"/>
    </row>
    <row r="3330" spans="1:8" x14ac:dyDescent="0.35">
      <c r="A3330" s="7" t="s">
        <v>357</v>
      </c>
      <c r="B3330" s="7" t="s">
        <v>26</v>
      </c>
      <c r="C3330" s="7" t="s">
        <v>27</v>
      </c>
      <c r="D3330" s="7" t="s">
        <v>28</v>
      </c>
      <c r="E3330" s="7" t="s">
        <v>29</v>
      </c>
      <c r="F3330" s="7" t="s">
        <v>193</v>
      </c>
      <c r="G3330" s="7">
        <v>101.0955</v>
      </c>
      <c r="H3330" s="7"/>
    </row>
    <row r="3331" spans="1:8" x14ac:dyDescent="0.35">
      <c r="A3331" s="7" t="s">
        <v>357</v>
      </c>
      <c r="B3331" s="7" t="s">
        <v>26</v>
      </c>
      <c r="C3331" s="7" t="s">
        <v>27</v>
      </c>
      <c r="D3331" s="7" t="s">
        <v>28</v>
      </c>
      <c r="E3331" s="7" t="s">
        <v>29</v>
      </c>
      <c r="F3331" s="7" t="s">
        <v>194</v>
      </c>
      <c r="G3331" s="7">
        <v>101.09829999999999</v>
      </c>
      <c r="H3331" s="7"/>
    </row>
    <row r="3332" spans="1:8" x14ac:dyDescent="0.35">
      <c r="A3332" s="7" t="s">
        <v>357</v>
      </c>
      <c r="B3332" s="7" t="s">
        <v>26</v>
      </c>
      <c r="C3332" s="7" t="s">
        <v>27</v>
      </c>
      <c r="D3332" s="7" t="s">
        <v>28</v>
      </c>
      <c r="E3332" s="7" t="s">
        <v>29</v>
      </c>
      <c r="F3332" s="7" t="s">
        <v>195</v>
      </c>
      <c r="G3332" s="7">
        <v>101.039</v>
      </c>
      <c r="H3332" s="7"/>
    </row>
    <row r="3333" spans="1:8" x14ac:dyDescent="0.35">
      <c r="A3333" s="7" t="s">
        <v>357</v>
      </c>
      <c r="B3333" s="7" t="s">
        <v>26</v>
      </c>
      <c r="C3333" s="7" t="s">
        <v>27</v>
      </c>
      <c r="D3333" s="7" t="s">
        <v>28</v>
      </c>
      <c r="E3333" s="7" t="s">
        <v>29</v>
      </c>
      <c r="F3333" s="7" t="s">
        <v>196</v>
      </c>
      <c r="G3333" s="7">
        <v>100.9128</v>
      </c>
      <c r="H3333" s="7"/>
    </row>
    <row r="3334" spans="1:8" x14ac:dyDescent="0.35">
      <c r="A3334" s="7" t="s">
        <v>357</v>
      </c>
      <c r="B3334" s="7" t="s">
        <v>26</v>
      </c>
      <c r="C3334" s="7" t="s">
        <v>27</v>
      </c>
      <c r="D3334" s="7" t="s">
        <v>28</v>
      </c>
      <c r="E3334" s="7" t="s">
        <v>29</v>
      </c>
      <c r="F3334" s="7" t="s">
        <v>197</v>
      </c>
      <c r="G3334" s="7">
        <v>100.77379999999999</v>
      </c>
      <c r="H3334" s="7"/>
    </row>
    <row r="3335" spans="1:8" x14ac:dyDescent="0.35">
      <c r="A3335" s="7" t="s">
        <v>357</v>
      </c>
      <c r="B3335" s="7" t="s">
        <v>26</v>
      </c>
      <c r="C3335" s="7" t="s">
        <v>27</v>
      </c>
      <c r="D3335" s="7" t="s">
        <v>28</v>
      </c>
      <c r="E3335" s="7" t="s">
        <v>29</v>
      </c>
      <c r="F3335" s="7" t="s">
        <v>198</v>
      </c>
      <c r="G3335" s="7">
        <v>100.7222</v>
      </c>
      <c r="H3335" s="7"/>
    </row>
    <row r="3336" spans="1:8" x14ac:dyDescent="0.35">
      <c r="A3336" s="7" t="s">
        <v>357</v>
      </c>
      <c r="B3336" s="7" t="s">
        <v>26</v>
      </c>
      <c r="C3336" s="7" t="s">
        <v>27</v>
      </c>
      <c r="D3336" s="7" t="s">
        <v>28</v>
      </c>
      <c r="E3336" s="7" t="s">
        <v>29</v>
      </c>
      <c r="F3336" s="7" t="s">
        <v>199</v>
      </c>
      <c r="G3336" s="7">
        <v>100.7667</v>
      </c>
      <c r="H3336" s="7"/>
    </row>
    <row r="3337" spans="1:8" x14ac:dyDescent="0.35">
      <c r="A3337" s="7" t="s">
        <v>357</v>
      </c>
      <c r="B3337" s="7" t="s">
        <v>26</v>
      </c>
      <c r="C3337" s="7" t="s">
        <v>27</v>
      </c>
      <c r="D3337" s="7" t="s">
        <v>28</v>
      </c>
      <c r="E3337" s="7" t="s">
        <v>29</v>
      </c>
      <c r="F3337" s="7" t="s">
        <v>200</v>
      </c>
      <c r="G3337" s="7">
        <v>100.8601</v>
      </c>
      <c r="H3337" s="7"/>
    </row>
    <row r="3338" spans="1:8" x14ac:dyDescent="0.35">
      <c r="A3338" s="7" t="s">
        <v>357</v>
      </c>
      <c r="B3338" s="7" t="s">
        <v>26</v>
      </c>
      <c r="C3338" s="7" t="s">
        <v>27</v>
      </c>
      <c r="D3338" s="7" t="s">
        <v>28</v>
      </c>
      <c r="E3338" s="7" t="s">
        <v>29</v>
      </c>
      <c r="F3338" s="7" t="s">
        <v>201</v>
      </c>
      <c r="G3338" s="7">
        <v>100.9011</v>
      </c>
      <c r="H3338" s="7"/>
    </row>
    <row r="3339" spans="1:8" x14ac:dyDescent="0.35">
      <c r="A3339" s="7" t="s">
        <v>357</v>
      </c>
      <c r="B3339" s="7" t="s">
        <v>26</v>
      </c>
      <c r="C3339" s="7" t="s">
        <v>27</v>
      </c>
      <c r="D3339" s="7" t="s">
        <v>28</v>
      </c>
      <c r="E3339" s="7" t="s">
        <v>29</v>
      </c>
      <c r="F3339" s="7" t="s">
        <v>202</v>
      </c>
      <c r="G3339" s="7">
        <v>100.82599999999999</v>
      </c>
      <c r="H3339" s="7"/>
    </row>
    <row r="3340" spans="1:8" x14ac:dyDescent="0.35">
      <c r="A3340" s="7" t="s">
        <v>357</v>
      </c>
      <c r="B3340" s="7" t="s">
        <v>26</v>
      </c>
      <c r="C3340" s="7" t="s">
        <v>27</v>
      </c>
      <c r="D3340" s="7" t="s">
        <v>28</v>
      </c>
      <c r="E3340" s="7" t="s">
        <v>29</v>
      </c>
      <c r="F3340" s="7" t="s">
        <v>203</v>
      </c>
      <c r="G3340" s="7">
        <v>100.7679</v>
      </c>
      <c r="H3340" s="7"/>
    </row>
    <row r="3341" spans="1:8" x14ac:dyDescent="0.35">
      <c r="A3341" s="7" t="s">
        <v>357</v>
      </c>
      <c r="B3341" s="7" t="s">
        <v>26</v>
      </c>
      <c r="C3341" s="7" t="s">
        <v>27</v>
      </c>
      <c r="D3341" s="7" t="s">
        <v>28</v>
      </c>
      <c r="E3341" s="7" t="s">
        <v>29</v>
      </c>
      <c r="F3341" s="7" t="s">
        <v>204</v>
      </c>
      <c r="G3341" s="7">
        <v>100.6542</v>
      </c>
      <c r="H3341" s="7"/>
    </row>
    <row r="3342" spans="1:8" x14ac:dyDescent="0.35">
      <c r="A3342" s="7" t="s">
        <v>357</v>
      </c>
      <c r="B3342" s="7" t="s">
        <v>26</v>
      </c>
      <c r="C3342" s="7" t="s">
        <v>27</v>
      </c>
      <c r="D3342" s="7" t="s">
        <v>28</v>
      </c>
      <c r="E3342" s="7" t="s">
        <v>29</v>
      </c>
      <c r="F3342" s="7" t="s">
        <v>205</v>
      </c>
      <c r="G3342" s="7">
        <v>100.6037</v>
      </c>
      <c r="H3342" s="7"/>
    </row>
    <row r="3343" spans="1:8" x14ac:dyDescent="0.35">
      <c r="A3343" s="7" t="s">
        <v>357</v>
      </c>
      <c r="B3343" s="7" t="s">
        <v>26</v>
      </c>
      <c r="C3343" s="7" t="s">
        <v>27</v>
      </c>
      <c r="D3343" s="7" t="s">
        <v>28</v>
      </c>
      <c r="E3343" s="7" t="s">
        <v>29</v>
      </c>
      <c r="F3343" s="7" t="s">
        <v>206</v>
      </c>
      <c r="G3343" s="7">
        <v>100.5626</v>
      </c>
      <c r="H3343" s="7"/>
    </row>
    <row r="3344" spans="1:8" x14ac:dyDescent="0.35">
      <c r="A3344" s="7" t="s">
        <v>357</v>
      </c>
      <c r="B3344" s="7" t="s">
        <v>26</v>
      </c>
      <c r="C3344" s="7" t="s">
        <v>27</v>
      </c>
      <c r="D3344" s="7" t="s">
        <v>28</v>
      </c>
      <c r="E3344" s="7" t="s">
        <v>29</v>
      </c>
      <c r="F3344" s="7" t="s">
        <v>207</v>
      </c>
      <c r="G3344" s="7">
        <v>100.5244</v>
      </c>
      <c r="H3344" s="7"/>
    </row>
    <row r="3345" spans="1:8" x14ac:dyDescent="0.35">
      <c r="A3345" s="7" t="s">
        <v>357</v>
      </c>
      <c r="B3345" s="7" t="s">
        <v>26</v>
      </c>
      <c r="C3345" s="7" t="s">
        <v>27</v>
      </c>
      <c r="D3345" s="7" t="s">
        <v>28</v>
      </c>
      <c r="E3345" s="7" t="s">
        <v>29</v>
      </c>
      <c r="F3345" s="7" t="s">
        <v>208</v>
      </c>
      <c r="G3345" s="7">
        <v>100.5403</v>
      </c>
      <c r="H3345" s="7"/>
    </row>
    <row r="3346" spans="1:8" x14ac:dyDescent="0.35">
      <c r="A3346" s="7" t="s">
        <v>357</v>
      </c>
      <c r="B3346" s="7" t="s">
        <v>26</v>
      </c>
      <c r="C3346" s="7" t="s">
        <v>27</v>
      </c>
      <c r="D3346" s="7" t="s">
        <v>28</v>
      </c>
      <c r="E3346" s="7" t="s">
        <v>29</v>
      </c>
      <c r="F3346" s="7" t="s">
        <v>209</v>
      </c>
      <c r="G3346" s="7">
        <v>100.6185</v>
      </c>
      <c r="H3346" s="7"/>
    </row>
    <row r="3347" spans="1:8" x14ac:dyDescent="0.35">
      <c r="A3347" s="7" t="s">
        <v>357</v>
      </c>
      <c r="B3347" s="7" t="s">
        <v>26</v>
      </c>
      <c r="C3347" s="7" t="s">
        <v>27</v>
      </c>
      <c r="D3347" s="7" t="s">
        <v>28</v>
      </c>
      <c r="E3347" s="7" t="s">
        <v>29</v>
      </c>
      <c r="F3347" s="7" t="s">
        <v>210</v>
      </c>
      <c r="G3347" s="7">
        <v>100.5853</v>
      </c>
      <c r="H3347" s="7"/>
    </row>
    <row r="3348" spans="1:8" x14ac:dyDescent="0.35">
      <c r="A3348" s="7" t="s">
        <v>357</v>
      </c>
      <c r="B3348" s="7" t="s">
        <v>26</v>
      </c>
      <c r="C3348" s="7" t="s">
        <v>27</v>
      </c>
      <c r="D3348" s="7" t="s">
        <v>28</v>
      </c>
      <c r="E3348" s="7" t="s">
        <v>29</v>
      </c>
      <c r="F3348" s="7" t="s">
        <v>211</v>
      </c>
      <c r="G3348" s="7">
        <v>100.5154</v>
      </c>
      <c r="H3348" s="7"/>
    </row>
    <row r="3349" spans="1:8" x14ac:dyDescent="0.35">
      <c r="A3349" s="7" t="s">
        <v>357</v>
      </c>
      <c r="B3349" s="7" t="s">
        <v>26</v>
      </c>
      <c r="C3349" s="7" t="s">
        <v>27</v>
      </c>
      <c r="D3349" s="7" t="s">
        <v>28</v>
      </c>
      <c r="E3349" s="7" t="s">
        <v>29</v>
      </c>
      <c r="F3349" s="7" t="s">
        <v>212</v>
      </c>
      <c r="G3349" s="7">
        <v>100.47190000000001</v>
      </c>
      <c r="H3349" s="7"/>
    </row>
    <row r="3350" spans="1:8" x14ac:dyDescent="0.35">
      <c r="A3350" s="7" t="s">
        <v>357</v>
      </c>
      <c r="B3350" s="7" t="s">
        <v>26</v>
      </c>
      <c r="C3350" s="7" t="s">
        <v>27</v>
      </c>
      <c r="D3350" s="7" t="s">
        <v>28</v>
      </c>
      <c r="E3350" s="7" t="s">
        <v>29</v>
      </c>
      <c r="F3350" s="7" t="s">
        <v>213</v>
      </c>
      <c r="G3350" s="7">
        <v>100.5151</v>
      </c>
      <c r="H3350" s="7"/>
    </row>
    <row r="3351" spans="1:8" x14ac:dyDescent="0.35">
      <c r="A3351" s="7" t="s">
        <v>357</v>
      </c>
      <c r="B3351" s="7" t="s">
        <v>26</v>
      </c>
      <c r="C3351" s="7" t="s">
        <v>27</v>
      </c>
      <c r="D3351" s="7" t="s">
        <v>28</v>
      </c>
      <c r="E3351" s="7" t="s">
        <v>29</v>
      </c>
      <c r="F3351" s="7" t="s">
        <v>214</v>
      </c>
      <c r="G3351" s="7">
        <v>100.5916</v>
      </c>
      <c r="H3351" s="7"/>
    </row>
    <row r="3352" spans="1:8" x14ac:dyDescent="0.35">
      <c r="A3352" s="7" t="s">
        <v>357</v>
      </c>
      <c r="B3352" s="7" t="s">
        <v>26</v>
      </c>
      <c r="C3352" s="7" t="s">
        <v>27</v>
      </c>
      <c r="D3352" s="7" t="s">
        <v>28</v>
      </c>
      <c r="E3352" s="7" t="s">
        <v>29</v>
      </c>
      <c r="F3352" s="7" t="s">
        <v>215</v>
      </c>
      <c r="G3352" s="7">
        <v>100.66079999999999</v>
      </c>
      <c r="H3352" s="7"/>
    </row>
    <row r="3353" spans="1:8" x14ac:dyDescent="0.35">
      <c r="A3353" s="7" t="s">
        <v>357</v>
      </c>
      <c r="B3353" s="7" t="s">
        <v>26</v>
      </c>
      <c r="C3353" s="7" t="s">
        <v>27</v>
      </c>
      <c r="D3353" s="7" t="s">
        <v>28</v>
      </c>
      <c r="E3353" s="7" t="s">
        <v>29</v>
      </c>
      <c r="F3353" s="7" t="s">
        <v>216</v>
      </c>
      <c r="G3353" s="7">
        <v>100.81829999999999</v>
      </c>
      <c r="H3353" s="7"/>
    </row>
    <row r="3354" spans="1:8" x14ac:dyDescent="0.35">
      <c r="A3354" s="7" t="s">
        <v>357</v>
      </c>
      <c r="B3354" s="7" t="s">
        <v>26</v>
      </c>
      <c r="C3354" s="7" t="s">
        <v>27</v>
      </c>
      <c r="D3354" s="7" t="s">
        <v>28</v>
      </c>
      <c r="E3354" s="7" t="s">
        <v>29</v>
      </c>
      <c r="F3354" s="7" t="s">
        <v>217</v>
      </c>
      <c r="G3354" s="7">
        <v>100.9498</v>
      </c>
      <c r="H3354" s="7"/>
    </row>
    <row r="3355" spans="1:8" x14ac:dyDescent="0.35">
      <c r="A3355" s="7" t="s">
        <v>357</v>
      </c>
      <c r="B3355" s="7" t="s">
        <v>26</v>
      </c>
      <c r="C3355" s="7" t="s">
        <v>27</v>
      </c>
      <c r="D3355" s="7" t="s">
        <v>28</v>
      </c>
      <c r="E3355" s="7" t="s">
        <v>29</v>
      </c>
      <c r="F3355" s="7" t="s">
        <v>218</v>
      </c>
      <c r="G3355" s="7">
        <v>101.02030000000001</v>
      </c>
      <c r="H3355" s="7"/>
    </row>
    <row r="3356" spans="1:8" x14ac:dyDescent="0.35">
      <c r="A3356" s="7" t="s">
        <v>357</v>
      </c>
      <c r="B3356" s="7" t="s">
        <v>26</v>
      </c>
      <c r="C3356" s="7" t="s">
        <v>27</v>
      </c>
      <c r="D3356" s="7" t="s">
        <v>28</v>
      </c>
      <c r="E3356" s="7" t="s">
        <v>29</v>
      </c>
      <c r="F3356" s="7" t="s">
        <v>219</v>
      </c>
      <c r="G3356" s="7">
        <v>101.03530000000001</v>
      </c>
      <c r="H3356" s="7"/>
    </row>
    <row r="3357" spans="1:8" x14ac:dyDescent="0.35">
      <c r="A3357" s="7" t="s">
        <v>357</v>
      </c>
      <c r="B3357" s="7" t="s">
        <v>26</v>
      </c>
      <c r="C3357" s="7" t="s">
        <v>27</v>
      </c>
      <c r="D3357" s="7" t="s">
        <v>28</v>
      </c>
      <c r="E3357" s="7" t="s">
        <v>29</v>
      </c>
      <c r="F3357" s="7" t="s">
        <v>220</v>
      </c>
      <c r="G3357" s="7">
        <v>101.00060000000001</v>
      </c>
      <c r="H3357" s="7"/>
    </row>
    <row r="3358" spans="1:8" x14ac:dyDescent="0.35">
      <c r="A3358" s="7" t="s">
        <v>357</v>
      </c>
      <c r="B3358" s="7" t="s">
        <v>26</v>
      </c>
      <c r="C3358" s="7" t="s">
        <v>27</v>
      </c>
      <c r="D3358" s="7" t="s">
        <v>28</v>
      </c>
      <c r="E3358" s="7" t="s">
        <v>29</v>
      </c>
      <c r="F3358" s="7" t="s">
        <v>221</v>
      </c>
      <c r="G3358" s="7">
        <v>100.9233</v>
      </c>
      <c r="H3358" s="7"/>
    </row>
    <row r="3359" spans="1:8" x14ac:dyDescent="0.35">
      <c r="A3359" s="7" t="s">
        <v>357</v>
      </c>
      <c r="B3359" s="7" t="s">
        <v>26</v>
      </c>
      <c r="C3359" s="7" t="s">
        <v>27</v>
      </c>
      <c r="D3359" s="7" t="s">
        <v>28</v>
      </c>
      <c r="E3359" s="7" t="s">
        <v>29</v>
      </c>
      <c r="F3359" s="7" t="s">
        <v>222</v>
      </c>
      <c r="G3359" s="7">
        <v>100.7689</v>
      </c>
      <c r="H3359" s="7"/>
    </row>
    <row r="3360" spans="1:8" x14ac:dyDescent="0.35">
      <c r="A3360" s="7" t="s">
        <v>357</v>
      </c>
      <c r="B3360" s="7" t="s">
        <v>26</v>
      </c>
      <c r="C3360" s="7" t="s">
        <v>27</v>
      </c>
      <c r="D3360" s="7" t="s">
        <v>28</v>
      </c>
      <c r="E3360" s="7" t="s">
        <v>29</v>
      </c>
      <c r="F3360" s="7" t="s">
        <v>223</v>
      </c>
      <c r="G3360" s="7">
        <v>100.5855</v>
      </c>
      <c r="H3360" s="7"/>
    </row>
    <row r="3361" spans="1:8" x14ac:dyDescent="0.35">
      <c r="A3361" s="7" t="s">
        <v>357</v>
      </c>
      <c r="B3361" s="7" t="s">
        <v>26</v>
      </c>
      <c r="C3361" s="7" t="s">
        <v>27</v>
      </c>
      <c r="D3361" s="7" t="s">
        <v>28</v>
      </c>
      <c r="E3361" s="7" t="s">
        <v>29</v>
      </c>
      <c r="F3361" s="7" t="s">
        <v>224</v>
      </c>
      <c r="G3361" s="7">
        <v>100.3646</v>
      </c>
      <c r="H3361" s="7"/>
    </row>
    <row r="3362" spans="1:8" x14ac:dyDescent="0.35">
      <c r="A3362" s="7" t="s">
        <v>357</v>
      </c>
      <c r="B3362" s="7" t="s">
        <v>26</v>
      </c>
      <c r="C3362" s="7" t="s">
        <v>27</v>
      </c>
      <c r="D3362" s="7" t="s">
        <v>28</v>
      </c>
      <c r="E3362" s="7" t="s">
        <v>29</v>
      </c>
      <c r="F3362" s="7" t="s">
        <v>225</v>
      </c>
      <c r="G3362" s="7">
        <v>100.1173</v>
      </c>
      <c r="H3362" s="7"/>
    </row>
    <row r="3363" spans="1:8" x14ac:dyDescent="0.35">
      <c r="A3363" s="7" t="s">
        <v>357</v>
      </c>
      <c r="B3363" s="7" t="s">
        <v>26</v>
      </c>
      <c r="C3363" s="7" t="s">
        <v>27</v>
      </c>
      <c r="D3363" s="7" t="s">
        <v>28</v>
      </c>
      <c r="E3363" s="7" t="s">
        <v>29</v>
      </c>
      <c r="F3363" s="7" t="s">
        <v>226</v>
      </c>
      <c r="G3363" s="7">
        <v>99.817279999999997</v>
      </c>
      <c r="H3363" s="7"/>
    </row>
    <row r="3364" spans="1:8" x14ac:dyDescent="0.35">
      <c r="A3364" s="7" t="s">
        <v>357</v>
      </c>
      <c r="B3364" s="7" t="s">
        <v>26</v>
      </c>
      <c r="C3364" s="7" t="s">
        <v>27</v>
      </c>
      <c r="D3364" s="7" t="s">
        <v>28</v>
      </c>
      <c r="E3364" s="7" t="s">
        <v>29</v>
      </c>
      <c r="F3364" s="7" t="s">
        <v>227</v>
      </c>
      <c r="G3364" s="7">
        <v>99.386279999999999</v>
      </c>
      <c r="H3364" s="7"/>
    </row>
    <row r="3365" spans="1:8" x14ac:dyDescent="0.35">
      <c r="A3365" s="7" t="s">
        <v>357</v>
      </c>
      <c r="B3365" s="7" t="s">
        <v>26</v>
      </c>
      <c r="C3365" s="7" t="s">
        <v>27</v>
      </c>
      <c r="D3365" s="7" t="s">
        <v>28</v>
      </c>
      <c r="E3365" s="7" t="s">
        <v>29</v>
      </c>
      <c r="F3365" s="7" t="s">
        <v>228</v>
      </c>
      <c r="G3365" s="7">
        <v>98.871030000000005</v>
      </c>
      <c r="H3365" s="7"/>
    </row>
    <row r="3366" spans="1:8" x14ac:dyDescent="0.35">
      <c r="A3366" s="7" t="s">
        <v>357</v>
      </c>
      <c r="B3366" s="7" t="s">
        <v>26</v>
      </c>
      <c r="C3366" s="7" t="s">
        <v>27</v>
      </c>
      <c r="D3366" s="7" t="s">
        <v>28</v>
      </c>
      <c r="E3366" s="7" t="s">
        <v>29</v>
      </c>
      <c r="F3366" s="7" t="s">
        <v>229</v>
      </c>
      <c r="G3366" s="7">
        <v>98.257570000000001</v>
      </c>
      <c r="H3366" s="7"/>
    </row>
    <row r="3367" spans="1:8" x14ac:dyDescent="0.35">
      <c r="A3367" s="7" t="s">
        <v>357</v>
      </c>
      <c r="B3367" s="7" t="s">
        <v>26</v>
      </c>
      <c r="C3367" s="7" t="s">
        <v>27</v>
      </c>
      <c r="D3367" s="7" t="s">
        <v>28</v>
      </c>
      <c r="E3367" s="7" t="s">
        <v>29</v>
      </c>
      <c r="F3367" s="7" t="s">
        <v>230</v>
      </c>
      <c r="G3367" s="7">
        <v>97.755439999999993</v>
      </c>
      <c r="H3367" s="7"/>
    </row>
    <row r="3368" spans="1:8" x14ac:dyDescent="0.35">
      <c r="A3368" s="7" t="s">
        <v>357</v>
      </c>
      <c r="B3368" s="7" t="s">
        <v>26</v>
      </c>
      <c r="C3368" s="7" t="s">
        <v>27</v>
      </c>
      <c r="D3368" s="7" t="s">
        <v>28</v>
      </c>
      <c r="E3368" s="7" t="s">
        <v>29</v>
      </c>
      <c r="F3368" s="7" t="s">
        <v>231</v>
      </c>
      <c r="G3368" s="7">
        <v>97.578959999999995</v>
      </c>
      <c r="H3368" s="7"/>
    </row>
    <row r="3369" spans="1:8" x14ac:dyDescent="0.35">
      <c r="A3369" s="7" t="s">
        <v>357</v>
      </c>
      <c r="B3369" s="7" t="s">
        <v>26</v>
      </c>
      <c r="C3369" s="7" t="s">
        <v>27</v>
      </c>
      <c r="D3369" s="7" t="s">
        <v>28</v>
      </c>
      <c r="E3369" s="7" t="s">
        <v>29</v>
      </c>
      <c r="F3369" s="7" t="s">
        <v>232</v>
      </c>
      <c r="G3369" s="7">
        <v>97.493799999999993</v>
      </c>
      <c r="H3369" s="7"/>
    </row>
    <row r="3370" spans="1:8" x14ac:dyDescent="0.35">
      <c r="A3370" s="7" t="s">
        <v>357</v>
      </c>
      <c r="B3370" s="7" t="s">
        <v>26</v>
      </c>
      <c r="C3370" s="7" t="s">
        <v>27</v>
      </c>
      <c r="D3370" s="7" t="s">
        <v>28</v>
      </c>
      <c r="E3370" s="7" t="s">
        <v>29</v>
      </c>
      <c r="F3370" s="7" t="s">
        <v>233</v>
      </c>
      <c r="G3370" s="7">
        <v>97.270939999999996</v>
      </c>
      <c r="H3370" s="7"/>
    </row>
    <row r="3371" spans="1:8" x14ac:dyDescent="0.35">
      <c r="A3371" s="7" t="s">
        <v>357</v>
      </c>
      <c r="B3371" s="7" t="s">
        <v>26</v>
      </c>
      <c r="C3371" s="7" t="s">
        <v>27</v>
      </c>
      <c r="D3371" s="7" t="s">
        <v>28</v>
      </c>
      <c r="E3371" s="7" t="s">
        <v>29</v>
      </c>
      <c r="F3371" s="7" t="s">
        <v>234</v>
      </c>
      <c r="G3371" s="7">
        <v>97.002939999999995</v>
      </c>
      <c r="H3371" s="7"/>
    </row>
    <row r="3372" spans="1:8" x14ac:dyDescent="0.35">
      <c r="A3372" s="7" t="s">
        <v>357</v>
      </c>
      <c r="B3372" s="7" t="s">
        <v>26</v>
      </c>
      <c r="C3372" s="7" t="s">
        <v>27</v>
      </c>
      <c r="D3372" s="7" t="s">
        <v>28</v>
      </c>
      <c r="E3372" s="7" t="s">
        <v>29</v>
      </c>
      <c r="F3372" s="7" t="s">
        <v>235</v>
      </c>
      <c r="G3372" s="7">
        <v>96.694940000000003</v>
      </c>
      <c r="H3372" s="7"/>
    </row>
    <row r="3373" spans="1:8" x14ac:dyDescent="0.35">
      <c r="A3373" s="7" t="s">
        <v>357</v>
      </c>
      <c r="B3373" s="7" t="s">
        <v>26</v>
      </c>
      <c r="C3373" s="7" t="s">
        <v>27</v>
      </c>
      <c r="D3373" s="7" t="s">
        <v>28</v>
      </c>
      <c r="E3373" s="7" t="s">
        <v>29</v>
      </c>
      <c r="F3373" s="7" t="s">
        <v>236</v>
      </c>
      <c r="G3373" s="7">
        <v>96.486469999999997</v>
      </c>
      <c r="H3373" s="7"/>
    </row>
    <row r="3374" spans="1:8" x14ac:dyDescent="0.35">
      <c r="A3374" s="7" t="s">
        <v>357</v>
      </c>
      <c r="B3374" s="7" t="s">
        <v>26</v>
      </c>
      <c r="C3374" s="7" t="s">
        <v>27</v>
      </c>
      <c r="D3374" s="7" t="s">
        <v>28</v>
      </c>
      <c r="E3374" s="7" t="s">
        <v>29</v>
      </c>
      <c r="F3374" s="7" t="s">
        <v>237</v>
      </c>
      <c r="G3374" s="7">
        <v>96.72824</v>
      </c>
      <c r="H3374" s="7"/>
    </row>
    <row r="3375" spans="1:8" x14ac:dyDescent="0.35">
      <c r="A3375" s="7" t="s">
        <v>357</v>
      </c>
      <c r="B3375" s="7" t="s">
        <v>26</v>
      </c>
      <c r="C3375" s="7" t="s">
        <v>27</v>
      </c>
      <c r="D3375" s="7" t="s">
        <v>28</v>
      </c>
      <c r="E3375" s="7" t="s">
        <v>29</v>
      </c>
      <c r="F3375" s="7" t="s">
        <v>238</v>
      </c>
      <c r="G3375" s="7">
        <v>97.265979999999999</v>
      </c>
      <c r="H3375" s="7"/>
    </row>
    <row r="3376" spans="1:8" x14ac:dyDescent="0.35">
      <c r="A3376" s="7" t="s">
        <v>357</v>
      </c>
      <c r="B3376" s="7" t="s">
        <v>26</v>
      </c>
      <c r="C3376" s="7" t="s">
        <v>27</v>
      </c>
      <c r="D3376" s="7" t="s">
        <v>28</v>
      </c>
      <c r="E3376" s="7" t="s">
        <v>29</v>
      </c>
      <c r="F3376" s="7" t="s">
        <v>239</v>
      </c>
      <c r="G3376" s="7">
        <v>97.861339999999998</v>
      </c>
      <c r="H3376" s="7"/>
    </row>
    <row r="3377" spans="1:8" x14ac:dyDescent="0.35">
      <c r="A3377" s="7" t="s">
        <v>357</v>
      </c>
      <c r="B3377" s="7" t="s">
        <v>26</v>
      </c>
      <c r="C3377" s="7" t="s">
        <v>27</v>
      </c>
      <c r="D3377" s="7" t="s">
        <v>28</v>
      </c>
      <c r="E3377" s="7" t="s">
        <v>29</v>
      </c>
      <c r="F3377" s="7" t="s">
        <v>240</v>
      </c>
      <c r="G3377" s="7">
        <v>98.270579999999995</v>
      </c>
      <c r="H3377" s="7"/>
    </row>
    <row r="3378" spans="1:8" x14ac:dyDescent="0.35">
      <c r="A3378" s="7" t="s">
        <v>357</v>
      </c>
      <c r="B3378" s="7" t="s">
        <v>26</v>
      </c>
      <c r="C3378" s="7" t="s">
        <v>27</v>
      </c>
      <c r="D3378" s="7" t="s">
        <v>28</v>
      </c>
      <c r="E3378" s="7" t="s">
        <v>29</v>
      </c>
      <c r="F3378" s="7" t="s">
        <v>241</v>
      </c>
      <c r="G3378" s="7">
        <v>98.604680000000002</v>
      </c>
      <c r="H3378" s="7"/>
    </row>
    <row r="3379" spans="1:8" x14ac:dyDescent="0.35">
      <c r="A3379" s="7" t="s">
        <v>357</v>
      </c>
      <c r="B3379" s="7" t="s">
        <v>26</v>
      </c>
      <c r="C3379" s="7" t="s">
        <v>27</v>
      </c>
      <c r="D3379" s="7" t="s">
        <v>28</v>
      </c>
      <c r="E3379" s="7" t="s">
        <v>29</v>
      </c>
      <c r="F3379" s="7" t="s">
        <v>242</v>
      </c>
      <c r="G3379" s="7">
        <v>98.904759999999996</v>
      </c>
      <c r="H3379" s="7"/>
    </row>
    <row r="3380" spans="1:8" x14ac:dyDescent="0.35">
      <c r="A3380" s="7" t="s">
        <v>357</v>
      </c>
      <c r="B3380" s="7" t="s">
        <v>26</v>
      </c>
      <c r="C3380" s="7" t="s">
        <v>27</v>
      </c>
      <c r="D3380" s="7" t="s">
        <v>28</v>
      </c>
      <c r="E3380" s="7" t="s">
        <v>29</v>
      </c>
      <c r="F3380" s="7" t="s">
        <v>243</v>
      </c>
      <c r="G3380" s="7">
        <v>99.224019999999996</v>
      </c>
      <c r="H3380" s="7"/>
    </row>
    <row r="3381" spans="1:8" x14ac:dyDescent="0.35">
      <c r="A3381" s="7" t="s">
        <v>357</v>
      </c>
      <c r="B3381" s="7" t="s">
        <v>26</v>
      </c>
      <c r="C3381" s="7" t="s">
        <v>27</v>
      </c>
      <c r="D3381" s="7" t="s">
        <v>28</v>
      </c>
      <c r="E3381" s="7" t="s">
        <v>29</v>
      </c>
      <c r="F3381" s="7" t="s">
        <v>244</v>
      </c>
      <c r="G3381" s="7">
        <v>99.651300000000006</v>
      </c>
      <c r="H3381" s="7"/>
    </row>
    <row r="3382" spans="1:8" x14ac:dyDescent="0.35">
      <c r="A3382" s="7" t="s">
        <v>357</v>
      </c>
      <c r="B3382" s="7" t="s">
        <v>26</v>
      </c>
      <c r="C3382" s="7" t="s">
        <v>27</v>
      </c>
      <c r="D3382" s="7" t="s">
        <v>28</v>
      </c>
      <c r="E3382" s="7" t="s">
        <v>29</v>
      </c>
      <c r="F3382" s="7" t="s">
        <v>245</v>
      </c>
      <c r="G3382" s="7">
        <v>99.960999999999999</v>
      </c>
      <c r="H3382" s="7"/>
    </row>
    <row r="3383" spans="1:8" x14ac:dyDescent="0.35">
      <c r="A3383" s="7" t="s">
        <v>357</v>
      </c>
      <c r="B3383" s="7" t="s">
        <v>26</v>
      </c>
      <c r="C3383" s="7" t="s">
        <v>27</v>
      </c>
      <c r="D3383" s="7" t="s">
        <v>28</v>
      </c>
      <c r="E3383" s="7" t="s">
        <v>29</v>
      </c>
      <c r="F3383" s="7" t="s">
        <v>246</v>
      </c>
      <c r="G3383" s="7">
        <v>100.1259</v>
      </c>
      <c r="H3383" s="7"/>
    </row>
    <row r="3384" spans="1:8" x14ac:dyDescent="0.35">
      <c r="A3384" s="7" t="s">
        <v>357</v>
      </c>
      <c r="B3384" s="7" t="s">
        <v>26</v>
      </c>
      <c r="C3384" s="7" t="s">
        <v>27</v>
      </c>
      <c r="D3384" s="7" t="s">
        <v>28</v>
      </c>
      <c r="E3384" s="7" t="s">
        <v>29</v>
      </c>
      <c r="F3384" s="7" t="s">
        <v>247</v>
      </c>
      <c r="G3384" s="7">
        <v>100.2848</v>
      </c>
      <c r="H3384" s="7"/>
    </row>
    <row r="3385" spans="1:8" x14ac:dyDescent="0.35">
      <c r="A3385" s="7" t="s">
        <v>357</v>
      </c>
      <c r="B3385" s="7" t="s">
        <v>26</v>
      </c>
      <c r="C3385" s="7" t="s">
        <v>27</v>
      </c>
      <c r="D3385" s="7" t="s">
        <v>28</v>
      </c>
      <c r="E3385" s="7" t="s">
        <v>29</v>
      </c>
      <c r="F3385" s="7" t="s">
        <v>248</v>
      </c>
      <c r="G3385" s="7">
        <v>100.5778</v>
      </c>
      <c r="H3385" s="7"/>
    </row>
    <row r="3386" spans="1:8" x14ac:dyDescent="0.35">
      <c r="A3386" s="7" t="s">
        <v>357</v>
      </c>
      <c r="B3386" s="7" t="s">
        <v>26</v>
      </c>
      <c r="C3386" s="7" t="s">
        <v>27</v>
      </c>
      <c r="D3386" s="7" t="s">
        <v>28</v>
      </c>
      <c r="E3386" s="7" t="s">
        <v>29</v>
      </c>
      <c r="F3386" s="7" t="s">
        <v>249</v>
      </c>
      <c r="G3386" s="7">
        <v>100.77119999999999</v>
      </c>
      <c r="H3386" s="7"/>
    </row>
    <row r="3387" spans="1:8" x14ac:dyDescent="0.35">
      <c r="A3387" s="7" t="s">
        <v>357</v>
      </c>
      <c r="B3387" s="7" t="s">
        <v>26</v>
      </c>
      <c r="C3387" s="7" t="s">
        <v>27</v>
      </c>
      <c r="D3387" s="7" t="s">
        <v>28</v>
      </c>
      <c r="E3387" s="7" t="s">
        <v>29</v>
      </c>
      <c r="F3387" s="7" t="s">
        <v>250</v>
      </c>
      <c r="G3387" s="7">
        <v>100.6741</v>
      </c>
      <c r="H3387" s="7"/>
    </row>
    <row r="3388" spans="1:8" x14ac:dyDescent="0.35">
      <c r="A3388" s="7" t="s">
        <v>357</v>
      </c>
      <c r="B3388" s="7" t="s">
        <v>26</v>
      </c>
      <c r="C3388" s="7" t="s">
        <v>27</v>
      </c>
      <c r="D3388" s="7" t="s">
        <v>28</v>
      </c>
      <c r="E3388" s="7" t="s">
        <v>29</v>
      </c>
      <c r="F3388" s="7" t="s">
        <v>251</v>
      </c>
      <c r="G3388" s="7">
        <v>100.3913</v>
      </c>
      <c r="H3388" s="7"/>
    </row>
    <row r="3389" spans="1:8" x14ac:dyDescent="0.35">
      <c r="A3389" s="7" t="s">
        <v>357</v>
      </c>
      <c r="B3389" s="7" t="s">
        <v>26</v>
      </c>
      <c r="C3389" s="7" t="s">
        <v>27</v>
      </c>
      <c r="D3389" s="7" t="s">
        <v>28</v>
      </c>
      <c r="E3389" s="7" t="s">
        <v>29</v>
      </c>
      <c r="F3389" s="7" t="s">
        <v>252</v>
      </c>
      <c r="G3389" s="7">
        <v>99.989040000000003</v>
      </c>
      <c r="H3389" s="7"/>
    </row>
    <row r="3390" spans="1:8" x14ac:dyDescent="0.35">
      <c r="A3390" s="7" t="s">
        <v>357</v>
      </c>
      <c r="B3390" s="7" t="s">
        <v>26</v>
      </c>
      <c r="C3390" s="7" t="s">
        <v>27</v>
      </c>
      <c r="D3390" s="7" t="s">
        <v>28</v>
      </c>
      <c r="E3390" s="7" t="s">
        <v>29</v>
      </c>
      <c r="F3390" s="7" t="s">
        <v>253</v>
      </c>
      <c r="G3390" s="7">
        <v>99.577579999999998</v>
      </c>
      <c r="H3390" s="7"/>
    </row>
    <row r="3391" spans="1:8" x14ac:dyDescent="0.35">
      <c r="A3391" s="7" t="s">
        <v>357</v>
      </c>
      <c r="B3391" s="7" t="s">
        <v>26</v>
      </c>
      <c r="C3391" s="7" t="s">
        <v>27</v>
      </c>
      <c r="D3391" s="7" t="s">
        <v>28</v>
      </c>
      <c r="E3391" s="7" t="s">
        <v>29</v>
      </c>
      <c r="F3391" s="7" t="s">
        <v>254</v>
      </c>
      <c r="G3391" s="7">
        <v>99.204880000000003</v>
      </c>
      <c r="H3391" s="7"/>
    </row>
    <row r="3392" spans="1:8" x14ac:dyDescent="0.35">
      <c r="A3392" s="7" t="s">
        <v>357</v>
      </c>
      <c r="B3392" s="7" t="s">
        <v>26</v>
      </c>
      <c r="C3392" s="7" t="s">
        <v>27</v>
      </c>
      <c r="D3392" s="7" t="s">
        <v>28</v>
      </c>
      <c r="E3392" s="7" t="s">
        <v>29</v>
      </c>
      <c r="F3392" s="7" t="s">
        <v>255</v>
      </c>
      <c r="G3392" s="7">
        <v>99.083079999999995</v>
      </c>
      <c r="H3392" s="7"/>
    </row>
    <row r="3393" spans="1:8" x14ac:dyDescent="0.35">
      <c r="A3393" s="7" t="s">
        <v>357</v>
      </c>
      <c r="B3393" s="7" t="s">
        <v>26</v>
      </c>
      <c r="C3393" s="7" t="s">
        <v>27</v>
      </c>
      <c r="D3393" s="7" t="s">
        <v>28</v>
      </c>
      <c r="E3393" s="7" t="s">
        <v>29</v>
      </c>
      <c r="F3393" s="7" t="s">
        <v>256</v>
      </c>
      <c r="G3393" s="7">
        <v>98.944109999999995</v>
      </c>
      <c r="H3393" s="7"/>
    </row>
    <row r="3394" spans="1:8" x14ac:dyDescent="0.35">
      <c r="A3394" s="7" t="s">
        <v>357</v>
      </c>
      <c r="B3394" s="7" t="s">
        <v>26</v>
      </c>
      <c r="C3394" s="7" t="s">
        <v>27</v>
      </c>
      <c r="D3394" s="7" t="s">
        <v>28</v>
      </c>
      <c r="E3394" s="7" t="s">
        <v>29</v>
      </c>
      <c r="F3394" s="7" t="s">
        <v>257</v>
      </c>
      <c r="G3394" s="7">
        <v>98.824129999999997</v>
      </c>
      <c r="H3394" s="7"/>
    </row>
    <row r="3395" spans="1:8" x14ac:dyDescent="0.35">
      <c r="A3395" s="7" t="s">
        <v>357</v>
      </c>
      <c r="B3395" s="7" t="s">
        <v>26</v>
      </c>
      <c r="C3395" s="7" t="s">
        <v>27</v>
      </c>
      <c r="D3395" s="7" t="s">
        <v>28</v>
      </c>
      <c r="E3395" s="7" t="s">
        <v>29</v>
      </c>
      <c r="F3395" s="7" t="s">
        <v>258</v>
      </c>
      <c r="G3395" s="7">
        <v>98.647710000000004</v>
      </c>
      <c r="H3395" s="7"/>
    </row>
    <row r="3396" spans="1:8" x14ac:dyDescent="0.35">
      <c r="A3396" s="7" t="s">
        <v>357</v>
      </c>
      <c r="B3396" s="7" t="s">
        <v>26</v>
      </c>
      <c r="C3396" s="7" t="s">
        <v>27</v>
      </c>
      <c r="D3396" s="7" t="s">
        <v>28</v>
      </c>
      <c r="E3396" s="7" t="s">
        <v>29</v>
      </c>
      <c r="F3396" s="7" t="s">
        <v>259</v>
      </c>
      <c r="G3396" s="7">
        <v>98.440299999999993</v>
      </c>
      <c r="H3396" s="7"/>
    </row>
    <row r="3397" spans="1:8" x14ac:dyDescent="0.35">
      <c r="A3397" s="7" t="s">
        <v>357</v>
      </c>
      <c r="B3397" s="7" t="s">
        <v>26</v>
      </c>
      <c r="C3397" s="7" t="s">
        <v>27</v>
      </c>
      <c r="D3397" s="7" t="s">
        <v>28</v>
      </c>
      <c r="E3397" s="7" t="s">
        <v>29</v>
      </c>
      <c r="F3397" s="7" t="s">
        <v>260</v>
      </c>
      <c r="G3397" s="7">
        <v>98.150180000000006</v>
      </c>
      <c r="H3397" s="7"/>
    </row>
    <row r="3398" spans="1:8" x14ac:dyDescent="0.35">
      <c r="A3398" s="7" t="s">
        <v>357</v>
      </c>
      <c r="B3398" s="7" t="s">
        <v>26</v>
      </c>
      <c r="C3398" s="7" t="s">
        <v>27</v>
      </c>
      <c r="D3398" s="7" t="s">
        <v>28</v>
      </c>
      <c r="E3398" s="7" t="s">
        <v>29</v>
      </c>
      <c r="F3398" s="7" t="s">
        <v>261</v>
      </c>
      <c r="G3398" s="7">
        <v>97.917540000000002</v>
      </c>
      <c r="H3398" s="7"/>
    </row>
    <row r="3399" spans="1:8" x14ac:dyDescent="0.35">
      <c r="A3399" s="7" t="s">
        <v>357</v>
      </c>
      <c r="B3399" s="7" t="s">
        <v>26</v>
      </c>
      <c r="C3399" s="7" t="s">
        <v>27</v>
      </c>
      <c r="D3399" s="7" t="s">
        <v>28</v>
      </c>
      <c r="E3399" s="7" t="s">
        <v>29</v>
      </c>
      <c r="F3399" s="7" t="s">
        <v>262</v>
      </c>
      <c r="G3399" s="7">
        <v>97.933030000000002</v>
      </c>
      <c r="H3399" s="7"/>
    </row>
    <row r="3400" spans="1:8" x14ac:dyDescent="0.35">
      <c r="A3400" s="7" t="s">
        <v>357</v>
      </c>
      <c r="B3400" s="7" t="s">
        <v>26</v>
      </c>
      <c r="C3400" s="7" t="s">
        <v>27</v>
      </c>
      <c r="D3400" s="7" t="s">
        <v>28</v>
      </c>
      <c r="E3400" s="7" t="s">
        <v>29</v>
      </c>
      <c r="F3400" s="7" t="s">
        <v>263</v>
      </c>
      <c r="G3400" s="7">
        <v>98.161869999999993</v>
      </c>
      <c r="H3400" s="7"/>
    </row>
    <row r="3401" spans="1:8" x14ac:dyDescent="0.35">
      <c r="A3401" s="7" t="s">
        <v>357</v>
      </c>
      <c r="B3401" s="7" t="s">
        <v>26</v>
      </c>
      <c r="C3401" s="7" t="s">
        <v>27</v>
      </c>
      <c r="D3401" s="7" t="s">
        <v>28</v>
      </c>
      <c r="E3401" s="7" t="s">
        <v>29</v>
      </c>
      <c r="F3401" s="7" t="s">
        <v>264</v>
      </c>
      <c r="G3401" s="7">
        <v>98.590350000000001</v>
      </c>
      <c r="H3401" s="7"/>
    </row>
    <row r="3402" spans="1:8" x14ac:dyDescent="0.35">
      <c r="A3402" s="7" t="s">
        <v>357</v>
      </c>
      <c r="B3402" s="7" t="s">
        <v>26</v>
      </c>
      <c r="C3402" s="7" t="s">
        <v>27</v>
      </c>
      <c r="D3402" s="7" t="s">
        <v>28</v>
      </c>
      <c r="E3402" s="7" t="s">
        <v>29</v>
      </c>
      <c r="F3402" s="7" t="s">
        <v>265</v>
      </c>
      <c r="G3402" s="7">
        <v>98.7196</v>
      </c>
      <c r="H3402" s="7"/>
    </row>
    <row r="3403" spans="1:8" x14ac:dyDescent="0.35">
      <c r="A3403" s="7" t="s">
        <v>357</v>
      </c>
      <c r="B3403" s="7" t="s">
        <v>26</v>
      </c>
      <c r="C3403" s="7" t="s">
        <v>27</v>
      </c>
      <c r="D3403" s="7" t="s">
        <v>28</v>
      </c>
      <c r="E3403" s="7" t="s">
        <v>29</v>
      </c>
      <c r="F3403" s="7" t="s">
        <v>266</v>
      </c>
      <c r="G3403" s="7">
        <v>98.601140000000001</v>
      </c>
      <c r="H3403" s="7"/>
    </row>
    <row r="3404" spans="1:8" x14ac:dyDescent="0.35">
      <c r="A3404" s="7" t="s">
        <v>357</v>
      </c>
      <c r="B3404" s="7" t="s">
        <v>26</v>
      </c>
      <c r="C3404" s="7" t="s">
        <v>27</v>
      </c>
      <c r="D3404" s="7" t="s">
        <v>28</v>
      </c>
      <c r="E3404" s="7" t="s">
        <v>29</v>
      </c>
      <c r="F3404" s="7" t="s">
        <v>267</v>
      </c>
      <c r="G3404" s="7">
        <v>98.353200000000001</v>
      </c>
      <c r="H3404" s="7"/>
    </row>
    <row r="3405" spans="1:8" x14ac:dyDescent="0.35">
      <c r="A3405" s="7" t="s">
        <v>357</v>
      </c>
      <c r="B3405" s="7" t="s">
        <v>26</v>
      </c>
      <c r="C3405" s="7" t="s">
        <v>27</v>
      </c>
      <c r="D3405" s="7" t="s">
        <v>28</v>
      </c>
      <c r="E3405" s="7" t="s">
        <v>29</v>
      </c>
      <c r="F3405" s="7" t="s">
        <v>268</v>
      </c>
      <c r="G3405" s="7">
        <v>98.063360000000003</v>
      </c>
      <c r="H3405" s="7"/>
    </row>
    <row r="3406" spans="1:8" x14ac:dyDescent="0.35">
      <c r="A3406" s="7" t="s">
        <v>357</v>
      </c>
      <c r="B3406" s="7" t="s">
        <v>26</v>
      </c>
      <c r="C3406" s="7" t="s">
        <v>27</v>
      </c>
      <c r="D3406" s="7" t="s">
        <v>28</v>
      </c>
      <c r="E3406" s="7" t="s">
        <v>29</v>
      </c>
      <c r="F3406" s="7" t="s">
        <v>269</v>
      </c>
      <c r="G3406" s="7">
        <v>97.820840000000004</v>
      </c>
      <c r="H3406" s="7"/>
    </row>
    <row r="3407" spans="1:8" x14ac:dyDescent="0.35">
      <c r="A3407" s="7" t="s">
        <v>357</v>
      </c>
      <c r="B3407" s="7" t="s">
        <v>26</v>
      </c>
      <c r="C3407" s="7" t="s">
        <v>27</v>
      </c>
      <c r="D3407" s="7" t="s">
        <v>28</v>
      </c>
      <c r="E3407" s="7" t="s">
        <v>29</v>
      </c>
      <c r="F3407" s="7" t="s">
        <v>270</v>
      </c>
      <c r="G3407" s="7">
        <v>97.713449999999995</v>
      </c>
      <c r="H3407" s="7"/>
    </row>
    <row r="3408" spans="1:8" x14ac:dyDescent="0.35">
      <c r="A3408" s="7" t="s">
        <v>357</v>
      </c>
      <c r="B3408" s="7" t="s">
        <v>26</v>
      </c>
      <c r="C3408" s="7" t="s">
        <v>27</v>
      </c>
      <c r="D3408" s="7" t="s">
        <v>28</v>
      </c>
      <c r="E3408" s="7" t="s">
        <v>29</v>
      </c>
      <c r="F3408" s="7" t="s">
        <v>271</v>
      </c>
      <c r="G3408" s="7">
        <v>97.715670000000003</v>
      </c>
      <c r="H3408" s="7"/>
    </row>
    <row r="3409" spans="1:8" x14ac:dyDescent="0.35">
      <c r="A3409" s="7" t="s">
        <v>357</v>
      </c>
      <c r="B3409" s="7" t="s">
        <v>26</v>
      </c>
      <c r="C3409" s="7" t="s">
        <v>27</v>
      </c>
      <c r="D3409" s="7" t="s">
        <v>28</v>
      </c>
      <c r="E3409" s="7" t="s">
        <v>29</v>
      </c>
      <c r="F3409" s="7" t="s">
        <v>272</v>
      </c>
      <c r="G3409" s="7">
        <v>97.87312</v>
      </c>
      <c r="H3409" s="7"/>
    </row>
    <row r="3410" spans="1:8" x14ac:dyDescent="0.35">
      <c r="A3410" s="7" t="s">
        <v>357</v>
      </c>
      <c r="B3410" s="7" t="s">
        <v>26</v>
      </c>
      <c r="C3410" s="7" t="s">
        <v>27</v>
      </c>
      <c r="D3410" s="7" t="s">
        <v>28</v>
      </c>
      <c r="E3410" s="7" t="s">
        <v>29</v>
      </c>
      <c r="F3410" s="7" t="s">
        <v>273</v>
      </c>
      <c r="G3410" s="7">
        <v>97.976709999999997</v>
      </c>
      <c r="H3410" s="7"/>
    </row>
    <row r="3411" spans="1:8" x14ac:dyDescent="0.35">
      <c r="A3411" s="7" t="s">
        <v>357</v>
      </c>
      <c r="B3411" s="7" t="s">
        <v>26</v>
      </c>
      <c r="C3411" s="7" t="s">
        <v>27</v>
      </c>
      <c r="D3411" s="7" t="s">
        <v>28</v>
      </c>
      <c r="E3411" s="7" t="s">
        <v>29</v>
      </c>
      <c r="F3411" s="7" t="s">
        <v>274</v>
      </c>
      <c r="G3411" s="7">
        <v>97.944519999999997</v>
      </c>
      <c r="H3411" s="7"/>
    </row>
    <row r="3412" spans="1:8" x14ac:dyDescent="0.35">
      <c r="A3412" s="7" t="s">
        <v>357</v>
      </c>
      <c r="B3412" s="7" t="s">
        <v>26</v>
      </c>
      <c r="C3412" s="7" t="s">
        <v>27</v>
      </c>
      <c r="D3412" s="7" t="s">
        <v>28</v>
      </c>
      <c r="E3412" s="7" t="s">
        <v>29</v>
      </c>
      <c r="F3412" s="7" t="s">
        <v>275</v>
      </c>
      <c r="G3412" s="7">
        <v>97.903220000000005</v>
      </c>
      <c r="H3412" s="7"/>
    </row>
    <row r="3413" spans="1:8" x14ac:dyDescent="0.35">
      <c r="A3413" s="7" t="s">
        <v>357</v>
      </c>
      <c r="B3413" s="7" t="s">
        <v>26</v>
      </c>
      <c r="C3413" s="7" t="s">
        <v>27</v>
      </c>
      <c r="D3413" s="7" t="s">
        <v>28</v>
      </c>
      <c r="E3413" s="7" t="s">
        <v>29</v>
      </c>
      <c r="F3413" s="7" t="s">
        <v>276</v>
      </c>
      <c r="G3413" s="7">
        <v>98.019880000000001</v>
      </c>
      <c r="H3413" s="7"/>
    </row>
    <row r="3414" spans="1:8" x14ac:dyDescent="0.35">
      <c r="A3414" s="7" t="s">
        <v>357</v>
      </c>
      <c r="B3414" s="7" t="s">
        <v>26</v>
      </c>
      <c r="C3414" s="7" t="s">
        <v>27</v>
      </c>
      <c r="D3414" s="7" t="s">
        <v>28</v>
      </c>
      <c r="E3414" s="7" t="s">
        <v>29</v>
      </c>
      <c r="F3414" s="7" t="s">
        <v>277</v>
      </c>
      <c r="G3414" s="7">
        <v>98.204220000000007</v>
      </c>
      <c r="H3414" s="7"/>
    </row>
    <row r="3415" spans="1:8" x14ac:dyDescent="0.35">
      <c r="A3415" s="7" t="s">
        <v>357</v>
      </c>
      <c r="B3415" s="7" t="s">
        <v>26</v>
      </c>
      <c r="C3415" s="7" t="s">
        <v>27</v>
      </c>
      <c r="D3415" s="7" t="s">
        <v>28</v>
      </c>
      <c r="E3415" s="7" t="s">
        <v>29</v>
      </c>
      <c r="F3415" s="7" t="s">
        <v>278</v>
      </c>
      <c r="G3415" s="7">
        <v>98.392619999999994</v>
      </c>
      <c r="H3415" s="7"/>
    </row>
    <row r="3416" spans="1:8" x14ac:dyDescent="0.35">
      <c r="A3416" s="7" t="s">
        <v>357</v>
      </c>
      <c r="B3416" s="7" t="s">
        <v>26</v>
      </c>
      <c r="C3416" s="7" t="s">
        <v>27</v>
      </c>
      <c r="D3416" s="7" t="s">
        <v>28</v>
      </c>
      <c r="E3416" s="7" t="s">
        <v>29</v>
      </c>
      <c r="F3416" s="7" t="s">
        <v>279</v>
      </c>
      <c r="G3416" s="7">
        <v>98.456320000000005</v>
      </c>
      <c r="H3416" s="7"/>
    </row>
    <row r="3417" spans="1:8" x14ac:dyDescent="0.35">
      <c r="A3417" s="7" t="s">
        <v>357</v>
      </c>
      <c r="B3417" s="7" t="s">
        <v>26</v>
      </c>
      <c r="C3417" s="7" t="s">
        <v>27</v>
      </c>
      <c r="D3417" s="7" t="s">
        <v>28</v>
      </c>
      <c r="E3417" s="7" t="s">
        <v>29</v>
      </c>
      <c r="F3417" s="7" t="s">
        <v>280</v>
      </c>
      <c r="G3417" s="7">
        <v>98.459860000000006</v>
      </c>
      <c r="H3417" s="7"/>
    </row>
    <row r="3418" spans="1:8" x14ac:dyDescent="0.35">
      <c r="A3418" s="7" t="s">
        <v>357</v>
      </c>
      <c r="B3418" s="7" t="s">
        <v>26</v>
      </c>
      <c r="C3418" s="7" t="s">
        <v>27</v>
      </c>
      <c r="D3418" s="7" t="s">
        <v>28</v>
      </c>
      <c r="E3418" s="7" t="s">
        <v>29</v>
      </c>
      <c r="F3418" s="7" t="s">
        <v>281</v>
      </c>
      <c r="G3418" s="7">
        <v>98.535780000000003</v>
      </c>
      <c r="H3418" s="7"/>
    </row>
    <row r="3419" spans="1:8" x14ac:dyDescent="0.35">
      <c r="A3419" s="7" t="s">
        <v>357</v>
      </c>
      <c r="B3419" s="7" t="s">
        <v>26</v>
      </c>
      <c r="C3419" s="7" t="s">
        <v>27</v>
      </c>
      <c r="D3419" s="7" t="s">
        <v>28</v>
      </c>
      <c r="E3419" s="7" t="s">
        <v>29</v>
      </c>
      <c r="F3419" s="7" t="s">
        <v>282</v>
      </c>
      <c r="G3419" s="7">
        <v>98.788570000000007</v>
      </c>
      <c r="H3419" s="7"/>
    </row>
    <row r="3420" spans="1:8" x14ac:dyDescent="0.35">
      <c r="A3420" s="7" t="s">
        <v>357</v>
      </c>
      <c r="B3420" s="7" t="s">
        <v>26</v>
      </c>
      <c r="C3420" s="7" t="s">
        <v>27</v>
      </c>
      <c r="D3420" s="7" t="s">
        <v>28</v>
      </c>
      <c r="E3420" s="7" t="s">
        <v>29</v>
      </c>
      <c r="F3420" s="7" t="s">
        <v>283</v>
      </c>
      <c r="G3420" s="7">
        <v>98.864369999999994</v>
      </c>
      <c r="H3420" s="7"/>
    </row>
    <row r="3421" spans="1:8" x14ac:dyDescent="0.35">
      <c r="A3421" s="7" t="s">
        <v>357</v>
      </c>
      <c r="B3421" s="7" t="s">
        <v>26</v>
      </c>
      <c r="C3421" s="7" t="s">
        <v>27</v>
      </c>
      <c r="D3421" s="7" t="s">
        <v>28</v>
      </c>
      <c r="E3421" s="7" t="s">
        <v>29</v>
      </c>
      <c r="F3421" s="7" t="s">
        <v>284</v>
      </c>
      <c r="G3421" s="7">
        <v>98.853930000000005</v>
      </c>
      <c r="H3421" s="7"/>
    </row>
    <row r="3422" spans="1:8" x14ac:dyDescent="0.35">
      <c r="A3422" s="7" t="s">
        <v>357</v>
      </c>
      <c r="B3422" s="7" t="s">
        <v>26</v>
      </c>
      <c r="C3422" s="7" t="s">
        <v>27</v>
      </c>
      <c r="D3422" s="7" t="s">
        <v>28</v>
      </c>
      <c r="E3422" s="7" t="s">
        <v>29</v>
      </c>
      <c r="F3422" s="7" t="s">
        <v>285</v>
      </c>
      <c r="G3422" s="7">
        <v>98.769909999999996</v>
      </c>
      <c r="H3422" s="7"/>
    </row>
    <row r="3423" spans="1:8" x14ac:dyDescent="0.35">
      <c r="A3423" s="7" t="s">
        <v>357</v>
      </c>
      <c r="B3423" s="7" t="s">
        <v>26</v>
      </c>
      <c r="C3423" s="7" t="s">
        <v>27</v>
      </c>
      <c r="D3423" s="7" t="s">
        <v>28</v>
      </c>
      <c r="E3423" s="7" t="s">
        <v>29</v>
      </c>
      <c r="F3423" s="7" t="s">
        <v>286</v>
      </c>
      <c r="G3423" s="7">
        <v>98.680660000000003</v>
      </c>
      <c r="H3423" s="7"/>
    </row>
    <row r="3424" spans="1:8" x14ac:dyDescent="0.35">
      <c r="A3424" s="7" t="s">
        <v>357</v>
      </c>
      <c r="B3424" s="7" t="s">
        <v>26</v>
      </c>
      <c r="C3424" s="7" t="s">
        <v>27</v>
      </c>
      <c r="D3424" s="7" t="s">
        <v>28</v>
      </c>
      <c r="E3424" s="7" t="s">
        <v>29</v>
      </c>
      <c r="F3424" s="7" t="s">
        <v>287</v>
      </c>
      <c r="G3424" s="7">
        <v>98.701740000000001</v>
      </c>
      <c r="H3424" s="7"/>
    </row>
    <row r="3425" spans="1:8" x14ac:dyDescent="0.35">
      <c r="A3425" s="7" t="s">
        <v>357</v>
      </c>
      <c r="B3425" s="7" t="s">
        <v>26</v>
      </c>
      <c r="C3425" s="7" t="s">
        <v>27</v>
      </c>
      <c r="D3425" s="7" t="s">
        <v>28</v>
      </c>
      <c r="E3425" s="7" t="s">
        <v>29</v>
      </c>
      <c r="F3425" s="7" t="s">
        <v>288</v>
      </c>
      <c r="G3425" s="7">
        <v>98.884789999999995</v>
      </c>
      <c r="H3425" s="7"/>
    </row>
    <row r="3426" spans="1:8" x14ac:dyDescent="0.35">
      <c r="A3426" s="7" t="s">
        <v>357</v>
      </c>
      <c r="B3426" s="7" t="s">
        <v>26</v>
      </c>
      <c r="C3426" s="7" t="s">
        <v>27</v>
      </c>
      <c r="D3426" s="7" t="s">
        <v>28</v>
      </c>
      <c r="E3426" s="7" t="s">
        <v>29</v>
      </c>
      <c r="F3426" s="7" t="s">
        <v>289</v>
      </c>
      <c r="G3426" s="7">
        <v>99.366020000000006</v>
      </c>
      <c r="H3426" s="7"/>
    </row>
    <row r="3427" spans="1:8" x14ac:dyDescent="0.35">
      <c r="A3427" s="7" t="s">
        <v>357</v>
      </c>
      <c r="B3427" s="7" t="s">
        <v>26</v>
      </c>
      <c r="C3427" s="7" t="s">
        <v>27</v>
      </c>
      <c r="D3427" s="7" t="s">
        <v>28</v>
      </c>
      <c r="E3427" s="7" t="s">
        <v>29</v>
      </c>
      <c r="F3427" s="7" t="s">
        <v>290</v>
      </c>
      <c r="G3427" s="7">
        <v>100.1061</v>
      </c>
      <c r="H3427" s="7"/>
    </row>
    <row r="3428" spans="1:8" x14ac:dyDescent="0.35">
      <c r="A3428" s="7" t="s">
        <v>357</v>
      </c>
      <c r="B3428" s="7" t="s">
        <v>26</v>
      </c>
      <c r="C3428" s="7" t="s">
        <v>27</v>
      </c>
      <c r="D3428" s="7" t="s">
        <v>28</v>
      </c>
      <c r="E3428" s="7" t="s">
        <v>29</v>
      </c>
      <c r="F3428" s="7" t="s">
        <v>291</v>
      </c>
      <c r="G3428" s="7">
        <v>100.7171</v>
      </c>
      <c r="H3428" s="7"/>
    </row>
    <row r="3429" spans="1:8" x14ac:dyDescent="0.35">
      <c r="A3429" s="7" t="s">
        <v>357</v>
      </c>
      <c r="B3429" s="7" t="s">
        <v>26</v>
      </c>
      <c r="C3429" s="7" t="s">
        <v>27</v>
      </c>
      <c r="D3429" s="7" t="s">
        <v>28</v>
      </c>
      <c r="E3429" s="7" t="s">
        <v>29</v>
      </c>
      <c r="F3429" s="7" t="s">
        <v>292</v>
      </c>
      <c r="G3429" s="7">
        <v>101.048</v>
      </c>
      <c r="H3429" s="7"/>
    </row>
    <row r="3430" spans="1:8" x14ac:dyDescent="0.35">
      <c r="A3430" s="7" t="s">
        <v>357</v>
      </c>
      <c r="B3430" s="7" t="s">
        <v>26</v>
      </c>
      <c r="C3430" s="7" t="s">
        <v>27</v>
      </c>
      <c r="D3430" s="7" t="s">
        <v>28</v>
      </c>
      <c r="E3430" s="7" t="s">
        <v>29</v>
      </c>
      <c r="F3430" s="7" t="s">
        <v>293</v>
      </c>
      <c r="G3430" s="7">
        <v>101.0971</v>
      </c>
      <c r="H3430" s="7"/>
    </row>
    <row r="3431" spans="1:8" x14ac:dyDescent="0.35">
      <c r="A3431" s="7" t="s">
        <v>357</v>
      </c>
      <c r="B3431" s="7" t="s">
        <v>26</v>
      </c>
      <c r="C3431" s="7" t="s">
        <v>27</v>
      </c>
      <c r="D3431" s="7" t="s">
        <v>28</v>
      </c>
      <c r="E3431" s="7" t="s">
        <v>29</v>
      </c>
      <c r="F3431" s="7" t="s">
        <v>294</v>
      </c>
      <c r="G3431" s="7">
        <v>101.06699999999999</v>
      </c>
      <c r="H3431" s="7"/>
    </row>
    <row r="3432" spans="1:8" x14ac:dyDescent="0.35">
      <c r="A3432" s="7" t="s">
        <v>357</v>
      </c>
      <c r="B3432" s="7" t="s">
        <v>26</v>
      </c>
      <c r="C3432" s="7" t="s">
        <v>27</v>
      </c>
      <c r="D3432" s="7" t="s">
        <v>28</v>
      </c>
      <c r="E3432" s="7" t="s">
        <v>29</v>
      </c>
      <c r="F3432" s="7" t="s">
        <v>295</v>
      </c>
      <c r="G3432" s="7">
        <v>101.14579999999999</v>
      </c>
      <c r="H3432" s="7"/>
    </row>
    <row r="3433" spans="1:8" x14ac:dyDescent="0.35">
      <c r="A3433" s="7" t="s">
        <v>357</v>
      </c>
      <c r="B3433" s="7" t="s">
        <v>26</v>
      </c>
      <c r="C3433" s="7" t="s">
        <v>27</v>
      </c>
      <c r="D3433" s="7" t="s">
        <v>28</v>
      </c>
      <c r="E3433" s="7" t="s">
        <v>29</v>
      </c>
      <c r="F3433" s="7" t="s">
        <v>296</v>
      </c>
      <c r="G3433" s="7">
        <v>101.41379999999999</v>
      </c>
      <c r="H3433" s="7"/>
    </row>
    <row r="3434" spans="1:8" x14ac:dyDescent="0.35">
      <c r="A3434" s="7" t="s">
        <v>357</v>
      </c>
      <c r="B3434" s="7" t="s">
        <v>26</v>
      </c>
      <c r="C3434" s="7" t="s">
        <v>27</v>
      </c>
      <c r="D3434" s="7" t="s">
        <v>28</v>
      </c>
      <c r="E3434" s="7" t="s">
        <v>29</v>
      </c>
      <c r="F3434" s="7" t="s">
        <v>297</v>
      </c>
      <c r="G3434" s="7">
        <v>101.70310000000001</v>
      </c>
      <c r="H3434" s="7"/>
    </row>
    <row r="3435" spans="1:8" x14ac:dyDescent="0.35">
      <c r="A3435" s="7" t="s">
        <v>357</v>
      </c>
      <c r="B3435" s="7" t="s">
        <v>26</v>
      </c>
      <c r="C3435" s="7" t="s">
        <v>27</v>
      </c>
      <c r="D3435" s="7" t="s">
        <v>28</v>
      </c>
      <c r="E3435" s="7" t="s">
        <v>29</v>
      </c>
      <c r="F3435" s="7" t="s">
        <v>298</v>
      </c>
      <c r="G3435" s="7">
        <v>101.99209999999999</v>
      </c>
      <c r="H3435" s="7"/>
    </row>
    <row r="3436" spans="1:8" x14ac:dyDescent="0.35">
      <c r="A3436" s="7" t="s">
        <v>357</v>
      </c>
      <c r="B3436" s="7" t="s">
        <v>26</v>
      </c>
      <c r="C3436" s="7" t="s">
        <v>27</v>
      </c>
      <c r="D3436" s="7" t="s">
        <v>28</v>
      </c>
      <c r="E3436" s="7" t="s">
        <v>29</v>
      </c>
      <c r="F3436" s="7" t="s">
        <v>299</v>
      </c>
      <c r="G3436" s="7">
        <v>102.27079999999999</v>
      </c>
      <c r="H3436" s="7"/>
    </row>
    <row r="3437" spans="1:8" x14ac:dyDescent="0.35">
      <c r="A3437" s="7" t="s">
        <v>357</v>
      </c>
      <c r="B3437" s="7" t="s">
        <v>26</v>
      </c>
      <c r="C3437" s="7" t="s">
        <v>27</v>
      </c>
      <c r="D3437" s="7" t="s">
        <v>28</v>
      </c>
      <c r="E3437" s="7" t="s">
        <v>29</v>
      </c>
      <c r="F3437" s="7" t="s">
        <v>300</v>
      </c>
      <c r="G3437" s="7">
        <v>102.4516</v>
      </c>
      <c r="H3437" s="7"/>
    </row>
    <row r="3438" spans="1:8" x14ac:dyDescent="0.35">
      <c r="A3438" s="7" t="s">
        <v>357</v>
      </c>
      <c r="B3438" s="7" t="s">
        <v>26</v>
      </c>
      <c r="C3438" s="7" t="s">
        <v>27</v>
      </c>
      <c r="D3438" s="7" t="s">
        <v>28</v>
      </c>
      <c r="E3438" s="7" t="s">
        <v>29</v>
      </c>
      <c r="F3438" s="7" t="s">
        <v>301</v>
      </c>
      <c r="G3438" s="7">
        <v>102.4607</v>
      </c>
      <c r="H3438" s="7"/>
    </row>
    <row r="3439" spans="1:8" x14ac:dyDescent="0.35">
      <c r="A3439" s="7" t="s">
        <v>357</v>
      </c>
      <c r="B3439" s="7" t="s">
        <v>26</v>
      </c>
      <c r="C3439" s="7" t="s">
        <v>27</v>
      </c>
      <c r="D3439" s="7" t="s">
        <v>28</v>
      </c>
      <c r="E3439" s="7" t="s">
        <v>29</v>
      </c>
      <c r="F3439" s="7" t="s">
        <v>302</v>
      </c>
      <c r="G3439" s="7">
        <v>102.3503</v>
      </c>
      <c r="H3439" s="7"/>
    </row>
    <row r="3440" spans="1:8" x14ac:dyDescent="0.35">
      <c r="A3440" s="7" t="s">
        <v>357</v>
      </c>
      <c r="B3440" s="7" t="s">
        <v>26</v>
      </c>
      <c r="C3440" s="7" t="s">
        <v>27</v>
      </c>
      <c r="D3440" s="7" t="s">
        <v>28</v>
      </c>
      <c r="E3440" s="7" t="s">
        <v>29</v>
      </c>
      <c r="F3440" s="7" t="s">
        <v>303</v>
      </c>
      <c r="G3440" s="7">
        <v>102.2581</v>
      </c>
      <c r="H3440" s="7"/>
    </row>
    <row r="3441" spans="1:8" x14ac:dyDescent="0.35">
      <c r="A3441" s="7" t="s">
        <v>357</v>
      </c>
      <c r="B3441" s="7" t="s">
        <v>26</v>
      </c>
      <c r="C3441" s="7" t="s">
        <v>27</v>
      </c>
      <c r="D3441" s="7" t="s">
        <v>28</v>
      </c>
      <c r="E3441" s="7" t="s">
        <v>29</v>
      </c>
      <c r="F3441" s="7" t="s">
        <v>304</v>
      </c>
      <c r="G3441" s="7">
        <v>102.11799999999999</v>
      </c>
      <c r="H3441" s="7"/>
    </row>
    <row r="3442" spans="1:8" x14ac:dyDescent="0.35">
      <c r="A3442" s="7" t="s">
        <v>357</v>
      </c>
      <c r="B3442" s="7" t="s">
        <v>26</v>
      </c>
      <c r="C3442" s="7" t="s">
        <v>27</v>
      </c>
      <c r="D3442" s="7" t="s">
        <v>28</v>
      </c>
      <c r="E3442" s="7" t="s">
        <v>29</v>
      </c>
      <c r="F3442" s="7" t="s">
        <v>305</v>
      </c>
      <c r="G3442" s="7">
        <v>102.02849999999999</v>
      </c>
      <c r="H3442" s="7"/>
    </row>
    <row r="3443" spans="1:8" x14ac:dyDescent="0.35">
      <c r="A3443" s="7" t="s">
        <v>357</v>
      </c>
      <c r="B3443" s="7" t="s">
        <v>26</v>
      </c>
      <c r="C3443" s="7" t="s">
        <v>27</v>
      </c>
      <c r="D3443" s="7" t="s">
        <v>28</v>
      </c>
      <c r="E3443" s="7" t="s">
        <v>29</v>
      </c>
      <c r="F3443" s="7" t="s">
        <v>306</v>
      </c>
      <c r="G3443" s="7">
        <v>101.9162</v>
      </c>
      <c r="H3443" s="7"/>
    </row>
    <row r="3444" spans="1:8" x14ac:dyDescent="0.35">
      <c r="A3444" s="7" t="s">
        <v>357</v>
      </c>
      <c r="B3444" s="7" t="s">
        <v>26</v>
      </c>
      <c r="C3444" s="7" t="s">
        <v>27</v>
      </c>
      <c r="D3444" s="7" t="s">
        <v>28</v>
      </c>
      <c r="E3444" s="7" t="s">
        <v>29</v>
      </c>
      <c r="F3444" s="7" t="s">
        <v>307</v>
      </c>
      <c r="G3444" s="7">
        <v>101.88630000000001</v>
      </c>
      <c r="H3444" s="7"/>
    </row>
    <row r="3445" spans="1:8" x14ac:dyDescent="0.35">
      <c r="A3445" s="7" t="s">
        <v>357</v>
      </c>
      <c r="B3445" s="7" t="s">
        <v>26</v>
      </c>
      <c r="C3445" s="7" t="s">
        <v>27</v>
      </c>
      <c r="D3445" s="7" t="s">
        <v>28</v>
      </c>
      <c r="E3445" s="7" t="s">
        <v>29</v>
      </c>
      <c r="F3445" s="7" t="s">
        <v>308</v>
      </c>
      <c r="G3445" s="7">
        <v>101.93510000000001</v>
      </c>
      <c r="H3445" s="7"/>
    </row>
    <row r="3446" spans="1:8" x14ac:dyDescent="0.35">
      <c r="A3446" s="7" t="s">
        <v>357</v>
      </c>
      <c r="B3446" s="7" t="s">
        <v>26</v>
      </c>
      <c r="C3446" s="7" t="s">
        <v>27</v>
      </c>
      <c r="D3446" s="7" t="s">
        <v>28</v>
      </c>
      <c r="E3446" s="7" t="s">
        <v>29</v>
      </c>
      <c r="F3446" s="7" t="s">
        <v>309</v>
      </c>
      <c r="G3446" s="7">
        <v>102.0562</v>
      </c>
      <c r="H3446" s="7"/>
    </row>
    <row r="3447" spans="1:8" x14ac:dyDescent="0.35">
      <c r="A3447" s="7" t="s">
        <v>357</v>
      </c>
      <c r="B3447" s="7" t="s">
        <v>26</v>
      </c>
      <c r="C3447" s="7" t="s">
        <v>27</v>
      </c>
      <c r="D3447" s="7" t="s">
        <v>28</v>
      </c>
      <c r="E3447" s="7" t="s">
        <v>29</v>
      </c>
      <c r="F3447" s="7" t="s">
        <v>310</v>
      </c>
      <c r="G3447" s="7">
        <v>102.1767</v>
      </c>
      <c r="H3447" s="7"/>
    </row>
    <row r="3448" spans="1:8" x14ac:dyDescent="0.35">
      <c r="A3448" s="7" t="s">
        <v>357</v>
      </c>
      <c r="B3448" s="7" t="s">
        <v>26</v>
      </c>
      <c r="C3448" s="7" t="s">
        <v>27</v>
      </c>
      <c r="D3448" s="7" t="s">
        <v>28</v>
      </c>
      <c r="E3448" s="7" t="s">
        <v>29</v>
      </c>
      <c r="F3448" s="7" t="s">
        <v>311</v>
      </c>
      <c r="G3448" s="7">
        <v>102.1748</v>
      </c>
      <c r="H3448" s="7"/>
    </row>
    <row r="3449" spans="1:8" x14ac:dyDescent="0.35">
      <c r="A3449" s="7" t="s">
        <v>357</v>
      </c>
      <c r="B3449" s="7" t="s">
        <v>26</v>
      </c>
      <c r="C3449" s="7" t="s">
        <v>27</v>
      </c>
      <c r="D3449" s="7" t="s">
        <v>28</v>
      </c>
      <c r="E3449" s="7" t="s">
        <v>29</v>
      </c>
      <c r="F3449" s="7" t="s">
        <v>312</v>
      </c>
      <c r="G3449" s="7">
        <v>102.0209</v>
      </c>
      <c r="H3449" s="7"/>
    </row>
    <row r="3450" spans="1:8" x14ac:dyDescent="0.35">
      <c r="A3450" s="7" t="s">
        <v>357</v>
      </c>
      <c r="B3450" s="7" t="s">
        <v>26</v>
      </c>
      <c r="C3450" s="7" t="s">
        <v>27</v>
      </c>
      <c r="D3450" s="7" t="s">
        <v>28</v>
      </c>
      <c r="E3450" s="7" t="s">
        <v>29</v>
      </c>
      <c r="F3450" s="7" t="s">
        <v>313</v>
      </c>
      <c r="G3450" s="7">
        <v>101.9806</v>
      </c>
      <c r="H3450" s="7"/>
    </row>
    <row r="3451" spans="1:8" x14ac:dyDescent="0.35">
      <c r="A3451" s="7" t="s">
        <v>357</v>
      </c>
      <c r="B3451" s="7" t="s">
        <v>26</v>
      </c>
      <c r="C3451" s="7" t="s">
        <v>27</v>
      </c>
      <c r="D3451" s="7" t="s">
        <v>28</v>
      </c>
      <c r="E3451" s="7" t="s">
        <v>29</v>
      </c>
      <c r="F3451" s="7" t="s">
        <v>314</v>
      </c>
      <c r="G3451" s="7">
        <v>101.8738</v>
      </c>
      <c r="H3451" s="7"/>
    </row>
    <row r="3452" spans="1:8" x14ac:dyDescent="0.35">
      <c r="A3452" s="7" t="s">
        <v>357</v>
      </c>
      <c r="B3452" s="7" t="s">
        <v>26</v>
      </c>
      <c r="C3452" s="7" t="s">
        <v>27</v>
      </c>
      <c r="D3452" s="7" t="s">
        <v>28</v>
      </c>
      <c r="E3452" s="7" t="s">
        <v>29</v>
      </c>
      <c r="F3452" s="7" t="s">
        <v>315</v>
      </c>
      <c r="G3452" s="7">
        <v>101.7324</v>
      </c>
      <c r="H3452" s="7"/>
    </row>
    <row r="3453" spans="1:8" x14ac:dyDescent="0.35">
      <c r="A3453" s="7" t="s">
        <v>357</v>
      </c>
      <c r="B3453" s="7" t="s">
        <v>26</v>
      </c>
      <c r="C3453" s="7" t="s">
        <v>27</v>
      </c>
      <c r="D3453" s="7" t="s">
        <v>28</v>
      </c>
      <c r="E3453" s="7" t="s">
        <v>29</v>
      </c>
      <c r="F3453" s="7" t="s">
        <v>316</v>
      </c>
      <c r="G3453" s="7">
        <v>101.5829</v>
      </c>
      <c r="H3453" s="7"/>
    </row>
    <row r="3454" spans="1:8" x14ac:dyDescent="0.35">
      <c r="A3454" s="7" t="s">
        <v>357</v>
      </c>
      <c r="B3454" s="7" t="s">
        <v>26</v>
      </c>
      <c r="C3454" s="7" t="s">
        <v>27</v>
      </c>
      <c r="D3454" s="7" t="s">
        <v>28</v>
      </c>
      <c r="E3454" s="7" t="s">
        <v>29</v>
      </c>
      <c r="F3454" s="7" t="s">
        <v>317</v>
      </c>
      <c r="G3454" s="7">
        <v>101.5569</v>
      </c>
      <c r="H3454" s="7"/>
    </row>
    <row r="3455" spans="1:8" x14ac:dyDescent="0.35">
      <c r="A3455" s="7" t="s">
        <v>357</v>
      </c>
      <c r="B3455" s="7" t="s">
        <v>26</v>
      </c>
      <c r="C3455" s="7" t="s">
        <v>27</v>
      </c>
      <c r="D3455" s="7" t="s">
        <v>28</v>
      </c>
      <c r="E3455" s="7" t="s">
        <v>29</v>
      </c>
      <c r="F3455" s="7" t="s">
        <v>318</v>
      </c>
      <c r="G3455" s="7">
        <v>101.6712</v>
      </c>
      <c r="H3455" s="7"/>
    </row>
    <row r="3456" spans="1:8" x14ac:dyDescent="0.35">
      <c r="A3456" s="7" t="s">
        <v>357</v>
      </c>
      <c r="B3456" s="7" t="s">
        <v>26</v>
      </c>
      <c r="C3456" s="7" t="s">
        <v>27</v>
      </c>
      <c r="D3456" s="7" t="s">
        <v>28</v>
      </c>
      <c r="E3456" s="7" t="s">
        <v>29</v>
      </c>
      <c r="F3456" s="7" t="s">
        <v>319</v>
      </c>
      <c r="G3456" s="7">
        <v>101.8378</v>
      </c>
      <c r="H3456" s="7"/>
    </row>
    <row r="3457" spans="1:8" x14ac:dyDescent="0.35">
      <c r="A3457" s="7" t="s">
        <v>357</v>
      </c>
      <c r="B3457" s="7" t="s">
        <v>26</v>
      </c>
      <c r="C3457" s="7" t="s">
        <v>27</v>
      </c>
      <c r="D3457" s="7" t="s">
        <v>28</v>
      </c>
      <c r="E3457" s="7" t="s">
        <v>29</v>
      </c>
      <c r="F3457" s="7" t="s">
        <v>320</v>
      </c>
      <c r="G3457" s="7">
        <v>101.8579</v>
      </c>
      <c r="H3457" s="7"/>
    </row>
    <row r="3458" spans="1:8" x14ac:dyDescent="0.35">
      <c r="A3458" s="7" t="s">
        <v>357</v>
      </c>
      <c r="B3458" s="7" t="s">
        <v>26</v>
      </c>
      <c r="C3458" s="7" t="s">
        <v>27</v>
      </c>
      <c r="D3458" s="7" t="s">
        <v>28</v>
      </c>
      <c r="E3458" s="7" t="s">
        <v>29</v>
      </c>
      <c r="F3458" s="7" t="s">
        <v>321</v>
      </c>
      <c r="G3458" s="7">
        <v>101.7332</v>
      </c>
      <c r="H3458" s="7"/>
    </row>
    <row r="3459" spans="1:8" x14ac:dyDescent="0.35">
      <c r="A3459" s="7" t="s">
        <v>357</v>
      </c>
      <c r="B3459" s="7" t="s">
        <v>26</v>
      </c>
      <c r="C3459" s="7" t="s">
        <v>27</v>
      </c>
      <c r="D3459" s="7" t="s">
        <v>28</v>
      </c>
      <c r="E3459" s="7" t="s">
        <v>29</v>
      </c>
      <c r="F3459" s="7" t="s">
        <v>322</v>
      </c>
      <c r="G3459" s="7">
        <v>101.599</v>
      </c>
      <c r="H3459" s="7"/>
    </row>
    <row r="3460" spans="1:8" x14ac:dyDescent="0.35">
      <c r="A3460" s="7" t="s">
        <v>357</v>
      </c>
      <c r="B3460" s="7" t="s">
        <v>26</v>
      </c>
      <c r="C3460" s="7" t="s">
        <v>27</v>
      </c>
      <c r="D3460" s="7" t="s">
        <v>28</v>
      </c>
      <c r="E3460" s="7" t="s">
        <v>29</v>
      </c>
      <c r="F3460" s="7" t="s">
        <v>323</v>
      </c>
      <c r="G3460" s="7">
        <v>101.4331</v>
      </c>
      <c r="H3460" s="7"/>
    </row>
    <row r="3461" spans="1:8" x14ac:dyDescent="0.35">
      <c r="A3461" s="7" t="s">
        <v>357</v>
      </c>
      <c r="B3461" s="7" t="s">
        <v>26</v>
      </c>
      <c r="C3461" s="7" t="s">
        <v>27</v>
      </c>
      <c r="D3461" s="7" t="s">
        <v>28</v>
      </c>
      <c r="E3461" s="7" t="s">
        <v>29</v>
      </c>
      <c r="F3461" s="7" t="s">
        <v>324</v>
      </c>
      <c r="G3461" s="7">
        <v>101.1747</v>
      </c>
      <c r="H3461" s="7"/>
    </row>
    <row r="3462" spans="1:8" x14ac:dyDescent="0.35">
      <c r="A3462" s="7" t="s">
        <v>357</v>
      </c>
      <c r="B3462" s="7" t="s">
        <v>26</v>
      </c>
      <c r="C3462" s="7" t="s">
        <v>27</v>
      </c>
      <c r="D3462" s="7" t="s">
        <v>28</v>
      </c>
      <c r="E3462" s="7" t="s">
        <v>29</v>
      </c>
      <c r="F3462" s="7" t="s">
        <v>325</v>
      </c>
      <c r="G3462" s="7">
        <v>100.8591</v>
      </c>
      <c r="H3462" s="7"/>
    </row>
    <row r="3463" spans="1:8" x14ac:dyDescent="0.35">
      <c r="A3463" s="7" t="s">
        <v>357</v>
      </c>
      <c r="B3463" s="7" t="s">
        <v>26</v>
      </c>
      <c r="C3463" s="7" t="s">
        <v>27</v>
      </c>
      <c r="D3463" s="7" t="s">
        <v>28</v>
      </c>
      <c r="E3463" s="7" t="s">
        <v>29</v>
      </c>
      <c r="F3463" s="7" t="s">
        <v>326</v>
      </c>
      <c r="G3463" s="7">
        <v>100.5069</v>
      </c>
      <c r="H3463" s="7"/>
    </row>
    <row r="3464" spans="1:8" x14ac:dyDescent="0.35">
      <c r="A3464" s="7" t="s">
        <v>357</v>
      </c>
      <c r="B3464" s="7" t="s">
        <v>26</v>
      </c>
      <c r="C3464" s="7" t="s">
        <v>27</v>
      </c>
      <c r="D3464" s="7" t="s">
        <v>28</v>
      </c>
      <c r="E3464" s="7" t="s">
        <v>29</v>
      </c>
      <c r="F3464" s="7" t="s">
        <v>327</v>
      </c>
      <c r="G3464" s="7">
        <v>100.5005</v>
      </c>
      <c r="H3464" s="7"/>
    </row>
    <row r="3465" spans="1:8" x14ac:dyDescent="0.35">
      <c r="A3465" s="7" t="s">
        <v>357</v>
      </c>
      <c r="B3465" s="7" t="s">
        <v>26</v>
      </c>
      <c r="C3465" s="7" t="s">
        <v>27</v>
      </c>
      <c r="D3465" s="7" t="s">
        <v>28</v>
      </c>
      <c r="E3465" s="7" t="s">
        <v>29</v>
      </c>
      <c r="F3465" s="7" t="s">
        <v>328</v>
      </c>
      <c r="G3465" s="7">
        <v>100.7041</v>
      </c>
      <c r="H3465" s="7"/>
    </row>
    <row r="3466" spans="1:8" x14ac:dyDescent="0.35">
      <c r="A3466" s="7" t="s">
        <v>357</v>
      </c>
      <c r="B3466" s="7" t="s">
        <v>26</v>
      </c>
      <c r="C3466" s="7" t="s">
        <v>27</v>
      </c>
      <c r="D3466" s="7" t="s">
        <v>28</v>
      </c>
      <c r="E3466" s="7" t="s">
        <v>29</v>
      </c>
      <c r="F3466" s="7" t="s">
        <v>329</v>
      </c>
      <c r="G3466" s="7">
        <v>100.7313</v>
      </c>
      <c r="H3466" s="7"/>
    </row>
    <row r="3467" spans="1:8" x14ac:dyDescent="0.35">
      <c r="A3467" s="7" t="s">
        <v>357</v>
      </c>
      <c r="B3467" s="7" t="s">
        <v>26</v>
      </c>
      <c r="C3467" s="7" t="s">
        <v>27</v>
      </c>
      <c r="D3467" s="7" t="s">
        <v>28</v>
      </c>
      <c r="E3467" s="7" t="s">
        <v>29</v>
      </c>
      <c r="F3467" s="7" t="s">
        <v>330</v>
      </c>
      <c r="G3467" s="7">
        <v>100.63630000000001</v>
      </c>
      <c r="H3467" s="7"/>
    </row>
    <row r="3468" spans="1:8" x14ac:dyDescent="0.35">
      <c r="A3468" s="7" t="s">
        <v>357</v>
      </c>
      <c r="B3468" s="7" t="s">
        <v>26</v>
      </c>
      <c r="C3468" s="7" t="s">
        <v>27</v>
      </c>
      <c r="D3468" s="7" t="s">
        <v>28</v>
      </c>
      <c r="E3468" s="7" t="s">
        <v>29</v>
      </c>
      <c r="F3468" s="7" t="s">
        <v>331</v>
      </c>
      <c r="G3468" s="7">
        <v>100.6391</v>
      </c>
      <c r="H3468" s="7"/>
    </row>
    <row r="3469" spans="1:8" x14ac:dyDescent="0.35">
      <c r="A3469" s="7" t="s">
        <v>357</v>
      </c>
      <c r="B3469" s="7" t="s">
        <v>26</v>
      </c>
      <c r="C3469" s="7" t="s">
        <v>27</v>
      </c>
      <c r="D3469" s="7" t="s">
        <v>28</v>
      </c>
      <c r="E3469" s="7" t="s">
        <v>29</v>
      </c>
      <c r="F3469" s="7" t="s">
        <v>332</v>
      </c>
      <c r="G3469" s="7">
        <v>100.6666</v>
      </c>
      <c r="H3469" s="7"/>
    </row>
    <row r="3470" spans="1:8" x14ac:dyDescent="0.35">
      <c r="A3470" s="7" t="s">
        <v>357</v>
      </c>
      <c r="B3470" s="7" t="s">
        <v>26</v>
      </c>
      <c r="C3470" s="7" t="s">
        <v>27</v>
      </c>
      <c r="D3470" s="7" t="s">
        <v>28</v>
      </c>
      <c r="E3470" s="7" t="s">
        <v>29</v>
      </c>
      <c r="F3470" s="7" t="s">
        <v>333</v>
      </c>
      <c r="G3470" s="7">
        <v>100.70359999999999</v>
      </c>
      <c r="H3470" s="7"/>
    </row>
    <row r="3471" spans="1:8" x14ac:dyDescent="0.35">
      <c r="A3471" s="7" t="s">
        <v>357</v>
      </c>
      <c r="B3471" s="7" t="s">
        <v>26</v>
      </c>
      <c r="C3471" s="7" t="s">
        <v>27</v>
      </c>
      <c r="D3471" s="7" t="s">
        <v>28</v>
      </c>
      <c r="E3471" s="7" t="s">
        <v>29</v>
      </c>
      <c r="F3471" s="7" t="s">
        <v>334</v>
      </c>
      <c r="G3471" s="7">
        <v>100.6887</v>
      </c>
      <c r="H3471" s="7"/>
    </row>
    <row r="3472" spans="1:8" x14ac:dyDescent="0.35">
      <c r="A3472" s="7" t="s">
        <v>357</v>
      </c>
      <c r="B3472" s="7" t="s">
        <v>26</v>
      </c>
      <c r="C3472" s="7" t="s">
        <v>27</v>
      </c>
      <c r="D3472" s="7" t="s">
        <v>28</v>
      </c>
      <c r="E3472" s="7" t="s">
        <v>29</v>
      </c>
      <c r="F3472" s="7" t="s">
        <v>335</v>
      </c>
      <c r="G3472" s="7">
        <v>100.6003</v>
      </c>
      <c r="H3472" s="7"/>
    </row>
    <row r="3473" spans="1:8" x14ac:dyDescent="0.35">
      <c r="A3473" s="7" t="s">
        <v>357</v>
      </c>
      <c r="B3473" s="7" t="s">
        <v>26</v>
      </c>
      <c r="C3473" s="7" t="s">
        <v>27</v>
      </c>
      <c r="D3473" s="7" t="s">
        <v>28</v>
      </c>
      <c r="E3473" s="7" t="s">
        <v>29</v>
      </c>
      <c r="F3473" s="7" t="s">
        <v>336</v>
      </c>
      <c r="G3473" s="7">
        <v>100.4714</v>
      </c>
      <c r="H3473" s="7"/>
    </row>
    <row r="3474" spans="1:8" x14ac:dyDescent="0.35">
      <c r="A3474" s="7" t="s">
        <v>357</v>
      </c>
      <c r="B3474" s="7" t="s">
        <v>26</v>
      </c>
      <c r="C3474" s="7" t="s">
        <v>27</v>
      </c>
      <c r="D3474" s="7" t="s">
        <v>28</v>
      </c>
      <c r="E3474" s="7" t="s">
        <v>29</v>
      </c>
      <c r="F3474" s="7" t="s">
        <v>337</v>
      </c>
      <c r="G3474" s="7">
        <v>100.3707</v>
      </c>
      <c r="H3474" s="7"/>
    </row>
    <row r="3475" spans="1:8" x14ac:dyDescent="0.35">
      <c r="A3475" s="7" t="s">
        <v>357</v>
      </c>
      <c r="B3475" s="7" t="s">
        <v>26</v>
      </c>
      <c r="C3475" s="7" t="s">
        <v>27</v>
      </c>
      <c r="D3475" s="7" t="s">
        <v>28</v>
      </c>
      <c r="E3475" s="7" t="s">
        <v>29</v>
      </c>
      <c r="F3475" s="7" t="s">
        <v>338</v>
      </c>
      <c r="G3475" s="7">
        <v>100.3612</v>
      </c>
      <c r="H3475" s="7"/>
    </row>
    <row r="3476" spans="1:8" x14ac:dyDescent="0.35">
      <c r="A3476" s="7" t="s">
        <v>357</v>
      </c>
      <c r="B3476" s="7" t="s">
        <v>26</v>
      </c>
      <c r="C3476" s="7" t="s">
        <v>27</v>
      </c>
      <c r="D3476" s="7" t="s">
        <v>28</v>
      </c>
      <c r="E3476" s="7" t="s">
        <v>29</v>
      </c>
      <c r="F3476" s="7" t="s">
        <v>339</v>
      </c>
      <c r="G3476" s="7">
        <v>100.4012</v>
      </c>
      <c r="H3476" s="7"/>
    </row>
    <row r="3477" spans="1:8" x14ac:dyDescent="0.35">
      <c r="A3477" s="7" t="s">
        <v>357</v>
      </c>
      <c r="B3477" s="7" t="s">
        <v>26</v>
      </c>
      <c r="C3477" s="7" t="s">
        <v>27</v>
      </c>
      <c r="D3477" s="7" t="s">
        <v>28</v>
      </c>
      <c r="E3477" s="7" t="s">
        <v>29</v>
      </c>
      <c r="F3477" s="7" t="s">
        <v>340</v>
      </c>
      <c r="G3477" s="7">
        <v>100.4922</v>
      </c>
      <c r="H3477" s="7"/>
    </row>
    <row r="3478" spans="1:8" x14ac:dyDescent="0.35">
      <c r="A3478" s="7" t="s">
        <v>357</v>
      </c>
      <c r="B3478" s="7" t="s">
        <v>26</v>
      </c>
      <c r="C3478" s="7" t="s">
        <v>27</v>
      </c>
      <c r="D3478" s="7" t="s">
        <v>28</v>
      </c>
      <c r="E3478" s="7" t="s">
        <v>29</v>
      </c>
      <c r="F3478" s="7" t="s">
        <v>341</v>
      </c>
      <c r="G3478" s="7">
        <v>100.5312</v>
      </c>
      <c r="H3478" s="7"/>
    </row>
    <row r="3479" spans="1:8" x14ac:dyDescent="0.35">
      <c r="A3479" s="7" t="s">
        <v>357</v>
      </c>
      <c r="B3479" s="7" t="s">
        <v>26</v>
      </c>
      <c r="C3479" s="7" t="s">
        <v>27</v>
      </c>
      <c r="D3479" s="7" t="s">
        <v>28</v>
      </c>
      <c r="E3479" s="7" t="s">
        <v>29</v>
      </c>
      <c r="F3479" s="7" t="s">
        <v>342</v>
      </c>
      <c r="G3479" s="7">
        <v>100.5278</v>
      </c>
      <c r="H3479" s="7"/>
    </row>
    <row r="3480" spans="1:8" x14ac:dyDescent="0.35">
      <c r="A3480" s="7" t="s">
        <v>357</v>
      </c>
      <c r="B3480" s="7" t="s">
        <v>26</v>
      </c>
      <c r="C3480" s="7" t="s">
        <v>27</v>
      </c>
      <c r="D3480" s="7" t="s">
        <v>28</v>
      </c>
      <c r="E3480" s="7" t="s">
        <v>29</v>
      </c>
      <c r="F3480" s="7" t="s">
        <v>343</v>
      </c>
      <c r="G3480" s="7">
        <v>100.5187</v>
      </c>
      <c r="H3480" s="7"/>
    </row>
    <row r="3481" spans="1:8" x14ac:dyDescent="0.35">
      <c r="A3481" s="7" t="s">
        <v>357</v>
      </c>
      <c r="B3481" s="7" t="s">
        <v>26</v>
      </c>
      <c r="C3481" s="7" t="s">
        <v>27</v>
      </c>
      <c r="D3481" s="7" t="s">
        <v>28</v>
      </c>
      <c r="E3481" s="7" t="s">
        <v>29</v>
      </c>
      <c r="F3481" s="7" t="s">
        <v>344</v>
      </c>
      <c r="G3481" s="7">
        <v>100.6178</v>
      </c>
      <c r="H3481" s="7"/>
    </row>
    <row r="3482" spans="1:8" x14ac:dyDescent="0.35">
      <c r="A3482" s="7" t="s">
        <v>357</v>
      </c>
      <c r="B3482" s="7" t="s">
        <v>26</v>
      </c>
      <c r="C3482" s="7" t="s">
        <v>27</v>
      </c>
      <c r="D3482" s="7" t="s">
        <v>28</v>
      </c>
      <c r="E3482" s="7" t="s">
        <v>29</v>
      </c>
      <c r="F3482" s="7" t="s">
        <v>345</v>
      </c>
      <c r="G3482" s="7">
        <v>100.7478</v>
      </c>
      <c r="H3482" s="7"/>
    </row>
    <row r="3483" spans="1:8" x14ac:dyDescent="0.35">
      <c r="A3483" s="7" t="s">
        <v>357</v>
      </c>
      <c r="B3483" s="7" t="s">
        <v>26</v>
      </c>
      <c r="C3483" s="7" t="s">
        <v>27</v>
      </c>
      <c r="D3483" s="7" t="s">
        <v>28</v>
      </c>
      <c r="E3483" s="7" t="s">
        <v>29</v>
      </c>
      <c r="F3483" s="7" t="s">
        <v>346</v>
      </c>
      <c r="G3483" s="7">
        <v>100.88</v>
      </c>
      <c r="H3483" s="7"/>
    </row>
    <row r="3484" spans="1:8" x14ac:dyDescent="0.35">
      <c r="A3484" s="7" t="s">
        <v>358</v>
      </c>
      <c r="B3484" s="7" t="s">
        <v>26</v>
      </c>
      <c r="C3484" s="7" t="s">
        <v>27</v>
      </c>
      <c r="D3484" s="7" t="s">
        <v>28</v>
      </c>
      <c r="E3484" s="7" t="s">
        <v>29</v>
      </c>
      <c r="F3484" s="7" t="s">
        <v>30</v>
      </c>
      <c r="G3484" s="7">
        <v>99.908330000000007</v>
      </c>
      <c r="H3484" s="7"/>
    </row>
    <row r="3485" spans="1:8" x14ac:dyDescent="0.35">
      <c r="A3485" s="7" t="s">
        <v>358</v>
      </c>
      <c r="B3485" s="7" t="s">
        <v>26</v>
      </c>
      <c r="C3485" s="7" t="s">
        <v>27</v>
      </c>
      <c r="D3485" s="7" t="s">
        <v>28</v>
      </c>
      <c r="E3485" s="7" t="s">
        <v>29</v>
      </c>
      <c r="F3485" s="7" t="s">
        <v>31</v>
      </c>
      <c r="G3485" s="7">
        <v>99.896540000000002</v>
      </c>
      <c r="H3485" s="7"/>
    </row>
    <row r="3486" spans="1:8" x14ac:dyDescent="0.35">
      <c r="A3486" s="7" t="s">
        <v>358</v>
      </c>
      <c r="B3486" s="7" t="s">
        <v>26</v>
      </c>
      <c r="C3486" s="7" t="s">
        <v>27</v>
      </c>
      <c r="D3486" s="7" t="s">
        <v>28</v>
      </c>
      <c r="E3486" s="7" t="s">
        <v>29</v>
      </c>
      <c r="F3486" s="7" t="s">
        <v>32</v>
      </c>
      <c r="G3486" s="7">
        <v>99.911320000000003</v>
      </c>
      <c r="H3486" s="7"/>
    </row>
    <row r="3487" spans="1:8" x14ac:dyDescent="0.35">
      <c r="A3487" s="7" t="s">
        <v>358</v>
      </c>
      <c r="B3487" s="7" t="s">
        <v>26</v>
      </c>
      <c r="C3487" s="7" t="s">
        <v>27</v>
      </c>
      <c r="D3487" s="7" t="s">
        <v>28</v>
      </c>
      <c r="E3487" s="7" t="s">
        <v>29</v>
      </c>
      <c r="F3487" s="7" t="s">
        <v>33</v>
      </c>
      <c r="G3487" s="7">
        <v>99.927409999999995</v>
      </c>
      <c r="H3487" s="7"/>
    </row>
    <row r="3488" spans="1:8" x14ac:dyDescent="0.35">
      <c r="A3488" s="7" t="s">
        <v>358</v>
      </c>
      <c r="B3488" s="7" t="s">
        <v>26</v>
      </c>
      <c r="C3488" s="7" t="s">
        <v>27</v>
      </c>
      <c r="D3488" s="7" t="s">
        <v>28</v>
      </c>
      <c r="E3488" s="7" t="s">
        <v>29</v>
      </c>
      <c r="F3488" s="7" t="s">
        <v>34</v>
      </c>
      <c r="G3488" s="7">
        <v>99.890460000000004</v>
      </c>
      <c r="H3488" s="7"/>
    </row>
    <row r="3489" spans="1:8" x14ac:dyDescent="0.35">
      <c r="A3489" s="7" t="s">
        <v>358</v>
      </c>
      <c r="B3489" s="7" t="s">
        <v>26</v>
      </c>
      <c r="C3489" s="7" t="s">
        <v>27</v>
      </c>
      <c r="D3489" s="7" t="s">
        <v>28</v>
      </c>
      <c r="E3489" s="7" t="s">
        <v>29</v>
      </c>
      <c r="F3489" s="7" t="s">
        <v>35</v>
      </c>
      <c r="G3489" s="7">
        <v>99.746440000000007</v>
      </c>
      <c r="H3489" s="7"/>
    </row>
    <row r="3490" spans="1:8" x14ac:dyDescent="0.35">
      <c r="A3490" s="7" t="s">
        <v>358</v>
      </c>
      <c r="B3490" s="7" t="s">
        <v>26</v>
      </c>
      <c r="C3490" s="7" t="s">
        <v>27</v>
      </c>
      <c r="D3490" s="7" t="s">
        <v>28</v>
      </c>
      <c r="E3490" s="7" t="s">
        <v>29</v>
      </c>
      <c r="F3490" s="7" t="s">
        <v>36</v>
      </c>
      <c r="G3490" s="7">
        <v>99.52422</v>
      </c>
      <c r="H3490" s="7"/>
    </row>
    <row r="3491" spans="1:8" x14ac:dyDescent="0.35">
      <c r="A3491" s="7" t="s">
        <v>358</v>
      </c>
      <c r="B3491" s="7" t="s">
        <v>26</v>
      </c>
      <c r="C3491" s="7" t="s">
        <v>27</v>
      </c>
      <c r="D3491" s="7" t="s">
        <v>28</v>
      </c>
      <c r="E3491" s="7" t="s">
        <v>29</v>
      </c>
      <c r="F3491" s="7" t="s">
        <v>37</v>
      </c>
      <c r="G3491" s="7">
        <v>99.251660000000001</v>
      </c>
      <c r="H3491" s="7"/>
    </row>
    <row r="3492" spans="1:8" x14ac:dyDescent="0.35">
      <c r="A3492" s="7" t="s">
        <v>358</v>
      </c>
      <c r="B3492" s="7" t="s">
        <v>26</v>
      </c>
      <c r="C3492" s="7" t="s">
        <v>27</v>
      </c>
      <c r="D3492" s="7" t="s">
        <v>28</v>
      </c>
      <c r="E3492" s="7" t="s">
        <v>29</v>
      </c>
      <c r="F3492" s="7" t="s">
        <v>38</v>
      </c>
      <c r="G3492" s="7">
        <v>98.949870000000004</v>
      </c>
      <c r="H3492" s="7"/>
    </row>
    <row r="3493" spans="1:8" x14ac:dyDescent="0.35">
      <c r="A3493" s="7" t="s">
        <v>358</v>
      </c>
      <c r="B3493" s="7" t="s">
        <v>26</v>
      </c>
      <c r="C3493" s="7" t="s">
        <v>27</v>
      </c>
      <c r="D3493" s="7" t="s">
        <v>28</v>
      </c>
      <c r="E3493" s="7" t="s">
        <v>29</v>
      </c>
      <c r="F3493" s="7" t="s">
        <v>39</v>
      </c>
      <c r="G3493" s="7">
        <v>98.677859999999995</v>
      </c>
      <c r="H3493" s="7"/>
    </row>
    <row r="3494" spans="1:8" x14ac:dyDescent="0.35">
      <c r="A3494" s="7" t="s">
        <v>358</v>
      </c>
      <c r="B3494" s="7" t="s">
        <v>26</v>
      </c>
      <c r="C3494" s="7" t="s">
        <v>27</v>
      </c>
      <c r="D3494" s="7" t="s">
        <v>28</v>
      </c>
      <c r="E3494" s="7" t="s">
        <v>29</v>
      </c>
      <c r="F3494" s="7" t="s">
        <v>40</v>
      </c>
      <c r="G3494" s="7">
        <v>98.515159999999995</v>
      </c>
      <c r="H3494" s="7"/>
    </row>
    <row r="3495" spans="1:8" x14ac:dyDescent="0.35">
      <c r="A3495" s="7" t="s">
        <v>358</v>
      </c>
      <c r="B3495" s="7" t="s">
        <v>26</v>
      </c>
      <c r="C3495" s="7" t="s">
        <v>27</v>
      </c>
      <c r="D3495" s="7" t="s">
        <v>28</v>
      </c>
      <c r="E3495" s="7" t="s">
        <v>29</v>
      </c>
      <c r="F3495" s="7" t="s">
        <v>41</v>
      </c>
      <c r="G3495" s="7">
        <v>98.514790000000005</v>
      </c>
      <c r="H3495" s="7"/>
    </row>
    <row r="3496" spans="1:8" x14ac:dyDescent="0.35">
      <c r="A3496" s="7" t="s">
        <v>358</v>
      </c>
      <c r="B3496" s="7" t="s">
        <v>26</v>
      </c>
      <c r="C3496" s="7" t="s">
        <v>27</v>
      </c>
      <c r="D3496" s="7" t="s">
        <v>28</v>
      </c>
      <c r="E3496" s="7" t="s">
        <v>29</v>
      </c>
      <c r="F3496" s="7" t="s">
        <v>42</v>
      </c>
      <c r="G3496" s="7">
        <v>98.546769999999995</v>
      </c>
      <c r="H3496" s="7"/>
    </row>
    <row r="3497" spans="1:8" x14ac:dyDescent="0.35">
      <c r="A3497" s="7" t="s">
        <v>358</v>
      </c>
      <c r="B3497" s="7" t="s">
        <v>26</v>
      </c>
      <c r="C3497" s="7" t="s">
        <v>27</v>
      </c>
      <c r="D3497" s="7" t="s">
        <v>28</v>
      </c>
      <c r="E3497" s="7" t="s">
        <v>29</v>
      </c>
      <c r="F3497" s="7" t="s">
        <v>43</v>
      </c>
      <c r="G3497" s="7">
        <v>98.435329999999993</v>
      </c>
      <c r="H3497" s="7"/>
    </row>
    <row r="3498" spans="1:8" x14ac:dyDescent="0.35">
      <c r="A3498" s="7" t="s">
        <v>358</v>
      </c>
      <c r="B3498" s="7" t="s">
        <v>26</v>
      </c>
      <c r="C3498" s="7" t="s">
        <v>27</v>
      </c>
      <c r="D3498" s="7" t="s">
        <v>28</v>
      </c>
      <c r="E3498" s="7" t="s">
        <v>29</v>
      </c>
      <c r="F3498" s="7" t="s">
        <v>44</v>
      </c>
      <c r="G3498" s="7">
        <v>98.063659999999999</v>
      </c>
      <c r="H3498" s="7"/>
    </row>
    <row r="3499" spans="1:8" x14ac:dyDescent="0.35">
      <c r="A3499" s="7" t="s">
        <v>358</v>
      </c>
      <c r="B3499" s="7" t="s">
        <v>26</v>
      </c>
      <c r="C3499" s="7" t="s">
        <v>27</v>
      </c>
      <c r="D3499" s="7" t="s">
        <v>28</v>
      </c>
      <c r="E3499" s="7" t="s">
        <v>29</v>
      </c>
      <c r="F3499" s="7" t="s">
        <v>45</v>
      </c>
      <c r="G3499" s="7">
        <v>97.62209</v>
      </c>
      <c r="H3499" s="7"/>
    </row>
    <row r="3500" spans="1:8" x14ac:dyDescent="0.35">
      <c r="A3500" s="7" t="s">
        <v>358</v>
      </c>
      <c r="B3500" s="7" t="s">
        <v>26</v>
      </c>
      <c r="C3500" s="7" t="s">
        <v>27</v>
      </c>
      <c r="D3500" s="7" t="s">
        <v>28</v>
      </c>
      <c r="E3500" s="7" t="s">
        <v>29</v>
      </c>
      <c r="F3500" s="7" t="s">
        <v>46</v>
      </c>
      <c r="G3500" s="7">
        <v>97.387129999999999</v>
      </c>
      <c r="H3500" s="7"/>
    </row>
    <row r="3501" spans="1:8" x14ac:dyDescent="0.35">
      <c r="A3501" s="7" t="s">
        <v>358</v>
      </c>
      <c r="B3501" s="7" t="s">
        <v>26</v>
      </c>
      <c r="C3501" s="7" t="s">
        <v>27</v>
      </c>
      <c r="D3501" s="7" t="s">
        <v>28</v>
      </c>
      <c r="E3501" s="7" t="s">
        <v>29</v>
      </c>
      <c r="F3501" s="7" t="s">
        <v>47</v>
      </c>
      <c r="G3501" s="7">
        <v>97.570430000000002</v>
      </c>
      <c r="H3501" s="7"/>
    </row>
    <row r="3502" spans="1:8" x14ac:dyDescent="0.35">
      <c r="A3502" s="7" t="s">
        <v>358</v>
      </c>
      <c r="B3502" s="7" t="s">
        <v>26</v>
      </c>
      <c r="C3502" s="7" t="s">
        <v>27</v>
      </c>
      <c r="D3502" s="7" t="s">
        <v>28</v>
      </c>
      <c r="E3502" s="7" t="s">
        <v>29</v>
      </c>
      <c r="F3502" s="7" t="s">
        <v>48</v>
      </c>
      <c r="G3502" s="7">
        <v>97.96105</v>
      </c>
      <c r="H3502" s="7"/>
    </row>
    <row r="3503" spans="1:8" x14ac:dyDescent="0.35">
      <c r="A3503" s="7" t="s">
        <v>358</v>
      </c>
      <c r="B3503" s="7" t="s">
        <v>26</v>
      </c>
      <c r="C3503" s="7" t="s">
        <v>27</v>
      </c>
      <c r="D3503" s="7" t="s">
        <v>28</v>
      </c>
      <c r="E3503" s="7" t="s">
        <v>29</v>
      </c>
      <c r="F3503" s="7" t="s">
        <v>49</v>
      </c>
      <c r="G3503" s="7">
        <v>98.289249999999996</v>
      </c>
      <c r="H3503" s="7"/>
    </row>
    <row r="3504" spans="1:8" x14ac:dyDescent="0.35">
      <c r="A3504" s="7" t="s">
        <v>358</v>
      </c>
      <c r="B3504" s="7" t="s">
        <v>26</v>
      </c>
      <c r="C3504" s="7" t="s">
        <v>27</v>
      </c>
      <c r="D3504" s="7" t="s">
        <v>28</v>
      </c>
      <c r="E3504" s="7" t="s">
        <v>29</v>
      </c>
      <c r="F3504" s="7" t="s">
        <v>50</v>
      </c>
      <c r="G3504" s="7">
        <v>98.382890000000003</v>
      </c>
      <c r="H3504" s="7"/>
    </row>
    <row r="3505" spans="1:8" x14ac:dyDescent="0.35">
      <c r="A3505" s="7" t="s">
        <v>358</v>
      </c>
      <c r="B3505" s="7" t="s">
        <v>26</v>
      </c>
      <c r="C3505" s="7" t="s">
        <v>27</v>
      </c>
      <c r="D3505" s="7" t="s">
        <v>28</v>
      </c>
      <c r="E3505" s="7" t="s">
        <v>29</v>
      </c>
      <c r="F3505" s="7" t="s">
        <v>51</v>
      </c>
      <c r="G3505" s="7">
        <v>98.386340000000004</v>
      </c>
      <c r="H3505" s="7"/>
    </row>
    <row r="3506" spans="1:8" x14ac:dyDescent="0.35">
      <c r="A3506" s="7" t="s">
        <v>358</v>
      </c>
      <c r="B3506" s="7" t="s">
        <v>26</v>
      </c>
      <c r="C3506" s="7" t="s">
        <v>27</v>
      </c>
      <c r="D3506" s="7" t="s">
        <v>28</v>
      </c>
      <c r="E3506" s="7" t="s">
        <v>29</v>
      </c>
      <c r="F3506" s="7" t="s">
        <v>52</v>
      </c>
      <c r="G3506" s="7">
        <v>98.530010000000004</v>
      </c>
      <c r="H3506" s="7"/>
    </row>
    <row r="3507" spans="1:8" x14ac:dyDescent="0.35">
      <c r="A3507" s="7" t="s">
        <v>358</v>
      </c>
      <c r="B3507" s="7" t="s">
        <v>26</v>
      </c>
      <c r="C3507" s="7" t="s">
        <v>27</v>
      </c>
      <c r="D3507" s="7" t="s">
        <v>28</v>
      </c>
      <c r="E3507" s="7" t="s">
        <v>29</v>
      </c>
      <c r="F3507" s="7" t="s">
        <v>53</v>
      </c>
      <c r="G3507" s="7">
        <v>98.990179999999995</v>
      </c>
      <c r="H3507" s="7"/>
    </row>
    <row r="3508" spans="1:8" x14ac:dyDescent="0.35">
      <c r="A3508" s="7" t="s">
        <v>358</v>
      </c>
      <c r="B3508" s="7" t="s">
        <v>26</v>
      </c>
      <c r="C3508" s="7" t="s">
        <v>27</v>
      </c>
      <c r="D3508" s="7" t="s">
        <v>28</v>
      </c>
      <c r="E3508" s="7" t="s">
        <v>29</v>
      </c>
      <c r="F3508" s="7" t="s">
        <v>54</v>
      </c>
      <c r="G3508" s="7">
        <v>99.608580000000003</v>
      </c>
      <c r="H3508" s="7"/>
    </row>
    <row r="3509" spans="1:8" x14ac:dyDescent="0.35">
      <c r="A3509" s="7" t="s">
        <v>358</v>
      </c>
      <c r="B3509" s="7" t="s">
        <v>26</v>
      </c>
      <c r="C3509" s="7" t="s">
        <v>27</v>
      </c>
      <c r="D3509" s="7" t="s">
        <v>28</v>
      </c>
      <c r="E3509" s="7" t="s">
        <v>29</v>
      </c>
      <c r="F3509" s="7" t="s">
        <v>55</v>
      </c>
      <c r="G3509" s="7">
        <v>100.16160000000001</v>
      </c>
      <c r="H3509" s="7"/>
    </row>
    <row r="3510" spans="1:8" x14ac:dyDescent="0.35">
      <c r="A3510" s="7" t="s">
        <v>358</v>
      </c>
      <c r="B3510" s="7" t="s">
        <v>26</v>
      </c>
      <c r="C3510" s="7" t="s">
        <v>27</v>
      </c>
      <c r="D3510" s="7" t="s">
        <v>28</v>
      </c>
      <c r="E3510" s="7" t="s">
        <v>29</v>
      </c>
      <c r="F3510" s="7" t="s">
        <v>56</v>
      </c>
      <c r="G3510" s="7">
        <v>100.4712</v>
      </c>
      <c r="H3510" s="7"/>
    </row>
    <row r="3511" spans="1:8" x14ac:dyDescent="0.35">
      <c r="A3511" s="7" t="s">
        <v>358</v>
      </c>
      <c r="B3511" s="7" t="s">
        <v>26</v>
      </c>
      <c r="C3511" s="7" t="s">
        <v>27</v>
      </c>
      <c r="D3511" s="7" t="s">
        <v>28</v>
      </c>
      <c r="E3511" s="7" t="s">
        <v>29</v>
      </c>
      <c r="F3511" s="7" t="s">
        <v>57</v>
      </c>
      <c r="G3511" s="7">
        <v>100.58159999999999</v>
      </c>
      <c r="H3511" s="7"/>
    </row>
    <row r="3512" spans="1:8" x14ac:dyDescent="0.35">
      <c r="A3512" s="7" t="s">
        <v>358</v>
      </c>
      <c r="B3512" s="7" t="s">
        <v>26</v>
      </c>
      <c r="C3512" s="7" t="s">
        <v>27</v>
      </c>
      <c r="D3512" s="7" t="s">
        <v>28</v>
      </c>
      <c r="E3512" s="7" t="s">
        <v>29</v>
      </c>
      <c r="F3512" s="7" t="s">
        <v>58</v>
      </c>
      <c r="G3512" s="7">
        <v>100.54040000000001</v>
      </c>
      <c r="H3512" s="7"/>
    </row>
    <row r="3513" spans="1:8" x14ac:dyDescent="0.35">
      <c r="A3513" s="7" t="s">
        <v>358</v>
      </c>
      <c r="B3513" s="7" t="s">
        <v>26</v>
      </c>
      <c r="C3513" s="7" t="s">
        <v>27</v>
      </c>
      <c r="D3513" s="7" t="s">
        <v>28</v>
      </c>
      <c r="E3513" s="7" t="s">
        <v>29</v>
      </c>
      <c r="F3513" s="7" t="s">
        <v>59</v>
      </c>
      <c r="G3513" s="7">
        <v>100.37990000000001</v>
      </c>
      <c r="H3513" s="7"/>
    </row>
    <row r="3514" spans="1:8" x14ac:dyDescent="0.35">
      <c r="A3514" s="7" t="s">
        <v>358</v>
      </c>
      <c r="B3514" s="7" t="s">
        <v>26</v>
      </c>
      <c r="C3514" s="7" t="s">
        <v>27</v>
      </c>
      <c r="D3514" s="7" t="s">
        <v>28</v>
      </c>
      <c r="E3514" s="7" t="s">
        <v>29</v>
      </c>
      <c r="F3514" s="7" t="s">
        <v>60</v>
      </c>
      <c r="G3514" s="7">
        <v>100.2488</v>
      </c>
      <c r="H3514" s="7"/>
    </row>
    <row r="3515" spans="1:8" x14ac:dyDescent="0.35">
      <c r="A3515" s="7" t="s">
        <v>358</v>
      </c>
      <c r="B3515" s="7" t="s">
        <v>26</v>
      </c>
      <c r="C3515" s="7" t="s">
        <v>27</v>
      </c>
      <c r="D3515" s="7" t="s">
        <v>28</v>
      </c>
      <c r="E3515" s="7" t="s">
        <v>29</v>
      </c>
      <c r="F3515" s="7" t="s">
        <v>61</v>
      </c>
      <c r="G3515" s="7">
        <v>100.34529999999999</v>
      </c>
      <c r="H3515" s="7"/>
    </row>
    <row r="3516" spans="1:8" x14ac:dyDescent="0.35">
      <c r="A3516" s="7" t="s">
        <v>358</v>
      </c>
      <c r="B3516" s="7" t="s">
        <v>26</v>
      </c>
      <c r="C3516" s="7" t="s">
        <v>27</v>
      </c>
      <c r="D3516" s="7" t="s">
        <v>28</v>
      </c>
      <c r="E3516" s="7" t="s">
        <v>29</v>
      </c>
      <c r="F3516" s="7" t="s">
        <v>62</v>
      </c>
      <c r="G3516" s="7">
        <v>100.82040000000001</v>
      </c>
      <c r="H3516" s="7"/>
    </row>
    <row r="3517" spans="1:8" x14ac:dyDescent="0.35">
      <c r="A3517" s="7" t="s">
        <v>358</v>
      </c>
      <c r="B3517" s="7" t="s">
        <v>26</v>
      </c>
      <c r="C3517" s="7" t="s">
        <v>27</v>
      </c>
      <c r="D3517" s="7" t="s">
        <v>28</v>
      </c>
      <c r="E3517" s="7" t="s">
        <v>29</v>
      </c>
      <c r="F3517" s="7" t="s">
        <v>63</v>
      </c>
      <c r="G3517" s="7">
        <v>101.45269999999999</v>
      </c>
      <c r="H3517" s="7"/>
    </row>
    <row r="3518" spans="1:8" x14ac:dyDescent="0.35">
      <c r="A3518" s="7" t="s">
        <v>358</v>
      </c>
      <c r="B3518" s="7" t="s">
        <v>26</v>
      </c>
      <c r="C3518" s="7" t="s">
        <v>27</v>
      </c>
      <c r="D3518" s="7" t="s">
        <v>28</v>
      </c>
      <c r="E3518" s="7" t="s">
        <v>29</v>
      </c>
      <c r="F3518" s="7" t="s">
        <v>64</v>
      </c>
      <c r="G3518" s="7">
        <v>101.9491</v>
      </c>
      <c r="H3518" s="7"/>
    </row>
    <row r="3519" spans="1:8" x14ac:dyDescent="0.35">
      <c r="A3519" s="7" t="s">
        <v>358</v>
      </c>
      <c r="B3519" s="7" t="s">
        <v>26</v>
      </c>
      <c r="C3519" s="7" t="s">
        <v>27</v>
      </c>
      <c r="D3519" s="7" t="s">
        <v>28</v>
      </c>
      <c r="E3519" s="7" t="s">
        <v>29</v>
      </c>
      <c r="F3519" s="7" t="s">
        <v>65</v>
      </c>
      <c r="G3519" s="7">
        <v>102.08710000000001</v>
      </c>
      <c r="H3519" s="7"/>
    </row>
    <row r="3520" spans="1:8" x14ac:dyDescent="0.35">
      <c r="A3520" s="7" t="s">
        <v>358</v>
      </c>
      <c r="B3520" s="7" t="s">
        <v>26</v>
      </c>
      <c r="C3520" s="7" t="s">
        <v>27</v>
      </c>
      <c r="D3520" s="7" t="s">
        <v>28</v>
      </c>
      <c r="E3520" s="7" t="s">
        <v>29</v>
      </c>
      <c r="F3520" s="7" t="s">
        <v>66</v>
      </c>
      <c r="G3520" s="7">
        <v>101.9935</v>
      </c>
      <c r="H3520" s="7"/>
    </row>
    <row r="3521" spans="1:8" x14ac:dyDescent="0.35">
      <c r="A3521" s="7" t="s">
        <v>358</v>
      </c>
      <c r="B3521" s="7" t="s">
        <v>26</v>
      </c>
      <c r="C3521" s="7" t="s">
        <v>27</v>
      </c>
      <c r="D3521" s="7" t="s">
        <v>28</v>
      </c>
      <c r="E3521" s="7" t="s">
        <v>29</v>
      </c>
      <c r="F3521" s="7" t="s">
        <v>67</v>
      </c>
      <c r="G3521" s="7">
        <v>101.8242</v>
      </c>
      <c r="H3521" s="7"/>
    </row>
    <row r="3522" spans="1:8" x14ac:dyDescent="0.35">
      <c r="A3522" s="7" t="s">
        <v>358</v>
      </c>
      <c r="B3522" s="7" t="s">
        <v>26</v>
      </c>
      <c r="C3522" s="7" t="s">
        <v>27</v>
      </c>
      <c r="D3522" s="7" t="s">
        <v>28</v>
      </c>
      <c r="E3522" s="7" t="s">
        <v>29</v>
      </c>
      <c r="F3522" s="7" t="s">
        <v>68</v>
      </c>
      <c r="G3522" s="7">
        <v>101.67489999999999</v>
      </c>
      <c r="H3522" s="7"/>
    </row>
    <row r="3523" spans="1:8" x14ac:dyDescent="0.35">
      <c r="A3523" s="7" t="s">
        <v>358</v>
      </c>
      <c r="B3523" s="7" t="s">
        <v>26</v>
      </c>
      <c r="C3523" s="7" t="s">
        <v>27</v>
      </c>
      <c r="D3523" s="7" t="s">
        <v>28</v>
      </c>
      <c r="E3523" s="7" t="s">
        <v>29</v>
      </c>
      <c r="F3523" s="7" t="s">
        <v>69</v>
      </c>
      <c r="G3523" s="7">
        <v>101.5685</v>
      </c>
      <c r="H3523" s="7"/>
    </row>
    <row r="3524" spans="1:8" x14ac:dyDescent="0.35">
      <c r="A3524" s="7" t="s">
        <v>358</v>
      </c>
      <c r="B3524" s="7" t="s">
        <v>26</v>
      </c>
      <c r="C3524" s="7" t="s">
        <v>27</v>
      </c>
      <c r="D3524" s="7" t="s">
        <v>28</v>
      </c>
      <c r="E3524" s="7" t="s">
        <v>29</v>
      </c>
      <c r="F3524" s="7" t="s">
        <v>70</v>
      </c>
      <c r="G3524" s="7">
        <v>101.5134</v>
      </c>
      <c r="H3524" s="7"/>
    </row>
    <row r="3525" spans="1:8" x14ac:dyDescent="0.35">
      <c r="A3525" s="7" t="s">
        <v>358</v>
      </c>
      <c r="B3525" s="7" t="s">
        <v>26</v>
      </c>
      <c r="C3525" s="7" t="s">
        <v>27</v>
      </c>
      <c r="D3525" s="7" t="s">
        <v>28</v>
      </c>
      <c r="E3525" s="7" t="s">
        <v>29</v>
      </c>
      <c r="F3525" s="7" t="s">
        <v>71</v>
      </c>
      <c r="G3525" s="7">
        <v>101.5181</v>
      </c>
      <c r="H3525" s="7"/>
    </row>
    <row r="3526" spans="1:8" x14ac:dyDescent="0.35">
      <c r="A3526" s="7" t="s">
        <v>358</v>
      </c>
      <c r="B3526" s="7" t="s">
        <v>26</v>
      </c>
      <c r="C3526" s="7" t="s">
        <v>27</v>
      </c>
      <c r="D3526" s="7" t="s">
        <v>28</v>
      </c>
      <c r="E3526" s="7" t="s">
        <v>29</v>
      </c>
      <c r="F3526" s="7" t="s">
        <v>72</v>
      </c>
      <c r="G3526" s="7">
        <v>101.55549999999999</v>
      </c>
      <c r="H3526" s="7"/>
    </row>
    <row r="3527" spans="1:8" x14ac:dyDescent="0.35">
      <c r="A3527" s="7" t="s">
        <v>358</v>
      </c>
      <c r="B3527" s="7" t="s">
        <v>26</v>
      </c>
      <c r="C3527" s="7" t="s">
        <v>27</v>
      </c>
      <c r="D3527" s="7" t="s">
        <v>28</v>
      </c>
      <c r="E3527" s="7" t="s">
        <v>29</v>
      </c>
      <c r="F3527" s="7" t="s">
        <v>73</v>
      </c>
      <c r="G3527" s="7">
        <v>101.6039</v>
      </c>
      <c r="H3527" s="7"/>
    </row>
    <row r="3528" spans="1:8" x14ac:dyDescent="0.35">
      <c r="A3528" s="7" t="s">
        <v>358</v>
      </c>
      <c r="B3528" s="7" t="s">
        <v>26</v>
      </c>
      <c r="C3528" s="7" t="s">
        <v>27</v>
      </c>
      <c r="D3528" s="7" t="s">
        <v>28</v>
      </c>
      <c r="E3528" s="7" t="s">
        <v>29</v>
      </c>
      <c r="F3528" s="7" t="s">
        <v>74</v>
      </c>
      <c r="G3528" s="7">
        <v>101.6551</v>
      </c>
      <c r="H3528" s="7"/>
    </row>
    <row r="3529" spans="1:8" x14ac:dyDescent="0.35">
      <c r="A3529" s="7" t="s">
        <v>358</v>
      </c>
      <c r="B3529" s="7" t="s">
        <v>26</v>
      </c>
      <c r="C3529" s="7" t="s">
        <v>27</v>
      </c>
      <c r="D3529" s="7" t="s">
        <v>28</v>
      </c>
      <c r="E3529" s="7" t="s">
        <v>29</v>
      </c>
      <c r="F3529" s="7" t="s">
        <v>75</v>
      </c>
      <c r="G3529" s="7">
        <v>101.7114</v>
      </c>
      <c r="H3529" s="7"/>
    </row>
    <row r="3530" spans="1:8" x14ac:dyDescent="0.35">
      <c r="A3530" s="7" t="s">
        <v>358</v>
      </c>
      <c r="B3530" s="7" t="s">
        <v>26</v>
      </c>
      <c r="C3530" s="7" t="s">
        <v>27</v>
      </c>
      <c r="D3530" s="7" t="s">
        <v>28</v>
      </c>
      <c r="E3530" s="7" t="s">
        <v>29</v>
      </c>
      <c r="F3530" s="7" t="s">
        <v>76</v>
      </c>
      <c r="G3530" s="7">
        <v>101.7801</v>
      </c>
      <c r="H3530" s="7"/>
    </row>
    <row r="3531" spans="1:8" x14ac:dyDescent="0.35">
      <c r="A3531" s="7" t="s">
        <v>358</v>
      </c>
      <c r="B3531" s="7" t="s">
        <v>26</v>
      </c>
      <c r="C3531" s="7" t="s">
        <v>27</v>
      </c>
      <c r="D3531" s="7" t="s">
        <v>28</v>
      </c>
      <c r="E3531" s="7" t="s">
        <v>29</v>
      </c>
      <c r="F3531" s="7" t="s">
        <v>77</v>
      </c>
      <c r="G3531" s="7">
        <v>101.8631</v>
      </c>
      <c r="H3531" s="7"/>
    </row>
    <row r="3532" spans="1:8" x14ac:dyDescent="0.35">
      <c r="A3532" s="7" t="s">
        <v>358</v>
      </c>
      <c r="B3532" s="7" t="s">
        <v>26</v>
      </c>
      <c r="C3532" s="7" t="s">
        <v>27</v>
      </c>
      <c r="D3532" s="7" t="s">
        <v>28</v>
      </c>
      <c r="E3532" s="7" t="s">
        <v>29</v>
      </c>
      <c r="F3532" s="7" t="s">
        <v>78</v>
      </c>
      <c r="G3532" s="7">
        <v>101.9331</v>
      </c>
      <c r="H3532" s="7"/>
    </row>
    <row r="3533" spans="1:8" x14ac:dyDescent="0.35">
      <c r="A3533" s="7" t="s">
        <v>358</v>
      </c>
      <c r="B3533" s="7" t="s">
        <v>26</v>
      </c>
      <c r="C3533" s="7" t="s">
        <v>27</v>
      </c>
      <c r="D3533" s="7" t="s">
        <v>28</v>
      </c>
      <c r="E3533" s="7" t="s">
        <v>29</v>
      </c>
      <c r="F3533" s="7" t="s">
        <v>79</v>
      </c>
      <c r="G3533" s="7">
        <v>101.94240000000001</v>
      </c>
      <c r="H3533" s="7"/>
    </row>
    <row r="3534" spans="1:8" x14ac:dyDescent="0.35">
      <c r="A3534" s="7" t="s">
        <v>358</v>
      </c>
      <c r="B3534" s="7" t="s">
        <v>26</v>
      </c>
      <c r="C3534" s="7" t="s">
        <v>27</v>
      </c>
      <c r="D3534" s="7" t="s">
        <v>28</v>
      </c>
      <c r="E3534" s="7" t="s">
        <v>29</v>
      </c>
      <c r="F3534" s="7" t="s">
        <v>80</v>
      </c>
      <c r="G3534" s="7">
        <v>101.8437</v>
      </c>
      <c r="H3534" s="7"/>
    </row>
    <row r="3535" spans="1:8" x14ac:dyDescent="0.35">
      <c r="A3535" s="7" t="s">
        <v>358</v>
      </c>
      <c r="B3535" s="7" t="s">
        <v>26</v>
      </c>
      <c r="C3535" s="7" t="s">
        <v>27</v>
      </c>
      <c r="D3535" s="7" t="s">
        <v>28</v>
      </c>
      <c r="E3535" s="7" t="s">
        <v>29</v>
      </c>
      <c r="F3535" s="7" t="s">
        <v>81</v>
      </c>
      <c r="G3535" s="7">
        <v>101.6721</v>
      </c>
      <c r="H3535" s="7"/>
    </row>
    <row r="3536" spans="1:8" x14ac:dyDescent="0.35">
      <c r="A3536" s="7" t="s">
        <v>358</v>
      </c>
      <c r="B3536" s="7" t="s">
        <v>26</v>
      </c>
      <c r="C3536" s="7" t="s">
        <v>27</v>
      </c>
      <c r="D3536" s="7" t="s">
        <v>28</v>
      </c>
      <c r="E3536" s="7" t="s">
        <v>29</v>
      </c>
      <c r="F3536" s="7" t="s">
        <v>82</v>
      </c>
      <c r="G3536" s="7">
        <v>101.4614</v>
      </c>
      <c r="H3536" s="7"/>
    </row>
    <row r="3537" spans="1:8" x14ac:dyDescent="0.35">
      <c r="A3537" s="7" t="s">
        <v>358</v>
      </c>
      <c r="B3537" s="7" t="s">
        <v>26</v>
      </c>
      <c r="C3537" s="7" t="s">
        <v>27</v>
      </c>
      <c r="D3537" s="7" t="s">
        <v>28</v>
      </c>
      <c r="E3537" s="7" t="s">
        <v>29</v>
      </c>
      <c r="F3537" s="7" t="s">
        <v>83</v>
      </c>
      <c r="G3537" s="7">
        <v>101.2334</v>
      </c>
      <c r="H3537" s="7"/>
    </row>
    <row r="3538" spans="1:8" x14ac:dyDescent="0.35">
      <c r="A3538" s="7" t="s">
        <v>358</v>
      </c>
      <c r="B3538" s="7" t="s">
        <v>26</v>
      </c>
      <c r="C3538" s="7" t="s">
        <v>27</v>
      </c>
      <c r="D3538" s="7" t="s">
        <v>28</v>
      </c>
      <c r="E3538" s="7" t="s">
        <v>29</v>
      </c>
      <c r="F3538" s="7" t="s">
        <v>84</v>
      </c>
      <c r="G3538" s="7">
        <v>101.02630000000001</v>
      </c>
      <c r="H3538" s="7"/>
    </row>
    <row r="3539" spans="1:8" x14ac:dyDescent="0.35">
      <c r="A3539" s="7" t="s">
        <v>358</v>
      </c>
      <c r="B3539" s="7" t="s">
        <v>26</v>
      </c>
      <c r="C3539" s="7" t="s">
        <v>27</v>
      </c>
      <c r="D3539" s="7" t="s">
        <v>28</v>
      </c>
      <c r="E3539" s="7" t="s">
        <v>29</v>
      </c>
      <c r="F3539" s="7" t="s">
        <v>85</v>
      </c>
      <c r="G3539" s="7">
        <v>100.895</v>
      </c>
      <c r="H3539" s="7"/>
    </row>
    <row r="3540" spans="1:8" x14ac:dyDescent="0.35">
      <c r="A3540" s="7" t="s">
        <v>358</v>
      </c>
      <c r="B3540" s="7" t="s">
        <v>26</v>
      </c>
      <c r="C3540" s="7" t="s">
        <v>27</v>
      </c>
      <c r="D3540" s="7" t="s">
        <v>28</v>
      </c>
      <c r="E3540" s="7" t="s">
        <v>29</v>
      </c>
      <c r="F3540" s="7" t="s">
        <v>86</v>
      </c>
      <c r="G3540" s="7">
        <v>100.8896</v>
      </c>
      <c r="H3540" s="7"/>
    </row>
    <row r="3541" spans="1:8" x14ac:dyDescent="0.35">
      <c r="A3541" s="7" t="s">
        <v>358</v>
      </c>
      <c r="B3541" s="7" t="s">
        <v>26</v>
      </c>
      <c r="C3541" s="7" t="s">
        <v>27</v>
      </c>
      <c r="D3541" s="7" t="s">
        <v>28</v>
      </c>
      <c r="E3541" s="7" t="s">
        <v>29</v>
      </c>
      <c r="F3541" s="7" t="s">
        <v>87</v>
      </c>
      <c r="G3541" s="7">
        <v>100.9593</v>
      </c>
      <c r="H3541" s="7"/>
    </row>
    <row r="3542" spans="1:8" x14ac:dyDescent="0.35">
      <c r="A3542" s="7" t="s">
        <v>358</v>
      </c>
      <c r="B3542" s="7" t="s">
        <v>26</v>
      </c>
      <c r="C3542" s="7" t="s">
        <v>27</v>
      </c>
      <c r="D3542" s="7" t="s">
        <v>28</v>
      </c>
      <c r="E3542" s="7" t="s">
        <v>29</v>
      </c>
      <c r="F3542" s="7" t="s">
        <v>88</v>
      </c>
      <c r="G3542" s="7">
        <v>101.0488</v>
      </c>
      <c r="H3542" s="7"/>
    </row>
    <row r="3543" spans="1:8" x14ac:dyDescent="0.35">
      <c r="A3543" s="7" t="s">
        <v>358</v>
      </c>
      <c r="B3543" s="7" t="s">
        <v>26</v>
      </c>
      <c r="C3543" s="7" t="s">
        <v>27</v>
      </c>
      <c r="D3543" s="7" t="s">
        <v>28</v>
      </c>
      <c r="E3543" s="7" t="s">
        <v>29</v>
      </c>
      <c r="F3543" s="7" t="s">
        <v>89</v>
      </c>
      <c r="G3543" s="7">
        <v>101.11969999999999</v>
      </c>
      <c r="H3543" s="7"/>
    </row>
    <row r="3544" spans="1:8" x14ac:dyDescent="0.35">
      <c r="A3544" s="7" t="s">
        <v>358</v>
      </c>
      <c r="B3544" s="7" t="s">
        <v>26</v>
      </c>
      <c r="C3544" s="7" t="s">
        <v>27</v>
      </c>
      <c r="D3544" s="7" t="s">
        <v>28</v>
      </c>
      <c r="E3544" s="7" t="s">
        <v>29</v>
      </c>
      <c r="F3544" s="7" t="s">
        <v>90</v>
      </c>
      <c r="G3544" s="7">
        <v>101.1524</v>
      </c>
      <c r="H3544" s="7"/>
    </row>
    <row r="3545" spans="1:8" x14ac:dyDescent="0.35">
      <c r="A3545" s="7" t="s">
        <v>358</v>
      </c>
      <c r="B3545" s="7" t="s">
        <v>26</v>
      </c>
      <c r="C3545" s="7" t="s">
        <v>27</v>
      </c>
      <c r="D3545" s="7" t="s">
        <v>28</v>
      </c>
      <c r="E3545" s="7" t="s">
        <v>29</v>
      </c>
      <c r="F3545" s="7" t="s">
        <v>91</v>
      </c>
      <c r="G3545" s="7">
        <v>101.1207</v>
      </c>
      <c r="H3545" s="7"/>
    </row>
    <row r="3546" spans="1:8" x14ac:dyDescent="0.35">
      <c r="A3546" s="7" t="s">
        <v>358</v>
      </c>
      <c r="B3546" s="7" t="s">
        <v>26</v>
      </c>
      <c r="C3546" s="7" t="s">
        <v>27</v>
      </c>
      <c r="D3546" s="7" t="s">
        <v>28</v>
      </c>
      <c r="E3546" s="7" t="s">
        <v>29</v>
      </c>
      <c r="F3546" s="7" t="s">
        <v>92</v>
      </c>
      <c r="G3546" s="7">
        <v>101.0046</v>
      </c>
      <c r="H3546" s="7"/>
    </row>
    <row r="3547" spans="1:8" x14ac:dyDescent="0.35">
      <c r="A3547" s="7" t="s">
        <v>358</v>
      </c>
      <c r="B3547" s="7" t="s">
        <v>26</v>
      </c>
      <c r="C3547" s="7" t="s">
        <v>27</v>
      </c>
      <c r="D3547" s="7" t="s">
        <v>28</v>
      </c>
      <c r="E3547" s="7" t="s">
        <v>29</v>
      </c>
      <c r="F3547" s="7" t="s">
        <v>93</v>
      </c>
      <c r="G3547" s="7">
        <v>100.8677</v>
      </c>
      <c r="H3547" s="7"/>
    </row>
    <row r="3548" spans="1:8" x14ac:dyDescent="0.35">
      <c r="A3548" s="7" t="s">
        <v>358</v>
      </c>
      <c r="B3548" s="7" t="s">
        <v>26</v>
      </c>
      <c r="C3548" s="7" t="s">
        <v>27</v>
      </c>
      <c r="D3548" s="7" t="s">
        <v>28</v>
      </c>
      <c r="E3548" s="7" t="s">
        <v>29</v>
      </c>
      <c r="F3548" s="7" t="s">
        <v>94</v>
      </c>
      <c r="G3548" s="7">
        <v>100.79089999999999</v>
      </c>
      <c r="H3548" s="7"/>
    </row>
    <row r="3549" spans="1:8" x14ac:dyDescent="0.35">
      <c r="A3549" s="7" t="s">
        <v>358</v>
      </c>
      <c r="B3549" s="7" t="s">
        <v>26</v>
      </c>
      <c r="C3549" s="7" t="s">
        <v>27</v>
      </c>
      <c r="D3549" s="7" t="s">
        <v>28</v>
      </c>
      <c r="E3549" s="7" t="s">
        <v>29</v>
      </c>
      <c r="F3549" s="7" t="s">
        <v>95</v>
      </c>
      <c r="G3549" s="7">
        <v>100.82689999999999</v>
      </c>
      <c r="H3549" s="7"/>
    </row>
    <row r="3550" spans="1:8" x14ac:dyDescent="0.35">
      <c r="A3550" s="7" t="s">
        <v>358</v>
      </c>
      <c r="B3550" s="7" t="s">
        <v>26</v>
      </c>
      <c r="C3550" s="7" t="s">
        <v>27</v>
      </c>
      <c r="D3550" s="7" t="s">
        <v>28</v>
      </c>
      <c r="E3550" s="7" t="s">
        <v>29</v>
      </c>
      <c r="F3550" s="7" t="s">
        <v>96</v>
      </c>
      <c r="G3550" s="7">
        <v>100.8944</v>
      </c>
      <c r="H3550" s="7"/>
    </row>
    <row r="3551" spans="1:8" x14ac:dyDescent="0.35">
      <c r="A3551" s="7" t="s">
        <v>358</v>
      </c>
      <c r="B3551" s="7" t="s">
        <v>26</v>
      </c>
      <c r="C3551" s="7" t="s">
        <v>27</v>
      </c>
      <c r="D3551" s="7" t="s">
        <v>28</v>
      </c>
      <c r="E3551" s="7" t="s">
        <v>29</v>
      </c>
      <c r="F3551" s="7" t="s">
        <v>97</v>
      </c>
      <c r="G3551" s="7">
        <v>100.87949999999999</v>
      </c>
      <c r="H3551" s="7"/>
    </row>
    <row r="3552" spans="1:8" x14ac:dyDescent="0.35">
      <c r="A3552" s="7" t="s">
        <v>358</v>
      </c>
      <c r="B3552" s="7" t="s">
        <v>26</v>
      </c>
      <c r="C3552" s="7" t="s">
        <v>27</v>
      </c>
      <c r="D3552" s="7" t="s">
        <v>28</v>
      </c>
      <c r="E3552" s="7" t="s">
        <v>29</v>
      </c>
      <c r="F3552" s="7" t="s">
        <v>98</v>
      </c>
      <c r="G3552" s="7">
        <v>100.7045</v>
      </c>
      <c r="H3552" s="7"/>
    </row>
    <row r="3553" spans="1:8" x14ac:dyDescent="0.35">
      <c r="A3553" s="7" t="s">
        <v>358</v>
      </c>
      <c r="B3553" s="7" t="s">
        <v>26</v>
      </c>
      <c r="C3553" s="7" t="s">
        <v>27</v>
      </c>
      <c r="D3553" s="7" t="s">
        <v>28</v>
      </c>
      <c r="E3553" s="7" t="s">
        <v>29</v>
      </c>
      <c r="F3553" s="7" t="s">
        <v>99</v>
      </c>
      <c r="G3553" s="7">
        <v>100.47969999999999</v>
      </c>
      <c r="H3553" s="7"/>
    </row>
    <row r="3554" spans="1:8" x14ac:dyDescent="0.35">
      <c r="A3554" s="7" t="s">
        <v>358</v>
      </c>
      <c r="B3554" s="7" t="s">
        <v>26</v>
      </c>
      <c r="C3554" s="7" t="s">
        <v>27</v>
      </c>
      <c r="D3554" s="7" t="s">
        <v>28</v>
      </c>
      <c r="E3554" s="7" t="s">
        <v>29</v>
      </c>
      <c r="F3554" s="7" t="s">
        <v>100</v>
      </c>
      <c r="G3554" s="7">
        <v>100.3592</v>
      </c>
      <c r="H3554" s="7"/>
    </row>
    <row r="3555" spans="1:8" x14ac:dyDescent="0.35">
      <c r="A3555" s="7" t="s">
        <v>358</v>
      </c>
      <c r="B3555" s="7" t="s">
        <v>26</v>
      </c>
      <c r="C3555" s="7" t="s">
        <v>27</v>
      </c>
      <c r="D3555" s="7" t="s">
        <v>28</v>
      </c>
      <c r="E3555" s="7" t="s">
        <v>29</v>
      </c>
      <c r="F3555" s="7" t="s">
        <v>101</v>
      </c>
      <c r="G3555" s="7">
        <v>100.44670000000001</v>
      </c>
      <c r="H3555" s="7"/>
    </row>
    <row r="3556" spans="1:8" x14ac:dyDescent="0.35">
      <c r="A3556" s="7" t="s">
        <v>358</v>
      </c>
      <c r="B3556" s="7" t="s">
        <v>26</v>
      </c>
      <c r="C3556" s="7" t="s">
        <v>27</v>
      </c>
      <c r="D3556" s="7" t="s">
        <v>28</v>
      </c>
      <c r="E3556" s="7" t="s">
        <v>29</v>
      </c>
      <c r="F3556" s="7" t="s">
        <v>102</v>
      </c>
      <c r="G3556" s="7">
        <v>100.59650000000001</v>
      </c>
      <c r="H3556" s="7"/>
    </row>
    <row r="3557" spans="1:8" x14ac:dyDescent="0.35">
      <c r="A3557" s="7" t="s">
        <v>358</v>
      </c>
      <c r="B3557" s="7" t="s">
        <v>26</v>
      </c>
      <c r="C3557" s="7" t="s">
        <v>27</v>
      </c>
      <c r="D3557" s="7" t="s">
        <v>28</v>
      </c>
      <c r="E3557" s="7" t="s">
        <v>29</v>
      </c>
      <c r="F3557" s="7" t="s">
        <v>103</v>
      </c>
      <c r="G3557" s="7">
        <v>100.6001</v>
      </c>
      <c r="H3557" s="7"/>
    </row>
    <row r="3558" spans="1:8" x14ac:dyDescent="0.35">
      <c r="A3558" s="7" t="s">
        <v>358</v>
      </c>
      <c r="B3558" s="7" t="s">
        <v>26</v>
      </c>
      <c r="C3558" s="7" t="s">
        <v>27</v>
      </c>
      <c r="D3558" s="7" t="s">
        <v>28</v>
      </c>
      <c r="E3558" s="7" t="s">
        <v>29</v>
      </c>
      <c r="F3558" s="7" t="s">
        <v>104</v>
      </c>
      <c r="G3558" s="7">
        <v>100.3099</v>
      </c>
      <c r="H3558" s="7"/>
    </row>
    <row r="3559" spans="1:8" x14ac:dyDescent="0.35">
      <c r="A3559" s="7" t="s">
        <v>358</v>
      </c>
      <c r="B3559" s="7" t="s">
        <v>26</v>
      </c>
      <c r="C3559" s="7" t="s">
        <v>27</v>
      </c>
      <c r="D3559" s="7" t="s">
        <v>28</v>
      </c>
      <c r="E3559" s="7" t="s">
        <v>29</v>
      </c>
      <c r="F3559" s="7" t="s">
        <v>105</v>
      </c>
      <c r="G3559" s="7">
        <v>99.908450000000002</v>
      </c>
      <c r="H3559" s="7"/>
    </row>
    <row r="3560" spans="1:8" x14ac:dyDescent="0.35">
      <c r="A3560" s="7" t="s">
        <v>358</v>
      </c>
      <c r="B3560" s="7" t="s">
        <v>26</v>
      </c>
      <c r="C3560" s="7" t="s">
        <v>27</v>
      </c>
      <c r="D3560" s="7" t="s">
        <v>28</v>
      </c>
      <c r="E3560" s="7" t="s">
        <v>29</v>
      </c>
      <c r="F3560" s="7" t="s">
        <v>106</v>
      </c>
      <c r="G3560" s="7">
        <v>99.652420000000006</v>
      </c>
      <c r="H3560" s="7"/>
    </row>
    <row r="3561" spans="1:8" x14ac:dyDescent="0.35">
      <c r="A3561" s="7" t="s">
        <v>358</v>
      </c>
      <c r="B3561" s="7" t="s">
        <v>26</v>
      </c>
      <c r="C3561" s="7" t="s">
        <v>27</v>
      </c>
      <c r="D3561" s="7" t="s">
        <v>28</v>
      </c>
      <c r="E3561" s="7" t="s">
        <v>29</v>
      </c>
      <c r="F3561" s="7" t="s">
        <v>107</v>
      </c>
      <c r="G3561" s="7">
        <v>99.726470000000006</v>
      </c>
      <c r="H3561" s="7"/>
    </row>
    <row r="3562" spans="1:8" x14ac:dyDescent="0.35">
      <c r="A3562" s="7" t="s">
        <v>358</v>
      </c>
      <c r="B3562" s="7" t="s">
        <v>26</v>
      </c>
      <c r="C3562" s="7" t="s">
        <v>27</v>
      </c>
      <c r="D3562" s="7" t="s">
        <v>28</v>
      </c>
      <c r="E3562" s="7" t="s">
        <v>29</v>
      </c>
      <c r="F3562" s="7" t="s">
        <v>108</v>
      </c>
      <c r="G3562" s="7">
        <v>99.952439999999996</v>
      </c>
      <c r="H3562" s="7"/>
    </row>
    <row r="3563" spans="1:8" x14ac:dyDescent="0.35">
      <c r="A3563" s="7" t="s">
        <v>358</v>
      </c>
      <c r="B3563" s="7" t="s">
        <v>26</v>
      </c>
      <c r="C3563" s="7" t="s">
        <v>27</v>
      </c>
      <c r="D3563" s="7" t="s">
        <v>28</v>
      </c>
      <c r="E3563" s="7" t="s">
        <v>29</v>
      </c>
      <c r="F3563" s="7" t="s">
        <v>109</v>
      </c>
      <c r="G3563" s="7">
        <v>100.07989999999999</v>
      </c>
      <c r="H3563" s="7"/>
    </row>
    <row r="3564" spans="1:8" x14ac:dyDescent="0.35">
      <c r="A3564" s="7" t="s">
        <v>358</v>
      </c>
      <c r="B3564" s="7" t="s">
        <v>26</v>
      </c>
      <c r="C3564" s="7" t="s">
        <v>27</v>
      </c>
      <c r="D3564" s="7" t="s">
        <v>28</v>
      </c>
      <c r="E3564" s="7" t="s">
        <v>29</v>
      </c>
      <c r="F3564" s="7" t="s">
        <v>110</v>
      </c>
      <c r="G3564" s="7">
        <v>99.924999999999997</v>
      </c>
      <c r="H3564" s="7"/>
    </row>
    <row r="3565" spans="1:8" x14ac:dyDescent="0.35">
      <c r="A3565" s="7" t="s">
        <v>358</v>
      </c>
      <c r="B3565" s="7" t="s">
        <v>26</v>
      </c>
      <c r="C3565" s="7" t="s">
        <v>27</v>
      </c>
      <c r="D3565" s="7" t="s">
        <v>28</v>
      </c>
      <c r="E3565" s="7" t="s">
        <v>29</v>
      </c>
      <c r="F3565" s="7" t="s">
        <v>111</v>
      </c>
      <c r="G3565" s="7">
        <v>99.607529999999997</v>
      </c>
      <c r="H3565" s="7"/>
    </row>
    <row r="3566" spans="1:8" x14ac:dyDescent="0.35">
      <c r="A3566" s="7" t="s">
        <v>358</v>
      </c>
      <c r="B3566" s="7" t="s">
        <v>26</v>
      </c>
      <c r="C3566" s="7" t="s">
        <v>27</v>
      </c>
      <c r="D3566" s="7" t="s">
        <v>28</v>
      </c>
      <c r="E3566" s="7" t="s">
        <v>29</v>
      </c>
      <c r="F3566" s="7" t="s">
        <v>112</v>
      </c>
      <c r="G3566" s="7">
        <v>99.295720000000003</v>
      </c>
      <c r="H3566" s="7"/>
    </row>
    <row r="3567" spans="1:8" x14ac:dyDescent="0.35">
      <c r="A3567" s="7" t="s">
        <v>358</v>
      </c>
      <c r="B3567" s="7" t="s">
        <v>26</v>
      </c>
      <c r="C3567" s="7" t="s">
        <v>27</v>
      </c>
      <c r="D3567" s="7" t="s">
        <v>28</v>
      </c>
      <c r="E3567" s="7" t="s">
        <v>29</v>
      </c>
      <c r="F3567" s="7" t="s">
        <v>113</v>
      </c>
      <c r="G3567" s="7">
        <v>99.113309999999998</v>
      </c>
      <c r="H3567" s="7"/>
    </row>
    <row r="3568" spans="1:8" x14ac:dyDescent="0.35">
      <c r="A3568" s="7" t="s">
        <v>358</v>
      </c>
      <c r="B3568" s="7" t="s">
        <v>26</v>
      </c>
      <c r="C3568" s="7" t="s">
        <v>27</v>
      </c>
      <c r="D3568" s="7" t="s">
        <v>28</v>
      </c>
      <c r="E3568" s="7" t="s">
        <v>29</v>
      </c>
      <c r="F3568" s="7" t="s">
        <v>114</v>
      </c>
      <c r="G3568" s="7">
        <v>99.041110000000003</v>
      </c>
      <c r="H3568" s="7"/>
    </row>
    <row r="3569" spans="1:8" x14ac:dyDescent="0.35">
      <c r="A3569" s="7" t="s">
        <v>358</v>
      </c>
      <c r="B3569" s="7" t="s">
        <v>26</v>
      </c>
      <c r="C3569" s="7" t="s">
        <v>27</v>
      </c>
      <c r="D3569" s="7" t="s">
        <v>28</v>
      </c>
      <c r="E3569" s="7" t="s">
        <v>29</v>
      </c>
      <c r="F3569" s="7" t="s">
        <v>115</v>
      </c>
      <c r="G3569" s="7">
        <v>99.053780000000003</v>
      </c>
      <c r="H3569" s="7"/>
    </row>
    <row r="3570" spans="1:8" x14ac:dyDescent="0.35">
      <c r="A3570" s="7" t="s">
        <v>358</v>
      </c>
      <c r="B3570" s="7" t="s">
        <v>26</v>
      </c>
      <c r="C3570" s="7" t="s">
        <v>27</v>
      </c>
      <c r="D3570" s="7" t="s">
        <v>28</v>
      </c>
      <c r="E3570" s="7" t="s">
        <v>29</v>
      </c>
      <c r="F3570" s="7" t="s">
        <v>116</v>
      </c>
      <c r="G3570" s="7">
        <v>99.146519999999995</v>
      </c>
      <c r="H3570" s="7"/>
    </row>
    <row r="3571" spans="1:8" x14ac:dyDescent="0.35">
      <c r="A3571" s="7" t="s">
        <v>358</v>
      </c>
      <c r="B3571" s="7" t="s">
        <v>26</v>
      </c>
      <c r="C3571" s="7" t="s">
        <v>27</v>
      </c>
      <c r="D3571" s="7" t="s">
        <v>28</v>
      </c>
      <c r="E3571" s="7" t="s">
        <v>29</v>
      </c>
      <c r="F3571" s="7" t="s">
        <v>117</v>
      </c>
      <c r="G3571" s="7">
        <v>99.276740000000004</v>
      </c>
      <c r="H3571" s="7"/>
    </row>
    <row r="3572" spans="1:8" x14ac:dyDescent="0.35">
      <c r="A3572" s="7" t="s">
        <v>358</v>
      </c>
      <c r="B3572" s="7" t="s">
        <v>26</v>
      </c>
      <c r="C3572" s="7" t="s">
        <v>27</v>
      </c>
      <c r="D3572" s="7" t="s">
        <v>28</v>
      </c>
      <c r="E3572" s="7" t="s">
        <v>29</v>
      </c>
      <c r="F3572" s="7" t="s">
        <v>118</v>
      </c>
      <c r="G3572" s="7">
        <v>99.408109999999994</v>
      </c>
      <c r="H3572" s="7"/>
    </row>
    <row r="3573" spans="1:8" x14ac:dyDescent="0.35">
      <c r="A3573" s="7" t="s">
        <v>358</v>
      </c>
      <c r="B3573" s="7" t="s">
        <v>26</v>
      </c>
      <c r="C3573" s="7" t="s">
        <v>27</v>
      </c>
      <c r="D3573" s="7" t="s">
        <v>28</v>
      </c>
      <c r="E3573" s="7" t="s">
        <v>29</v>
      </c>
      <c r="F3573" s="7" t="s">
        <v>119</v>
      </c>
      <c r="G3573" s="7">
        <v>99.517110000000002</v>
      </c>
      <c r="H3573" s="7"/>
    </row>
    <row r="3574" spans="1:8" x14ac:dyDescent="0.35">
      <c r="A3574" s="7" t="s">
        <v>358</v>
      </c>
      <c r="B3574" s="7" t="s">
        <v>26</v>
      </c>
      <c r="C3574" s="7" t="s">
        <v>27</v>
      </c>
      <c r="D3574" s="7" t="s">
        <v>28</v>
      </c>
      <c r="E3574" s="7" t="s">
        <v>29</v>
      </c>
      <c r="F3574" s="7" t="s">
        <v>120</v>
      </c>
      <c r="G3574" s="7">
        <v>99.598389999999995</v>
      </c>
      <c r="H3574" s="7"/>
    </row>
    <row r="3575" spans="1:8" x14ac:dyDescent="0.35">
      <c r="A3575" s="7" t="s">
        <v>358</v>
      </c>
      <c r="B3575" s="7" t="s">
        <v>26</v>
      </c>
      <c r="C3575" s="7" t="s">
        <v>27</v>
      </c>
      <c r="D3575" s="7" t="s">
        <v>28</v>
      </c>
      <c r="E3575" s="7" t="s">
        <v>29</v>
      </c>
      <c r="F3575" s="7" t="s">
        <v>121</v>
      </c>
      <c r="G3575" s="7">
        <v>99.647000000000006</v>
      </c>
      <c r="H3575" s="7"/>
    </row>
    <row r="3576" spans="1:8" x14ac:dyDescent="0.35">
      <c r="A3576" s="7" t="s">
        <v>358</v>
      </c>
      <c r="B3576" s="7" t="s">
        <v>26</v>
      </c>
      <c r="C3576" s="7" t="s">
        <v>27</v>
      </c>
      <c r="D3576" s="7" t="s">
        <v>28</v>
      </c>
      <c r="E3576" s="7" t="s">
        <v>29</v>
      </c>
      <c r="F3576" s="7" t="s">
        <v>122</v>
      </c>
      <c r="G3576" s="7">
        <v>99.668260000000004</v>
      </c>
      <c r="H3576" s="7"/>
    </row>
    <row r="3577" spans="1:8" x14ac:dyDescent="0.35">
      <c r="A3577" s="7" t="s">
        <v>358</v>
      </c>
      <c r="B3577" s="7" t="s">
        <v>26</v>
      </c>
      <c r="C3577" s="7" t="s">
        <v>27</v>
      </c>
      <c r="D3577" s="7" t="s">
        <v>28</v>
      </c>
      <c r="E3577" s="7" t="s">
        <v>29</v>
      </c>
      <c r="F3577" s="7" t="s">
        <v>123</v>
      </c>
      <c r="G3577" s="7">
        <v>99.720309999999998</v>
      </c>
      <c r="H3577" s="7"/>
    </row>
    <row r="3578" spans="1:8" x14ac:dyDescent="0.35">
      <c r="A3578" s="7" t="s">
        <v>358</v>
      </c>
      <c r="B3578" s="7" t="s">
        <v>26</v>
      </c>
      <c r="C3578" s="7" t="s">
        <v>27</v>
      </c>
      <c r="D3578" s="7" t="s">
        <v>28</v>
      </c>
      <c r="E3578" s="7" t="s">
        <v>29</v>
      </c>
      <c r="F3578" s="7" t="s">
        <v>124</v>
      </c>
      <c r="G3578" s="7">
        <v>99.892870000000002</v>
      </c>
      <c r="H3578" s="7"/>
    </row>
    <row r="3579" spans="1:8" x14ac:dyDescent="0.35">
      <c r="A3579" s="7" t="s">
        <v>358</v>
      </c>
      <c r="B3579" s="7" t="s">
        <v>26</v>
      </c>
      <c r="C3579" s="7" t="s">
        <v>27</v>
      </c>
      <c r="D3579" s="7" t="s">
        <v>28</v>
      </c>
      <c r="E3579" s="7" t="s">
        <v>29</v>
      </c>
      <c r="F3579" s="7" t="s">
        <v>125</v>
      </c>
      <c r="G3579" s="7">
        <v>100.2552</v>
      </c>
      <c r="H3579" s="7"/>
    </row>
    <row r="3580" spans="1:8" x14ac:dyDescent="0.35">
      <c r="A3580" s="7" t="s">
        <v>358</v>
      </c>
      <c r="B3580" s="7" t="s">
        <v>26</v>
      </c>
      <c r="C3580" s="7" t="s">
        <v>27</v>
      </c>
      <c r="D3580" s="7" t="s">
        <v>28</v>
      </c>
      <c r="E3580" s="7" t="s">
        <v>29</v>
      </c>
      <c r="F3580" s="7" t="s">
        <v>126</v>
      </c>
      <c r="G3580" s="7">
        <v>100.6835</v>
      </c>
      <c r="H3580" s="7"/>
    </row>
    <row r="3581" spans="1:8" x14ac:dyDescent="0.35">
      <c r="A3581" s="7" t="s">
        <v>358</v>
      </c>
      <c r="B3581" s="7" t="s">
        <v>26</v>
      </c>
      <c r="C3581" s="7" t="s">
        <v>27</v>
      </c>
      <c r="D3581" s="7" t="s">
        <v>28</v>
      </c>
      <c r="E3581" s="7" t="s">
        <v>29</v>
      </c>
      <c r="F3581" s="7" t="s">
        <v>127</v>
      </c>
      <c r="G3581" s="7">
        <v>101.0001</v>
      </c>
      <c r="H3581" s="7"/>
    </row>
    <row r="3582" spans="1:8" x14ac:dyDescent="0.35">
      <c r="A3582" s="7" t="s">
        <v>358</v>
      </c>
      <c r="B3582" s="7" t="s">
        <v>26</v>
      </c>
      <c r="C3582" s="7" t="s">
        <v>27</v>
      </c>
      <c r="D3582" s="7" t="s">
        <v>28</v>
      </c>
      <c r="E3582" s="7" t="s">
        <v>29</v>
      </c>
      <c r="F3582" s="7" t="s">
        <v>128</v>
      </c>
      <c r="G3582" s="7">
        <v>101.0466</v>
      </c>
      <c r="H3582" s="7"/>
    </row>
    <row r="3583" spans="1:8" x14ac:dyDescent="0.35">
      <c r="A3583" s="7" t="s">
        <v>358</v>
      </c>
      <c r="B3583" s="7" t="s">
        <v>26</v>
      </c>
      <c r="C3583" s="7" t="s">
        <v>27</v>
      </c>
      <c r="D3583" s="7" t="s">
        <v>28</v>
      </c>
      <c r="E3583" s="7" t="s">
        <v>29</v>
      </c>
      <c r="F3583" s="7" t="s">
        <v>129</v>
      </c>
      <c r="G3583" s="7">
        <v>100.8686</v>
      </c>
      <c r="H3583" s="7"/>
    </row>
    <row r="3584" spans="1:8" x14ac:dyDescent="0.35">
      <c r="A3584" s="7" t="s">
        <v>358</v>
      </c>
      <c r="B3584" s="7" t="s">
        <v>26</v>
      </c>
      <c r="C3584" s="7" t="s">
        <v>27</v>
      </c>
      <c r="D3584" s="7" t="s">
        <v>28</v>
      </c>
      <c r="E3584" s="7" t="s">
        <v>29</v>
      </c>
      <c r="F3584" s="7" t="s">
        <v>130</v>
      </c>
      <c r="G3584" s="7">
        <v>100.48739999999999</v>
      </c>
      <c r="H3584" s="7"/>
    </row>
    <row r="3585" spans="1:8" x14ac:dyDescent="0.35">
      <c r="A3585" s="7" t="s">
        <v>358</v>
      </c>
      <c r="B3585" s="7" t="s">
        <v>26</v>
      </c>
      <c r="C3585" s="7" t="s">
        <v>27</v>
      </c>
      <c r="D3585" s="7" t="s">
        <v>28</v>
      </c>
      <c r="E3585" s="7" t="s">
        <v>29</v>
      </c>
      <c r="F3585" s="7" t="s">
        <v>131</v>
      </c>
      <c r="G3585" s="7">
        <v>99.894679999999994</v>
      </c>
      <c r="H3585" s="7"/>
    </row>
    <row r="3586" spans="1:8" x14ac:dyDescent="0.35">
      <c r="A3586" s="7" t="s">
        <v>358</v>
      </c>
      <c r="B3586" s="7" t="s">
        <v>26</v>
      </c>
      <c r="C3586" s="7" t="s">
        <v>27</v>
      </c>
      <c r="D3586" s="7" t="s">
        <v>28</v>
      </c>
      <c r="E3586" s="7" t="s">
        <v>29</v>
      </c>
      <c r="F3586" s="7" t="s">
        <v>132</v>
      </c>
      <c r="G3586" s="7">
        <v>99.252409999999998</v>
      </c>
      <c r="H3586" s="7"/>
    </row>
    <row r="3587" spans="1:8" x14ac:dyDescent="0.35">
      <c r="A3587" s="7" t="s">
        <v>358</v>
      </c>
      <c r="B3587" s="7" t="s">
        <v>26</v>
      </c>
      <c r="C3587" s="7" t="s">
        <v>27</v>
      </c>
      <c r="D3587" s="7" t="s">
        <v>28</v>
      </c>
      <c r="E3587" s="7" t="s">
        <v>29</v>
      </c>
      <c r="F3587" s="7" t="s">
        <v>133</v>
      </c>
      <c r="G3587" s="7">
        <v>98.755420000000001</v>
      </c>
      <c r="H3587" s="7"/>
    </row>
    <row r="3588" spans="1:8" x14ac:dyDescent="0.35">
      <c r="A3588" s="7" t="s">
        <v>358</v>
      </c>
      <c r="B3588" s="7" t="s">
        <v>26</v>
      </c>
      <c r="C3588" s="7" t="s">
        <v>27</v>
      </c>
      <c r="D3588" s="7" t="s">
        <v>28</v>
      </c>
      <c r="E3588" s="7" t="s">
        <v>29</v>
      </c>
      <c r="F3588" s="7" t="s">
        <v>134</v>
      </c>
      <c r="G3588" s="7">
        <v>98.544569999999993</v>
      </c>
      <c r="H3588" s="7"/>
    </row>
    <row r="3589" spans="1:8" x14ac:dyDescent="0.35">
      <c r="A3589" s="7" t="s">
        <v>358</v>
      </c>
      <c r="B3589" s="7" t="s">
        <v>26</v>
      </c>
      <c r="C3589" s="7" t="s">
        <v>27</v>
      </c>
      <c r="D3589" s="7" t="s">
        <v>28</v>
      </c>
      <c r="E3589" s="7" t="s">
        <v>29</v>
      </c>
      <c r="F3589" s="7" t="s">
        <v>135</v>
      </c>
      <c r="G3589" s="7">
        <v>98.474209999999999</v>
      </c>
      <c r="H3589" s="7"/>
    </row>
    <row r="3590" spans="1:8" x14ac:dyDescent="0.35">
      <c r="A3590" s="7" t="s">
        <v>358</v>
      </c>
      <c r="B3590" s="7" t="s">
        <v>26</v>
      </c>
      <c r="C3590" s="7" t="s">
        <v>27</v>
      </c>
      <c r="D3590" s="7" t="s">
        <v>28</v>
      </c>
      <c r="E3590" s="7" t="s">
        <v>29</v>
      </c>
      <c r="F3590" s="7" t="s">
        <v>136</v>
      </c>
      <c r="G3590" s="7">
        <v>98.368690000000001</v>
      </c>
      <c r="H3590" s="7"/>
    </row>
    <row r="3591" spans="1:8" x14ac:dyDescent="0.35">
      <c r="A3591" s="7" t="s">
        <v>358</v>
      </c>
      <c r="B3591" s="7" t="s">
        <v>26</v>
      </c>
      <c r="C3591" s="7" t="s">
        <v>27</v>
      </c>
      <c r="D3591" s="7" t="s">
        <v>28</v>
      </c>
      <c r="E3591" s="7" t="s">
        <v>29</v>
      </c>
      <c r="F3591" s="7" t="s">
        <v>137</v>
      </c>
      <c r="G3591" s="7">
        <v>98.138319999999993</v>
      </c>
      <c r="H3591" s="7"/>
    </row>
    <row r="3592" spans="1:8" x14ac:dyDescent="0.35">
      <c r="A3592" s="7" t="s">
        <v>358</v>
      </c>
      <c r="B3592" s="7" t="s">
        <v>26</v>
      </c>
      <c r="C3592" s="7" t="s">
        <v>27</v>
      </c>
      <c r="D3592" s="7" t="s">
        <v>28</v>
      </c>
      <c r="E3592" s="7" t="s">
        <v>29</v>
      </c>
      <c r="F3592" s="7" t="s">
        <v>138</v>
      </c>
      <c r="G3592" s="7">
        <v>97.930409999999995</v>
      </c>
      <c r="H3592" s="7"/>
    </row>
    <row r="3593" spans="1:8" x14ac:dyDescent="0.35">
      <c r="A3593" s="7" t="s">
        <v>358</v>
      </c>
      <c r="B3593" s="7" t="s">
        <v>26</v>
      </c>
      <c r="C3593" s="7" t="s">
        <v>27</v>
      </c>
      <c r="D3593" s="7" t="s">
        <v>28</v>
      </c>
      <c r="E3593" s="7" t="s">
        <v>29</v>
      </c>
      <c r="F3593" s="7" t="s">
        <v>139</v>
      </c>
      <c r="G3593" s="7">
        <v>97.994990000000001</v>
      </c>
      <c r="H3593" s="7"/>
    </row>
    <row r="3594" spans="1:8" x14ac:dyDescent="0.35">
      <c r="A3594" s="7" t="s">
        <v>358</v>
      </c>
      <c r="B3594" s="7" t="s">
        <v>26</v>
      </c>
      <c r="C3594" s="7" t="s">
        <v>27</v>
      </c>
      <c r="D3594" s="7" t="s">
        <v>28</v>
      </c>
      <c r="E3594" s="7" t="s">
        <v>29</v>
      </c>
      <c r="F3594" s="7" t="s">
        <v>140</v>
      </c>
      <c r="G3594" s="7">
        <v>98.527979999999999</v>
      </c>
      <c r="H3594" s="7"/>
    </row>
    <row r="3595" spans="1:8" x14ac:dyDescent="0.35">
      <c r="A3595" s="7" t="s">
        <v>358</v>
      </c>
      <c r="B3595" s="7" t="s">
        <v>26</v>
      </c>
      <c r="C3595" s="7" t="s">
        <v>27</v>
      </c>
      <c r="D3595" s="7" t="s">
        <v>28</v>
      </c>
      <c r="E3595" s="7" t="s">
        <v>29</v>
      </c>
      <c r="F3595" s="7" t="s">
        <v>141</v>
      </c>
      <c r="G3595" s="7">
        <v>99.24194</v>
      </c>
      <c r="H3595" s="7"/>
    </row>
    <row r="3596" spans="1:8" x14ac:dyDescent="0.35">
      <c r="A3596" s="7" t="s">
        <v>358</v>
      </c>
      <c r="B3596" s="7" t="s">
        <v>26</v>
      </c>
      <c r="C3596" s="7" t="s">
        <v>27</v>
      </c>
      <c r="D3596" s="7" t="s">
        <v>28</v>
      </c>
      <c r="E3596" s="7" t="s">
        <v>29</v>
      </c>
      <c r="F3596" s="7" t="s">
        <v>142</v>
      </c>
      <c r="G3596" s="7">
        <v>99.744799999999998</v>
      </c>
      <c r="H3596" s="7"/>
    </row>
    <row r="3597" spans="1:8" x14ac:dyDescent="0.35">
      <c r="A3597" s="7" t="s">
        <v>358</v>
      </c>
      <c r="B3597" s="7" t="s">
        <v>26</v>
      </c>
      <c r="C3597" s="7" t="s">
        <v>27</v>
      </c>
      <c r="D3597" s="7" t="s">
        <v>28</v>
      </c>
      <c r="E3597" s="7" t="s">
        <v>29</v>
      </c>
      <c r="F3597" s="7" t="s">
        <v>143</v>
      </c>
      <c r="G3597" s="7">
        <v>99.737740000000002</v>
      </c>
      <c r="H3597" s="7"/>
    </row>
    <row r="3598" spans="1:8" x14ac:dyDescent="0.35">
      <c r="A3598" s="7" t="s">
        <v>358</v>
      </c>
      <c r="B3598" s="7" t="s">
        <v>26</v>
      </c>
      <c r="C3598" s="7" t="s">
        <v>27</v>
      </c>
      <c r="D3598" s="7" t="s">
        <v>28</v>
      </c>
      <c r="E3598" s="7" t="s">
        <v>29</v>
      </c>
      <c r="F3598" s="7" t="s">
        <v>144</v>
      </c>
      <c r="G3598" s="7">
        <v>99.423969999999997</v>
      </c>
      <c r="H3598" s="7"/>
    </row>
    <row r="3599" spans="1:8" x14ac:dyDescent="0.35">
      <c r="A3599" s="7" t="s">
        <v>358</v>
      </c>
      <c r="B3599" s="7" t="s">
        <v>26</v>
      </c>
      <c r="C3599" s="7" t="s">
        <v>27</v>
      </c>
      <c r="D3599" s="7" t="s">
        <v>28</v>
      </c>
      <c r="E3599" s="7" t="s">
        <v>29</v>
      </c>
      <c r="F3599" s="7" t="s">
        <v>145</v>
      </c>
      <c r="G3599" s="7">
        <v>99.060019999999994</v>
      </c>
      <c r="H3599" s="7"/>
    </row>
    <row r="3600" spans="1:8" x14ac:dyDescent="0.35">
      <c r="A3600" s="7" t="s">
        <v>358</v>
      </c>
      <c r="B3600" s="7" t="s">
        <v>26</v>
      </c>
      <c r="C3600" s="7" t="s">
        <v>27</v>
      </c>
      <c r="D3600" s="7" t="s">
        <v>28</v>
      </c>
      <c r="E3600" s="7" t="s">
        <v>29</v>
      </c>
      <c r="F3600" s="7" t="s">
        <v>146</v>
      </c>
      <c r="G3600" s="7">
        <v>98.813550000000006</v>
      </c>
      <c r="H3600" s="7"/>
    </row>
    <row r="3601" spans="1:8" x14ac:dyDescent="0.35">
      <c r="A3601" s="7" t="s">
        <v>358</v>
      </c>
      <c r="B3601" s="7" t="s">
        <v>26</v>
      </c>
      <c r="C3601" s="7" t="s">
        <v>27</v>
      </c>
      <c r="D3601" s="7" t="s">
        <v>28</v>
      </c>
      <c r="E3601" s="7" t="s">
        <v>29</v>
      </c>
      <c r="F3601" s="7" t="s">
        <v>147</v>
      </c>
      <c r="G3601" s="7">
        <v>98.671440000000004</v>
      </c>
      <c r="H3601" s="7"/>
    </row>
    <row r="3602" spans="1:8" x14ac:dyDescent="0.35">
      <c r="A3602" s="7" t="s">
        <v>358</v>
      </c>
      <c r="B3602" s="7" t="s">
        <v>26</v>
      </c>
      <c r="C3602" s="7" t="s">
        <v>27</v>
      </c>
      <c r="D3602" s="7" t="s">
        <v>28</v>
      </c>
      <c r="E3602" s="7" t="s">
        <v>29</v>
      </c>
      <c r="F3602" s="7" t="s">
        <v>148</v>
      </c>
      <c r="G3602" s="7">
        <v>98.595119999999994</v>
      </c>
      <c r="H3602" s="7"/>
    </row>
    <row r="3603" spans="1:8" x14ac:dyDescent="0.35">
      <c r="A3603" s="7" t="s">
        <v>358</v>
      </c>
      <c r="B3603" s="7" t="s">
        <v>26</v>
      </c>
      <c r="C3603" s="7" t="s">
        <v>27</v>
      </c>
      <c r="D3603" s="7" t="s">
        <v>28</v>
      </c>
      <c r="E3603" s="7" t="s">
        <v>29</v>
      </c>
      <c r="F3603" s="7" t="s">
        <v>149</v>
      </c>
      <c r="G3603" s="7">
        <v>98.571479999999994</v>
      </c>
      <c r="H3603" s="7"/>
    </row>
    <row r="3604" spans="1:8" x14ac:dyDescent="0.35">
      <c r="A3604" s="7" t="s">
        <v>358</v>
      </c>
      <c r="B3604" s="7" t="s">
        <v>26</v>
      </c>
      <c r="C3604" s="7" t="s">
        <v>27</v>
      </c>
      <c r="D3604" s="7" t="s">
        <v>28</v>
      </c>
      <c r="E3604" s="7" t="s">
        <v>29</v>
      </c>
      <c r="F3604" s="7" t="s">
        <v>150</v>
      </c>
      <c r="G3604" s="7">
        <v>98.598010000000002</v>
      </c>
      <c r="H3604" s="7"/>
    </row>
    <row r="3605" spans="1:8" x14ac:dyDescent="0.35">
      <c r="A3605" s="7" t="s">
        <v>358</v>
      </c>
      <c r="B3605" s="7" t="s">
        <v>26</v>
      </c>
      <c r="C3605" s="7" t="s">
        <v>27</v>
      </c>
      <c r="D3605" s="7" t="s">
        <v>28</v>
      </c>
      <c r="E3605" s="7" t="s">
        <v>29</v>
      </c>
      <c r="F3605" s="7" t="s">
        <v>151</v>
      </c>
      <c r="G3605" s="7">
        <v>98.706440000000001</v>
      </c>
      <c r="H3605" s="7"/>
    </row>
    <row r="3606" spans="1:8" x14ac:dyDescent="0.35">
      <c r="A3606" s="7" t="s">
        <v>358</v>
      </c>
      <c r="B3606" s="7" t="s">
        <v>26</v>
      </c>
      <c r="C3606" s="7" t="s">
        <v>27</v>
      </c>
      <c r="D3606" s="7" t="s">
        <v>28</v>
      </c>
      <c r="E3606" s="7" t="s">
        <v>29</v>
      </c>
      <c r="F3606" s="7" t="s">
        <v>152</v>
      </c>
      <c r="G3606" s="7">
        <v>98.936210000000003</v>
      </c>
      <c r="H3606" s="7"/>
    </row>
    <row r="3607" spans="1:8" x14ac:dyDescent="0.35">
      <c r="A3607" s="7" t="s">
        <v>358</v>
      </c>
      <c r="B3607" s="7" t="s">
        <v>26</v>
      </c>
      <c r="C3607" s="7" t="s">
        <v>27</v>
      </c>
      <c r="D3607" s="7" t="s">
        <v>28</v>
      </c>
      <c r="E3607" s="7" t="s">
        <v>29</v>
      </c>
      <c r="F3607" s="7" t="s">
        <v>153</v>
      </c>
      <c r="G3607" s="7">
        <v>99.226050000000001</v>
      </c>
      <c r="H3607" s="7"/>
    </row>
    <row r="3608" spans="1:8" x14ac:dyDescent="0.35">
      <c r="A3608" s="7" t="s">
        <v>358</v>
      </c>
      <c r="B3608" s="7" t="s">
        <v>26</v>
      </c>
      <c r="C3608" s="7" t="s">
        <v>27</v>
      </c>
      <c r="D3608" s="7" t="s">
        <v>28</v>
      </c>
      <c r="E3608" s="7" t="s">
        <v>29</v>
      </c>
      <c r="F3608" s="7" t="s">
        <v>154</v>
      </c>
      <c r="G3608" s="7">
        <v>99.503320000000002</v>
      </c>
      <c r="H3608" s="7"/>
    </row>
    <row r="3609" spans="1:8" x14ac:dyDescent="0.35">
      <c r="A3609" s="7" t="s">
        <v>358</v>
      </c>
      <c r="B3609" s="7" t="s">
        <v>26</v>
      </c>
      <c r="C3609" s="7" t="s">
        <v>27</v>
      </c>
      <c r="D3609" s="7" t="s">
        <v>28</v>
      </c>
      <c r="E3609" s="7" t="s">
        <v>29</v>
      </c>
      <c r="F3609" s="7" t="s">
        <v>155</v>
      </c>
      <c r="G3609" s="7">
        <v>99.713260000000005</v>
      </c>
      <c r="H3609" s="7"/>
    </row>
    <row r="3610" spans="1:8" x14ac:dyDescent="0.35">
      <c r="A3610" s="7" t="s">
        <v>358</v>
      </c>
      <c r="B3610" s="7" t="s">
        <v>26</v>
      </c>
      <c r="C3610" s="7" t="s">
        <v>27</v>
      </c>
      <c r="D3610" s="7" t="s">
        <v>28</v>
      </c>
      <c r="E3610" s="7" t="s">
        <v>29</v>
      </c>
      <c r="F3610" s="7" t="s">
        <v>156</v>
      </c>
      <c r="G3610" s="7">
        <v>99.860879999999995</v>
      </c>
      <c r="H3610" s="7"/>
    </row>
    <row r="3611" spans="1:8" x14ac:dyDescent="0.35">
      <c r="A3611" s="7" t="s">
        <v>358</v>
      </c>
      <c r="B3611" s="7" t="s">
        <v>26</v>
      </c>
      <c r="C3611" s="7" t="s">
        <v>27</v>
      </c>
      <c r="D3611" s="7" t="s">
        <v>28</v>
      </c>
      <c r="E3611" s="7" t="s">
        <v>29</v>
      </c>
      <c r="F3611" s="7" t="s">
        <v>157</v>
      </c>
      <c r="G3611" s="7">
        <v>99.93777</v>
      </c>
      <c r="H3611" s="7"/>
    </row>
    <row r="3612" spans="1:8" x14ac:dyDescent="0.35">
      <c r="A3612" s="7" t="s">
        <v>358</v>
      </c>
      <c r="B3612" s="7" t="s">
        <v>26</v>
      </c>
      <c r="C3612" s="7" t="s">
        <v>27</v>
      </c>
      <c r="D3612" s="7" t="s">
        <v>28</v>
      </c>
      <c r="E3612" s="7" t="s">
        <v>29</v>
      </c>
      <c r="F3612" s="7" t="s">
        <v>158</v>
      </c>
      <c r="G3612" s="7">
        <v>99.911230000000003</v>
      </c>
      <c r="H3612" s="7"/>
    </row>
    <row r="3613" spans="1:8" x14ac:dyDescent="0.35">
      <c r="A3613" s="7" t="s">
        <v>358</v>
      </c>
      <c r="B3613" s="7" t="s">
        <v>26</v>
      </c>
      <c r="C3613" s="7" t="s">
        <v>27</v>
      </c>
      <c r="D3613" s="7" t="s">
        <v>28</v>
      </c>
      <c r="E3613" s="7" t="s">
        <v>29</v>
      </c>
      <c r="F3613" s="7" t="s">
        <v>159</v>
      </c>
      <c r="G3613" s="7">
        <v>99.784170000000003</v>
      </c>
      <c r="H3613" s="7"/>
    </row>
    <row r="3614" spans="1:8" x14ac:dyDescent="0.35">
      <c r="A3614" s="7" t="s">
        <v>358</v>
      </c>
      <c r="B3614" s="7" t="s">
        <v>26</v>
      </c>
      <c r="C3614" s="7" t="s">
        <v>27</v>
      </c>
      <c r="D3614" s="7" t="s">
        <v>28</v>
      </c>
      <c r="E3614" s="7" t="s">
        <v>29</v>
      </c>
      <c r="F3614" s="7" t="s">
        <v>160</v>
      </c>
      <c r="G3614" s="7">
        <v>99.530439999999999</v>
      </c>
      <c r="H3614" s="7"/>
    </row>
    <row r="3615" spans="1:8" x14ac:dyDescent="0.35">
      <c r="A3615" s="7" t="s">
        <v>358</v>
      </c>
      <c r="B3615" s="7" t="s">
        <v>26</v>
      </c>
      <c r="C3615" s="7" t="s">
        <v>27</v>
      </c>
      <c r="D3615" s="7" t="s">
        <v>28</v>
      </c>
      <c r="E3615" s="7" t="s">
        <v>29</v>
      </c>
      <c r="F3615" s="7" t="s">
        <v>161</v>
      </c>
      <c r="G3615" s="7">
        <v>99.130740000000003</v>
      </c>
      <c r="H3615" s="7"/>
    </row>
    <row r="3616" spans="1:8" x14ac:dyDescent="0.35">
      <c r="A3616" s="7" t="s">
        <v>358</v>
      </c>
      <c r="B3616" s="7" t="s">
        <v>26</v>
      </c>
      <c r="C3616" s="7" t="s">
        <v>27</v>
      </c>
      <c r="D3616" s="7" t="s">
        <v>28</v>
      </c>
      <c r="E3616" s="7" t="s">
        <v>29</v>
      </c>
      <c r="F3616" s="7" t="s">
        <v>162</v>
      </c>
      <c r="G3616" s="7">
        <v>98.735150000000004</v>
      </c>
      <c r="H3616" s="7"/>
    </row>
    <row r="3617" spans="1:8" x14ac:dyDescent="0.35">
      <c r="A3617" s="7" t="s">
        <v>358</v>
      </c>
      <c r="B3617" s="7" t="s">
        <v>26</v>
      </c>
      <c r="C3617" s="7" t="s">
        <v>27</v>
      </c>
      <c r="D3617" s="7" t="s">
        <v>28</v>
      </c>
      <c r="E3617" s="7" t="s">
        <v>29</v>
      </c>
      <c r="F3617" s="7" t="s">
        <v>163</v>
      </c>
      <c r="G3617" s="7">
        <v>98.561390000000003</v>
      </c>
      <c r="H3617" s="7"/>
    </row>
    <row r="3618" spans="1:8" x14ac:dyDescent="0.35">
      <c r="A3618" s="7" t="s">
        <v>358</v>
      </c>
      <c r="B3618" s="7" t="s">
        <v>26</v>
      </c>
      <c r="C3618" s="7" t="s">
        <v>27</v>
      </c>
      <c r="D3618" s="7" t="s">
        <v>28</v>
      </c>
      <c r="E3618" s="7" t="s">
        <v>29</v>
      </c>
      <c r="F3618" s="7" t="s">
        <v>164</v>
      </c>
      <c r="G3618" s="7">
        <v>98.788920000000005</v>
      </c>
      <c r="H3618" s="7"/>
    </row>
    <row r="3619" spans="1:8" x14ac:dyDescent="0.35">
      <c r="A3619" s="7" t="s">
        <v>358</v>
      </c>
      <c r="B3619" s="7" t="s">
        <v>26</v>
      </c>
      <c r="C3619" s="7" t="s">
        <v>27</v>
      </c>
      <c r="D3619" s="7" t="s">
        <v>28</v>
      </c>
      <c r="E3619" s="7" t="s">
        <v>29</v>
      </c>
      <c r="F3619" s="7" t="s">
        <v>165</v>
      </c>
      <c r="G3619" s="7">
        <v>99.231260000000006</v>
      </c>
      <c r="H3619" s="7"/>
    </row>
    <row r="3620" spans="1:8" x14ac:dyDescent="0.35">
      <c r="A3620" s="7" t="s">
        <v>358</v>
      </c>
      <c r="B3620" s="7" t="s">
        <v>26</v>
      </c>
      <c r="C3620" s="7" t="s">
        <v>27</v>
      </c>
      <c r="D3620" s="7" t="s">
        <v>28</v>
      </c>
      <c r="E3620" s="7" t="s">
        <v>29</v>
      </c>
      <c r="F3620" s="7" t="s">
        <v>166</v>
      </c>
      <c r="G3620" s="7">
        <v>99.655529999999999</v>
      </c>
      <c r="H3620" s="7"/>
    </row>
    <row r="3621" spans="1:8" x14ac:dyDescent="0.35">
      <c r="A3621" s="7" t="s">
        <v>358</v>
      </c>
      <c r="B3621" s="7" t="s">
        <v>26</v>
      </c>
      <c r="C3621" s="7" t="s">
        <v>27</v>
      </c>
      <c r="D3621" s="7" t="s">
        <v>28</v>
      </c>
      <c r="E3621" s="7" t="s">
        <v>29</v>
      </c>
      <c r="F3621" s="7" t="s">
        <v>167</v>
      </c>
      <c r="G3621" s="7">
        <v>99.887060000000005</v>
      </c>
      <c r="H3621" s="7"/>
    </row>
    <row r="3622" spans="1:8" x14ac:dyDescent="0.35">
      <c r="A3622" s="7" t="s">
        <v>358</v>
      </c>
      <c r="B3622" s="7" t="s">
        <v>26</v>
      </c>
      <c r="C3622" s="7" t="s">
        <v>27</v>
      </c>
      <c r="D3622" s="7" t="s">
        <v>28</v>
      </c>
      <c r="E3622" s="7" t="s">
        <v>29</v>
      </c>
      <c r="F3622" s="7" t="s">
        <v>168</v>
      </c>
      <c r="G3622" s="7">
        <v>99.932329999999993</v>
      </c>
      <c r="H3622" s="7"/>
    </row>
    <row r="3623" spans="1:8" x14ac:dyDescent="0.35">
      <c r="A3623" s="7" t="s">
        <v>358</v>
      </c>
      <c r="B3623" s="7" t="s">
        <v>26</v>
      </c>
      <c r="C3623" s="7" t="s">
        <v>27</v>
      </c>
      <c r="D3623" s="7" t="s">
        <v>28</v>
      </c>
      <c r="E3623" s="7" t="s">
        <v>29</v>
      </c>
      <c r="F3623" s="7" t="s">
        <v>169</v>
      </c>
      <c r="G3623" s="7">
        <v>99.79289</v>
      </c>
      <c r="H3623" s="7"/>
    </row>
    <row r="3624" spans="1:8" x14ac:dyDescent="0.35">
      <c r="A3624" s="7" t="s">
        <v>358</v>
      </c>
      <c r="B3624" s="7" t="s">
        <v>26</v>
      </c>
      <c r="C3624" s="7" t="s">
        <v>27</v>
      </c>
      <c r="D3624" s="7" t="s">
        <v>28</v>
      </c>
      <c r="E3624" s="7" t="s">
        <v>29</v>
      </c>
      <c r="F3624" s="7" t="s">
        <v>170</v>
      </c>
      <c r="G3624" s="7">
        <v>99.465779999999995</v>
      </c>
      <c r="H3624" s="7"/>
    </row>
    <row r="3625" spans="1:8" x14ac:dyDescent="0.35">
      <c r="A3625" s="7" t="s">
        <v>358</v>
      </c>
      <c r="B3625" s="7" t="s">
        <v>26</v>
      </c>
      <c r="C3625" s="7" t="s">
        <v>27</v>
      </c>
      <c r="D3625" s="7" t="s">
        <v>28</v>
      </c>
      <c r="E3625" s="7" t="s">
        <v>29</v>
      </c>
      <c r="F3625" s="7" t="s">
        <v>171</v>
      </c>
      <c r="G3625" s="7">
        <v>99.128479999999996</v>
      </c>
      <c r="H3625" s="7"/>
    </row>
    <row r="3626" spans="1:8" x14ac:dyDescent="0.35">
      <c r="A3626" s="7" t="s">
        <v>358</v>
      </c>
      <c r="B3626" s="7" t="s">
        <v>26</v>
      </c>
      <c r="C3626" s="7" t="s">
        <v>27</v>
      </c>
      <c r="D3626" s="7" t="s">
        <v>28</v>
      </c>
      <c r="E3626" s="7" t="s">
        <v>29</v>
      </c>
      <c r="F3626" s="7" t="s">
        <v>172</v>
      </c>
      <c r="G3626" s="7">
        <v>99.010180000000005</v>
      </c>
      <c r="H3626" s="7"/>
    </row>
    <row r="3627" spans="1:8" x14ac:dyDescent="0.35">
      <c r="A3627" s="7" t="s">
        <v>358</v>
      </c>
      <c r="B3627" s="7" t="s">
        <v>26</v>
      </c>
      <c r="C3627" s="7" t="s">
        <v>27</v>
      </c>
      <c r="D3627" s="7" t="s">
        <v>28</v>
      </c>
      <c r="E3627" s="7" t="s">
        <v>29</v>
      </c>
      <c r="F3627" s="7" t="s">
        <v>173</v>
      </c>
      <c r="G3627" s="7">
        <v>99.273200000000003</v>
      </c>
      <c r="H3627" s="7"/>
    </row>
    <row r="3628" spans="1:8" x14ac:dyDescent="0.35">
      <c r="A3628" s="7" t="s">
        <v>358</v>
      </c>
      <c r="B3628" s="7" t="s">
        <v>26</v>
      </c>
      <c r="C3628" s="7" t="s">
        <v>27</v>
      </c>
      <c r="D3628" s="7" t="s">
        <v>28</v>
      </c>
      <c r="E3628" s="7" t="s">
        <v>29</v>
      </c>
      <c r="F3628" s="7" t="s">
        <v>174</v>
      </c>
      <c r="G3628" s="7">
        <v>99.675399999999996</v>
      </c>
      <c r="H3628" s="7"/>
    </row>
    <row r="3629" spans="1:8" x14ac:dyDescent="0.35">
      <c r="A3629" s="7" t="s">
        <v>358</v>
      </c>
      <c r="B3629" s="7" t="s">
        <v>26</v>
      </c>
      <c r="C3629" s="7" t="s">
        <v>27</v>
      </c>
      <c r="D3629" s="7" t="s">
        <v>28</v>
      </c>
      <c r="E3629" s="7" t="s">
        <v>29</v>
      </c>
      <c r="F3629" s="7" t="s">
        <v>175</v>
      </c>
      <c r="G3629" s="7">
        <v>99.899810000000002</v>
      </c>
      <c r="H3629" s="7"/>
    </row>
    <row r="3630" spans="1:8" x14ac:dyDescent="0.35">
      <c r="A3630" s="7" t="s">
        <v>358</v>
      </c>
      <c r="B3630" s="7" t="s">
        <v>26</v>
      </c>
      <c r="C3630" s="7" t="s">
        <v>27</v>
      </c>
      <c r="D3630" s="7" t="s">
        <v>28</v>
      </c>
      <c r="E3630" s="7" t="s">
        <v>29</v>
      </c>
      <c r="F3630" s="7" t="s">
        <v>176</v>
      </c>
      <c r="G3630" s="7">
        <v>99.745090000000005</v>
      </c>
      <c r="H3630" s="7"/>
    </row>
    <row r="3631" spans="1:8" x14ac:dyDescent="0.35">
      <c r="A3631" s="7" t="s">
        <v>358</v>
      </c>
      <c r="B3631" s="7" t="s">
        <v>26</v>
      </c>
      <c r="C3631" s="7" t="s">
        <v>27</v>
      </c>
      <c r="D3631" s="7" t="s">
        <v>28</v>
      </c>
      <c r="E3631" s="7" t="s">
        <v>29</v>
      </c>
      <c r="F3631" s="7" t="s">
        <v>177</v>
      </c>
      <c r="G3631" s="7">
        <v>99.493709999999993</v>
      </c>
      <c r="H3631" s="7"/>
    </row>
    <row r="3632" spans="1:8" x14ac:dyDescent="0.35">
      <c r="A3632" s="7" t="s">
        <v>358</v>
      </c>
      <c r="B3632" s="7" t="s">
        <v>26</v>
      </c>
      <c r="C3632" s="7" t="s">
        <v>27</v>
      </c>
      <c r="D3632" s="7" t="s">
        <v>28</v>
      </c>
      <c r="E3632" s="7" t="s">
        <v>29</v>
      </c>
      <c r="F3632" s="7" t="s">
        <v>178</v>
      </c>
      <c r="G3632" s="7">
        <v>99.565259999999995</v>
      </c>
      <c r="H3632" s="7"/>
    </row>
    <row r="3633" spans="1:8" x14ac:dyDescent="0.35">
      <c r="A3633" s="7" t="s">
        <v>358</v>
      </c>
      <c r="B3633" s="7" t="s">
        <v>26</v>
      </c>
      <c r="C3633" s="7" t="s">
        <v>27</v>
      </c>
      <c r="D3633" s="7" t="s">
        <v>28</v>
      </c>
      <c r="E3633" s="7" t="s">
        <v>29</v>
      </c>
      <c r="F3633" s="7" t="s">
        <v>179</v>
      </c>
      <c r="G3633" s="7">
        <v>100.2663</v>
      </c>
      <c r="H3633" s="7"/>
    </row>
    <row r="3634" spans="1:8" x14ac:dyDescent="0.35">
      <c r="A3634" s="7" t="s">
        <v>358</v>
      </c>
      <c r="B3634" s="7" t="s">
        <v>26</v>
      </c>
      <c r="C3634" s="7" t="s">
        <v>27</v>
      </c>
      <c r="D3634" s="7" t="s">
        <v>28</v>
      </c>
      <c r="E3634" s="7" t="s">
        <v>29</v>
      </c>
      <c r="F3634" s="7" t="s">
        <v>180</v>
      </c>
      <c r="G3634" s="7">
        <v>101.2176</v>
      </c>
      <c r="H3634" s="7"/>
    </row>
    <row r="3635" spans="1:8" x14ac:dyDescent="0.35">
      <c r="A3635" s="7" t="s">
        <v>358</v>
      </c>
      <c r="B3635" s="7" t="s">
        <v>26</v>
      </c>
      <c r="C3635" s="7" t="s">
        <v>27</v>
      </c>
      <c r="D3635" s="7" t="s">
        <v>28</v>
      </c>
      <c r="E3635" s="7" t="s">
        <v>29</v>
      </c>
      <c r="F3635" s="7" t="s">
        <v>181</v>
      </c>
      <c r="G3635" s="7">
        <v>101.8832</v>
      </c>
      <c r="H3635" s="7"/>
    </row>
    <row r="3636" spans="1:8" x14ac:dyDescent="0.35">
      <c r="A3636" s="7" t="s">
        <v>358</v>
      </c>
      <c r="B3636" s="7" t="s">
        <v>26</v>
      </c>
      <c r="C3636" s="7" t="s">
        <v>27</v>
      </c>
      <c r="D3636" s="7" t="s">
        <v>28</v>
      </c>
      <c r="E3636" s="7" t="s">
        <v>29</v>
      </c>
      <c r="F3636" s="7" t="s">
        <v>182</v>
      </c>
      <c r="G3636" s="7">
        <v>101.85120000000001</v>
      </c>
      <c r="H3636" s="7"/>
    </row>
    <row r="3637" spans="1:8" x14ac:dyDescent="0.35">
      <c r="A3637" s="7" t="s">
        <v>358</v>
      </c>
      <c r="B3637" s="7" t="s">
        <v>26</v>
      </c>
      <c r="C3637" s="7" t="s">
        <v>27</v>
      </c>
      <c r="D3637" s="7" t="s">
        <v>28</v>
      </c>
      <c r="E3637" s="7" t="s">
        <v>29</v>
      </c>
      <c r="F3637" s="7" t="s">
        <v>183</v>
      </c>
      <c r="G3637" s="7">
        <v>101.39790000000001</v>
      </c>
      <c r="H3637" s="7"/>
    </row>
    <row r="3638" spans="1:8" x14ac:dyDescent="0.35">
      <c r="A3638" s="7" t="s">
        <v>358</v>
      </c>
      <c r="B3638" s="7" t="s">
        <v>26</v>
      </c>
      <c r="C3638" s="7" t="s">
        <v>27</v>
      </c>
      <c r="D3638" s="7" t="s">
        <v>28</v>
      </c>
      <c r="E3638" s="7" t="s">
        <v>29</v>
      </c>
      <c r="F3638" s="7" t="s">
        <v>184</v>
      </c>
      <c r="G3638" s="7">
        <v>100.8823</v>
      </c>
      <c r="H3638" s="7"/>
    </row>
    <row r="3639" spans="1:8" x14ac:dyDescent="0.35">
      <c r="A3639" s="7" t="s">
        <v>358</v>
      </c>
      <c r="B3639" s="7" t="s">
        <v>26</v>
      </c>
      <c r="C3639" s="7" t="s">
        <v>27</v>
      </c>
      <c r="D3639" s="7" t="s">
        <v>28</v>
      </c>
      <c r="E3639" s="7" t="s">
        <v>29</v>
      </c>
      <c r="F3639" s="7" t="s">
        <v>185</v>
      </c>
      <c r="G3639" s="7">
        <v>100.5605</v>
      </c>
      <c r="H3639" s="7"/>
    </row>
    <row r="3640" spans="1:8" x14ac:dyDescent="0.35">
      <c r="A3640" s="7" t="s">
        <v>358</v>
      </c>
      <c r="B3640" s="7" t="s">
        <v>26</v>
      </c>
      <c r="C3640" s="7" t="s">
        <v>27</v>
      </c>
      <c r="D3640" s="7" t="s">
        <v>28</v>
      </c>
      <c r="E3640" s="7" t="s">
        <v>29</v>
      </c>
      <c r="F3640" s="7" t="s">
        <v>186</v>
      </c>
      <c r="G3640" s="7">
        <v>100.4639</v>
      </c>
      <c r="H3640" s="7"/>
    </row>
    <row r="3641" spans="1:8" x14ac:dyDescent="0.35">
      <c r="A3641" s="7" t="s">
        <v>358</v>
      </c>
      <c r="B3641" s="7" t="s">
        <v>26</v>
      </c>
      <c r="C3641" s="7" t="s">
        <v>27</v>
      </c>
      <c r="D3641" s="7" t="s">
        <v>28</v>
      </c>
      <c r="E3641" s="7" t="s">
        <v>29</v>
      </c>
      <c r="F3641" s="7" t="s">
        <v>187</v>
      </c>
      <c r="G3641" s="7">
        <v>100.6292</v>
      </c>
      <c r="H3641" s="7"/>
    </row>
    <row r="3642" spans="1:8" x14ac:dyDescent="0.35">
      <c r="A3642" s="7" t="s">
        <v>358</v>
      </c>
      <c r="B3642" s="7" t="s">
        <v>26</v>
      </c>
      <c r="C3642" s="7" t="s">
        <v>27</v>
      </c>
      <c r="D3642" s="7" t="s">
        <v>28</v>
      </c>
      <c r="E3642" s="7" t="s">
        <v>29</v>
      </c>
      <c r="F3642" s="7" t="s">
        <v>188</v>
      </c>
      <c r="G3642" s="7">
        <v>101.1039</v>
      </c>
      <c r="H3642" s="7"/>
    </row>
    <row r="3643" spans="1:8" x14ac:dyDescent="0.35">
      <c r="A3643" s="7" t="s">
        <v>358</v>
      </c>
      <c r="B3643" s="7" t="s">
        <v>26</v>
      </c>
      <c r="C3643" s="7" t="s">
        <v>27</v>
      </c>
      <c r="D3643" s="7" t="s">
        <v>28</v>
      </c>
      <c r="E3643" s="7" t="s">
        <v>29</v>
      </c>
      <c r="F3643" s="7" t="s">
        <v>189</v>
      </c>
      <c r="G3643" s="7">
        <v>101.6902</v>
      </c>
      <c r="H3643" s="7"/>
    </row>
    <row r="3644" spans="1:8" x14ac:dyDescent="0.35">
      <c r="A3644" s="7" t="s">
        <v>358</v>
      </c>
      <c r="B3644" s="7" t="s">
        <v>26</v>
      </c>
      <c r="C3644" s="7" t="s">
        <v>27</v>
      </c>
      <c r="D3644" s="7" t="s">
        <v>28</v>
      </c>
      <c r="E3644" s="7" t="s">
        <v>29</v>
      </c>
      <c r="F3644" s="7" t="s">
        <v>190</v>
      </c>
      <c r="G3644" s="7">
        <v>102.1538</v>
      </c>
      <c r="H3644" s="7"/>
    </row>
    <row r="3645" spans="1:8" x14ac:dyDescent="0.35">
      <c r="A3645" s="7" t="s">
        <v>358</v>
      </c>
      <c r="B3645" s="7" t="s">
        <v>26</v>
      </c>
      <c r="C3645" s="7" t="s">
        <v>27</v>
      </c>
      <c r="D3645" s="7" t="s">
        <v>28</v>
      </c>
      <c r="E3645" s="7" t="s">
        <v>29</v>
      </c>
      <c r="F3645" s="7" t="s">
        <v>191</v>
      </c>
      <c r="G3645" s="7">
        <v>102.3216</v>
      </c>
      <c r="H3645" s="7"/>
    </row>
    <row r="3646" spans="1:8" x14ac:dyDescent="0.35">
      <c r="A3646" s="7" t="s">
        <v>358</v>
      </c>
      <c r="B3646" s="7" t="s">
        <v>26</v>
      </c>
      <c r="C3646" s="7" t="s">
        <v>27</v>
      </c>
      <c r="D3646" s="7" t="s">
        <v>28</v>
      </c>
      <c r="E3646" s="7" t="s">
        <v>29</v>
      </c>
      <c r="F3646" s="7" t="s">
        <v>192</v>
      </c>
      <c r="G3646" s="7">
        <v>102.3018</v>
      </c>
      <c r="H3646" s="7"/>
    </row>
    <row r="3647" spans="1:8" x14ac:dyDescent="0.35">
      <c r="A3647" s="7" t="s">
        <v>358</v>
      </c>
      <c r="B3647" s="7" t="s">
        <v>26</v>
      </c>
      <c r="C3647" s="7" t="s">
        <v>27</v>
      </c>
      <c r="D3647" s="7" t="s">
        <v>28</v>
      </c>
      <c r="E3647" s="7" t="s">
        <v>29</v>
      </c>
      <c r="F3647" s="7" t="s">
        <v>193</v>
      </c>
      <c r="G3647" s="7">
        <v>102.2247</v>
      </c>
      <c r="H3647" s="7"/>
    </row>
    <row r="3648" spans="1:8" x14ac:dyDescent="0.35">
      <c r="A3648" s="7" t="s">
        <v>358</v>
      </c>
      <c r="B3648" s="7" t="s">
        <v>26</v>
      </c>
      <c r="C3648" s="7" t="s">
        <v>27</v>
      </c>
      <c r="D3648" s="7" t="s">
        <v>28</v>
      </c>
      <c r="E3648" s="7" t="s">
        <v>29</v>
      </c>
      <c r="F3648" s="7" t="s">
        <v>194</v>
      </c>
      <c r="G3648" s="7">
        <v>102.17189999999999</v>
      </c>
      <c r="H3648" s="7"/>
    </row>
    <row r="3649" spans="1:8" x14ac:dyDescent="0.35">
      <c r="A3649" s="7" t="s">
        <v>358</v>
      </c>
      <c r="B3649" s="7" t="s">
        <v>26</v>
      </c>
      <c r="C3649" s="7" t="s">
        <v>27</v>
      </c>
      <c r="D3649" s="7" t="s">
        <v>28</v>
      </c>
      <c r="E3649" s="7" t="s">
        <v>29</v>
      </c>
      <c r="F3649" s="7" t="s">
        <v>195</v>
      </c>
      <c r="G3649" s="7">
        <v>102.1617</v>
      </c>
      <c r="H3649" s="7"/>
    </row>
    <row r="3650" spans="1:8" x14ac:dyDescent="0.35">
      <c r="A3650" s="7" t="s">
        <v>358</v>
      </c>
      <c r="B3650" s="7" t="s">
        <v>26</v>
      </c>
      <c r="C3650" s="7" t="s">
        <v>27</v>
      </c>
      <c r="D3650" s="7" t="s">
        <v>28</v>
      </c>
      <c r="E3650" s="7" t="s">
        <v>29</v>
      </c>
      <c r="F3650" s="7" t="s">
        <v>196</v>
      </c>
      <c r="G3650" s="7">
        <v>102.2021</v>
      </c>
      <c r="H3650" s="7"/>
    </row>
    <row r="3651" spans="1:8" x14ac:dyDescent="0.35">
      <c r="A3651" s="7" t="s">
        <v>358</v>
      </c>
      <c r="B3651" s="7" t="s">
        <v>26</v>
      </c>
      <c r="C3651" s="7" t="s">
        <v>27</v>
      </c>
      <c r="D3651" s="7" t="s">
        <v>28</v>
      </c>
      <c r="E3651" s="7" t="s">
        <v>29</v>
      </c>
      <c r="F3651" s="7" t="s">
        <v>197</v>
      </c>
      <c r="G3651" s="7">
        <v>102.301</v>
      </c>
      <c r="H3651" s="7"/>
    </row>
    <row r="3652" spans="1:8" x14ac:dyDescent="0.35">
      <c r="A3652" s="7" t="s">
        <v>358</v>
      </c>
      <c r="B3652" s="7" t="s">
        <v>26</v>
      </c>
      <c r="C3652" s="7" t="s">
        <v>27</v>
      </c>
      <c r="D3652" s="7" t="s">
        <v>28</v>
      </c>
      <c r="E3652" s="7" t="s">
        <v>29</v>
      </c>
      <c r="F3652" s="7" t="s">
        <v>198</v>
      </c>
      <c r="G3652" s="7">
        <v>102.4258</v>
      </c>
      <c r="H3652" s="7"/>
    </row>
    <row r="3653" spans="1:8" x14ac:dyDescent="0.35">
      <c r="A3653" s="7" t="s">
        <v>358</v>
      </c>
      <c r="B3653" s="7" t="s">
        <v>26</v>
      </c>
      <c r="C3653" s="7" t="s">
        <v>27</v>
      </c>
      <c r="D3653" s="7" t="s">
        <v>28</v>
      </c>
      <c r="E3653" s="7" t="s">
        <v>29</v>
      </c>
      <c r="F3653" s="7" t="s">
        <v>199</v>
      </c>
      <c r="G3653" s="7">
        <v>102.5414</v>
      </c>
      <c r="H3653" s="7"/>
    </row>
    <row r="3654" spans="1:8" x14ac:dyDescent="0.35">
      <c r="A3654" s="7" t="s">
        <v>358</v>
      </c>
      <c r="B3654" s="7" t="s">
        <v>26</v>
      </c>
      <c r="C3654" s="7" t="s">
        <v>27</v>
      </c>
      <c r="D3654" s="7" t="s">
        <v>28</v>
      </c>
      <c r="E3654" s="7" t="s">
        <v>29</v>
      </c>
      <c r="F3654" s="7" t="s">
        <v>200</v>
      </c>
      <c r="G3654" s="7">
        <v>102.6219</v>
      </c>
      <c r="H3654" s="7"/>
    </row>
    <row r="3655" spans="1:8" x14ac:dyDescent="0.35">
      <c r="A3655" s="7" t="s">
        <v>358</v>
      </c>
      <c r="B3655" s="7" t="s">
        <v>26</v>
      </c>
      <c r="C3655" s="7" t="s">
        <v>27</v>
      </c>
      <c r="D3655" s="7" t="s">
        <v>28</v>
      </c>
      <c r="E3655" s="7" t="s">
        <v>29</v>
      </c>
      <c r="F3655" s="7" t="s">
        <v>201</v>
      </c>
      <c r="G3655" s="7">
        <v>102.67189999999999</v>
      </c>
      <c r="H3655" s="7"/>
    </row>
    <row r="3656" spans="1:8" x14ac:dyDescent="0.35">
      <c r="A3656" s="7" t="s">
        <v>358</v>
      </c>
      <c r="B3656" s="7" t="s">
        <v>26</v>
      </c>
      <c r="C3656" s="7" t="s">
        <v>27</v>
      </c>
      <c r="D3656" s="7" t="s">
        <v>28</v>
      </c>
      <c r="E3656" s="7" t="s">
        <v>29</v>
      </c>
      <c r="F3656" s="7" t="s">
        <v>202</v>
      </c>
      <c r="G3656" s="7">
        <v>102.6914</v>
      </c>
      <c r="H3656" s="7"/>
    </row>
    <row r="3657" spans="1:8" x14ac:dyDescent="0.35">
      <c r="A3657" s="7" t="s">
        <v>358</v>
      </c>
      <c r="B3657" s="7" t="s">
        <v>26</v>
      </c>
      <c r="C3657" s="7" t="s">
        <v>27</v>
      </c>
      <c r="D3657" s="7" t="s">
        <v>28</v>
      </c>
      <c r="E3657" s="7" t="s">
        <v>29</v>
      </c>
      <c r="F3657" s="7" t="s">
        <v>203</v>
      </c>
      <c r="G3657" s="7">
        <v>102.6717</v>
      </c>
      <c r="H3657" s="7"/>
    </row>
    <row r="3658" spans="1:8" x14ac:dyDescent="0.35">
      <c r="A3658" s="7" t="s">
        <v>358</v>
      </c>
      <c r="B3658" s="7" t="s">
        <v>26</v>
      </c>
      <c r="C3658" s="7" t="s">
        <v>27</v>
      </c>
      <c r="D3658" s="7" t="s">
        <v>28</v>
      </c>
      <c r="E3658" s="7" t="s">
        <v>29</v>
      </c>
      <c r="F3658" s="7" t="s">
        <v>204</v>
      </c>
      <c r="G3658" s="7">
        <v>102.6211</v>
      </c>
      <c r="H3658" s="7"/>
    </row>
    <row r="3659" spans="1:8" x14ac:dyDescent="0.35">
      <c r="A3659" s="7" t="s">
        <v>358</v>
      </c>
      <c r="B3659" s="7" t="s">
        <v>26</v>
      </c>
      <c r="C3659" s="7" t="s">
        <v>27</v>
      </c>
      <c r="D3659" s="7" t="s">
        <v>28</v>
      </c>
      <c r="E3659" s="7" t="s">
        <v>29</v>
      </c>
      <c r="F3659" s="7" t="s">
        <v>205</v>
      </c>
      <c r="G3659" s="7">
        <v>102.5394</v>
      </c>
      <c r="H3659" s="7"/>
    </row>
    <row r="3660" spans="1:8" x14ac:dyDescent="0.35">
      <c r="A3660" s="7" t="s">
        <v>358</v>
      </c>
      <c r="B3660" s="7" t="s">
        <v>26</v>
      </c>
      <c r="C3660" s="7" t="s">
        <v>27</v>
      </c>
      <c r="D3660" s="7" t="s">
        <v>28</v>
      </c>
      <c r="E3660" s="7" t="s">
        <v>29</v>
      </c>
      <c r="F3660" s="7" t="s">
        <v>206</v>
      </c>
      <c r="G3660" s="7">
        <v>102.42270000000001</v>
      </c>
      <c r="H3660" s="7"/>
    </row>
    <row r="3661" spans="1:8" x14ac:dyDescent="0.35">
      <c r="A3661" s="7" t="s">
        <v>358</v>
      </c>
      <c r="B3661" s="7" t="s">
        <v>26</v>
      </c>
      <c r="C3661" s="7" t="s">
        <v>27</v>
      </c>
      <c r="D3661" s="7" t="s">
        <v>28</v>
      </c>
      <c r="E3661" s="7" t="s">
        <v>29</v>
      </c>
      <c r="F3661" s="7" t="s">
        <v>207</v>
      </c>
      <c r="G3661" s="7">
        <v>102.2997</v>
      </c>
      <c r="H3661" s="7"/>
    </row>
    <row r="3662" spans="1:8" x14ac:dyDescent="0.35">
      <c r="A3662" s="7" t="s">
        <v>358</v>
      </c>
      <c r="B3662" s="7" t="s">
        <v>26</v>
      </c>
      <c r="C3662" s="7" t="s">
        <v>27</v>
      </c>
      <c r="D3662" s="7" t="s">
        <v>28</v>
      </c>
      <c r="E3662" s="7" t="s">
        <v>29</v>
      </c>
      <c r="F3662" s="7" t="s">
        <v>208</v>
      </c>
      <c r="G3662" s="7">
        <v>102.21129999999999</v>
      </c>
      <c r="H3662" s="7"/>
    </row>
    <row r="3663" spans="1:8" x14ac:dyDescent="0.35">
      <c r="A3663" s="7" t="s">
        <v>358</v>
      </c>
      <c r="B3663" s="7" t="s">
        <v>26</v>
      </c>
      <c r="C3663" s="7" t="s">
        <v>27</v>
      </c>
      <c r="D3663" s="7" t="s">
        <v>28</v>
      </c>
      <c r="E3663" s="7" t="s">
        <v>29</v>
      </c>
      <c r="F3663" s="7" t="s">
        <v>209</v>
      </c>
      <c r="G3663" s="7">
        <v>102.197</v>
      </c>
      <c r="H3663" s="7"/>
    </row>
    <row r="3664" spans="1:8" x14ac:dyDescent="0.35">
      <c r="A3664" s="7" t="s">
        <v>358</v>
      </c>
      <c r="B3664" s="7" t="s">
        <v>26</v>
      </c>
      <c r="C3664" s="7" t="s">
        <v>27</v>
      </c>
      <c r="D3664" s="7" t="s">
        <v>28</v>
      </c>
      <c r="E3664" s="7" t="s">
        <v>29</v>
      </c>
      <c r="F3664" s="7" t="s">
        <v>210</v>
      </c>
      <c r="G3664" s="7">
        <v>102.2469</v>
      </c>
      <c r="H3664" s="7"/>
    </row>
    <row r="3665" spans="1:8" x14ac:dyDescent="0.35">
      <c r="A3665" s="7" t="s">
        <v>358</v>
      </c>
      <c r="B3665" s="7" t="s">
        <v>26</v>
      </c>
      <c r="C3665" s="7" t="s">
        <v>27</v>
      </c>
      <c r="D3665" s="7" t="s">
        <v>28</v>
      </c>
      <c r="E3665" s="7" t="s">
        <v>29</v>
      </c>
      <c r="F3665" s="7" t="s">
        <v>211</v>
      </c>
      <c r="G3665" s="7">
        <v>102.3609</v>
      </c>
      <c r="H3665" s="7"/>
    </row>
    <row r="3666" spans="1:8" x14ac:dyDescent="0.35">
      <c r="A3666" s="7" t="s">
        <v>358</v>
      </c>
      <c r="B3666" s="7" t="s">
        <v>26</v>
      </c>
      <c r="C3666" s="7" t="s">
        <v>27</v>
      </c>
      <c r="D3666" s="7" t="s">
        <v>28</v>
      </c>
      <c r="E3666" s="7" t="s">
        <v>29</v>
      </c>
      <c r="F3666" s="7" t="s">
        <v>212</v>
      </c>
      <c r="G3666" s="7">
        <v>102.545</v>
      </c>
      <c r="H3666" s="7"/>
    </row>
    <row r="3667" spans="1:8" x14ac:dyDescent="0.35">
      <c r="A3667" s="7" t="s">
        <v>358</v>
      </c>
      <c r="B3667" s="7" t="s">
        <v>26</v>
      </c>
      <c r="C3667" s="7" t="s">
        <v>27</v>
      </c>
      <c r="D3667" s="7" t="s">
        <v>28</v>
      </c>
      <c r="E3667" s="7" t="s">
        <v>29</v>
      </c>
      <c r="F3667" s="7" t="s">
        <v>213</v>
      </c>
      <c r="G3667" s="7">
        <v>102.7427</v>
      </c>
      <c r="H3667" s="7"/>
    </row>
    <row r="3668" spans="1:8" x14ac:dyDescent="0.35">
      <c r="A3668" s="7" t="s">
        <v>358</v>
      </c>
      <c r="B3668" s="7" t="s">
        <v>26</v>
      </c>
      <c r="C3668" s="7" t="s">
        <v>27</v>
      </c>
      <c r="D3668" s="7" t="s">
        <v>28</v>
      </c>
      <c r="E3668" s="7" t="s">
        <v>29</v>
      </c>
      <c r="F3668" s="7" t="s">
        <v>214</v>
      </c>
      <c r="G3668" s="7">
        <v>102.8785</v>
      </c>
      <c r="H3668" s="7"/>
    </row>
    <row r="3669" spans="1:8" x14ac:dyDescent="0.35">
      <c r="A3669" s="7" t="s">
        <v>358</v>
      </c>
      <c r="B3669" s="7" t="s">
        <v>26</v>
      </c>
      <c r="C3669" s="7" t="s">
        <v>27</v>
      </c>
      <c r="D3669" s="7" t="s">
        <v>28</v>
      </c>
      <c r="E3669" s="7" t="s">
        <v>29</v>
      </c>
      <c r="F3669" s="7" t="s">
        <v>215</v>
      </c>
      <c r="G3669" s="7">
        <v>102.8888</v>
      </c>
      <c r="H3669" s="7"/>
    </row>
    <row r="3670" spans="1:8" x14ac:dyDescent="0.35">
      <c r="A3670" s="7" t="s">
        <v>358</v>
      </c>
      <c r="B3670" s="7" t="s">
        <v>26</v>
      </c>
      <c r="C3670" s="7" t="s">
        <v>27</v>
      </c>
      <c r="D3670" s="7" t="s">
        <v>28</v>
      </c>
      <c r="E3670" s="7" t="s">
        <v>29</v>
      </c>
      <c r="F3670" s="7" t="s">
        <v>216</v>
      </c>
      <c r="G3670" s="7">
        <v>102.81319999999999</v>
      </c>
      <c r="H3670" s="7"/>
    </row>
    <row r="3671" spans="1:8" x14ac:dyDescent="0.35">
      <c r="A3671" s="7" t="s">
        <v>358</v>
      </c>
      <c r="B3671" s="7" t="s">
        <v>26</v>
      </c>
      <c r="C3671" s="7" t="s">
        <v>27</v>
      </c>
      <c r="D3671" s="7" t="s">
        <v>28</v>
      </c>
      <c r="E3671" s="7" t="s">
        <v>29</v>
      </c>
      <c r="F3671" s="7" t="s">
        <v>217</v>
      </c>
      <c r="G3671" s="7">
        <v>102.694</v>
      </c>
      <c r="H3671" s="7"/>
    </row>
    <row r="3672" spans="1:8" x14ac:dyDescent="0.35">
      <c r="A3672" s="7" t="s">
        <v>358</v>
      </c>
      <c r="B3672" s="7" t="s">
        <v>26</v>
      </c>
      <c r="C3672" s="7" t="s">
        <v>27</v>
      </c>
      <c r="D3672" s="7" t="s">
        <v>28</v>
      </c>
      <c r="E3672" s="7" t="s">
        <v>29</v>
      </c>
      <c r="F3672" s="7" t="s">
        <v>218</v>
      </c>
      <c r="G3672" s="7">
        <v>102.55970000000001</v>
      </c>
      <c r="H3672" s="7"/>
    </row>
    <row r="3673" spans="1:8" x14ac:dyDescent="0.35">
      <c r="A3673" s="7" t="s">
        <v>358</v>
      </c>
      <c r="B3673" s="7" t="s">
        <v>26</v>
      </c>
      <c r="C3673" s="7" t="s">
        <v>27</v>
      </c>
      <c r="D3673" s="7" t="s">
        <v>28</v>
      </c>
      <c r="E3673" s="7" t="s">
        <v>29</v>
      </c>
      <c r="F3673" s="7" t="s">
        <v>219</v>
      </c>
      <c r="G3673" s="7">
        <v>102.45359999999999</v>
      </c>
      <c r="H3673" s="7"/>
    </row>
    <row r="3674" spans="1:8" x14ac:dyDescent="0.35">
      <c r="A3674" s="7" t="s">
        <v>358</v>
      </c>
      <c r="B3674" s="7" t="s">
        <v>26</v>
      </c>
      <c r="C3674" s="7" t="s">
        <v>27</v>
      </c>
      <c r="D3674" s="7" t="s">
        <v>28</v>
      </c>
      <c r="E3674" s="7" t="s">
        <v>29</v>
      </c>
      <c r="F3674" s="7" t="s">
        <v>220</v>
      </c>
      <c r="G3674" s="7">
        <v>102.43129999999999</v>
      </c>
      <c r="H3674" s="7"/>
    </row>
    <row r="3675" spans="1:8" x14ac:dyDescent="0.35">
      <c r="A3675" s="7" t="s">
        <v>358</v>
      </c>
      <c r="B3675" s="7" t="s">
        <v>26</v>
      </c>
      <c r="C3675" s="7" t="s">
        <v>27</v>
      </c>
      <c r="D3675" s="7" t="s">
        <v>28</v>
      </c>
      <c r="E3675" s="7" t="s">
        <v>29</v>
      </c>
      <c r="F3675" s="7" t="s">
        <v>221</v>
      </c>
      <c r="G3675" s="7">
        <v>102.5296</v>
      </c>
      <c r="H3675" s="7"/>
    </row>
    <row r="3676" spans="1:8" x14ac:dyDescent="0.35">
      <c r="A3676" s="7" t="s">
        <v>358</v>
      </c>
      <c r="B3676" s="7" t="s">
        <v>26</v>
      </c>
      <c r="C3676" s="7" t="s">
        <v>27</v>
      </c>
      <c r="D3676" s="7" t="s">
        <v>28</v>
      </c>
      <c r="E3676" s="7" t="s">
        <v>29</v>
      </c>
      <c r="F3676" s="7" t="s">
        <v>222</v>
      </c>
      <c r="G3676" s="7">
        <v>102.65260000000001</v>
      </c>
      <c r="H3676" s="7"/>
    </row>
    <row r="3677" spans="1:8" x14ac:dyDescent="0.35">
      <c r="A3677" s="7" t="s">
        <v>358</v>
      </c>
      <c r="B3677" s="7" t="s">
        <v>26</v>
      </c>
      <c r="C3677" s="7" t="s">
        <v>27</v>
      </c>
      <c r="D3677" s="7" t="s">
        <v>28</v>
      </c>
      <c r="E3677" s="7" t="s">
        <v>29</v>
      </c>
      <c r="F3677" s="7" t="s">
        <v>223</v>
      </c>
      <c r="G3677" s="7">
        <v>102.6555</v>
      </c>
      <c r="H3677" s="7"/>
    </row>
    <row r="3678" spans="1:8" x14ac:dyDescent="0.35">
      <c r="A3678" s="7" t="s">
        <v>358</v>
      </c>
      <c r="B3678" s="7" t="s">
        <v>26</v>
      </c>
      <c r="C3678" s="7" t="s">
        <v>27</v>
      </c>
      <c r="D3678" s="7" t="s">
        <v>28</v>
      </c>
      <c r="E3678" s="7" t="s">
        <v>29</v>
      </c>
      <c r="F3678" s="7" t="s">
        <v>224</v>
      </c>
      <c r="G3678" s="7">
        <v>102.404</v>
      </c>
      <c r="H3678" s="7"/>
    </row>
    <row r="3679" spans="1:8" x14ac:dyDescent="0.35">
      <c r="A3679" s="7" t="s">
        <v>358</v>
      </c>
      <c r="B3679" s="7" t="s">
        <v>26</v>
      </c>
      <c r="C3679" s="7" t="s">
        <v>27</v>
      </c>
      <c r="D3679" s="7" t="s">
        <v>28</v>
      </c>
      <c r="E3679" s="7" t="s">
        <v>29</v>
      </c>
      <c r="F3679" s="7" t="s">
        <v>225</v>
      </c>
      <c r="G3679" s="7">
        <v>101.95359999999999</v>
      </c>
      <c r="H3679" s="7"/>
    </row>
    <row r="3680" spans="1:8" x14ac:dyDescent="0.35">
      <c r="A3680" s="7" t="s">
        <v>358</v>
      </c>
      <c r="B3680" s="7" t="s">
        <v>26</v>
      </c>
      <c r="C3680" s="7" t="s">
        <v>27</v>
      </c>
      <c r="D3680" s="7" t="s">
        <v>28</v>
      </c>
      <c r="E3680" s="7" t="s">
        <v>29</v>
      </c>
      <c r="F3680" s="7" t="s">
        <v>226</v>
      </c>
      <c r="G3680" s="7">
        <v>101.3454</v>
      </c>
      <c r="H3680" s="7"/>
    </row>
    <row r="3681" spans="1:8" x14ac:dyDescent="0.35">
      <c r="A3681" s="7" t="s">
        <v>358</v>
      </c>
      <c r="B3681" s="7" t="s">
        <v>26</v>
      </c>
      <c r="C3681" s="7" t="s">
        <v>27</v>
      </c>
      <c r="D3681" s="7" t="s">
        <v>28</v>
      </c>
      <c r="E3681" s="7" t="s">
        <v>29</v>
      </c>
      <c r="F3681" s="7" t="s">
        <v>227</v>
      </c>
      <c r="G3681" s="7">
        <v>100.60080000000001</v>
      </c>
      <c r="H3681" s="7"/>
    </row>
    <row r="3682" spans="1:8" x14ac:dyDescent="0.35">
      <c r="A3682" s="7" t="s">
        <v>358</v>
      </c>
      <c r="B3682" s="7" t="s">
        <v>26</v>
      </c>
      <c r="C3682" s="7" t="s">
        <v>27</v>
      </c>
      <c r="D3682" s="7" t="s">
        <v>28</v>
      </c>
      <c r="E3682" s="7" t="s">
        <v>29</v>
      </c>
      <c r="F3682" s="7" t="s">
        <v>228</v>
      </c>
      <c r="G3682" s="7">
        <v>99.873149999999995</v>
      </c>
      <c r="H3682" s="7"/>
    </row>
    <row r="3683" spans="1:8" x14ac:dyDescent="0.35">
      <c r="A3683" s="7" t="s">
        <v>358</v>
      </c>
      <c r="B3683" s="7" t="s">
        <v>26</v>
      </c>
      <c r="C3683" s="7" t="s">
        <v>27</v>
      </c>
      <c r="D3683" s="7" t="s">
        <v>28</v>
      </c>
      <c r="E3683" s="7" t="s">
        <v>29</v>
      </c>
      <c r="F3683" s="7" t="s">
        <v>229</v>
      </c>
      <c r="G3683" s="7">
        <v>99.372529999999998</v>
      </c>
      <c r="H3683" s="7"/>
    </row>
    <row r="3684" spans="1:8" x14ac:dyDescent="0.35">
      <c r="A3684" s="7" t="s">
        <v>358</v>
      </c>
      <c r="B3684" s="7" t="s">
        <v>26</v>
      </c>
      <c r="C3684" s="7" t="s">
        <v>27</v>
      </c>
      <c r="D3684" s="7" t="s">
        <v>28</v>
      </c>
      <c r="E3684" s="7" t="s">
        <v>29</v>
      </c>
      <c r="F3684" s="7" t="s">
        <v>230</v>
      </c>
      <c r="G3684" s="7">
        <v>99.272350000000003</v>
      </c>
      <c r="H3684" s="7"/>
    </row>
    <row r="3685" spans="1:8" x14ac:dyDescent="0.35">
      <c r="A3685" s="7" t="s">
        <v>358</v>
      </c>
      <c r="B3685" s="7" t="s">
        <v>26</v>
      </c>
      <c r="C3685" s="7" t="s">
        <v>27</v>
      </c>
      <c r="D3685" s="7" t="s">
        <v>28</v>
      </c>
      <c r="E3685" s="7" t="s">
        <v>29</v>
      </c>
      <c r="F3685" s="7" t="s">
        <v>231</v>
      </c>
      <c r="G3685" s="7">
        <v>99.389529999999993</v>
      </c>
      <c r="H3685" s="7"/>
    </row>
    <row r="3686" spans="1:8" x14ac:dyDescent="0.35">
      <c r="A3686" s="7" t="s">
        <v>358</v>
      </c>
      <c r="B3686" s="7" t="s">
        <v>26</v>
      </c>
      <c r="C3686" s="7" t="s">
        <v>27</v>
      </c>
      <c r="D3686" s="7" t="s">
        <v>28</v>
      </c>
      <c r="E3686" s="7" t="s">
        <v>29</v>
      </c>
      <c r="F3686" s="7" t="s">
        <v>232</v>
      </c>
      <c r="G3686" s="7">
        <v>99.512569999999997</v>
      </c>
      <c r="H3686" s="7"/>
    </row>
    <row r="3687" spans="1:8" x14ac:dyDescent="0.35">
      <c r="A3687" s="7" t="s">
        <v>358</v>
      </c>
      <c r="B3687" s="7" t="s">
        <v>26</v>
      </c>
      <c r="C3687" s="7" t="s">
        <v>27</v>
      </c>
      <c r="D3687" s="7" t="s">
        <v>28</v>
      </c>
      <c r="E3687" s="7" t="s">
        <v>29</v>
      </c>
      <c r="F3687" s="7" t="s">
        <v>233</v>
      </c>
      <c r="G3687" s="7">
        <v>99.512370000000004</v>
      </c>
      <c r="H3687" s="7"/>
    </row>
    <row r="3688" spans="1:8" x14ac:dyDescent="0.35">
      <c r="A3688" s="7" t="s">
        <v>358</v>
      </c>
      <c r="B3688" s="7" t="s">
        <v>26</v>
      </c>
      <c r="C3688" s="7" t="s">
        <v>27</v>
      </c>
      <c r="D3688" s="7" t="s">
        <v>28</v>
      </c>
      <c r="E3688" s="7" t="s">
        <v>29</v>
      </c>
      <c r="F3688" s="7" t="s">
        <v>234</v>
      </c>
      <c r="G3688" s="7">
        <v>99.447109999999995</v>
      </c>
      <c r="H3688" s="7"/>
    </row>
    <row r="3689" spans="1:8" x14ac:dyDescent="0.35">
      <c r="A3689" s="7" t="s">
        <v>358</v>
      </c>
      <c r="B3689" s="7" t="s">
        <v>26</v>
      </c>
      <c r="C3689" s="7" t="s">
        <v>27</v>
      </c>
      <c r="D3689" s="7" t="s">
        <v>28</v>
      </c>
      <c r="E3689" s="7" t="s">
        <v>29</v>
      </c>
      <c r="F3689" s="7" t="s">
        <v>235</v>
      </c>
      <c r="G3689" s="7">
        <v>99.425610000000006</v>
      </c>
      <c r="H3689" s="7"/>
    </row>
    <row r="3690" spans="1:8" x14ac:dyDescent="0.35">
      <c r="A3690" s="7" t="s">
        <v>358</v>
      </c>
      <c r="B3690" s="7" t="s">
        <v>26</v>
      </c>
      <c r="C3690" s="7" t="s">
        <v>27</v>
      </c>
      <c r="D3690" s="7" t="s">
        <v>28</v>
      </c>
      <c r="E3690" s="7" t="s">
        <v>29</v>
      </c>
      <c r="F3690" s="7" t="s">
        <v>236</v>
      </c>
      <c r="G3690" s="7">
        <v>99.53595</v>
      </c>
      <c r="H3690" s="7"/>
    </row>
    <row r="3691" spans="1:8" x14ac:dyDescent="0.35">
      <c r="A3691" s="7" t="s">
        <v>358</v>
      </c>
      <c r="B3691" s="7" t="s">
        <v>26</v>
      </c>
      <c r="C3691" s="7" t="s">
        <v>27</v>
      </c>
      <c r="D3691" s="7" t="s">
        <v>28</v>
      </c>
      <c r="E3691" s="7" t="s">
        <v>29</v>
      </c>
      <c r="F3691" s="7" t="s">
        <v>237</v>
      </c>
      <c r="G3691" s="7">
        <v>99.730090000000004</v>
      </c>
      <c r="H3691" s="7"/>
    </row>
    <row r="3692" spans="1:8" x14ac:dyDescent="0.35">
      <c r="A3692" s="7" t="s">
        <v>358</v>
      </c>
      <c r="B3692" s="7" t="s">
        <v>26</v>
      </c>
      <c r="C3692" s="7" t="s">
        <v>27</v>
      </c>
      <c r="D3692" s="7" t="s">
        <v>28</v>
      </c>
      <c r="E3692" s="7" t="s">
        <v>29</v>
      </c>
      <c r="F3692" s="7" t="s">
        <v>238</v>
      </c>
      <c r="G3692" s="7">
        <v>99.941540000000003</v>
      </c>
      <c r="H3692" s="7"/>
    </row>
    <row r="3693" spans="1:8" x14ac:dyDescent="0.35">
      <c r="A3693" s="7" t="s">
        <v>358</v>
      </c>
      <c r="B3693" s="7" t="s">
        <v>26</v>
      </c>
      <c r="C3693" s="7" t="s">
        <v>27</v>
      </c>
      <c r="D3693" s="7" t="s">
        <v>28</v>
      </c>
      <c r="E3693" s="7" t="s">
        <v>29</v>
      </c>
      <c r="F3693" s="7" t="s">
        <v>239</v>
      </c>
      <c r="G3693" s="7">
        <v>100.11920000000001</v>
      </c>
      <c r="H3693" s="7"/>
    </row>
    <row r="3694" spans="1:8" x14ac:dyDescent="0.35">
      <c r="A3694" s="7" t="s">
        <v>358</v>
      </c>
      <c r="B3694" s="7" t="s">
        <v>26</v>
      </c>
      <c r="C3694" s="7" t="s">
        <v>27</v>
      </c>
      <c r="D3694" s="7" t="s">
        <v>28</v>
      </c>
      <c r="E3694" s="7" t="s">
        <v>29</v>
      </c>
      <c r="F3694" s="7" t="s">
        <v>240</v>
      </c>
      <c r="G3694" s="7">
        <v>100.2436</v>
      </c>
      <c r="H3694" s="7"/>
    </row>
    <row r="3695" spans="1:8" x14ac:dyDescent="0.35">
      <c r="A3695" s="7" t="s">
        <v>358</v>
      </c>
      <c r="B3695" s="7" t="s">
        <v>26</v>
      </c>
      <c r="C3695" s="7" t="s">
        <v>27</v>
      </c>
      <c r="D3695" s="7" t="s">
        <v>28</v>
      </c>
      <c r="E3695" s="7" t="s">
        <v>29</v>
      </c>
      <c r="F3695" s="7" t="s">
        <v>241</v>
      </c>
      <c r="G3695" s="7">
        <v>100.2864</v>
      </c>
      <c r="H3695" s="7"/>
    </row>
    <row r="3696" spans="1:8" x14ac:dyDescent="0.35">
      <c r="A3696" s="7" t="s">
        <v>358</v>
      </c>
      <c r="B3696" s="7" t="s">
        <v>26</v>
      </c>
      <c r="C3696" s="7" t="s">
        <v>27</v>
      </c>
      <c r="D3696" s="7" t="s">
        <v>28</v>
      </c>
      <c r="E3696" s="7" t="s">
        <v>29</v>
      </c>
      <c r="F3696" s="7" t="s">
        <v>242</v>
      </c>
      <c r="G3696" s="7">
        <v>100.2227</v>
      </c>
      <c r="H3696" s="7"/>
    </row>
    <row r="3697" spans="1:8" x14ac:dyDescent="0.35">
      <c r="A3697" s="7" t="s">
        <v>358</v>
      </c>
      <c r="B3697" s="7" t="s">
        <v>26</v>
      </c>
      <c r="C3697" s="7" t="s">
        <v>27</v>
      </c>
      <c r="D3697" s="7" t="s">
        <v>28</v>
      </c>
      <c r="E3697" s="7" t="s">
        <v>29</v>
      </c>
      <c r="F3697" s="7" t="s">
        <v>243</v>
      </c>
      <c r="G3697" s="7">
        <v>100.1245</v>
      </c>
      <c r="H3697" s="7"/>
    </row>
    <row r="3698" spans="1:8" x14ac:dyDescent="0.35">
      <c r="A3698" s="7" t="s">
        <v>358</v>
      </c>
      <c r="B3698" s="7" t="s">
        <v>26</v>
      </c>
      <c r="C3698" s="7" t="s">
        <v>27</v>
      </c>
      <c r="D3698" s="7" t="s">
        <v>28</v>
      </c>
      <c r="E3698" s="7" t="s">
        <v>29</v>
      </c>
      <c r="F3698" s="7" t="s">
        <v>244</v>
      </c>
      <c r="G3698" s="7">
        <v>100.0882</v>
      </c>
      <c r="H3698" s="7"/>
    </row>
    <row r="3699" spans="1:8" x14ac:dyDescent="0.35">
      <c r="A3699" s="7" t="s">
        <v>358</v>
      </c>
      <c r="B3699" s="7" t="s">
        <v>26</v>
      </c>
      <c r="C3699" s="7" t="s">
        <v>27</v>
      </c>
      <c r="D3699" s="7" t="s">
        <v>28</v>
      </c>
      <c r="E3699" s="7" t="s">
        <v>29</v>
      </c>
      <c r="F3699" s="7" t="s">
        <v>245</v>
      </c>
      <c r="G3699" s="7">
        <v>100.19589999999999</v>
      </c>
      <c r="H3699" s="7"/>
    </row>
    <row r="3700" spans="1:8" x14ac:dyDescent="0.35">
      <c r="A3700" s="7" t="s">
        <v>358</v>
      </c>
      <c r="B3700" s="7" t="s">
        <v>26</v>
      </c>
      <c r="C3700" s="7" t="s">
        <v>27</v>
      </c>
      <c r="D3700" s="7" t="s">
        <v>28</v>
      </c>
      <c r="E3700" s="7" t="s">
        <v>29</v>
      </c>
      <c r="F3700" s="7" t="s">
        <v>246</v>
      </c>
      <c r="G3700" s="7">
        <v>100.41459999999999</v>
      </c>
      <c r="H3700" s="7"/>
    </row>
    <row r="3701" spans="1:8" x14ac:dyDescent="0.35">
      <c r="A3701" s="7" t="s">
        <v>358</v>
      </c>
      <c r="B3701" s="7" t="s">
        <v>26</v>
      </c>
      <c r="C3701" s="7" t="s">
        <v>27</v>
      </c>
      <c r="D3701" s="7" t="s">
        <v>28</v>
      </c>
      <c r="E3701" s="7" t="s">
        <v>29</v>
      </c>
      <c r="F3701" s="7" t="s">
        <v>247</v>
      </c>
      <c r="G3701" s="7">
        <v>100.7169</v>
      </c>
      <c r="H3701" s="7"/>
    </row>
    <row r="3702" spans="1:8" x14ac:dyDescent="0.35">
      <c r="A3702" s="7" t="s">
        <v>358</v>
      </c>
      <c r="B3702" s="7" t="s">
        <v>26</v>
      </c>
      <c r="C3702" s="7" t="s">
        <v>27</v>
      </c>
      <c r="D3702" s="7" t="s">
        <v>28</v>
      </c>
      <c r="E3702" s="7" t="s">
        <v>29</v>
      </c>
      <c r="F3702" s="7" t="s">
        <v>248</v>
      </c>
      <c r="G3702" s="7">
        <v>101.09</v>
      </c>
      <c r="H3702" s="7"/>
    </row>
    <row r="3703" spans="1:8" x14ac:dyDescent="0.35">
      <c r="A3703" s="7" t="s">
        <v>358</v>
      </c>
      <c r="B3703" s="7" t="s">
        <v>26</v>
      </c>
      <c r="C3703" s="7" t="s">
        <v>27</v>
      </c>
      <c r="D3703" s="7" t="s">
        <v>28</v>
      </c>
      <c r="E3703" s="7" t="s">
        <v>29</v>
      </c>
      <c r="F3703" s="7" t="s">
        <v>249</v>
      </c>
      <c r="G3703" s="7">
        <v>101.46120000000001</v>
      </c>
      <c r="H3703" s="7"/>
    </row>
    <row r="3704" spans="1:8" x14ac:dyDescent="0.35">
      <c r="A3704" s="7" t="s">
        <v>358</v>
      </c>
      <c r="B3704" s="7" t="s">
        <v>26</v>
      </c>
      <c r="C3704" s="7" t="s">
        <v>27</v>
      </c>
      <c r="D3704" s="7" t="s">
        <v>28</v>
      </c>
      <c r="E3704" s="7" t="s">
        <v>29</v>
      </c>
      <c r="F3704" s="7" t="s">
        <v>250</v>
      </c>
      <c r="G3704" s="7">
        <v>101.7354</v>
      </c>
      <c r="H3704" s="7"/>
    </row>
    <row r="3705" spans="1:8" x14ac:dyDescent="0.35">
      <c r="A3705" s="7" t="s">
        <v>358</v>
      </c>
      <c r="B3705" s="7" t="s">
        <v>26</v>
      </c>
      <c r="C3705" s="7" t="s">
        <v>27</v>
      </c>
      <c r="D3705" s="7" t="s">
        <v>28</v>
      </c>
      <c r="E3705" s="7" t="s">
        <v>29</v>
      </c>
      <c r="F3705" s="7" t="s">
        <v>251</v>
      </c>
      <c r="G3705" s="7">
        <v>101.8339</v>
      </c>
      <c r="H3705" s="7"/>
    </row>
    <row r="3706" spans="1:8" x14ac:dyDescent="0.35">
      <c r="A3706" s="7" t="s">
        <v>358</v>
      </c>
      <c r="B3706" s="7" t="s">
        <v>26</v>
      </c>
      <c r="C3706" s="7" t="s">
        <v>27</v>
      </c>
      <c r="D3706" s="7" t="s">
        <v>28</v>
      </c>
      <c r="E3706" s="7" t="s">
        <v>29</v>
      </c>
      <c r="F3706" s="7" t="s">
        <v>252</v>
      </c>
      <c r="G3706" s="7">
        <v>101.8308</v>
      </c>
      <c r="H3706" s="7"/>
    </row>
    <row r="3707" spans="1:8" x14ac:dyDescent="0.35">
      <c r="A3707" s="7" t="s">
        <v>358</v>
      </c>
      <c r="B3707" s="7" t="s">
        <v>26</v>
      </c>
      <c r="C3707" s="7" t="s">
        <v>27</v>
      </c>
      <c r="D3707" s="7" t="s">
        <v>28</v>
      </c>
      <c r="E3707" s="7" t="s">
        <v>29</v>
      </c>
      <c r="F3707" s="7" t="s">
        <v>253</v>
      </c>
      <c r="G3707" s="7">
        <v>101.8086</v>
      </c>
      <c r="H3707" s="7"/>
    </row>
    <row r="3708" spans="1:8" x14ac:dyDescent="0.35">
      <c r="A3708" s="7" t="s">
        <v>358</v>
      </c>
      <c r="B3708" s="7" t="s">
        <v>26</v>
      </c>
      <c r="C3708" s="7" t="s">
        <v>27</v>
      </c>
      <c r="D3708" s="7" t="s">
        <v>28</v>
      </c>
      <c r="E3708" s="7" t="s">
        <v>29</v>
      </c>
      <c r="F3708" s="7" t="s">
        <v>254</v>
      </c>
      <c r="G3708" s="7">
        <v>101.8158</v>
      </c>
      <c r="H3708" s="7"/>
    </row>
    <row r="3709" spans="1:8" x14ac:dyDescent="0.35">
      <c r="A3709" s="7" t="s">
        <v>358</v>
      </c>
      <c r="B3709" s="7" t="s">
        <v>26</v>
      </c>
      <c r="C3709" s="7" t="s">
        <v>27</v>
      </c>
      <c r="D3709" s="7" t="s">
        <v>28</v>
      </c>
      <c r="E3709" s="7" t="s">
        <v>29</v>
      </c>
      <c r="F3709" s="7" t="s">
        <v>255</v>
      </c>
      <c r="G3709" s="7">
        <v>101.8438</v>
      </c>
      <c r="H3709" s="7"/>
    </row>
    <row r="3710" spans="1:8" x14ac:dyDescent="0.35">
      <c r="A3710" s="7" t="s">
        <v>358</v>
      </c>
      <c r="B3710" s="7" t="s">
        <v>26</v>
      </c>
      <c r="C3710" s="7" t="s">
        <v>27</v>
      </c>
      <c r="D3710" s="7" t="s">
        <v>28</v>
      </c>
      <c r="E3710" s="7" t="s">
        <v>29</v>
      </c>
      <c r="F3710" s="7" t="s">
        <v>256</v>
      </c>
      <c r="G3710" s="7">
        <v>101.86490000000001</v>
      </c>
      <c r="H3710" s="7"/>
    </row>
    <row r="3711" spans="1:8" x14ac:dyDescent="0.35">
      <c r="A3711" s="7" t="s">
        <v>358</v>
      </c>
      <c r="B3711" s="7" t="s">
        <v>26</v>
      </c>
      <c r="C3711" s="7" t="s">
        <v>27</v>
      </c>
      <c r="D3711" s="7" t="s">
        <v>28</v>
      </c>
      <c r="E3711" s="7" t="s">
        <v>29</v>
      </c>
      <c r="F3711" s="7" t="s">
        <v>257</v>
      </c>
      <c r="G3711" s="7">
        <v>101.85039999999999</v>
      </c>
      <c r="H3711" s="7"/>
    </row>
    <row r="3712" spans="1:8" x14ac:dyDescent="0.35">
      <c r="A3712" s="7" t="s">
        <v>358</v>
      </c>
      <c r="B3712" s="7" t="s">
        <v>26</v>
      </c>
      <c r="C3712" s="7" t="s">
        <v>27</v>
      </c>
      <c r="D3712" s="7" t="s">
        <v>28</v>
      </c>
      <c r="E3712" s="7" t="s">
        <v>29</v>
      </c>
      <c r="F3712" s="7" t="s">
        <v>258</v>
      </c>
      <c r="G3712" s="7">
        <v>101.7944</v>
      </c>
      <c r="H3712" s="7"/>
    </row>
    <row r="3713" spans="1:8" x14ac:dyDescent="0.35">
      <c r="A3713" s="7" t="s">
        <v>358</v>
      </c>
      <c r="B3713" s="7" t="s">
        <v>26</v>
      </c>
      <c r="C3713" s="7" t="s">
        <v>27</v>
      </c>
      <c r="D3713" s="7" t="s">
        <v>28</v>
      </c>
      <c r="E3713" s="7" t="s">
        <v>29</v>
      </c>
      <c r="F3713" s="7" t="s">
        <v>259</v>
      </c>
      <c r="G3713" s="7">
        <v>101.6833</v>
      </c>
      <c r="H3713" s="7"/>
    </row>
    <row r="3714" spans="1:8" x14ac:dyDescent="0.35">
      <c r="A3714" s="7" t="s">
        <v>358</v>
      </c>
      <c r="B3714" s="7" t="s">
        <v>26</v>
      </c>
      <c r="C3714" s="7" t="s">
        <v>27</v>
      </c>
      <c r="D3714" s="7" t="s">
        <v>28</v>
      </c>
      <c r="E3714" s="7" t="s">
        <v>29</v>
      </c>
      <c r="F3714" s="7" t="s">
        <v>260</v>
      </c>
      <c r="G3714" s="7">
        <v>101.5059</v>
      </c>
      <c r="H3714" s="7"/>
    </row>
    <row r="3715" spans="1:8" x14ac:dyDescent="0.35">
      <c r="A3715" s="7" t="s">
        <v>358</v>
      </c>
      <c r="B3715" s="7" t="s">
        <v>26</v>
      </c>
      <c r="C3715" s="7" t="s">
        <v>27</v>
      </c>
      <c r="D3715" s="7" t="s">
        <v>28</v>
      </c>
      <c r="E3715" s="7" t="s">
        <v>29</v>
      </c>
      <c r="F3715" s="7" t="s">
        <v>261</v>
      </c>
      <c r="G3715" s="7">
        <v>101.3188</v>
      </c>
      <c r="H3715" s="7"/>
    </row>
    <row r="3716" spans="1:8" x14ac:dyDescent="0.35">
      <c r="A3716" s="7" t="s">
        <v>358</v>
      </c>
      <c r="B3716" s="7" t="s">
        <v>26</v>
      </c>
      <c r="C3716" s="7" t="s">
        <v>27</v>
      </c>
      <c r="D3716" s="7" t="s">
        <v>28</v>
      </c>
      <c r="E3716" s="7" t="s">
        <v>29</v>
      </c>
      <c r="F3716" s="7" t="s">
        <v>262</v>
      </c>
      <c r="G3716" s="7">
        <v>101.1964</v>
      </c>
      <c r="H3716" s="7"/>
    </row>
    <row r="3717" spans="1:8" x14ac:dyDescent="0.35">
      <c r="A3717" s="7" t="s">
        <v>358</v>
      </c>
      <c r="B3717" s="7" t="s">
        <v>26</v>
      </c>
      <c r="C3717" s="7" t="s">
        <v>27</v>
      </c>
      <c r="D3717" s="7" t="s">
        <v>28</v>
      </c>
      <c r="E3717" s="7" t="s">
        <v>29</v>
      </c>
      <c r="F3717" s="7" t="s">
        <v>263</v>
      </c>
      <c r="G3717" s="7">
        <v>101.1895</v>
      </c>
      <c r="H3717" s="7"/>
    </row>
    <row r="3718" spans="1:8" x14ac:dyDescent="0.35">
      <c r="A3718" s="7" t="s">
        <v>358</v>
      </c>
      <c r="B3718" s="7" t="s">
        <v>26</v>
      </c>
      <c r="C3718" s="7" t="s">
        <v>27</v>
      </c>
      <c r="D3718" s="7" t="s">
        <v>28</v>
      </c>
      <c r="E3718" s="7" t="s">
        <v>29</v>
      </c>
      <c r="F3718" s="7" t="s">
        <v>264</v>
      </c>
      <c r="G3718" s="7">
        <v>101.2201</v>
      </c>
      <c r="H3718" s="7"/>
    </row>
    <row r="3719" spans="1:8" x14ac:dyDescent="0.35">
      <c r="A3719" s="7" t="s">
        <v>358</v>
      </c>
      <c r="B3719" s="7" t="s">
        <v>26</v>
      </c>
      <c r="C3719" s="7" t="s">
        <v>27</v>
      </c>
      <c r="D3719" s="7" t="s">
        <v>28</v>
      </c>
      <c r="E3719" s="7" t="s">
        <v>29</v>
      </c>
      <c r="F3719" s="7" t="s">
        <v>265</v>
      </c>
      <c r="G3719" s="7">
        <v>101.1795</v>
      </c>
      <c r="H3719" s="7"/>
    </row>
    <row r="3720" spans="1:8" x14ac:dyDescent="0.35">
      <c r="A3720" s="7" t="s">
        <v>358</v>
      </c>
      <c r="B3720" s="7" t="s">
        <v>26</v>
      </c>
      <c r="C3720" s="7" t="s">
        <v>27</v>
      </c>
      <c r="D3720" s="7" t="s">
        <v>28</v>
      </c>
      <c r="E3720" s="7" t="s">
        <v>29</v>
      </c>
      <c r="F3720" s="7" t="s">
        <v>266</v>
      </c>
      <c r="G3720" s="7">
        <v>100.9885</v>
      </c>
      <c r="H3720" s="7"/>
    </row>
    <row r="3721" spans="1:8" x14ac:dyDescent="0.35">
      <c r="A3721" s="7" t="s">
        <v>358</v>
      </c>
      <c r="B3721" s="7" t="s">
        <v>26</v>
      </c>
      <c r="C3721" s="7" t="s">
        <v>27</v>
      </c>
      <c r="D3721" s="7" t="s">
        <v>28</v>
      </c>
      <c r="E3721" s="7" t="s">
        <v>29</v>
      </c>
      <c r="F3721" s="7" t="s">
        <v>267</v>
      </c>
      <c r="G3721" s="7">
        <v>100.72969999999999</v>
      </c>
      <c r="H3721" s="7"/>
    </row>
    <row r="3722" spans="1:8" x14ac:dyDescent="0.35">
      <c r="A3722" s="7" t="s">
        <v>358</v>
      </c>
      <c r="B3722" s="7" t="s">
        <v>26</v>
      </c>
      <c r="C3722" s="7" t="s">
        <v>27</v>
      </c>
      <c r="D3722" s="7" t="s">
        <v>28</v>
      </c>
      <c r="E3722" s="7" t="s">
        <v>29</v>
      </c>
      <c r="F3722" s="7" t="s">
        <v>268</v>
      </c>
      <c r="G3722" s="7">
        <v>100.51860000000001</v>
      </c>
      <c r="H3722" s="7"/>
    </row>
    <row r="3723" spans="1:8" x14ac:dyDescent="0.35">
      <c r="A3723" s="7" t="s">
        <v>358</v>
      </c>
      <c r="B3723" s="7" t="s">
        <v>26</v>
      </c>
      <c r="C3723" s="7" t="s">
        <v>27</v>
      </c>
      <c r="D3723" s="7" t="s">
        <v>28</v>
      </c>
      <c r="E3723" s="7" t="s">
        <v>29</v>
      </c>
      <c r="F3723" s="7" t="s">
        <v>269</v>
      </c>
      <c r="G3723" s="7">
        <v>100.4444</v>
      </c>
      <c r="H3723" s="7"/>
    </row>
    <row r="3724" spans="1:8" x14ac:dyDescent="0.35">
      <c r="A3724" s="7" t="s">
        <v>358</v>
      </c>
      <c r="B3724" s="7" t="s">
        <v>26</v>
      </c>
      <c r="C3724" s="7" t="s">
        <v>27</v>
      </c>
      <c r="D3724" s="7" t="s">
        <v>28</v>
      </c>
      <c r="E3724" s="7" t="s">
        <v>29</v>
      </c>
      <c r="F3724" s="7" t="s">
        <v>270</v>
      </c>
      <c r="G3724" s="7">
        <v>100.4609</v>
      </c>
      <c r="H3724" s="7"/>
    </row>
    <row r="3725" spans="1:8" x14ac:dyDescent="0.35">
      <c r="A3725" s="7" t="s">
        <v>358</v>
      </c>
      <c r="B3725" s="7" t="s">
        <v>26</v>
      </c>
      <c r="C3725" s="7" t="s">
        <v>27</v>
      </c>
      <c r="D3725" s="7" t="s">
        <v>28</v>
      </c>
      <c r="E3725" s="7" t="s">
        <v>29</v>
      </c>
      <c r="F3725" s="7" t="s">
        <v>271</v>
      </c>
      <c r="G3725" s="7">
        <v>100.5068</v>
      </c>
      <c r="H3725" s="7"/>
    </row>
    <row r="3726" spans="1:8" x14ac:dyDescent="0.35">
      <c r="A3726" s="7" t="s">
        <v>358</v>
      </c>
      <c r="B3726" s="7" t="s">
        <v>26</v>
      </c>
      <c r="C3726" s="7" t="s">
        <v>27</v>
      </c>
      <c r="D3726" s="7" t="s">
        <v>28</v>
      </c>
      <c r="E3726" s="7" t="s">
        <v>29</v>
      </c>
      <c r="F3726" s="7" t="s">
        <v>272</v>
      </c>
      <c r="G3726" s="7">
        <v>100.5347</v>
      </c>
      <c r="H3726" s="7"/>
    </row>
    <row r="3727" spans="1:8" x14ac:dyDescent="0.35">
      <c r="A3727" s="7" t="s">
        <v>358</v>
      </c>
      <c r="B3727" s="7" t="s">
        <v>26</v>
      </c>
      <c r="C3727" s="7" t="s">
        <v>27</v>
      </c>
      <c r="D3727" s="7" t="s">
        <v>28</v>
      </c>
      <c r="E3727" s="7" t="s">
        <v>29</v>
      </c>
      <c r="F3727" s="7" t="s">
        <v>273</v>
      </c>
      <c r="G3727" s="7">
        <v>100.5111</v>
      </c>
      <c r="H3727" s="7"/>
    </row>
    <row r="3728" spans="1:8" x14ac:dyDescent="0.35">
      <c r="A3728" s="7" t="s">
        <v>358</v>
      </c>
      <c r="B3728" s="7" t="s">
        <v>26</v>
      </c>
      <c r="C3728" s="7" t="s">
        <v>27</v>
      </c>
      <c r="D3728" s="7" t="s">
        <v>28</v>
      </c>
      <c r="E3728" s="7" t="s">
        <v>29</v>
      </c>
      <c r="F3728" s="7" t="s">
        <v>274</v>
      </c>
      <c r="G3728" s="7">
        <v>100.3879</v>
      </c>
      <c r="H3728" s="7"/>
    </row>
    <row r="3729" spans="1:8" x14ac:dyDescent="0.35">
      <c r="A3729" s="7" t="s">
        <v>358</v>
      </c>
      <c r="B3729" s="7" t="s">
        <v>26</v>
      </c>
      <c r="C3729" s="7" t="s">
        <v>27</v>
      </c>
      <c r="D3729" s="7" t="s">
        <v>28</v>
      </c>
      <c r="E3729" s="7" t="s">
        <v>29</v>
      </c>
      <c r="F3729" s="7" t="s">
        <v>275</v>
      </c>
      <c r="G3729" s="7">
        <v>100.12649999999999</v>
      </c>
      <c r="H3729" s="7"/>
    </row>
    <row r="3730" spans="1:8" x14ac:dyDescent="0.35">
      <c r="A3730" s="7" t="s">
        <v>358</v>
      </c>
      <c r="B3730" s="7" t="s">
        <v>26</v>
      </c>
      <c r="C3730" s="7" t="s">
        <v>27</v>
      </c>
      <c r="D3730" s="7" t="s">
        <v>28</v>
      </c>
      <c r="E3730" s="7" t="s">
        <v>29</v>
      </c>
      <c r="F3730" s="7" t="s">
        <v>276</v>
      </c>
      <c r="G3730" s="7">
        <v>99.820920000000001</v>
      </c>
      <c r="H3730" s="7"/>
    </row>
    <row r="3731" spans="1:8" x14ac:dyDescent="0.35">
      <c r="A3731" s="7" t="s">
        <v>358</v>
      </c>
      <c r="B3731" s="7" t="s">
        <v>26</v>
      </c>
      <c r="C3731" s="7" t="s">
        <v>27</v>
      </c>
      <c r="D3731" s="7" t="s">
        <v>28</v>
      </c>
      <c r="E3731" s="7" t="s">
        <v>29</v>
      </c>
      <c r="F3731" s="7" t="s">
        <v>277</v>
      </c>
      <c r="G3731" s="7">
        <v>99.594070000000002</v>
      </c>
      <c r="H3731" s="7"/>
    </row>
    <row r="3732" spans="1:8" x14ac:dyDescent="0.35">
      <c r="A3732" s="7" t="s">
        <v>358</v>
      </c>
      <c r="B3732" s="7" t="s">
        <v>26</v>
      </c>
      <c r="C3732" s="7" t="s">
        <v>27</v>
      </c>
      <c r="D3732" s="7" t="s">
        <v>28</v>
      </c>
      <c r="E3732" s="7" t="s">
        <v>29</v>
      </c>
      <c r="F3732" s="7" t="s">
        <v>278</v>
      </c>
      <c r="G3732" s="7">
        <v>99.539119999999997</v>
      </c>
      <c r="H3732" s="7"/>
    </row>
    <row r="3733" spans="1:8" x14ac:dyDescent="0.35">
      <c r="A3733" s="7" t="s">
        <v>358</v>
      </c>
      <c r="B3733" s="7" t="s">
        <v>26</v>
      </c>
      <c r="C3733" s="7" t="s">
        <v>27</v>
      </c>
      <c r="D3733" s="7" t="s">
        <v>28</v>
      </c>
      <c r="E3733" s="7" t="s">
        <v>29</v>
      </c>
      <c r="F3733" s="7" t="s">
        <v>279</v>
      </c>
      <c r="G3733" s="7">
        <v>99.581469999999996</v>
      </c>
      <c r="H3733" s="7"/>
    </row>
    <row r="3734" spans="1:8" x14ac:dyDescent="0.35">
      <c r="A3734" s="7" t="s">
        <v>358</v>
      </c>
      <c r="B3734" s="7" t="s">
        <v>26</v>
      </c>
      <c r="C3734" s="7" t="s">
        <v>27</v>
      </c>
      <c r="D3734" s="7" t="s">
        <v>28</v>
      </c>
      <c r="E3734" s="7" t="s">
        <v>29</v>
      </c>
      <c r="F3734" s="7" t="s">
        <v>280</v>
      </c>
      <c r="G3734" s="7">
        <v>99.624859999999998</v>
      </c>
      <c r="H3734" s="7"/>
    </row>
    <row r="3735" spans="1:8" x14ac:dyDescent="0.35">
      <c r="A3735" s="7" t="s">
        <v>358</v>
      </c>
      <c r="B3735" s="7" t="s">
        <v>26</v>
      </c>
      <c r="C3735" s="7" t="s">
        <v>27</v>
      </c>
      <c r="D3735" s="7" t="s">
        <v>28</v>
      </c>
      <c r="E3735" s="7" t="s">
        <v>29</v>
      </c>
      <c r="F3735" s="7" t="s">
        <v>281</v>
      </c>
      <c r="G3735" s="7">
        <v>99.600200000000001</v>
      </c>
      <c r="H3735" s="7"/>
    </row>
    <row r="3736" spans="1:8" x14ac:dyDescent="0.35">
      <c r="A3736" s="7" t="s">
        <v>358</v>
      </c>
      <c r="B3736" s="7" t="s">
        <v>26</v>
      </c>
      <c r="C3736" s="7" t="s">
        <v>27</v>
      </c>
      <c r="D3736" s="7" t="s">
        <v>28</v>
      </c>
      <c r="E3736" s="7" t="s">
        <v>29</v>
      </c>
      <c r="F3736" s="7" t="s">
        <v>282</v>
      </c>
      <c r="G3736" s="7">
        <v>99.513379999999998</v>
      </c>
      <c r="H3736" s="7"/>
    </row>
    <row r="3737" spans="1:8" x14ac:dyDescent="0.35">
      <c r="A3737" s="7" t="s">
        <v>358</v>
      </c>
      <c r="B3737" s="7" t="s">
        <v>26</v>
      </c>
      <c r="C3737" s="7" t="s">
        <v>27</v>
      </c>
      <c r="D3737" s="7" t="s">
        <v>28</v>
      </c>
      <c r="E3737" s="7" t="s">
        <v>29</v>
      </c>
      <c r="F3737" s="7" t="s">
        <v>283</v>
      </c>
      <c r="G3737" s="7">
        <v>99.37876</v>
      </c>
      <c r="H3737" s="7"/>
    </row>
    <row r="3738" spans="1:8" x14ac:dyDescent="0.35">
      <c r="A3738" s="7" t="s">
        <v>358</v>
      </c>
      <c r="B3738" s="7" t="s">
        <v>26</v>
      </c>
      <c r="C3738" s="7" t="s">
        <v>27</v>
      </c>
      <c r="D3738" s="7" t="s">
        <v>28</v>
      </c>
      <c r="E3738" s="7" t="s">
        <v>29</v>
      </c>
      <c r="F3738" s="7" t="s">
        <v>284</v>
      </c>
      <c r="G3738" s="7">
        <v>99.214789999999994</v>
      </c>
      <c r="H3738" s="7"/>
    </row>
    <row r="3739" spans="1:8" x14ac:dyDescent="0.35">
      <c r="A3739" s="7" t="s">
        <v>358</v>
      </c>
      <c r="B3739" s="7" t="s">
        <v>26</v>
      </c>
      <c r="C3739" s="7" t="s">
        <v>27</v>
      </c>
      <c r="D3739" s="7" t="s">
        <v>28</v>
      </c>
      <c r="E3739" s="7" t="s">
        <v>29</v>
      </c>
      <c r="F3739" s="7" t="s">
        <v>285</v>
      </c>
      <c r="G3739" s="7">
        <v>99.087479999999999</v>
      </c>
      <c r="H3739" s="7"/>
    </row>
    <row r="3740" spans="1:8" x14ac:dyDescent="0.35">
      <c r="A3740" s="7" t="s">
        <v>358</v>
      </c>
      <c r="B3740" s="7" t="s">
        <v>26</v>
      </c>
      <c r="C3740" s="7" t="s">
        <v>27</v>
      </c>
      <c r="D3740" s="7" t="s">
        <v>28</v>
      </c>
      <c r="E3740" s="7" t="s">
        <v>29</v>
      </c>
      <c r="F3740" s="7" t="s">
        <v>286</v>
      </c>
      <c r="G3740" s="7">
        <v>99.091989999999996</v>
      </c>
      <c r="H3740" s="7"/>
    </row>
    <row r="3741" spans="1:8" x14ac:dyDescent="0.35">
      <c r="A3741" s="7" t="s">
        <v>358</v>
      </c>
      <c r="B3741" s="7" t="s">
        <v>26</v>
      </c>
      <c r="C3741" s="7" t="s">
        <v>27</v>
      </c>
      <c r="D3741" s="7" t="s">
        <v>28</v>
      </c>
      <c r="E3741" s="7" t="s">
        <v>29</v>
      </c>
      <c r="F3741" s="7" t="s">
        <v>287</v>
      </c>
      <c r="G3741" s="7">
        <v>99.297629999999998</v>
      </c>
      <c r="H3741" s="7"/>
    </row>
    <row r="3742" spans="1:8" x14ac:dyDescent="0.35">
      <c r="A3742" s="7" t="s">
        <v>358</v>
      </c>
      <c r="B3742" s="7" t="s">
        <v>26</v>
      </c>
      <c r="C3742" s="7" t="s">
        <v>27</v>
      </c>
      <c r="D3742" s="7" t="s">
        <v>28</v>
      </c>
      <c r="E3742" s="7" t="s">
        <v>29</v>
      </c>
      <c r="F3742" s="7" t="s">
        <v>288</v>
      </c>
      <c r="G3742" s="7">
        <v>99.560959999999994</v>
      </c>
      <c r="H3742" s="7"/>
    </row>
    <row r="3743" spans="1:8" x14ac:dyDescent="0.35">
      <c r="A3743" s="7" t="s">
        <v>358</v>
      </c>
      <c r="B3743" s="7" t="s">
        <v>26</v>
      </c>
      <c r="C3743" s="7" t="s">
        <v>27</v>
      </c>
      <c r="D3743" s="7" t="s">
        <v>28</v>
      </c>
      <c r="E3743" s="7" t="s">
        <v>29</v>
      </c>
      <c r="F3743" s="7" t="s">
        <v>289</v>
      </c>
      <c r="G3743" s="7">
        <v>99.68486</v>
      </c>
      <c r="H3743" s="7"/>
    </row>
    <row r="3744" spans="1:8" x14ac:dyDescent="0.35">
      <c r="A3744" s="7" t="s">
        <v>358</v>
      </c>
      <c r="B3744" s="7" t="s">
        <v>26</v>
      </c>
      <c r="C3744" s="7" t="s">
        <v>27</v>
      </c>
      <c r="D3744" s="7" t="s">
        <v>28</v>
      </c>
      <c r="E3744" s="7" t="s">
        <v>29</v>
      </c>
      <c r="F3744" s="7" t="s">
        <v>290</v>
      </c>
      <c r="G3744" s="7">
        <v>99.519940000000005</v>
      </c>
      <c r="H3744" s="7"/>
    </row>
    <row r="3745" spans="1:8" x14ac:dyDescent="0.35">
      <c r="A3745" s="7" t="s">
        <v>358</v>
      </c>
      <c r="B3745" s="7" t="s">
        <v>26</v>
      </c>
      <c r="C3745" s="7" t="s">
        <v>27</v>
      </c>
      <c r="D3745" s="7" t="s">
        <v>28</v>
      </c>
      <c r="E3745" s="7" t="s">
        <v>29</v>
      </c>
      <c r="F3745" s="7" t="s">
        <v>291</v>
      </c>
      <c r="G3745" s="7">
        <v>99.205280000000002</v>
      </c>
      <c r="H3745" s="7"/>
    </row>
    <row r="3746" spans="1:8" x14ac:dyDescent="0.35">
      <c r="A3746" s="7" t="s">
        <v>358</v>
      </c>
      <c r="B3746" s="7" t="s">
        <v>26</v>
      </c>
      <c r="C3746" s="7" t="s">
        <v>27</v>
      </c>
      <c r="D3746" s="7" t="s">
        <v>28</v>
      </c>
      <c r="E3746" s="7" t="s">
        <v>29</v>
      </c>
      <c r="F3746" s="7" t="s">
        <v>292</v>
      </c>
      <c r="G3746" s="7">
        <v>98.923090000000002</v>
      </c>
      <c r="H3746" s="7"/>
    </row>
    <row r="3747" spans="1:8" x14ac:dyDescent="0.35">
      <c r="A3747" s="7" t="s">
        <v>358</v>
      </c>
      <c r="B3747" s="7" t="s">
        <v>26</v>
      </c>
      <c r="C3747" s="7" t="s">
        <v>27</v>
      </c>
      <c r="D3747" s="7" t="s">
        <v>28</v>
      </c>
      <c r="E3747" s="7" t="s">
        <v>29</v>
      </c>
      <c r="F3747" s="7" t="s">
        <v>293</v>
      </c>
      <c r="G3747" s="7">
        <v>98.803100000000001</v>
      </c>
      <c r="H3747" s="7"/>
    </row>
    <row r="3748" spans="1:8" x14ac:dyDescent="0.35">
      <c r="A3748" s="7" t="s">
        <v>358</v>
      </c>
      <c r="B3748" s="7" t="s">
        <v>26</v>
      </c>
      <c r="C3748" s="7" t="s">
        <v>27</v>
      </c>
      <c r="D3748" s="7" t="s">
        <v>28</v>
      </c>
      <c r="E3748" s="7" t="s">
        <v>29</v>
      </c>
      <c r="F3748" s="7" t="s">
        <v>294</v>
      </c>
      <c r="G3748" s="7">
        <v>98.794460000000001</v>
      </c>
      <c r="H3748" s="7"/>
    </row>
    <row r="3749" spans="1:8" x14ac:dyDescent="0.35">
      <c r="A3749" s="7" t="s">
        <v>358</v>
      </c>
      <c r="B3749" s="7" t="s">
        <v>26</v>
      </c>
      <c r="C3749" s="7" t="s">
        <v>27</v>
      </c>
      <c r="D3749" s="7" t="s">
        <v>28</v>
      </c>
      <c r="E3749" s="7" t="s">
        <v>29</v>
      </c>
      <c r="F3749" s="7" t="s">
        <v>295</v>
      </c>
      <c r="G3749" s="7">
        <v>98.831249999999997</v>
      </c>
      <c r="H3749" s="7"/>
    </row>
    <row r="3750" spans="1:8" x14ac:dyDescent="0.35">
      <c r="A3750" s="7" t="s">
        <v>358</v>
      </c>
      <c r="B3750" s="7" t="s">
        <v>26</v>
      </c>
      <c r="C3750" s="7" t="s">
        <v>27</v>
      </c>
      <c r="D3750" s="7" t="s">
        <v>28</v>
      </c>
      <c r="E3750" s="7" t="s">
        <v>29</v>
      </c>
      <c r="F3750" s="7" t="s">
        <v>296</v>
      </c>
      <c r="G3750" s="7">
        <v>98.886799999999994</v>
      </c>
      <c r="H3750" s="7"/>
    </row>
    <row r="3751" spans="1:8" x14ac:dyDescent="0.35">
      <c r="A3751" s="7" t="s">
        <v>358</v>
      </c>
      <c r="B3751" s="7" t="s">
        <v>26</v>
      </c>
      <c r="C3751" s="7" t="s">
        <v>27</v>
      </c>
      <c r="D3751" s="7" t="s">
        <v>28</v>
      </c>
      <c r="E3751" s="7" t="s">
        <v>29</v>
      </c>
      <c r="F3751" s="7" t="s">
        <v>297</v>
      </c>
      <c r="G3751" s="7">
        <v>98.982420000000005</v>
      </c>
      <c r="H3751" s="7"/>
    </row>
    <row r="3752" spans="1:8" x14ac:dyDescent="0.35">
      <c r="A3752" s="7" t="s">
        <v>358</v>
      </c>
      <c r="B3752" s="7" t="s">
        <v>26</v>
      </c>
      <c r="C3752" s="7" t="s">
        <v>27</v>
      </c>
      <c r="D3752" s="7" t="s">
        <v>28</v>
      </c>
      <c r="E3752" s="7" t="s">
        <v>29</v>
      </c>
      <c r="F3752" s="7" t="s">
        <v>298</v>
      </c>
      <c r="G3752" s="7">
        <v>99.177459999999996</v>
      </c>
      <c r="H3752" s="7"/>
    </row>
    <row r="3753" spans="1:8" x14ac:dyDescent="0.35">
      <c r="A3753" s="7" t="s">
        <v>358</v>
      </c>
      <c r="B3753" s="7" t="s">
        <v>26</v>
      </c>
      <c r="C3753" s="7" t="s">
        <v>27</v>
      </c>
      <c r="D3753" s="7" t="s">
        <v>28</v>
      </c>
      <c r="E3753" s="7" t="s">
        <v>29</v>
      </c>
      <c r="F3753" s="7" t="s">
        <v>299</v>
      </c>
      <c r="G3753" s="7">
        <v>99.519289999999998</v>
      </c>
      <c r="H3753" s="7"/>
    </row>
    <row r="3754" spans="1:8" x14ac:dyDescent="0.35">
      <c r="A3754" s="7" t="s">
        <v>358</v>
      </c>
      <c r="B3754" s="7" t="s">
        <v>26</v>
      </c>
      <c r="C3754" s="7" t="s">
        <v>27</v>
      </c>
      <c r="D3754" s="7" t="s">
        <v>28</v>
      </c>
      <c r="E3754" s="7" t="s">
        <v>29</v>
      </c>
      <c r="F3754" s="7" t="s">
        <v>300</v>
      </c>
      <c r="G3754" s="7">
        <v>99.893810000000002</v>
      </c>
      <c r="H3754" s="7"/>
    </row>
    <row r="3755" spans="1:8" x14ac:dyDescent="0.35">
      <c r="A3755" s="7" t="s">
        <v>358</v>
      </c>
      <c r="B3755" s="7" t="s">
        <v>26</v>
      </c>
      <c r="C3755" s="7" t="s">
        <v>27</v>
      </c>
      <c r="D3755" s="7" t="s">
        <v>28</v>
      </c>
      <c r="E3755" s="7" t="s">
        <v>29</v>
      </c>
      <c r="F3755" s="7" t="s">
        <v>301</v>
      </c>
      <c r="G3755" s="7">
        <v>100.1396</v>
      </c>
      <c r="H3755" s="7"/>
    </row>
    <row r="3756" spans="1:8" x14ac:dyDescent="0.35">
      <c r="A3756" s="7" t="s">
        <v>358</v>
      </c>
      <c r="B3756" s="7" t="s">
        <v>26</v>
      </c>
      <c r="C3756" s="7" t="s">
        <v>27</v>
      </c>
      <c r="D3756" s="7" t="s">
        <v>28</v>
      </c>
      <c r="E3756" s="7" t="s">
        <v>29</v>
      </c>
      <c r="F3756" s="7" t="s">
        <v>302</v>
      </c>
      <c r="G3756" s="7">
        <v>100.12909999999999</v>
      </c>
      <c r="H3756" s="7"/>
    </row>
    <row r="3757" spans="1:8" x14ac:dyDescent="0.35">
      <c r="A3757" s="7" t="s">
        <v>358</v>
      </c>
      <c r="B3757" s="7" t="s">
        <v>26</v>
      </c>
      <c r="C3757" s="7" t="s">
        <v>27</v>
      </c>
      <c r="D3757" s="7" t="s">
        <v>28</v>
      </c>
      <c r="E3757" s="7" t="s">
        <v>29</v>
      </c>
      <c r="F3757" s="7" t="s">
        <v>303</v>
      </c>
      <c r="G3757" s="7">
        <v>99.978830000000002</v>
      </c>
      <c r="H3757" s="7"/>
    </row>
    <row r="3758" spans="1:8" x14ac:dyDescent="0.35">
      <c r="A3758" s="7" t="s">
        <v>358</v>
      </c>
      <c r="B3758" s="7" t="s">
        <v>26</v>
      </c>
      <c r="C3758" s="7" t="s">
        <v>27</v>
      </c>
      <c r="D3758" s="7" t="s">
        <v>28</v>
      </c>
      <c r="E3758" s="7" t="s">
        <v>29</v>
      </c>
      <c r="F3758" s="7" t="s">
        <v>304</v>
      </c>
      <c r="G3758" s="7">
        <v>99.832130000000006</v>
      </c>
      <c r="H3758" s="7"/>
    </row>
    <row r="3759" spans="1:8" x14ac:dyDescent="0.35">
      <c r="A3759" s="7" t="s">
        <v>358</v>
      </c>
      <c r="B3759" s="7" t="s">
        <v>26</v>
      </c>
      <c r="C3759" s="7" t="s">
        <v>27</v>
      </c>
      <c r="D3759" s="7" t="s">
        <v>28</v>
      </c>
      <c r="E3759" s="7" t="s">
        <v>29</v>
      </c>
      <c r="F3759" s="7" t="s">
        <v>305</v>
      </c>
      <c r="G3759" s="7">
        <v>99.781139999999994</v>
      </c>
      <c r="H3759" s="7"/>
    </row>
    <row r="3760" spans="1:8" x14ac:dyDescent="0.35">
      <c r="A3760" s="7" t="s">
        <v>358</v>
      </c>
      <c r="B3760" s="7" t="s">
        <v>26</v>
      </c>
      <c r="C3760" s="7" t="s">
        <v>27</v>
      </c>
      <c r="D3760" s="7" t="s">
        <v>28</v>
      </c>
      <c r="E3760" s="7" t="s">
        <v>29</v>
      </c>
      <c r="F3760" s="7" t="s">
        <v>306</v>
      </c>
      <c r="G3760" s="7">
        <v>99.785730000000001</v>
      </c>
      <c r="H3760" s="7"/>
    </row>
    <row r="3761" spans="1:8" x14ac:dyDescent="0.35">
      <c r="A3761" s="7" t="s">
        <v>358</v>
      </c>
      <c r="B3761" s="7" t="s">
        <v>26</v>
      </c>
      <c r="C3761" s="7" t="s">
        <v>27</v>
      </c>
      <c r="D3761" s="7" t="s">
        <v>28</v>
      </c>
      <c r="E3761" s="7" t="s">
        <v>29</v>
      </c>
      <c r="F3761" s="7" t="s">
        <v>307</v>
      </c>
      <c r="G3761" s="7">
        <v>99.770070000000004</v>
      </c>
      <c r="H3761" s="7"/>
    </row>
    <row r="3762" spans="1:8" x14ac:dyDescent="0.35">
      <c r="A3762" s="7" t="s">
        <v>358</v>
      </c>
      <c r="B3762" s="7" t="s">
        <v>26</v>
      </c>
      <c r="C3762" s="7" t="s">
        <v>27</v>
      </c>
      <c r="D3762" s="7" t="s">
        <v>28</v>
      </c>
      <c r="E3762" s="7" t="s">
        <v>29</v>
      </c>
      <c r="F3762" s="7" t="s">
        <v>308</v>
      </c>
      <c r="G3762" s="7">
        <v>99.663640000000001</v>
      </c>
      <c r="H3762" s="7"/>
    </row>
    <row r="3763" spans="1:8" x14ac:dyDescent="0.35">
      <c r="A3763" s="7" t="s">
        <v>358</v>
      </c>
      <c r="B3763" s="7" t="s">
        <v>26</v>
      </c>
      <c r="C3763" s="7" t="s">
        <v>27</v>
      </c>
      <c r="D3763" s="7" t="s">
        <v>28</v>
      </c>
      <c r="E3763" s="7" t="s">
        <v>29</v>
      </c>
      <c r="F3763" s="7" t="s">
        <v>309</v>
      </c>
      <c r="G3763" s="7">
        <v>99.462389999999999</v>
      </c>
      <c r="H3763" s="7"/>
    </row>
    <row r="3764" spans="1:8" x14ac:dyDescent="0.35">
      <c r="A3764" s="7" t="s">
        <v>358</v>
      </c>
      <c r="B3764" s="7" t="s">
        <v>26</v>
      </c>
      <c r="C3764" s="7" t="s">
        <v>27</v>
      </c>
      <c r="D3764" s="7" t="s">
        <v>28</v>
      </c>
      <c r="E3764" s="7" t="s">
        <v>29</v>
      </c>
      <c r="F3764" s="7" t="s">
        <v>310</v>
      </c>
      <c r="G3764" s="7">
        <v>99.152929999999998</v>
      </c>
      <c r="H3764" s="7"/>
    </row>
    <row r="3765" spans="1:8" x14ac:dyDescent="0.35">
      <c r="A3765" s="7" t="s">
        <v>358</v>
      </c>
      <c r="B3765" s="7" t="s">
        <v>26</v>
      </c>
      <c r="C3765" s="7" t="s">
        <v>27</v>
      </c>
      <c r="D3765" s="7" t="s">
        <v>28</v>
      </c>
      <c r="E3765" s="7" t="s">
        <v>29</v>
      </c>
      <c r="F3765" s="7" t="s">
        <v>311</v>
      </c>
      <c r="G3765" s="7">
        <v>98.731340000000003</v>
      </c>
      <c r="H3765" s="7"/>
    </row>
    <row r="3766" spans="1:8" x14ac:dyDescent="0.35">
      <c r="A3766" s="7" t="s">
        <v>358</v>
      </c>
      <c r="B3766" s="7" t="s">
        <v>26</v>
      </c>
      <c r="C3766" s="7" t="s">
        <v>27</v>
      </c>
      <c r="D3766" s="7" t="s">
        <v>28</v>
      </c>
      <c r="E3766" s="7" t="s">
        <v>29</v>
      </c>
      <c r="F3766" s="7" t="s">
        <v>312</v>
      </c>
      <c r="G3766" s="7">
        <v>98.330299999999994</v>
      </c>
      <c r="H3766" s="7"/>
    </row>
    <row r="3767" spans="1:8" x14ac:dyDescent="0.35">
      <c r="A3767" s="7" t="s">
        <v>358</v>
      </c>
      <c r="B3767" s="7" t="s">
        <v>26</v>
      </c>
      <c r="C3767" s="7" t="s">
        <v>27</v>
      </c>
      <c r="D3767" s="7" t="s">
        <v>28</v>
      </c>
      <c r="E3767" s="7" t="s">
        <v>29</v>
      </c>
      <c r="F3767" s="7" t="s">
        <v>313</v>
      </c>
      <c r="G3767" s="7">
        <v>98.139250000000004</v>
      </c>
      <c r="H3767" s="7"/>
    </row>
    <row r="3768" spans="1:8" x14ac:dyDescent="0.35">
      <c r="A3768" s="7" t="s">
        <v>358</v>
      </c>
      <c r="B3768" s="7" t="s">
        <v>26</v>
      </c>
      <c r="C3768" s="7" t="s">
        <v>27</v>
      </c>
      <c r="D3768" s="7" t="s">
        <v>28</v>
      </c>
      <c r="E3768" s="7" t="s">
        <v>29</v>
      </c>
      <c r="F3768" s="7" t="s">
        <v>314</v>
      </c>
      <c r="G3768" s="7">
        <v>98.303939999999997</v>
      </c>
      <c r="H3768" s="7"/>
    </row>
    <row r="3769" spans="1:8" x14ac:dyDescent="0.35">
      <c r="A3769" s="7" t="s">
        <v>358</v>
      </c>
      <c r="B3769" s="7" t="s">
        <v>26</v>
      </c>
      <c r="C3769" s="7" t="s">
        <v>27</v>
      </c>
      <c r="D3769" s="7" t="s">
        <v>28</v>
      </c>
      <c r="E3769" s="7" t="s">
        <v>29</v>
      </c>
      <c r="F3769" s="7" t="s">
        <v>315</v>
      </c>
      <c r="G3769" s="7">
        <v>98.616010000000003</v>
      </c>
      <c r="H3769" s="7"/>
    </row>
    <row r="3770" spans="1:8" x14ac:dyDescent="0.35">
      <c r="A3770" s="7" t="s">
        <v>358</v>
      </c>
      <c r="B3770" s="7" t="s">
        <v>26</v>
      </c>
      <c r="C3770" s="7" t="s">
        <v>27</v>
      </c>
      <c r="D3770" s="7" t="s">
        <v>28</v>
      </c>
      <c r="E3770" s="7" t="s">
        <v>29</v>
      </c>
      <c r="F3770" s="7" t="s">
        <v>316</v>
      </c>
      <c r="G3770" s="7">
        <v>98.804180000000002</v>
      </c>
      <c r="H3770" s="7"/>
    </row>
    <row r="3771" spans="1:8" x14ac:dyDescent="0.35">
      <c r="A3771" s="7" t="s">
        <v>358</v>
      </c>
      <c r="B3771" s="7" t="s">
        <v>26</v>
      </c>
      <c r="C3771" s="7" t="s">
        <v>27</v>
      </c>
      <c r="D3771" s="7" t="s">
        <v>28</v>
      </c>
      <c r="E3771" s="7" t="s">
        <v>29</v>
      </c>
      <c r="F3771" s="7" t="s">
        <v>317</v>
      </c>
      <c r="G3771" s="7">
        <v>98.678049999999999</v>
      </c>
      <c r="H3771" s="7"/>
    </row>
    <row r="3772" spans="1:8" x14ac:dyDescent="0.35">
      <c r="A3772" s="7" t="s">
        <v>358</v>
      </c>
      <c r="B3772" s="7" t="s">
        <v>26</v>
      </c>
      <c r="C3772" s="7" t="s">
        <v>27</v>
      </c>
      <c r="D3772" s="7" t="s">
        <v>28</v>
      </c>
      <c r="E3772" s="7" t="s">
        <v>29</v>
      </c>
      <c r="F3772" s="7" t="s">
        <v>318</v>
      </c>
      <c r="G3772" s="7">
        <v>98.395859999999999</v>
      </c>
      <c r="H3772" s="7"/>
    </row>
    <row r="3773" spans="1:8" x14ac:dyDescent="0.35">
      <c r="A3773" s="7" t="s">
        <v>358</v>
      </c>
      <c r="B3773" s="7" t="s">
        <v>26</v>
      </c>
      <c r="C3773" s="7" t="s">
        <v>27</v>
      </c>
      <c r="D3773" s="7" t="s">
        <v>28</v>
      </c>
      <c r="E3773" s="7" t="s">
        <v>29</v>
      </c>
      <c r="F3773" s="7" t="s">
        <v>319</v>
      </c>
      <c r="G3773" s="7">
        <v>98.180239999999998</v>
      </c>
      <c r="H3773" s="7"/>
    </row>
    <row r="3774" spans="1:8" x14ac:dyDescent="0.35">
      <c r="A3774" s="7" t="s">
        <v>358</v>
      </c>
      <c r="B3774" s="7" t="s">
        <v>26</v>
      </c>
      <c r="C3774" s="7" t="s">
        <v>27</v>
      </c>
      <c r="D3774" s="7" t="s">
        <v>28</v>
      </c>
      <c r="E3774" s="7" t="s">
        <v>29</v>
      </c>
      <c r="F3774" s="7" t="s">
        <v>320</v>
      </c>
      <c r="G3774" s="7">
        <v>98.190190000000001</v>
      </c>
      <c r="H3774" s="7"/>
    </row>
    <row r="3775" spans="1:8" x14ac:dyDescent="0.35">
      <c r="A3775" s="7" t="s">
        <v>358</v>
      </c>
      <c r="B3775" s="7" t="s">
        <v>26</v>
      </c>
      <c r="C3775" s="7" t="s">
        <v>27</v>
      </c>
      <c r="D3775" s="7" t="s">
        <v>28</v>
      </c>
      <c r="E3775" s="7" t="s">
        <v>29</v>
      </c>
      <c r="F3775" s="7" t="s">
        <v>321</v>
      </c>
      <c r="G3775" s="7">
        <v>98.326350000000005</v>
      </c>
      <c r="H3775" s="7"/>
    </row>
    <row r="3776" spans="1:8" x14ac:dyDescent="0.35">
      <c r="A3776" s="7" t="s">
        <v>358</v>
      </c>
      <c r="B3776" s="7" t="s">
        <v>26</v>
      </c>
      <c r="C3776" s="7" t="s">
        <v>27</v>
      </c>
      <c r="D3776" s="7" t="s">
        <v>28</v>
      </c>
      <c r="E3776" s="7" t="s">
        <v>29</v>
      </c>
      <c r="F3776" s="7" t="s">
        <v>322</v>
      </c>
      <c r="G3776" s="7">
        <v>98.449070000000006</v>
      </c>
      <c r="H3776" s="7"/>
    </row>
    <row r="3777" spans="1:8" x14ac:dyDescent="0.35">
      <c r="A3777" s="7" t="s">
        <v>358</v>
      </c>
      <c r="B3777" s="7" t="s">
        <v>26</v>
      </c>
      <c r="C3777" s="7" t="s">
        <v>27</v>
      </c>
      <c r="D3777" s="7" t="s">
        <v>28</v>
      </c>
      <c r="E3777" s="7" t="s">
        <v>29</v>
      </c>
      <c r="F3777" s="7" t="s">
        <v>323</v>
      </c>
      <c r="G3777" s="7">
        <v>98.470060000000004</v>
      </c>
      <c r="H3777" s="7"/>
    </row>
    <row r="3778" spans="1:8" x14ac:dyDescent="0.35">
      <c r="A3778" s="7" t="s">
        <v>358</v>
      </c>
      <c r="B3778" s="7" t="s">
        <v>26</v>
      </c>
      <c r="C3778" s="7" t="s">
        <v>27</v>
      </c>
      <c r="D3778" s="7" t="s">
        <v>28</v>
      </c>
      <c r="E3778" s="7" t="s">
        <v>29</v>
      </c>
      <c r="F3778" s="7" t="s">
        <v>324</v>
      </c>
      <c r="G3778" s="7">
        <v>98.457740000000001</v>
      </c>
      <c r="H3778" s="7"/>
    </row>
    <row r="3779" spans="1:8" x14ac:dyDescent="0.35">
      <c r="A3779" s="7" t="s">
        <v>358</v>
      </c>
      <c r="B3779" s="7" t="s">
        <v>26</v>
      </c>
      <c r="C3779" s="7" t="s">
        <v>27</v>
      </c>
      <c r="D3779" s="7" t="s">
        <v>28</v>
      </c>
      <c r="E3779" s="7" t="s">
        <v>29</v>
      </c>
      <c r="F3779" s="7" t="s">
        <v>325</v>
      </c>
      <c r="G3779" s="7">
        <v>98.524990000000003</v>
      </c>
      <c r="H3779" s="7"/>
    </row>
    <row r="3780" spans="1:8" x14ac:dyDescent="0.35">
      <c r="A3780" s="7" t="s">
        <v>358</v>
      </c>
      <c r="B3780" s="7" t="s">
        <v>26</v>
      </c>
      <c r="C3780" s="7" t="s">
        <v>27</v>
      </c>
      <c r="D3780" s="7" t="s">
        <v>28</v>
      </c>
      <c r="E3780" s="7" t="s">
        <v>29</v>
      </c>
      <c r="F3780" s="7" t="s">
        <v>326</v>
      </c>
      <c r="G3780" s="7">
        <v>98.750339999999994</v>
      </c>
      <c r="H3780" s="7"/>
    </row>
    <row r="3781" spans="1:8" x14ac:dyDescent="0.35">
      <c r="A3781" s="7" t="s">
        <v>358</v>
      </c>
      <c r="B3781" s="7" t="s">
        <v>26</v>
      </c>
      <c r="C3781" s="7" t="s">
        <v>27</v>
      </c>
      <c r="D3781" s="7" t="s">
        <v>28</v>
      </c>
      <c r="E3781" s="7" t="s">
        <v>29</v>
      </c>
      <c r="F3781" s="7" t="s">
        <v>327</v>
      </c>
      <c r="G3781" s="7">
        <v>99.019509999999997</v>
      </c>
      <c r="H3781" s="7"/>
    </row>
    <row r="3782" spans="1:8" x14ac:dyDescent="0.35">
      <c r="A3782" s="7" t="s">
        <v>358</v>
      </c>
      <c r="B3782" s="7" t="s">
        <v>26</v>
      </c>
      <c r="C3782" s="7" t="s">
        <v>27</v>
      </c>
      <c r="D3782" s="7" t="s">
        <v>28</v>
      </c>
      <c r="E3782" s="7" t="s">
        <v>29</v>
      </c>
      <c r="F3782" s="7" t="s">
        <v>328</v>
      </c>
      <c r="G3782" s="7">
        <v>99.164779999999993</v>
      </c>
      <c r="H3782" s="7"/>
    </row>
    <row r="3783" spans="1:8" x14ac:dyDescent="0.35">
      <c r="A3783" s="7" t="s">
        <v>358</v>
      </c>
      <c r="B3783" s="7" t="s">
        <v>26</v>
      </c>
      <c r="C3783" s="7" t="s">
        <v>27</v>
      </c>
      <c r="D3783" s="7" t="s">
        <v>28</v>
      </c>
      <c r="E3783" s="7" t="s">
        <v>29</v>
      </c>
      <c r="F3783" s="7" t="s">
        <v>329</v>
      </c>
      <c r="G3783" s="7">
        <v>99.060519999999997</v>
      </c>
      <c r="H3783" s="7"/>
    </row>
    <row r="3784" spans="1:8" x14ac:dyDescent="0.35">
      <c r="A3784" s="7" t="s">
        <v>358</v>
      </c>
      <c r="B3784" s="7" t="s">
        <v>26</v>
      </c>
      <c r="C3784" s="7" t="s">
        <v>27</v>
      </c>
      <c r="D3784" s="7" t="s">
        <v>28</v>
      </c>
      <c r="E3784" s="7" t="s">
        <v>29</v>
      </c>
      <c r="F3784" s="7" t="s">
        <v>330</v>
      </c>
      <c r="G3784" s="7">
        <v>98.842640000000003</v>
      </c>
      <c r="H3784" s="7"/>
    </row>
    <row r="3785" spans="1:8" x14ac:dyDescent="0.35">
      <c r="A3785" s="7" t="s">
        <v>358</v>
      </c>
      <c r="B3785" s="7" t="s">
        <v>26</v>
      </c>
      <c r="C3785" s="7" t="s">
        <v>27</v>
      </c>
      <c r="D3785" s="7" t="s">
        <v>28</v>
      </c>
      <c r="E3785" s="7" t="s">
        <v>29</v>
      </c>
      <c r="F3785" s="7" t="s">
        <v>331</v>
      </c>
      <c r="G3785" s="7">
        <v>98.693700000000007</v>
      </c>
      <c r="H3785" s="7"/>
    </row>
    <row r="3786" spans="1:8" x14ac:dyDescent="0.35">
      <c r="A3786" s="7" t="s">
        <v>358</v>
      </c>
      <c r="B3786" s="7" t="s">
        <v>26</v>
      </c>
      <c r="C3786" s="7" t="s">
        <v>27</v>
      </c>
      <c r="D3786" s="7" t="s">
        <v>28</v>
      </c>
      <c r="E3786" s="7" t="s">
        <v>29</v>
      </c>
      <c r="F3786" s="7" t="s">
        <v>332</v>
      </c>
      <c r="G3786" s="7">
        <v>98.741709999999998</v>
      </c>
      <c r="H3786" s="7"/>
    </row>
    <row r="3787" spans="1:8" x14ac:dyDescent="0.35">
      <c r="A3787" s="7" t="s">
        <v>358</v>
      </c>
      <c r="B3787" s="7" t="s">
        <v>26</v>
      </c>
      <c r="C3787" s="7" t="s">
        <v>27</v>
      </c>
      <c r="D3787" s="7" t="s">
        <v>28</v>
      </c>
      <c r="E3787" s="7" t="s">
        <v>29</v>
      </c>
      <c r="F3787" s="7" t="s">
        <v>333</v>
      </c>
      <c r="G3787" s="7">
        <v>98.889989999999997</v>
      </c>
      <c r="H3787" s="7"/>
    </row>
    <row r="3788" spans="1:8" x14ac:dyDescent="0.35">
      <c r="A3788" s="7" t="s">
        <v>358</v>
      </c>
      <c r="B3788" s="7" t="s">
        <v>26</v>
      </c>
      <c r="C3788" s="7" t="s">
        <v>27</v>
      </c>
      <c r="D3788" s="7" t="s">
        <v>28</v>
      </c>
      <c r="E3788" s="7" t="s">
        <v>29</v>
      </c>
      <c r="F3788" s="7" t="s">
        <v>334</v>
      </c>
      <c r="G3788" s="7">
        <v>98.996989999999997</v>
      </c>
      <c r="H3788" s="7"/>
    </row>
    <row r="3789" spans="1:8" x14ac:dyDescent="0.35">
      <c r="A3789" s="7" t="s">
        <v>358</v>
      </c>
      <c r="B3789" s="7" t="s">
        <v>26</v>
      </c>
      <c r="C3789" s="7" t="s">
        <v>27</v>
      </c>
      <c r="D3789" s="7" t="s">
        <v>28</v>
      </c>
      <c r="E3789" s="7" t="s">
        <v>29</v>
      </c>
      <c r="F3789" s="7" t="s">
        <v>335</v>
      </c>
      <c r="G3789" s="7">
        <v>98.956029999999998</v>
      </c>
      <c r="H3789" s="7"/>
    </row>
    <row r="3790" spans="1:8" x14ac:dyDescent="0.35">
      <c r="A3790" s="7" t="s">
        <v>358</v>
      </c>
      <c r="B3790" s="7" t="s">
        <v>26</v>
      </c>
      <c r="C3790" s="7" t="s">
        <v>27</v>
      </c>
      <c r="D3790" s="7" t="s">
        <v>28</v>
      </c>
      <c r="E3790" s="7" t="s">
        <v>29</v>
      </c>
      <c r="F3790" s="7" t="s">
        <v>336</v>
      </c>
      <c r="G3790" s="7">
        <v>98.816230000000004</v>
      </c>
      <c r="H3790" s="7"/>
    </row>
    <row r="3791" spans="1:8" x14ac:dyDescent="0.35">
      <c r="A3791" s="7" t="s">
        <v>358</v>
      </c>
      <c r="B3791" s="7" t="s">
        <v>26</v>
      </c>
      <c r="C3791" s="7" t="s">
        <v>27</v>
      </c>
      <c r="D3791" s="7" t="s">
        <v>28</v>
      </c>
      <c r="E3791" s="7" t="s">
        <v>29</v>
      </c>
      <c r="F3791" s="7" t="s">
        <v>337</v>
      </c>
      <c r="G3791" s="7">
        <v>98.641080000000002</v>
      </c>
      <c r="H3791" s="7"/>
    </row>
    <row r="3792" spans="1:8" x14ac:dyDescent="0.35">
      <c r="A3792" s="7" t="s">
        <v>359</v>
      </c>
      <c r="B3792" s="7" t="s">
        <v>26</v>
      </c>
      <c r="C3792" s="7" t="s">
        <v>27</v>
      </c>
      <c r="D3792" s="7" t="s">
        <v>28</v>
      </c>
      <c r="E3792" s="7" t="s">
        <v>29</v>
      </c>
      <c r="F3792" s="7" t="s">
        <v>30</v>
      </c>
      <c r="G3792" s="7">
        <v>98.255930000000006</v>
      </c>
      <c r="H3792" s="7"/>
    </row>
    <row r="3793" spans="1:8" x14ac:dyDescent="0.35">
      <c r="A3793" s="7" t="s">
        <v>359</v>
      </c>
      <c r="B3793" s="7" t="s">
        <v>26</v>
      </c>
      <c r="C3793" s="7" t="s">
        <v>27</v>
      </c>
      <c r="D3793" s="7" t="s">
        <v>28</v>
      </c>
      <c r="E3793" s="7" t="s">
        <v>29</v>
      </c>
      <c r="F3793" s="7" t="s">
        <v>31</v>
      </c>
      <c r="G3793" s="7">
        <v>97.911379999999994</v>
      </c>
      <c r="H3793" s="7"/>
    </row>
    <row r="3794" spans="1:8" x14ac:dyDescent="0.35">
      <c r="A3794" s="7" t="s">
        <v>359</v>
      </c>
      <c r="B3794" s="7" t="s">
        <v>26</v>
      </c>
      <c r="C3794" s="7" t="s">
        <v>27</v>
      </c>
      <c r="D3794" s="7" t="s">
        <v>28</v>
      </c>
      <c r="E3794" s="7" t="s">
        <v>29</v>
      </c>
      <c r="F3794" s="7" t="s">
        <v>32</v>
      </c>
      <c r="G3794" s="7">
        <v>97.863020000000006</v>
      </c>
      <c r="H3794" s="7"/>
    </row>
    <row r="3795" spans="1:8" x14ac:dyDescent="0.35">
      <c r="A3795" s="7" t="s">
        <v>359</v>
      </c>
      <c r="B3795" s="7" t="s">
        <v>26</v>
      </c>
      <c r="C3795" s="7" t="s">
        <v>27</v>
      </c>
      <c r="D3795" s="7" t="s">
        <v>28</v>
      </c>
      <c r="E3795" s="7" t="s">
        <v>29</v>
      </c>
      <c r="F3795" s="7" t="s">
        <v>33</v>
      </c>
      <c r="G3795" s="7">
        <v>98.106099999999998</v>
      </c>
      <c r="H3795" s="7"/>
    </row>
    <row r="3796" spans="1:8" x14ac:dyDescent="0.35">
      <c r="A3796" s="7" t="s">
        <v>359</v>
      </c>
      <c r="B3796" s="7" t="s">
        <v>26</v>
      </c>
      <c r="C3796" s="7" t="s">
        <v>27</v>
      </c>
      <c r="D3796" s="7" t="s">
        <v>28</v>
      </c>
      <c r="E3796" s="7" t="s">
        <v>29</v>
      </c>
      <c r="F3796" s="7" t="s">
        <v>34</v>
      </c>
      <c r="G3796" s="7">
        <v>98.542240000000007</v>
      </c>
      <c r="H3796" s="7"/>
    </row>
    <row r="3797" spans="1:8" x14ac:dyDescent="0.35">
      <c r="A3797" s="7" t="s">
        <v>359</v>
      </c>
      <c r="B3797" s="7" t="s">
        <v>26</v>
      </c>
      <c r="C3797" s="7" t="s">
        <v>27</v>
      </c>
      <c r="D3797" s="7" t="s">
        <v>28</v>
      </c>
      <c r="E3797" s="7" t="s">
        <v>29</v>
      </c>
      <c r="F3797" s="7" t="s">
        <v>35</v>
      </c>
      <c r="G3797" s="7">
        <v>98.888710000000003</v>
      </c>
      <c r="H3797" s="7"/>
    </row>
    <row r="3798" spans="1:8" x14ac:dyDescent="0.35">
      <c r="A3798" s="7" t="s">
        <v>359</v>
      </c>
      <c r="B3798" s="7" t="s">
        <v>26</v>
      </c>
      <c r="C3798" s="7" t="s">
        <v>27</v>
      </c>
      <c r="D3798" s="7" t="s">
        <v>28</v>
      </c>
      <c r="E3798" s="7" t="s">
        <v>29</v>
      </c>
      <c r="F3798" s="7" t="s">
        <v>36</v>
      </c>
      <c r="G3798" s="7">
        <v>99.08596</v>
      </c>
      <c r="H3798" s="7"/>
    </row>
    <row r="3799" spans="1:8" x14ac:dyDescent="0.35">
      <c r="A3799" s="7" t="s">
        <v>359</v>
      </c>
      <c r="B3799" s="7" t="s">
        <v>26</v>
      </c>
      <c r="C3799" s="7" t="s">
        <v>27</v>
      </c>
      <c r="D3799" s="7" t="s">
        <v>28</v>
      </c>
      <c r="E3799" s="7" t="s">
        <v>29</v>
      </c>
      <c r="F3799" s="7" t="s">
        <v>37</v>
      </c>
      <c r="G3799" s="7">
        <v>99.091769999999997</v>
      </c>
      <c r="H3799" s="7"/>
    </row>
    <row r="3800" spans="1:8" x14ac:dyDescent="0.35">
      <c r="A3800" s="7" t="s">
        <v>359</v>
      </c>
      <c r="B3800" s="7" t="s">
        <v>26</v>
      </c>
      <c r="C3800" s="7" t="s">
        <v>27</v>
      </c>
      <c r="D3800" s="7" t="s">
        <v>28</v>
      </c>
      <c r="E3800" s="7" t="s">
        <v>29</v>
      </c>
      <c r="F3800" s="7" t="s">
        <v>38</v>
      </c>
      <c r="G3800" s="7">
        <v>98.918329999999997</v>
      </c>
      <c r="H3800" s="7"/>
    </row>
    <row r="3801" spans="1:8" x14ac:dyDescent="0.35">
      <c r="A3801" s="7" t="s">
        <v>359</v>
      </c>
      <c r="B3801" s="7" t="s">
        <v>26</v>
      </c>
      <c r="C3801" s="7" t="s">
        <v>27</v>
      </c>
      <c r="D3801" s="7" t="s">
        <v>28</v>
      </c>
      <c r="E3801" s="7" t="s">
        <v>29</v>
      </c>
      <c r="F3801" s="7" t="s">
        <v>39</v>
      </c>
      <c r="G3801" s="7">
        <v>98.767009999999999</v>
      </c>
      <c r="H3801" s="7"/>
    </row>
    <row r="3802" spans="1:8" x14ac:dyDescent="0.35">
      <c r="A3802" s="7" t="s">
        <v>359</v>
      </c>
      <c r="B3802" s="7" t="s">
        <v>26</v>
      </c>
      <c r="C3802" s="7" t="s">
        <v>27</v>
      </c>
      <c r="D3802" s="7" t="s">
        <v>28</v>
      </c>
      <c r="E3802" s="7" t="s">
        <v>29</v>
      </c>
      <c r="F3802" s="7" t="s">
        <v>40</v>
      </c>
      <c r="G3802" s="7">
        <v>98.756609999999995</v>
      </c>
      <c r="H3802" s="7"/>
    </row>
    <row r="3803" spans="1:8" x14ac:dyDescent="0.35">
      <c r="A3803" s="7" t="s">
        <v>359</v>
      </c>
      <c r="B3803" s="7" t="s">
        <v>26</v>
      </c>
      <c r="C3803" s="7" t="s">
        <v>27</v>
      </c>
      <c r="D3803" s="7" t="s">
        <v>28</v>
      </c>
      <c r="E3803" s="7" t="s">
        <v>29</v>
      </c>
      <c r="F3803" s="7" t="s">
        <v>41</v>
      </c>
      <c r="G3803" s="7">
        <v>99.016009999999994</v>
      </c>
      <c r="H3803" s="7"/>
    </row>
    <row r="3804" spans="1:8" x14ac:dyDescent="0.35">
      <c r="A3804" s="7" t="s">
        <v>359</v>
      </c>
      <c r="B3804" s="7" t="s">
        <v>26</v>
      </c>
      <c r="C3804" s="7" t="s">
        <v>27</v>
      </c>
      <c r="D3804" s="7" t="s">
        <v>28</v>
      </c>
      <c r="E3804" s="7" t="s">
        <v>29</v>
      </c>
      <c r="F3804" s="7" t="s">
        <v>42</v>
      </c>
      <c r="G3804" s="7">
        <v>99.636070000000004</v>
      </c>
      <c r="H3804" s="7"/>
    </row>
    <row r="3805" spans="1:8" x14ac:dyDescent="0.35">
      <c r="A3805" s="7" t="s">
        <v>359</v>
      </c>
      <c r="B3805" s="7" t="s">
        <v>26</v>
      </c>
      <c r="C3805" s="7" t="s">
        <v>27</v>
      </c>
      <c r="D3805" s="7" t="s">
        <v>28</v>
      </c>
      <c r="E3805" s="7" t="s">
        <v>29</v>
      </c>
      <c r="F3805" s="7" t="s">
        <v>43</v>
      </c>
      <c r="G3805" s="7">
        <v>100.14060000000001</v>
      </c>
      <c r="H3805" s="7"/>
    </row>
    <row r="3806" spans="1:8" x14ac:dyDescent="0.35">
      <c r="A3806" s="7" t="s">
        <v>359</v>
      </c>
      <c r="B3806" s="7" t="s">
        <v>26</v>
      </c>
      <c r="C3806" s="7" t="s">
        <v>27</v>
      </c>
      <c r="D3806" s="7" t="s">
        <v>28</v>
      </c>
      <c r="E3806" s="7" t="s">
        <v>29</v>
      </c>
      <c r="F3806" s="7" t="s">
        <v>44</v>
      </c>
      <c r="G3806" s="7">
        <v>100.2727</v>
      </c>
      <c r="H3806" s="7"/>
    </row>
    <row r="3807" spans="1:8" x14ac:dyDescent="0.35">
      <c r="A3807" s="7" t="s">
        <v>359</v>
      </c>
      <c r="B3807" s="7" t="s">
        <v>26</v>
      </c>
      <c r="C3807" s="7" t="s">
        <v>27</v>
      </c>
      <c r="D3807" s="7" t="s">
        <v>28</v>
      </c>
      <c r="E3807" s="7" t="s">
        <v>29</v>
      </c>
      <c r="F3807" s="7" t="s">
        <v>45</v>
      </c>
      <c r="G3807" s="7">
        <v>100.1575</v>
      </c>
      <c r="H3807" s="7"/>
    </row>
    <row r="3808" spans="1:8" x14ac:dyDescent="0.35">
      <c r="A3808" s="7" t="s">
        <v>359</v>
      </c>
      <c r="B3808" s="7" t="s">
        <v>26</v>
      </c>
      <c r="C3808" s="7" t="s">
        <v>27</v>
      </c>
      <c r="D3808" s="7" t="s">
        <v>28</v>
      </c>
      <c r="E3808" s="7" t="s">
        <v>29</v>
      </c>
      <c r="F3808" s="7" t="s">
        <v>46</v>
      </c>
      <c r="G3808" s="7">
        <v>99.971580000000003</v>
      </c>
      <c r="H3808" s="7"/>
    </row>
    <row r="3809" spans="1:8" x14ac:dyDescent="0.35">
      <c r="A3809" s="7" t="s">
        <v>359</v>
      </c>
      <c r="B3809" s="7" t="s">
        <v>26</v>
      </c>
      <c r="C3809" s="7" t="s">
        <v>27</v>
      </c>
      <c r="D3809" s="7" t="s">
        <v>28</v>
      </c>
      <c r="E3809" s="7" t="s">
        <v>29</v>
      </c>
      <c r="F3809" s="7" t="s">
        <v>47</v>
      </c>
      <c r="G3809" s="7">
        <v>99.741489999999999</v>
      </c>
      <c r="H3809" s="7"/>
    </row>
    <row r="3810" spans="1:8" x14ac:dyDescent="0.35">
      <c r="A3810" s="7" t="s">
        <v>359</v>
      </c>
      <c r="B3810" s="7" t="s">
        <v>26</v>
      </c>
      <c r="C3810" s="7" t="s">
        <v>27</v>
      </c>
      <c r="D3810" s="7" t="s">
        <v>28</v>
      </c>
      <c r="E3810" s="7" t="s">
        <v>29</v>
      </c>
      <c r="F3810" s="7" t="s">
        <v>48</v>
      </c>
      <c r="G3810" s="7">
        <v>99.447590000000005</v>
      </c>
      <c r="H3810" s="7"/>
    </row>
    <row r="3811" spans="1:8" x14ac:dyDescent="0.35">
      <c r="A3811" s="7" t="s">
        <v>359</v>
      </c>
      <c r="B3811" s="7" t="s">
        <v>26</v>
      </c>
      <c r="C3811" s="7" t="s">
        <v>27</v>
      </c>
      <c r="D3811" s="7" t="s">
        <v>28</v>
      </c>
      <c r="E3811" s="7" t="s">
        <v>29</v>
      </c>
      <c r="F3811" s="7" t="s">
        <v>49</v>
      </c>
      <c r="G3811" s="7">
        <v>99.21902</v>
      </c>
      <c r="H3811" s="7"/>
    </row>
    <row r="3812" spans="1:8" x14ac:dyDescent="0.35">
      <c r="A3812" s="7" t="s">
        <v>359</v>
      </c>
      <c r="B3812" s="7" t="s">
        <v>26</v>
      </c>
      <c r="C3812" s="7" t="s">
        <v>27</v>
      </c>
      <c r="D3812" s="7" t="s">
        <v>28</v>
      </c>
      <c r="E3812" s="7" t="s">
        <v>29</v>
      </c>
      <c r="F3812" s="7" t="s">
        <v>50</v>
      </c>
      <c r="G3812" s="7">
        <v>99.00667</v>
      </c>
      <c r="H3812" s="7"/>
    </row>
    <row r="3813" spans="1:8" x14ac:dyDescent="0.35">
      <c r="A3813" s="7" t="s">
        <v>359</v>
      </c>
      <c r="B3813" s="7" t="s">
        <v>26</v>
      </c>
      <c r="C3813" s="7" t="s">
        <v>27</v>
      </c>
      <c r="D3813" s="7" t="s">
        <v>28</v>
      </c>
      <c r="E3813" s="7" t="s">
        <v>29</v>
      </c>
      <c r="F3813" s="7" t="s">
        <v>51</v>
      </c>
      <c r="G3813" s="7">
        <v>98.952219999999997</v>
      </c>
      <c r="H3813" s="7"/>
    </row>
    <row r="3814" spans="1:8" x14ac:dyDescent="0.35">
      <c r="A3814" s="7" t="s">
        <v>359</v>
      </c>
      <c r="B3814" s="7" t="s">
        <v>26</v>
      </c>
      <c r="C3814" s="7" t="s">
        <v>27</v>
      </c>
      <c r="D3814" s="7" t="s">
        <v>28</v>
      </c>
      <c r="E3814" s="7" t="s">
        <v>29</v>
      </c>
      <c r="F3814" s="7" t="s">
        <v>52</v>
      </c>
      <c r="G3814" s="7">
        <v>99.073329999999999</v>
      </c>
      <c r="H3814" s="7"/>
    </row>
    <row r="3815" spans="1:8" x14ac:dyDescent="0.35">
      <c r="A3815" s="7" t="s">
        <v>359</v>
      </c>
      <c r="B3815" s="7" t="s">
        <v>26</v>
      </c>
      <c r="C3815" s="7" t="s">
        <v>27</v>
      </c>
      <c r="D3815" s="7" t="s">
        <v>28</v>
      </c>
      <c r="E3815" s="7" t="s">
        <v>29</v>
      </c>
      <c r="F3815" s="7" t="s">
        <v>53</v>
      </c>
      <c r="G3815" s="7">
        <v>99.353149999999999</v>
      </c>
      <c r="H3815" s="7"/>
    </row>
    <row r="3816" spans="1:8" x14ac:dyDescent="0.35">
      <c r="A3816" s="7" t="s">
        <v>359</v>
      </c>
      <c r="B3816" s="7" t="s">
        <v>26</v>
      </c>
      <c r="C3816" s="7" t="s">
        <v>27</v>
      </c>
      <c r="D3816" s="7" t="s">
        <v>28</v>
      </c>
      <c r="E3816" s="7" t="s">
        <v>29</v>
      </c>
      <c r="F3816" s="7" t="s">
        <v>54</v>
      </c>
      <c r="G3816" s="7">
        <v>99.689539999999994</v>
      </c>
      <c r="H3816" s="7"/>
    </row>
    <row r="3817" spans="1:8" x14ac:dyDescent="0.35">
      <c r="A3817" s="7" t="s">
        <v>359</v>
      </c>
      <c r="B3817" s="7" t="s">
        <v>26</v>
      </c>
      <c r="C3817" s="7" t="s">
        <v>27</v>
      </c>
      <c r="D3817" s="7" t="s">
        <v>28</v>
      </c>
      <c r="E3817" s="7" t="s">
        <v>29</v>
      </c>
      <c r="F3817" s="7" t="s">
        <v>55</v>
      </c>
      <c r="G3817" s="7">
        <v>100.1777</v>
      </c>
      <c r="H3817" s="7"/>
    </row>
    <row r="3818" spans="1:8" x14ac:dyDescent="0.35">
      <c r="A3818" s="7" t="s">
        <v>359</v>
      </c>
      <c r="B3818" s="7" t="s">
        <v>26</v>
      </c>
      <c r="C3818" s="7" t="s">
        <v>27</v>
      </c>
      <c r="D3818" s="7" t="s">
        <v>28</v>
      </c>
      <c r="E3818" s="7" t="s">
        <v>29</v>
      </c>
      <c r="F3818" s="7" t="s">
        <v>56</v>
      </c>
      <c r="G3818" s="7">
        <v>100.598</v>
      </c>
      <c r="H3818" s="7"/>
    </row>
    <row r="3819" spans="1:8" x14ac:dyDescent="0.35">
      <c r="A3819" s="7" t="s">
        <v>359</v>
      </c>
      <c r="B3819" s="7" t="s">
        <v>26</v>
      </c>
      <c r="C3819" s="7" t="s">
        <v>27</v>
      </c>
      <c r="D3819" s="7" t="s">
        <v>28</v>
      </c>
      <c r="E3819" s="7" t="s">
        <v>29</v>
      </c>
      <c r="F3819" s="7" t="s">
        <v>57</v>
      </c>
      <c r="G3819" s="7">
        <v>100.7482</v>
      </c>
      <c r="H3819" s="7"/>
    </row>
    <row r="3820" spans="1:8" x14ac:dyDescent="0.35">
      <c r="A3820" s="7" t="s">
        <v>359</v>
      </c>
      <c r="B3820" s="7" t="s">
        <v>26</v>
      </c>
      <c r="C3820" s="7" t="s">
        <v>27</v>
      </c>
      <c r="D3820" s="7" t="s">
        <v>28</v>
      </c>
      <c r="E3820" s="7" t="s">
        <v>29</v>
      </c>
      <c r="F3820" s="7" t="s">
        <v>58</v>
      </c>
      <c r="G3820" s="7">
        <v>100.73739999999999</v>
      </c>
      <c r="H3820" s="7"/>
    </row>
    <row r="3821" spans="1:8" x14ac:dyDescent="0.35">
      <c r="A3821" s="7" t="s">
        <v>359</v>
      </c>
      <c r="B3821" s="7" t="s">
        <v>26</v>
      </c>
      <c r="C3821" s="7" t="s">
        <v>27</v>
      </c>
      <c r="D3821" s="7" t="s">
        <v>28</v>
      </c>
      <c r="E3821" s="7" t="s">
        <v>29</v>
      </c>
      <c r="F3821" s="7" t="s">
        <v>59</v>
      </c>
      <c r="G3821" s="7">
        <v>100.70780000000001</v>
      </c>
      <c r="H3821" s="7"/>
    </row>
    <row r="3822" spans="1:8" x14ac:dyDescent="0.35">
      <c r="A3822" s="7" t="s">
        <v>359</v>
      </c>
      <c r="B3822" s="7" t="s">
        <v>26</v>
      </c>
      <c r="C3822" s="7" t="s">
        <v>27</v>
      </c>
      <c r="D3822" s="7" t="s">
        <v>28</v>
      </c>
      <c r="E3822" s="7" t="s">
        <v>29</v>
      </c>
      <c r="F3822" s="7" t="s">
        <v>60</v>
      </c>
      <c r="G3822" s="7">
        <v>100.6454</v>
      </c>
      <c r="H3822" s="7"/>
    </row>
    <row r="3823" spans="1:8" x14ac:dyDescent="0.35">
      <c r="A3823" s="7" t="s">
        <v>359</v>
      </c>
      <c r="B3823" s="7" t="s">
        <v>26</v>
      </c>
      <c r="C3823" s="7" t="s">
        <v>27</v>
      </c>
      <c r="D3823" s="7" t="s">
        <v>28</v>
      </c>
      <c r="E3823" s="7" t="s">
        <v>29</v>
      </c>
      <c r="F3823" s="7" t="s">
        <v>61</v>
      </c>
      <c r="G3823" s="7">
        <v>100.5393</v>
      </c>
      <c r="H3823" s="7"/>
    </row>
    <row r="3824" spans="1:8" x14ac:dyDescent="0.35">
      <c r="A3824" s="7" t="s">
        <v>359</v>
      </c>
      <c r="B3824" s="7" t="s">
        <v>26</v>
      </c>
      <c r="C3824" s="7" t="s">
        <v>27</v>
      </c>
      <c r="D3824" s="7" t="s">
        <v>28</v>
      </c>
      <c r="E3824" s="7" t="s">
        <v>29</v>
      </c>
      <c r="F3824" s="7" t="s">
        <v>62</v>
      </c>
      <c r="G3824" s="7">
        <v>100.4669</v>
      </c>
      <c r="H3824" s="7"/>
    </row>
    <row r="3825" spans="1:8" x14ac:dyDescent="0.35">
      <c r="A3825" s="7" t="s">
        <v>359</v>
      </c>
      <c r="B3825" s="7" t="s">
        <v>26</v>
      </c>
      <c r="C3825" s="7" t="s">
        <v>27</v>
      </c>
      <c r="D3825" s="7" t="s">
        <v>28</v>
      </c>
      <c r="E3825" s="7" t="s">
        <v>29</v>
      </c>
      <c r="F3825" s="7" t="s">
        <v>63</v>
      </c>
      <c r="G3825" s="7">
        <v>100.5128</v>
      </c>
      <c r="H3825" s="7"/>
    </row>
    <row r="3826" spans="1:8" x14ac:dyDescent="0.35">
      <c r="A3826" s="7" t="s">
        <v>359</v>
      </c>
      <c r="B3826" s="7" t="s">
        <v>26</v>
      </c>
      <c r="C3826" s="7" t="s">
        <v>27</v>
      </c>
      <c r="D3826" s="7" t="s">
        <v>28</v>
      </c>
      <c r="E3826" s="7" t="s">
        <v>29</v>
      </c>
      <c r="F3826" s="7" t="s">
        <v>64</v>
      </c>
      <c r="G3826" s="7">
        <v>100.5834</v>
      </c>
      <c r="H3826" s="7"/>
    </row>
    <row r="3827" spans="1:8" x14ac:dyDescent="0.35">
      <c r="A3827" s="7" t="s">
        <v>359</v>
      </c>
      <c r="B3827" s="7" t="s">
        <v>26</v>
      </c>
      <c r="C3827" s="7" t="s">
        <v>27</v>
      </c>
      <c r="D3827" s="7" t="s">
        <v>28</v>
      </c>
      <c r="E3827" s="7" t="s">
        <v>29</v>
      </c>
      <c r="F3827" s="7" t="s">
        <v>65</v>
      </c>
      <c r="G3827" s="7">
        <v>100.6773</v>
      </c>
      <c r="H3827" s="7"/>
    </row>
    <row r="3828" spans="1:8" x14ac:dyDescent="0.35">
      <c r="A3828" s="7" t="s">
        <v>359</v>
      </c>
      <c r="B3828" s="7" t="s">
        <v>26</v>
      </c>
      <c r="C3828" s="7" t="s">
        <v>27</v>
      </c>
      <c r="D3828" s="7" t="s">
        <v>28</v>
      </c>
      <c r="E3828" s="7" t="s">
        <v>29</v>
      </c>
      <c r="F3828" s="7" t="s">
        <v>66</v>
      </c>
      <c r="G3828" s="7">
        <v>100.7914</v>
      </c>
      <c r="H3828" s="7"/>
    </row>
    <row r="3829" spans="1:8" x14ac:dyDescent="0.35">
      <c r="A3829" s="7" t="s">
        <v>359</v>
      </c>
      <c r="B3829" s="7" t="s">
        <v>26</v>
      </c>
      <c r="C3829" s="7" t="s">
        <v>27</v>
      </c>
      <c r="D3829" s="7" t="s">
        <v>28</v>
      </c>
      <c r="E3829" s="7" t="s">
        <v>29</v>
      </c>
      <c r="F3829" s="7" t="s">
        <v>67</v>
      </c>
      <c r="G3829" s="7">
        <v>100.9676</v>
      </c>
      <c r="H3829" s="7"/>
    </row>
    <row r="3830" spans="1:8" x14ac:dyDescent="0.35">
      <c r="A3830" s="7" t="s">
        <v>359</v>
      </c>
      <c r="B3830" s="7" t="s">
        <v>26</v>
      </c>
      <c r="C3830" s="7" t="s">
        <v>27</v>
      </c>
      <c r="D3830" s="7" t="s">
        <v>28</v>
      </c>
      <c r="E3830" s="7" t="s">
        <v>29</v>
      </c>
      <c r="F3830" s="7" t="s">
        <v>68</v>
      </c>
      <c r="G3830" s="7">
        <v>101.04949999999999</v>
      </c>
      <c r="H3830" s="7"/>
    </row>
    <row r="3831" spans="1:8" x14ac:dyDescent="0.35">
      <c r="A3831" s="7" t="s">
        <v>359</v>
      </c>
      <c r="B3831" s="7" t="s">
        <v>26</v>
      </c>
      <c r="C3831" s="7" t="s">
        <v>27</v>
      </c>
      <c r="D3831" s="7" t="s">
        <v>28</v>
      </c>
      <c r="E3831" s="7" t="s">
        <v>29</v>
      </c>
      <c r="F3831" s="7" t="s">
        <v>69</v>
      </c>
      <c r="G3831" s="7">
        <v>100.9169</v>
      </c>
      <c r="H3831" s="7"/>
    </row>
    <row r="3832" spans="1:8" x14ac:dyDescent="0.35">
      <c r="A3832" s="7" t="s">
        <v>359</v>
      </c>
      <c r="B3832" s="7" t="s">
        <v>26</v>
      </c>
      <c r="C3832" s="7" t="s">
        <v>27</v>
      </c>
      <c r="D3832" s="7" t="s">
        <v>28</v>
      </c>
      <c r="E3832" s="7" t="s">
        <v>29</v>
      </c>
      <c r="F3832" s="7" t="s">
        <v>70</v>
      </c>
      <c r="G3832" s="7">
        <v>100.6961</v>
      </c>
      <c r="H3832" s="7"/>
    </row>
    <row r="3833" spans="1:8" x14ac:dyDescent="0.35">
      <c r="A3833" s="7" t="s">
        <v>359</v>
      </c>
      <c r="B3833" s="7" t="s">
        <v>26</v>
      </c>
      <c r="C3833" s="7" t="s">
        <v>27</v>
      </c>
      <c r="D3833" s="7" t="s">
        <v>28</v>
      </c>
      <c r="E3833" s="7" t="s">
        <v>29</v>
      </c>
      <c r="F3833" s="7" t="s">
        <v>71</v>
      </c>
      <c r="G3833" s="7">
        <v>100.60039999999999</v>
      </c>
      <c r="H3833" s="7"/>
    </row>
    <row r="3834" spans="1:8" x14ac:dyDescent="0.35">
      <c r="A3834" s="7" t="s">
        <v>359</v>
      </c>
      <c r="B3834" s="7" t="s">
        <v>26</v>
      </c>
      <c r="C3834" s="7" t="s">
        <v>27</v>
      </c>
      <c r="D3834" s="7" t="s">
        <v>28</v>
      </c>
      <c r="E3834" s="7" t="s">
        <v>29</v>
      </c>
      <c r="F3834" s="7" t="s">
        <v>72</v>
      </c>
      <c r="G3834" s="7">
        <v>100.5878</v>
      </c>
      <c r="H3834" s="7"/>
    </row>
    <row r="3835" spans="1:8" x14ac:dyDescent="0.35">
      <c r="A3835" s="7" t="s">
        <v>359</v>
      </c>
      <c r="B3835" s="7" t="s">
        <v>26</v>
      </c>
      <c r="C3835" s="7" t="s">
        <v>27</v>
      </c>
      <c r="D3835" s="7" t="s">
        <v>28</v>
      </c>
      <c r="E3835" s="7" t="s">
        <v>29</v>
      </c>
      <c r="F3835" s="7" t="s">
        <v>73</v>
      </c>
      <c r="G3835" s="7">
        <v>100.7146</v>
      </c>
      <c r="H3835" s="7"/>
    </row>
    <row r="3836" spans="1:8" x14ac:dyDescent="0.35">
      <c r="A3836" s="7" t="s">
        <v>359</v>
      </c>
      <c r="B3836" s="7" t="s">
        <v>26</v>
      </c>
      <c r="C3836" s="7" t="s">
        <v>27</v>
      </c>
      <c r="D3836" s="7" t="s">
        <v>28</v>
      </c>
      <c r="E3836" s="7" t="s">
        <v>29</v>
      </c>
      <c r="F3836" s="7" t="s">
        <v>74</v>
      </c>
      <c r="G3836" s="7">
        <v>100.8317</v>
      </c>
      <c r="H3836" s="7"/>
    </row>
    <row r="3837" spans="1:8" x14ac:dyDescent="0.35">
      <c r="A3837" s="7" t="s">
        <v>359</v>
      </c>
      <c r="B3837" s="7" t="s">
        <v>26</v>
      </c>
      <c r="C3837" s="7" t="s">
        <v>27</v>
      </c>
      <c r="D3837" s="7" t="s">
        <v>28</v>
      </c>
      <c r="E3837" s="7" t="s">
        <v>29</v>
      </c>
      <c r="F3837" s="7" t="s">
        <v>75</v>
      </c>
      <c r="G3837" s="7">
        <v>100.7978</v>
      </c>
      <c r="H3837" s="7"/>
    </row>
    <row r="3838" spans="1:8" x14ac:dyDescent="0.35">
      <c r="A3838" s="7" t="s">
        <v>359</v>
      </c>
      <c r="B3838" s="7" t="s">
        <v>26</v>
      </c>
      <c r="C3838" s="7" t="s">
        <v>27</v>
      </c>
      <c r="D3838" s="7" t="s">
        <v>28</v>
      </c>
      <c r="E3838" s="7" t="s">
        <v>29</v>
      </c>
      <c r="F3838" s="7" t="s">
        <v>76</v>
      </c>
      <c r="G3838" s="7">
        <v>100.5613</v>
      </c>
      <c r="H3838" s="7"/>
    </row>
    <row r="3839" spans="1:8" x14ac:dyDescent="0.35">
      <c r="A3839" s="7" t="s">
        <v>359</v>
      </c>
      <c r="B3839" s="7" t="s">
        <v>26</v>
      </c>
      <c r="C3839" s="7" t="s">
        <v>27</v>
      </c>
      <c r="D3839" s="7" t="s">
        <v>28</v>
      </c>
      <c r="E3839" s="7" t="s">
        <v>29</v>
      </c>
      <c r="F3839" s="7" t="s">
        <v>77</v>
      </c>
      <c r="G3839" s="7">
        <v>100.4049</v>
      </c>
      <c r="H3839" s="7"/>
    </row>
    <row r="3840" spans="1:8" x14ac:dyDescent="0.35">
      <c r="A3840" s="7" t="s">
        <v>359</v>
      </c>
      <c r="B3840" s="7" t="s">
        <v>26</v>
      </c>
      <c r="C3840" s="7" t="s">
        <v>27</v>
      </c>
      <c r="D3840" s="7" t="s">
        <v>28</v>
      </c>
      <c r="E3840" s="7" t="s">
        <v>29</v>
      </c>
      <c r="F3840" s="7" t="s">
        <v>78</v>
      </c>
      <c r="G3840" s="7">
        <v>100.3272</v>
      </c>
      <c r="H3840" s="7"/>
    </row>
    <row r="3841" spans="1:8" x14ac:dyDescent="0.35">
      <c r="A3841" s="7" t="s">
        <v>359</v>
      </c>
      <c r="B3841" s="7" t="s">
        <v>26</v>
      </c>
      <c r="C3841" s="7" t="s">
        <v>27</v>
      </c>
      <c r="D3841" s="7" t="s">
        <v>28</v>
      </c>
      <c r="E3841" s="7" t="s">
        <v>29</v>
      </c>
      <c r="F3841" s="7" t="s">
        <v>79</v>
      </c>
      <c r="G3841" s="7">
        <v>100.35120000000001</v>
      </c>
      <c r="H3841" s="7"/>
    </row>
    <row r="3842" spans="1:8" x14ac:dyDescent="0.35">
      <c r="A3842" s="7" t="s">
        <v>359</v>
      </c>
      <c r="B3842" s="7" t="s">
        <v>26</v>
      </c>
      <c r="C3842" s="7" t="s">
        <v>27</v>
      </c>
      <c r="D3842" s="7" t="s">
        <v>28</v>
      </c>
      <c r="E3842" s="7" t="s">
        <v>29</v>
      </c>
      <c r="F3842" s="7" t="s">
        <v>80</v>
      </c>
      <c r="G3842" s="7">
        <v>100.36750000000001</v>
      </c>
      <c r="H3842" s="7"/>
    </row>
    <row r="3843" spans="1:8" x14ac:dyDescent="0.35">
      <c r="A3843" s="7" t="s">
        <v>359</v>
      </c>
      <c r="B3843" s="7" t="s">
        <v>26</v>
      </c>
      <c r="C3843" s="7" t="s">
        <v>27</v>
      </c>
      <c r="D3843" s="7" t="s">
        <v>28</v>
      </c>
      <c r="E3843" s="7" t="s">
        <v>29</v>
      </c>
      <c r="F3843" s="7" t="s">
        <v>81</v>
      </c>
      <c r="G3843" s="7">
        <v>100.4385</v>
      </c>
      <c r="H3843" s="7"/>
    </row>
    <row r="3844" spans="1:8" x14ac:dyDescent="0.35">
      <c r="A3844" s="7" t="s">
        <v>359</v>
      </c>
      <c r="B3844" s="7" t="s">
        <v>26</v>
      </c>
      <c r="C3844" s="7" t="s">
        <v>27</v>
      </c>
      <c r="D3844" s="7" t="s">
        <v>28</v>
      </c>
      <c r="E3844" s="7" t="s">
        <v>29</v>
      </c>
      <c r="F3844" s="7" t="s">
        <v>82</v>
      </c>
      <c r="G3844" s="7">
        <v>100.583</v>
      </c>
      <c r="H3844" s="7"/>
    </row>
    <row r="3845" spans="1:8" x14ac:dyDescent="0.35">
      <c r="A3845" s="7" t="s">
        <v>359</v>
      </c>
      <c r="B3845" s="7" t="s">
        <v>26</v>
      </c>
      <c r="C3845" s="7" t="s">
        <v>27</v>
      </c>
      <c r="D3845" s="7" t="s">
        <v>28</v>
      </c>
      <c r="E3845" s="7" t="s">
        <v>29</v>
      </c>
      <c r="F3845" s="7" t="s">
        <v>83</v>
      </c>
      <c r="G3845" s="7">
        <v>100.6116</v>
      </c>
      <c r="H3845" s="7"/>
    </row>
    <row r="3846" spans="1:8" x14ac:dyDescent="0.35">
      <c r="A3846" s="7" t="s">
        <v>359</v>
      </c>
      <c r="B3846" s="7" t="s">
        <v>26</v>
      </c>
      <c r="C3846" s="7" t="s">
        <v>27</v>
      </c>
      <c r="D3846" s="7" t="s">
        <v>28</v>
      </c>
      <c r="E3846" s="7" t="s">
        <v>29</v>
      </c>
      <c r="F3846" s="7" t="s">
        <v>84</v>
      </c>
      <c r="G3846" s="7">
        <v>100.59099999999999</v>
      </c>
      <c r="H3846" s="7"/>
    </row>
    <row r="3847" spans="1:8" x14ac:dyDescent="0.35">
      <c r="A3847" s="7" t="s">
        <v>359</v>
      </c>
      <c r="B3847" s="7" t="s">
        <v>26</v>
      </c>
      <c r="C3847" s="7" t="s">
        <v>27</v>
      </c>
      <c r="D3847" s="7" t="s">
        <v>28</v>
      </c>
      <c r="E3847" s="7" t="s">
        <v>29</v>
      </c>
      <c r="F3847" s="7" t="s">
        <v>85</v>
      </c>
      <c r="G3847" s="7">
        <v>100.69880000000001</v>
      </c>
      <c r="H3847" s="7"/>
    </row>
    <row r="3848" spans="1:8" x14ac:dyDescent="0.35">
      <c r="A3848" s="7" t="s">
        <v>359</v>
      </c>
      <c r="B3848" s="7" t="s">
        <v>26</v>
      </c>
      <c r="C3848" s="7" t="s">
        <v>27</v>
      </c>
      <c r="D3848" s="7" t="s">
        <v>28</v>
      </c>
      <c r="E3848" s="7" t="s">
        <v>29</v>
      </c>
      <c r="F3848" s="7" t="s">
        <v>86</v>
      </c>
      <c r="G3848" s="7">
        <v>100.8571</v>
      </c>
      <c r="H3848" s="7"/>
    </row>
    <row r="3849" spans="1:8" x14ac:dyDescent="0.35">
      <c r="A3849" s="7" t="s">
        <v>359</v>
      </c>
      <c r="B3849" s="7" t="s">
        <v>26</v>
      </c>
      <c r="C3849" s="7" t="s">
        <v>27</v>
      </c>
      <c r="D3849" s="7" t="s">
        <v>28</v>
      </c>
      <c r="E3849" s="7" t="s">
        <v>29</v>
      </c>
      <c r="F3849" s="7" t="s">
        <v>87</v>
      </c>
      <c r="G3849" s="7">
        <v>100.9764</v>
      </c>
      <c r="H3849" s="7"/>
    </row>
    <row r="3850" spans="1:8" x14ac:dyDescent="0.35">
      <c r="A3850" s="7" t="s">
        <v>359</v>
      </c>
      <c r="B3850" s="7" t="s">
        <v>26</v>
      </c>
      <c r="C3850" s="7" t="s">
        <v>27</v>
      </c>
      <c r="D3850" s="7" t="s">
        <v>28</v>
      </c>
      <c r="E3850" s="7" t="s">
        <v>29</v>
      </c>
      <c r="F3850" s="7" t="s">
        <v>88</v>
      </c>
      <c r="G3850" s="7">
        <v>101.0665</v>
      </c>
      <c r="H3850" s="7"/>
    </row>
    <row r="3851" spans="1:8" x14ac:dyDescent="0.35">
      <c r="A3851" s="7" t="s">
        <v>359</v>
      </c>
      <c r="B3851" s="7" t="s">
        <v>26</v>
      </c>
      <c r="C3851" s="7" t="s">
        <v>27</v>
      </c>
      <c r="D3851" s="7" t="s">
        <v>28</v>
      </c>
      <c r="E3851" s="7" t="s">
        <v>29</v>
      </c>
      <c r="F3851" s="7" t="s">
        <v>89</v>
      </c>
      <c r="G3851" s="7">
        <v>101.1878</v>
      </c>
      <c r="H3851" s="7"/>
    </row>
    <row r="3852" spans="1:8" x14ac:dyDescent="0.35">
      <c r="A3852" s="7" t="s">
        <v>359</v>
      </c>
      <c r="B3852" s="7" t="s">
        <v>26</v>
      </c>
      <c r="C3852" s="7" t="s">
        <v>27</v>
      </c>
      <c r="D3852" s="7" t="s">
        <v>28</v>
      </c>
      <c r="E3852" s="7" t="s">
        <v>29</v>
      </c>
      <c r="F3852" s="7" t="s">
        <v>90</v>
      </c>
      <c r="G3852" s="7">
        <v>101.29089999999999</v>
      </c>
      <c r="H3852" s="7"/>
    </row>
    <row r="3853" spans="1:8" x14ac:dyDescent="0.35">
      <c r="A3853" s="7" t="s">
        <v>359</v>
      </c>
      <c r="B3853" s="7" t="s">
        <v>26</v>
      </c>
      <c r="C3853" s="7" t="s">
        <v>27</v>
      </c>
      <c r="D3853" s="7" t="s">
        <v>28</v>
      </c>
      <c r="E3853" s="7" t="s">
        <v>29</v>
      </c>
      <c r="F3853" s="7" t="s">
        <v>91</v>
      </c>
      <c r="G3853" s="7">
        <v>101.3061</v>
      </c>
      <c r="H3853" s="7"/>
    </row>
    <row r="3854" spans="1:8" x14ac:dyDescent="0.35">
      <c r="A3854" s="7" t="s">
        <v>359</v>
      </c>
      <c r="B3854" s="7" t="s">
        <v>26</v>
      </c>
      <c r="C3854" s="7" t="s">
        <v>27</v>
      </c>
      <c r="D3854" s="7" t="s">
        <v>28</v>
      </c>
      <c r="E3854" s="7" t="s">
        <v>29</v>
      </c>
      <c r="F3854" s="7" t="s">
        <v>92</v>
      </c>
      <c r="G3854" s="7">
        <v>101.35639999999999</v>
      </c>
      <c r="H3854" s="7"/>
    </row>
    <row r="3855" spans="1:8" x14ac:dyDescent="0.35">
      <c r="A3855" s="7" t="s">
        <v>359</v>
      </c>
      <c r="B3855" s="7" t="s">
        <v>26</v>
      </c>
      <c r="C3855" s="7" t="s">
        <v>27</v>
      </c>
      <c r="D3855" s="7" t="s">
        <v>28</v>
      </c>
      <c r="E3855" s="7" t="s">
        <v>29</v>
      </c>
      <c r="F3855" s="7" t="s">
        <v>93</v>
      </c>
      <c r="G3855" s="7">
        <v>101.4734</v>
      </c>
      <c r="H3855" s="7"/>
    </row>
    <row r="3856" spans="1:8" x14ac:dyDescent="0.35">
      <c r="A3856" s="7" t="s">
        <v>359</v>
      </c>
      <c r="B3856" s="7" t="s">
        <v>26</v>
      </c>
      <c r="C3856" s="7" t="s">
        <v>27</v>
      </c>
      <c r="D3856" s="7" t="s">
        <v>28</v>
      </c>
      <c r="E3856" s="7" t="s">
        <v>29</v>
      </c>
      <c r="F3856" s="7" t="s">
        <v>94</v>
      </c>
      <c r="G3856" s="7">
        <v>101.6052</v>
      </c>
      <c r="H3856" s="7"/>
    </row>
    <row r="3857" spans="1:8" x14ac:dyDescent="0.35">
      <c r="A3857" s="7" t="s">
        <v>359</v>
      </c>
      <c r="B3857" s="7" t="s">
        <v>26</v>
      </c>
      <c r="C3857" s="7" t="s">
        <v>27</v>
      </c>
      <c r="D3857" s="7" t="s">
        <v>28</v>
      </c>
      <c r="E3857" s="7" t="s">
        <v>29</v>
      </c>
      <c r="F3857" s="7" t="s">
        <v>95</v>
      </c>
      <c r="G3857" s="7">
        <v>101.7688</v>
      </c>
      <c r="H3857" s="7"/>
    </row>
    <row r="3858" spans="1:8" x14ac:dyDescent="0.35">
      <c r="A3858" s="7" t="s">
        <v>359</v>
      </c>
      <c r="B3858" s="7" t="s">
        <v>26</v>
      </c>
      <c r="C3858" s="7" t="s">
        <v>27</v>
      </c>
      <c r="D3858" s="7" t="s">
        <v>28</v>
      </c>
      <c r="E3858" s="7" t="s">
        <v>29</v>
      </c>
      <c r="F3858" s="7" t="s">
        <v>96</v>
      </c>
      <c r="G3858" s="7">
        <v>101.95350000000001</v>
      </c>
      <c r="H3858" s="7"/>
    </row>
    <row r="3859" spans="1:8" x14ac:dyDescent="0.35">
      <c r="A3859" s="7" t="s">
        <v>359</v>
      </c>
      <c r="B3859" s="7" t="s">
        <v>26</v>
      </c>
      <c r="C3859" s="7" t="s">
        <v>27</v>
      </c>
      <c r="D3859" s="7" t="s">
        <v>28</v>
      </c>
      <c r="E3859" s="7" t="s">
        <v>29</v>
      </c>
      <c r="F3859" s="7" t="s">
        <v>97</v>
      </c>
      <c r="G3859" s="7">
        <v>102.1219</v>
      </c>
      <c r="H3859" s="7"/>
    </row>
    <row r="3860" spans="1:8" x14ac:dyDescent="0.35">
      <c r="A3860" s="7" t="s">
        <v>359</v>
      </c>
      <c r="B3860" s="7" t="s">
        <v>26</v>
      </c>
      <c r="C3860" s="7" t="s">
        <v>27</v>
      </c>
      <c r="D3860" s="7" t="s">
        <v>28</v>
      </c>
      <c r="E3860" s="7" t="s">
        <v>29</v>
      </c>
      <c r="F3860" s="7" t="s">
        <v>98</v>
      </c>
      <c r="G3860" s="7">
        <v>102.23520000000001</v>
      </c>
      <c r="H3860" s="7"/>
    </row>
    <row r="3861" spans="1:8" x14ac:dyDescent="0.35">
      <c r="A3861" s="7" t="s">
        <v>359</v>
      </c>
      <c r="B3861" s="7" t="s">
        <v>26</v>
      </c>
      <c r="C3861" s="7" t="s">
        <v>27</v>
      </c>
      <c r="D3861" s="7" t="s">
        <v>28</v>
      </c>
      <c r="E3861" s="7" t="s">
        <v>29</v>
      </c>
      <c r="F3861" s="7" t="s">
        <v>99</v>
      </c>
      <c r="G3861" s="7">
        <v>102.23779999999999</v>
      </c>
      <c r="H3861" s="7"/>
    </row>
    <row r="3862" spans="1:8" x14ac:dyDescent="0.35">
      <c r="A3862" s="7" t="s">
        <v>359</v>
      </c>
      <c r="B3862" s="7" t="s">
        <v>26</v>
      </c>
      <c r="C3862" s="7" t="s">
        <v>27</v>
      </c>
      <c r="D3862" s="7" t="s">
        <v>28</v>
      </c>
      <c r="E3862" s="7" t="s">
        <v>29</v>
      </c>
      <c r="F3862" s="7" t="s">
        <v>100</v>
      </c>
      <c r="G3862" s="7">
        <v>102.2486</v>
      </c>
      <c r="H3862" s="7"/>
    </row>
    <row r="3863" spans="1:8" x14ac:dyDescent="0.35">
      <c r="A3863" s="7" t="s">
        <v>359</v>
      </c>
      <c r="B3863" s="7" t="s">
        <v>26</v>
      </c>
      <c r="C3863" s="7" t="s">
        <v>27</v>
      </c>
      <c r="D3863" s="7" t="s">
        <v>28</v>
      </c>
      <c r="E3863" s="7" t="s">
        <v>29</v>
      </c>
      <c r="F3863" s="7" t="s">
        <v>101</v>
      </c>
      <c r="G3863" s="7">
        <v>102.2418</v>
      </c>
      <c r="H3863" s="7"/>
    </row>
    <row r="3864" spans="1:8" x14ac:dyDescent="0.35">
      <c r="A3864" s="7" t="s">
        <v>359</v>
      </c>
      <c r="B3864" s="7" t="s">
        <v>26</v>
      </c>
      <c r="C3864" s="7" t="s">
        <v>27</v>
      </c>
      <c r="D3864" s="7" t="s">
        <v>28</v>
      </c>
      <c r="E3864" s="7" t="s">
        <v>29</v>
      </c>
      <c r="F3864" s="7" t="s">
        <v>102</v>
      </c>
      <c r="G3864" s="7">
        <v>102.2235</v>
      </c>
      <c r="H3864" s="7"/>
    </row>
    <row r="3865" spans="1:8" x14ac:dyDescent="0.35">
      <c r="A3865" s="7" t="s">
        <v>359</v>
      </c>
      <c r="B3865" s="7" t="s">
        <v>26</v>
      </c>
      <c r="C3865" s="7" t="s">
        <v>27</v>
      </c>
      <c r="D3865" s="7" t="s">
        <v>28</v>
      </c>
      <c r="E3865" s="7" t="s">
        <v>29</v>
      </c>
      <c r="F3865" s="7" t="s">
        <v>103</v>
      </c>
      <c r="G3865" s="7">
        <v>102.1921</v>
      </c>
      <c r="H3865" s="7"/>
    </row>
    <row r="3866" spans="1:8" x14ac:dyDescent="0.35">
      <c r="A3866" s="7" t="s">
        <v>359</v>
      </c>
      <c r="B3866" s="7" t="s">
        <v>26</v>
      </c>
      <c r="C3866" s="7" t="s">
        <v>27</v>
      </c>
      <c r="D3866" s="7" t="s">
        <v>28</v>
      </c>
      <c r="E3866" s="7" t="s">
        <v>29</v>
      </c>
      <c r="F3866" s="7" t="s">
        <v>104</v>
      </c>
      <c r="G3866" s="7">
        <v>102.3436</v>
      </c>
      <c r="H3866" s="7"/>
    </row>
    <row r="3867" spans="1:8" x14ac:dyDescent="0.35">
      <c r="A3867" s="7" t="s">
        <v>359</v>
      </c>
      <c r="B3867" s="7" t="s">
        <v>26</v>
      </c>
      <c r="C3867" s="7" t="s">
        <v>27</v>
      </c>
      <c r="D3867" s="7" t="s">
        <v>28</v>
      </c>
      <c r="E3867" s="7" t="s">
        <v>29</v>
      </c>
      <c r="F3867" s="7" t="s">
        <v>105</v>
      </c>
      <c r="G3867" s="7">
        <v>102.5056</v>
      </c>
      <c r="H3867" s="7"/>
    </row>
    <row r="3868" spans="1:8" x14ac:dyDescent="0.35">
      <c r="A3868" s="7" t="s">
        <v>359</v>
      </c>
      <c r="B3868" s="7" t="s">
        <v>26</v>
      </c>
      <c r="C3868" s="7" t="s">
        <v>27</v>
      </c>
      <c r="D3868" s="7" t="s">
        <v>28</v>
      </c>
      <c r="E3868" s="7" t="s">
        <v>29</v>
      </c>
      <c r="F3868" s="7" t="s">
        <v>106</v>
      </c>
      <c r="G3868" s="7">
        <v>102.51309999999999</v>
      </c>
      <c r="H3868" s="7"/>
    </row>
    <row r="3869" spans="1:8" x14ac:dyDescent="0.35">
      <c r="A3869" s="7" t="s">
        <v>359</v>
      </c>
      <c r="B3869" s="7" t="s">
        <v>26</v>
      </c>
      <c r="C3869" s="7" t="s">
        <v>27</v>
      </c>
      <c r="D3869" s="7" t="s">
        <v>28</v>
      </c>
      <c r="E3869" s="7" t="s">
        <v>29</v>
      </c>
      <c r="F3869" s="7" t="s">
        <v>107</v>
      </c>
      <c r="G3869" s="7">
        <v>102.4918</v>
      </c>
      <c r="H3869" s="7"/>
    </row>
    <row r="3870" spans="1:8" x14ac:dyDescent="0.35">
      <c r="A3870" s="7" t="s">
        <v>359</v>
      </c>
      <c r="B3870" s="7" t="s">
        <v>26</v>
      </c>
      <c r="C3870" s="7" t="s">
        <v>27</v>
      </c>
      <c r="D3870" s="7" t="s">
        <v>28</v>
      </c>
      <c r="E3870" s="7" t="s">
        <v>29</v>
      </c>
      <c r="F3870" s="7" t="s">
        <v>108</v>
      </c>
      <c r="G3870" s="7">
        <v>102.3935</v>
      </c>
      <c r="H3870" s="7"/>
    </row>
    <row r="3871" spans="1:8" x14ac:dyDescent="0.35">
      <c r="A3871" s="7" t="s">
        <v>359</v>
      </c>
      <c r="B3871" s="7" t="s">
        <v>26</v>
      </c>
      <c r="C3871" s="7" t="s">
        <v>27</v>
      </c>
      <c r="D3871" s="7" t="s">
        <v>28</v>
      </c>
      <c r="E3871" s="7" t="s">
        <v>29</v>
      </c>
      <c r="F3871" s="7" t="s">
        <v>109</v>
      </c>
      <c r="G3871" s="7">
        <v>102.2754</v>
      </c>
      <c r="H3871" s="7"/>
    </row>
    <row r="3872" spans="1:8" x14ac:dyDescent="0.35">
      <c r="A3872" s="7" t="s">
        <v>359</v>
      </c>
      <c r="B3872" s="7" t="s">
        <v>26</v>
      </c>
      <c r="C3872" s="7" t="s">
        <v>27</v>
      </c>
      <c r="D3872" s="7" t="s">
        <v>28</v>
      </c>
      <c r="E3872" s="7" t="s">
        <v>29</v>
      </c>
      <c r="F3872" s="7" t="s">
        <v>110</v>
      </c>
      <c r="G3872" s="7">
        <v>102.1403</v>
      </c>
      <c r="H3872" s="7"/>
    </row>
    <row r="3873" spans="1:8" x14ac:dyDescent="0.35">
      <c r="A3873" s="7" t="s">
        <v>359</v>
      </c>
      <c r="B3873" s="7" t="s">
        <v>26</v>
      </c>
      <c r="C3873" s="7" t="s">
        <v>27</v>
      </c>
      <c r="D3873" s="7" t="s">
        <v>28</v>
      </c>
      <c r="E3873" s="7" t="s">
        <v>29</v>
      </c>
      <c r="F3873" s="7" t="s">
        <v>111</v>
      </c>
      <c r="G3873" s="7">
        <v>101.9494</v>
      </c>
      <c r="H3873" s="7"/>
    </row>
    <row r="3874" spans="1:8" x14ac:dyDescent="0.35">
      <c r="A3874" s="7" t="s">
        <v>359</v>
      </c>
      <c r="B3874" s="7" t="s">
        <v>26</v>
      </c>
      <c r="C3874" s="7" t="s">
        <v>27</v>
      </c>
      <c r="D3874" s="7" t="s">
        <v>28</v>
      </c>
      <c r="E3874" s="7" t="s">
        <v>29</v>
      </c>
      <c r="F3874" s="7" t="s">
        <v>112</v>
      </c>
      <c r="G3874" s="7">
        <v>101.7107</v>
      </c>
      <c r="H3874" s="7"/>
    </row>
    <row r="3875" spans="1:8" x14ac:dyDescent="0.35">
      <c r="A3875" s="7" t="s">
        <v>359</v>
      </c>
      <c r="B3875" s="7" t="s">
        <v>26</v>
      </c>
      <c r="C3875" s="7" t="s">
        <v>27</v>
      </c>
      <c r="D3875" s="7" t="s">
        <v>28</v>
      </c>
      <c r="E3875" s="7" t="s">
        <v>29</v>
      </c>
      <c r="F3875" s="7" t="s">
        <v>113</v>
      </c>
      <c r="G3875" s="7">
        <v>101.5757</v>
      </c>
      <c r="H3875" s="7"/>
    </row>
    <row r="3876" spans="1:8" x14ac:dyDescent="0.35">
      <c r="A3876" s="7" t="s">
        <v>359</v>
      </c>
      <c r="B3876" s="7" t="s">
        <v>26</v>
      </c>
      <c r="C3876" s="7" t="s">
        <v>27</v>
      </c>
      <c r="D3876" s="7" t="s">
        <v>28</v>
      </c>
      <c r="E3876" s="7" t="s">
        <v>29</v>
      </c>
      <c r="F3876" s="7" t="s">
        <v>114</v>
      </c>
      <c r="G3876" s="7">
        <v>101.66840000000001</v>
      </c>
      <c r="H3876" s="7"/>
    </row>
    <row r="3877" spans="1:8" x14ac:dyDescent="0.35">
      <c r="A3877" s="7" t="s">
        <v>359</v>
      </c>
      <c r="B3877" s="7" t="s">
        <v>26</v>
      </c>
      <c r="C3877" s="7" t="s">
        <v>27</v>
      </c>
      <c r="D3877" s="7" t="s">
        <v>28</v>
      </c>
      <c r="E3877" s="7" t="s">
        <v>29</v>
      </c>
      <c r="F3877" s="7" t="s">
        <v>115</v>
      </c>
      <c r="G3877" s="7">
        <v>101.81019999999999</v>
      </c>
      <c r="H3877" s="7"/>
    </row>
    <row r="3878" spans="1:8" x14ac:dyDescent="0.35">
      <c r="A3878" s="7" t="s">
        <v>359</v>
      </c>
      <c r="B3878" s="7" t="s">
        <v>26</v>
      </c>
      <c r="C3878" s="7" t="s">
        <v>27</v>
      </c>
      <c r="D3878" s="7" t="s">
        <v>28</v>
      </c>
      <c r="E3878" s="7" t="s">
        <v>29</v>
      </c>
      <c r="F3878" s="7" t="s">
        <v>116</v>
      </c>
      <c r="G3878" s="7">
        <v>102.0479</v>
      </c>
      <c r="H3878" s="7"/>
    </row>
    <row r="3879" spans="1:8" x14ac:dyDescent="0.35">
      <c r="A3879" s="7" t="s">
        <v>359</v>
      </c>
      <c r="B3879" s="7" t="s">
        <v>26</v>
      </c>
      <c r="C3879" s="7" t="s">
        <v>27</v>
      </c>
      <c r="D3879" s="7" t="s">
        <v>28</v>
      </c>
      <c r="E3879" s="7" t="s">
        <v>29</v>
      </c>
      <c r="F3879" s="7" t="s">
        <v>117</v>
      </c>
      <c r="G3879" s="7">
        <v>102.25449999999999</v>
      </c>
      <c r="H3879" s="7"/>
    </row>
    <row r="3880" spans="1:8" x14ac:dyDescent="0.35">
      <c r="A3880" s="7" t="s">
        <v>359</v>
      </c>
      <c r="B3880" s="7" t="s">
        <v>26</v>
      </c>
      <c r="C3880" s="7" t="s">
        <v>27</v>
      </c>
      <c r="D3880" s="7" t="s">
        <v>28</v>
      </c>
      <c r="E3880" s="7" t="s">
        <v>29</v>
      </c>
      <c r="F3880" s="7" t="s">
        <v>118</v>
      </c>
      <c r="G3880" s="7">
        <v>102.2895</v>
      </c>
      <c r="H3880" s="7"/>
    </row>
    <row r="3881" spans="1:8" x14ac:dyDescent="0.35">
      <c r="A3881" s="7" t="s">
        <v>359</v>
      </c>
      <c r="B3881" s="7" t="s">
        <v>26</v>
      </c>
      <c r="C3881" s="7" t="s">
        <v>27</v>
      </c>
      <c r="D3881" s="7" t="s">
        <v>28</v>
      </c>
      <c r="E3881" s="7" t="s">
        <v>29</v>
      </c>
      <c r="F3881" s="7" t="s">
        <v>119</v>
      </c>
      <c r="G3881" s="7">
        <v>102.2847</v>
      </c>
      <c r="H3881" s="7"/>
    </row>
    <row r="3882" spans="1:8" x14ac:dyDescent="0.35">
      <c r="A3882" s="7" t="s">
        <v>359</v>
      </c>
      <c r="B3882" s="7" t="s">
        <v>26</v>
      </c>
      <c r="C3882" s="7" t="s">
        <v>27</v>
      </c>
      <c r="D3882" s="7" t="s">
        <v>28</v>
      </c>
      <c r="E3882" s="7" t="s">
        <v>29</v>
      </c>
      <c r="F3882" s="7" t="s">
        <v>120</v>
      </c>
      <c r="G3882" s="7">
        <v>102.328</v>
      </c>
      <c r="H3882" s="7"/>
    </row>
    <row r="3883" spans="1:8" x14ac:dyDescent="0.35">
      <c r="A3883" s="7" t="s">
        <v>359</v>
      </c>
      <c r="B3883" s="7" t="s">
        <v>26</v>
      </c>
      <c r="C3883" s="7" t="s">
        <v>27</v>
      </c>
      <c r="D3883" s="7" t="s">
        <v>28</v>
      </c>
      <c r="E3883" s="7" t="s">
        <v>29</v>
      </c>
      <c r="F3883" s="7" t="s">
        <v>121</v>
      </c>
      <c r="G3883" s="7">
        <v>102.339</v>
      </c>
      <c r="H3883" s="7"/>
    </row>
    <row r="3884" spans="1:8" x14ac:dyDescent="0.35">
      <c r="A3884" s="7" t="s">
        <v>359</v>
      </c>
      <c r="B3884" s="7" t="s">
        <v>26</v>
      </c>
      <c r="C3884" s="7" t="s">
        <v>27</v>
      </c>
      <c r="D3884" s="7" t="s">
        <v>28</v>
      </c>
      <c r="E3884" s="7" t="s">
        <v>29</v>
      </c>
      <c r="F3884" s="7" t="s">
        <v>122</v>
      </c>
      <c r="G3884" s="7">
        <v>102.2839</v>
      </c>
      <c r="H3884" s="7"/>
    </row>
    <row r="3885" spans="1:8" x14ac:dyDescent="0.35">
      <c r="A3885" s="7" t="s">
        <v>359</v>
      </c>
      <c r="B3885" s="7" t="s">
        <v>26</v>
      </c>
      <c r="C3885" s="7" t="s">
        <v>27</v>
      </c>
      <c r="D3885" s="7" t="s">
        <v>28</v>
      </c>
      <c r="E3885" s="7" t="s">
        <v>29</v>
      </c>
      <c r="F3885" s="7" t="s">
        <v>123</v>
      </c>
      <c r="G3885" s="7">
        <v>102.22280000000001</v>
      </c>
      <c r="H3885" s="7"/>
    </row>
    <row r="3886" spans="1:8" x14ac:dyDescent="0.35">
      <c r="A3886" s="7" t="s">
        <v>359</v>
      </c>
      <c r="B3886" s="7" t="s">
        <v>26</v>
      </c>
      <c r="C3886" s="7" t="s">
        <v>27</v>
      </c>
      <c r="D3886" s="7" t="s">
        <v>28</v>
      </c>
      <c r="E3886" s="7" t="s">
        <v>29</v>
      </c>
      <c r="F3886" s="7" t="s">
        <v>124</v>
      </c>
      <c r="G3886" s="7">
        <v>102.21259999999999</v>
      </c>
      <c r="H3886" s="7"/>
    </row>
    <row r="3887" spans="1:8" x14ac:dyDescent="0.35">
      <c r="A3887" s="7" t="s">
        <v>359</v>
      </c>
      <c r="B3887" s="7" t="s">
        <v>26</v>
      </c>
      <c r="C3887" s="7" t="s">
        <v>27</v>
      </c>
      <c r="D3887" s="7" t="s">
        <v>28</v>
      </c>
      <c r="E3887" s="7" t="s">
        <v>29</v>
      </c>
      <c r="F3887" s="7" t="s">
        <v>125</v>
      </c>
      <c r="G3887" s="7">
        <v>102.1922</v>
      </c>
      <c r="H3887" s="7"/>
    </row>
    <row r="3888" spans="1:8" x14ac:dyDescent="0.35">
      <c r="A3888" s="7" t="s">
        <v>359</v>
      </c>
      <c r="B3888" s="7" t="s">
        <v>26</v>
      </c>
      <c r="C3888" s="7" t="s">
        <v>27</v>
      </c>
      <c r="D3888" s="7" t="s">
        <v>28</v>
      </c>
      <c r="E3888" s="7" t="s">
        <v>29</v>
      </c>
      <c r="F3888" s="7" t="s">
        <v>126</v>
      </c>
      <c r="G3888" s="7">
        <v>102.3092</v>
      </c>
      <c r="H3888" s="7"/>
    </row>
    <row r="3889" spans="1:8" x14ac:dyDescent="0.35">
      <c r="A3889" s="7" t="s">
        <v>359</v>
      </c>
      <c r="B3889" s="7" t="s">
        <v>26</v>
      </c>
      <c r="C3889" s="7" t="s">
        <v>27</v>
      </c>
      <c r="D3889" s="7" t="s">
        <v>28</v>
      </c>
      <c r="E3889" s="7" t="s">
        <v>29</v>
      </c>
      <c r="F3889" s="7" t="s">
        <v>127</v>
      </c>
      <c r="G3889" s="7">
        <v>102.47150000000001</v>
      </c>
      <c r="H3889" s="7"/>
    </row>
    <row r="3890" spans="1:8" x14ac:dyDescent="0.35">
      <c r="A3890" s="7" t="s">
        <v>359</v>
      </c>
      <c r="B3890" s="7" t="s">
        <v>26</v>
      </c>
      <c r="C3890" s="7" t="s">
        <v>27</v>
      </c>
      <c r="D3890" s="7" t="s">
        <v>28</v>
      </c>
      <c r="E3890" s="7" t="s">
        <v>29</v>
      </c>
      <c r="F3890" s="7" t="s">
        <v>128</v>
      </c>
      <c r="G3890" s="7">
        <v>102.6992</v>
      </c>
      <c r="H3890" s="7"/>
    </row>
    <row r="3891" spans="1:8" x14ac:dyDescent="0.35">
      <c r="A3891" s="7" t="s">
        <v>359</v>
      </c>
      <c r="B3891" s="7" t="s">
        <v>26</v>
      </c>
      <c r="C3891" s="7" t="s">
        <v>27</v>
      </c>
      <c r="D3891" s="7" t="s">
        <v>28</v>
      </c>
      <c r="E3891" s="7" t="s">
        <v>29</v>
      </c>
      <c r="F3891" s="7" t="s">
        <v>129</v>
      </c>
      <c r="G3891" s="7">
        <v>102.7514</v>
      </c>
      <c r="H3891" s="7"/>
    </row>
    <row r="3892" spans="1:8" x14ac:dyDescent="0.35">
      <c r="A3892" s="7" t="s">
        <v>359</v>
      </c>
      <c r="B3892" s="7" t="s">
        <v>26</v>
      </c>
      <c r="C3892" s="7" t="s">
        <v>27</v>
      </c>
      <c r="D3892" s="7" t="s">
        <v>28</v>
      </c>
      <c r="E3892" s="7" t="s">
        <v>29</v>
      </c>
      <c r="F3892" s="7" t="s">
        <v>130</v>
      </c>
      <c r="G3892" s="7">
        <v>102.6716</v>
      </c>
      <c r="H3892" s="7"/>
    </row>
    <row r="3893" spans="1:8" x14ac:dyDescent="0.35">
      <c r="A3893" s="7" t="s">
        <v>359</v>
      </c>
      <c r="B3893" s="7" t="s">
        <v>26</v>
      </c>
      <c r="C3893" s="7" t="s">
        <v>27</v>
      </c>
      <c r="D3893" s="7" t="s">
        <v>28</v>
      </c>
      <c r="E3893" s="7" t="s">
        <v>29</v>
      </c>
      <c r="F3893" s="7" t="s">
        <v>131</v>
      </c>
      <c r="G3893" s="7">
        <v>102.6533</v>
      </c>
      <c r="H3893" s="7"/>
    </row>
    <row r="3894" spans="1:8" x14ac:dyDescent="0.35">
      <c r="A3894" s="7" t="s">
        <v>359</v>
      </c>
      <c r="B3894" s="7" t="s">
        <v>26</v>
      </c>
      <c r="C3894" s="7" t="s">
        <v>27</v>
      </c>
      <c r="D3894" s="7" t="s">
        <v>28</v>
      </c>
      <c r="E3894" s="7" t="s">
        <v>29</v>
      </c>
      <c r="F3894" s="7" t="s">
        <v>132</v>
      </c>
      <c r="G3894" s="7">
        <v>102.6283</v>
      </c>
      <c r="H3894" s="7"/>
    </row>
    <row r="3895" spans="1:8" x14ac:dyDescent="0.35">
      <c r="A3895" s="7" t="s">
        <v>359</v>
      </c>
      <c r="B3895" s="7" t="s">
        <v>26</v>
      </c>
      <c r="C3895" s="7" t="s">
        <v>27</v>
      </c>
      <c r="D3895" s="7" t="s">
        <v>28</v>
      </c>
      <c r="E3895" s="7" t="s">
        <v>29</v>
      </c>
      <c r="F3895" s="7" t="s">
        <v>133</v>
      </c>
      <c r="G3895" s="7">
        <v>102.5307</v>
      </c>
      <c r="H3895" s="7"/>
    </row>
    <row r="3896" spans="1:8" x14ac:dyDescent="0.35">
      <c r="A3896" s="7" t="s">
        <v>359</v>
      </c>
      <c r="B3896" s="7" t="s">
        <v>26</v>
      </c>
      <c r="C3896" s="7" t="s">
        <v>27</v>
      </c>
      <c r="D3896" s="7" t="s">
        <v>28</v>
      </c>
      <c r="E3896" s="7" t="s">
        <v>29</v>
      </c>
      <c r="F3896" s="7" t="s">
        <v>134</v>
      </c>
      <c r="G3896" s="7">
        <v>102.49760000000001</v>
      </c>
      <c r="H3896" s="7"/>
    </row>
    <row r="3897" spans="1:8" x14ac:dyDescent="0.35">
      <c r="A3897" s="7" t="s">
        <v>359</v>
      </c>
      <c r="B3897" s="7" t="s">
        <v>26</v>
      </c>
      <c r="C3897" s="7" t="s">
        <v>27</v>
      </c>
      <c r="D3897" s="7" t="s">
        <v>28</v>
      </c>
      <c r="E3897" s="7" t="s">
        <v>29</v>
      </c>
      <c r="F3897" s="7" t="s">
        <v>135</v>
      </c>
      <c r="G3897" s="7">
        <v>102.4632</v>
      </c>
      <c r="H3897" s="7"/>
    </row>
    <row r="3898" spans="1:8" x14ac:dyDescent="0.35">
      <c r="A3898" s="7" t="s">
        <v>359</v>
      </c>
      <c r="B3898" s="7" t="s">
        <v>26</v>
      </c>
      <c r="C3898" s="7" t="s">
        <v>27</v>
      </c>
      <c r="D3898" s="7" t="s">
        <v>28</v>
      </c>
      <c r="E3898" s="7" t="s">
        <v>29</v>
      </c>
      <c r="F3898" s="7" t="s">
        <v>136</v>
      </c>
      <c r="G3898" s="7">
        <v>102.414</v>
      </c>
      <c r="H3898" s="7"/>
    </row>
    <row r="3899" spans="1:8" x14ac:dyDescent="0.35">
      <c r="A3899" s="7" t="s">
        <v>359</v>
      </c>
      <c r="B3899" s="7" t="s">
        <v>26</v>
      </c>
      <c r="C3899" s="7" t="s">
        <v>27</v>
      </c>
      <c r="D3899" s="7" t="s">
        <v>28</v>
      </c>
      <c r="E3899" s="7" t="s">
        <v>29</v>
      </c>
      <c r="F3899" s="7" t="s">
        <v>137</v>
      </c>
      <c r="G3899" s="7">
        <v>102.3064</v>
      </c>
      <c r="H3899" s="7"/>
    </row>
    <row r="3900" spans="1:8" x14ac:dyDescent="0.35">
      <c r="A3900" s="7" t="s">
        <v>359</v>
      </c>
      <c r="B3900" s="7" t="s">
        <v>26</v>
      </c>
      <c r="C3900" s="7" t="s">
        <v>27</v>
      </c>
      <c r="D3900" s="7" t="s">
        <v>28</v>
      </c>
      <c r="E3900" s="7" t="s">
        <v>29</v>
      </c>
      <c r="F3900" s="7" t="s">
        <v>138</v>
      </c>
      <c r="G3900" s="7">
        <v>102.05719999999999</v>
      </c>
      <c r="H3900" s="7"/>
    </row>
    <row r="3901" spans="1:8" x14ac:dyDescent="0.35">
      <c r="A3901" s="7" t="s">
        <v>359</v>
      </c>
      <c r="B3901" s="7" t="s">
        <v>26</v>
      </c>
      <c r="C3901" s="7" t="s">
        <v>27</v>
      </c>
      <c r="D3901" s="7" t="s">
        <v>28</v>
      </c>
      <c r="E3901" s="7" t="s">
        <v>29</v>
      </c>
      <c r="F3901" s="7" t="s">
        <v>139</v>
      </c>
      <c r="G3901" s="7">
        <v>101.53400000000001</v>
      </c>
      <c r="H3901" s="7"/>
    </row>
    <row r="3902" spans="1:8" x14ac:dyDescent="0.35">
      <c r="A3902" s="7" t="s">
        <v>359</v>
      </c>
      <c r="B3902" s="7" t="s">
        <v>26</v>
      </c>
      <c r="C3902" s="7" t="s">
        <v>27</v>
      </c>
      <c r="D3902" s="7" t="s">
        <v>28</v>
      </c>
      <c r="E3902" s="7" t="s">
        <v>29</v>
      </c>
      <c r="F3902" s="7" t="s">
        <v>140</v>
      </c>
      <c r="G3902" s="7">
        <v>101.01560000000001</v>
      </c>
      <c r="H3902" s="7"/>
    </row>
    <row r="3903" spans="1:8" x14ac:dyDescent="0.35">
      <c r="A3903" s="7" t="s">
        <v>359</v>
      </c>
      <c r="B3903" s="7" t="s">
        <v>26</v>
      </c>
      <c r="C3903" s="7" t="s">
        <v>27</v>
      </c>
      <c r="D3903" s="7" t="s">
        <v>28</v>
      </c>
      <c r="E3903" s="7" t="s">
        <v>29</v>
      </c>
      <c r="F3903" s="7" t="s">
        <v>141</v>
      </c>
      <c r="G3903" s="7">
        <v>100.6367</v>
      </c>
      <c r="H3903" s="7"/>
    </row>
    <row r="3904" spans="1:8" x14ac:dyDescent="0.35">
      <c r="A3904" s="7" t="s">
        <v>359</v>
      </c>
      <c r="B3904" s="7" t="s">
        <v>26</v>
      </c>
      <c r="C3904" s="7" t="s">
        <v>27</v>
      </c>
      <c r="D3904" s="7" t="s">
        <v>28</v>
      </c>
      <c r="E3904" s="7" t="s">
        <v>29</v>
      </c>
      <c r="F3904" s="7" t="s">
        <v>142</v>
      </c>
      <c r="G3904" s="7">
        <v>100.4731</v>
      </c>
      <c r="H3904" s="7"/>
    </row>
    <row r="3905" spans="1:8" x14ac:dyDescent="0.35">
      <c r="A3905" s="7" t="s">
        <v>359</v>
      </c>
      <c r="B3905" s="7" t="s">
        <v>26</v>
      </c>
      <c r="C3905" s="7" t="s">
        <v>27</v>
      </c>
      <c r="D3905" s="7" t="s">
        <v>28</v>
      </c>
      <c r="E3905" s="7" t="s">
        <v>29</v>
      </c>
      <c r="F3905" s="7" t="s">
        <v>143</v>
      </c>
      <c r="G3905" s="7">
        <v>100.4404</v>
      </c>
      <c r="H3905" s="7"/>
    </row>
    <row r="3906" spans="1:8" x14ac:dyDescent="0.35">
      <c r="A3906" s="7" t="s">
        <v>359</v>
      </c>
      <c r="B3906" s="7" t="s">
        <v>26</v>
      </c>
      <c r="C3906" s="7" t="s">
        <v>27</v>
      </c>
      <c r="D3906" s="7" t="s">
        <v>28</v>
      </c>
      <c r="E3906" s="7" t="s">
        <v>29</v>
      </c>
      <c r="F3906" s="7" t="s">
        <v>144</v>
      </c>
      <c r="G3906" s="7">
        <v>100.5622</v>
      </c>
      <c r="H3906" s="7"/>
    </row>
    <row r="3907" spans="1:8" x14ac:dyDescent="0.35">
      <c r="A3907" s="7" t="s">
        <v>359</v>
      </c>
      <c r="B3907" s="7" t="s">
        <v>26</v>
      </c>
      <c r="C3907" s="7" t="s">
        <v>27</v>
      </c>
      <c r="D3907" s="7" t="s">
        <v>28</v>
      </c>
      <c r="E3907" s="7" t="s">
        <v>29</v>
      </c>
      <c r="F3907" s="7" t="s">
        <v>145</v>
      </c>
      <c r="G3907" s="7">
        <v>100.6405</v>
      </c>
      <c r="H3907" s="7"/>
    </row>
    <row r="3908" spans="1:8" x14ac:dyDescent="0.35">
      <c r="A3908" s="7" t="s">
        <v>359</v>
      </c>
      <c r="B3908" s="7" t="s">
        <v>26</v>
      </c>
      <c r="C3908" s="7" t="s">
        <v>27</v>
      </c>
      <c r="D3908" s="7" t="s">
        <v>28</v>
      </c>
      <c r="E3908" s="7" t="s">
        <v>29</v>
      </c>
      <c r="F3908" s="7" t="s">
        <v>146</v>
      </c>
      <c r="G3908" s="7">
        <v>100.5552</v>
      </c>
      <c r="H3908" s="7"/>
    </row>
    <row r="3909" spans="1:8" x14ac:dyDescent="0.35">
      <c r="A3909" s="7" t="s">
        <v>359</v>
      </c>
      <c r="B3909" s="7" t="s">
        <v>26</v>
      </c>
      <c r="C3909" s="7" t="s">
        <v>27</v>
      </c>
      <c r="D3909" s="7" t="s">
        <v>28</v>
      </c>
      <c r="E3909" s="7" t="s">
        <v>29</v>
      </c>
      <c r="F3909" s="7" t="s">
        <v>147</v>
      </c>
      <c r="G3909" s="7">
        <v>100.2564</v>
      </c>
      <c r="H3909" s="7"/>
    </row>
    <row r="3910" spans="1:8" x14ac:dyDescent="0.35">
      <c r="A3910" s="7" t="s">
        <v>359</v>
      </c>
      <c r="B3910" s="7" t="s">
        <v>26</v>
      </c>
      <c r="C3910" s="7" t="s">
        <v>27</v>
      </c>
      <c r="D3910" s="7" t="s">
        <v>28</v>
      </c>
      <c r="E3910" s="7" t="s">
        <v>29</v>
      </c>
      <c r="F3910" s="7" t="s">
        <v>148</v>
      </c>
      <c r="G3910" s="7">
        <v>99.825800000000001</v>
      </c>
      <c r="H3910" s="7"/>
    </row>
    <row r="3911" spans="1:8" x14ac:dyDescent="0.35">
      <c r="A3911" s="7" t="s">
        <v>359</v>
      </c>
      <c r="B3911" s="7" t="s">
        <v>26</v>
      </c>
      <c r="C3911" s="7" t="s">
        <v>27</v>
      </c>
      <c r="D3911" s="7" t="s">
        <v>28</v>
      </c>
      <c r="E3911" s="7" t="s">
        <v>29</v>
      </c>
      <c r="F3911" s="7" t="s">
        <v>149</v>
      </c>
      <c r="G3911" s="7">
        <v>99.670559999999995</v>
      </c>
      <c r="H3911" s="7"/>
    </row>
    <row r="3912" spans="1:8" x14ac:dyDescent="0.35">
      <c r="A3912" s="7" t="s">
        <v>359</v>
      </c>
      <c r="B3912" s="7" t="s">
        <v>26</v>
      </c>
      <c r="C3912" s="7" t="s">
        <v>27</v>
      </c>
      <c r="D3912" s="7" t="s">
        <v>28</v>
      </c>
      <c r="E3912" s="7" t="s">
        <v>29</v>
      </c>
      <c r="F3912" s="7" t="s">
        <v>150</v>
      </c>
      <c r="G3912" s="7">
        <v>99.816980000000001</v>
      </c>
      <c r="H3912" s="7"/>
    </row>
    <row r="3913" spans="1:8" x14ac:dyDescent="0.35">
      <c r="A3913" s="7" t="s">
        <v>359</v>
      </c>
      <c r="B3913" s="7" t="s">
        <v>26</v>
      </c>
      <c r="C3913" s="7" t="s">
        <v>27</v>
      </c>
      <c r="D3913" s="7" t="s">
        <v>28</v>
      </c>
      <c r="E3913" s="7" t="s">
        <v>29</v>
      </c>
      <c r="F3913" s="7" t="s">
        <v>151</v>
      </c>
      <c r="G3913" s="7">
        <v>100.1713</v>
      </c>
      <c r="H3913" s="7"/>
    </row>
    <row r="3914" spans="1:8" x14ac:dyDescent="0.35">
      <c r="A3914" s="7" t="s">
        <v>359</v>
      </c>
      <c r="B3914" s="7" t="s">
        <v>26</v>
      </c>
      <c r="C3914" s="7" t="s">
        <v>27</v>
      </c>
      <c r="D3914" s="7" t="s">
        <v>28</v>
      </c>
      <c r="E3914" s="7" t="s">
        <v>29</v>
      </c>
      <c r="F3914" s="7" t="s">
        <v>152</v>
      </c>
      <c r="G3914" s="7">
        <v>100.514</v>
      </c>
      <c r="H3914" s="7"/>
    </row>
    <row r="3915" spans="1:8" x14ac:dyDescent="0.35">
      <c r="A3915" s="7" t="s">
        <v>359</v>
      </c>
      <c r="B3915" s="7" t="s">
        <v>26</v>
      </c>
      <c r="C3915" s="7" t="s">
        <v>27</v>
      </c>
      <c r="D3915" s="7" t="s">
        <v>28</v>
      </c>
      <c r="E3915" s="7" t="s">
        <v>29</v>
      </c>
      <c r="F3915" s="7" t="s">
        <v>153</v>
      </c>
      <c r="G3915" s="7">
        <v>100.7193</v>
      </c>
      <c r="H3915" s="7"/>
    </row>
    <row r="3916" spans="1:8" x14ac:dyDescent="0.35">
      <c r="A3916" s="7" t="s">
        <v>359</v>
      </c>
      <c r="B3916" s="7" t="s">
        <v>26</v>
      </c>
      <c r="C3916" s="7" t="s">
        <v>27</v>
      </c>
      <c r="D3916" s="7" t="s">
        <v>28</v>
      </c>
      <c r="E3916" s="7" t="s">
        <v>29</v>
      </c>
      <c r="F3916" s="7" t="s">
        <v>154</v>
      </c>
      <c r="G3916" s="7">
        <v>100.9049</v>
      </c>
      <c r="H3916" s="7"/>
    </row>
    <row r="3917" spans="1:8" x14ac:dyDescent="0.35">
      <c r="A3917" s="7" t="s">
        <v>359</v>
      </c>
      <c r="B3917" s="7" t="s">
        <v>26</v>
      </c>
      <c r="C3917" s="7" t="s">
        <v>27</v>
      </c>
      <c r="D3917" s="7" t="s">
        <v>28</v>
      </c>
      <c r="E3917" s="7" t="s">
        <v>29</v>
      </c>
      <c r="F3917" s="7" t="s">
        <v>155</v>
      </c>
      <c r="G3917" s="7">
        <v>100.9572</v>
      </c>
      <c r="H3917" s="7"/>
    </row>
    <row r="3918" spans="1:8" x14ac:dyDescent="0.35">
      <c r="A3918" s="7" t="s">
        <v>359</v>
      </c>
      <c r="B3918" s="7" t="s">
        <v>26</v>
      </c>
      <c r="C3918" s="7" t="s">
        <v>27</v>
      </c>
      <c r="D3918" s="7" t="s">
        <v>28</v>
      </c>
      <c r="E3918" s="7" t="s">
        <v>29</v>
      </c>
      <c r="F3918" s="7" t="s">
        <v>156</v>
      </c>
      <c r="G3918" s="7">
        <v>100.93129999999999</v>
      </c>
      <c r="H3918" s="7"/>
    </row>
    <row r="3919" spans="1:8" x14ac:dyDescent="0.35">
      <c r="A3919" s="7" t="s">
        <v>359</v>
      </c>
      <c r="B3919" s="7" t="s">
        <v>26</v>
      </c>
      <c r="C3919" s="7" t="s">
        <v>27</v>
      </c>
      <c r="D3919" s="7" t="s">
        <v>28</v>
      </c>
      <c r="E3919" s="7" t="s">
        <v>29</v>
      </c>
      <c r="F3919" s="7" t="s">
        <v>157</v>
      </c>
      <c r="G3919" s="7">
        <v>100.6828</v>
      </c>
      <c r="H3919" s="7"/>
    </row>
    <row r="3920" spans="1:8" x14ac:dyDescent="0.35">
      <c r="A3920" s="7" t="s">
        <v>359</v>
      </c>
      <c r="B3920" s="7" t="s">
        <v>26</v>
      </c>
      <c r="C3920" s="7" t="s">
        <v>27</v>
      </c>
      <c r="D3920" s="7" t="s">
        <v>28</v>
      </c>
      <c r="E3920" s="7" t="s">
        <v>29</v>
      </c>
      <c r="F3920" s="7" t="s">
        <v>158</v>
      </c>
      <c r="G3920" s="7">
        <v>100.3502</v>
      </c>
      <c r="H3920" s="7"/>
    </row>
    <row r="3921" spans="1:8" x14ac:dyDescent="0.35">
      <c r="A3921" s="7" t="s">
        <v>359</v>
      </c>
      <c r="B3921" s="7" t="s">
        <v>26</v>
      </c>
      <c r="C3921" s="7" t="s">
        <v>27</v>
      </c>
      <c r="D3921" s="7" t="s">
        <v>28</v>
      </c>
      <c r="E3921" s="7" t="s">
        <v>29</v>
      </c>
      <c r="F3921" s="7" t="s">
        <v>159</v>
      </c>
      <c r="G3921" s="7">
        <v>100.07599999999999</v>
      </c>
      <c r="H3921" s="7"/>
    </row>
    <row r="3922" spans="1:8" x14ac:dyDescent="0.35">
      <c r="A3922" s="7" t="s">
        <v>359</v>
      </c>
      <c r="B3922" s="7" t="s">
        <v>26</v>
      </c>
      <c r="C3922" s="7" t="s">
        <v>27</v>
      </c>
      <c r="D3922" s="7" t="s">
        <v>28</v>
      </c>
      <c r="E3922" s="7" t="s">
        <v>29</v>
      </c>
      <c r="F3922" s="7" t="s">
        <v>160</v>
      </c>
      <c r="G3922" s="7">
        <v>99.836129999999997</v>
      </c>
      <c r="H3922" s="7"/>
    </row>
    <row r="3923" spans="1:8" x14ac:dyDescent="0.35">
      <c r="A3923" s="7" t="s">
        <v>359</v>
      </c>
      <c r="B3923" s="7" t="s">
        <v>26</v>
      </c>
      <c r="C3923" s="7" t="s">
        <v>27</v>
      </c>
      <c r="D3923" s="7" t="s">
        <v>28</v>
      </c>
      <c r="E3923" s="7" t="s">
        <v>29</v>
      </c>
      <c r="F3923" s="7" t="s">
        <v>161</v>
      </c>
      <c r="G3923" s="7">
        <v>99.655050000000003</v>
      </c>
      <c r="H3923" s="7"/>
    </row>
    <row r="3924" spans="1:8" x14ac:dyDescent="0.35">
      <c r="A3924" s="7" t="s">
        <v>359</v>
      </c>
      <c r="B3924" s="7" t="s">
        <v>26</v>
      </c>
      <c r="C3924" s="7" t="s">
        <v>27</v>
      </c>
      <c r="D3924" s="7" t="s">
        <v>28</v>
      </c>
      <c r="E3924" s="7" t="s">
        <v>29</v>
      </c>
      <c r="F3924" s="7" t="s">
        <v>162</v>
      </c>
      <c r="G3924" s="7">
        <v>99.669970000000006</v>
      </c>
      <c r="H3924" s="7"/>
    </row>
    <row r="3925" spans="1:8" x14ac:dyDescent="0.35">
      <c r="A3925" s="7" t="s">
        <v>359</v>
      </c>
      <c r="B3925" s="7" t="s">
        <v>26</v>
      </c>
      <c r="C3925" s="7" t="s">
        <v>27</v>
      </c>
      <c r="D3925" s="7" t="s">
        <v>28</v>
      </c>
      <c r="E3925" s="7" t="s">
        <v>29</v>
      </c>
      <c r="F3925" s="7" t="s">
        <v>163</v>
      </c>
      <c r="G3925" s="7">
        <v>99.667460000000005</v>
      </c>
      <c r="H3925" s="7"/>
    </row>
    <row r="3926" spans="1:8" x14ac:dyDescent="0.35">
      <c r="A3926" s="7" t="s">
        <v>359</v>
      </c>
      <c r="B3926" s="7" t="s">
        <v>26</v>
      </c>
      <c r="C3926" s="7" t="s">
        <v>27</v>
      </c>
      <c r="D3926" s="7" t="s">
        <v>28</v>
      </c>
      <c r="E3926" s="7" t="s">
        <v>29</v>
      </c>
      <c r="F3926" s="7" t="s">
        <v>164</v>
      </c>
      <c r="G3926" s="7">
        <v>99.490369999999999</v>
      </c>
      <c r="H3926" s="7"/>
    </row>
    <row r="3927" spans="1:8" x14ac:dyDescent="0.35">
      <c r="A3927" s="7" t="s">
        <v>359</v>
      </c>
      <c r="B3927" s="7" t="s">
        <v>26</v>
      </c>
      <c r="C3927" s="7" t="s">
        <v>27</v>
      </c>
      <c r="D3927" s="7" t="s">
        <v>28</v>
      </c>
      <c r="E3927" s="7" t="s">
        <v>29</v>
      </c>
      <c r="F3927" s="7" t="s">
        <v>165</v>
      </c>
      <c r="G3927" s="7">
        <v>99.333309999999997</v>
      </c>
      <c r="H3927" s="7"/>
    </row>
    <row r="3928" spans="1:8" x14ac:dyDescent="0.35">
      <c r="A3928" s="7" t="s">
        <v>359</v>
      </c>
      <c r="B3928" s="7" t="s">
        <v>26</v>
      </c>
      <c r="C3928" s="7" t="s">
        <v>27</v>
      </c>
      <c r="D3928" s="7" t="s">
        <v>28</v>
      </c>
      <c r="E3928" s="7" t="s">
        <v>29</v>
      </c>
      <c r="F3928" s="7" t="s">
        <v>166</v>
      </c>
      <c r="G3928" s="7">
        <v>99.415819999999997</v>
      </c>
      <c r="H3928" s="7"/>
    </row>
    <row r="3929" spans="1:8" x14ac:dyDescent="0.35">
      <c r="A3929" s="7" t="s">
        <v>359</v>
      </c>
      <c r="B3929" s="7" t="s">
        <v>26</v>
      </c>
      <c r="C3929" s="7" t="s">
        <v>27</v>
      </c>
      <c r="D3929" s="7" t="s">
        <v>28</v>
      </c>
      <c r="E3929" s="7" t="s">
        <v>29</v>
      </c>
      <c r="F3929" s="7" t="s">
        <v>167</v>
      </c>
      <c r="G3929" s="7">
        <v>99.846540000000005</v>
      </c>
      <c r="H3929" s="7"/>
    </row>
    <row r="3930" spans="1:8" x14ac:dyDescent="0.35">
      <c r="A3930" s="7" t="s">
        <v>359</v>
      </c>
      <c r="B3930" s="7" t="s">
        <v>26</v>
      </c>
      <c r="C3930" s="7" t="s">
        <v>27</v>
      </c>
      <c r="D3930" s="7" t="s">
        <v>28</v>
      </c>
      <c r="E3930" s="7" t="s">
        <v>29</v>
      </c>
      <c r="F3930" s="7" t="s">
        <v>168</v>
      </c>
      <c r="G3930" s="7">
        <v>100.27119999999999</v>
      </c>
      <c r="H3930" s="7"/>
    </row>
    <row r="3931" spans="1:8" x14ac:dyDescent="0.35">
      <c r="A3931" s="7" t="s">
        <v>359</v>
      </c>
      <c r="B3931" s="7" t="s">
        <v>26</v>
      </c>
      <c r="C3931" s="7" t="s">
        <v>27</v>
      </c>
      <c r="D3931" s="7" t="s">
        <v>28</v>
      </c>
      <c r="E3931" s="7" t="s">
        <v>29</v>
      </c>
      <c r="F3931" s="7" t="s">
        <v>169</v>
      </c>
      <c r="G3931" s="7">
        <v>100.42610000000001</v>
      </c>
      <c r="H3931" s="7"/>
    </row>
    <row r="3932" spans="1:8" x14ac:dyDescent="0.35">
      <c r="A3932" s="7" t="s">
        <v>359</v>
      </c>
      <c r="B3932" s="7" t="s">
        <v>26</v>
      </c>
      <c r="C3932" s="7" t="s">
        <v>27</v>
      </c>
      <c r="D3932" s="7" t="s">
        <v>28</v>
      </c>
      <c r="E3932" s="7" t="s">
        <v>29</v>
      </c>
      <c r="F3932" s="7" t="s">
        <v>170</v>
      </c>
      <c r="G3932" s="7">
        <v>100.4284</v>
      </c>
      <c r="H3932" s="7"/>
    </row>
    <row r="3933" spans="1:8" x14ac:dyDescent="0.35">
      <c r="A3933" s="7" t="s">
        <v>359</v>
      </c>
      <c r="B3933" s="7" t="s">
        <v>26</v>
      </c>
      <c r="C3933" s="7" t="s">
        <v>27</v>
      </c>
      <c r="D3933" s="7" t="s">
        <v>28</v>
      </c>
      <c r="E3933" s="7" t="s">
        <v>29</v>
      </c>
      <c r="F3933" s="7" t="s">
        <v>171</v>
      </c>
      <c r="G3933" s="7">
        <v>100.33969999999999</v>
      </c>
      <c r="H3933" s="7"/>
    </row>
    <row r="3934" spans="1:8" x14ac:dyDescent="0.35">
      <c r="A3934" s="7" t="s">
        <v>359</v>
      </c>
      <c r="B3934" s="7" t="s">
        <v>26</v>
      </c>
      <c r="C3934" s="7" t="s">
        <v>27</v>
      </c>
      <c r="D3934" s="7" t="s">
        <v>28</v>
      </c>
      <c r="E3934" s="7" t="s">
        <v>29</v>
      </c>
      <c r="F3934" s="7" t="s">
        <v>172</v>
      </c>
      <c r="G3934" s="7">
        <v>100.3045</v>
      </c>
      <c r="H3934" s="7"/>
    </row>
    <row r="3935" spans="1:8" x14ac:dyDescent="0.35">
      <c r="A3935" s="7" t="s">
        <v>359</v>
      </c>
      <c r="B3935" s="7" t="s">
        <v>26</v>
      </c>
      <c r="C3935" s="7" t="s">
        <v>27</v>
      </c>
      <c r="D3935" s="7" t="s">
        <v>28</v>
      </c>
      <c r="E3935" s="7" t="s">
        <v>29</v>
      </c>
      <c r="F3935" s="7" t="s">
        <v>173</v>
      </c>
      <c r="G3935" s="7">
        <v>100.4517</v>
      </c>
      <c r="H3935" s="7"/>
    </row>
    <row r="3936" spans="1:8" x14ac:dyDescent="0.35">
      <c r="A3936" s="7" t="s">
        <v>359</v>
      </c>
      <c r="B3936" s="7" t="s">
        <v>26</v>
      </c>
      <c r="C3936" s="7" t="s">
        <v>27</v>
      </c>
      <c r="D3936" s="7" t="s">
        <v>28</v>
      </c>
      <c r="E3936" s="7" t="s">
        <v>29</v>
      </c>
      <c r="F3936" s="7" t="s">
        <v>174</v>
      </c>
      <c r="G3936" s="7">
        <v>100.74169999999999</v>
      </c>
      <c r="H3936" s="7"/>
    </row>
    <row r="3937" spans="1:8" x14ac:dyDescent="0.35">
      <c r="A3937" s="7" t="s">
        <v>359</v>
      </c>
      <c r="B3937" s="7" t="s">
        <v>26</v>
      </c>
      <c r="C3937" s="7" t="s">
        <v>27</v>
      </c>
      <c r="D3937" s="7" t="s">
        <v>28</v>
      </c>
      <c r="E3937" s="7" t="s">
        <v>29</v>
      </c>
      <c r="F3937" s="7" t="s">
        <v>175</v>
      </c>
      <c r="G3937" s="7">
        <v>101.0427</v>
      </c>
      <c r="H3937" s="7"/>
    </row>
    <row r="3938" spans="1:8" x14ac:dyDescent="0.35">
      <c r="A3938" s="7" t="s">
        <v>359</v>
      </c>
      <c r="B3938" s="7" t="s">
        <v>26</v>
      </c>
      <c r="C3938" s="7" t="s">
        <v>27</v>
      </c>
      <c r="D3938" s="7" t="s">
        <v>28</v>
      </c>
      <c r="E3938" s="7" t="s">
        <v>29</v>
      </c>
      <c r="F3938" s="7" t="s">
        <v>176</v>
      </c>
      <c r="G3938" s="7">
        <v>101.32</v>
      </c>
      <c r="H3938" s="7"/>
    </row>
    <row r="3939" spans="1:8" x14ac:dyDescent="0.35">
      <c r="A3939" s="7" t="s">
        <v>359</v>
      </c>
      <c r="B3939" s="7" t="s">
        <v>26</v>
      </c>
      <c r="C3939" s="7" t="s">
        <v>27</v>
      </c>
      <c r="D3939" s="7" t="s">
        <v>28</v>
      </c>
      <c r="E3939" s="7" t="s">
        <v>29</v>
      </c>
      <c r="F3939" s="7" t="s">
        <v>177</v>
      </c>
      <c r="G3939" s="7">
        <v>101.2072</v>
      </c>
      <c r="H3939" s="7"/>
    </row>
    <row r="3940" spans="1:8" x14ac:dyDescent="0.35">
      <c r="A3940" s="7" t="s">
        <v>359</v>
      </c>
      <c r="B3940" s="7" t="s">
        <v>26</v>
      </c>
      <c r="C3940" s="7" t="s">
        <v>27</v>
      </c>
      <c r="D3940" s="7" t="s">
        <v>28</v>
      </c>
      <c r="E3940" s="7" t="s">
        <v>29</v>
      </c>
      <c r="F3940" s="7" t="s">
        <v>178</v>
      </c>
      <c r="G3940" s="7">
        <v>101.0406</v>
      </c>
      <c r="H3940" s="7"/>
    </row>
    <row r="3941" spans="1:8" x14ac:dyDescent="0.35">
      <c r="A3941" s="7" t="s">
        <v>359</v>
      </c>
      <c r="B3941" s="7" t="s">
        <v>26</v>
      </c>
      <c r="C3941" s="7" t="s">
        <v>27</v>
      </c>
      <c r="D3941" s="7" t="s">
        <v>28</v>
      </c>
      <c r="E3941" s="7" t="s">
        <v>29</v>
      </c>
      <c r="F3941" s="7" t="s">
        <v>179</v>
      </c>
      <c r="G3941" s="7">
        <v>100.8707</v>
      </c>
      <c r="H3941" s="7"/>
    </row>
    <row r="3942" spans="1:8" x14ac:dyDescent="0.35">
      <c r="A3942" s="7" t="s">
        <v>359</v>
      </c>
      <c r="B3942" s="7" t="s">
        <v>26</v>
      </c>
      <c r="C3942" s="7" t="s">
        <v>27</v>
      </c>
      <c r="D3942" s="7" t="s">
        <v>28</v>
      </c>
      <c r="E3942" s="7" t="s">
        <v>29</v>
      </c>
      <c r="F3942" s="7" t="s">
        <v>180</v>
      </c>
      <c r="G3942" s="7">
        <v>100.7929</v>
      </c>
      <c r="H3942" s="7"/>
    </row>
    <row r="3943" spans="1:8" x14ac:dyDescent="0.35">
      <c r="A3943" s="7" t="s">
        <v>359</v>
      </c>
      <c r="B3943" s="7" t="s">
        <v>26</v>
      </c>
      <c r="C3943" s="7" t="s">
        <v>27</v>
      </c>
      <c r="D3943" s="7" t="s">
        <v>28</v>
      </c>
      <c r="E3943" s="7" t="s">
        <v>29</v>
      </c>
      <c r="F3943" s="7" t="s">
        <v>181</v>
      </c>
      <c r="G3943" s="7">
        <v>100.9299</v>
      </c>
      <c r="H3943" s="7"/>
    </row>
    <row r="3944" spans="1:8" x14ac:dyDescent="0.35">
      <c r="A3944" s="7" t="s">
        <v>359</v>
      </c>
      <c r="B3944" s="7" t="s">
        <v>26</v>
      </c>
      <c r="C3944" s="7" t="s">
        <v>27</v>
      </c>
      <c r="D3944" s="7" t="s">
        <v>28</v>
      </c>
      <c r="E3944" s="7" t="s">
        <v>29</v>
      </c>
      <c r="F3944" s="7" t="s">
        <v>182</v>
      </c>
      <c r="G3944" s="7">
        <v>101.04049999999999</v>
      </c>
      <c r="H3944" s="7"/>
    </row>
    <row r="3945" spans="1:8" x14ac:dyDescent="0.35">
      <c r="A3945" s="7" t="s">
        <v>359</v>
      </c>
      <c r="B3945" s="7" t="s">
        <v>26</v>
      </c>
      <c r="C3945" s="7" t="s">
        <v>27</v>
      </c>
      <c r="D3945" s="7" t="s">
        <v>28</v>
      </c>
      <c r="E3945" s="7" t="s">
        <v>29</v>
      </c>
      <c r="F3945" s="7" t="s">
        <v>183</v>
      </c>
      <c r="G3945" s="7">
        <v>101.0159</v>
      </c>
      <c r="H3945" s="7"/>
    </row>
    <row r="3946" spans="1:8" x14ac:dyDescent="0.35">
      <c r="A3946" s="7" t="s">
        <v>359</v>
      </c>
      <c r="B3946" s="7" t="s">
        <v>26</v>
      </c>
      <c r="C3946" s="7" t="s">
        <v>27</v>
      </c>
      <c r="D3946" s="7" t="s">
        <v>28</v>
      </c>
      <c r="E3946" s="7" t="s">
        <v>29</v>
      </c>
      <c r="F3946" s="7" t="s">
        <v>184</v>
      </c>
      <c r="G3946" s="7">
        <v>100.89790000000001</v>
      </c>
      <c r="H3946" s="7"/>
    </row>
    <row r="3947" spans="1:8" x14ac:dyDescent="0.35">
      <c r="A3947" s="7" t="s">
        <v>359</v>
      </c>
      <c r="B3947" s="7" t="s">
        <v>26</v>
      </c>
      <c r="C3947" s="7" t="s">
        <v>27</v>
      </c>
      <c r="D3947" s="7" t="s">
        <v>28</v>
      </c>
      <c r="E3947" s="7" t="s">
        <v>29</v>
      </c>
      <c r="F3947" s="7" t="s">
        <v>185</v>
      </c>
      <c r="G3947" s="7">
        <v>100.80929999999999</v>
      </c>
      <c r="H3947" s="7"/>
    </row>
    <row r="3948" spans="1:8" x14ac:dyDescent="0.35">
      <c r="A3948" s="7" t="s">
        <v>359</v>
      </c>
      <c r="B3948" s="7" t="s">
        <v>26</v>
      </c>
      <c r="C3948" s="7" t="s">
        <v>27</v>
      </c>
      <c r="D3948" s="7" t="s">
        <v>28</v>
      </c>
      <c r="E3948" s="7" t="s">
        <v>29</v>
      </c>
      <c r="F3948" s="7" t="s">
        <v>186</v>
      </c>
      <c r="G3948" s="7">
        <v>100.87309999999999</v>
      </c>
      <c r="H3948" s="7"/>
    </row>
    <row r="3949" spans="1:8" x14ac:dyDescent="0.35">
      <c r="A3949" s="7" t="s">
        <v>359</v>
      </c>
      <c r="B3949" s="7" t="s">
        <v>26</v>
      </c>
      <c r="C3949" s="7" t="s">
        <v>27</v>
      </c>
      <c r="D3949" s="7" t="s">
        <v>28</v>
      </c>
      <c r="E3949" s="7" t="s">
        <v>29</v>
      </c>
      <c r="F3949" s="7" t="s">
        <v>187</v>
      </c>
      <c r="G3949" s="7">
        <v>101.00790000000001</v>
      </c>
      <c r="H3949" s="7"/>
    </row>
    <row r="3950" spans="1:8" x14ac:dyDescent="0.35">
      <c r="A3950" s="7" t="s">
        <v>359</v>
      </c>
      <c r="B3950" s="7" t="s">
        <v>26</v>
      </c>
      <c r="C3950" s="7" t="s">
        <v>27</v>
      </c>
      <c r="D3950" s="7" t="s">
        <v>28</v>
      </c>
      <c r="E3950" s="7" t="s">
        <v>29</v>
      </c>
      <c r="F3950" s="7" t="s">
        <v>188</v>
      </c>
      <c r="G3950" s="7">
        <v>100.9933</v>
      </c>
      <c r="H3950" s="7"/>
    </row>
    <row r="3951" spans="1:8" x14ac:dyDescent="0.35">
      <c r="A3951" s="7" t="s">
        <v>359</v>
      </c>
      <c r="B3951" s="7" t="s">
        <v>26</v>
      </c>
      <c r="C3951" s="7" t="s">
        <v>27</v>
      </c>
      <c r="D3951" s="7" t="s">
        <v>28</v>
      </c>
      <c r="E3951" s="7" t="s">
        <v>29</v>
      </c>
      <c r="F3951" s="7" t="s">
        <v>189</v>
      </c>
      <c r="G3951" s="7">
        <v>100.8387</v>
      </c>
      <c r="H3951" s="7"/>
    </row>
    <row r="3952" spans="1:8" x14ac:dyDescent="0.35">
      <c r="A3952" s="7" t="s">
        <v>359</v>
      </c>
      <c r="B3952" s="7" t="s">
        <v>26</v>
      </c>
      <c r="C3952" s="7" t="s">
        <v>27</v>
      </c>
      <c r="D3952" s="7" t="s">
        <v>28</v>
      </c>
      <c r="E3952" s="7" t="s">
        <v>29</v>
      </c>
      <c r="F3952" s="7" t="s">
        <v>190</v>
      </c>
      <c r="G3952" s="7">
        <v>100.6109</v>
      </c>
      <c r="H3952" s="7"/>
    </row>
    <row r="3953" spans="1:8" x14ac:dyDescent="0.35">
      <c r="A3953" s="7" t="s">
        <v>359</v>
      </c>
      <c r="B3953" s="7" t="s">
        <v>26</v>
      </c>
      <c r="C3953" s="7" t="s">
        <v>27</v>
      </c>
      <c r="D3953" s="7" t="s">
        <v>28</v>
      </c>
      <c r="E3953" s="7" t="s">
        <v>29</v>
      </c>
      <c r="F3953" s="7" t="s">
        <v>191</v>
      </c>
      <c r="G3953" s="7">
        <v>100.4238</v>
      </c>
      <c r="H3953" s="7"/>
    </row>
    <row r="3954" spans="1:8" x14ac:dyDescent="0.35">
      <c r="A3954" s="7" t="s">
        <v>359</v>
      </c>
      <c r="B3954" s="7" t="s">
        <v>26</v>
      </c>
      <c r="C3954" s="7" t="s">
        <v>27</v>
      </c>
      <c r="D3954" s="7" t="s">
        <v>28</v>
      </c>
      <c r="E3954" s="7" t="s">
        <v>29</v>
      </c>
      <c r="F3954" s="7" t="s">
        <v>192</v>
      </c>
      <c r="G3954" s="7">
        <v>100.49120000000001</v>
      </c>
      <c r="H3954" s="7"/>
    </row>
    <row r="3955" spans="1:8" x14ac:dyDescent="0.35">
      <c r="A3955" s="7" t="s">
        <v>359</v>
      </c>
      <c r="B3955" s="7" t="s">
        <v>26</v>
      </c>
      <c r="C3955" s="7" t="s">
        <v>27</v>
      </c>
      <c r="D3955" s="7" t="s">
        <v>28</v>
      </c>
      <c r="E3955" s="7" t="s">
        <v>29</v>
      </c>
      <c r="F3955" s="7" t="s">
        <v>193</v>
      </c>
      <c r="G3955" s="7">
        <v>100.7396</v>
      </c>
      <c r="H3955" s="7"/>
    </row>
    <row r="3956" spans="1:8" x14ac:dyDescent="0.35">
      <c r="A3956" s="7" t="s">
        <v>359</v>
      </c>
      <c r="B3956" s="7" t="s">
        <v>26</v>
      </c>
      <c r="C3956" s="7" t="s">
        <v>27</v>
      </c>
      <c r="D3956" s="7" t="s">
        <v>28</v>
      </c>
      <c r="E3956" s="7" t="s">
        <v>29</v>
      </c>
      <c r="F3956" s="7" t="s">
        <v>194</v>
      </c>
      <c r="G3956" s="7">
        <v>100.6468</v>
      </c>
      <c r="H3956" s="7"/>
    </row>
    <row r="3957" spans="1:8" x14ac:dyDescent="0.35">
      <c r="A3957" s="7" t="s">
        <v>359</v>
      </c>
      <c r="B3957" s="7" t="s">
        <v>26</v>
      </c>
      <c r="C3957" s="7" t="s">
        <v>27</v>
      </c>
      <c r="D3957" s="7" t="s">
        <v>28</v>
      </c>
      <c r="E3957" s="7" t="s">
        <v>29</v>
      </c>
      <c r="F3957" s="7" t="s">
        <v>195</v>
      </c>
      <c r="G3957" s="7">
        <v>100.0596</v>
      </c>
      <c r="H3957" s="7"/>
    </row>
    <row r="3958" spans="1:8" x14ac:dyDescent="0.35">
      <c r="A3958" s="7" t="s">
        <v>359</v>
      </c>
      <c r="B3958" s="7" t="s">
        <v>26</v>
      </c>
      <c r="C3958" s="7" t="s">
        <v>27</v>
      </c>
      <c r="D3958" s="7" t="s">
        <v>28</v>
      </c>
      <c r="E3958" s="7" t="s">
        <v>29</v>
      </c>
      <c r="F3958" s="7" t="s">
        <v>196</v>
      </c>
      <c r="G3958" s="7">
        <v>99.346019999999996</v>
      </c>
      <c r="H3958" s="7"/>
    </row>
    <row r="3959" spans="1:8" x14ac:dyDescent="0.35">
      <c r="A3959" s="7" t="s">
        <v>359</v>
      </c>
      <c r="B3959" s="7" t="s">
        <v>26</v>
      </c>
      <c r="C3959" s="7" t="s">
        <v>27</v>
      </c>
      <c r="D3959" s="7" t="s">
        <v>28</v>
      </c>
      <c r="E3959" s="7" t="s">
        <v>29</v>
      </c>
      <c r="F3959" s="7" t="s">
        <v>197</v>
      </c>
      <c r="G3959" s="7">
        <v>99.114410000000007</v>
      </c>
      <c r="H3959" s="7"/>
    </row>
    <row r="3960" spans="1:8" x14ac:dyDescent="0.35">
      <c r="A3960" s="7" t="s">
        <v>359</v>
      </c>
      <c r="B3960" s="7" t="s">
        <v>26</v>
      </c>
      <c r="C3960" s="7" t="s">
        <v>27</v>
      </c>
      <c r="D3960" s="7" t="s">
        <v>28</v>
      </c>
      <c r="E3960" s="7" t="s">
        <v>29</v>
      </c>
      <c r="F3960" s="7" t="s">
        <v>198</v>
      </c>
      <c r="G3960" s="7">
        <v>99.498230000000007</v>
      </c>
      <c r="H3960" s="7"/>
    </row>
    <row r="3961" spans="1:8" x14ac:dyDescent="0.35">
      <c r="A3961" s="7" t="s">
        <v>359</v>
      </c>
      <c r="B3961" s="7" t="s">
        <v>26</v>
      </c>
      <c r="C3961" s="7" t="s">
        <v>27</v>
      </c>
      <c r="D3961" s="7" t="s">
        <v>28</v>
      </c>
      <c r="E3961" s="7" t="s">
        <v>29</v>
      </c>
      <c r="F3961" s="7" t="s">
        <v>199</v>
      </c>
      <c r="G3961" s="7">
        <v>100.07089999999999</v>
      </c>
      <c r="H3961" s="7"/>
    </row>
    <row r="3962" spans="1:8" x14ac:dyDescent="0.35">
      <c r="A3962" s="7" t="s">
        <v>359</v>
      </c>
      <c r="B3962" s="7" t="s">
        <v>26</v>
      </c>
      <c r="C3962" s="7" t="s">
        <v>27</v>
      </c>
      <c r="D3962" s="7" t="s">
        <v>28</v>
      </c>
      <c r="E3962" s="7" t="s">
        <v>29</v>
      </c>
      <c r="F3962" s="7" t="s">
        <v>200</v>
      </c>
      <c r="G3962" s="7">
        <v>100.32940000000001</v>
      </c>
      <c r="H3962" s="7"/>
    </row>
    <row r="3963" spans="1:8" x14ac:dyDescent="0.35">
      <c r="A3963" s="7" t="s">
        <v>359</v>
      </c>
      <c r="B3963" s="7" t="s">
        <v>26</v>
      </c>
      <c r="C3963" s="7" t="s">
        <v>27</v>
      </c>
      <c r="D3963" s="7" t="s">
        <v>28</v>
      </c>
      <c r="E3963" s="7" t="s">
        <v>29</v>
      </c>
      <c r="F3963" s="7" t="s">
        <v>201</v>
      </c>
      <c r="G3963" s="7">
        <v>100.28100000000001</v>
      </c>
      <c r="H3963" s="7"/>
    </row>
    <row r="3964" spans="1:8" x14ac:dyDescent="0.35">
      <c r="A3964" s="7" t="s">
        <v>359</v>
      </c>
      <c r="B3964" s="7" t="s">
        <v>26</v>
      </c>
      <c r="C3964" s="7" t="s">
        <v>27</v>
      </c>
      <c r="D3964" s="7" t="s">
        <v>28</v>
      </c>
      <c r="E3964" s="7" t="s">
        <v>29</v>
      </c>
      <c r="F3964" s="7" t="s">
        <v>202</v>
      </c>
      <c r="G3964" s="7">
        <v>100.1506</v>
      </c>
      <c r="H3964" s="7"/>
    </row>
    <row r="3965" spans="1:8" x14ac:dyDescent="0.35">
      <c r="A3965" s="7" t="s">
        <v>359</v>
      </c>
      <c r="B3965" s="7" t="s">
        <v>26</v>
      </c>
      <c r="C3965" s="7" t="s">
        <v>27</v>
      </c>
      <c r="D3965" s="7" t="s">
        <v>28</v>
      </c>
      <c r="E3965" s="7" t="s">
        <v>29</v>
      </c>
      <c r="F3965" s="7" t="s">
        <v>203</v>
      </c>
      <c r="G3965" s="7">
        <v>99.900869999999998</v>
      </c>
      <c r="H3965" s="7"/>
    </row>
    <row r="3966" spans="1:8" x14ac:dyDescent="0.35">
      <c r="A3966" s="7" t="s">
        <v>359</v>
      </c>
      <c r="B3966" s="7" t="s">
        <v>26</v>
      </c>
      <c r="C3966" s="7" t="s">
        <v>27</v>
      </c>
      <c r="D3966" s="7" t="s">
        <v>28</v>
      </c>
      <c r="E3966" s="7" t="s">
        <v>29</v>
      </c>
      <c r="F3966" s="7" t="s">
        <v>204</v>
      </c>
      <c r="G3966" s="7">
        <v>99.620940000000004</v>
      </c>
      <c r="H3966" s="7"/>
    </row>
    <row r="3967" spans="1:8" x14ac:dyDescent="0.35">
      <c r="A3967" s="7" t="s">
        <v>359</v>
      </c>
      <c r="B3967" s="7" t="s">
        <v>26</v>
      </c>
      <c r="C3967" s="7" t="s">
        <v>27</v>
      </c>
      <c r="D3967" s="7" t="s">
        <v>28</v>
      </c>
      <c r="E3967" s="7" t="s">
        <v>29</v>
      </c>
      <c r="F3967" s="7" t="s">
        <v>205</v>
      </c>
      <c r="G3967" s="7">
        <v>99.60033</v>
      </c>
      <c r="H3967" s="7"/>
    </row>
    <row r="3968" spans="1:8" x14ac:dyDescent="0.35">
      <c r="A3968" s="7" t="s">
        <v>359</v>
      </c>
      <c r="B3968" s="7" t="s">
        <v>26</v>
      </c>
      <c r="C3968" s="7" t="s">
        <v>27</v>
      </c>
      <c r="D3968" s="7" t="s">
        <v>28</v>
      </c>
      <c r="E3968" s="7" t="s">
        <v>29</v>
      </c>
      <c r="F3968" s="7" t="s">
        <v>206</v>
      </c>
      <c r="G3968" s="7">
        <v>99.636219999999994</v>
      </c>
      <c r="H3968" s="7"/>
    </row>
    <row r="3969" spans="1:8" x14ac:dyDescent="0.35">
      <c r="A3969" s="7" t="s">
        <v>359</v>
      </c>
      <c r="B3969" s="7" t="s">
        <v>26</v>
      </c>
      <c r="C3969" s="7" t="s">
        <v>27</v>
      </c>
      <c r="D3969" s="7" t="s">
        <v>28</v>
      </c>
      <c r="E3969" s="7" t="s">
        <v>29</v>
      </c>
      <c r="F3969" s="7" t="s">
        <v>207</v>
      </c>
      <c r="G3969" s="7">
        <v>99.733760000000004</v>
      </c>
      <c r="H3969" s="7"/>
    </row>
    <row r="3970" spans="1:8" x14ac:dyDescent="0.35">
      <c r="A3970" s="7" t="s">
        <v>359</v>
      </c>
      <c r="B3970" s="7" t="s">
        <v>26</v>
      </c>
      <c r="C3970" s="7" t="s">
        <v>27</v>
      </c>
      <c r="D3970" s="7" t="s">
        <v>28</v>
      </c>
      <c r="E3970" s="7" t="s">
        <v>29</v>
      </c>
      <c r="F3970" s="7" t="s">
        <v>208</v>
      </c>
      <c r="G3970" s="7">
        <v>100.0467</v>
      </c>
      <c r="H3970" s="7"/>
    </row>
    <row r="3971" spans="1:8" x14ac:dyDescent="0.35">
      <c r="A3971" s="7" t="s">
        <v>359</v>
      </c>
      <c r="B3971" s="7" t="s">
        <v>26</v>
      </c>
      <c r="C3971" s="7" t="s">
        <v>27</v>
      </c>
      <c r="D3971" s="7" t="s">
        <v>28</v>
      </c>
      <c r="E3971" s="7" t="s">
        <v>29</v>
      </c>
      <c r="F3971" s="7" t="s">
        <v>209</v>
      </c>
      <c r="G3971" s="7">
        <v>100.4635</v>
      </c>
      <c r="H3971" s="7"/>
    </row>
    <row r="3972" spans="1:8" x14ac:dyDescent="0.35">
      <c r="A3972" s="7" t="s">
        <v>359</v>
      </c>
      <c r="B3972" s="7" t="s">
        <v>26</v>
      </c>
      <c r="C3972" s="7" t="s">
        <v>27</v>
      </c>
      <c r="D3972" s="7" t="s">
        <v>28</v>
      </c>
      <c r="E3972" s="7" t="s">
        <v>29</v>
      </c>
      <c r="F3972" s="7" t="s">
        <v>210</v>
      </c>
      <c r="G3972" s="7">
        <v>100.69280000000001</v>
      </c>
      <c r="H3972" s="7"/>
    </row>
    <row r="3973" spans="1:8" x14ac:dyDescent="0.35">
      <c r="A3973" s="7" t="s">
        <v>359</v>
      </c>
      <c r="B3973" s="7" t="s">
        <v>26</v>
      </c>
      <c r="C3973" s="7" t="s">
        <v>27</v>
      </c>
      <c r="D3973" s="7" t="s">
        <v>28</v>
      </c>
      <c r="E3973" s="7" t="s">
        <v>29</v>
      </c>
      <c r="F3973" s="7" t="s">
        <v>211</v>
      </c>
      <c r="G3973" s="7">
        <v>100.8074</v>
      </c>
      <c r="H3973" s="7"/>
    </row>
    <row r="3974" spans="1:8" x14ac:dyDescent="0.35">
      <c r="A3974" s="7" t="s">
        <v>359</v>
      </c>
      <c r="B3974" s="7" t="s">
        <v>26</v>
      </c>
      <c r="C3974" s="7" t="s">
        <v>27</v>
      </c>
      <c r="D3974" s="7" t="s">
        <v>28</v>
      </c>
      <c r="E3974" s="7" t="s">
        <v>29</v>
      </c>
      <c r="F3974" s="7" t="s">
        <v>212</v>
      </c>
      <c r="G3974" s="7">
        <v>100.8391</v>
      </c>
      <c r="H3974" s="7"/>
    </row>
    <row r="3975" spans="1:8" x14ac:dyDescent="0.35">
      <c r="A3975" s="7" t="s">
        <v>359</v>
      </c>
      <c r="B3975" s="7" t="s">
        <v>26</v>
      </c>
      <c r="C3975" s="7" t="s">
        <v>27</v>
      </c>
      <c r="D3975" s="7" t="s">
        <v>28</v>
      </c>
      <c r="E3975" s="7" t="s">
        <v>29</v>
      </c>
      <c r="F3975" s="7" t="s">
        <v>213</v>
      </c>
      <c r="G3975" s="7">
        <v>100.6177</v>
      </c>
      <c r="H3975" s="7"/>
    </row>
    <row r="3976" spans="1:8" x14ac:dyDescent="0.35">
      <c r="A3976" s="7" t="s">
        <v>359</v>
      </c>
      <c r="B3976" s="7" t="s">
        <v>26</v>
      </c>
      <c r="C3976" s="7" t="s">
        <v>27</v>
      </c>
      <c r="D3976" s="7" t="s">
        <v>28</v>
      </c>
      <c r="E3976" s="7" t="s">
        <v>29</v>
      </c>
      <c r="F3976" s="7" t="s">
        <v>214</v>
      </c>
      <c r="G3976" s="7">
        <v>100.3479</v>
      </c>
      <c r="H3976" s="7"/>
    </row>
    <row r="3977" spans="1:8" x14ac:dyDescent="0.35">
      <c r="A3977" s="7" t="s">
        <v>359</v>
      </c>
      <c r="B3977" s="7" t="s">
        <v>26</v>
      </c>
      <c r="C3977" s="7" t="s">
        <v>27</v>
      </c>
      <c r="D3977" s="7" t="s">
        <v>28</v>
      </c>
      <c r="E3977" s="7" t="s">
        <v>29</v>
      </c>
      <c r="F3977" s="7" t="s">
        <v>215</v>
      </c>
      <c r="G3977" s="7">
        <v>100.1752</v>
      </c>
      <c r="H3977" s="7"/>
    </row>
    <row r="3978" spans="1:8" x14ac:dyDescent="0.35">
      <c r="A3978" s="7" t="s">
        <v>359</v>
      </c>
      <c r="B3978" s="7" t="s">
        <v>26</v>
      </c>
      <c r="C3978" s="7" t="s">
        <v>27</v>
      </c>
      <c r="D3978" s="7" t="s">
        <v>28</v>
      </c>
      <c r="E3978" s="7" t="s">
        <v>29</v>
      </c>
      <c r="F3978" s="7" t="s">
        <v>216</v>
      </c>
      <c r="G3978" s="7">
        <v>100.11539999999999</v>
      </c>
      <c r="H3978" s="7"/>
    </row>
    <row r="3979" spans="1:8" x14ac:dyDescent="0.35">
      <c r="A3979" s="7" t="s">
        <v>359</v>
      </c>
      <c r="B3979" s="7" t="s">
        <v>26</v>
      </c>
      <c r="C3979" s="7" t="s">
        <v>27</v>
      </c>
      <c r="D3979" s="7" t="s">
        <v>28</v>
      </c>
      <c r="E3979" s="7" t="s">
        <v>29</v>
      </c>
      <c r="F3979" s="7" t="s">
        <v>217</v>
      </c>
      <c r="G3979" s="7">
        <v>100.075</v>
      </c>
      <c r="H3979" s="7"/>
    </row>
    <row r="3980" spans="1:8" x14ac:dyDescent="0.35">
      <c r="A3980" s="7" t="s">
        <v>359</v>
      </c>
      <c r="B3980" s="7" t="s">
        <v>26</v>
      </c>
      <c r="C3980" s="7" t="s">
        <v>27</v>
      </c>
      <c r="D3980" s="7" t="s">
        <v>28</v>
      </c>
      <c r="E3980" s="7" t="s">
        <v>29</v>
      </c>
      <c r="F3980" s="7" t="s">
        <v>218</v>
      </c>
      <c r="G3980" s="7">
        <v>100.0521</v>
      </c>
      <c r="H3980" s="7"/>
    </row>
    <row r="3981" spans="1:8" x14ac:dyDescent="0.35">
      <c r="A3981" s="7" t="s">
        <v>359</v>
      </c>
      <c r="B3981" s="7" t="s">
        <v>26</v>
      </c>
      <c r="C3981" s="7" t="s">
        <v>27</v>
      </c>
      <c r="D3981" s="7" t="s">
        <v>28</v>
      </c>
      <c r="E3981" s="7" t="s">
        <v>29</v>
      </c>
      <c r="F3981" s="7" t="s">
        <v>219</v>
      </c>
      <c r="G3981" s="7">
        <v>99.824619999999996</v>
      </c>
      <c r="H3981" s="7"/>
    </row>
    <row r="3982" spans="1:8" x14ac:dyDescent="0.35">
      <c r="A3982" s="7" t="s">
        <v>359</v>
      </c>
      <c r="B3982" s="7" t="s">
        <v>26</v>
      </c>
      <c r="C3982" s="7" t="s">
        <v>27</v>
      </c>
      <c r="D3982" s="7" t="s">
        <v>28</v>
      </c>
      <c r="E3982" s="7" t="s">
        <v>29</v>
      </c>
      <c r="F3982" s="7" t="s">
        <v>220</v>
      </c>
      <c r="G3982" s="7">
        <v>99.571439999999996</v>
      </c>
      <c r="H3982" s="7"/>
    </row>
    <row r="3983" spans="1:8" x14ac:dyDescent="0.35">
      <c r="A3983" s="7" t="s">
        <v>359</v>
      </c>
      <c r="B3983" s="7" t="s">
        <v>26</v>
      </c>
      <c r="C3983" s="7" t="s">
        <v>27</v>
      </c>
      <c r="D3983" s="7" t="s">
        <v>28</v>
      </c>
      <c r="E3983" s="7" t="s">
        <v>29</v>
      </c>
      <c r="F3983" s="7" t="s">
        <v>221</v>
      </c>
      <c r="G3983" s="7">
        <v>99.279169999999993</v>
      </c>
      <c r="H3983" s="7"/>
    </row>
    <row r="3984" spans="1:8" x14ac:dyDescent="0.35">
      <c r="A3984" s="7" t="s">
        <v>359</v>
      </c>
      <c r="B3984" s="7" t="s">
        <v>26</v>
      </c>
      <c r="C3984" s="7" t="s">
        <v>27</v>
      </c>
      <c r="D3984" s="7" t="s">
        <v>28</v>
      </c>
      <c r="E3984" s="7" t="s">
        <v>29</v>
      </c>
      <c r="F3984" s="7" t="s">
        <v>222</v>
      </c>
      <c r="G3984" s="7">
        <v>98.995540000000005</v>
      </c>
      <c r="H3984" s="7"/>
    </row>
    <row r="3985" spans="1:8" x14ac:dyDescent="0.35">
      <c r="A3985" s="7" t="s">
        <v>359</v>
      </c>
      <c r="B3985" s="7" t="s">
        <v>26</v>
      </c>
      <c r="C3985" s="7" t="s">
        <v>27</v>
      </c>
      <c r="D3985" s="7" t="s">
        <v>28</v>
      </c>
      <c r="E3985" s="7" t="s">
        <v>29</v>
      </c>
      <c r="F3985" s="7" t="s">
        <v>223</v>
      </c>
      <c r="G3985" s="7">
        <v>98.828659999999999</v>
      </c>
      <c r="H3985" s="7"/>
    </row>
    <row r="3986" spans="1:8" x14ac:dyDescent="0.35">
      <c r="A3986" s="7" t="s">
        <v>359</v>
      </c>
      <c r="B3986" s="7" t="s">
        <v>26</v>
      </c>
      <c r="C3986" s="7" t="s">
        <v>27</v>
      </c>
      <c r="D3986" s="7" t="s">
        <v>28</v>
      </c>
      <c r="E3986" s="7" t="s">
        <v>29</v>
      </c>
      <c r="F3986" s="7" t="s">
        <v>224</v>
      </c>
      <c r="G3986" s="7">
        <v>98.66825</v>
      </c>
      <c r="H3986" s="7"/>
    </row>
    <row r="3987" spans="1:8" x14ac:dyDescent="0.35">
      <c r="A3987" s="7" t="s">
        <v>359</v>
      </c>
      <c r="B3987" s="7" t="s">
        <v>26</v>
      </c>
      <c r="C3987" s="7" t="s">
        <v>27</v>
      </c>
      <c r="D3987" s="7" t="s">
        <v>28</v>
      </c>
      <c r="E3987" s="7" t="s">
        <v>29</v>
      </c>
      <c r="F3987" s="7" t="s">
        <v>225</v>
      </c>
      <c r="G3987" s="7">
        <v>98.282200000000003</v>
      </c>
      <c r="H3987" s="7"/>
    </row>
    <row r="3988" spans="1:8" x14ac:dyDescent="0.35">
      <c r="A3988" s="7" t="s">
        <v>359</v>
      </c>
      <c r="B3988" s="7" t="s">
        <v>26</v>
      </c>
      <c r="C3988" s="7" t="s">
        <v>27</v>
      </c>
      <c r="D3988" s="7" t="s">
        <v>28</v>
      </c>
      <c r="E3988" s="7" t="s">
        <v>29</v>
      </c>
      <c r="F3988" s="7" t="s">
        <v>226</v>
      </c>
      <c r="G3988" s="7">
        <v>97.816789999999997</v>
      </c>
      <c r="H3988" s="7"/>
    </row>
    <row r="3989" spans="1:8" x14ac:dyDescent="0.35">
      <c r="A3989" s="7" t="s">
        <v>359</v>
      </c>
      <c r="B3989" s="7" t="s">
        <v>26</v>
      </c>
      <c r="C3989" s="7" t="s">
        <v>27</v>
      </c>
      <c r="D3989" s="7" t="s">
        <v>28</v>
      </c>
      <c r="E3989" s="7" t="s">
        <v>29</v>
      </c>
      <c r="F3989" s="7" t="s">
        <v>227</v>
      </c>
      <c r="G3989" s="7">
        <v>97.292169999999999</v>
      </c>
      <c r="H3989" s="7"/>
    </row>
    <row r="3990" spans="1:8" x14ac:dyDescent="0.35">
      <c r="A3990" s="7" t="s">
        <v>359</v>
      </c>
      <c r="B3990" s="7" t="s">
        <v>26</v>
      </c>
      <c r="C3990" s="7" t="s">
        <v>27</v>
      </c>
      <c r="D3990" s="7" t="s">
        <v>28</v>
      </c>
      <c r="E3990" s="7" t="s">
        <v>29</v>
      </c>
      <c r="F3990" s="7" t="s">
        <v>228</v>
      </c>
      <c r="G3990" s="7">
        <v>96.915499999999994</v>
      </c>
      <c r="H3990" s="7"/>
    </row>
    <row r="3991" spans="1:8" x14ac:dyDescent="0.35">
      <c r="A3991" s="7" t="s">
        <v>359</v>
      </c>
      <c r="B3991" s="7" t="s">
        <v>26</v>
      </c>
      <c r="C3991" s="7" t="s">
        <v>27</v>
      </c>
      <c r="D3991" s="7" t="s">
        <v>28</v>
      </c>
      <c r="E3991" s="7" t="s">
        <v>29</v>
      </c>
      <c r="F3991" s="7" t="s">
        <v>229</v>
      </c>
      <c r="G3991" s="7">
        <v>96.797049999999999</v>
      </c>
      <c r="H3991" s="7"/>
    </row>
    <row r="3992" spans="1:8" x14ac:dyDescent="0.35">
      <c r="A3992" s="7" t="s">
        <v>359</v>
      </c>
      <c r="B3992" s="7" t="s">
        <v>26</v>
      </c>
      <c r="C3992" s="7" t="s">
        <v>27</v>
      </c>
      <c r="D3992" s="7" t="s">
        <v>28</v>
      </c>
      <c r="E3992" s="7" t="s">
        <v>29</v>
      </c>
      <c r="F3992" s="7" t="s">
        <v>230</v>
      </c>
      <c r="G3992" s="7">
        <v>96.998760000000004</v>
      </c>
      <c r="H3992" s="7"/>
    </row>
    <row r="3993" spans="1:8" x14ac:dyDescent="0.35">
      <c r="A3993" s="7" t="s">
        <v>359</v>
      </c>
      <c r="B3993" s="7" t="s">
        <v>26</v>
      </c>
      <c r="C3993" s="7" t="s">
        <v>27</v>
      </c>
      <c r="D3993" s="7" t="s">
        <v>28</v>
      </c>
      <c r="E3993" s="7" t="s">
        <v>29</v>
      </c>
      <c r="F3993" s="7" t="s">
        <v>231</v>
      </c>
      <c r="G3993" s="7">
        <v>97.254300000000001</v>
      </c>
      <c r="H3993" s="7"/>
    </row>
    <row r="3994" spans="1:8" x14ac:dyDescent="0.35">
      <c r="A3994" s="7" t="s">
        <v>359</v>
      </c>
      <c r="B3994" s="7" t="s">
        <v>26</v>
      </c>
      <c r="C3994" s="7" t="s">
        <v>27</v>
      </c>
      <c r="D3994" s="7" t="s">
        <v>28</v>
      </c>
      <c r="E3994" s="7" t="s">
        <v>29</v>
      </c>
      <c r="F3994" s="7" t="s">
        <v>232</v>
      </c>
      <c r="G3994" s="7">
        <v>97.329819999999998</v>
      </c>
      <c r="H3994" s="7"/>
    </row>
    <row r="3995" spans="1:8" x14ac:dyDescent="0.35">
      <c r="A3995" s="7" t="s">
        <v>359</v>
      </c>
      <c r="B3995" s="7" t="s">
        <v>26</v>
      </c>
      <c r="C3995" s="7" t="s">
        <v>27</v>
      </c>
      <c r="D3995" s="7" t="s">
        <v>28</v>
      </c>
      <c r="E3995" s="7" t="s">
        <v>29</v>
      </c>
      <c r="F3995" s="7" t="s">
        <v>233</v>
      </c>
      <c r="G3995" s="7">
        <v>96.979320000000001</v>
      </c>
      <c r="H3995" s="7"/>
    </row>
    <row r="3996" spans="1:8" x14ac:dyDescent="0.35">
      <c r="A3996" s="7" t="s">
        <v>359</v>
      </c>
      <c r="B3996" s="7" t="s">
        <v>26</v>
      </c>
      <c r="C3996" s="7" t="s">
        <v>27</v>
      </c>
      <c r="D3996" s="7" t="s">
        <v>28</v>
      </c>
      <c r="E3996" s="7" t="s">
        <v>29</v>
      </c>
      <c r="F3996" s="7" t="s">
        <v>234</v>
      </c>
      <c r="G3996" s="7">
        <v>96.724490000000003</v>
      </c>
      <c r="H3996" s="7"/>
    </row>
    <row r="3997" spans="1:8" x14ac:dyDescent="0.35">
      <c r="A3997" s="7" t="s">
        <v>359</v>
      </c>
      <c r="B3997" s="7" t="s">
        <v>26</v>
      </c>
      <c r="C3997" s="7" t="s">
        <v>27</v>
      </c>
      <c r="D3997" s="7" t="s">
        <v>28</v>
      </c>
      <c r="E3997" s="7" t="s">
        <v>29</v>
      </c>
      <c r="F3997" s="7" t="s">
        <v>235</v>
      </c>
      <c r="G3997" s="7">
        <v>96.717079999999996</v>
      </c>
      <c r="H3997" s="7"/>
    </row>
    <row r="3998" spans="1:8" x14ac:dyDescent="0.35">
      <c r="A3998" s="7" t="s">
        <v>359</v>
      </c>
      <c r="B3998" s="7" t="s">
        <v>26</v>
      </c>
      <c r="C3998" s="7" t="s">
        <v>27</v>
      </c>
      <c r="D3998" s="7" t="s">
        <v>28</v>
      </c>
      <c r="E3998" s="7" t="s">
        <v>29</v>
      </c>
      <c r="F3998" s="7" t="s">
        <v>236</v>
      </c>
      <c r="G3998" s="7">
        <v>96.724239999999995</v>
      </c>
      <c r="H3998" s="7"/>
    </row>
    <row r="3999" spans="1:8" x14ac:dyDescent="0.35">
      <c r="A3999" s="7" t="s">
        <v>359</v>
      </c>
      <c r="B3999" s="7" t="s">
        <v>26</v>
      </c>
      <c r="C3999" s="7" t="s">
        <v>27</v>
      </c>
      <c r="D3999" s="7" t="s">
        <v>28</v>
      </c>
      <c r="E3999" s="7" t="s">
        <v>29</v>
      </c>
      <c r="F3999" s="7" t="s">
        <v>237</v>
      </c>
      <c r="G3999" s="7">
        <v>96.69838</v>
      </c>
      <c r="H3999" s="7"/>
    </row>
    <row r="4000" spans="1:8" x14ac:dyDescent="0.35">
      <c r="A4000" s="7" t="s">
        <v>359</v>
      </c>
      <c r="B4000" s="7" t="s">
        <v>26</v>
      </c>
      <c r="C4000" s="7" t="s">
        <v>27</v>
      </c>
      <c r="D4000" s="7" t="s">
        <v>28</v>
      </c>
      <c r="E4000" s="7" t="s">
        <v>29</v>
      </c>
      <c r="F4000" s="7" t="s">
        <v>238</v>
      </c>
      <c r="G4000" s="7">
        <v>96.898899999999998</v>
      </c>
      <c r="H4000" s="7"/>
    </row>
    <row r="4001" spans="1:8" x14ac:dyDescent="0.35">
      <c r="A4001" s="7" t="s">
        <v>359</v>
      </c>
      <c r="B4001" s="7" t="s">
        <v>26</v>
      </c>
      <c r="C4001" s="7" t="s">
        <v>27</v>
      </c>
      <c r="D4001" s="7" t="s">
        <v>28</v>
      </c>
      <c r="E4001" s="7" t="s">
        <v>29</v>
      </c>
      <c r="F4001" s="7" t="s">
        <v>239</v>
      </c>
      <c r="G4001" s="7">
        <v>97.343909999999994</v>
      </c>
      <c r="H4001" s="7"/>
    </row>
    <row r="4002" spans="1:8" x14ac:dyDescent="0.35">
      <c r="A4002" s="7" t="s">
        <v>359</v>
      </c>
      <c r="B4002" s="7" t="s">
        <v>26</v>
      </c>
      <c r="C4002" s="7" t="s">
        <v>27</v>
      </c>
      <c r="D4002" s="7" t="s">
        <v>28</v>
      </c>
      <c r="E4002" s="7" t="s">
        <v>29</v>
      </c>
      <c r="F4002" s="7" t="s">
        <v>240</v>
      </c>
      <c r="G4002" s="7">
        <v>97.72681</v>
      </c>
      <c r="H4002" s="7"/>
    </row>
    <row r="4003" spans="1:8" x14ac:dyDescent="0.35">
      <c r="A4003" s="7" t="s">
        <v>359</v>
      </c>
      <c r="B4003" s="7" t="s">
        <v>26</v>
      </c>
      <c r="C4003" s="7" t="s">
        <v>27</v>
      </c>
      <c r="D4003" s="7" t="s">
        <v>28</v>
      </c>
      <c r="E4003" s="7" t="s">
        <v>29</v>
      </c>
      <c r="F4003" s="7" t="s">
        <v>241</v>
      </c>
      <c r="G4003" s="7">
        <v>97.885339999999999</v>
      </c>
      <c r="H4003" s="7"/>
    </row>
    <row r="4004" spans="1:8" x14ac:dyDescent="0.35">
      <c r="A4004" s="7" t="s">
        <v>359</v>
      </c>
      <c r="B4004" s="7" t="s">
        <v>26</v>
      </c>
      <c r="C4004" s="7" t="s">
        <v>27</v>
      </c>
      <c r="D4004" s="7" t="s">
        <v>28</v>
      </c>
      <c r="E4004" s="7" t="s">
        <v>29</v>
      </c>
      <c r="F4004" s="7" t="s">
        <v>242</v>
      </c>
      <c r="G4004" s="7">
        <v>97.840440000000001</v>
      </c>
      <c r="H4004" s="7"/>
    </row>
    <row r="4005" spans="1:8" x14ac:dyDescent="0.35">
      <c r="A4005" s="7" t="s">
        <v>359</v>
      </c>
      <c r="B4005" s="7" t="s">
        <v>26</v>
      </c>
      <c r="C4005" s="7" t="s">
        <v>27</v>
      </c>
      <c r="D4005" s="7" t="s">
        <v>28</v>
      </c>
      <c r="E4005" s="7" t="s">
        <v>29</v>
      </c>
      <c r="F4005" s="7" t="s">
        <v>243</v>
      </c>
      <c r="G4005" s="7">
        <v>97.883830000000003</v>
      </c>
      <c r="H4005" s="7"/>
    </row>
    <row r="4006" spans="1:8" x14ac:dyDescent="0.35">
      <c r="A4006" s="7" t="s">
        <v>359</v>
      </c>
      <c r="B4006" s="7" t="s">
        <v>26</v>
      </c>
      <c r="C4006" s="7" t="s">
        <v>27</v>
      </c>
      <c r="D4006" s="7" t="s">
        <v>28</v>
      </c>
      <c r="E4006" s="7" t="s">
        <v>29</v>
      </c>
      <c r="F4006" s="7" t="s">
        <v>244</v>
      </c>
      <c r="G4006" s="7">
        <v>98.060419999999993</v>
      </c>
      <c r="H4006" s="7"/>
    </row>
    <row r="4007" spans="1:8" x14ac:dyDescent="0.35">
      <c r="A4007" s="7" t="s">
        <v>359</v>
      </c>
      <c r="B4007" s="7" t="s">
        <v>26</v>
      </c>
      <c r="C4007" s="7" t="s">
        <v>27</v>
      </c>
      <c r="D4007" s="7" t="s">
        <v>28</v>
      </c>
      <c r="E4007" s="7" t="s">
        <v>29</v>
      </c>
      <c r="F4007" s="7" t="s">
        <v>245</v>
      </c>
      <c r="G4007" s="7">
        <v>98.089860000000002</v>
      </c>
      <c r="H4007" s="7"/>
    </row>
    <row r="4008" spans="1:8" x14ac:dyDescent="0.35">
      <c r="A4008" s="7" t="s">
        <v>359</v>
      </c>
      <c r="B4008" s="7" t="s">
        <v>26</v>
      </c>
      <c r="C4008" s="7" t="s">
        <v>27</v>
      </c>
      <c r="D4008" s="7" t="s">
        <v>28</v>
      </c>
      <c r="E4008" s="7" t="s">
        <v>29</v>
      </c>
      <c r="F4008" s="7" t="s">
        <v>246</v>
      </c>
      <c r="G4008" s="7">
        <v>98.103800000000007</v>
      </c>
      <c r="H4008" s="7"/>
    </row>
    <row r="4009" spans="1:8" x14ac:dyDescent="0.35">
      <c r="A4009" s="7" t="s">
        <v>359</v>
      </c>
      <c r="B4009" s="7" t="s">
        <v>26</v>
      </c>
      <c r="C4009" s="7" t="s">
        <v>27</v>
      </c>
      <c r="D4009" s="7" t="s">
        <v>28</v>
      </c>
      <c r="E4009" s="7" t="s">
        <v>29</v>
      </c>
      <c r="F4009" s="7" t="s">
        <v>247</v>
      </c>
      <c r="G4009" s="7">
        <v>98.276700000000005</v>
      </c>
      <c r="H4009" s="7"/>
    </row>
    <row r="4010" spans="1:8" x14ac:dyDescent="0.35">
      <c r="A4010" s="7" t="s">
        <v>359</v>
      </c>
      <c r="B4010" s="7" t="s">
        <v>26</v>
      </c>
      <c r="C4010" s="7" t="s">
        <v>27</v>
      </c>
      <c r="D4010" s="7" t="s">
        <v>28</v>
      </c>
      <c r="E4010" s="7" t="s">
        <v>29</v>
      </c>
      <c r="F4010" s="7" t="s">
        <v>248</v>
      </c>
      <c r="G4010" s="7">
        <v>98.436980000000005</v>
      </c>
      <c r="H4010" s="7"/>
    </row>
    <row r="4011" spans="1:8" x14ac:dyDescent="0.35">
      <c r="A4011" s="7" t="s">
        <v>359</v>
      </c>
      <c r="B4011" s="7" t="s">
        <v>26</v>
      </c>
      <c r="C4011" s="7" t="s">
        <v>27</v>
      </c>
      <c r="D4011" s="7" t="s">
        <v>28</v>
      </c>
      <c r="E4011" s="7" t="s">
        <v>29</v>
      </c>
      <c r="F4011" s="7" t="s">
        <v>249</v>
      </c>
      <c r="G4011" s="7">
        <v>98.491619999999998</v>
      </c>
      <c r="H4011" s="7"/>
    </row>
    <row r="4012" spans="1:8" x14ac:dyDescent="0.35">
      <c r="A4012" s="7" t="s">
        <v>359</v>
      </c>
      <c r="B4012" s="7" t="s">
        <v>26</v>
      </c>
      <c r="C4012" s="7" t="s">
        <v>27</v>
      </c>
      <c r="D4012" s="7" t="s">
        <v>28</v>
      </c>
      <c r="E4012" s="7" t="s">
        <v>29</v>
      </c>
      <c r="F4012" s="7" t="s">
        <v>250</v>
      </c>
      <c r="G4012" s="7">
        <v>98.48854</v>
      </c>
      <c r="H4012" s="7"/>
    </row>
    <row r="4013" spans="1:8" x14ac:dyDescent="0.35">
      <c r="A4013" s="7" t="s">
        <v>359</v>
      </c>
      <c r="B4013" s="7" t="s">
        <v>26</v>
      </c>
      <c r="C4013" s="7" t="s">
        <v>27</v>
      </c>
      <c r="D4013" s="7" t="s">
        <v>28</v>
      </c>
      <c r="E4013" s="7" t="s">
        <v>29</v>
      </c>
      <c r="F4013" s="7" t="s">
        <v>251</v>
      </c>
      <c r="G4013" s="7">
        <v>98.468289999999996</v>
      </c>
      <c r="H4013" s="7"/>
    </row>
    <row r="4014" spans="1:8" x14ac:dyDescent="0.35">
      <c r="A4014" s="7" t="s">
        <v>359</v>
      </c>
      <c r="B4014" s="7" t="s">
        <v>26</v>
      </c>
      <c r="C4014" s="7" t="s">
        <v>27</v>
      </c>
      <c r="D4014" s="7" t="s">
        <v>28</v>
      </c>
      <c r="E4014" s="7" t="s">
        <v>29</v>
      </c>
      <c r="F4014" s="7" t="s">
        <v>252</v>
      </c>
      <c r="G4014" s="7">
        <v>98.467029999999994</v>
      </c>
      <c r="H4014" s="7"/>
    </row>
    <row r="4015" spans="1:8" x14ac:dyDescent="0.35">
      <c r="A4015" s="7" t="s">
        <v>359</v>
      </c>
      <c r="B4015" s="7" t="s">
        <v>26</v>
      </c>
      <c r="C4015" s="7" t="s">
        <v>27</v>
      </c>
      <c r="D4015" s="7" t="s">
        <v>28</v>
      </c>
      <c r="E4015" s="7" t="s">
        <v>29</v>
      </c>
      <c r="F4015" s="7" t="s">
        <v>253</v>
      </c>
      <c r="G4015" s="7">
        <v>98.372799999999998</v>
      </c>
      <c r="H4015" s="7"/>
    </row>
    <row r="4016" spans="1:8" x14ac:dyDescent="0.35">
      <c r="A4016" s="7" t="s">
        <v>359</v>
      </c>
      <c r="B4016" s="7" t="s">
        <v>26</v>
      </c>
      <c r="C4016" s="7" t="s">
        <v>27</v>
      </c>
      <c r="D4016" s="7" t="s">
        <v>28</v>
      </c>
      <c r="E4016" s="7" t="s">
        <v>29</v>
      </c>
      <c r="F4016" s="7" t="s">
        <v>254</v>
      </c>
      <c r="G4016" s="7">
        <v>98.090770000000006</v>
      </c>
      <c r="H4016" s="7"/>
    </row>
    <row r="4017" spans="1:8" x14ac:dyDescent="0.35">
      <c r="A4017" s="7" t="s">
        <v>359</v>
      </c>
      <c r="B4017" s="7" t="s">
        <v>26</v>
      </c>
      <c r="C4017" s="7" t="s">
        <v>27</v>
      </c>
      <c r="D4017" s="7" t="s">
        <v>28</v>
      </c>
      <c r="E4017" s="7" t="s">
        <v>29</v>
      </c>
      <c r="F4017" s="7" t="s">
        <v>255</v>
      </c>
      <c r="G4017" s="7">
        <v>97.918760000000006</v>
      </c>
      <c r="H4017" s="7"/>
    </row>
    <row r="4018" spans="1:8" x14ac:dyDescent="0.35">
      <c r="A4018" s="7" t="s">
        <v>359</v>
      </c>
      <c r="B4018" s="7" t="s">
        <v>26</v>
      </c>
      <c r="C4018" s="7" t="s">
        <v>27</v>
      </c>
      <c r="D4018" s="7" t="s">
        <v>28</v>
      </c>
      <c r="E4018" s="7" t="s">
        <v>29</v>
      </c>
      <c r="F4018" s="7" t="s">
        <v>256</v>
      </c>
      <c r="G4018" s="7">
        <v>97.868390000000005</v>
      </c>
      <c r="H4018" s="7"/>
    </row>
    <row r="4019" spans="1:8" x14ac:dyDescent="0.35">
      <c r="A4019" s="7" t="s">
        <v>359</v>
      </c>
      <c r="B4019" s="7" t="s">
        <v>26</v>
      </c>
      <c r="C4019" s="7" t="s">
        <v>27</v>
      </c>
      <c r="D4019" s="7" t="s">
        <v>28</v>
      </c>
      <c r="E4019" s="7" t="s">
        <v>29</v>
      </c>
      <c r="F4019" s="7" t="s">
        <v>257</v>
      </c>
      <c r="G4019" s="7">
        <v>97.965990000000005</v>
      </c>
      <c r="H4019" s="7"/>
    </row>
    <row r="4020" spans="1:8" x14ac:dyDescent="0.35">
      <c r="A4020" s="7" t="s">
        <v>359</v>
      </c>
      <c r="B4020" s="7" t="s">
        <v>26</v>
      </c>
      <c r="C4020" s="7" t="s">
        <v>27</v>
      </c>
      <c r="D4020" s="7" t="s">
        <v>28</v>
      </c>
      <c r="E4020" s="7" t="s">
        <v>29</v>
      </c>
      <c r="F4020" s="7" t="s">
        <v>258</v>
      </c>
      <c r="G4020" s="7">
        <v>98.220920000000007</v>
      </c>
      <c r="H4020" s="7"/>
    </row>
    <row r="4021" spans="1:8" x14ac:dyDescent="0.35">
      <c r="A4021" s="7" t="s">
        <v>359</v>
      </c>
      <c r="B4021" s="7" t="s">
        <v>26</v>
      </c>
      <c r="C4021" s="7" t="s">
        <v>27</v>
      </c>
      <c r="D4021" s="7" t="s">
        <v>28</v>
      </c>
      <c r="E4021" s="7" t="s">
        <v>29</v>
      </c>
      <c r="F4021" s="7" t="s">
        <v>259</v>
      </c>
      <c r="G4021" s="7">
        <v>98.469449999999995</v>
      </c>
      <c r="H4021" s="7"/>
    </row>
    <row r="4022" spans="1:8" x14ac:dyDescent="0.35">
      <c r="A4022" s="7" t="s">
        <v>359</v>
      </c>
      <c r="B4022" s="7" t="s">
        <v>26</v>
      </c>
      <c r="C4022" s="7" t="s">
        <v>27</v>
      </c>
      <c r="D4022" s="7" t="s">
        <v>28</v>
      </c>
      <c r="E4022" s="7" t="s">
        <v>29</v>
      </c>
      <c r="F4022" s="7" t="s">
        <v>260</v>
      </c>
      <c r="G4022" s="7">
        <v>98.576719999999995</v>
      </c>
      <c r="H4022" s="7"/>
    </row>
    <row r="4023" spans="1:8" x14ac:dyDescent="0.35">
      <c r="A4023" s="7" t="s">
        <v>359</v>
      </c>
      <c r="B4023" s="7" t="s">
        <v>26</v>
      </c>
      <c r="C4023" s="7" t="s">
        <v>27</v>
      </c>
      <c r="D4023" s="7" t="s">
        <v>28</v>
      </c>
      <c r="E4023" s="7" t="s">
        <v>29</v>
      </c>
      <c r="F4023" s="7" t="s">
        <v>261</v>
      </c>
      <c r="G4023" s="7">
        <v>98.528120000000001</v>
      </c>
      <c r="H4023" s="7"/>
    </row>
    <row r="4024" spans="1:8" x14ac:dyDescent="0.35">
      <c r="A4024" s="7" t="s">
        <v>359</v>
      </c>
      <c r="B4024" s="7" t="s">
        <v>26</v>
      </c>
      <c r="C4024" s="7" t="s">
        <v>27</v>
      </c>
      <c r="D4024" s="7" t="s">
        <v>28</v>
      </c>
      <c r="E4024" s="7" t="s">
        <v>29</v>
      </c>
      <c r="F4024" s="7" t="s">
        <v>262</v>
      </c>
      <c r="G4024" s="7">
        <v>98.286789999999996</v>
      </c>
      <c r="H4024" s="7"/>
    </row>
    <row r="4025" spans="1:8" x14ac:dyDescent="0.35">
      <c r="A4025" s="7" t="s">
        <v>359</v>
      </c>
      <c r="B4025" s="7" t="s">
        <v>26</v>
      </c>
      <c r="C4025" s="7" t="s">
        <v>27</v>
      </c>
      <c r="D4025" s="7" t="s">
        <v>28</v>
      </c>
      <c r="E4025" s="7" t="s">
        <v>29</v>
      </c>
      <c r="F4025" s="7" t="s">
        <v>263</v>
      </c>
      <c r="G4025" s="7">
        <v>98.228920000000002</v>
      </c>
      <c r="H4025" s="7"/>
    </row>
    <row r="4026" spans="1:8" x14ac:dyDescent="0.35">
      <c r="A4026" s="7" t="s">
        <v>359</v>
      </c>
      <c r="B4026" s="7" t="s">
        <v>26</v>
      </c>
      <c r="C4026" s="7" t="s">
        <v>27</v>
      </c>
      <c r="D4026" s="7" t="s">
        <v>28</v>
      </c>
      <c r="E4026" s="7" t="s">
        <v>29</v>
      </c>
      <c r="F4026" s="7" t="s">
        <v>264</v>
      </c>
      <c r="G4026" s="7">
        <v>98.213369999999998</v>
      </c>
      <c r="H4026" s="7"/>
    </row>
    <row r="4027" spans="1:8" x14ac:dyDescent="0.35">
      <c r="A4027" s="7" t="s">
        <v>359</v>
      </c>
      <c r="B4027" s="7" t="s">
        <v>26</v>
      </c>
      <c r="C4027" s="7" t="s">
        <v>27</v>
      </c>
      <c r="D4027" s="7" t="s">
        <v>28</v>
      </c>
      <c r="E4027" s="7" t="s">
        <v>29</v>
      </c>
      <c r="F4027" s="7" t="s">
        <v>265</v>
      </c>
      <c r="G4027" s="7">
        <v>97.908969999999997</v>
      </c>
      <c r="H4027" s="7"/>
    </row>
    <row r="4028" spans="1:8" x14ac:dyDescent="0.35">
      <c r="A4028" s="7" t="s">
        <v>359</v>
      </c>
      <c r="B4028" s="7" t="s">
        <v>26</v>
      </c>
      <c r="C4028" s="7" t="s">
        <v>27</v>
      </c>
      <c r="D4028" s="7" t="s">
        <v>28</v>
      </c>
      <c r="E4028" s="7" t="s">
        <v>29</v>
      </c>
      <c r="F4028" s="7" t="s">
        <v>266</v>
      </c>
      <c r="G4028" s="7">
        <v>97.337429999999998</v>
      </c>
      <c r="H4028" s="7"/>
    </row>
    <row r="4029" spans="1:8" x14ac:dyDescent="0.35">
      <c r="A4029" s="7" t="s">
        <v>359</v>
      </c>
      <c r="B4029" s="7" t="s">
        <v>26</v>
      </c>
      <c r="C4029" s="7" t="s">
        <v>27</v>
      </c>
      <c r="D4029" s="7" t="s">
        <v>28</v>
      </c>
      <c r="E4029" s="7" t="s">
        <v>29</v>
      </c>
      <c r="F4029" s="7" t="s">
        <v>267</v>
      </c>
      <c r="G4029" s="7">
        <v>96.849580000000003</v>
      </c>
      <c r="H4029" s="7"/>
    </row>
    <row r="4030" spans="1:8" x14ac:dyDescent="0.35">
      <c r="A4030" s="7" t="s">
        <v>359</v>
      </c>
      <c r="B4030" s="7" t="s">
        <v>26</v>
      </c>
      <c r="C4030" s="7" t="s">
        <v>27</v>
      </c>
      <c r="D4030" s="7" t="s">
        <v>28</v>
      </c>
      <c r="E4030" s="7" t="s">
        <v>29</v>
      </c>
      <c r="F4030" s="7" t="s">
        <v>268</v>
      </c>
      <c r="G4030" s="7">
        <v>96.783029999999997</v>
      </c>
      <c r="H4030" s="7"/>
    </row>
    <row r="4031" spans="1:8" x14ac:dyDescent="0.35">
      <c r="A4031" s="7" t="s">
        <v>359</v>
      </c>
      <c r="B4031" s="7" t="s">
        <v>26</v>
      </c>
      <c r="C4031" s="7" t="s">
        <v>27</v>
      </c>
      <c r="D4031" s="7" t="s">
        <v>28</v>
      </c>
      <c r="E4031" s="7" t="s">
        <v>29</v>
      </c>
      <c r="F4031" s="7" t="s">
        <v>269</v>
      </c>
      <c r="G4031" s="7">
        <v>97.012540000000001</v>
      </c>
      <c r="H4031" s="7"/>
    </row>
    <row r="4032" spans="1:8" x14ac:dyDescent="0.35">
      <c r="A4032" s="7" t="s">
        <v>359</v>
      </c>
      <c r="B4032" s="7" t="s">
        <v>26</v>
      </c>
      <c r="C4032" s="7" t="s">
        <v>27</v>
      </c>
      <c r="D4032" s="7" t="s">
        <v>28</v>
      </c>
      <c r="E4032" s="7" t="s">
        <v>29</v>
      </c>
      <c r="F4032" s="7" t="s">
        <v>270</v>
      </c>
      <c r="G4032" s="7">
        <v>97.450159999999997</v>
      </c>
      <c r="H4032" s="7"/>
    </row>
    <row r="4033" spans="1:8" x14ac:dyDescent="0.35">
      <c r="A4033" s="7" t="s">
        <v>359</v>
      </c>
      <c r="B4033" s="7" t="s">
        <v>26</v>
      </c>
      <c r="C4033" s="7" t="s">
        <v>27</v>
      </c>
      <c r="D4033" s="7" t="s">
        <v>28</v>
      </c>
      <c r="E4033" s="7" t="s">
        <v>29</v>
      </c>
      <c r="F4033" s="7" t="s">
        <v>271</v>
      </c>
      <c r="G4033" s="7">
        <v>97.991479999999996</v>
      </c>
      <c r="H4033" s="7"/>
    </row>
    <row r="4034" spans="1:8" x14ac:dyDescent="0.35">
      <c r="A4034" s="7" t="s">
        <v>359</v>
      </c>
      <c r="B4034" s="7" t="s">
        <v>26</v>
      </c>
      <c r="C4034" s="7" t="s">
        <v>27</v>
      </c>
      <c r="D4034" s="7" t="s">
        <v>28</v>
      </c>
      <c r="E4034" s="7" t="s">
        <v>29</v>
      </c>
      <c r="F4034" s="7" t="s">
        <v>272</v>
      </c>
      <c r="G4034" s="7">
        <v>98.452960000000004</v>
      </c>
      <c r="H4034" s="7"/>
    </row>
    <row r="4035" spans="1:8" x14ac:dyDescent="0.35">
      <c r="A4035" s="7" t="s">
        <v>359</v>
      </c>
      <c r="B4035" s="7" t="s">
        <v>26</v>
      </c>
      <c r="C4035" s="7" t="s">
        <v>27</v>
      </c>
      <c r="D4035" s="7" t="s">
        <v>28</v>
      </c>
      <c r="E4035" s="7" t="s">
        <v>29</v>
      </c>
      <c r="F4035" s="7" t="s">
        <v>273</v>
      </c>
      <c r="G4035" s="7">
        <v>98.710239999999999</v>
      </c>
      <c r="H4035" s="7"/>
    </row>
    <row r="4036" spans="1:8" x14ac:dyDescent="0.35">
      <c r="A4036" s="7" t="s">
        <v>359</v>
      </c>
      <c r="B4036" s="7" t="s">
        <v>26</v>
      </c>
      <c r="C4036" s="7" t="s">
        <v>27</v>
      </c>
      <c r="D4036" s="7" t="s">
        <v>28</v>
      </c>
      <c r="E4036" s="7" t="s">
        <v>29</v>
      </c>
      <c r="F4036" s="7" t="s">
        <v>274</v>
      </c>
      <c r="G4036" s="7">
        <v>98.834230000000005</v>
      </c>
      <c r="H4036" s="7"/>
    </row>
    <row r="4037" spans="1:8" x14ac:dyDescent="0.35">
      <c r="A4037" s="7" t="s">
        <v>359</v>
      </c>
      <c r="B4037" s="7" t="s">
        <v>26</v>
      </c>
      <c r="C4037" s="7" t="s">
        <v>27</v>
      </c>
      <c r="D4037" s="7" t="s">
        <v>28</v>
      </c>
      <c r="E4037" s="7" t="s">
        <v>29</v>
      </c>
      <c r="F4037" s="7" t="s">
        <v>275</v>
      </c>
      <c r="G4037" s="7">
        <v>98.868970000000004</v>
      </c>
      <c r="H4037" s="7"/>
    </row>
    <row r="4038" spans="1:8" x14ac:dyDescent="0.35">
      <c r="A4038" s="7" t="s">
        <v>359</v>
      </c>
      <c r="B4038" s="7" t="s">
        <v>26</v>
      </c>
      <c r="C4038" s="7" t="s">
        <v>27</v>
      </c>
      <c r="D4038" s="7" t="s">
        <v>28</v>
      </c>
      <c r="E4038" s="7" t="s">
        <v>29</v>
      </c>
      <c r="F4038" s="7" t="s">
        <v>276</v>
      </c>
      <c r="G4038" s="7">
        <v>98.813159999999996</v>
      </c>
      <c r="H4038" s="7"/>
    </row>
    <row r="4039" spans="1:8" x14ac:dyDescent="0.35">
      <c r="A4039" s="7" t="s">
        <v>359</v>
      </c>
      <c r="B4039" s="7" t="s">
        <v>26</v>
      </c>
      <c r="C4039" s="7" t="s">
        <v>27</v>
      </c>
      <c r="D4039" s="7" t="s">
        <v>28</v>
      </c>
      <c r="E4039" s="7" t="s">
        <v>29</v>
      </c>
      <c r="F4039" s="7" t="s">
        <v>277</v>
      </c>
      <c r="G4039" s="7">
        <v>98.608789999999999</v>
      </c>
      <c r="H4039" s="7"/>
    </row>
    <row r="4040" spans="1:8" x14ac:dyDescent="0.35">
      <c r="A4040" s="7" t="s">
        <v>359</v>
      </c>
      <c r="B4040" s="7" t="s">
        <v>26</v>
      </c>
      <c r="C4040" s="7" t="s">
        <v>27</v>
      </c>
      <c r="D4040" s="7" t="s">
        <v>28</v>
      </c>
      <c r="E4040" s="7" t="s">
        <v>29</v>
      </c>
      <c r="F4040" s="7" t="s">
        <v>278</v>
      </c>
      <c r="G4040" s="7">
        <v>98.536770000000004</v>
      </c>
      <c r="H4040" s="7"/>
    </row>
    <row r="4041" spans="1:8" x14ac:dyDescent="0.35">
      <c r="A4041" s="7" t="s">
        <v>359</v>
      </c>
      <c r="B4041" s="7" t="s">
        <v>26</v>
      </c>
      <c r="C4041" s="7" t="s">
        <v>27</v>
      </c>
      <c r="D4041" s="7" t="s">
        <v>28</v>
      </c>
      <c r="E4041" s="7" t="s">
        <v>29</v>
      </c>
      <c r="F4041" s="7" t="s">
        <v>279</v>
      </c>
      <c r="G4041" s="7">
        <v>98.706580000000002</v>
      </c>
      <c r="H4041" s="7"/>
    </row>
    <row r="4042" spans="1:8" x14ac:dyDescent="0.35">
      <c r="A4042" s="7" t="s">
        <v>359</v>
      </c>
      <c r="B4042" s="7" t="s">
        <v>26</v>
      </c>
      <c r="C4042" s="7" t="s">
        <v>27</v>
      </c>
      <c r="D4042" s="7" t="s">
        <v>28</v>
      </c>
      <c r="E4042" s="7" t="s">
        <v>29</v>
      </c>
      <c r="F4042" s="7" t="s">
        <v>280</v>
      </c>
      <c r="G4042" s="7">
        <v>99.022760000000005</v>
      </c>
      <c r="H4042" s="7"/>
    </row>
    <row r="4043" spans="1:8" x14ac:dyDescent="0.35">
      <c r="A4043" s="7" t="s">
        <v>359</v>
      </c>
      <c r="B4043" s="7" t="s">
        <v>26</v>
      </c>
      <c r="C4043" s="7" t="s">
        <v>27</v>
      </c>
      <c r="D4043" s="7" t="s">
        <v>28</v>
      </c>
      <c r="E4043" s="7" t="s">
        <v>29</v>
      </c>
      <c r="F4043" s="7" t="s">
        <v>281</v>
      </c>
      <c r="G4043" s="7">
        <v>99.249499999999998</v>
      </c>
      <c r="H4043" s="7"/>
    </row>
    <row r="4044" spans="1:8" x14ac:dyDescent="0.35">
      <c r="A4044" s="7" t="s">
        <v>359</v>
      </c>
      <c r="B4044" s="7" t="s">
        <v>26</v>
      </c>
      <c r="C4044" s="7" t="s">
        <v>27</v>
      </c>
      <c r="D4044" s="7" t="s">
        <v>28</v>
      </c>
      <c r="E4044" s="7" t="s">
        <v>29</v>
      </c>
      <c r="F4044" s="7" t="s">
        <v>282</v>
      </c>
      <c r="G4044" s="7">
        <v>99.163139999999999</v>
      </c>
      <c r="H4044" s="7"/>
    </row>
    <row r="4045" spans="1:8" x14ac:dyDescent="0.35">
      <c r="A4045" s="7" t="s">
        <v>359</v>
      </c>
      <c r="B4045" s="7" t="s">
        <v>26</v>
      </c>
      <c r="C4045" s="7" t="s">
        <v>27</v>
      </c>
      <c r="D4045" s="7" t="s">
        <v>28</v>
      </c>
      <c r="E4045" s="7" t="s">
        <v>29</v>
      </c>
      <c r="F4045" s="7" t="s">
        <v>283</v>
      </c>
      <c r="G4045" s="7">
        <v>98.829310000000007</v>
      </c>
      <c r="H4045" s="7"/>
    </row>
    <row r="4046" spans="1:8" x14ac:dyDescent="0.35">
      <c r="A4046" s="7" t="s">
        <v>359</v>
      </c>
      <c r="B4046" s="7" t="s">
        <v>26</v>
      </c>
      <c r="C4046" s="7" t="s">
        <v>27</v>
      </c>
      <c r="D4046" s="7" t="s">
        <v>28</v>
      </c>
      <c r="E4046" s="7" t="s">
        <v>29</v>
      </c>
      <c r="F4046" s="7" t="s">
        <v>284</v>
      </c>
      <c r="G4046" s="7">
        <v>98.700950000000006</v>
      </c>
      <c r="H4046" s="7"/>
    </row>
    <row r="4047" spans="1:8" x14ac:dyDescent="0.35">
      <c r="A4047" s="7" t="s">
        <v>359</v>
      </c>
      <c r="B4047" s="7" t="s">
        <v>26</v>
      </c>
      <c r="C4047" s="7" t="s">
        <v>27</v>
      </c>
      <c r="D4047" s="7" t="s">
        <v>28</v>
      </c>
      <c r="E4047" s="7" t="s">
        <v>29</v>
      </c>
      <c r="F4047" s="7" t="s">
        <v>285</v>
      </c>
      <c r="G4047" s="7">
        <v>98.803910000000002</v>
      </c>
      <c r="H4047" s="7"/>
    </row>
    <row r="4048" spans="1:8" x14ac:dyDescent="0.35">
      <c r="A4048" s="7" t="s">
        <v>359</v>
      </c>
      <c r="B4048" s="7" t="s">
        <v>26</v>
      </c>
      <c r="C4048" s="7" t="s">
        <v>27</v>
      </c>
      <c r="D4048" s="7" t="s">
        <v>28</v>
      </c>
      <c r="E4048" s="7" t="s">
        <v>29</v>
      </c>
      <c r="F4048" s="7" t="s">
        <v>286</v>
      </c>
      <c r="G4048" s="7">
        <v>98.970669999999998</v>
      </c>
      <c r="H4048" s="7"/>
    </row>
    <row r="4049" spans="1:8" x14ac:dyDescent="0.35">
      <c r="A4049" s="7" t="s">
        <v>359</v>
      </c>
      <c r="B4049" s="7" t="s">
        <v>26</v>
      </c>
      <c r="C4049" s="7" t="s">
        <v>27</v>
      </c>
      <c r="D4049" s="7" t="s">
        <v>28</v>
      </c>
      <c r="E4049" s="7" t="s">
        <v>29</v>
      </c>
      <c r="F4049" s="7" t="s">
        <v>287</v>
      </c>
      <c r="G4049" s="7">
        <v>99.182749999999999</v>
      </c>
      <c r="H4049" s="7"/>
    </row>
    <row r="4050" spans="1:8" x14ac:dyDescent="0.35">
      <c r="A4050" s="7" t="s">
        <v>359</v>
      </c>
      <c r="B4050" s="7" t="s">
        <v>26</v>
      </c>
      <c r="C4050" s="7" t="s">
        <v>27</v>
      </c>
      <c r="D4050" s="7" t="s">
        <v>28</v>
      </c>
      <c r="E4050" s="7" t="s">
        <v>29</v>
      </c>
      <c r="F4050" s="7" t="s">
        <v>288</v>
      </c>
      <c r="G4050" s="7">
        <v>99.521019999999993</v>
      </c>
      <c r="H4050" s="7"/>
    </row>
    <row r="4051" spans="1:8" x14ac:dyDescent="0.35">
      <c r="A4051" s="7" t="s">
        <v>359</v>
      </c>
      <c r="B4051" s="7" t="s">
        <v>26</v>
      </c>
      <c r="C4051" s="7" t="s">
        <v>27</v>
      </c>
      <c r="D4051" s="7" t="s">
        <v>28</v>
      </c>
      <c r="E4051" s="7" t="s">
        <v>29</v>
      </c>
      <c r="F4051" s="7" t="s">
        <v>289</v>
      </c>
      <c r="G4051" s="7">
        <v>99.695909999999998</v>
      </c>
      <c r="H4051" s="7"/>
    </row>
    <row r="4052" spans="1:8" x14ac:dyDescent="0.35">
      <c r="A4052" s="7" t="s">
        <v>359</v>
      </c>
      <c r="B4052" s="7" t="s">
        <v>26</v>
      </c>
      <c r="C4052" s="7" t="s">
        <v>27</v>
      </c>
      <c r="D4052" s="7" t="s">
        <v>28</v>
      </c>
      <c r="E4052" s="7" t="s">
        <v>29</v>
      </c>
      <c r="F4052" s="7" t="s">
        <v>290</v>
      </c>
      <c r="G4052" s="7">
        <v>99.65822</v>
      </c>
      <c r="H4052" s="7"/>
    </row>
    <row r="4053" spans="1:8" x14ac:dyDescent="0.35">
      <c r="A4053" s="7" t="s">
        <v>359</v>
      </c>
      <c r="B4053" s="7" t="s">
        <v>26</v>
      </c>
      <c r="C4053" s="7" t="s">
        <v>27</v>
      </c>
      <c r="D4053" s="7" t="s">
        <v>28</v>
      </c>
      <c r="E4053" s="7" t="s">
        <v>29</v>
      </c>
      <c r="F4053" s="7" t="s">
        <v>291</v>
      </c>
      <c r="G4053" s="7">
        <v>99.377380000000002</v>
      </c>
      <c r="H4053" s="7"/>
    </row>
    <row r="4054" spans="1:8" x14ac:dyDescent="0.35">
      <c r="A4054" s="7" t="s">
        <v>359</v>
      </c>
      <c r="B4054" s="7" t="s">
        <v>26</v>
      </c>
      <c r="C4054" s="7" t="s">
        <v>27</v>
      </c>
      <c r="D4054" s="7" t="s">
        <v>28</v>
      </c>
      <c r="E4054" s="7" t="s">
        <v>29</v>
      </c>
      <c r="F4054" s="7" t="s">
        <v>292</v>
      </c>
      <c r="G4054" s="7">
        <v>98.996319999999997</v>
      </c>
      <c r="H4054" s="7"/>
    </row>
    <row r="4055" spans="1:8" x14ac:dyDescent="0.35">
      <c r="A4055" s="7" t="s">
        <v>359</v>
      </c>
      <c r="B4055" s="7" t="s">
        <v>26</v>
      </c>
      <c r="C4055" s="7" t="s">
        <v>27</v>
      </c>
      <c r="D4055" s="7" t="s">
        <v>28</v>
      </c>
      <c r="E4055" s="7" t="s">
        <v>29</v>
      </c>
      <c r="F4055" s="7" t="s">
        <v>293</v>
      </c>
      <c r="G4055" s="7">
        <v>98.760729999999995</v>
      </c>
      <c r="H4055" s="7"/>
    </row>
    <row r="4056" spans="1:8" x14ac:dyDescent="0.35">
      <c r="A4056" s="7" t="s">
        <v>359</v>
      </c>
      <c r="B4056" s="7" t="s">
        <v>26</v>
      </c>
      <c r="C4056" s="7" t="s">
        <v>27</v>
      </c>
      <c r="D4056" s="7" t="s">
        <v>28</v>
      </c>
      <c r="E4056" s="7" t="s">
        <v>29</v>
      </c>
      <c r="F4056" s="7" t="s">
        <v>294</v>
      </c>
      <c r="G4056" s="7">
        <v>98.86121</v>
      </c>
      <c r="H4056" s="7"/>
    </row>
    <row r="4057" spans="1:8" x14ac:dyDescent="0.35">
      <c r="A4057" s="7" t="s">
        <v>359</v>
      </c>
      <c r="B4057" s="7" t="s">
        <v>26</v>
      </c>
      <c r="C4057" s="7" t="s">
        <v>27</v>
      </c>
      <c r="D4057" s="7" t="s">
        <v>28</v>
      </c>
      <c r="E4057" s="7" t="s">
        <v>29</v>
      </c>
      <c r="F4057" s="7" t="s">
        <v>295</v>
      </c>
      <c r="G4057" s="7">
        <v>99.164929999999998</v>
      </c>
      <c r="H4057" s="7"/>
    </row>
    <row r="4058" spans="1:8" x14ac:dyDescent="0.35">
      <c r="A4058" s="7" t="s">
        <v>359</v>
      </c>
      <c r="B4058" s="7" t="s">
        <v>26</v>
      </c>
      <c r="C4058" s="7" t="s">
        <v>27</v>
      </c>
      <c r="D4058" s="7" t="s">
        <v>28</v>
      </c>
      <c r="E4058" s="7" t="s">
        <v>29</v>
      </c>
      <c r="F4058" s="7" t="s">
        <v>296</v>
      </c>
      <c r="G4058" s="7">
        <v>99.337819999999994</v>
      </c>
      <c r="H4058" s="7"/>
    </row>
    <row r="4059" spans="1:8" x14ac:dyDescent="0.35">
      <c r="A4059" s="7" t="s">
        <v>359</v>
      </c>
      <c r="B4059" s="7" t="s">
        <v>26</v>
      </c>
      <c r="C4059" s="7" t="s">
        <v>27</v>
      </c>
      <c r="D4059" s="7" t="s">
        <v>28</v>
      </c>
      <c r="E4059" s="7" t="s">
        <v>29</v>
      </c>
      <c r="F4059" s="7" t="s">
        <v>297</v>
      </c>
      <c r="G4059" s="7">
        <v>99.407920000000004</v>
      </c>
      <c r="H4059" s="7"/>
    </row>
    <row r="4060" spans="1:8" x14ac:dyDescent="0.35">
      <c r="A4060" s="7" t="s">
        <v>359</v>
      </c>
      <c r="B4060" s="7" t="s">
        <v>26</v>
      </c>
      <c r="C4060" s="7" t="s">
        <v>27</v>
      </c>
      <c r="D4060" s="7" t="s">
        <v>28</v>
      </c>
      <c r="E4060" s="7" t="s">
        <v>29</v>
      </c>
      <c r="F4060" s="7" t="s">
        <v>298</v>
      </c>
      <c r="G4060" s="7">
        <v>99.440179999999998</v>
      </c>
      <c r="H4060" s="7"/>
    </row>
    <row r="4061" spans="1:8" x14ac:dyDescent="0.35">
      <c r="A4061" s="7" t="s">
        <v>359</v>
      </c>
      <c r="B4061" s="7" t="s">
        <v>26</v>
      </c>
      <c r="C4061" s="7" t="s">
        <v>27</v>
      </c>
      <c r="D4061" s="7" t="s">
        <v>28</v>
      </c>
      <c r="E4061" s="7" t="s">
        <v>29</v>
      </c>
      <c r="F4061" s="7" t="s">
        <v>299</v>
      </c>
      <c r="G4061" s="7">
        <v>99.513220000000004</v>
      </c>
      <c r="H4061" s="7"/>
    </row>
    <row r="4062" spans="1:8" x14ac:dyDescent="0.35">
      <c r="A4062" s="7" t="s">
        <v>359</v>
      </c>
      <c r="B4062" s="7" t="s">
        <v>26</v>
      </c>
      <c r="C4062" s="7" t="s">
        <v>27</v>
      </c>
      <c r="D4062" s="7" t="s">
        <v>28</v>
      </c>
      <c r="E4062" s="7" t="s">
        <v>29</v>
      </c>
      <c r="F4062" s="7" t="s">
        <v>300</v>
      </c>
      <c r="G4062" s="7">
        <v>99.499600000000001</v>
      </c>
      <c r="H4062" s="7"/>
    </row>
    <row r="4063" spans="1:8" x14ac:dyDescent="0.35">
      <c r="A4063" s="7" t="s">
        <v>359</v>
      </c>
      <c r="B4063" s="7" t="s">
        <v>26</v>
      </c>
      <c r="C4063" s="7" t="s">
        <v>27</v>
      </c>
      <c r="D4063" s="7" t="s">
        <v>28</v>
      </c>
      <c r="E4063" s="7" t="s">
        <v>29</v>
      </c>
      <c r="F4063" s="7" t="s">
        <v>301</v>
      </c>
      <c r="G4063" s="7">
        <v>99.473179999999999</v>
      </c>
      <c r="H4063" s="7"/>
    </row>
    <row r="4064" spans="1:8" x14ac:dyDescent="0.35">
      <c r="A4064" s="7" t="s">
        <v>359</v>
      </c>
      <c r="B4064" s="7" t="s">
        <v>26</v>
      </c>
      <c r="C4064" s="7" t="s">
        <v>27</v>
      </c>
      <c r="D4064" s="7" t="s">
        <v>28</v>
      </c>
      <c r="E4064" s="7" t="s">
        <v>29</v>
      </c>
      <c r="F4064" s="7" t="s">
        <v>302</v>
      </c>
      <c r="G4064" s="7">
        <v>99.46499</v>
      </c>
      <c r="H4064" s="7"/>
    </row>
    <row r="4065" spans="1:8" x14ac:dyDescent="0.35">
      <c r="A4065" s="7" t="s">
        <v>359</v>
      </c>
      <c r="B4065" s="7" t="s">
        <v>26</v>
      </c>
      <c r="C4065" s="7" t="s">
        <v>27</v>
      </c>
      <c r="D4065" s="7" t="s">
        <v>28</v>
      </c>
      <c r="E4065" s="7" t="s">
        <v>29</v>
      </c>
      <c r="F4065" s="7" t="s">
        <v>303</v>
      </c>
      <c r="G4065" s="7">
        <v>99.559920000000005</v>
      </c>
      <c r="H4065" s="7"/>
    </row>
    <row r="4066" spans="1:8" x14ac:dyDescent="0.35">
      <c r="A4066" s="7" t="s">
        <v>359</v>
      </c>
      <c r="B4066" s="7" t="s">
        <v>26</v>
      </c>
      <c r="C4066" s="7" t="s">
        <v>27</v>
      </c>
      <c r="D4066" s="7" t="s">
        <v>28</v>
      </c>
      <c r="E4066" s="7" t="s">
        <v>29</v>
      </c>
      <c r="F4066" s="7" t="s">
        <v>304</v>
      </c>
      <c r="G4066" s="7">
        <v>99.764340000000004</v>
      </c>
      <c r="H4066" s="7"/>
    </row>
    <row r="4067" spans="1:8" x14ac:dyDescent="0.35">
      <c r="A4067" s="7" t="s">
        <v>359</v>
      </c>
      <c r="B4067" s="7" t="s">
        <v>26</v>
      </c>
      <c r="C4067" s="7" t="s">
        <v>27</v>
      </c>
      <c r="D4067" s="7" t="s">
        <v>28</v>
      </c>
      <c r="E4067" s="7" t="s">
        <v>29</v>
      </c>
      <c r="F4067" s="7" t="s">
        <v>305</v>
      </c>
      <c r="G4067" s="7">
        <v>100.0517</v>
      </c>
      <c r="H4067" s="7"/>
    </row>
    <row r="4068" spans="1:8" x14ac:dyDescent="0.35">
      <c r="A4068" s="7" t="s">
        <v>359</v>
      </c>
      <c r="B4068" s="7" t="s">
        <v>26</v>
      </c>
      <c r="C4068" s="7" t="s">
        <v>27</v>
      </c>
      <c r="D4068" s="7" t="s">
        <v>28</v>
      </c>
      <c r="E4068" s="7" t="s">
        <v>29</v>
      </c>
      <c r="F4068" s="7" t="s">
        <v>306</v>
      </c>
      <c r="G4068" s="7">
        <v>100.4044</v>
      </c>
      <c r="H4068" s="7"/>
    </row>
    <row r="4069" spans="1:8" x14ac:dyDescent="0.35">
      <c r="A4069" s="7" t="s">
        <v>359</v>
      </c>
      <c r="B4069" s="7" t="s">
        <v>26</v>
      </c>
      <c r="C4069" s="7" t="s">
        <v>27</v>
      </c>
      <c r="D4069" s="7" t="s">
        <v>28</v>
      </c>
      <c r="E4069" s="7" t="s">
        <v>29</v>
      </c>
      <c r="F4069" s="7" t="s">
        <v>307</v>
      </c>
      <c r="G4069" s="7">
        <v>100.7953</v>
      </c>
      <c r="H4069" s="7"/>
    </row>
    <row r="4070" spans="1:8" x14ac:dyDescent="0.35">
      <c r="A4070" s="7" t="s">
        <v>359</v>
      </c>
      <c r="B4070" s="7" t="s">
        <v>26</v>
      </c>
      <c r="C4070" s="7" t="s">
        <v>27</v>
      </c>
      <c r="D4070" s="7" t="s">
        <v>28</v>
      </c>
      <c r="E4070" s="7" t="s">
        <v>29</v>
      </c>
      <c r="F4070" s="7" t="s">
        <v>308</v>
      </c>
      <c r="G4070" s="7">
        <v>101.05880000000001</v>
      </c>
      <c r="H4070" s="7"/>
    </row>
    <row r="4071" spans="1:8" x14ac:dyDescent="0.35">
      <c r="A4071" s="7" t="s">
        <v>359</v>
      </c>
      <c r="B4071" s="7" t="s">
        <v>26</v>
      </c>
      <c r="C4071" s="7" t="s">
        <v>27</v>
      </c>
      <c r="D4071" s="7" t="s">
        <v>28</v>
      </c>
      <c r="E4071" s="7" t="s">
        <v>29</v>
      </c>
      <c r="F4071" s="7" t="s">
        <v>309</v>
      </c>
      <c r="G4071" s="7">
        <v>101.0611</v>
      </c>
      <c r="H4071" s="7"/>
    </row>
    <row r="4072" spans="1:8" x14ac:dyDescent="0.35">
      <c r="A4072" s="7" t="s">
        <v>359</v>
      </c>
      <c r="B4072" s="7" t="s">
        <v>26</v>
      </c>
      <c r="C4072" s="7" t="s">
        <v>27</v>
      </c>
      <c r="D4072" s="7" t="s">
        <v>28</v>
      </c>
      <c r="E4072" s="7" t="s">
        <v>29</v>
      </c>
      <c r="F4072" s="7" t="s">
        <v>310</v>
      </c>
      <c r="G4072" s="7">
        <v>100.9648</v>
      </c>
      <c r="H4072" s="7"/>
    </row>
    <row r="4073" spans="1:8" x14ac:dyDescent="0.35">
      <c r="A4073" s="7" t="s">
        <v>359</v>
      </c>
      <c r="B4073" s="7" t="s">
        <v>26</v>
      </c>
      <c r="C4073" s="7" t="s">
        <v>27</v>
      </c>
      <c r="D4073" s="7" t="s">
        <v>28</v>
      </c>
      <c r="E4073" s="7" t="s">
        <v>29</v>
      </c>
      <c r="F4073" s="7" t="s">
        <v>311</v>
      </c>
      <c r="G4073" s="7">
        <v>100.91030000000001</v>
      </c>
      <c r="H4073" s="7"/>
    </row>
    <row r="4074" spans="1:8" x14ac:dyDescent="0.35">
      <c r="A4074" s="7" t="s">
        <v>359</v>
      </c>
      <c r="B4074" s="7" t="s">
        <v>26</v>
      </c>
      <c r="C4074" s="7" t="s">
        <v>27</v>
      </c>
      <c r="D4074" s="7" t="s">
        <v>28</v>
      </c>
      <c r="E4074" s="7" t="s">
        <v>29</v>
      </c>
      <c r="F4074" s="7" t="s">
        <v>312</v>
      </c>
      <c r="G4074" s="7">
        <v>100.8301</v>
      </c>
      <c r="H4074" s="7"/>
    </row>
    <row r="4075" spans="1:8" x14ac:dyDescent="0.35">
      <c r="A4075" s="7" t="s">
        <v>359</v>
      </c>
      <c r="B4075" s="7" t="s">
        <v>26</v>
      </c>
      <c r="C4075" s="7" t="s">
        <v>27</v>
      </c>
      <c r="D4075" s="7" t="s">
        <v>28</v>
      </c>
      <c r="E4075" s="7" t="s">
        <v>29</v>
      </c>
      <c r="F4075" s="7" t="s">
        <v>313</v>
      </c>
      <c r="G4075" s="7">
        <v>100.8442</v>
      </c>
      <c r="H4075" s="7"/>
    </row>
    <row r="4076" spans="1:8" x14ac:dyDescent="0.35">
      <c r="A4076" s="7" t="s">
        <v>359</v>
      </c>
      <c r="B4076" s="7" t="s">
        <v>26</v>
      </c>
      <c r="C4076" s="7" t="s">
        <v>27</v>
      </c>
      <c r="D4076" s="7" t="s">
        <v>28</v>
      </c>
      <c r="E4076" s="7" t="s">
        <v>29</v>
      </c>
      <c r="F4076" s="7" t="s">
        <v>314</v>
      </c>
      <c r="G4076" s="7">
        <v>100.7298</v>
      </c>
      <c r="H4076" s="7"/>
    </row>
    <row r="4077" spans="1:8" x14ac:dyDescent="0.35">
      <c r="A4077" s="7" t="s">
        <v>359</v>
      </c>
      <c r="B4077" s="7" t="s">
        <v>26</v>
      </c>
      <c r="C4077" s="7" t="s">
        <v>27</v>
      </c>
      <c r="D4077" s="7" t="s">
        <v>28</v>
      </c>
      <c r="E4077" s="7" t="s">
        <v>29</v>
      </c>
      <c r="F4077" s="7" t="s">
        <v>315</v>
      </c>
      <c r="G4077" s="7">
        <v>100.541</v>
      </c>
      <c r="H4077" s="7"/>
    </row>
    <row r="4078" spans="1:8" x14ac:dyDescent="0.35">
      <c r="A4078" s="7" t="s">
        <v>359</v>
      </c>
      <c r="B4078" s="7" t="s">
        <v>26</v>
      </c>
      <c r="C4078" s="7" t="s">
        <v>27</v>
      </c>
      <c r="D4078" s="7" t="s">
        <v>28</v>
      </c>
      <c r="E4078" s="7" t="s">
        <v>29</v>
      </c>
      <c r="F4078" s="7" t="s">
        <v>316</v>
      </c>
      <c r="G4078" s="7">
        <v>100.3708</v>
      </c>
      <c r="H4078" s="7"/>
    </row>
    <row r="4079" spans="1:8" x14ac:dyDescent="0.35">
      <c r="A4079" s="7" t="s">
        <v>359</v>
      </c>
      <c r="B4079" s="7" t="s">
        <v>26</v>
      </c>
      <c r="C4079" s="7" t="s">
        <v>27</v>
      </c>
      <c r="D4079" s="7" t="s">
        <v>28</v>
      </c>
      <c r="E4079" s="7" t="s">
        <v>29</v>
      </c>
      <c r="F4079" s="7" t="s">
        <v>317</v>
      </c>
      <c r="G4079" s="7">
        <v>100.3999</v>
      </c>
      <c r="H4079" s="7"/>
    </row>
    <row r="4080" spans="1:8" x14ac:dyDescent="0.35">
      <c r="A4080" s="7" t="s">
        <v>359</v>
      </c>
      <c r="B4080" s="7" t="s">
        <v>26</v>
      </c>
      <c r="C4080" s="7" t="s">
        <v>27</v>
      </c>
      <c r="D4080" s="7" t="s">
        <v>28</v>
      </c>
      <c r="E4080" s="7" t="s">
        <v>29</v>
      </c>
      <c r="F4080" s="7" t="s">
        <v>318</v>
      </c>
      <c r="G4080" s="7">
        <v>100.51609999999999</v>
      </c>
      <c r="H4080" s="7"/>
    </row>
    <row r="4081" spans="1:8" x14ac:dyDescent="0.35">
      <c r="A4081" s="7" t="s">
        <v>359</v>
      </c>
      <c r="B4081" s="7" t="s">
        <v>26</v>
      </c>
      <c r="C4081" s="7" t="s">
        <v>27</v>
      </c>
      <c r="D4081" s="7" t="s">
        <v>28</v>
      </c>
      <c r="E4081" s="7" t="s">
        <v>29</v>
      </c>
      <c r="F4081" s="7" t="s">
        <v>319</v>
      </c>
      <c r="G4081" s="7">
        <v>100.61279999999999</v>
      </c>
      <c r="H4081" s="7"/>
    </row>
    <row r="4082" spans="1:8" x14ac:dyDescent="0.35">
      <c r="A4082" s="7" t="s">
        <v>359</v>
      </c>
      <c r="B4082" s="7" t="s">
        <v>26</v>
      </c>
      <c r="C4082" s="7" t="s">
        <v>27</v>
      </c>
      <c r="D4082" s="7" t="s">
        <v>28</v>
      </c>
      <c r="E4082" s="7" t="s">
        <v>29</v>
      </c>
      <c r="F4082" s="7" t="s">
        <v>320</v>
      </c>
      <c r="G4082" s="7">
        <v>100.6259</v>
      </c>
      <c r="H4082" s="7"/>
    </row>
    <row r="4083" spans="1:8" x14ac:dyDescent="0.35">
      <c r="A4083" s="7" t="s">
        <v>359</v>
      </c>
      <c r="B4083" s="7" t="s">
        <v>26</v>
      </c>
      <c r="C4083" s="7" t="s">
        <v>27</v>
      </c>
      <c r="D4083" s="7" t="s">
        <v>28</v>
      </c>
      <c r="E4083" s="7" t="s">
        <v>29</v>
      </c>
      <c r="F4083" s="7" t="s">
        <v>321</v>
      </c>
      <c r="G4083" s="7">
        <v>100.5886</v>
      </c>
      <c r="H4083" s="7"/>
    </row>
    <row r="4084" spans="1:8" x14ac:dyDescent="0.35">
      <c r="A4084" s="7" t="s">
        <v>359</v>
      </c>
      <c r="B4084" s="7" t="s">
        <v>26</v>
      </c>
      <c r="C4084" s="7" t="s">
        <v>27</v>
      </c>
      <c r="D4084" s="7" t="s">
        <v>28</v>
      </c>
      <c r="E4084" s="7" t="s">
        <v>29</v>
      </c>
      <c r="F4084" s="7" t="s">
        <v>322</v>
      </c>
      <c r="G4084" s="7">
        <v>100.5489</v>
      </c>
      <c r="H4084" s="7"/>
    </row>
    <row r="4085" spans="1:8" x14ac:dyDescent="0.35">
      <c r="A4085" s="7" t="s">
        <v>359</v>
      </c>
      <c r="B4085" s="7" t="s">
        <v>26</v>
      </c>
      <c r="C4085" s="7" t="s">
        <v>27</v>
      </c>
      <c r="D4085" s="7" t="s">
        <v>28</v>
      </c>
      <c r="E4085" s="7" t="s">
        <v>29</v>
      </c>
      <c r="F4085" s="7" t="s">
        <v>323</v>
      </c>
      <c r="G4085" s="7">
        <v>100.57089999999999</v>
      </c>
      <c r="H4085" s="7"/>
    </row>
    <row r="4086" spans="1:8" x14ac:dyDescent="0.35">
      <c r="A4086" s="7" t="s">
        <v>359</v>
      </c>
      <c r="B4086" s="7" t="s">
        <v>26</v>
      </c>
      <c r="C4086" s="7" t="s">
        <v>27</v>
      </c>
      <c r="D4086" s="7" t="s">
        <v>28</v>
      </c>
      <c r="E4086" s="7" t="s">
        <v>29</v>
      </c>
      <c r="F4086" s="7" t="s">
        <v>324</v>
      </c>
      <c r="G4086" s="7">
        <v>100.69289999999999</v>
      </c>
      <c r="H4086" s="7"/>
    </row>
    <row r="4087" spans="1:8" x14ac:dyDescent="0.35">
      <c r="A4087" s="7" t="s">
        <v>359</v>
      </c>
      <c r="B4087" s="7" t="s">
        <v>26</v>
      </c>
      <c r="C4087" s="7" t="s">
        <v>27</v>
      </c>
      <c r="D4087" s="7" t="s">
        <v>28</v>
      </c>
      <c r="E4087" s="7" t="s">
        <v>29</v>
      </c>
      <c r="F4087" s="7" t="s">
        <v>325</v>
      </c>
      <c r="G4087" s="7">
        <v>100.6709</v>
      </c>
      <c r="H4087" s="7"/>
    </row>
    <row r="4088" spans="1:8" x14ac:dyDescent="0.35">
      <c r="A4088" s="7" t="s">
        <v>359</v>
      </c>
      <c r="B4088" s="7" t="s">
        <v>26</v>
      </c>
      <c r="C4088" s="7" t="s">
        <v>27</v>
      </c>
      <c r="D4088" s="7" t="s">
        <v>28</v>
      </c>
      <c r="E4088" s="7" t="s">
        <v>29</v>
      </c>
      <c r="F4088" s="7" t="s">
        <v>326</v>
      </c>
      <c r="G4088" s="7">
        <v>100.5247</v>
      </c>
      <c r="H4088" s="7"/>
    </row>
    <row r="4089" spans="1:8" x14ac:dyDescent="0.35">
      <c r="A4089" s="7" t="s">
        <v>359</v>
      </c>
      <c r="B4089" s="7" t="s">
        <v>26</v>
      </c>
      <c r="C4089" s="7" t="s">
        <v>27</v>
      </c>
      <c r="D4089" s="7" t="s">
        <v>28</v>
      </c>
      <c r="E4089" s="7" t="s">
        <v>29</v>
      </c>
      <c r="F4089" s="7" t="s">
        <v>327</v>
      </c>
      <c r="G4089" s="7">
        <v>100.4191</v>
      </c>
      <c r="H4089" s="7"/>
    </row>
    <row r="4090" spans="1:8" x14ac:dyDescent="0.35">
      <c r="A4090" s="7" t="s">
        <v>359</v>
      </c>
      <c r="B4090" s="7" t="s">
        <v>26</v>
      </c>
      <c r="C4090" s="7" t="s">
        <v>27</v>
      </c>
      <c r="D4090" s="7" t="s">
        <v>28</v>
      </c>
      <c r="E4090" s="7" t="s">
        <v>29</v>
      </c>
      <c r="F4090" s="7" t="s">
        <v>328</v>
      </c>
      <c r="G4090" s="7">
        <v>100.4</v>
      </c>
      <c r="H4090" s="7"/>
    </row>
    <row r="4091" spans="1:8" x14ac:dyDescent="0.35">
      <c r="A4091" s="7" t="s">
        <v>359</v>
      </c>
      <c r="B4091" s="7" t="s">
        <v>26</v>
      </c>
      <c r="C4091" s="7" t="s">
        <v>27</v>
      </c>
      <c r="D4091" s="7" t="s">
        <v>28</v>
      </c>
      <c r="E4091" s="7" t="s">
        <v>29</v>
      </c>
      <c r="F4091" s="7" t="s">
        <v>329</v>
      </c>
      <c r="G4091" s="7">
        <v>100.47669999999999</v>
      </c>
      <c r="H4091" s="7"/>
    </row>
    <row r="4092" spans="1:8" x14ac:dyDescent="0.35">
      <c r="A4092" s="7" t="s">
        <v>359</v>
      </c>
      <c r="B4092" s="7" t="s">
        <v>26</v>
      </c>
      <c r="C4092" s="7" t="s">
        <v>27</v>
      </c>
      <c r="D4092" s="7" t="s">
        <v>28</v>
      </c>
      <c r="E4092" s="7" t="s">
        <v>29</v>
      </c>
      <c r="F4092" s="7" t="s">
        <v>330</v>
      </c>
      <c r="G4092" s="7">
        <v>100.8048</v>
      </c>
      <c r="H4092" s="7"/>
    </row>
    <row r="4093" spans="1:8" x14ac:dyDescent="0.35">
      <c r="A4093" s="7" t="s">
        <v>359</v>
      </c>
      <c r="B4093" s="7" t="s">
        <v>26</v>
      </c>
      <c r="C4093" s="7" t="s">
        <v>27</v>
      </c>
      <c r="D4093" s="7" t="s">
        <v>28</v>
      </c>
      <c r="E4093" s="7" t="s">
        <v>29</v>
      </c>
      <c r="F4093" s="7" t="s">
        <v>331</v>
      </c>
      <c r="G4093" s="7">
        <v>101.14109999999999</v>
      </c>
      <c r="H4093" s="7"/>
    </row>
    <row r="4094" spans="1:8" x14ac:dyDescent="0.35">
      <c r="A4094" s="7" t="s">
        <v>359</v>
      </c>
      <c r="B4094" s="7" t="s">
        <v>26</v>
      </c>
      <c r="C4094" s="7" t="s">
        <v>27</v>
      </c>
      <c r="D4094" s="7" t="s">
        <v>28</v>
      </c>
      <c r="E4094" s="7" t="s">
        <v>29</v>
      </c>
      <c r="F4094" s="7" t="s">
        <v>332</v>
      </c>
      <c r="G4094" s="7">
        <v>101.28879999999999</v>
      </c>
      <c r="H4094" s="7"/>
    </row>
    <row r="4095" spans="1:8" x14ac:dyDescent="0.35">
      <c r="A4095" s="7" t="s">
        <v>359</v>
      </c>
      <c r="B4095" s="7" t="s">
        <v>26</v>
      </c>
      <c r="C4095" s="7" t="s">
        <v>27</v>
      </c>
      <c r="D4095" s="7" t="s">
        <v>28</v>
      </c>
      <c r="E4095" s="7" t="s">
        <v>29</v>
      </c>
      <c r="F4095" s="7" t="s">
        <v>333</v>
      </c>
      <c r="G4095" s="7">
        <v>101.2766</v>
      </c>
      <c r="H4095" s="7"/>
    </row>
    <row r="4096" spans="1:8" x14ac:dyDescent="0.35">
      <c r="A4096" s="7" t="s">
        <v>359</v>
      </c>
      <c r="B4096" s="7" t="s">
        <v>26</v>
      </c>
      <c r="C4096" s="7" t="s">
        <v>27</v>
      </c>
      <c r="D4096" s="7" t="s">
        <v>28</v>
      </c>
      <c r="E4096" s="7" t="s">
        <v>29</v>
      </c>
      <c r="F4096" s="7" t="s">
        <v>334</v>
      </c>
      <c r="G4096" s="7">
        <v>101.2461</v>
      </c>
      <c r="H4096" s="7"/>
    </row>
    <row r="4097" spans="1:8" x14ac:dyDescent="0.35">
      <c r="A4097" s="7" t="s">
        <v>359</v>
      </c>
      <c r="B4097" s="7" t="s">
        <v>26</v>
      </c>
      <c r="C4097" s="7" t="s">
        <v>27</v>
      </c>
      <c r="D4097" s="7" t="s">
        <v>28</v>
      </c>
      <c r="E4097" s="7" t="s">
        <v>29</v>
      </c>
      <c r="F4097" s="7" t="s">
        <v>335</v>
      </c>
      <c r="G4097" s="7">
        <v>101.20659999999999</v>
      </c>
      <c r="H4097" s="7"/>
    </row>
    <row r="4098" spans="1:8" x14ac:dyDescent="0.35">
      <c r="A4098" s="7" t="s">
        <v>359</v>
      </c>
      <c r="B4098" s="7" t="s">
        <v>26</v>
      </c>
      <c r="C4098" s="7" t="s">
        <v>27</v>
      </c>
      <c r="D4098" s="7" t="s">
        <v>28</v>
      </c>
      <c r="E4098" s="7" t="s">
        <v>29</v>
      </c>
      <c r="F4098" s="7" t="s">
        <v>336</v>
      </c>
      <c r="G4098" s="7">
        <v>101.1356</v>
      </c>
      <c r="H4098" s="7"/>
    </row>
    <row r="4099" spans="1:8" x14ac:dyDescent="0.35">
      <c r="A4099" s="7" t="s">
        <v>359</v>
      </c>
      <c r="B4099" s="7" t="s">
        <v>26</v>
      </c>
      <c r="C4099" s="7" t="s">
        <v>27</v>
      </c>
      <c r="D4099" s="7" t="s">
        <v>28</v>
      </c>
      <c r="E4099" s="7" t="s">
        <v>29</v>
      </c>
      <c r="F4099" s="7" t="s">
        <v>337</v>
      </c>
      <c r="G4099" s="7">
        <v>101.0303</v>
      </c>
      <c r="H4099" s="7"/>
    </row>
    <row r="4100" spans="1:8" x14ac:dyDescent="0.35">
      <c r="A4100" s="7" t="s">
        <v>359</v>
      </c>
      <c r="B4100" s="7" t="s">
        <v>26</v>
      </c>
      <c r="C4100" s="7" t="s">
        <v>27</v>
      </c>
      <c r="D4100" s="7" t="s">
        <v>28</v>
      </c>
      <c r="E4100" s="7" t="s">
        <v>29</v>
      </c>
      <c r="F4100" s="7" t="s">
        <v>338</v>
      </c>
      <c r="G4100" s="7">
        <v>100.9897</v>
      </c>
      <c r="H4100" s="7"/>
    </row>
    <row r="4101" spans="1:8" x14ac:dyDescent="0.35">
      <c r="A4101" s="7" t="s">
        <v>359</v>
      </c>
      <c r="B4101" s="7" t="s">
        <v>26</v>
      </c>
      <c r="C4101" s="7" t="s">
        <v>27</v>
      </c>
      <c r="D4101" s="7" t="s">
        <v>28</v>
      </c>
      <c r="E4101" s="7" t="s">
        <v>29</v>
      </c>
      <c r="F4101" s="7" t="s">
        <v>339</v>
      </c>
      <c r="G4101" s="7">
        <v>101.08629999999999</v>
      </c>
      <c r="H4101" s="7"/>
    </row>
    <row r="4102" spans="1:8" x14ac:dyDescent="0.35">
      <c r="A4102" s="7" t="s">
        <v>359</v>
      </c>
      <c r="B4102" s="7" t="s">
        <v>26</v>
      </c>
      <c r="C4102" s="7" t="s">
        <v>27</v>
      </c>
      <c r="D4102" s="7" t="s">
        <v>28</v>
      </c>
      <c r="E4102" s="7" t="s">
        <v>29</v>
      </c>
      <c r="F4102" s="7" t="s">
        <v>340</v>
      </c>
      <c r="G4102" s="7">
        <v>101.2071</v>
      </c>
      <c r="H4102" s="7"/>
    </row>
    <row r="4103" spans="1:8" x14ac:dyDescent="0.35">
      <c r="A4103" s="7" t="s">
        <v>359</v>
      </c>
      <c r="B4103" s="7" t="s">
        <v>26</v>
      </c>
      <c r="C4103" s="7" t="s">
        <v>27</v>
      </c>
      <c r="D4103" s="7" t="s">
        <v>28</v>
      </c>
      <c r="E4103" s="7" t="s">
        <v>29</v>
      </c>
      <c r="F4103" s="7" t="s">
        <v>341</v>
      </c>
      <c r="G4103" s="7">
        <v>101.3554</v>
      </c>
      <c r="H4103" s="7"/>
    </row>
    <row r="4104" spans="1:8" x14ac:dyDescent="0.35">
      <c r="A4104" s="7" t="s">
        <v>359</v>
      </c>
      <c r="B4104" s="7" t="s">
        <v>26</v>
      </c>
      <c r="C4104" s="7" t="s">
        <v>27</v>
      </c>
      <c r="D4104" s="7" t="s">
        <v>28</v>
      </c>
      <c r="E4104" s="7" t="s">
        <v>29</v>
      </c>
      <c r="F4104" s="7" t="s">
        <v>342</v>
      </c>
      <c r="G4104" s="7">
        <v>101.3308</v>
      </c>
      <c r="H4104" s="7"/>
    </row>
    <row r="4105" spans="1:8" x14ac:dyDescent="0.35">
      <c r="A4105" s="7" t="s">
        <v>359</v>
      </c>
      <c r="B4105" s="7" t="s">
        <v>26</v>
      </c>
      <c r="C4105" s="7" t="s">
        <v>27</v>
      </c>
      <c r="D4105" s="7" t="s">
        <v>28</v>
      </c>
      <c r="E4105" s="7" t="s">
        <v>29</v>
      </c>
      <c r="F4105" s="7" t="s">
        <v>343</v>
      </c>
      <c r="G4105" s="7">
        <v>101.2372</v>
      </c>
      <c r="H4105" s="7"/>
    </row>
    <row r="4106" spans="1:8" x14ac:dyDescent="0.35">
      <c r="A4106" s="7" t="s">
        <v>359</v>
      </c>
      <c r="B4106" s="7" t="s">
        <v>26</v>
      </c>
      <c r="C4106" s="7" t="s">
        <v>27</v>
      </c>
      <c r="D4106" s="7" t="s">
        <v>28</v>
      </c>
      <c r="E4106" s="7" t="s">
        <v>29</v>
      </c>
      <c r="F4106" s="7" t="s">
        <v>344</v>
      </c>
      <c r="G4106" s="7">
        <v>101.2492</v>
      </c>
      <c r="H4106" s="7"/>
    </row>
    <row r="4107" spans="1:8" x14ac:dyDescent="0.35">
      <c r="A4107" s="7" t="s">
        <v>359</v>
      </c>
      <c r="B4107" s="7" t="s">
        <v>26</v>
      </c>
      <c r="C4107" s="7" t="s">
        <v>27</v>
      </c>
      <c r="D4107" s="7" t="s">
        <v>28</v>
      </c>
      <c r="E4107" s="7" t="s">
        <v>29</v>
      </c>
      <c r="F4107" s="7" t="s">
        <v>345</v>
      </c>
      <c r="G4107" s="7">
        <v>101.4019</v>
      </c>
      <c r="H4107" s="7"/>
    </row>
    <row r="4108" spans="1:8" x14ac:dyDescent="0.35">
      <c r="A4108" s="7" t="s">
        <v>360</v>
      </c>
      <c r="B4108" s="7" t="s">
        <v>26</v>
      </c>
      <c r="C4108" s="7" t="s">
        <v>27</v>
      </c>
      <c r="D4108" s="7" t="s">
        <v>28</v>
      </c>
      <c r="E4108" s="7" t="s">
        <v>29</v>
      </c>
      <c r="F4108" s="7" t="s">
        <v>45</v>
      </c>
      <c r="G4108" s="7">
        <v>98.175799999999995</v>
      </c>
      <c r="H4108" s="7"/>
    </row>
    <row r="4109" spans="1:8" x14ac:dyDescent="0.35">
      <c r="A4109" s="7" t="s">
        <v>360</v>
      </c>
      <c r="B4109" s="7" t="s">
        <v>26</v>
      </c>
      <c r="C4109" s="7" t="s">
        <v>27</v>
      </c>
      <c r="D4109" s="7" t="s">
        <v>28</v>
      </c>
      <c r="E4109" s="7" t="s">
        <v>29</v>
      </c>
      <c r="F4109" s="7" t="s">
        <v>46</v>
      </c>
      <c r="G4109" s="7">
        <v>98.316959999999995</v>
      </c>
      <c r="H4109" s="7"/>
    </row>
    <row r="4110" spans="1:8" x14ac:dyDescent="0.35">
      <c r="A4110" s="7" t="s">
        <v>360</v>
      </c>
      <c r="B4110" s="7" t="s">
        <v>26</v>
      </c>
      <c r="C4110" s="7" t="s">
        <v>27</v>
      </c>
      <c r="D4110" s="7" t="s">
        <v>28</v>
      </c>
      <c r="E4110" s="7" t="s">
        <v>29</v>
      </c>
      <c r="F4110" s="7" t="s">
        <v>47</v>
      </c>
      <c r="G4110" s="7">
        <v>98.483840000000001</v>
      </c>
      <c r="H4110" s="7"/>
    </row>
    <row r="4111" spans="1:8" x14ac:dyDescent="0.35">
      <c r="A4111" s="7" t="s">
        <v>360</v>
      </c>
      <c r="B4111" s="7" t="s">
        <v>26</v>
      </c>
      <c r="C4111" s="7" t="s">
        <v>27</v>
      </c>
      <c r="D4111" s="7" t="s">
        <v>28</v>
      </c>
      <c r="E4111" s="7" t="s">
        <v>29</v>
      </c>
      <c r="F4111" s="7" t="s">
        <v>48</v>
      </c>
      <c r="G4111" s="7">
        <v>98.606700000000004</v>
      </c>
      <c r="H4111" s="7"/>
    </row>
    <row r="4112" spans="1:8" x14ac:dyDescent="0.35">
      <c r="A4112" s="7" t="s">
        <v>360</v>
      </c>
      <c r="B4112" s="7" t="s">
        <v>26</v>
      </c>
      <c r="C4112" s="7" t="s">
        <v>27</v>
      </c>
      <c r="D4112" s="7" t="s">
        <v>28</v>
      </c>
      <c r="E4112" s="7" t="s">
        <v>29</v>
      </c>
      <c r="F4112" s="7" t="s">
        <v>49</v>
      </c>
      <c r="G4112" s="7">
        <v>98.681619999999995</v>
      </c>
      <c r="H4112" s="7"/>
    </row>
    <row r="4113" spans="1:8" x14ac:dyDescent="0.35">
      <c r="A4113" s="7" t="s">
        <v>360</v>
      </c>
      <c r="B4113" s="7" t="s">
        <v>26</v>
      </c>
      <c r="C4113" s="7" t="s">
        <v>27</v>
      </c>
      <c r="D4113" s="7" t="s">
        <v>28</v>
      </c>
      <c r="E4113" s="7" t="s">
        <v>29</v>
      </c>
      <c r="F4113" s="7" t="s">
        <v>50</v>
      </c>
      <c r="G4113" s="7">
        <v>98.687420000000003</v>
      </c>
      <c r="H4113" s="7"/>
    </row>
    <row r="4114" spans="1:8" x14ac:dyDescent="0.35">
      <c r="A4114" s="7" t="s">
        <v>360</v>
      </c>
      <c r="B4114" s="7" t="s">
        <v>26</v>
      </c>
      <c r="C4114" s="7" t="s">
        <v>27</v>
      </c>
      <c r="D4114" s="7" t="s">
        <v>28</v>
      </c>
      <c r="E4114" s="7" t="s">
        <v>29</v>
      </c>
      <c r="F4114" s="7" t="s">
        <v>51</v>
      </c>
      <c r="G4114" s="7">
        <v>98.819180000000003</v>
      </c>
      <c r="H4114" s="7"/>
    </row>
    <row r="4115" spans="1:8" x14ac:dyDescent="0.35">
      <c r="A4115" s="7" t="s">
        <v>360</v>
      </c>
      <c r="B4115" s="7" t="s">
        <v>26</v>
      </c>
      <c r="C4115" s="7" t="s">
        <v>27</v>
      </c>
      <c r="D4115" s="7" t="s">
        <v>28</v>
      </c>
      <c r="E4115" s="7" t="s">
        <v>29</v>
      </c>
      <c r="F4115" s="7" t="s">
        <v>52</v>
      </c>
      <c r="G4115" s="7">
        <v>98.955190000000002</v>
      </c>
      <c r="H4115" s="7"/>
    </row>
    <row r="4116" spans="1:8" x14ac:dyDescent="0.35">
      <c r="A4116" s="7" t="s">
        <v>360</v>
      </c>
      <c r="B4116" s="7" t="s">
        <v>26</v>
      </c>
      <c r="C4116" s="7" t="s">
        <v>27</v>
      </c>
      <c r="D4116" s="7" t="s">
        <v>28</v>
      </c>
      <c r="E4116" s="7" t="s">
        <v>29</v>
      </c>
      <c r="F4116" s="7" t="s">
        <v>53</v>
      </c>
      <c r="G4116" s="7">
        <v>99.112070000000003</v>
      </c>
      <c r="H4116" s="7"/>
    </row>
    <row r="4117" spans="1:8" x14ac:dyDescent="0.35">
      <c r="A4117" s="7" t="s">
        <v>360</v>
      </c>
      <c r="B4117" s="7" t="s">
        <v>26</v>
      </c>
      <c r="C4117" s="7" t="s">
        <v>27</v>
      </c>
      <c r="D4117" s="7" t="s">
        <v>28</v>
      </c>
      <c r="E4117" s="7" t="s">
        <v>29</v>
      </c>
      <c r="F4117" s="7" t="s">
        <v>54</v>
      </c>
      <c r="G4117" s="7">
        <v>99.348560000000006</v>
      </c>
      <c r="H4117" s="7"/>
    </row>
    <row r="4118" spans="1:8" x14ac:dyDescent="0.35">
      <c r="A4118" s="7" t="s">
        <v>360</v>
      </c>
      <c r="B4118" s="7" t="s">
        <v>26</v>
      </c>
      <c r="C4118" s="7" t="s">
        <v>27</v>
      </c>
      <c r="D4118" s="7" t="s">
        <v>28</v>
      </c>
      <c r="E4118" s="7" t="s">
        <v>29</v>
      </c>
      <c r="F4118" s="7" t="s">
        <v>55</v>
      </c>
      <c r="G4118" s="7">
        <v>99.588719999999995</v>
      </c>
      <c r="H4118" s="7"/>
    </row>
    <row r="4119" spans="1:8" x14ac:dyDescent="0.35">
      <c r="A4119" s="7" t="s">
        <v>360</v>
      </c>
      <c r="B4119" s="7" t="s">
        <v>26</v>
      </c>
      <c r="C4119" s="7" t="s">
        <v>27</v>
      </c>
      <c r="D4119" s="7" t="s">
        <v>28</v>
      </c>
      <c r="E4119" s="7" t="s">
        <v>29</v>
      </c>
      <c r="F4119" s="7" t="s">
        <v>56</v>
      </c>
      <c r="G4119" s="7">
        <v>99.852990000000005</v>
      </c>
      <c r="H4119" s="7"/>
    </row>
    <row r="4120" spans="1:8" x14ac:dyDescent="0.35">
      <c r="A4120" s="7" t="s">
        <v>360</v>
      </c>
      <c r="B4120" s="7" t="s">
        <v>26</v>
      </c>
      <c r="C4120" s="7" t="s">
        <v>27</v>
      </c>
      <c r="D4120" s="7" t="s">
        <v>28</v>
      </c>
      <c r="E4120" s="7" t="s">
        <v>29</v>
      </c>
      <c r="F4120" s="7" t="s">
        <v>57</v>
      </c>
      <c r="G4120" s="7">
        <v>100.20699999999999</v>
      </c>
      <c r="H4120" s="7"/>
    </row>
    <row r="4121" spans="1:8" x14ac:dyDescent="0.35">
      <c r="A4121" s="7" t="s">
        <v>360</v>
      </c>
      <c r="B4121" s="7" t="s">
        <v>26</v>
      </c>
      <c r="C4121" s="7" t="s">
        <v>27</v>
      </c>
      <c r="D4121" s="7" t="s">
        <v>28</v>
      </c>
      <c r="E4121" s="7" t="s">
        <v>29</v>
      </c>
      <c r="F4121" s="7" t="s">
        <v>58</v>
      </c>
      <c r="G4121" s="7">
        <v>100.62649999999999</v>
      </c>
      <c r="H4121" s="7"/>
    </row>
    <row r="4122" spans="1:8" x14ac:dyDescent="0.35">
      <c r="A4122" s="7" t="s">
        <v>360</v>
      </c>
      <c r="B4122" s="7" t="s">
        <v>26</v>
      </c>
      <c r="C4122" s="7" t="s">
        <v>27</v>
      </c>
      <c r="D4122" s="7" t="s">
        <v>28</v>
      </c>
      <c r="E4122" s="7" t="s">
        <v>29</v>
      </c>
      <c r="F4122" s="7" t="s">
        <v>59</v>
      </c>
      <c r="G4122" s="7">
        <v>100.9819</v>
      </c>
      <c r="H4122" s="7"/>
    </row>
    <row r="4123" spans="1:8" x14ac:dyDescent="0.35">
      <c r="A4123" s="7" t="s">
        <v>360</v>
      </c>
      <c r="B4123" s="7" t="s">
        <v>26</v>
      </c>
      <c r="C4123" s="7" t="s">
        <v>27</v>
      </c>
      <c r="D4123" s="7" t="s">
        <v>28</v>
      </c>
      <c r="E4123" s="7" t="s">
        <v>29</v>
      </c>
      <c r="F4123" s="7" t="s">
        <v>60</v>
      </c>
      <c r="G4123" s="7">
        <v>101.21510000000001</v>
      </c>
      <c r="H4123" s="7"/>
    </row>
    <row r="4124" spans="1:8" x14ac:dyDescent="0.35">
      <c r="A4124" s="7" t="s">
        <v>360</v>
      </c>
      <c r="B4124" s="7" t="s">
        <v>26</v>
      </c>
      <c r="C4124" s="7" t="s">
        <v>27</v>
      </c>
      <c r="D4124" s="7" t="s">
        <v>28</v>
      </c>
      <c r="E4124" s="7" t="s">
        <v>29</v>
      </c>
      <c r="F4124" s="7" t="s">
        <v>61</v>
      </c>
      <c r="G4124" s="7">
        <v>101.1435</v>
      </c>
      <c r="H4124" s="7"/>
    </row>
    <row r="4125" spans="1:8" x14ac:dyDescent="0.35">
      <c r="A4125" s="7" t="s">
        <v>360</v>
      </c>
      <c r="B4125" s="7" t="s">
        <v>26</v>
      </c>
      <c r="C4125" s="7" t="s">
        <v>27</v>
      </c>
      <c r="D4125" s="7" t="s">
        <v>28</v>
      </c>
      <c r="E4125" s="7" t="s">
        <v>29</v>
      </c>
      <c r="F4125" s="7" t="s">
        <v>62</v>
      </c>
      <c r="G4125" s="7">
        <v>100.9033</v>
      </c>
      <c r="H4125" s="7"/>
    </row>
    <row r="4126" spans="1:8" x14ac:dyDescent="0.35">
      <c r="A4126" s="7" t="s">
        <v>360</v>
      </c>
      <c r="B4126" s="7" t="s">
        <v>26</v>
      </c>
      <c r="C4126" s="7" t="s">
        <v>27</v>
      </c>
      <c r="D4126" s="7" t="s">
        <v>28</v>
      </c>
      <c r="E4126" s="7" t="s">
        <v>29</v>
      </c>
      <c r="F4126" s="7" t="s">
        <v>63</v>
      </c>
      <c r="G4126" s="7">
        <v>100.3844</v>
      </c>
      <c r="H4126" s="7"/>
    </row>
    <row r="4127" spans="1:8" x14ac:dyDescent="0.35">
      <c r="A4127" s="7" t="s">
        <v>360</v>
      </c>
      <c r="B4127" s="7" t="s">
        <v>26</v>
      </c>
      <c r="C4127" s="7" t="s">
        <v>27</v>
      </c>
      <c r="D4127" s="7" t="s">
        <v>28</v>
      </c>
      <c r="E4127" s="7" t="s">
        <v>29</v>
      </c>
      <c r="F4127" s="7" t="s">
        <v>64</v>
      </c>
      <c r="G4127" s="7">
        <v>99.908230000000003</v>
      </c>
      <c r="H4127" s="7"/>
    </row>
    <row r="4128" spans="1:8" x14ac:dyDescent="0.35">
      <c r="A4128" s="7" t="s">
        <v>360</v>
      </c>
      <c r="B4128" s="7" t="s">
        <v>26</v>
      </c>
      <c r="C4128" s="7" t="s">
        <v>27</v>
      </c>
      <c r="D4128" s="7" t="s">
        <v>28</v>
      </c>
      <c r="E4128" s="7" t="s">
        <v>29</v>
      </c>
      <c r="F4128" s="7" t="s">
        <v>65</v>
      </c>
      <c r="G4128" s="7">
        <v>99.523139999999998</v>
      </c>
      <c r="H4128" s="7"/>
    </row>
    <row r="4129" spans="1:8" x14ac:dyDescent="0.35">
      <c r="A4129" s="7" t="s">
        <v>360</v>
      </c>
      <c r="B4129" s="7" t="s">
        <v>26</v>
      </c>
      <c r="C4129" s="7" t="s">
        <v>27</v>
      </c>
      <c r="D4129" s="7" t="s">
        <v>28</v>
      </c>
      <c r="E4129" s="7" t="s">
        <v>29</v>
      </c>
      <c r="F4129" s="7" t="s">
        <v>66</v>
      </c>
      <c r="G4129" s="7">
        <v>99.092740000000006</v>
      </c>
      <c r="H4129" s="7"/>
    </row>
    <row r="4130" spans="1:8" x14ac:dyDescent="0.35">
      <c r="A4130" s="7" t="s">
        <v>360</v>
      </c>
      <c r="B4130" s="7" t="s">
        <v>26</v>
      </c>
      <c r="C4130" s="7" t="s">
        <v>27</v>
      </c>
      <c r="D4130" s="7" t="s">
        <v>28</v>
      </c>
      <c r="E4130" s="7" t="s">
        <v>29</v>
      </c>
      <c r="F4130" s="7" t="s">
        <v>67</v>
      </c>
      <c r="G4130" s="7">
        <v>98.770420000000001</v>
      </c>
      <c r="H4130" s="7"/>
    </row>
    <row r="4131" spans="1:8" x14ac:dyDescent="0.35">
      <c r="A4131" s="7" t="s">
        <v>360</v>
      </c>
      <c r="B4131" s="7" t="s">
        <v>26</v>
      </c>
      <c r="C4131" s="7" t="s">
        <v>27</v>
      </c>
      <c r="D4131" s="7" t="s">
        <v>28</v>
      </c>
      <c r="E4131" s="7" t="s">
        <v>29</v>
      </c>
      <c r="F4131" s="7" t="s">
        <v>68</v>
      </c>
      <c r="G4131" s="7">
        <v>98.484819999999999</v>
      </c>
      <c r="H4131" s="7"/>
    </row>
    <row r="4132" spans="1:8" x14ac:dyDescent="0.35">
      <c r="A4132" s="7" t="s">
        <v>360</v>
      </c>
      <c r="B4132" s="7" t="s">
        <v>26</v>
      </c>
      <c r="C4132" s="7" t="s">
        <v>27</v>
      </c>
      <c r="D4132" s="7" t="s">
        <v>28</v>
      </c>
      <c r="E4132" s="7" t="s">
        <v>29</v>
      </c>
      <c r="F4132" s="7" t="s">
        <v>69</v>
      </c>
      <c r="G4132" s="7">
        <v>98.172629999999998</v>
      </c>
      <c r="H4132" s="7"/>
    </row>
    <row r="4133" spans="1:8" x14ac:dyDescent="0.35">
      <c r="A4133" s="7" t="s">
        <v>360</v>
      </c>
      <c r="B4133" s="7" t="s">
        <v>26</v>
      </c>
      <c r="C4133" s="7" t="s">
        <v>27</v>
      </c>
      <c r="D4133" s="7" t="s">
        <v>28</v>
      </c>
      <c r="E4133" s="7" t="s">
        <v>29</v>
      </c>
      <c r="F4133" s="7" t="s">
        <v>70</v>
      </c>
      <c r="G4133" s="7">
        <v>97.735950000000003</v>
      </c>
      <c r="H4133" s="7"/>
    </row>
    <row r="4134" spans="1:8" x14ac:dyDescent="0.35">
      <c r="A4134" s="7" t="s">
        <v>360</v>
      </c>
      <c r="B4134" s="7" t="s">
        <v>26</v>
      </c>
      <c r="C4134" s="7" t="s">
        <v>27</v>
      </c>
      <c r="D4134" s="7" t="s">
        <v>28</v>
      </c>
      <c r="E4134" s="7" t="s">
        <v>29</v>
      </c>
      <c r="F4134" s="7" t="s">
        <v>71</v>
      </c>
      <c r="G4134" s="7">
        <v>97.45393</v>
      </c>
      <c r="H4134" s="7"/>
    </row>
    <row r="4135" spans="1:8" x14ac:dyDescent="0.35">
      <c r="A4135" s="7" t="s">
        <v>360</v>
      </c>
      <c r="B4135" s="7" t="s">
        <v>26</v>
      </c>
      <c r="C4135" s="7" t="s">
        <v>27</v>
      </c>
      <c r="D4135" s="7" t="s">
        <v>28</v>
      </c>
      <c r="E4135" s="7" t="s">
        <v>29</v>
      </c>
      <c r="F4135" s="7" t="s">
        <v>72</v>
      </c>
      <c r="G4135" s="7">
        <v>97.404870000000003</v>
      </c>
      <c r="H4135" s="7"/>
    </row>
    <row r="4136" spans="1:8" x14ac:dyDescent="0.35">
      <c r="A4136" s="7" t="s">
        <v>360</v>
      </c>
      <c r="B4136" s="7" t="s">
        <v>26</v>
      </c>
      <c r="C4136" s="7" t="s">
        <v>27</v>
      </c>
      <c r="D4136" s="7" t="s">
        <v>28</v>
      </c>
      <c r="E4136" s="7" t="s">
        <v>29</v>
      </c>
      <c r="F4136" s="7" t="s">
        <v>73</v>
      </c>
      <c r="G4136" s="7">
        <v>97.519490000000005</v>
      </c>
      <c r="H4136" s="7"/>
    </row>
    <row r="4137" spans="1:8" x14ac:dyDescent="0.35">
      <c r="A4137" s="7" t="s">
        <v>360</v>
      </c>
      <c r="B4137" s="7" t="s">
        <v>26</v>
      </c>
      <c r="C4137" s="7" t="s">
        <v>27</v>
      </c>
      <c r="D4137" s="7" t="s">
        <v>28</v>
      </c>
      <c r="E4137" s="7" t="s">
        <v>29</v>
      </c>
      <c r="F4137" s="7" t="s">
        <v>74</v>
      </c>
      <c r="G4137" s="7">
        <v>97.769199999999998</v>
      </c>
      <c r="H4137" s="7"/>
    </row>
    <row r="4138" spans="1:8" x14ac:dyDescent="0.35">
      <c r="A4138" s="7" t="s">
        <v>360</v>
      </c>
      <c r="B4138" s="7" t="s">
        <v>26</v>
      </c>
      <c r="C4138" s="7" t="s">
        <v>27</v>
      </c>
      <c r="D4138" s="7" t="s">
        <v>28</v>
      </c>
      <c r="E4138" s="7" t="s">
        <v>29</v>
      </c>
      <c r="F4138" s="7" t="s">
        <v>75</v>
      </c>
      <c r="G4138" s="7">
        <v>98.041569999999993</v>
      </c>
      <c r="H4138" s="7"/>
    </row>
    <row r="4139" spans="1:8" x14ac:dyDescent="0.35">
      <c r="A4139" s="7" t="s">
        <v>360</v>
      </c>
      <c r="B4139" s="7" t="s">
        <v>26</v>
      </c>
      <c r="C4139" s="7" t="s">
        <v>27</v>
      </c>
      <c r="D4139" s="7" t="s">
        <v>28</v>
      </c>
      <c r="E4139" s="7" t="s">
        <v>29</v>
      </c>
      <c r="F4139" s="7" t="s">
        <v>76</v>
      </c>
      <c r="G4139" s="7">
        <v>98.278549999999996</v>
      </c>
      <c r="H4139" s="7"/>
    </row>
    <row r="4140" spans="1:8" x14ac:dyDescent="0.35">
      <c r="A4140" s="7" t="s">
        <v>360</v>
      </c>
      <c r="B4140" s="7" t="s">
        <v>26</v>
      </c>
      <c r="C4140" s="7" t="s">
        <v>27</v>
      </c>
      <c r="D4140" s="7" t="s">
        <v>28</v>
      </c>
      <c r="E4140" s="7" t="s">
        <v>29</v>
      </c>
      <c r="F4140" s="7" t="s">
        <v>77</v>
      </c>
      <c r="G4140" s="7">
        <v>98.323400000000007</v>
      </c>
      <c r="H4140" s="7"/>
    </row>
    <row r="4141" spans="1:8" x14ac:dyDescent="0.35">
      <c r="A4141" s="7" t="s">
        <v>360</v>
      </c>
      <c r="B4141" s="7" t="s">
        <v>26</v>
      </c>
      <c r="C4141" s="7" t="s">
        <v>27</v>
      </c>
      <c r="D4141" s="7" t="s">
        <v>28</v>
      </c>
      <c r="E4141" s="7" t="s">
        <v>29</v>
      </c>
      <c r="F4141" s="7" t="s">
        <v>78</v>
      </c>
      <c r="G4141" s="7">
        <v>98.290559999999999</v>
      </c>
      <c r="H4141" s="7"/>
    </row>
    <row r="4142" spans="1:8" x14ac:dyDescent="0.35">
      <c r="A4142" s="7" t="s">
        <v>360</v>
      </c>
      <c r="B4142" s="7" t="s">
        <v>26</v>
      </c>
      <c r="C4142" s="7" t="s">
        <v>27</v>
      </c>
      <c r="D4142" s="7" t="s">
        <v>28</v>
      </c>
      <c r="E4142" s="7" t="s">
        <v>29</v>
      </c>
      <c r="F4142" s="7" t="s">
        <v>79</v>
      </c>
      <c r="G4142" s="7">
        <v>98.331739999999996</v>
      </c>
      <c r="H4142" s="7"/>
    </row>
    <row r="4143" spans="1:8" x14ac:dyDescent="0.35">
      <c r="A4143" s="7" t="s">
        <v>360</v>
      </c>
      <c r="B4143" s="7" t="s">
        <v>26</v>
      </c>
      <c r="C4143" s="7" t="s">
        <v>27</v>
      </c>
      <c r="D4143" s="7" t="s">
        <v>28</v>
      </c>
      <c r="E4143" s="7" t="s">
        <v>29</v>
      </c>
      <c r="F4143" s="7" t="s">
        <v>80</v>
      </c>
      <c r="G4143" s="7">
        <v>98.37039</v>
      </c>
      <c r="H4143" s="7"/>
    </row>
    <row r="4144" spans="1:8" x14ac:dyDescent="0.35">
      <c r="A4144" s="7" t="s">
        <v>360</v>
      </c>
      <c r="B4144" s="7" t="s">
        <v>26</v>
      </c>
      <c r="C4144" s="7" t="s">
        <v>27</v>
      </c>
      <c r="D4144" s="7" t="s">
        <v>28</v>
      </c>
      <c r="E4144" s="7" t="s">
        <v>29</v>
      </c>
      <c r="F4144" s="7" t="s">
        <v>81</v>
      </c>
      <c r="G4144" s="7">
        <v>98.398719999999997</v>
      </c>
      <c r="H4144" s="7"/>
    </row>
    <row r="4145" spans="1:8" x14ac:dyDescent="0.35">
      <c r="A4145" s="7" t="s">
        <v>360</v>
      </c>
      <c r="B4145" s="7" t="s">
        <v>26</v>
      </c>
      <c r="C4145" s="7" t="s">
        <v>27</v>
      </c>
      <c r="D4145" s="7" t="s">
        <v>28</v>
      </c>
      <c r="E4145" s="7" t="s">
        <v>29</v>
      </c>
      <c r="F4145" s="7" t="s">
        <v>82</v>
      </c>
      <c r="G4145" s="7">
        <v>98.478790000000004</v>
      </c>
      <c r="H4145" s="7"/>
    </row>
    <row r="4146" spans="1:8" x14ac:dyDescent="0.35">
      <c r="A4146" s="7" t="s">
        <v>360</v>
      </c>
      <c r="B4146" s="7" t="s">
        <v>26</v>
      </c>
      <c r="C4146" s="7" t="s">
        <v>27</v>
      </c>
      <c r="D4146" s="7" t="s">
        <v>28</v>
      </c>
      <c r="E4146" s="7" t="s">
        <v>29</v>
      </c>
      <c r="F4146" s="7" t="s">
        <v>83</v>
      </c>
      <c r="G4146" s="7">
        <v>98.505359999999996</v>
      </c>
      <c r="H4146" s="7"/>
    </row>
    <row r="4147" spans="1:8" x14ac:dyDescent="0.35">
      <c r="A4147" s="7" t="s">
        <v>360</v>
      </c>
      <c r="B4147" s="7" t="s">
        <v>26</v>
      </c>
      <c r="C4147" s="7" t="s">
        <v>27</v>
      </c>
      <c r="D4147" s="7" t="s">
        <v>28</v>
      </c>
      <c r="E4147" s="7" t="s">
        <v>29</v>
      </c>
      <c r="F4147" s="7" t="s">
        <v>84</v>
      </c>
      <c r="G4147" s="7">
        <v>98.434110000000004</v>
      </c>
      <c r="H4147" s="7"/>
    </row>
    <row r="4148" spans="1:8" x14ac:dyDescent="0.35">
      <c r="A4148" s="7" t="s">
        <v>360</v>
      </c>
      <c r="B4148" s="7" t="s">
        <v>26</v>
      </c>
      <c r="C4148" s="7" t="s">
        <v>27</v>
      </c>
      <c r="D4148" s="7" t="s">
        <v>28</v>
      </c>
      <c r="E4148" s="7" t="s">
        <v>29</v>
      </c>
      <c r="F4148" s="7" t="s">
        <v>85</v>
      </c>
      <c r="G4148" s="7">
        <v>98.454089999999994</v>
      </c>
      <c r="H4148" s="7"/>
    </row>
    <row r="4149" spans="1:8" x14ac:dyDescent="0.35">
      <c r="A4149" s="7" t="s">
        <v>360</v>
      </c>
      <c r="B4149" s="7" t="s">
        <v>26</v>
      </c>
      <c r="C4149" s="7" t="s">
        <v>27</v>
      </c>
      <c r="D4149" s="7" t="s">
        <v>28</v>
      </c>
      <c r="E4149" s="7" t="s">
        <v>29</v>
      </c>
      <c r="F4149" s="7" t="s">
        <v>86</v>
      </c>
      <c r="G4149" s="7">
        <v>98.660989999999998</v>
      </c>
      <c r="H4149" s="7"/>
    </row>
    <row r="4150" spans="1:8" x14ac:dyDescent="0.35">
      <c r="A4150" s="7" t="s">
        <v>360</v>
      </c>
      <c r="B4150" s="7" t="s">
        <v>26</v>
      </c>
      <c r="C4150" s="7" t="s">
        <v>27</v>
      </c>
      <c r="D4150" s="7" t="s">
        <v>28</v>
      </c>
      <c r="E4150" s="7" t="s">
        <v>29</v>
      </c>
      <c r="F4150" s="7" t="s">
        <v>87</v>
      </c>
      <c r="G4150" s="7">
        <v>98.92783</v>
      </c>
      <c r="H4150" s="7"/>
    </row>
    <row r="4151" spans="1:8" x14ac:dyDescent="0.35">
      <c r="A4151" s="7" t="s">
        <v>360</v>
      </c>
      <c r="B4151" s="7" t="s">
        <v>26</v>
      </c>
      <c r="C4151" s="7" t="s">
        <v>27</v>
      </c>
      <c r="D4151" s="7" t="s">
        <v>28</v>
      </c>
      <c r="E4151" s="7" t="s">
        <v>29</v>
      </c>
      <c r="F4151" s="7" t="s">
        <v>88</v>
      </c>
      <c r="G4151" s="7">
        <v>99.1357</v>
      </c>
      <c r="H4151" s="7"/>
    </row>
    <row r="4152" spans="1:8" x14ac:dyDescent="0.35">
      <c r="A4152" s="7" t="s">
        <v>360</v>
      </c>
      <c r="B4152" s="7" t="s">
        <v>26</v>
      </c>
      <c r="C4152" s="7" t="s">
        <v>27</v>
      </c>
      <c r="D4152" s="7" t="s">
        <v>28</v>
      </c>
      <c r="E4152" s="7" t="s">
        <v>29</v>
      </c>
      <c r="F4152" s="7" t="s">
        <v>89</v>
      </c>
      <c r="G4152" s="7">
        <v>99.304789999999997</v>
      </c>
      <c r="H4152" s="7"/>
    </row>
    <row r="4153" spans="1:8" x14ac:dyDescent="0.35">
      <c r="A4153" s="7" t="s">
        <v>360</v>
      </c>
      <c r="B4153" s="7" t="s">
        <v>26</v>
      </c>
      <c r="C4153" s="7" t="s">
        <v>27</v>
      </c>
      <c r="D4153" s="7" t="s">
        <v>28</v>
      </c>
      <c r="E4153" s="7" t="s">
        <v>29</v>
      </c>
      <c r="F4153" s="7" t="s">
        <v>90</v>
      </c>
      <c r="G4153" s="7">
        <v>99.366619999999998</v>
      </c>
      <c r="H4153" s="7"/>
    </row>
    <row r="4154" spans="1:8" x14ac:dyDescent="0.35">
      <c r="A4154" s="7" t="s">
        <v>360</v>
      </c>
      <c r="B4154" s="7" t="s">
        <v>26</v>
      </c>
      <c r="C4154" s="7" t="s">
        <v>27</v>
      </c>
      <c r="D4154" s="7" t="s">
        <v>28</v>
      </c>
      <c r="E4154" s="7" t="s">
        <v>29</v>
      </c>
      <c r="F4154" s="7" t="s">
        <v>91</v>
      </c>
      <c r="G4154" s="7">
        <v>99.243650000000002</v>
      </c>
      <c r="H4154" s="7"/>
    </row>
    <row r="4155" spans="1:8" x14ac:dyDescent="0.35">
      <c r="A4155" s="7" t="s">
        <v>360</v>
      </c>
      <c r="B4155" s="7" t="s">
        <v>26</v>
      </c>
      <c r="C4155" s="7" t="s">
        <v>27</v>
      </c>
      <c r="D4155" s="7" t="s">
        <v>28</v>
      </c>
      <c r="E4155" s="7" t="s">
        <v>29</v>
      </c>
      <c r="F4155" s="7" t="s">
        <v>92</v>
      </c>
      <c r="G4155" s="7">
        <v>99.115679999999998</v>
      </c>
      <c r="H4155" s="7"/>
    </row>
    <row r="4156" spans="1:8" x14ac:dyDescent="0.35">
      <c r="A4156" s="7" t="s">
        <v>360</v>
      </c>
      <c r="B4156" s="7" t="s">
        <v>26</v>
      </c>
      <c r="C4156" s="7" t="s">
        <v>27</v>
      </c>
      <c r="D4156" s="7" t="s">
        <v>28</v>
      </c>
      <c r="E4156" s="7" t="s">
        <v>29</v>
      </c>
      <c r="F4156" s="7" t="s">
        <v>93</v>
      </c>
      <c r="G4156" s="7">
        <v>99.085229999999996</v>
      </c>
      <c r="H4156" s="7"/>
    </row>
    <row r="4157" spans="1:8" x14ac:dyDescent="0.35">
      <c r="A4157" s="7" t="s">
        <v>360</v>
      </c>
      <c r="B4157" s="7" t="s">
        <v>26</v>
      </c>
      <c r="C4157" s="7" t="s">
        <v>27</v>
      </c>
      <c r="D4157" s="7" t="s">
        <v>28</v>
      </c>
      <c r="E4157" s="7" t="s">
        <v>29</v>
      </c>
      <c r="F4157" s="7" t="s">
        <v>94</v>
      </c>
      <c r="G4157" s="7">
        <v>99.19614</v>
      </c>
      <c r="H4157" s="7"/>
    </row>
    <row r="4158" spans="1:8" x14ac:dyDescent="0.35">
      <c r="A4158" s="7" t="s">
        <v>360</v>
      </c>
      <c r="B4158" s="7" t="s">
        <v>26</v>
      </c>
      <c r="C4158" s="7" t="s">
        <v>27</v>
      </c>
      <c r="D4158" s="7" t="s">
        <v>28</v>
      </c>
      <c r="E4158" s="7" t="s">
        <v>29</v>
      </c>
      <c r="F4158" s="7" t="s">
        <v>95</v>
      </c>
      <c r="G4158" s="7">
        <v>99.374499999999998</v>
      </c>
      <c r="H4158" s="7"/>
    </row>
    <row r="4159" spans="1:8" x14ac:dyDescent="0.35">
      <c r="A4159" s="7" t="s">
        <v>360</v>
      </c>
      <c r="B4159" s="7" t="s">
        <v>26</v>
      </c>
      <c r="C4159" s="7" t="s">
        <v>27</v>
      </c>
      <c r="D4159" s="7" t="s">
        <v>28</v>
      </c>
      <c r="E4159" s="7" t="s">
        <v>29</v>
      </c>
      <c r="F4159" s="7" t="s">
        <v>96</v>
      </c>
      <c r="G4159" s="7">
        <v>99.556430000000006</v>
      </c>
      <c r="H4159" s="7"/>
    </row>
    <row r="4160" spans="1:8" x14ac:dyDescent="0.35">
      <c r="A4160" s="7" t="s">
        <v>360</v>
      </c>
      <c r="B4160" s="7" t="s">
        <v>26</v>
      </c>
      <c r="C4160" s="7" t="s">
        <v>27</v>
      </c>
      <c r="D4160" s="7" t="s">
        <v>28</v>
      </c>
      <c r="E4160" s="7" t="s">
        <v>29</v>
      </c>
      <c r="F4160" s="7" t="s">
        <v>97</v>
      </c>
      <c r="G4160" s="7">
        <v>99.788240000000002</v>
      </c>
      <c r="H4160" s="7"/>
    </row>
    <row r="4161" spans="1:8" x14ac:dyDescent="0.35">
      <c r="A4161" s="7" t="s">
        <v>360</v>
      </c>
      <c r="B4161" s="7" t="s">
        <v>26</v>
      </c>
      <c r="C4161" s="7" t="s">
        <v>27</v>
      </c>
      <c r="D4161" s="7" t="s">
        <v>28</v>
      </c>
      <c r="E4161" s="7" t="s">
        <v>29</v>
      </c>
      <c r="F4161" s="7" t="s">
        <v>98</v>
      </c>
      <c r="G4161" s="7">
        <v>100.0346</v>
      </c>
      <c r="H4161" s="7"/>
    </row>
    <row r="4162" spans="1:8" x14ac:dyDescent="0.35">
      <c r="A4162" s="7" t="s">
        <v>360</v>
      </c>
      <c r="B4162" s="7" t="s">
        <v>26</v>
      </c>
      <c r="C4162" s="7" t="s">
        <v>27</v>
      </c>
      <c r="D4162" s="7" t="s">
        <v>28</v>
      </c>
      <c r="E4162" s="7" t="s">
        <v>29</v>
      </c>
      <c r="F4162" s="7" t="s">
        <v>99</v>
      </c>
      <c r="G4162" s="7">
        <v>100.3146</v>
      </c>
      <c r="H4162" s="7"/>
    </row>
    <row r="4163" spans="1:8" x14ac:dyDescent="0.35">
      <c r="A4163" s="7" t="s">
        <v>360</v>
      </c>
      <c r="B4163" s="7" t="s">
        <v>26</v>
      </c>
      <c r="C4163" s="7" t="s">
        <v>27</v>
      </c>
      <c r="D4163" s="7" t="s">
        <v>28</v>
      </c>
      <c r="E4163" s="7" t="s">
        <v>29</v>
      </c>
      <c r="F4163" s="7" t="s">
        <v>100</v>
      </c>
      <c r="G4163" s="7">
        <v>100.5652</v>
      </c>
      <c r="H4163" s="7"/>
    </row>
    <row r="4164" spans="1:8" x14ac:dyDescent="0.35">
      <c r="A4164" s="7" t="s">
        <v>360</v>
      </c>
      <c r="B4164" s="7" t="s">
        <v>26</v>
      </c>
      <c r="C4164" s="7" t="s">
        <v>27</v>
      </c>
      <c r="D4164" s="7" t="s">
        <v>28</v>
      </c>
      <c r="E4164" s="7" t="s">
        <v>29</v>
      </c>
      <c r="F4164" s="7" t="s">
        <v>101</v>
      </c>
      <c r="G4164" s="7">
        <v>100.67910000000001</v>
      </c>
      <c r="H4164" s="7"/>
    </row>
    <row r="4165" spans="1:8" x14ac:dyDescent="0.35">
      <c r="A4165" s="7" t="s">
        <v>360</v>
      </c>
      <c r="B4165" s="7" t="s">
        <v>26</v>
      </c>
      <c r="C4165" s="7" t="s">
        <v>27</v>
      </c>
      <c r="D4165" s="7" t="s">
        <v>28</v>
      </c>
      <c r="E4165" s="7" t="s">
        <v>29</v>
      </c>
      <c r="F4165" s="7" t="s">
        <v>102</v>
      </c>
      <c r="G4165" s="7">
        <v>100.7418</v>
      </c>
      <c r="H4165" s="7"/>
    </row>
    <row r="4166" spans="1:8" x14ac:dyDescent="0.35">
      <c r="A4166" s="7" t="s">
        <v>360</v>
      </c>
      <c r="B4166" s="7" t="s">
        <v>26</v>
      </c>
      <c r="C4166" s="7" t="s">
        <v>27</v>
      </c>
      <c r="D4166" s="7" t="s">
        <v>28</v>
      </c>
      <c r="E4166" s="7" t="s">
        <v>29</v>
      </c>
      <c r="F4166" s="7" t="s">
        <v>103</v>
      </c>
      <c r="G4166" s="7">
        <v>100.7882</v>
      </c>
      <c r="H4166" s="7"/>
    </row>
    <row r="4167" spans="1:8" x14ac:dyDescent="0.35">
      <c r="A4167" s="7" t="s">
        <v>360</v>
      </c>
      <c r="B4167" s="7" t="s">
        <v>26</v>
      </c>
      <c r="C4167" s="7" t="s">
        <v>27</v>
      </c>
      <c r="D4167" s="7" t="s">
        <v>28</v>
      </c>
      <c r="E4167" s="7" t="s">
        <v>29</v>
      </c>
      <c r="F4167" s="7" t="s">
        <v>104</v>
      </c>
      <c r="G4167" s="7">
        <v>100.959</v>
      </c>
      <c r="H4167" s="7"/>
    </row>
    <row r="4168" spans="1:8" x14ac:dyDescent="0.35">
      <c r="A4168" s="7" t="s">
        <v>360</v>
      </c>
      <c r="B4168" s="7" t="s">
        <v>26</v>
      </c>
      <c r="C4168" s="7" t="s">
        <v>27</v>
      </c>
      <c r="D4168" s="7" t="s">
        <v>28</v>
      </c>
      <c r="E4168" s="7" t="s">
        <v>29</v>
      </c>
      <c r="F4168" s="7" t="s">
        <v>105</v>
      </c>
      <c r="G4168" s="7">
        <v>101.1657</v>
      </c>
      <c r="H4168" s="7"/>
    </row>
    <row r="4169" spans="1:8" x14ac:dyDescent="0.35">
      <c r="A4169" s="7" t="s">
        <v>360</v>
      </c>
      <c r="B4169" s="7" t="s">
        <v>26</v>
      </c>
      <c r="C4169" s="7" t="s">
        <v>27</v>
      </c>
      <c r="D4169" s="7" t="s">
        <v>28</v>
      </c>
      <c r="E4169" s="7" t="s">
        <v>29</v>
      </c>
      <c r="F4169" s="7" t="s">
        <v>106</v>
      </c>
      <c r="G4169" s="7">
        <v>101.32729999999999</v>
      </c>
      <c r="H4169" s="7"/>
    </row>
    <row r="4170" spans="1:8" x14ac:dyDescent="0.35">
      <c r="A4170" s="7" t="s">
        <v>360</v>
      </c>
      <c r="B4170" s="7" t="s">
        <v>26</v>
      </c>
      <c r="C4170" s="7" t="s">
        <v>27</v>
      </c>
      <c r="D4170" s="7" t="s">
        <v>28</v>
      </c>
      <c r="E4170" s="7" t="s">
        <v>29</v>
      </c>
      <c r="F4170" s="7" t="s">
        <v>107</v>
      </c>
      <c r="G4170" s="7">
        <v>101.3732</v>
      </c>
      <c r="H4170" s="7"/>
    </row>
    <row r="4171" spans="1:8" x14ac:dyDescent="0.35">
      <c r="A4171" s="7" t="s">
        <v>360</v>
      </c>
      <c r="B4171" s="7" t="s">
        <v>26</v>
      </c>
      <c r="C4171" s="7" t="s">
        <v>27</v>
      </c>
      <c r="D4171" s="7" t="s">
        <v>28</v>
      </c>
      <c r="E4171" s="7" t="s">
        <v>29</v>
      </c>
      <c r="F4171" s="7" t="s">
        <v>108</v>
      </c>
      <c r="G4171" s="7">
        <v>101.5384</v>
      </c>
      <c r="H4171" s="7"/>
    </row>
    <row r="4172" spans="1:8" x14ac:dyDescent="0.35">
      <c r="A4172" s="7" t="s">
        <v>360</v>
      </c>
      <c r="B4172" s="7" t="s">
        <v>26</v>
      </c>
      <c r="C4172" s="7" t="s">
        <v>27</v>
      </c>
      <c r="D4172" s="7" t="s">
        <v>28</v>
      </c>
      <c r="E4172" s="7" t="s">
        <v>29</v>
      </c>
      <c r="F4172" s="7" t="s">
        <v>109</v>
      </c>
      <c r="G4172" s="7">
        <v>101.88039999999999</v>
      </c>
      <c r="H4172" s="7"/>
    </row>
    <row r="4173" spans="1:8" x14ac:dyDescent="0.35">
      <c r="A4173" s="7" t="s">
        <v>360</v>
      </c>
      <c r="B4173" s="7" t="s">
        <v>26</v>
      </c>
      <c r="C4173" s="7" t="s">
        <v>27</v>
      </c>
      <c r="D4173" s="7" t="s">
        <v>28</v>
      </c>
      <c r="E4173" s="7" t="s">
        <v>29</v>
      </c>
      <c r="F4173" s="7" t="s">
        <v>110</v>
      </c>
      <c r="G4173" s="7">
        <v>102.0839</v>
      </c>
      <c r="H4173" s="7"/>
    </row>
    <row r="4174" spans="1:8" x14ac:dyDescent="0.35">
      <c r="A4174" s="7" t="s">
        <v>360</v>
      </c>
      <c r="B4174" s="7" t="s">
        <v>26</v>
      </c>
      <c r="C4174" s="7" t="s">
        <v>27</v>
      </c>
      <c r="D4174" s="7" t="s">
        <v>28</v>
      </c>
      <c r="E4174" s="7" t="s">
        <v>29</v>
      </c>
      <c r="F4174" s="7" t="s">
        <v>111</v>
      </c>
      <c r="G4174" s="7">
        <v>102.03400000000001</v>
      </c>
      <c r="H4174" s="7"/>
    </row>
    <row r="4175" spans="1:8" x14ac:dyDescent="0.35">
      <c r="A4175" s="7" t="s">
        <v>360</v>
      </c>
      <c r="B4175" s="7" t="s">
        <v>26</v>
      </c>
      <c r="C4175" s="7" t="s">
        <v>27</v>
      </c>
      <c r="D4175" s="7" t="s">
        <v>28</v>
      </c>
      <c r="E4175" s="7" t="s">
        <v>29</v>
      </c>
      <c r="F4175" s="7" t="s">
        <v>112</v>
      </c>
      <c r="G4175" s="7">
        <v>101.8317</v>
      </c>
      <c r="H4175" s="7"/>
    </row>
    <row r="4176" spans="1:8" x14ac:dyDescent="0.35">
      <c r="A4176" s="7" t="s">
        <v>360</v>
      </c>
      <c r="B4176" s="7" t="s">
        <v>26</v>
      </c>
      <c r="C4176" s="7" t="s">
        <v>27</v>
      </c>
      <c r="D4176" s="7" t="s">
        <v>28</v>
      </c>
      <c r="E4176" s="7" t="s">
        <v>29</v>
      </c>
      <c r="F4176" s="7" t="s">
        <v>113</v>
      </c>
      <c r="G4176" s="7">
        <v>101.6151</v>
      </c>
      <c r="H4176" s="7"/>
    </row>
    <row r="4177" spans="1:8" x14ac:dyDescent="0.35">
      <c r="A4177" s="7" t="s">
        <v>360</v>
      </c>
      <c r="B4177" s="7" t="s">
        <v>26</v>
      </c>
      <c r="C4177" s="7" t="s">
        <v>27</v>
      </c>
      <c r="D4177" s="7" t="s">
        <v>28</v>
      </c>
      <c r="E4177" s="7" t="s">
        <v>29</v>
      </c>
      <c r="F4177" s="7" t="s">
        <v>114</v>
      </c>
      <c r="G4177" s="7">
        <v>101.3334</v>
      </c>
      <c r="H4177" s="7"/>
    </row>
    <row r="4178" spans="1:8" x14ac:dyDescent="0.35">
      <c r="A4178" s="7" t="s">
        <v>360</v>
      </c>
      <c r="B4178" s="7" t="s">
        <v>26</v>
      </c>
      <c r="C4178" s="7" t="s">
        <v>27</v>
      </c>
      <c r="D4178" s="7" t="s">
        <v>28</v>
      </c>
      <c r="E4178" s="7" t="s">
        <v>29</v>
      </c>
      <c r="F4178" s="7" t="s">
        <v>115</v>
      </c>
      <c r="G4178" s="7">
        <v>101.06359999999999</v>
      </c>
      <c r="H4178" s="7"/>
    </row>
    <row r="4179" spans="1:8" x14ac:dyDescent="0.35">
      <c r="A4179" s="7" t="s">
        <v>360</v>
      </c>
      <c r="B4179" s="7" t="s">
        <v>26</v>
      </c>
      <c r="C4179" s="7" t="s">
        <v>27</v>
      </c>
      <c r="D4179" s="7" t="s">
        <v>28</v>
      </c>
      <c r="E4179" s="7" t="s">
        <v>29</v>
      </c>
      <c r="F4179" s="7" t="s">
        <v>116</v>
      </c>
      <c r="G4179" s="7">
        <v>100.93380000000001</v>
      </c>
      <c r="H4179" s="7"/>
    </row>
    <row r="4180" spans="1:8" x14ac:dyDescent="0.35">
      <c r="A4180" s="7" t="s">
        <v>360</v>
      </c>
      <c r="B4180" s="7" t="s">
        <v>26</v>
      </c>
      <c r="C4180" s="7" t="s">
        <v>27</v>
      </c>
      <c r="D4180" s="7" t="s">
        <v>28</v>
      </c>
      <c r="E4180" s="7" t="s">
        <v>29</v>
      </c>
      <c r="F4180" s="7" t="s">
        <v>117</v>
      </c>
      <c r="G4180" s="7">
        <v>100.8558</v>
      </c>
      <c r="H4180" s="7"/>
    </row>
    <row r="4181" spans="1:8" x14ac:dyDescent="0.35">
      <c r="A4181" s="7" t="s">
        <v>360</v>
      </c>
      <c r="B4181" s="7" t="s">
        <v>26</v>
      </c>
      <c r="C4181" s="7" t="s">
        <v>27</v>
      </c>
      <c r="D4181" s="7" t="s">
        <v>28</v>
      </c>
      <c r="E4181" s="7" t="s">
        <v>29</v>
      </c>
      <c r="F4181" s="7" t="s">
        <v>118</v>
      </c>
      <c r="G4181" s="7">
        <v>100.6752</v>
      </c>
      <c r="H4181" s="7"/>
    </row>
    <row r="4182" spans="1:8" x14ac:dyDescent="0.35">
      <c r="A4182" s="7" t="s">
        <v>360</v>
      </c>
      <c r="B4182" s="7" t="s">
        <v>26</v>
      </c>
      <c r="C4182" s="7" t="s">
        <v>27</v>
      </c>
      <c r="D4182" s="7" t="s">
        <v>28</v>
      </c>
      <c r="E4182" s="7" t="s">
        <v>29</v>
      </c>
      <c r="F4182" s="7" t="s">
        <v>119</v>
      </c>
      <c r="G4182" s="7">
        <v>100.41800000000001</v>
      </c>
      <c r="H4182" s="7"/>
    </row>
    <row r="4183" spans="1:8" x14ac:dyDescent="0.35">
      <c r="A4183" s="7" t="s">
        <v>360</v>
      </c>
      <c r="B4183" s="7" t="s">
        <v>26</v>
      </c>
      <c r="C4183" s="7" t="s">
        <v>27</v>
      </c>
      <c r="D4183" s="7" t="s">
        <v>28</v>
      </c>
      <c r="E4183" s="7" t="s">
        <v>29</v>
      </c>
      <c r="F4183" s="7" t="s">
        <v>120</v>
      </c>
      <c r="G4183" s="7">
        <v>100.2625</v>
      </c>
      <c r="H4183" s="7"/>
    </row>
    <row r="4184" spans="1:8" x14ac:dyDescent="0.35">
      <c r="A4184" s="7" t="s">
        <v>360</v>
      </c>
      <c r="B4184" s="7" t="s">
        <v>26</v>
      </c>
      <c r="C4184" s="7" t="s">
        <v>27</v>
      </c>
      <c r="D4184" s="7" t="s">
        <v>28</v>
      </c>
      <c r="E4184" s="7" t="s">
        <v>29</v>
      </c>
      <c r="F4184" s="7" t="s">
        <v>121</v>
      </c>
      <c r="G4184" s="7">
        <v>100.1799</v>
      </c>
      <c r="H4184" s="7"/>
    </row>
    <row r="4185" spans="1:8" x14ac:dyDescent="0.35">
      <c r="A4185" s="7" t="s">
        <v>360</v>
      </c>
      <c r="B4185" s="7" t="s">
        <v>26</v>
      </c>
      <c r="C4185" s="7" t="s">
        <v>27</v>
      </c>
      <c r="D4185" s="7" t="s">
        <v>28</v>
      </c>
      <c r="E4185" s="7" t="s">
        <v>29</v>
      </c>
      <c r="F4185" s="7" t="s">
        <v>122</v>
      </c>
      <c r="G4185" s="7">
        <v>100.0599</v>
      </c>
      <c r="H4185" s="7"/>
    </row>
    <row r="4186" spans="1:8" x14ac:dyDescent="0.35">
      <c r="A4186" s="7" t="s">
        <v>360</v>
      </c>
      <c r="B4186" s="7" t="s">
        <v>26</v>
      </c>
      <c r="C4186" s="7" t="s">
        <v>27</v>
      </c>
      <c r="D4186" s="7" t="s">
        <v>28</v>
      </c>
      <c r="E4186" s="7" t="s">
        <v>29</v>
      </c>
      <c r="F4186" s="7" t="s">
        <v>123</v>
      </c>
      <c r="G4186" s="7">
        <v>100.062</v>
      </c>
      <c r="H4186" s="7"/>
    </row>
    <row r="4187" spans="1:8" x14ac:dyDescent="0.35">
      <c r="A4187" s="7" t="s">
        <v>360</v>
      </c>
      <c r="B4187" s="7" t="s">
        <v>26</v>
      </c>
      <c r="C4187" s="7" t="s">
        <v>27</v>
      </c>
      <c r="D4187" s="7" t="s">
        <v>28</v>
      </c>
      <c r="E4187" s="7" t="s">
        <v>29</v>
      </c>
      <c r="F4187" s="7" t="s">
        <v>124</v>
      </c>
      <c r="G4187" s="7">
        <v>100.1384</v>
      </c>
      <c r="H4187" s="7"/>
    </row>
    <row r="4188" spans="1:8" x14ac:dyDescent="0.35">
      <c r="A4188" s="7" t="s">
        <v>360</v>
      </c>
      <c r="B4188" s="7" t="s">
        <v>26</v>
      </c>
      <c r="C4188" s="7" t="s">
        <v>27</v>
      </c>
      <c r="D4188" s="7" t="s">
        <v>28</v>
      </c>
      <c r="E4188" s="7" t="s">
        <v>29</v>
      </c>
      <c r="F4188" s="7" t="s">
        <v>125</v>
      </c>
      <c r="G4188" s="7">
        <v>100.29049999999999</v>
      </c>
      <c r="H4188" s="7"/>
    </row>
    <row r="4189" spans="1:8" x14ac:dyDescent="0.35">
      <c r="A4189" s="7" t="s">
        <v>360</v>
      </c>
      <c r="B4189" s="7" t="s">
        <v>26</v>
      </c>
      <c r="C4189" s="7" t="s">
        <v>27</v>
      </c>
      <c r="D4189" s="7" t="s">
        <v>28</v>
      </c>
      <c r="E4189" s="7" t="s">
        <v>29</v>
      </c>
      <c r="F4189" s="7" t="s">
        <v>126</v>
      </c>
      <c r="G4189" s="7">
        <v>100.4233</v>
      </c>
      <c r="H4189" s="7"/>
    </row>
    <row r="4190" spans="1:8" x14ac:dyDescent="0.35">
      <c r="A4190" s="7" t="s">
        <v>360</v>
      </c>
      <c r="B4190" s="7" t="s">
        <v>26</v>
      </c>
      <c r="C4190" s="7" t="s">
        <v>27</v>
      </c>
      <c r="D4190" s="7" t="s">
        <v>28</v>
      </c>
      <c r="E4190" s="7" t="s">
        <v>29</v>
      </c>
      <c r="F4190" s="7" t="s">
        <v>127</v>
      </c>
      <c r="G4190" s="7">
        <v>100.5014</v>
      </c>
      <c r="H4190" s="7"/>
    </row>
    <row r="4191" spans="1:8" x14ac:dyDescent="0.35">
      <c r="A4191" s="7" t="s">
        <v>360</v>
      </c>
      <c r="B4191" s="7" t="s">
        <v>26</v>
      </c>
      <c r="C4191" s="7" t="s">
        <v>27</v>
      </c>
      <c r="D4191" s="7" t="s">
        <v>28</v>
      </c>
      <c r="E4191" s="7" t="s">
        <v>29</v>
      </c>
      <c r="F4191" s="7" t="s">
        <v>128</v>
      </c>
      <c r="G4191" s="7">
        <v>100.6348</v>
      </c>
      <c r="H4191" s="7"/>
    </row>
    <row r="4192" spans="1:8" x14ac:dyDescent="0.35">
      <c r="A4192" s="7" t="s">
        <v>360</v>
      </c>
      <c r="B4192" s="7" t="s">
        <v>26</v>
      </c>
      <c r="C4192" s="7" t="s">
        <v>27</v>
      </c>
      <c r="D4192" s="7" t="s">
        <v>28</v>
      </c>
      <c r="E4192" s="7" t="s">
        <v>29</v>
      </c>
      <c r="F4192" s="7" t="s">
        <v>129</v>
      </c>
      <c r="G4192" s="7">
        <v>100.3845</v>
      </c>
      <c r="H4192" s="7"/>
    </row>
    <row r="4193" spans="1:8" x14ac:dyDescent="0.35">
      <c r="A4193" s="7" t="s">
        <v>360</v>
      </c>
      <c r="B4193" s="7" t="s">
        <v>26</v>
      </c>
      <c r="C4193" s="7" t="s">
        <v>27</v>
      </c>
      <c r="D4193" s="7" t="s">
        <v>28</v>
      </c>
      <c r="E4193" s="7" t="s">
        <v>29</v>
      </c>
      <c r="F4193" s="7" t="s">
        <v>130</v>
      </c>
      <c r="G4193" s="7">
        <v>100.1108</v>
      </c>
      <c r="H4193" s="7"/>
    </row>
    <row r="4194" spans="1:8" x14ac:dyDescent="0.35">
      <c r="A4194" s="7" t="s">
        <v>360</v>
      </c>
      <c r="B4194" s="7" t="s">
        <v>26</v>
      </c>
      <c r="C4194" s="7" t="s">
        <v>27</v>
      </c>
      <c r="D4194" s="7" t="s">
        <v>28</v>
      </c>
      <c r="E4194" s="7" t="s">
        <v>29</v>
      </c>
      <c r="F4194" s="7" t="s">
        <v>131</v>
      </c>
      <c r="G4194" s="7">
        <v>99.950710000000001</v>
      </c>
      <c r="H4194" s="7"/>
    </row>
    <row r="4195" spans="1:8" x14ac:dyDescent="0.35">
      <c r="A4195" s="7" t="s">
        <v>360</v>
      </c>
      <c r="B4195" s="7" t="s">
        <v>26</v>
      </c>
      <c r="C4195" s="7" t="s">
        <v>27</v>
      </c>
      <c r="D4195" s="7" t="s">
        <v>28</v>
      </c>
      <c r="E4195" s="7" t="s">
        <v>29</v>
      </c>
      <c r="F4195" s="7" t="s">
        <v>132</v>
      </c>
      <c r="G4195" s="7">
        <v>99.962289999999996</v>
      </c>
      <c r="H4195" s="7"/>
    </row>
    <row r="4196" spans="1:8" x14ac:dyDescent="0.35">
      <c r="A4196" s="7" t="s">
        <v>360</v>
      </c>
      <c r="B4196" s="7" t="s">
        <v>26</v>
      </c>
      <c r="C4196" s="7" t="s">
        <v>27</v>
      </c>
      <c r="D4196" s="7" t="s">
        <v>28</v>
      </c>
      <c r="E4196" s="7" t="s">
        <v>29</v>
      </c>
      <c r="F4196" s="7" t="s">
        <v>133</v>
      </c>
      <c r="G4196" s="7">
        <v>99.936430000000001</v>
      </c>
      <c r="H4196" s="7"/>
    </row>
    <row r="4197" spans="1:8" x14ac:dyDescent="0.35">
      <c r="A4197" s="7" t="s">
        <v>360</v>
      </c>
      <c r="B4197" s="7" t="s">
        <v>26</v>
      </c>
      <c r="C4197" s="7" t="s">
        <v>27</v>
      </c>
      <c r="D4197" s="7" t="s">
        <v>28</v>
      </c>
      <c r="E4197" s="7" t="s">
        <v>29</v>
      </c>
      <c r="F4197" s="7" t="s">
        <v>134</v>
      </c>
      <c r="G4197" s="7">
        <v>99.882769999999994</v>
      </c>
      <c r="H4197" s="7"/>
    </row>
    <row r="4198" spans="1:8" x14ac:dyDescent="0.35">
      <c r="A4198" s="7" t="s">
        <v>360</v>
      </c>
      <c r="B4198" s="7" t="s">
        <v>26</v>
      </c>
      <c r="C4198" s="7" t="s">
        <v>27</v>
      </c>
      <c r="D4198" s="7" t="s">
        <v>28</v>
      </c>
      <c r="E4198" s="7" t="s">
        <v>29</v>
      </c>
      <c r="F4198" s="7" t="s">
        <v>135</v>
      </c>
      <c r="G4198" s="7">
        <v>99.876480000000001</v>
      </c>
      <c r="H4198" s="7"/>
    </row>
    <row r="4199" spans="1:8" x14ac:dyDescent="0.35">
      <c r="A4199" s="7" t="s">
        <v>360</v>
      </c>
      <c r="B4199" s="7" t="s">
        <v>26</v>
      </c>
      <c r="C4199" s="7" t="s">
        <v>27</v>
      </c>
      <c r="D4199" s="7" t="s">
        <v>28</v>
      </c>
      <c r="E4199" s="7" t="s">
        <v>29</v>
      </c>
      <c r="F4199" s="7" t="s">
        <v>136</v>
      </c>
      <c r="G4199" s="7">
        <v>99.902959999999993</v>
      </c>
      <c r="H4199" s="7"/>
    </row>
    <row r="4200" spans="1:8" x14ac:dyDescent="0.35">
      <c r="A4200" s="7" t="s">
        <v>360</v>
      </c>
      <c r="B4200" s="7" t="s">
        <v>26</v>
      </c>
      <c r="C4200" s="7" t="s">
        <v>27</v>
      </c>
      <c r="D4200" s="7" t="s">
        <v>28</v>
      </c>
      <c r="E4200" s="7" t="s">
        <v>29</v>
      </c>
      <c r="F4200" s="7" t="s">
        <v>137</v>
      </c>
      <c r="G4200" s="7">
        <v>100.0234</v>
      </c>
      <c r="H4200" s="7"/>
    </row>
    <row r="4201" spans="1:8" x14ac:dyDescent="0.35">
      <c r="A4201" s="7" t="s">
        <v>360</v>
      </c>
      <c r="B4201" s="7" t="s">
        <v>26</v>
      </c>
      <c r="C4201" s="7" t="s">
        <v>27</v>
      </c>
      <c r="D4201" s="7" t="s">
        <v>28</v>
      </c>
      <c r="E4201" s="7" t="s">
        <v>29</v>
      </c>
      <c r="F4201" s="7" t="s">
        <v>138</v>
      </c>
      <c r="G4201" s="7">
        <v>100.179</v>
      </c>
      <c r="H4201" s="7"/>
    </row>
    <row r="4202" spans="1:8" x14ac:dyDescent="0.35">
      <c r="A4202" s="7" t="s">
        <v>360</v>
      </c>
      <c r="B4202" s="7" t="s">
        <v>26</v>
      </c>
      <c r="C4202" s="7" t="s">
        <v>27</v>
      </c>
      <c r="D4202" s="7" t="s">
        <v>28</v>
      </c>
      <c r="E4202" s="7" t="s">
        <v>29</v>
      </c>
      <c r="F4202" s="7" t="s">
        <v>139</v>
      </c>
      <c r="G4202" s="7">
        <v>100.3595</v>
      </c>
      <c r="H4202" s="7"/>
    </row>
    <row r="4203" spans="1:8" x14ac:dyDescent="0.35">
      <c r="A4203" s="7" t="s">
        <v>360</v>
      </c>
      <c r="B4203" s="7" t="s">
        <v>26</v>
      </c>
      <c r="C4203" s="7" t="s">
        <v>27</v>
      </c>
      <c r="D4203" s="7" t="s">
        <v>28</v>
      </c>
      <c r="E4203" s="7" t="s">
        <v>29</v>
      </c>
      <c r="F4203" s="7" t="s">
        <v>140</v>
      </c>
      <c r="G4203" s="7">
        <v>100.5063</v>
      </c>
      <c r="H4203" s="7"/>
    </row>
    <row r="4204" spans="1:8" x14ac:dyDescent="0.35">
      <c r="A4204" s="7" t="s">
        <v>360</v>
      </c>
      <c r="B4204" s="7" t="s">
        <v>26</v>
      </c>
      <c r="C4204" s="7" t="s">
        <v>27</v>
      </c>
      <c r="D4204" s="7" t="s">
        <v>28</v>
      </c>
      <c r="E4204" s="7" t="s">
        <v>29</v>
      </c>
      <c r="F4204" s="7" t="s">
        <v>141</v>
      </c>
      <c r="G4204" s="7">
        <v>100.71120000000001</v>
      </c>
      <c r="H4204" s="7"/>
    </row>
    <row r="4205" spans="1:8" x14ac:dyDescent="0.35">
      <c r="A4205" s="7" t="s">
        <v>360</v>
      </c>
      <c r="B4205" s="7" t="s">
        <v>26</v>
      </c>
      <c r="C4205" s="7" t="s">
        <v>27</v>
      </c>
      <c r="D4205" s="7" t="s">
        <v>28</v>
      </c>
      <c r="E4205" s="7" t="s">
        <v>29</v>
      </c>
      <c r="F4205" s="7" t="s">
        <v>142</v>
      </c>
      <c r="G4205" s="7">
        <v>100.8595</v>
      </c>
      <c r="H4205" s="7"/>
    </row>
    <row r="4206" spans="1:8" x14ac:dyDescent="0.35">
      <c r="A4206" s="7" t="s">
        <v>360</v>
      </c>
      <c r="B4206" s="7" t="s">
        <v>26</v>
      </c>
      <c r="C4206" s="7" t="s">
        <v>27</v>
      </c>
      <c r="D4206" s="7" t="s">
        <v>28</v>
      </c>
      <c r="E4206" s="7" t="s">
        <v>29</v>
      </c>
      <c r="F4206" s="7" t="s">
        <v>143</v>
      </c>
      <c r="G4206" s="7">
        <v>100.973</v>
      </c>
      <c r="H4206" s="7"/>
    </row>
    <row r="4207" spans="1:8" x14ac:dyDescent="0.35">
      <c r="A4207" s="7" t="s">
        <v>360</v>
      </c>
      <c r="B4207" s="7" t="s">
        <v>26</v>
      </c>
      <c r="C4207" s="7" t="s">
        <v>27</v>
      </c>
      <c r="D4207" s="7" t="s">
        <v>28</v>
      </c>
      <c r="E4207" s="7" t="s">
        <v>29</v>
      </c>
      <c r="F4207" s="7" t="s">
        <v>144</v>
      </c>
      <c r="G4207" s="7">
        <v>101.0615</v>
      </c>
      <c r="H4207" s="7"/>
    </row>
    <row r="4208" spans="1:8" x14ac:dyDescent="0.35">
      <c r="A4208" s="7" t="s">
        <v>360</v>
      </c>
      <c r="B4208" s="7" t="s">
        <v>26</v>
      </c>
      <c r="C4208" s="7" t="s">
        <v>27</v>
      </c>
      <c r="D4208" s="7" t="s">
        <v>28</v>
      </c>
      <c r="E4208" s="7" t="s">
        <v>29</v>
      </c>
      <c r="F4208" s="7" t="s">
        <v>145</v>
      </c>
      <c r="G4208" s="7">
        <v>101.1384</v>
      </c>
      <c r="H4208" s="7"/>
    </row>
    <row r="4209" spans="1:8" x14ac:dyDescent="0.35">
      <c r="A4209" s="7" t="s">
        <v>360</v>
      </c>
      <c r="B4209" s="7" t="s">
        <v>26</v>
      </c>
      <c r="C4209" s="7" t="s">
        <v>27</v>
      </c>
      <c r="D4209" s="7" t="s">
        <v>28</v>
      </c>
      <c r="E4209" s="7" t="s">
        <v>29</v>
      </c>
      <c r="F4209" s="7" t="s">
        <v>146</v>
      </c>
      <c r="G4209" s="7">
        <v>101.2119</v>
      </c>
      <c r="H4209" s="7"/>
    </row>
    <row r="4210" spans="1:8" x14ac:dyDescent="0.35">
      <c r="A4210" s="7" t="s">
        <v>360</v>
      </c>
      <c r="B4210" s="7" t="s">
        <v>26</v>
      </c>
      <c r="C4210" s="7" t="s">
        <v>27</v>
      </c>
      <c r="D4210" s="7" t="s">
        <v>28</v>
      </c>
      <c r="E4210" s="7" t="s">
        <v>29</v>
      </c>
      <c r="F4210" s="7" t="s">
        <v>147</v>
      </c>
      <c r="G4210" s="7">
        <v>101.2381</v>
      </c>
      <c r="H4210" s="7"/>
    </row>
    <row r="4211" spans="1:8" x14ac:dyDescent="0.35">
      <c r="A4211" s="7" t="s">
        <v>360</v>
      </c>
      <c r="B4211" s="7" t="s">
        <v>26</v>
      </c>
      <c r="C4211" s="7" t="s">
        <v>27</v>
      </c>
      <c r="D4211" s="7" t="s">
        <v>28</v>
      </c>
      <c r="E4211" s="7" t="s">
        <v>29</v>
      </c>
      <c r="F4211" s="7" t="s">
        <v>148</v>
      </c>
      <c r="G4211" s="7">
        <v>101.28579999999999</v>
      </c>
      <c r="H4211" s="7"/>
    </row>
    <row r="4212" spans="1:8" x14ac:dyDescent="0.35">
      <c r="A4212" s="7" t="s">
        <v>360</v>
      </c>
      <c r="B4212" s="7" t="s">
        <v>26</v>
      </c>
      <c r="C4212" s="7" t="s">
        <v>27</v>
      </c>
      <c r="D4212" s="7" t="s">
        <v>28</v>
      </c>
      <c r="E4212" s="7" t="s">
        <v>29</v>
      </c>
      <c r="F4212" s="7" t="s">
        <v>149</v>
      </c>
      <c r="G4212" s="7">
        <v>101.35169999999999</v>
      </c>
      <c r="H4212" s="7"/>
    </row>
    <row r="4213" spans="1:8" x14ac:dyDescent="0.35">
      <c r="A4213" s="7" t="s">
        <v>360</v>
      </c>
      <c r="B4213" s="7" t="s">
        <v>26</v>
      </c>
      <c r="C4213" s="7" t="s">
        <v>27</v>
      </c>
      <c r="D4213" s="7" t="s">
        <v>28</v>
      </c>
      <c r="E4213" s="7" t="s">
        <v>29</v>
      </c>
      <c r="F4213" s="7" t="s">
        <v>150</v>
      </c>
      <c r="G4213" s="7">
        <v>101.402</v>
      </c>
      <c r="H4213" s="7"/>
    </row>
    <row r="4214" spans="1:8" x14ac:dyDescent="0.35">
      <c r="A4214" s="7" t="s">
        <v>360</v>
      </c>
      <c r="B4214" s="7" t="s">
        <v>26</v>
      </c>
      <c r="C4214" s="7" t="s">
        <v>27</v>
      </c>
      <c r="D4214" s="7" t="s">
        <v>28</v>
      </c>
      <c r="E4214" s="7" t="s">
        <v>29</v>
      </c>
      <c r="F4214" s="7" t="s">
        <v>151</v>
      </c>
      <c r="G4214" s="7">
        <v>101.43559999999999</v>
      </c>
      <c r="H4214" s="7"/>
    </row>
    <row r="4215" spans="1:8" x14ac:dyDescent="0.35">
      <c r="A4215" s="7" t="s">
        <v>360</v>
      </c>
      <c r="B4215" s="7" t="s">
        <v>26</v>
      </c>
      <c r="C4215" s="7" t="s">
        <v>27</v>
      </c>
      <c r="D4215" s="7" t="s">
        <v>28</v>
      </c>
      <c r="E4215" s="7" t="s">
        <v>29</v>
      </c>
      <c r="F4215" s="7" t="s">
        <v>152</v>
      </c>
      <c r="G4215" s="7">
        <v>101.5338</v>
      </c>
      <c r="H4215" s="7"/>
    </row>
    <row r="4216" spans="1:8" x14ac:dyDescent="0.35">
      <c r="A4216" s="7" t="s">
        <v>360</v>
      </c>
      <c r="B4216" s="7" t="s">
        <v>26</v>
      </c>
      <c r="C4216" s="7" t="s">
        <v>27</v>
      </c>
      <c r="D4216" s="7" t="s">
        <v>28</v>
      </c>
      <c r="E4216" s="7" t="s">
        <v>29</v>
      </c>
      <c r="F4216" s="7" t="s">
        <v>153</v>
      </c>
      <c r="G4216" s="7">
        <v>101.8956</v>
      </c>
      <c r="H4216" s="7"/>
    </row>
    <row r="4217" spans="1:8" x14ac:dyDescent="0.35">
      <c r="A4217" s="7" t="s">
        <v>360</v>
      </c>
      <c r="B4217" s="7" t="s">
        <v>26</v>
      </c>
      <c r="C4217" s="7" t="s">
        <v>27</v>
      </c>
      <c r="D4217" s="7" t="s">
        <v>28</v>
      </c>
      <c r="E4217" s="7" t="s">
        <v>29</v>
      </c>
      <c r="F4217" s="7" t="s">
        <v>154</v>
      </c>
      <c r="G4217" s="7">
        <v>102.3918</v>
      </c>
      <c r="H4217" s="7"/>
    </row>
    <row r="4218" spans="1:8" x14ac:dyDescent="0.35">
      <c r="A4218" s="7" t="s">
        <v>360</v>
      </c>
      <c r="B4218" s="7" t="s">
        <v>26</v>
      </c>
      <c r="C4218" s="7" t="s">
        <v>27</v>
      </c>
      <c r="D4218" s="7" t="s">
        <v>28</v>
      </c>
      <c r="E4218" s="7" t="s">
        <v>29</v>
      </c>
      <c r="F4218" s="7" t="s">
        <v>155</v>
      </c>
      <c r="G4218" s="7">
        <v>102.7603</v>
      </c>
      <c r="H4218" s="7"/>
    </row>
    <row r="4219" spans="1:8" x14ac:dyDescent="0.35">
      <c r="A4219" s="7" t="s">
        <v>360</v>
      </c>
      <c r="B4219" s="7" t="s">
        <v>26</v>
      </c>
      <c r="C4219" s="7" t="s">
        <v>27</v>
      </c>
      <c r="D4219" s="7" t="s">
        <v>28</v>
      </c>
      <c r="E4219" s="7" t="s">
        <v>29</v>
      </c>
      <c r="F4219" s="7" t="s">
        <v>156</v>
      </c>
      <c r="G4219" s="7">
        <v>102.9353</v>
      </c>
      <c r="H4219" s="7"/>
    </row>
    <row r="4220" spans="1:8" x14ac:dyDescent="0.35">
      <c r="A4220" s="7" t="s">
        <v>360</v>
      </c>
      <c r="B4220" s="7" t="s">
        <v>26</v>
      </c>
      <c r="C4220" s="7" t="s">
        <v>27</v>
      </c>
      <c r="D4220" s="7" t="s">
        <v>28</v>
      </c>
      <c r="E4220" s="7" t="s">
        <v>29</v>
      </c>
      <c r="F4220" s="7" t="s">
        <v>157</v>
      </c>
      <c r="G4220" s="7">
        <v>103.0171</v>
      </c>
      <c r="H4220" s="7"/>
    </row>
    <row r="4221" spans="1:8" x14ac:dyDescent="0.35">
      <c r="A4221" s="7" t="s">
        <v>360</v>
      </c>
      <c r="B4221" s="7" t="s">
        <v>26</v>
      </c>
      <c r="C4221" s="7" t="s">
        <v>27</v>
      </c>
      <c r="D4221" s="7" t="s">
        <v>28</v>
      </c>
      <c r="E4221" s="7" t="s">
        <v>29</v>
      </c>
      <c r="F4221" s="7" t="s">
        <v>158</v>
      </c>
      <c r="G4221" s="7">
        <v>103.0471</v>
      </c>
      <c r="H4221" s="7"/>
    </row>
    <row r="4222" spans="1:8" x14ac:dyDescent="0.35">
      <c r="A4222" s="7" t="s">
        <v>360</v>
      </c>
      <c r="B4222" s="7" t="s">
        <v>26</v>
      </c>
      <c r="C4222" s="7" t="s">
        <v>27</v>
      </c>
      <c r="D4222" s="7" t="s">
        <v>28</v>
      </c>
      <c r="E4222" s="7" t="s">
        <v>29</v>
      </c>
      <c r="F4222" s="7" t="s">
        <v>159</v>
      </c>
      <c r="G4222" s="7">
        <v>103.0158</v>
      </c>
      <c r="H4222" s="7"/>
    </row>
    <row r="4223" spans="1:8" x14ac:dyDescent="0.35">
      <c r="A4223" s="7" t="s">
        <v>360</v>
      </c>
      <c r="B4223" s="7" t="s">
        <v>26</v>
      </c>
      <c r="C4223" s="7" t="s">
        <v>27</v>
      </c>
      <c r="D4223" s="7" t="s">
        <v>28</v>
      </c>
      <c r="E4223" s="7" t="s">
        <v>29</v>
      </c>
      <c r="F4223" s="7" t="s">
        <v>160</v>
      </c>
      <c r="G4223" s="7">
        <v>102.87260000000001</v>
      </c>
      <c r="H4223" s="7"/>
    </row>
    <row r="4224" spans="1:8" x14ac:dyDescent="0.35">
      <c r="A4224" s="7" t="s">
        <v>360</v>
      </c>
      <c r="B4224" s="7" t="s">
        <v>26</v>
      </c>
      <c r="C4224" s="7" t="s">
        <v>27</v>
      </c>
      <c r="D4224" s="7" t="s">
        <v>28</v>
      </c>
      <c r="E4224" s="7" t="s">
        <v>29</v>
      </c>
      <c r="F4224" s="7" t="s">
        <v>161</v>
      </c>
      <c r="G4224" s="7">
        <v>102.64660000000001</v>
      </c>
      <c r="H4224" s="7"/>
    </row>
    <row r="4225" spans="1:8" x14ac:dyDescent="0.35">
      <c r="A4225" s="7" t="s">
        <v>360</v>
      </c>
      <c r="B4225" s="7" t="s">
        <v>26</v>
      </c>
      <c r="C4225" s="7" t="s">
        <v>27</v>
      </c>
      <c r="D4225" s="7" t="s">
        <v>28</v>
      </c>
      <c r="E4225" s="7" t="s">
        <v>29</v>
      </c>
      <c r="F4225" s="7" t="s">
        <v>162</v>
      </c>
      <c r="G4225" s="7">
        <v>102.2912</v>
      </c>
      <c r="H4225" s="7"/>
    </row>
    <row r="4226" spans="1:8" x14ac:dyDescent="0.35">
      <c r="A4226" s="7" t="s">
        <v>360</v>
      </c>
      <c r="B4226" s="7" t="s">
        <v>26</v>
      </c>
      <c r="C4226" s="7" t="s">
        <v>27</v>
      </c>
      <c r="D4226" s="7" t="s">
        <v>28</v>
      </c>
      <c r="E4226" s="7" t="s">
        <v>29</v>
      </c>
      <c r="F4226" s="7" t="s">
        <v>163</v>
      </c>
      <c r="G4226" s="7">
        <v>101.9104</v>
      </c>
      <c r="H4226" s="7"/>
    </row>
    <row r="4227" spans="1:8" x14ac:dyDescent="0.35">
      <c r="A4227" s="7" t="s">
        <v>360</v>
      </c>
      <c r="B4227" s="7" t="s">
        <v>26</v>
      </c>
      <c r="C4227" s="7" t="s">
        <v>27</v>
      </c>
      <c r="D4227" s="7" t="s">
        <v>28</v>
      </c>
      <c r="E4227" s="7" t="s">
        <v>29</v>
      </c>
      <c r="F4227" s="7" t="s">
        <v>164</v>
      </c>
      <c r="G4227" s="7">
        <v>101.46729999999999</v>
      </c>
      <c r="H4227" s="7"/>
    </row>
    <row r="4228" spans="1:8" x14ac:dyDescent="0.35">
      <c r="A4228" s="7" t="s">
        <v>360</v>
      </c>
      <c r="B4228" s="7" t="s">
        <v>26</v>
      </c>
      <c r="C4228" s="7" t="s">
        <v>27</v>
      </c>
      <c r="D4228" s="7" t="s">
        <v>28</v>
      </c>
      <c r="E4228" s="7" t="s">
        <v>29</v>
      </c>
      <c r="F4228" s="7" t="s">
        <v>165</v>
      </c>
      <c r="G4228" s="7">
        <v>101.13549999999999</v>
      </c>
      <c r="H4228" s="7"/>
    </row>
    <row r="4229" spans="1:8" x14ac:dyDescent="0.35">
      <c r="A4229" s="7" t="s">
        <v>360</v>
      </c>
      <c r="B4229" s="7" t="s">
        <v>26</v>
      </c>
      <c r="C4229" s="7" t="s">
        <v>27</v>
      </c>
      <c r="D4229" s="7" t="s">
        <v>28</v>
      </c>
      <c r="E4229" s="7" t="s">
        <v>29</v>
      </c>
      <c r="F4229" s="7" t="s">
        <v>166</v>
      </c>
      <c r="G4229" s="7">
        <v>101.06529999999999</v>
      </c>
      <c r="H4229" s="7"/>
    </row>
    <row r="4230" spans="1:8" x14ac:dyDescent="0.35">
      <c r="A4230" s="7" t="s">
        <v>360</v>
      </c>
      <c r="B4230" s="7" t="s">
        <v>26</v>
      </c>
      <c r="C4230" s="7" t="s">
        <v>27</v>
      </c>
      <c r="D4230" s="7" t="s">
        <v>28</v>
      </c>
      <c r="E4230" s="7" t="s">
        <v>29</v>
      </c>
      <c r="F4230" s="7" t="s">
        <v>167</v>
      </c>
      <c r="G4230" s="7">
        <v>101.139</v>
      </c>
      <c r="H4230" s="7"/>
    </row>
    <row r="4231" spans="1:8" x14ac:dyDescent="0.35">
      <c r="A4231" s="7" t="s">
        <v>360</v>
      </c>
      <c r="B4231" s="7" t="s">
        <v>26</v>
      </c>
      <c r="C4231" s="7" t="s">
        <v>27</v>
      </c>
      <c r="D4231" s="7" t="s">
        <v>28</v>
      </c>
      <c r="E4231" s="7" t="s">
        <v>29</v>
      </c>
      <c r="F4231" s="7" t="s">
        <v>168</v>
      </c>
      <c r="G4231" s="7">
        <v>101.1302</v>
      </c>
      <c r="H4231" s="7"/>
    </row>
    <row r="4232" spans="1:8" x14ac:dyDescent="0.35">
      <c r="A4232" s="7" t="s">
        <v>360</v>
      </c>
      <c r="B4232" s="7" t="s">
        <v>26</v>
      </c>
      <c r="C4232" s="7" t="s">
        <v>27</v>
      </c>
      <c r="D4232" s="7" t="s">
        <v>28</v>
      </c>
      <c r="E4232" s="7" t="s">
        <v>29</v>
      </c>
      <c r="F4232" s="7" t="s">
        <v>169</v>
      </c>
      <c r="G4232" s="7">
        <v>100.9986</v>
      </c>
      <c r="H4232" s="7"/>
    </row>
    <row r="4233" spans="1:8" x14ac:dyDescent="0.35">
      <c r="A4233" s="7" t="s">
        <v>360</v>
      </c>
      <c r="B4233" s="7" t="s">
        <v>26</v>
      </c>
      <c r="C4233" s="7" t="s">
        <v>27</v>
      </c>
      <c r="D4233" s="7" t="s">
        <v>28</v>
      </c>
      <c r="E4233" s="7" t="s">
        <v>29</v>
      </c>
      <c r="F4233" s="7" t="s">
        <v>170</v>
      </c>
      <c r="G4233" s="7">
        <v>100.73909999999999</v>
      </c>
      <c r="H4233" s="7"/>
    </row>
    <row r="4234" spans="1:8" x14ac:dyDescent="0.35">
      <c r="A4234" s="7" t="s">
        <v>360</v>
      </c>
      <c r="B4234" s="7" t="s">
        <v>26</v>
      </c>
      <c r="C4234" s="7" t="s">
        <v>27</v>
      </c>
      <c r="D4234" s="7" t="s">
        <v>28</v>
      </c>
      <c r="E4234" s="7" t="s">
        <v>29</v>
      </c>
      <c r="F4234" s="7" t="s">
        <v>171</v>
      </c>
      <c r="G4234" s="7">
        <v>100.4147</v>
      </c>
      <c r="H4234" s="7"/>
    </row>
    <row r="4235" spans="1:8" x14ac:dyDescent="0.35">
      <c r="A4235" s="7" t="s">
        <v>360</v>
      </c>
      <c r="B4235" s="7" t="s">
        <v>26</v>
      </c>
      <c r="C4235" s="7" t="s">
        <v>27</v>
      </c>
      <c r="D4235" s="7" t="s">
        <v>28</v>
      </c>
      <c r="E4235" s="7" t="s">
        <v>29</v>
      </c>
      <c r="F4235" s="7" t="s">
        <v>172</v>
      </c>
      <c r="G4235" s="7">
        <v>100.246</v>
      </c>
      <c r="H4235" s="7"/>
    </row>
    <row r="4236" spans="1:8" x14ac:dyDescent="0.35">
      <c r="A4236" s="7" t="s">
        <v>360</v>
      </c>
      <c r="B4236" s="7" t="s">
        <v>26</v>
      </c>
      <c r="C4236" s="7" t="s">
        <v>27</v>
      </c>
      <c r="D4236" s="7" t="s">
        <v>28</v>
      </c>
      <c r="E4236" s="7" t="s">
        <v>29</v>
      </c>
      <c r="F4236" s="7" t="s">
        <v>173</v>
      </c>
      <c r="G4236" s="7">
        <v>100.1904</v>
      </c>
      <c r="H4236" s="7"/>
    </row>
    <row r="4237" spans="1:8" x14ac:dyDescent="0.35">
      <c r="A4237" s="7" t="s">
        <v>360</v>
      </c>
      <c r="B4237" s="7" t="s">
        <v>26</v>
      </c>
      <c r="C4237" s="7" t="s">
        <v>27</v>
      </c>
      <c r="D4237" s="7" t="s">
        <v>28</v>
      </c>
      <c r="E4237" s="7" t="s">
        <v>29</v>
      </c>
      <c r="F4237" s="7" t="s">
        <v>174</v>
      </c>
      <c r="G4237" s="7">
        <v>100.12</v>
      </c>
      <c r="H4237" s="7"/>
    </row>
    <row r="4238" spans="1:8" x14ac:dyDescent="0.35">
      <c r="A4238" s="7" t="s">
        <v>360</v>
      </c>
      <c r="B4238" s="7" t="s">
        <v>26</v>
      </c>
      <c r="C4238" s="7" t="s">
        <v>27</v>
      </c>
      <c r="D4238" s="7" t="s">
        <v>28</v>
      </c>
      <c r="E4238" s="7" t="s">
        <v>29</v>
      </c>
      <c r="F4238" s="7" t="s">
        <v>175</v>
      </c>
      <c r="G4238" s="7">
        <v>99.977559999999997</v>
      </c>
      <c r="H4238" s="7"/>
    </row>
    <row r="4239" spans="1:8" x14ac:dyDescent="0.35">
      <c r="A4239" s="7" t="s">
        <v>360</v>
      </c>
      <c r="B4239" s="7" t="s">
        <v>26</v>
      </c>
      <c r="C4239" s="7" t="s">
        <v>27</v>
      </c>
      <c r="D4239" s="7" t="s">
        <v>28</v>
      </c>
      <c r="E4239" s="7" t="s">
        <v>29</v>
      </c>
      <c r="F4239" s="7" t="s">
        <v>176</v>
      </c>
      <c r="G4239" s="7">
        <v>99.806169999999995</v>
      </c>
      <c r="H4239" s="7"/>
    </row>
    <row r="4240" spans="1:8" x14ac:dyDescent="0.35">
      <c r="A4240" s="7" t="s">
        <v>360</v>
      </c>
      <c r="B4240" s="7" t="s">
        <v>26</v>
      </c>
      <c r="C4240" s="7" t="s">
        <v>27</v>
      </c>
      <c r="D4240" s="7" t="s">
        <v>28</v>
      </c>
      <c r="E4240" s="7" t="s">
        <v>29</v>
      </c>
      <c r="F4240" s="7" t="s">
        <v>177</v>
      </c>
      <c r="G4240" s="7">
        <v>99.762990000000002</v>
      </c>
      <c r="H4240" s="7"/>
    </row>
    <row r="4241" spans="1:8" x14ac:dyDescent="0.35">
      <c r="A4241" s="7" t="s">
        <v>360</v>
      </c>
      <c r="B4241" s="7" t="s">
        <v>26</v>
      </c>
      <c r="C4241" s="7" t="s">
        <v>27</v>
      </c>
      <c r="D4241" s="7" t="s">
        <v>28</v>
      </c>
      <c r="E4241" s="7" t="s">
        <v>29</v>
      </c>
      <c r="F4241" s="7" t="s">
        <v>178</v>
      </c>
      <c r="G4241" s="7">
        <v>99.872699999999995</v>
      </c>
      <c r="H4241" s="7"/>
    </row>
    <row r="4242" spans="1:8" x14ac:dyDescent="0.35">
      <c r="A4242" s="7" t="s">
        <v>360</v>
      </c>
      <c r="B4242" s="7" t="s">
        <v>26</v>
      </c>
      <c r="C4242" s="7" t="s">
        <v>27</v>
      </c>
      <c r="D4242" s="7" t="s">
        <v>28</v>
      </c>
      <c r="E4242" s="7" t="s">
        <v>29</v>
      </c>
      <c r="F4242" s="7" t="s">
        <v>179</v>
      </c>
      <c r="G4242" s="7">
        <v>100.1204</v>
      </c>
      <c r="H4242" s="7"/>
    </row>
    <row r="4243" spans="1:8" x14ac:dyDescent="0.35">
      <c r="A4243" s="7" t="s">
        <v>360</v>
      </c>
      <c r="B4243" s="7" t="s">
        <v>26</v>
      </c>
      <c r="C4243" s="7" t="s">
        <v>27</v>
      </c>
      <c r="D4243" s="7" t="s">
        <v>28</v>
      </c>
      <c r="E4243" s="7" t="s">
        <v>29</v>
      </c>
      <c r="F4243" s="7" t="s">
        <v>180</v>
      </c>
      <c r="G4243" s="7">
        <v>100.4315</v>
      </c>
      <c r="H4243" s="7"/>
    </row>
    <row r="4244" spans="1:8" x14ac:dyDescent="0.35">
      <c r="A4244" s="7" t="s">
        <v>360</v>
      </c>
      <c r="B4244" s="7" t="s">
        <v>26</v>
      </c>
      <c r="C4244" s="7" t="s">
        <v>27</v>
      </c>
      <c r="D4244" s="7" t="s">
        <v>28</v>
      </c>
      <c r="E4244" s="7" t="s">
        <v>29</v>
      </c>
      <c r="F4244" s="7" t="s">
        <v>181</v>
      </c>
      <c r="G4244" s="7">
        <v>100.6626</v>
      </c>
      <c r="H4244" s="7"/>
    </row>
    <row r="4245" spans="1:8" x14ac:dyDescent="0.35">
      <c r="A4245" s="7" t="s">
        <v>360</v>
      </c>
      <c r="B4245" s="7" t="s">
        <v>26</v>
      </c>
      <c r="C4245" s="7" t="s">
        <v>27</v>
      </c>
      <c r="D4245" s="7" t="s">
        <v>28</v>
      </c>
      <c r="E4245" s="7" t="s">
        <v>29</v>
      </c>
      <c r="F4245" s="7" t="s">
        <v>182</v>
      </c>
      <c r="G4245" s="7">
        <v>100.7183</v>
      </c>
      <c r="H4245" s="7"/>
    </row>
    <row r="4246" spans="1:8" x14ac:dyDescent="0.35">
      <c r="A4246" s="7" t="s">
        <v>360</v>
      </c>
      <c r="B4246" s="7" t="s">
        <v>26</v>
      </c>
      <c r="C4246" s="7" t="s">
        <v>27</v>
      </c>
      <c r="D4246" s="7" t="s">
        <v>28</v>
      </c>
      <c r="E4246" s="7" t="s">
        <v>29</v>
      </c>
      <c r="F4246" s="7" t="s">
        <v>183</v>
      </c>
      <c r="G4246" s="7">
        <v>100.6879</v>
      </c>
      <c r="H4246" s="7"/>
    </row>
    <row r="4247" spans="1:8" x14ac:dyDescent="0.35">
      <c r="A4247" s="7" t="s">
        <v>360</v>
      </c>
      <c r="B4247" s="7" t="s">
        <v>26</v>
      </c>
      <c r="C4247" s="7" t="s">
        <v>27</v>
      </c>
      <c r="D4247" s="7" t="s">
        <v>28</v>
      </c>
      <c r="E4247" s="7" t="s">
        <v>29</v>
      </c>
      <c r="F4247" s="7" t="s">
        <v>184</v>
      </c>
      <c r="G4247" s="7">
        <v>100.6707</v>
      </c>
      <c r="H4247" s="7"/>
    </row>
    <row r="4248" spans="1:8" x14ac:dyDescent="0.35">
      <c r="A4248" s="7" t="s">
        <v>360</v>
      </c>
      <c r="B4248" s="7" t="s">
        <v>26</v>
      </c>
      <c r="C4248" s="7" t="s">
        <v>27</v>
      </c>
      <c r="D4248" s="7" t="s">
        <v>28</v>
      </c>
      <c r="E4248" s="7" t="s">
        <v>29</v>
      </c>
      <c r="F4248" s="7" t="s">
        <v>185</v>
      </c>
      <c r="G4248" s="7">
        <v>100.6566</v>
      </c>
      <c r="H4248" s="7"/>
    </row>
    <row r="4249" spans="1:8" x14ac:dyDescent="0.35">
      <c r="A4249" s="7" t="s">
        <v>360</v>
      </c>
      <c r="B4249" s="7" t="s">
        <v>26</v>
      </c>
      <c r="C4249" s="7" t="s">
        <v>27</v>
      </c>
      <c r="D4249" s="7" t="s">
        <v>28</v>
      </c>
      <c r="E4249" s="7" t="s">
        <v>29</v>
      </c>
      <c r="F4249" s="7" t="s">
        <v>186</v>
      </c>
      <c r="G4249" s="7">
        <v>100.6536</v>
      </c>
      <c r="H4249" s="7"/>
    </row>
    <row r="4250" spans="1:8" x14ac:dyDescent="0.35">
      <c r="A4250" s="7" t="s">
        <v>360</v>
      </c>
      <c r="B4250" s="7" t="s">
        <v>26</v>
      </c>
      <c r="C4250" s="7" t="s">
        <v>27</v>
      </c>
      <c r="D4250" s="7" t="s">
        <v>28</v>
      </c>
      <c r="E4250" s="7" t="s">
        <v>29</v>
      </c>
      <c r="F4250" s="7" t="s">
        <v>187</v>
      </c>
      <c r="G4250" s="7">
        <v>100.6909</v>
      </c>
      <c r="H4250" s="7"/>
    </row>
    <row r="4251" spans="1:8" x14ac:dyDescent="0.35">
      <c r="A4251" s="7" t="s">
        <v>360</v>
      </c>
      <c r="B4251" s="7" t="s">
        <v>26</v>
      </c>
      <c r="C4251" s="7" t="s">
        <v>27</v>
      </c>
      <c r="D4251" s="7" t="s">
        <v>28</v>
      </c>
      <c r="E4251" s="7" t="s">
        <v>29</v>
      </c>
      <c r="F4251" s="7" t="s">
        <v>188</v>
      </c>
      <c r="G4251" s="7">
        <v>100.7433</v>
      </c>
      <c r="H4251" s="7"/>
    </row>
    <row r="4252" spans="1:8" x14ac:dyDescent="0.35">
      <c r="A4252" s="7" t="s">
        <v>360</v>
      </c>
      <c r="B4252" s="7" t="s">
        <v>26</v>
      </c>
      <c r="C4252" s="7" t="s">
        <v>27</v>
      </c>
      <c r="D4252" s="7" t="s">
        <v>28</v>
      </c>
      <c r="E4252" s="7" t="s">
        <v>29</v>
      </c>
      <c r="F4252" s="7" t="s">
        <v>189</v>
      </c>
      <c r="G4252" s="7">
        <v>100.71299999999999</v>
      </c>
      <c r="H4252" s="7"/>
    </row>
    <row r="4253" spans="1:8" x14ac:dyDescent="0.35">
      <c r="A4253" s="7" t="s">
        <v>360</v>
      </c>
      <c r="B4253" s="7" t="s">
        <v>26</v>
      </c>
      <c r="C4253" s="7" t="s">
        <v>27</v>
      </c>
      <c r="D4253" s="7" t="s">
        <v>28</v>
      </c>
      <c r="E4253" s="7" t="s">
        <v>29</v>
      </c>
      <c r="F4253" s="7" t="s">
        <v>190</v>
      </c>
      <c r="G4253" s="7">
        <v>100.5766</v>
      </c>
      <c r="H4253" s="7"/>
    </row>
    <row r="4254" spans="1:8" x14ac:dyDescent="0.35">
      <c r="A4254" s="7" t="s">
        <v>360</v>
      </c>
      <c r="B4254" s="7" t="s">
        <v>26</v>
      </c>
      <c r="C4254" s="7" t="s">
        <v>27</v>
      </c>
      <c r="D4254" s="7" t="s">
        <v>28</v>
      </c>
      <c r="E4254" s="7" t="s">
        <v>29</v>
      </c>
      <c r="F4254" s="7" t="s">
        <v>191</v>
      </c>
      <c r="G4254" s="7">
        <v>100.37560000000001</v>
      </c>
      <c r="H4254" s="7"/>
    </row>
    <row r="4255" spans="1:8" x14ac:dyDescent="0.35">
      <c r="A4255" s="7" t="s">
        <v>360</v>
      </c>
      <c r="B4255" s="7" t="s">
        <v>26</v>
      </c>
      <c r="C4255" s="7" t="s">
        <v>27</v>
      </c>
      <c r="D4255" s="7" t="s">
        <v>28</v>
      </c>
      <c r="E4255" s="7" t="s">
        <v>29</v>
      </c>
      <c r="F4255" s="7" t="s">
        <v>192</v>
      </c>
      <c r="G4255" s="7">
        <v>100.22329999999999</v>
      </c>
      <c r="H4255" s="7"/>
    </row>
    <row r="4256" spans="1:8" x14ac:dyDescent="0.35">
      <c r="A4256" s="7" t="s">
        <v>360</v>
      </c>
      <c r="B4256" s="7" t="s">
        <v>26</v>
      </c>
      <c r="C4256" s="7" t="s">
        <v>27</v>
      </c>
      <c r="D4256" s="7" t="s">
        <v>28</v>
      </c>
      <c r="E4256" s="7" t="s">
        <v>29</v>
      </c>
      <c r="F4256" s="7" t="s">
        <v>193</v>
      </c>
      <c r="G4256" s="7">
        <v>100.2077</v>
      </c>
      <c r="H4256" s="7"/>
    </row>
    <row r="4257" spans="1:8" x14ac:dyDescent="0.35">
      <c r="A4257" s="7" t="s">
        <v>360</v>
      </c>
      <c r="B4257" s="7" t="s">
        <v>26</v>
      </c>
      <c r="C4257" s="7" t="s">
        <v>27</v>
      </c>
      <c r="D4257" s="7" t="s">
        <v>28</v>
      </c>
      <c r="E4257" s="7" t="s">
        <v>29</v>
      </c>
      <c r="F4257" s="7" t="s">
        <v>194</v>
      </c>
      <c r="G4257" s="7">
        <v>100.36409999999999</v>
      </c>
      <c r="H4257" s="7"/>
    </row>
    <row r="4258" spans="1:8" x14ac:dyDescent="0.35">
      <c r="A4258" s="7" t="s">
        <v>360</v>
      </c>
      <c r="B4258" s="7" t="s">
        <v>26</v>
      </c>
      <c r="C4258" s="7" t="s">
        <v>27</v>
      </c>
      <c r="D4258" s="7" t="s">
        <v>28</v>
      </c>
      <c r="E4258" s="7" t="s">
        <v>29</v>
      </c>
      <c r="F4258" s="7" t="s">
        <v>195</v>
      </c>
      <c r="G4258" s="7">
        <v>100.5027</v>
      </c>
      <c r="H4258" s="7"/>
    </row>
    <row r="4259" spans="1:8" x14ac:dyDescent="0.35">
      <c r="A4259" s="7" t="s">
        <v>360</v>
      </c>
      <c r="B4259" s="7" t="s">
        <v>26</v>
      </c>
      <c r="C4259" s="7" t="s">
        <v>27</v>
      </c>
      <c r="D4259" s="7" t="s">
        <v>28</v>
      </c>
      <c r="E4259" s="7" t="s">
        <v>29</v>
      </c>
      <c r="F4259" s="7" t="s">
        <v>196</v>
      </c>
      <c r="G4259" s="7">
        <v>100.60809999999999</v>
      </c>
      <c r="H4259" s="7"/>
    </row>
    <row r="4260" spans="1:8" x14ac:dyDescent="0.35">
      <c r="A4260" s="7" t="s">
        <v>360</v>
      </c>
      <c r="B4260" s="7" t="s">
        <v>26</v>
      </c>
      <c r="C4260" s="7" t="s">
        <v>27</v>
      </c>
      <c r="D4260" s="7" t="s">
        <v>28</v>
      </c>
      <c r="E4260" s="7" t="s">
        <v>29</v>
      </c>
      <c r="F4260" s="7" t="s">
        <v>197</v>
      </c>
      <c r="G4260" s="7">
        <v>100.7315</v>
      </c>
      <c r="H4260" s="7"/>
    </row>
    <row r="4261" spans="1:8" x14ac:dyDescent="0.35">
      <c r="A4261" s="7" t="s">
        <v>360</v>
      </c>
      <c r="B4261" s="7" t="s">
        <v>26</v>
      </c>
      <c r="C4261" s="7" t="s">
        <v>27</v>
      </c>
      <c r="D4261" s="7" t="s">
        <v>28</v>
      </c>
      <c r="E4261" s="7" t="s">
        <v>29</v>
      </c>
      <c r="F4261" s="7" t="s">
        <v>198</v>
      </c>
      <c r="G4261" s="7">
        <v>100.9843</v>
      </c>
      <c r="H4261" s="7"/>
    </row>
    <row r="4262" spans="1:8" x14ac:dyDescent="0.35">
      <c r="A4262" s="7" t="s">
        <v>360</v>
      </c>
      <c r="B4262" s="7" t="s">
        <v>26</v>
      </c>
      <c r="C4262" s="7" t="s">
        <v>27</v>
      </c>
      <c r="D4262" s="7" t="s">
        <v>28</v>
      </c>
      <c r="E4262" s="7" t="s">
        <v>29</v>
      </c>
      <c r="F4262" s="7" t="s">
        <v>199</v>
      </c>
      <c r="G4262" s="7">
        <v>101.30540000000001</v>
      </c>
      <c r="H4262" s="7"/>
    </row>
    <row r="4263" spans="1:8" x14ac:dyDescent="0.35">
      <c r="A4263" s="7" t="s">
        <v>360</v>
      </c>
      <c r="B4263" s="7" t="s">
        <v>26</v>
      </c>
      <c r="C4263" s="7" t="s">
        <v>27</v>
      </c>
      <c r="D4263" s="7" t="s">
        <v>28</v>
      </c>
      <c r="E4263" s="7" t="s">
        <v>29</v>
      </c>
      <c r="F4263" s="7" t="s">
        <v>200</v>
      </c>
      <c r="G4263" s="7">
        <v>101.636</v>
      </c>
      <c r="H4263" s="7"/>
    </row>
    <row r="4264" spans="1:8" x14ac:dyDescent="0.35">
      <c r="A4264" s="7" t="s">
        <v>360</v>
      </c>
      <c r="B4264" s="7" t="s">
        <v>26</v>
      </c>
      <c r="C4264" s="7" t="s">
        <v>27</v>
      </c>
      <c r="D4264" s="7" t="s">
        <v>28</v>
      </c>
      <c r="E4264" s="7" t="s">
        <v>29</v>
      </c>
      <c r="F4264" s="7" t="s">
        <v>201</v>
      </c>
      <c r="G4264" s="7">
        <v>101.917</v>
      </c>
      <c r="H4264" s="7"/>
    </row>
    <row r="4265" spans="1:8" x14ac:dyDescent="0.35">
      <c r="A4265" s="7" t="s">
        <v>360</v>
      </c>
      <c r="B4265" s="7" t="s">
        <v>26</v>
      </c>
      <c r="C4265" s="7" t="s">
        <v>27</v>
      </c>
      <c r="D4265" s="7" t="s">
        <v>28</v>
      </c>
      <c r="E4265" s="7" t="s">
        <v>29</v>
      </c>
      <c r="F4265" s="7" t="s">
        <v>202</v>
      </c>
      <c r="G4265" s="7">
        <v>101.93689999999999</v>
      </c>
      <c r="H4265" s="7"/>
    </row>
    <row r="4266" spans="1:8" x14ac:dyDescent="0.35">
      <c r="A4266" s="7" t="s">
        <v>360</v>
      </c>
      <c r="B4266" s="7" t="s">
        <v>26</v>
      </c>
      <c r="C4266" s="7" t="s">
        <v>27</v>
      </c>
      <c r="D4266" s="7" t="s">
        <v>28</v>
      </c>
      <c r="E4266" s="7" t="s">
        <v>29</v>
      </c>
      <c r="F4266" s="7" t="s">
        <v>203</v>
      </c>
      <c r="G4266" s="7">
        <v>101.5492</v>
      </c>
      <c r="H4266" s="7"/>
    </row>
    <row r="4267" spans="1:8" x14ac:dyDescent="0.35">
      <c r="A4267" s="7" t="s">
        <v>360</v>
      </c>
      <c r="B4267" s="7" t="s">
        <v>26</v>
      </c>
      <c r="C4267" s="7" t="s">
        <v>27</v>
      </c>
      <c r="D4267" s="7" t="s">
        <v>28</v>
      </c>
      <c r="E4267" s="7" t="s">
        <v>29</v>
      </c>
      <c r="F4267" s="7" t="s">
        <v>204</v>
      </c>
      <c r="G4267" s="7">
        <v>100.6215</v>
      </c>
      <c r="H4267" s="7"/>
    </row>
    <row r="4268" spans="1:8" x14ac:dyDescent="0.35">
      <c r="A4268" s="7" t="s">
        <v>360</v>
      </c>
      <c r="B4268" s="7" t="s">
        <v>26</v>
      </c>
      <c r="C4268" s="7" t="s">
        <v>27</v>
      </c>
      <c r="D4268" s="7" t="s">
        <v>28</v>
      </c>
      <c r="E4268" s="7" t="s">
        <v>29</v>
      </c>
      <c r="F4268" s="7" t="s">
        <v>205</v>
      </c>
      <c r="G4268" s="7">
        <v>99.513639999999995</v>
      </c>
      <c r="H4268" s="7"/>
    </row>
    <row r="4269" spans="1:8" x14ac:dyDescent="0.35">
      <c r="A4269" s="7" t="s">
        <v>360</v>
      </c>
      <c r="B4269" s="7" t="s">
        <v>26</v>
      </c>
      <c r="C4269" s="7" t="s">
        <v>27</v>
      </c>
      <c r="D4269" s="7" t="s">
        <v>28</v>
      </c>
      <c r="E4269" s="7" t="s">
        <v>29</v>
      </c>
      <c r="F4269" s="7" t="s">
        <v>206</v>
      </c>
      <c r="G4269" s="7">
        <v>98.771320000000003</v>
      </c>
      <c r="H4269" s="7"/>
    </row>
    <row r="4270" spans="1:8" x14ac:dyDescent="0.35">
      <c r="A4270" s="7" t="s">
        <v>360</v>
      </c>
      <c r="B4270" s="7" t="s">
        <v>26</v>
      </c>
      <c r="C4270" s="7" t="s">
        <v>27</v>
      </c>
      <c r="D4270" s="7" t="s">
        <v>28</v>
      </c>
      <c r="E4270" s="7" t="s">
        <v>29</v>
      </c>
      <c r="F4270" s="7" t="s">
        <v>207</v>
      </c>
      <c r="G4270" s="7">
        <v>98.433980000000005</v>
      </c>
      <c r="H4270" s="7"/>
    </row>
    <row r="4271" spans="1:8" x14ac:dyDescent="0.35">
      <c r="A4271" s="7" t="s">
        <v>360</v>
      </c>
      <c r="B4271" s="7" t="s">
        <v>26</v>
      </c>
      <c r="C4271" s="7" t="s">
        <v>27</v>
      </c>
      <c r="D4271" s="7" t="s">
        <v>28</v>
      </c>
      <c r="E4271" s="7" t="s">
        <v>29</v>
      </c>
      <c r="F4271" s="7" t="s">
        <v>208</v>
      </c>
      <c r="G4271" s="7">
        <v>98.269649999999999</v>
      </c>
      <c r="H4271" s="7"/>
    </row>
    <row r="4272" spans="1:8" x14ac:dyDescent="0.35">
      <c r="A4272" s="7" t="s">
        <v>360</v>
      </c>
      <c r="B4272" s="7" t="s">
        <v>26</v>
      </c>
      <c r="C4272" s="7" t="s">
        <v>27</v>
      </c>
      <c r="D4272" s="7" t="s">
        <v>28</v>
      </c>
      <c r="E4272" s="7" t="s">
        <v>29</v>
      </c>
      <c r="F4272" s="7" t="s">
        <v>209</v>
      </c>
      <c r="G4272" s="7">
        <v>98.211789999999993</v>
      </c>
      <c r="H4272" s="7"/>
    </row>
    <row r="4273" spans="1:8" x14ac:dyDescent="0.35">
      <c r="A4273" s="7" t="s">
        <v>360</v>
      </c>
      <c r="B4273" s="7" t="s">
        <v>26</v>
      </c>
      <c r="C4273" s="7" t="s">
        <v>27</v>
      </c>
      <c r="D4273" s="7" t="s">
        <v>28</v>
      </c>
      <c r="E4273" s="7" t="s">
        <v>29</v>
      </c>
      <c r="F4273" s="7" t="s">
        <v>210</v>
      </c>
      <c r="G4273" s="7">
        <v>98.125789999999995</v>
      </c>
      <c r="H4273" s="7"/>
    </row>
    <row r="4274" spans="1:8" x14ac:dyDescent="0.35">
      <c r="A4274" s="7" t="s">
        <v>360</v>
      </c>
      <c r="B4274" s="7" t="s">
        <v>26</v>
      </c>
      <c r="C4274" s="7" t="s">
        <v>27</v>
      </c>
      <c r="D4274" s="7" t="s">
        <v>28</v>
      </c>
      <c r="E4274" s="7" t="s">
        <v>29</v>
      </c>
      <c r="F4274" s="7" t="s">
        <v>211</v>
      </c>
      <c r="G4274" s="7">
        <v>98.025919999999999</v>
      </c>
      <c r="H4274" s="7"/>
    </row>
    <row r="4275" spans="1:8" x14ac:dyDescent="0.35">
      <c r="A4275" s="7" t="s">
        <v>360</v>
      </c>
      <c r="B4275" s="7" t="s">
        <v>26</v>
      </c>
      <c r="C4275" s="7" t="s">
        <v>27</v>
      </c>
      <c r="D4275" s="7" t="s">
        <v>28</v>
      </c>
      <c r="E4275" s="7" t="s">
        <v>29</v>
      </c>
      <c r="F4275" s="7" t="s">
        <v>212</v>
      </c>
      <c r="G4275" s="7">
        <v>97.982299999999995</v>
      </c>
      <c r="H4275" s="7"/>
    </row>
    <row r="4276" spans="1:8" x14ac:dyDescent="0.35">
      <c r="A4276" s="7" t="s">
        <v>360</v>
      </c>
      <c r="B4276" s="7" t="s">
        <v>26</v>
      </c>
      <c r="C4276" s="7" t="s">
        <v>27</v>
      </c>
      <c r="D4276" s="7" t="s">
        <v>28</v>
      </c>
      <c r="E4276" s="7" t="s">
        <v>29</v>
      </c>
      <c r="F4276" s="7" t="s">
        <v>213</v>
      </c>
      <c r="G4276" s="7">
        <v>98.031829999999999</v>
      </c>
      <c r="H4276" s="7"/>
    </row>
    <row r="4277" spans="1:8" x14ac:dyDescent="0.35">
      <c r="A4277" s="7" t="s">
        <v>360</v>
      </c>
      <c r="B4277" s="7" t="s">
        <v>26</v>
      </c>
      <c r="C4277" s="7" t="s">
        <v>27</v>
      </c>
      <c r="D4277" s="7" t="s">
        <v>28</v>
      </c>
      <c r="E4277" s="7" t="s">
        <v>29</v>
      </c>
      <c r="F4277" s="7" t="s">
        <v>214</v>
      </c>
      <c r="G4277" s="7">
        <v>98.16207</v>
      </c>
      <c r="H4277" s="7"/>
    </row>
    <row r="4278" spans="1:8" x14ac:dyDescent="0.35">
      <c r="A4278" s="7" t="s">
        <v>360</v>
      </c>
      <c r="B4278" s="7" t="s">
        <v>26</v>
      </c>
      <c r="C4278" s="7" t="s">
        <v>27</v>
      </c>
      <c r="D4278" s="7" t="s">
        <v>28</v>
      </c>
      <c r="E4278" s="7" t="s">
        <v>29</v>
      </c>
      <c r="F4278" s="7" t="s">
        <v>215</v>
      </c>
      <c r="G4278" s="7">
        <v>98.281620000000004</v>
      </c>
      <c r="H4278" s="7"/>
    </row>
    <row r="4279" spans="1:8" x14ac:dyDescent="0.35">
      <c r="A4279" s="7" t="s">
        <v>360</v>
      </c>
      <c r="B4279" s="7" t="s">
        <v>26</v>
      </c>
      <c r="C4279" s="7" t="s">
        <v>27</v>
      </c>
      <c r="D4279" s="7" t="s">
        <v>28</v>
      </c>
      <c r="E4279" s="7" t="s">
        <v>29</v>
      </c>
      <c r="F4279" s="7" t="s">
        <v>216</v>
      </c>
      <c r="G4279" s="7">
        <v>98.398240000000001</v>
      </c>
      <c r="H4279" s="7"/>
    </row>
    <row r="4280" spans="1:8" x14ac:dyDescent="0.35">
      <c r="A4280" s="7" t="s">
        <v>360</v>
      </c>
      <c r="B4280" s="7" t="s">
        <v>26</v>
      </c>
      <c r="C4280" s="7" t="s">
        <v>27</v>
      </c>
      <c r="D4280" s="7" t="s">
        <v>28</v>
      </c>
      <c r="E4280" s="7" t="s">
        <v>29</v>
      </c>
      <c r="F4280" s="7" t="s">
        <v>217</v>
      </c>
      <c r="G4280" s="7">
        <v>98.519199999999998</v>
      </c>
      <c r="H4280" s="7"/>
    </row>
    <row r="4281" spans="1:8" x14ac:dyDescent="0.35">
      <c r="A4281" s="7" t="s">
        <v>360</v>
      </c>
      <c r="B4281" s="7" t="s">
        <v>26</v>
      </c>
      <c r="C4281" s="7" t="s">
        <v>27</v>
      </c>
      <c r="D4281" s="7" t="s">
        <v>28</v>
      </c>
      <c r="E4281" s="7" t="s">
        <v>29</v>
      </c>
      <c r="F4281" s="7" t="s">
        <v>218</v>
      </c>
      <c r="G4281" s="7">
        <v>98.564520000000002</v>
      </c>
      <c r="H4281" s="7"/>
    </row>
    <row r="4282" spans="1:8" x14ac:dyDescent="0.35">
      <c r="A4282" s="7" t="s">
        <v>360</v>
      </c>
      <c r="B4282" s="7" t="s">
        <v>26</v>
      </c>
      <c r="C4282" s="7" t="s">
        <v>27</v>
      </c>
      <c r="D4282" s="7" t="s">
        <v>28</v>
      </c>
      <c r="E4282" s="7" t="s">
        <v>29</v>
      </c>
      <c r="F4282" s="7" t="s">
        <v>219</v>
      </c>
      <c r="G4282" s="7">
        <v>98.514499999999998</v>
      </c>
      <c r="H4282" s="7"/>
    </row>
    <row r="4283" spans="1:8" x14ac:dyDescent="0.35">
      <c r="A4283" s="7" t="s">
        <v>360</v>
      </c>
      <c r="B4283" s="7" t="s">
        <v>26</v>
      </c>
      <c r="C4283" s="7" t="s">
        <v>27</v>
      </c>
      <c r="D4283" s="7" t="s">
        <v>28</v>
      </c>
      <c r="E4283" s="7" t="s">
        <v>29</v>
      </c>
      <c r="F4283" s="7" t="s">
        <v>220</v>
      </c>
      <c r="G4283" s="7">
        <v>98.384360000000001</v>
      </c>
      <c r="H4283" s="7"/>
    </row>
    <row r="4284" spans="1:8" x14ac:dyDescent="0.35">
      <c r="A4284" s="7" t="s">
        <v>360</v>
      </c>
      <c r="B4284" s="7" t="s">
        <v>26</v>
      </c>
      <c r="C4284" s="7" t="s">
        <v>27</v>
      </c>
      <c r="D4284" s="7" t="s">
        <v>28</v>
      </c>
      <c r="E4284" s="7" t="s">
        <v>29</v>
      </c>
      <c r="F4284" s="7" t="s">
        <v>221</v>
      </c>
      <c r="G4284" s="7">
        <v>98.274270000000001</v>
      </c>
      <c r="H4284" s="7"/>
    </row>
    <row r="4285" spans="1:8" x14ac:dyDescent="0.35">
      <c r="A4285" s="7" t="s">
        <v>360</v>
      </c>
      <c r="B4285" s="7" t="s">
        <v>26</v>
      </c>
      <c r="C4285" s="7" t="s">
        <v>27</v>
      </c>
      <c r="D4285" s="7" t="s">
        <v>28</v>
      </c>
      <c r="E4285" s="7" t="s">
        <v>29</v>
      </c>
      <c r="F4285" s="7" t="s">
        <v>222</v>
      </c>
      <c r="G4285" s="7">
        <v>98.290570000000002</v>
      </c>
      <c r="H4285" s="7"/>
    </row>
    <row r="4286" spans="1:8" x14ac:dyDescent="0.35">
      <c r="A4286" s="7" t="s">
        <v>360</v>
      </c>
      <c r="B4286" s="7" t="s">
        <v>26</v>
      </c>
      <c r="C4286" s="7" t="s">
        <v>27</v>
      </c>
      <c r="D4286" s="7" t="s">
        <v>28</v>
      </c>
      <c r="E4286" s="7" t="s">
        <v>29</v>
      </c>
      <c r="F4286" s="7" t="s">
        <v>223</v>
      </c>
      <c r="G4286" s="7">
        <v>98.456919999999997</v>
      </c>
      <c r="H4286" s="7"/>
    </row>
    <row r="4287" spans="1:8" x14ac:dyDescent="0.35">
      <c r="A4287" s="7" t="s">
        <v>360</v>
      </c>
      <c r="B4287" s="7" t="s">
        <v>26</v>
      </c>
      <c r="C4287" s="7" t="s">
        <v>27</v>
      </c>
      <c r="D4287" s="7" t="s">
        <v>28</v>
      </c>
      <c r="E4287" s="7" t="s">
        <v>29</v>
      </c>
      <c r="F4287" s="7" t="s">
        <v>224</v>
      </c>
      <c r="G4287" s="7">
        <v>98.53886</v>
      </c>
      <c r="H4287" s="7"/>
    </row>
    <row r="4288" spans="1:8" x14ac:dyDescent="0.35">
      <c r="A4288" s="7" t="s">
        <v>360</v>
      </c>
      <c r="B4288" s="7" t="s">
        <v>26</v>
      </c>
      <c r="C4288" s="7" t="s">
        <v>27</v>
      </c>
      <c r="D4288" s="7" t="s">
        <v>28</v>
      </c>
      <c r="E4288" s="7" t="s">
        <v>29</v>
      </c>
      <c r="F4288" s="7" t="s">
        <v>225</v>
      </c>
      <c r="G4288" s="7">
        <v>98.474299999999999</v>
      </c>
      <c r="H4288" s="7"/>
    </row>
    <row r="4289" spans="1:8" x14ac:dyDescent="0.35">
      <c r="A4289" s="7" t="s">
        <v>360</v>
      </c>
      <c r="B4289" s="7" t="s">
        <v>26</v>
      </c>
      <c r="C4289" s="7" t="s">
        <v>27</v>
      </c>
      <c r="D4289" s="7" t="s">
        <v>28</v>
      </c>
      <c r="E4289" s="7" t="s">
        <v>29</v>
      </c>
      <c r="F4289" s="7" t="s">
        <v>226</v>
      </c>
      <c r="G4289" s="7">
        <v>98.301490000000001</v>
      </c>
      <c r="H4289" s="7"/>
    </row>
    <row r="4290" spans="1:8" x14ac:dyDescent="0.35">
      <c r="A4290" s="7" t="s">
        <v>360</v>
      </c>
      <c r="B4290" s="7" t="s">
        <v>26</v>
      </c>
      <c r="C4290" s="7" t="s">
        <v>27</v>
      </c>
      <c r="D4290" s="7" t="s">
        <v>28</v>
      </c>
      <c r="E4290" s="7" t="s">
        <v>29</v>
      </c>
      <c r="F4290" s="7" t="s">
        <v>227</v>
      </c>
      <c r="G4290" s="7">
        <v>98.213650000000001</v>
      </c>
      <c r="H4290" s="7"/>
    </row>
    <row r="4291" spans="1:8" x14ac:dyDescent="0.35">
      <c r="A4291" s="7" t="s">
        <v>360</v>
      </c>
      <c r="B4291" s="7" t="s">
        <v>26</v>
      </c>
      <c r="C4291" s="7" t="s">
        <v>27</v>
      </c>
      <c r="D4291" s="7" t="s">
        <v>28</v>
      </c>
      <c r="E4291" s="7" t="s">
        <v>29</v>
      </c>
      <c r="F4291" s="7" t="s">
        <v>228</v>
      </c>
      <c r="G4291" s="7">
        <v>98.353769999999997</v>
      </c>
      <c r="H4291" s="7"/>
    </row>
    <row r="4292" spans="1:8" x14ac:dyDescent="0.35">
      <c r="A4292" s="7" t="s">
        <v>360</v>
      </c>
      <c r="B4292" s="7" t="s">
        <v>26</v>
      </c>
      <c r="C4292" s="7" t="s">
        <v>27</v>
      </c>
      <c r="D4292" s="7" t="s">
        <v>28</v>
      </c>
      <c r="E4292" s="7" t="s">
        <v>29</v>
      </c>
      <c r="F4292" s="7" t="s">
        <v>229</v>
      </c>
      <c r="G4292" s="7">
        <v>98.653819999999996</v>
      </c>
      <c r="H4292" s="7"/>
    </row>
    <row r="4293" spans="1:8" x14ac:dyDescent="0.35">
      <c r="A4293" s="7" t="s">
        <v>360</v>
      </c>
      <c r="B4293" s="7" t="s">
        <v>26</v>
      </c>
      <c r="C4293" s="7" t="s">
        <v>27</v>
      </c>
      <c r="D4293" s="7" t="s">
        <v>28</v>
      </c>
      <c r="E4293" s="7" t="s">
        <v>29</v>
      </c>
      <c r="F4293" s="7" t="s">
        <v>230</v>
      </c>
      <c r="G4293" s="7">
        <v>98.893550000000005</v>
      </c>
      <c r="H4293" s="7"/>
    </row>
    <row r="4294" spans="1:8" x14ac:dyDescent="0.35">
      <c r="A4294" s="7" t="s">
        <v>360</v>
      </c>
      <c r="B4294" s="7" t="s">
        <v>26</v>
      </c>
      <c r="C4294" s="7" t="s">
        <v>27</v>
      </c>
      <c r="D4294" s="7" t="s">
        <v>28</v>
      </c>
      <c r="E4294" s="7" t="s">
        <v>29</v>
      </c>
      <c r="F4294" s="7" t="s">
        <v>231</v>
      </c>
      <c r="G4294" s="7">
        <v>98.907740000000004</v>
      </c>
      <c r="H4294" s="7"/>
    </row>
    <row r="4295" spans="1:8" x14ac:dyDescent="0.35">
      <c r="A4295" s="7" t="s">
        <v>360</v>
      </c>
      <c r="B4295" s="7" t="s">
        <v>26</v>
      </c>
      <c r="C4295" s="7" t="s">
        <v>27</v>
      </c>
      <c r="D4295" s="7" t="s">
        <v>28</v>
      </c>
      <c r="E4295" s="7" t="s">
        <v>29</v>
      </c>
      <c r="F4295" s="7" t="s">
        <v>232</v>
      </c>
      <c r="G4295" s="7">
        <v>98.634860000000003</v>
      </c>
      <c r="H4295" s="7"/>
    </row>
    <row r="4296" spans="1:8" x14ac:dyDescent="0.35">
      <c r="A4296" s="7" t="s">
        <v>360</v>
      </c>
      <c r="B4296" s="7" t="s">
        <v>26</v>
      </c>
      <c r="C4296" s="7" t="s">
        <v>27</v>
      </c>
      <c r="D4296" s="7" t="s">
        <v>28</v>
      </c>
      <c r="E4296" s="7" t="s">
        <v>29</v>
      </c>
      <c r="F4296" s="7" t="s">
        <v>233</v>
      </c>
      <c r="G4296" s="7">
        <v>98.073170000000005</v>
      </c>
      <c r="H4296" s="7"/>
    </row>
    <row r="4297" spans="1:8" x14ac:dyDescent="0.35">
      <c r="A4297" s="7" t="s">
        <v>360</v>
      </c>
      <c r="B4297" s="7" t="s">
        <v>26</v>
      </c>
      <c r="C4297" s="7" t="s">
        <v>27</v>
      </c>
      <c r="D4297" s="7" t="s">
        <v>28</v>
      </c>
      <c r="E4297" s="7" t="s">
        <v>29</v>
      </c>
      <c r="F4297" s="7" t="s">
        <v>234</v>
      </c>
      <c r="G4297" s="7">
        <v>97.543549999999996</v>
      </c>
      <c r="H4297" s="7"/>
    </row>
    <row r="4298" spans="1:8" x14ac:dyDescent="0.35">
      <c r="A4298" s="7" t="s">
        <v>360</v>
      </c>
      <c r="B4298" s="7" t="s">
        <v>26</v>
      </c>
      <c r="C4298" s="7" t="s">
        <v>27</v>
      </c>
      <c r="D4298" s="7" t="s">
        <v>28</v>
      </c>
      <c r="E4298" s="7" t="s">
        <v>29</v>
      </c>
      <c r="F4298" s="7" t="s">
        <v>235</v>
      </c>
      <c r="G4298" s="7">
        <v>97.087440000000001</v>
      </c>
      <c r="H4298" s="7"/>
    </row>
    <row r="4299" spans="1:8" x14ac:dyDescent="0.35">
      <c r="A4299" s="7" t="s">
        <v>360</v>
      </c>
      <c r="B4299" s="7" t="s">
        <v>26</v>
      </c>
      <c r="C4299" s="7" t="s">
        <v>27</v>
      </c>
      <c r="D4299" s="7" t="s">
        <v>28</v>
      </c>
      <c r="E4299" s="7" t="s">
        <v>29</v>
      </c>
      <c r="F4299" s="7" t="s">
        <v>236</v>
      </c>
      <c r="G4299" s="7">
        <v>96.707989999999995</v>
      </c>
      <c r="H4299" s="7"/>
    </row>
    <row r="4300" spans="1:8" x14ac:dyDescent="0.35">
      <c r="A4300" s="7" t="s">
        <v>360</v>
      </c>
      <c r="B4300" s="7" t="s">
        <v>26</v>
      </c>
      <c r="C4300" s="7" t="s">
        <v>27</v>
      </c>
      <c r="D4300" s="7" t="s">
        <v>28</v>
      </c>
      <c r="E4300" s="7" t="s">
        <v>29</v>
      </c>
      <c r="F4300" s="7" t="s">
        <v>237</v>
      </c>
      <c r="G4300" s="7">
        <v>96.458150000000003</v>
      </c>
      <c r="H4300" s="7"/>
    </row>
    <row r="4301" spans="1:8" x14ac:dyDescent="0.35">
      <c r="A4301" s="7" t="s">
        <v>360</v>
      </c>
      <c r="B4301" s="7" t="s">
        <v>26</v>
      </c>
      <c r="C4301" s="7" t="s">
        <v>27</v>
      </c>
      <c r="D4301" s="7" t="s">
        <v>28</v>
      </c>
      <c r="E4301" s="7" t="s">
        <v>29</v>
      </c>
      <c r="F4301" s="7" t="s">
        <v>238</v>
      </c>
      <c r="G4301" s="7">
        <v>96.362499999999997</v>
      </c>
      <c r="H4301" s="7"/>
    </row>
    <row r="4302" spans="1:8" x14ac:dyDescent="0.35">
      <c r="A4302" s="7" t="s">
        <v>360</v>
      </c>
      <c r="B4302" s="7" t="s">
        <v>26</v>
      </c>
      <c r="C4302" s="7" t="s">
        <v>27</v>
      </c>
      <c r="D4302" s="7" t="s">
        <v>28</v>
      </c>
      <c r="E4302" s="7" t="s">
        <v>29</v>
      </c>
      <c r="F4302" s="7" t="s">
        <v>239</v>
      </c>
      <c r="G4302" s="7">
        <v>96.408559999999994</v>
      </c>
      <c r="H4302" s="7"/>
    </row>
    <row r="4303" spans="1:8" x14ac:dyDescent="0.35">
      <c r="A4303" s="7" t="s">
        <v>360</v>
      </c>
      <c r="B4303" s="7" t="s">
        <v>26</v>
      </c>
      <c r="C4303" s="7" t="s">
        <v>27</v>
      </c>
      <c r="D4303" s="7" t="s">
        <v>28</v>
      </c>
      <c r="E4303" s="7" t="s">
        <v>29</v>
      </c>
      <c r="F4303" s="7" t="s">
        <v>240</v>
      </c>
      <c r="G4303" s="7">
        <v>96.632440000000003</v>
      </c>
      <c r="H4303" s="7"/>
    </row>
    <row r="4304" spans="1:8" x14ac:dyDescent="0.35">
      <c r="A4304" s="7" t="s">
        <v>360</v>
      </c>
      <c r="B4304" s="7" t="s">
        <v>26</v>
      </c>
      <c r="C4304" s="7" t="s">
        <v>27</v>
      </c>
      <c r="D4304" s="7" t="s">
        <v>28</v>
      </c>
      <c r="E4304" s="7" t="s">
        <v>29</v>
      </c>
      <c r="F4304" s="7" t="s">
        <v>241</v>
      </c>
      <c r="G4304" s="7">
        <v>96.893730000000005</v>
      </c>
      <c r="H4304" s="7"/>
    </row>
    <row r="4305" spans="1:8" x14ac:dyDescent="0.35">
      <c r="A4305" s="7" t="s">
        <v>360</v>
      </c>
      <c r="B4305" s="7" t="s">
        <v>26</v>
      </c>
      <c r="C4305" s="7" t="s">
        <v>27</v>
      </c>
      <c r="D4305" s="7" t="s">
        <v>28</v>
      </c>
      <c r="E4305" s="7" t="s">
        <v>29</v>
      </c>
      <c r="F4305" s="7" t="s">
        <v>242</v>
      </c>
      <c r="G4305" s="7">
        <v>97.139039999999994</v>
      </c>
      <c r="H4305" s="7"/>
    </row>
    <row r="4306" spans="1:8" x14ac:dyDescent="0.35">
      <c r="A4306" s="7" t="s">
        <v>360</v>
      </c>
      <c r="B4306" s="7" t="s">
        <v>26</v>
      </c>
      <c r="C4306" s="7" t="s">
        <v>27</v>
      </c>
      <c r="D4306" s="7" t="s">
        <v>28</v>
      </c>
      <c r="E4306" s="7" t="s">
        <v>29</v>
      </c>
      <c r="F4306" s="7" t="s">
        <v>243</v>
      </c>
      <c r="G4306" s="7">
        <v>97.429150000000007</v>
      </c>
      <c r="H4306" s="7"/>
    </row>
    <row r="4307" spans="1:8" x14ac:dyDescent="0.35">
      <c r="A4307" s="7" t="s">
        <v>360</v>
      </c>
      <c r="B4307" s="7" t="s">
        <v>26</v>
      </c>
      <c r="C4307" s="7" t="s">
        <v>27</v>
      </c>
      <c r="D4307" s="7" t="s">
        <v>28</v>
      </c>
      <c r="E4307" s="7" t="s">
        <v>29</v>
      </c>
      <c r="F4307" s="7" t="s">
        <v>244</v>
      </c>
      <c r="G4307" s="7">
        <v>97.733519999999999</v>
      </c>
      <c r="H4307" s="7"/>
    </row>
    <row r="4308" spans="1:8" x14ac:dyDescent="0.35">
      <c r="A4308" s="7" t="s">
        <v>360</v>
      </c>
      <c r="B4308" s="7" t="s">
        <v>26</v>
      </c>
      <c r="C4308" s="7" t="s">
        <v>27</v>
      </c>
      <c r="D4308" s="7" t="s">
        <v>28</v>
      </c>
      <c r="E4308" s="7" t="s">
        <v>29</v>
      </c>
      <c r="F4308" s="7" t="s">
        <v>245</v>
      </c>
      <c r="G4308" s="7">
        <v>97.988299999999995</v>
      </c>
      <c r="H4308" s="7"/>
    </row>
    <row r="4309" spans="1:8" x14ac:dyDescent="0.35">
      <c r="A4309" s="7" t="s">
        <v>360</v>
      </c>
      <c r="B4309" s="7" t="s">
        <v>26</v>
      </c>
      <c r="C4309" s="7" t="s">
        <v>27</v>
      </c>
      <c r="D4309" s="7" t="s">
        <v>28</v>
      </c>
      <c r="E4309" s="7" t="s">
        <v>29</v>
      </c>
      <c r="F4309" s="7" t="s">
        <v>246</v>
      </c>
      <c r="G4309" s="7">
        <v>98.110240000000005</v>
      </c>
      <c r="H4309" s="7"/>
    </row>
    <row r="4310" spans="1:8" x14ac:dyDescent="0.35">
      <c r="A4310" s="7" t="s">
        <v>360</v>
      </c>
      <c r="B4310" s="7" t="s">
        <v>26</v>
      </c>
      <c r="C4310" s="7" t="s">
        <v>27</v>
      </c>
      <c r="D4310" s="7" t="s">
        <v>28</v>
      </c>
      <c r="E4310" s="7" t="s">
        <v>29</v>
      </c>
      <c r="F4310" s="7" t="s">
        <v>247</v>
      </c>
      <c r="G4310" s="7">
        <v>98.239310000000003</v>
      </c>
      <c r="H4310" s="7"/>
    </row>
    <row r="4311" spans="1:8" x14ac:dyDescent="0.35">
      <c r="A4311" s="7" t="s">
        <v>360</v>
      </c>
      <c r="B4311" s="7" t="s">
        <v>26</v>
      </c>
      <c r="C4311" s="7" t="s">
        <v>27</v>
      </c>
      <c r="D4311" s="7" t="s">
        <v>28</v>
      </c>
      <c r="E4311" s="7" t="s">
        <v>29</v>
      </c>
      <c r="F4311" s="7" t="s">
        <v>248</v>
      </c>
      <c r="G4311" s="7">
        <v>98.447649999999996</v>
      </c>
      <c r="H4311" s="7"/>
    </row>
    <row r="4312" spans="1:8" x14ac:dyDescent="0.35">
      <c r="A4312" s="7" t="s">
        <v>360</v>
      </c>
      <c r="B4312" s="7" t="s">
        <v>26</v>
      </c>
      <c r="C4312" s="7" t="s">
        <v>27</v>
      </c>
      <c r="D4312" s="7" t="s">
        <v>28</v>
      </c>
      <c r="E4312" s="7" t="s">
        <v>29</v>
      </c>
      <c r="F4312" s="7" t="s">
        <v>249</v>
      </c>
      <c r="G4312" s="7">
        <v>98.769630000000006</v>
      </c>
      <c r="H4312" s="7"/>
    </row>
    <row r="4313" spans="1:8" x14ac:dyDescent="0.35">
      <c r="A4313" s="7" t="s">
        <v>360</v>
      </c>
      <c r="B4313" s="7" t="s">
        <v>26</v>
      </c>
      <c r="C4313" s="7" t="s">
        <v>27</v>
      </c>
      <c r="D4313" s="7" t="s">
        <v>28</v>
      </c>
      <c r="E4313" s="7" t="s">
        <v>29</v>
      </c>
      <c r="F4313" s="7" t="s">
        <v>250</v>
      </c>
      <c r="G4313" s="7">
        <v>99.252110000000002</v>
      </c>
      <c r="H4313" s="7"/>
    </row>
    <row r="4314" spans="1:8" x14ac:dyDescent="0.35">
      <c r="A4314" s="7" t="s">
        <v>360</v>
      </c>
      <c r="B4314" s="7" t="s">
        <v>26</v>
      </c>
      <c r="C4314" s="7" t="s">
        <v>27</v>
      </c>
      <c r="D4314" s="7" t="s">
        <v>28</v>
      </c>
      <c r="E4314" s="7" t="s">
        <v>29</v>
      </c>
      <c r="F4314" s="7" t="s">
        <v>251</v>
      </c>
      <c r="G4314" s="7">
        <v>99.811549999999997</v>
      </c>
      <c r="H4314" s="7"/>
    </row>
    <row r="4315" spans="1:8" x14ac:dyDescent="0.35">
      <c r="A4315" s="7" t="s">
        <v>360</v>
      </c>
      <c r="B4315" s="7" t="s">
        <v>26</v>
      </c>
      <c r="C4315" s="7" t="s">
        <v>27</v>
      </c>
      <c r="D4315" s="7" t="s">
        <v>28</v>
      </c>
      <c r="E4315" s="7" t="s">
        <v>29</v>
      </c>
      <c r="F4315" s="7" t="s">
        <v>252</v>
      </c>
      <c r="G4315" s="7">
        <v>100.3284</v>
      </c>
      <c r="H4315" s="7"/>
    </row>
    <row r="4316" spans="1:8" x14ac:dyDescent="0.35">
      <c r="A4316" s="7" t="s">
        <v>360</v>
      </c>
      <c r="B4316" s="7" t="s">
        <v>26</v>
      </c>
      <c r="C4316" s="7" t="s">
        <v>27</v>
      </c>
      <c r="D4316" s="7" t="s">
        <v>28</v>
      </c>
      <c r="E4316" s="7" t="s">
        <v>29</v>
      </c>
      <c r="F4316" s="7" t="s">
        <v>253</v>
      </c>
      <c r="G4316" s="7">
        <v>100.625</v>
      </c>
      <c r="H4316" s="7"/>
    </row>
    <row r="4317" spans="1:8" x14ac:dyDescent="0.35">
      <c r="A4317" s="7" t="s">
        <v>360</v>
      </c>
      <c r="B4317" s="7" t="s">
        <v>26</v>
      </c>
      <c r="C4317" s="7" t="s">
        <v>27</v>
      </c>
      <c r="D4317" s="7" t="s">
        <v>28</v>
      </c>
      <c r="E4317" s="7" t="s">
        <v>29</v>
      </c>
      <c r="F4317" s="7" t="s">
        <v>254</v>
      </c>
      <c r="G4317" s="7">
        <v>100.6842</v>
      </c>
      <c r="H4317" s="7"/>
    </row>
    <row r="4318" spans="1:8" x14ac:dyDescent="0.35">
      <c r="A4318" s="7" t="s">
        <v>360</v>
      </c>
      <c r="B4318" s="7" t="s">
        <v>26</v>
      </c>
      <c r="C4318" s="7" t="s">
        <v>27</v>
      </c>
      <c r="D4318" s="7" t="s">
        <v>28</v>
      </c>
      <c r="E4318" s="7" t="s">
        <v>29</v>
      </c>
      <c r="F4318" s="7" t="s">
        <v>255</v>
      </c>
      <c r="G4318" s="7">
        <v>100.7714</v>
      </c>
      <c r="H4318" s="7"/>
    </row>
    <row r="4319" spans="1:8" x14ac:dyDescent="0.35">
      <c r="A4319" s="7" t="s">
        <v>360</v>
      </c>
      <c r="B4319" s="7" t="s">
        <v>26</v>
      </c>
      <c r="C4319" s="7" t="s">
        <v>27</v>
      </c>
      <c r="D4319" s="7" t="s">
        <v>28</v>
      </c>
      <c r="E4319" s="7" t="s">
        <v>29</v>
      </c>
      <c r="F4319" s="7" t="s">
        <v>256</v>
      </c>
      <c r="G4319" s="7">
        <v>100.8377</v>
      </c>
      <c r="H4319" s="7"/>
    </row>
    <row r="4320" spans="1:8" x14ac:dyDescent="0.35">
      <c r="A4320" s="7" t="s">
        <v>360</v>
      </c>
      <c r="B4320" s="7" t="s">
        <v>26</v>
      </c>
      <c r="C4320" s="7" t="s">
        <v>27</v>
      </c>
      <c r="D4320" s="7" t="s">
        <v>28</v>
      </c>
      <c r="E4320" s="7" t="s">
        <v>29</v>
      </c>
      <c r="F4320" s="7" t="s">
        <v>257</v>
      </c>
      <c r="G4320" s="7">
        <v>100.9</v>
      </c>
      <c r="H4320" s="7"/>
    </row>
    <row r="4321" spans="1:8" x14ac:dyDescent="0.35">
      <c r="A4321" s="7" t="s">
        <v>360</v>
      </c>
      <c r="B4321" s="7" t="s">
        <v>26</v>
      </c>
      <c r="C4321" s="7" t="s">
        <v>27</v>
      </c>
      <c r="D4321" s="7" t="s">
        <v>28</v>
      </c>
      <c r="E4321" s="7" t="s">
        <v>29</v>
      </c>
      <c r="F4321" s="7" t="s">
        <v>258</v>
      </c>
      <c r="G4321" s="7">
        <v>100.8261</v>
      </c>
      <c r="H4321" s="7"/>
    </row>
    <row r="4322" spans="1:8" x14ac:dyDescent="0.35">
      <c r="A4322" s="7" t="s">
        <v>360</v>
      </c>
      <c r="B4322" s="7" t="s">
        <v>26</v>
      </c>
      <c r="C4322" s="7" t="s">
        <v>27</v>
      </c>
      <c r="D4322" s="7" t="s">
        <v>28</v>
      </c>
      <c r="E4322" s="7" t="s">
        <v>29</v>
      </c>
      <c r="F4322" s="7" t="s">
        <v>259</v>
      </c>
      <c r="G4322" s="7">
        <v>100.63</v>
      </c>
      <c r="H4322" s="7"/>
    </row>
    <row r="4323" spans="1:8" x14ac:dyDescent="0.35">
      <c r="A4323" s="7" t="s">
        <v>360</v>
      </c>
      <c r="B4323" s="7" t="s">
        <v>26</v>
      </c>
      <c r="C4323" s="7" t="s">
        <v>27</v>
      </c>
      <c r="D4323" s="7" t="s">
        <v>28</v>
      </c>
      <c r="E4323" s="7" t="s">
        <v>29</v>
      </c>
      <c r="F4323" s="7" t="s">
        <v>260</v>
      </c>
      <c r="G4323" s="7">
        <v>100.3673</v>
      </c>
      <c r="H4323" s="7"/>
    </row>
    <row r="4324" spans="1:8" x14ac:dyDescent="0.35">
      <c r="A4324" s="7" t="s">
        <v>360</v>
      </c>
      <c r="B4324" s="7" t="s">
        <v>26</v>
      </c>
      <c r="C4324" s="7" t="s">
        <v>27</v>
      </c>
      <c r="D4324" s="7" t="s">
        <v>28</v>
      </c>
      <c r="E4324" s="7" t="s">
        <v>29</v>
      </c>
      <c r="F4324" s="7" t="s">
        <v>261</v>
      </c>
      <c r="G4324" s="7">
        <v>100.032</v>
      </c>
      <c r="H4324" s="7"/>
    </row>
    <row r="4325" spans="1:8" x14ac:dyDescent="0.35">
      <c r="A4325" s="7" t="s">
        <v>360</v>
      </c>
      <c r="B4325" s="7" t="s">
        <v>26</v>
      </c>
      <c r="C4325" s="7" t="s">
        <v>27</v>
      </c>
      <c r="D4325" s="7" t="s">
        <v>28</v>
      </c>
      <c r="E4325" s="7" t="s">
        <v>29</v>
      </c>
      <c r="F4325" s="7" t="s">
        <v>262</v>
      </c>
      <c r="G4325" s="7">
        <v>99.651039999999995</v>
      </c>
      <c r="H4325" s="7"/>
    </row>
    <row r="4326" spans="1:8" x14ac:dyDescent="0.35">
      <c r="A4326" s="7" t="s">
        <v>360</v>
      </c>
      <c r="B4326" s="7" t="s">
        <v>26</v>
      </c>
      <c r="C4326" s="7" t="s">
        <v>27</v>
      </c>
      <c r="D4326" s="7" t="s">
        <v>28</v>
      </c>
      <c r="E4326" s="7" t="s">
        <v>29</v>
      </c>
      <c r="F4326" s="7" t="s">
        <v>263</v>
      </c>
      <c r="G4326" s="7">
        <v>99.459919999999997</v>
      </c>
      <c r="H4326" s="7"/>
    </row>
    <row r="4327" spans="1:8" x14ac:dyDescent="0.35">
      <c r="A4327" s="7" t="s">
        <v>360</v>
      </c>
      <c r="B4327" s="7" t="s">
        <v>26</v>
      </c>
      <c r="C4327" s="7" t="s">
        <v>27</v>
      </c>
      <c r="D4327" s="7" t="s">
        <v>28</v>
      </c>
      <c r="E4327" s="7" t="s">
        <v>29</v>
      </c>
      <c r="F4327" s="7" t="s">
        <v>264</v>
      </c>
      <c r="G4327" s="7">
        <v>99.358729999999994</v>
      </c>
      <c r="H4327" s="7"/>
    </row>
    <row r="4328" spans="1:8" x14ac:dyDescent="0.35">
      <c r="A4328" s="7" t="s">
        <v>360</v>
      </c>
      <c r="B4328" s="7" t="s">
        <v>26</v>
      </c>
      <c r="C4328" s="7" t="s">
        <v>27</v>
      </c>
      <c r="D4328" s="7" t="s">
        <v>28</v>
      </c>
      <c r="E4328" s="7" t="s">
        <v>29</v>
      </c>
      <c r="F4328" s="7" t="s">
        <v>265</v>
      </c>
      <c r="G4328" s="7">
        <v>99.272289999999998</v>
      </c>
      <c r="H4328" s="7"/>
    </row>
    <row r="4329" spans="1:8" x14ac:dyDescent="0.35">
      <c r="A4329" s="7" t="s">
        <v>360</v>
      </c>
      <c r="B4329" s="7" t="s">
        <v>26</v>
      </c>
      <c r="C4329" s="7" t="s">
        <v>27</v>
      </c>
      <c r="D4329" s="7" t="s">
        <v>28</v>
      </c>
      <c r="E4329" s="7" t="s">
        <v>29</v>
      </c>
      <c r="F4329" s="7" t="s">
        <v>266</v>
      </c>
      <c r="G4329" s="7">
        <v>99.201729999999998</v>
      </c>
      <c r="H4329" s="7"/>
    </row>
    <row r="4330" spans="1:8" x14ac:dyDescent="0.35">
      <c r="A4330" s="7" t="s">
        <v>360</v>
      </c>
      <c r="B4330" s="7" t="s">
        <v>26</v>
      </c>
      <c r="C4330" s="7" t="s">
        <v>27</v>
      </c>
      <c r="D4330" s="7" t="s">
        <v>28</v>
      </c>
      <c r="E4330" s="7" t="s">
        <v>29</v>
      </c>
      <c r="F4330" s="7" t="s">
        <v>267</v>
      </c>
      <c r="G4330" s="7">
        <v>99.091970000000003</v>
      </c>
      <c r="H4330" s="7"/>
    </row>
    <row r="4331" spans="1:8" x14ac:dyDescent="0.35">
      <c r="A4331" s="7" t="s">
        <v>360</v>
      </c>
      <c r="B4331" s="7" t="s">
        <v>26</v>
      </c>
      <c r="C4331" s="7" t="s">
        <v>27</v>
      </c>
      <c r="D4331" s="7" t="s">
        <v>28</v>
      </c>
      <c r="E4331" s="7" t="s">
        <v>29</v>
      </c>
      <c r="F4331" s="7" t="s">
        <v>268</v>
      </c>
      <c r="G4331" s="7">
        <v>98.822779999999995</v>
      </c>
      <c r="H4331" s="7"/>
    </row>
    <row r="4332" spans="1:8" x14ac:dyDescent="0.35">
      <c r="A4332" s="7" t="s">
        <v>360</v>
      </c>
      <c r="B4332" s="7" t="s">
        <v>26</v>
      </c>
      <c r="C4332" s="7" t="s">
        <v>27</v>
      </c>
      <c r="D4332" s="7" t="s">
        <v>28</v>
      </c>
      <c r="E4332" s="7" t="s">
        <v>29</v>
      </c>
      <c r="F4332" s="7" t="s">
        <v>269</v>
      </c>
      <c r="G4332" s="7">
        <v>98.527420000000006</v>
      </c>
      <c r="H4332" s="7"/>
    </row>
    <row r="4333" spans="1:8" x14ac:dyDescent="0.35">
      <c r="A4333" s="7" t="s">
        <v>360</v>
      </c>
      <c r="B4333" s="7" t="s">
        <v>26</v>
      </c>
      <c r="C4333" s="7" t="s">
        <v>27</v>
      </c>
      <c r="D4333" s="7" t="s">
        <v>28</v>
      </c>
      <c r="E4333" s="7" t="s">
        <v>29</v>
      </c>
      <c r="F4333" s="7" t="s">
        <v>270</v>
      </c>
      <c r="G4333" s="7">
        <v>98.255009999999999</v>
      </c>
      <c r="H4333" s="7"/>
    </row>
    <row r="4334" spans="1:8" x14ac:dyDescent="0.35">
      <c r="A4334" s="7" t="s">
        <v>360</v>
      </c>
      <c r="B4334" s="7" t="s">
        <v>26</v>
      </c>
      <c r="C4334" s="7" t="s">
        <v>27</v>
      </c>
      <c r="D4334" s="7" t="s">
        <v>28</v>
      </c>
      <c r="E4334" s="7" t="s">
        <v>29</v>
      </c>
      <c r="F4334" s="7" t="s">
        <v>271</v>
      </c>
      <c r="G4334" s="7">
        <v>98.017300000000006</v>
      </c>
      <c r="H4334" s="7"/>
    </row>
    <row r="4335" spans="1:8" x14ac:dyDescent="0.35">
      <c r="A4335" s="7" t="s">
        <v>360</v>
      </c>
      <c r="B4335" s="7" t="s">
        <v>26</v>
      </c>
      <c r="C4335" s="7" t="s">
        <v>27</v>
      </c>
      <c r="D4335" s="7" t="s">
        <v>28</v>
      </c>
      <c r="E4335" s="7" t="s">
        <v>29</v>
      </c>
      <c r="F4335" s="7" t="s">
        <v>272</v>
      </c>
      <c r="G4335" s="7">
        <v>97.951589999999996</v>
      </c>
      <c r="H4335" s="7"/>
    </row>
    <row r="4336" spans="1:8" x14ac:dyDescent="0.35">
      <c r="A4336" s="7" t="s">
        <v>360</v>
      </c>
      <c r="B4336" s="7" t="s">
        <v>26</v>
      </c>
      <c r="C4336" s="7" t="s">
        <v>27</v>
      </c>
      <c r="D4336" s="7" t="s">
        <v>28</v>
      </c>
      <c r="E4336" s="7" t="s">
        <v>29</v>
      </c>
      <c r="F4336" s="7" t="s">
        <v>273</v>
      </c>
      <c r="G4336" s="7">
        <v>98.100909999999999</v>
      </c>
      <c r="H4336" s="7"/>
    </row>
    <row r="4337" spans="1:8" x14ac:dyDescent="0.35">
      <c r="A4337" s="7" t="s">
        <v>360</v>
      </c>
      <c r="B4337" s="7" t="s">
        <v>26</v>
      </c>
      <c r="C4337" s="7" t="s">
        <v>27</v>
      </c>
      <c r="D4337" s="7" t="s">
        <v>28</v>
      </c>
      <c r="E4337" s="7" t="s">
        <v>29</v>
      </c>
      <c r="F4337" s="7" t="s">
        <v>274</v>
      </c>
      <c r="G4337" s="7">
        <v>98.250979999999998</v>
      </c>
      <c r="H4337" s="7"/>
    </row>
    <row r="4338" spans="1:8" x14ac:dyDescent="0.35">
      <c r="A4338" s="7" t="s">
        <v>360</v>
      </c>
      <c r="B4338" s="7" t="s">
        <v>26</v>
      </c>
      <c r="C4338" s="7" t="s">
        <v>27</v>
      </c>
      <c r="D4338" s="7" t="s">
        <v>28</v>
      </c>
      <c r="E4338" s="7" t="s">
        <v>29</v>
      </c>
      <c r="F4338" s="7" t="s">
        <v>275</v>
      </c>
      <c r="G4338" s="7">
        <v>98.2881</v>
      </c>
      <c r="H4338" s="7"/>
    </row>
    <row r="4339" spans="1:8" x14ac:dyDescent="0.35">
      <c r="A4339" s="7" t="s">
        <v>360</v>
      </c>
      <c r="B4339" s="7" t="s">
        <v>26</v>
      </c>
      <c r="C4339" s="7" t="s">
        <v>27</v>
      </c>
      <c r="D4339" s="7" t="s">
        <v>28</v>
      </c>
      <c r="E4339" s="7" t="s">
        <v>29</v>
      </c>
      <c r="F4339" s="7" t="s">
        <v>276</v>
      </c>
      <c r="G4339" s="7">
        <v>98.208349999999996</v>
      </c>
      <c r="H4339" s="7"/>
    </row>
    <row r="4340" spans="1:8" x14ac:dyDescent="0.35">
      <c r="A4340" s="7" t="s">
        <v>360</v>
      </c>
      <c r="B4340" s="7" t="s">
        <v>26</v>
      </c>
      <c r="C4340" s="7" t="s">
        <v>27</v>
      </c>
      <c r="D4340" s="7" t="s">
        <v>28</v>
      </c>
      <c r="E4340" s="7" t="s">
        <v>29</v>
      </c>
      <c r="F4340" s="7" t="s">
        <v>277</v>
      </c>
      <c r="G4340" s="7">
        <v>98.229579999999999</v>
      </c>
      <c r="H4340" s="7"/>
    </row>
    <row r="4341" spans="1:8" x14ac:dyDescent="0.35">
      <c r="A4341" s="7" t="s">
        <v>360</v>
      </c>
      <c r="B4341" s="7" t="s">
        <v>26</v>
      </c>
      <c r="C4341" s="7" t="s">
        <v>27</v>
      </c>
      <c r="D4341" s="7" t="s">
        <v>28</v>
      </c>
      <c r="E4341" s="7" t="s">
        <v>29</v>
      </c>
      <c r="F4341" s="7" t="s">
        <v>278</v>
      </c>
      <c r="G4341" s="7">
        <v>98.2744</v>
      </c>
      <c r="H4341" s="7"/>
    </row>
    <row r="4342" spans="1:8" x14ac:dyDescent="0.35">
      <c r="A4342" s="7" t="s">
        <v>360</v>
      </c>
      <c r="B4342" s="7" t="s">
        <v>26</v>
      </c>
      <c r="C4342" s="7" t="s">
        <v>27</v>
      </c>
      <c r="D4342" s="7" t="s">
        <v>28</v>
      </c>
      <c r="E4342" s="7" t="s">
        <v>29</v>
      </c>
      <c r="F4342" s="7" t="s">
        <v>279</v>
      </c>
      <c r="G4342" s="7">
        <v>98.306970000000007</v>
      </c>
      <c r="H4342" s="7"/>
    </row>
    <row r="4343" spans="1:8" x14ac:dyDescent="0.35">
      <c r="A4343" s="7" t="s">
        <v>360</v>
      </c>
      <c r="B4343" s="7" t="s">
        <v>26</v>
      </c>
      <c r="C4343" s="7" t="s">
        <v>27</v>
      </c>
      <c r="D4343" s="7" t="s">
        <v>28</v>
      </c>
      <c r="E4343" s="7" t="s">
        <v>29</v>
      </c>
      <c r="F4343" s="7" t="s">
        <v>280</v>
      </c>
      <c r="G4343" s="7">
        <v>98.308160000000001</v>
      </c>
      <c r="H4343" s="7"/>
    </row>
    <row r="4344" spans="1:8" x14ac:dyDescent="0.35">
      <c r="A4344" s="7" t="s">
        <v>360</v>
      </c>
      <c r="B4344" s="7" t="s">
        <v>26</v>
      </c>
      <c r="C4344" s="7" t="s">
        <v>27</v>
      </c>
      <c r="D4344" s="7" t="s">
        <v>28</v>
      </c>
      <c r="E4344" s="7" t="s">
        <v>29</v>
      </c>
      <c r="F4344" s="7" t="s">
        <v>281</v>
      </c>
      <c r="G4344" s="7">
        <v>98.232990000000001</v>
      </c>
      <c r="H4344" s="7"/>
    </row>
    <row r="4345" spans="1:8" x14ac:dyDescent="0.35">
      <c r="A4345" s="7" t="s">
        <v>360</v>
      </c>
      <c r="B4345" s="7" t="s">
        <v>26</v>
      </c>
      <c r="C4345" s="7" t="s">
        <v>27</v>
      </c>
      <c r="D4345" s="7" t="s">
        <v>28</v>
      </c>
      <c r="E4345" s="7" t="s">
        <v>29</v>
      </c>
      <c r="F4345" s="7" t="s">
        <v>282</v>
      </c>
      <c r="G4345" s="7">
        <v>98.268039999999999</v>
      </c>
      <c r="H4345" s="7"/>
    </row>
    <row r="4346" spans="1:8" x14ac:dyDescent="0.35">
      <c r="A4346" s="7" t="s">
        <v>360</v>
      </c>
      <c r="B4346" s="7" t="s">
        <v>26</v>
      </c>
      <c r="C4346" s="7" t="s">
        <v>27</v>
      </c>
      <c r="D4346" s="7" t="s">
        <v>28</v>
      </c>
      <c r="E4346" s="7" t="s">
        <v>29</v>
      </c>
      <c r="F4346" s="7" t="s">
        <v>283</v>
      </c>
      <c r="G4346" s="7">
        <v>98.45908</v>
      </c>
      <c r="H4346" s="7"/>
    </row>
    <row r="4347" spans="1:8" x14ac:dyDescent="0.35">
      <c r="A4347" s="7" t="s">
        <v>360</v>
      </c>
      <c r="B4347" s="7" t="s">
        <v>26</v>
      </c>
      <c r="C4347" s="7" t="s">
        <v>27</v>
      </c>
      <c r="D4347" s="7" t="s">
        <v>28</v>
      </c>
      <c r="E4347" s="7" t="s">
        <v>29</v>
      </c>
      <c r="F4347" s="7" t="s">
        <v>284</v>
      </c>
      <c r="G4347" s="7">
        <v>98.795270000000002</v>
      </c>
      <c r="H4347" s="7"/>
    </row>
    <row r="4348" spans="1:8" x14ac:dyDescent="0.35">
      <c r="A4348" s="7" t="s">
        <v>360</v>
      </c>
      <c r="B4348" s="7" t="s">
        <v>26</v>
      </c>
      <c r="C4348" s="7" t="s">
        <v>27</v>
      </c>
      <c r="D4348" s="7" t="s">
        <v>28</v>
      </c>
      <c r="E4348" s="7" t="s">
        <v>29</v>
      </c>
      <c r="F4348" s="7" t="s">
        <v>285</v>
      </c>
      <c r="G4348" s="7">
        <v>99.117689999999996</v>
      </c>
      <c r="H4348" s="7"/>
    </row>
    <row r="4349" spans="1:8" x14ac:dyDescent="0.35">
      <c r="A4349" s="7" t="s">
        <v>360</v>
      </c>
      <c r="B4349" s="7" t="s">
        <v>26</v>
      </c>
      <c r="C4349" s="7" t="s">
        <v>27</v>
      </c>
      <c r="D4349" s="7" t="s">
        <v>28</v>
      </c>
      <c r="E4349" s="7" t="s">
        <v>29</v>
      </c>
      <c r="F4349" s="7" t="s">
        <v>286</v>
      </c>
      <c r="G4349" s="7">
        <v>99.360050000000001</v>
      </c>
      <c r="H4349" s="7"/>
    </row>
    <row r="4350" spans="1:8" x14ac:dyDescent="0.35">
      <c r="A4350" s="7" t="s">
        <v>360</v>
      </c>
      <c r="B4350" s="7" t="s">
        <v>26</v>
      </c>
      <c r="C4350" s="7" t="s">
        <v>27</v>
      </c>
      <c r="D4350" s="7" t="s">
        <v>28</v>
      </c>
      <c r="E4350" s="7" t="s">
        <v>29</v>
      </c>
      <c r="F4350" s="7" t="s">
        <v>287</v>
      </c>
      <c r="G4350" s="7">
        <v>99.534589999999994</v>
      </c>
      <c r="H4350" s="7"/>
    </row>
    <row r="4351" spans="1:8" x14ac:dyDescent="0.35">
      <c r="A4351" s="7" t="s">
        <v>360</v>
      </c>
      <c r="B4351" s="7" t="s">
        <v>26</v>
      </c>
      <c r="C4351" s="7" t="s">
        <v>27</v>
      </c>
      <c r="D4351" s="7" t="s">
        <v>28</v>
      </c>
      <c r="E4351" s="7" t="s">
        <v>29</v>
      </c>
      <c r="F4351" s="7" t="s">
        <v>288</v>
      </c>
      <c r="G4351" s="7">
        <v>99.698650000000001</v>
      </c>
      <c r="H4351" s="7"/>
    </row>
    <row r="4352" spans="1:8" x14ac:dyDescent="0.35">
      <c r="A4352" s="7" t="s">
        <v>360</v>
      </c>
      <c r="B4352" s="7" t="s">
        <v>26</v>
      </c>
      <c r="C4352" s="7" t="s">
        <v>27</v>
      </c>
      <c r="D4352" s="7" t="s">
        <v>28</v>
      </c>
      <c r="E4352" s="7" t="s">
        <v>29</v>
      </c>
      <c r="F4352" s="7" t="s">
        <v>289</v>
      </c>
      <c r="G4352" s="7">
        <v>99.760180000000005</v>
      </c>
      <c r="H4352" s="7"/>
    </row>
    <row r="4353" spans="1:8" x14ac:dyDescent="0.35">
      <c r="A4353" s="7" t="s">
        <v>360</v>
      </c>
      <c r="B4353" s="7" t="s">
        <v>26</v>
      </c>
      <c r="C4353" s="7" t="s">
        <v>27</v>
      </c>
      <c r="D4353" s="7" t="s">
        <v>28</v>
      </c>
      <c r="E4353" s="7" t="s">
        <v>29</v>
      </c>
      <c r="F4353" s="7" t="s">
        <v>290</v>
      </c>
      <c r="G4353" s="7">
        <v>99.821029999999993</v>
      </c>
      <c r="H4353" s="7"/>
    </row>
    <row r="4354" spans="1:8" x14ac:dyDescent="0.35">
      <c r="A4354" s="7" t="s">
        <v>360</v>
      </c>
      <c r="B4354" s="7" t="s">
        <v>26</v>
      </c>
      <c r="C4354" s="7" t="s">
        <v>27</v>
      </c>
      <c r="D4354" s="7" t="s">
        <v>28</v>
      </c>
      <c r="E4354" s="7" t="s">
        <v>29</v>
      </c>
      <c r="F4354" s="7" t="s">
        <v>291</v>
      </c>
      <c r="G4354" s="7">
        <v>99.926389999999998</v>
      </c>
      <c r="H4354" s="7"/>
    </row>
    <row r="4355" spans="1:8" x14ac:dyDescent="0.35">
      <c r="A4355" s="7" t="s">
        <v>360</v>
      </c>
      <c r="B4355" s="7" t="s">
        <v>26</v>
      </c>
      <c r="C4355" s="7" t="s">
        <v>27</v>
      </c>
      <c r="D4355" s="7" t="s">
        <v>28</v>
      </c>
      <c r="E4355" s="7" t="s">
        <v>29</v>
      </c>
      <c r="F4355" s="7" t="s">
        <v>292</v>
      </c>
      <c r="G4355" s="7">
        <v>100.17310000000001</v>
      </c>
      <c r="H4355" s="7"/>
    </row>
    <row r="4356" spans="1:8" x14ac:dyDescent="0.35">
      <c r="A4356" s="7" t="s">
        <v>360</v>
      </c>
      <c r="B4356" s="7" t="s">
        <v>26</v>
      </c>
      <c r="C4356" s="7" t="s">
        <v>27</v>
      </c>
      <c r="D4356" s="7" t="s">
        <v>28</v>
      </c>
      <c r="E4356" s="7" t="s">
        <v>29</v>
      </c>
      <c r="F4356" s="7" t="s">
        <v>293</v>
      </c>
      <c r="G4356" s="7">
        <v>100.44499999999999</v>
      </c>
      <c r="H4356" s="7"/>
    </row>
    <row r="4357" spans="1:8" x14ac:dyDescent="0.35">
      <c r="A4357" s="7" t="s">
        <v>360</v>
      </c>
      <c r="B4357" s="7" t="s">
        <v>26</v>
      </c>
      <c r="C4357" s="7" t="s">
        <v>27</v>
      </c>
      <c r="D4357" s="7" t="s">
        <v>28</v>
      </c>
      <c r="E4357" s="7" t="s">
        <v>29</v>
      </c>
      <c r="F4357" s="7" t="s">
        <v>294</v>
      </c>
      <c r="G4357" s="7">
        <v>100.7234</v>
      </c>
      <c r="H4357" s="7"/>
    </row>
    <row r="4358" spans="1:8" x14ac:dyDescent="0.35">
      <c r="A4358" s="7" t="s">
        <v>360</v>
      </c>
      <c r="B4358" s="7" t="s">
        <v>26</v>
      </c>
      <c r="C4358" s="7" t="s">
        <v>27</v>
      </c>
      <c r="D4358" s="7" t="s">
        <v>28</v>
      </c>
      <c r="E4358" s="7" t="s">
        <v>29</v>
      </c>
      <c r="F4358" s="7" t="s">
        <v>295</v>
      </c>
      <c r="G4358" s="7">
        <v>100.9346</v>
      </c>
      <c r="H4358" s="7"/>
    </row>
    <row r="4359" spans="1:8" x14ac:dyDescent="0.35">
      <c r="A4359" s="7" t="s">
        <v>360</v>
      </c>
      <c r="B4359" s="7" t="s">
        <v>26</v>
      </c>
      <c r="C4359" s="7" t="s">
        <v>27</v>
      </c>
      <c r="D4359" s="7" t="s">
        <v>28</v>
      </c>
      <c r="E4359" s="7" t="s">
        <v>29</v>
      </c>
      <c r="F4359" s="7" t="s">
        <v>296</v>
      </c>
      <c r="G4359" s="7">
        <v>101.1288</v>
      </c>
      <c r="H4359" s="7"/>
    </row>
    <row r="4360" spans="1:8" x14ac:dyDescent="0.35">
      <c r="A4360" s="7" t="s">
        <v>360</v>
      </c>
      <c r="B4360" s="7" t="s">
        <v>26</v>
      </c>
      <c r="C4360" s="7" t="s">
        <v>27</v>
      </c>
      <c r="D4360" s="7" t="s">
        <v>28</v>
      </c>
      <c r="E4360" s="7" t="s">
        <v>29</v>
      </c>
      <c r="F4360" s="7" t="s">
        <v>297</v>
      </c>
      <c r="G4360" s="7">
        <v>101.2192</v>
      </c>
      <c r="H4360" s="7"/>
    </row>
    <row r="4361" spans="1:8" x14ac:dyDescent="0.35">
      <c r="A4361" s="7" t="s">
        <v>360</v>
      </c>
      <c r="B4361" s="7" t="s">
        <v>26</v>
      </c>
      <c r="C4361" s="7" t="s">
        <v>27</v>
      </c>
      <c r="D4361" s="7" t="s">
        <v>28</v>
      </c>
      <c r="E4361" s="7" t="s">
        <v>29</v>
      </c>
      <c r="F4361" s="7" t="s">
        <v>298</v>
      </c>
      <c r="G4361" s="7">
        <v>101.36499999999999</v>
      </c>
      <c r="H4361" s="7"/>
    </row>
    <row r="4362" spans="1:8" x14ac:dyDescent="0.35">
      <c r="A4362" s="7" t="s">
        <v>360</v>
      </c>
      <c r="B4362" s="7" t="s">
        <v>26</v>
      </c>
      <c r="C4362" s="7" t="s">
        <v>27</v>
      </c>
      <c r="D4362" s="7" t="s">
        <v>28</v>
      </c>
      <c r="E4362" s="7" t="s">
        <v>29</v>
      </c>
      <c r="F4362" s="7" t="s">
        <v>299</v>
      </c>
      <c r="G4362" s="7">
        <v>101.4331</v>
      </c>
      <c r="H4362" s="7"/>
    </row>
    <row r="4363" spans="1:8" x14ac:dyDescent="0.35">
      <c r="A4363" s="7" t="s">
        <v>360</v>
      </c>
      <c r="B4363" s="7" t="s">
        <v>26</v>
      </c>
      <c r="C4363" s="7" t="s">
        <v>27</v>
      </c>
      <c r="D4363" s="7" t="s">
        <v>28</v>
      </c>
      <c r="E4363" s="7" t="s">
        <v>29</v>
      </c>
      <c r="F4363" s="7" t="s">
        <v>300</v>
      </c>
      <c r="G4363" s="7">
        <v>101.37949999999999</v>
      </c>
      <c r="H4363" s="7"/>
    </row>
    <row r="4364" spans="1:8" x14ac:dyDescent="0.35">
      <c r="A4364" s="7" t="s">
        <v>360</v>
      </c>
      <c r="B4364" s="7" t="s">
        <v>26</v>
      </c>
      <c r="C4364" s="7" t="s">
        <v>27</v>
      </c>
      <c r="D4364" s="7" t="s">
        <v>28</v>
      </c>
      <c r="E4364" s="7" t="s">
        <v>29</v>
      </c>
      <c r="F4364" s="7" t="s">
        <v>301</v>
      </c>
      <c r="G4364" s="7">
        <v>101.3008</v>
      </c>
      <c r="H4364" s="7"/>
    </row>
    <row r="4365" spans="1:8" x14ac:dyDescent="0.35">
      <c r="A4365" s="7" t="s">
        <v>360</v>
      </c>
      <c r="B4365" s="7" t="s">
        <v>26</v>
      </c>
      <c r="C4365" s="7" t="s">
        <v>27</v>
      </c>
      <c r="D4365" s="7" t="s">
        <v>28</v>
      </c>
      <c r="E4365" s="7" t="s">
        <v>29</v>
      </c>
      <c r="F4365" s="7" t="s">
        <v>302</v>
      </c>
      <c r="G4365" s="7">
        <v>101.239</v>
      </c>
      <c r="H4365" s="7"/>
    </row>
    <row r="4366" spans="1:8" x14ac:dyDescent="0.35">
      <c r="A4366" s="7" t="s">
        <v>360</v>
      </c>
      <c r="B4366" s="7" t="s">
        <v>26</v>
      </c>
      <c r="C4366" s="7" t="s">
        <v>27</v>
      </c>
      <c r="D4366" s="7" t="s">
        <v>28</v>
      </c>
      <c r="E4366" s="7" t="s">
        <v>29</v>
      </c>
      <c r="F4366" s="7" t="s">
        <v>303</v>
      </c>
      <c r="G4366" s="7">
        <v>101.19070000000001</v>
      </c>
      <c r="H4366" s="7"/>
    </row>
    <row r="4367" spans="1:8" x14ac:dyDescent="0.35">
      <c r="A4367" s="7" t="s">
        <v>360</v>
      </c>
      <c r="B4367" s="7" t="s">
        <v>26</v>
      </c>
      <c r="C4367" s="7" t="s">
        <v>27</v>
      </c>
      <c r="D4367" s="7" t="s">
        <v>28</v>
      </c>
      <c r="E4367" s="7" t="s">
        <v>29</v>
      </c>
      <c r="F4367" s="7" t="s">
        <v>304</v>
      </c>
      <c r="G4367" s="7">
        <v>101.238</v>
      </c>
      <c r="H4367" s="7"/>
    </row>
    <row r="4368" spans="1:8" x14ac:dyDescent="0.35">
      <c r="A4368" s="7" t="s">
        <v>360</v>
      </c>
      <c r="B4368" s="7" t="s">
        <v>26</v>
      </c>
      <c r="C4368" s="7" t="s">
        <v>27</v>
      </c>
      <c r="D4368" s="7" t="s">
        <v>28</v>
      </c>
      <c r="E4368" s="7" t="s">
        <v>29</v>
      </c>
      <c r="F4368" s="7" t="s">
        <v>305</v>
      </c>
      <c r="G4368" s="7">
        <v>101.2397</v>
      </c>
      <c r="H4368" s="7"/>
    </row>
    <row r="4369" spans="1:8" x14ac:dyDescent="0.35">
      <c r="A4369" s="7" t="s">
        <v>360</v>
      </c>
      <c r="B4369" s="7" t="s">
        <v>26</v>
      </c>
      <c r="C4369" s="7" t="s">
        <v>27</v>
      </c>
      <c r="D4369" s="7" t="s">
        <v>28</v>
      </c>
      <c r="E4369" s="7" t="s">
        <v>29</v>
      </c>
      <c r="F4369" s="7" t="s">
        <v>306</v>
      </c>
      <c r="G4369" s="7">
        <v>101.1211</v>
      </c>
      <c r="H4369" s="7"/>
    </row>
    <row r="4370" spans="1:8" x14ac:dyDescent="0.35">
      <c r="A4370" s="7" t="s">
        <v>360</v>
      </c>
      <c r="B4370" s="7" t="s">
        <v>26</v>
      </c>
      <c r="C4370" s="7" t="s">
        <v>27</v>
      </c>
      <c r="D4370" s="7" t="s">
        <v>28</v>
      </c>
      <c r="E4370" s="7" t="s">
        <v>29</v>
      </c>
      <c r="F4370" s="7" t="s">
        <v>307</v>
      </c>
      <c r="G4370" s="7">
        <v>100.9525</v>
      </c>
      <c r="H4370" s="7"/>
    </row>
    <row r="4371" spans="1:8" x14ac:dyDescent="0.35">
      <c r="A4371" s="7" t="s">
        <v>360</v>
      </c>
      <c r="B4371" s="7" t="s">
        <v>26</v>
      </c>
      <c r="C4371" s="7" t="s">
        <v>27</v>
      </c>
      <c r="D4371" s="7" t="s">
        <v>28</v>
      </c>
      <c r="E4371" s="7" t="s">
        <v>29</v>
      </c>
      <c r="F4371" s="7" t="s">
        <v>308</v>
      </c>
      <c r="G4371" s="7">
        <v>100.849</v>
      </c>
      <c r="H4371" s="7"/>
    </row>
    <row r="4372" spans="1:8" x14ac:dyDescent="0.35">
      <c r="A4372" s="7" t="s">
        <v>360</v>
      </c>
      <c r="B4372" s="7" t="s">
        <v>26</v>
      </c>
      <c r="C4372" s="7" t="s">
        <v>27</v>
      </c>
      <c r="D4372" s="7" t="s">
        <v>28</v>
      </c>
      <c r="E4372" s="7" t="s">
        <v>29</v>
      </c>
      <c r="F4372" s="7" t="s">
        <v>309</v>
      </c>
      <c r="G4372" s="7">
        <v>100.8304</v>
      </c>
      <c r="H4372" s="7"/>
    </row>
    <row r="4373" spans="1:8" x14ac:dyDescent="0.35">
      <c r="A4373" s="7" t="s">
        <v>360</v>
      </c>
      <c r="B4373" s="7" t="s">
        <v>26</v>
      </c>
      <c r="C4373" s="7" t="s">
        <v>27</v>
      </c>
      <c r="D4373" s="7" t="s">
        <v>28</v>
      </c>
      <c r="E4373" s="7" t="s">
        <v>29</v>
      </c>
      <c r="F4373" s="7" t="s">
        <v>310</v>
      </c>
      <c r="G4373" s="7">
        <v>100.8057</v>
      </c>
      <c r="H4373" s="7"/>
    </row>
    <row r="4374" spans="1:8" x14ac:dyDescent="0.35">
      <c r="A4374" s="7" t="s">
        <v>360</v>
      </c>
      <c r="B4374" s="7" t="s">
        <v>26</v>
      </c>
      <c r="C4374" s="7" t="s">
        <v>27</v>
      </c>
      <c r="D4374" s="7" t="s">
        <v>28</v>
      </c>
      <c r="E4374" s="7" t="s">
        <v>29</v>
      </c>
      <c r="F4374" s="7" t="s">
        <v>311</v>
      </c>
      <c r="G4374" s="7">
        <v>100.7906</v>
      </c>
      <c r="H4374" s="7"/>
    </row>
    <row r="4375" spans="1:8" x14ac:dyDescent="0.35">
      <c r="A4375" s="7" t="s">
        <v>360</v>
      </c>
      <c r="B4375" s="7" t="s">
        <v>26</v>
      </c>
      <c r="C4375" s="7" t="s">
        <v>27</v>
      </c>
      <c r="D4375" s="7" t="s">
        <v>28</v>
      </c>
      <c r="E4375" s="7" t="s">
        <v>29</v>
      </c>
      <c r="F4375" s="7" t="s">
        <v>312</v>
      </c>
      <c r="G4375" s="7">
        <v>100.7824</v>
      </c>
      <c r="H4375" s="7"/>
    </row>
    <row r="4376" spans="1:8" x14ac:dyDescent="0.35">
      <c r="A4376" s="7" t="s">
        <v>360</v>
      </c>
      <c r="B4376" s="7" t="s">
        <v>26</v>
      </c>
      <c r="C4376" s="7" t="s">
        <v>27</v>
      </c>
      <c r="D4376" s="7" t="s">
        <v>28</v>
      </c>
      <c r="E4376" s="7" t="s">
        <v>29</v>
      </c>
      <c r="F4376" s="7" t="s">
        <v>313</v>
      </c>
      <c r="G4376" s="7">
        <v>100.71639999999999</v>
      </c>
      <c r="H4376" s="7"/>
    </row>
    <row r="4377" spans="1:8" x14ac:dyDescent="0.35">
      <c r="A4377" s="7" t="s">
        <v>360</v>
      </c>
      <c r="B4377" s="7" t="s">
        <v>26</v>
      </c>
      <c r="C4377" s="7" t="s">
        <v>27</v>
      </c>
      <c r="D4377" s="7" t="s">
        <v>28</v>
      </c>
      <c r="E4377" s="7" t="s">
        <v>29</v>
      </c>
      <c r="F4377" s="7" t="s">
        <v>314</v>
      </c>
      <c r="G4377" s="7">
        <v>100.7217</v>
      </c>
      <c r="H4377" s="7"/>
    </row>
    <row r="4378" spans="1:8" x14ac:dyDescent="0.35">
      <c r="A4378" s="7" t="s">
        <v>360</v>
      </c>
      <c r="B4378" s="7" t="s">
        <v>26</v>
      </c>
      <c r="C4378" s="7" t="s">
        <v>27</v>
      </c>
      <c r="D4378" s="7" t="s">
        <v>28</v>
      </c>
      <c r="E4378" s="7" t="s">
        <v>29</v>
      </c>
      <c r="F4378" s="7" t="s">
        <v>315</v>
      </c>
      <c r="G4378" s="7">
        <v>100.7804</v>
      </c>
      <c r="H4378" s="7"/>
    </row>
    <row r="4379" spans="1:8" x14ac:dyDescent="0.35">
      <c r="A4379" s="7" t="s">
        <v>360</v>
      </c>
      <c r="B4379" s="7" t="s">
        <v>26</v>
      </c>
      <c r="C4379" s="7" t="s">
        <v>27</v>
      </c>
      <c r="D4379" s="7" t="s">
        <v>28</v>
      </c>
      <c r="E4379" s="7" t="s">
        <v>29</v>
      </c>
      <c r="F4379" s="7" t="s">
        <v>316</v>
      </c>
      <c r="G4379" s="7">
        <v>100.8608</v>
      </c>
      <c r="H4379" s="7"/>
    </row>
    <row r="4380" spans="1:8" x14ac:dyDescent="0.35">
      <c r="A4380" s="7" t="s">
        <v>360</v>
      </c>
      <c r="B4380" s="7" t="s">
        <v>26</v>
      </c>
      <c r="C4380" s="7" t="s">
        <v>27</v>
      </c>
      <c r="D4380" s="7" t="s">
        <v>28</v>
      </c>
      <c r="E4380" s="7" t="s">
        <v>29</v>
      </c>
      <c r="F4380" s="7" t="s">
        <v>317</v>
      </c>
      <c r="G4380" s="7">
        <v>101.0975</v>
      </c>
      <c r="H4380" s="7"/>
    </row>
    <row r="4381" spans="1:8" x14ac:dyDescent="0.35">
      <c r="A4381" s="7" t="s">
        <v>360</v>
      </c>
      <c r="B4381" s="7" t="s">
        <v>26</v>
      </c>
      <c r="C4381" s="7" t="s">
        <v>27</v>
      </c>
      <c r="D4381" s="7" t="s">
        <v>28</v>
      </c>
      <c r="E4381" s="7" t="s">
        <v>29</v>
      </c>
      <c r="F4381" s="7" t="s">
        <v>318</v>
      </c>
      <c r="G4381" s="7">
        <v>101.24420000000001</v>
      </c>
      <c r="H4381" s="7"/>
    </row>
    <row r="4382" spans="1:8" x14ac:dyDescent="0.35">
      <c r="A4382" s="7" t="s">
        <v>360</v>
      </c>
      <c r="B4382" s="7" t="s">
        <v>26</v>
      </c>
      <c r="C4382" s="7" t="s">
        <v>27</v>
      </c>
      <c r="D4382" s="7" t="s">
        <v>28</v>
      </c>
      <c r="E4382" s="7" t="s">
        <v>29</v>
      </c>
      <c r="F4382" s="7" t="s">
        <v>319</v>
      </c>
      <c r="G4382" s="7">
        <v>101.2914</v>
      </c>
      <c r="H4382" s="7"/>
    </row>
    <row r="4383" spans="1:8" x14ac:dyDescent="0.35">
      <c r="A4383" s="7" t="s">
        <v>360</v>
      </c>
      <c r="B4383" s="7" t="s">
        <v>26</v>
      </c>
      <c r="C4383" s="7" t="s">
        <v>27</v>
      </c>
      <c r="D4383" s="7" t="s">
        <v>28</v>
      </c>
      <c r="E4383" s="7" t="s">
        <v>29</v>
      </c>
      <c r="F4383" s="7" t="s">
        <v>320</v>
      </c>
      <c r="G4383" s="7">
        <v>101.28060000000001</v>
      </c>
      <c r="H4383" s="7"/>
    </row>
    <row r="4384" spans="1:8" x14ac:dyDescent="0.35">
      <c r="A4384" s="7" t="s">
        <v>360</v>
      </c>
      <c r="B4384" s="7" t="s">
        <v>26</v>
      </c>
      <c r="C4384" s="7" t="s">
        <v>27</v>
      </c>
      <c r="D4384" s="7" t="s">
        <v>28</v>
      </c>
      <c r="E4384" s="7" t="s">
        <v>29</v>
      </c>
      <c r="F4384" s="7" t="s">
        <v>321</v>
      </c>
      <c r="G4384" s="7">
        <v>101.15779999999999</v>
      </c>
      <c r="H4384" s="7"/>
    </row>
    <row r="4385" spans="1:8" x14ac:dyDescent="0.35">
      <c r="A4385" s="7" t="s">
        <v>360</v>
      </c>
      <c r="B4385" s="7" t="s">
        <v>26</v>
      </c>
      <c r="C4385" s="7" t="s">
        <v>27</v>
      </c>
      <c r="D4385" s="7" t="s">
        <v>28</v>
      </c>
      <c r="E4385" s="7" t="s">
        <v>29</v>
      </c>
      <c r="F4385" s="7" t="s">
        <v>322</v>
      </c>
      <c r="G4385" s="7">
        <v>101.0521</v>
      </c>
      <c r="H4385" s="7"/>
    </row>
    <row r="4386" spans="1:8" x14ac:dyDescent="0.35">
      <c r="A4386" s="7" t="s">
        <v>360</v>
      </c>
      <c r="B4386" s="7" t="s">
        <v>26</v>
      </c>
      <c r="C4386" s="7" t="s">
        <v>27</v>
      </c>
      <c r="D4386" s="7" t="s">
        <v>28</v>
      </c>
      <c r="E4386" s="7" t="s">
        <v>29</v>
      </c>
      <c r="F4386" s="7" t="s">
        <v>323</v>
      </c>
      <c r="G4386" s="7">
        <v>101.1207</v>
      </c>
      <c r="H4386" s="7"/>
    </row>
    <row r="4387" spans="1:8" x14ac:dyDescent="0.35">
      <c r="A4387" s="7" t="s">
        <v>360</v>
      </c>
      <c r="B4387" s="7" t="s">
        <v>26</v>
      </c>
      <c r="C4387" s="7" t="s">
        <v>27</v>
      </c>
      <c r="D4387" s="7" t="s">
        <v>28</v>
      </c>
      <c r="E4387" s="7" t="s">
        <v>29</v>
      </c>
      <c r="F4387" s="7" t="s">
        <v>324</v>
      </c>
      <c r="G4387" s="7">
        <v>101.2563</v>
      </c>
      <c r="H4387" s="7"/>
    </row>
    <row r="4388" spans="1:8" x14ac:dyDescent="0.35">
      <c r="A4388" s="7" t="s">
        <v>360</v>
      </c>
      <c r="B4388" s="7" t="s">
        <v>26</v>
      </c>
      <c r="C4388" s="7" t="s">
        <v>27</v>
      </c>
      <c r="D4388" s="7" t="s">
        <v>28</v>
      </c>
      <c r="E4388" s="7" t="s">
        <v>29</v>
      </c>
      <c r="F4388" s="7" t="s">
        <v>325</v>
      </c>
      <c r="G4388" s="7">
        <v>101.35680000000001</v>
      </c>
      <c r="H4388" s="7"/>
    </row>
    <row r="4389" spans="1:8" x14ac:dyDescent="0.35">
      <c r="A4389" s="7" t="s">
        <v>360</v>
      </c>
      <c r="B4389" s="7" t="s">
        <v>26</v>
      </c>
      <c r="C4389" s="7" t="s">
        <v>27</v>
      </c>
      <c r="D4389" s="7" t="s">
        <v>28</v>
      </c>
      <c r="E4389" s="7" t="s">
        <v>29</v>
      </c>
      <c r="F4389" s="7" t="s">
        <v>326</v>
      </c>
      <c r="G4389" s="7">
        <v>101.4285</v>
      </c>
      <c r="H4389" s="7"/>
    </row>
    <row r="4390" spans="1:8" x14ac:dyDescent="0.35">
      <c r="A4390" s="7" t="s">
        <v>360</v>
      </c>
      <c r="B4390" s="7" t="s">
        <v>26</v>
      </c>
      <c r="C4390" s="7" t="s">
        <v>27</v>
      </c>
      <c r="D4390" s="7" t="s">
        <v>28</v>
      </c>
      <c r="E4390" s="7" t="s">
        <v>29</v>
      </c>
      <c r="F4390" s="7" t="s">
        <v>327</v>
      </c>
      <c r="G4390" s="7">
        <v>101.3861</v>
      </c>
      <c r="H4390" s="7"/>
    </row>
    <row r="4391" spans="1:8" x14ac:dyDescent="0.35">
      <c r="A4391" s="7" t="s">
        <v>360</v>
      </c>
      <c r="B4391" s="7" t="s">
        <v>26</v>
      </c>
      <c r="C4391" s="7" t="s">
        <v>27</v>
      </c>
      <c r="D4391" s="7" t="s">
        <v>28</v>
      </c>
      <c r="E4391" s="7" t="s">
        <v>29</v>
      </c>
      <c r="F4391" s="7" t="s">
        <v>328</v>
      </c>
      <c r="G4391" s="7">
        <v>101.34910000000001</v>
      </c>
      <c r="H4391" s="7"/>
    </row>
    <row r="4392" spans="1:8" x14ac:dyDescent="0.35">
      <c r="A4392" s="7" t="s">
        <v>360</v>
      </c>
      <c r="B4392" s="7" t="s">
        <v>26</v>
      </c>
      <c r="C4392" s="7" t="s">
        <v>27</v>
      </c>
      <c r="D4392" s="7" t="s">
        <v>28</v>
      </c>
      <c r="E4392" s="7" t="s">
        <v>29</v>
      </c>
      <c r="F4392" s="7" t="s">
        <v>329</v>
      </c>
      <c r="G4392" s="7">
        <v>101.376</v>
      </c>
      <c r="H4392" s="7"/>
    </row>
    <row r="4393" spans="1:8" x14ac:dyDescent="0.35">
      <c r="A4393" s="7" t="s">
        <v>360</v>
      </c>
      <c r="B4393" s="7" t="s">
        <v>26</v>
      </c>
      <c r="C4393" s="7" t="s">
        <v>27</v>
      </c>
      <c r="D4393" s="7" t="s">
        <v>28</v>
      </c>
      <c r="E4393" s="7" t="s">
        <v>29</v>
      </c>
      <c r="F4393" s="7" t="s">
        <v>330</v>
      </c>
      <c r="G4393" s="7">
        <v>101.53060000000001</v>
      </c>
      <c r="H4393" s="7"/>
    </row>
    <row r="4394" spans="1:8" x14ac:dyDescent="0.35">
      <c r="A4394" s="7" t="s">
        <v>360</v>
      </c>
      <c r="B4394" s="7" t="s">
        <v>26</v>
      </c>
      <c r="C4394" s="7" t="s">
        <v>27</v>
      </c>
      <c r="D4394" s="7" t="s">
        <v>28</v>
      </c>
      <c r="E4394" s="7" t="s">
        <v>29</v>
      </c>
      <c r="F4394" s="7" t="s">
        <v>331</v>
      </c>
      <c r="G4394" s="7">
        <v>101.7064</v>
      </c>
      <c r="H4394" s="7"/>
    </row>
    <row r="4395" spans="1:8" x14ac:dyDescent="0.35">
      <c r="A4395" s="7" t="s">
        <v>360</v>
      </c>
      <c r="B4395" s="7" t="s">
        <v>26</v>
      </c>
      <c r="C4395" s="7" t="s">
        <v>27</v>
      </c>
      <c r="D4395" s="7" t="s">
        <v>28</v>
      </c>
      <c r="E4395" s="7" t="s">
        <v>29</v>
      </c>
      <c r="F4395" s="7" t="s">
        <v>332</v>
      </c>
      <c r="G4395" s="7">
        <v>101.8501</v>
      </c>
      <c r="H4395" s="7"/>
    </row>
    <row r="4396" spans="1:8" x14ac:dyDescent="0.35">
      <c r="A4396" s="7" t="s">
        <v>360</v>
      </c>
      <c r="B4396" s="7" t="s">
        <v>26</v>
      </c>
      <c r="C4396" s="7" t="s">
        <v>27</v>
      </c>
      <c r="D4396" s="7" t="s">
        <v>28</v>
      </c>
      <c r="E4396" s="7" t="s">
        <v>29</v>
      </c>
      <c r="F4396" s="7" t="s">
        <v>333</v>
      </c>
      <c r="G4396" s="7">
        <v>101.88460000000001</v>
      </c>
      <c r="H4396" s="7"/>
    </row>
    <row r="4397" spans="1:8" x14ac:dyDescent="0.35">
      <c r="A4397" s="7" t="s">
        <v>360</v>
      </c>
      <c r="B4397" s="7" t="s">
        <v>26</v>
      </c>
      <c r="C4397" s="7" t="s">
        <v>27</v>
      </c>
      <c r="D4397" s="7" t="s">
        <v>28</v>
      </c>
      <c r="E4397" s="7" t="s">
        <v>29</v>
      </c>
      <c r="F4397" s="7" t="s">
        <v>334</v>
      </c>
      <c r="G4397" s="7">
        <v>101.8244</v>
      </c>
      <c r="H4397" s="7"/>
    </row>
    <row r="4398" spans="1:8" x14ac:dyDescent="0.35">
      <c r="A4398" s="7" t="s">
        <v>360</v>
      </c>
      <c r="B4398" s="7" t="s">
        <v>26</v>
      </c>
      <c r="C4398" s="7" t="s">
        <v>27</v>
      </c>
      <c r="D4398" s="7" t="s">
        <v>28</v>
      </c>
      <c r="E4398" s="7" t="s">
        <v>29</v>
      </c>
      <c r="F4398" s="7" t="s">
        <v>335</v>
      </c>
      <c r="G4398" s="7">
        <v>101.69119999999999</v>
      </c>
      <c r="H4398" s="7"/>
    </row>
    <row r="4399" spans="1:8" x14ac:dyDescent="0.35">
      <c r="A4399" s="7" t="s">
        <v>360</v>
      </c>
      <c r="B4399" s="7" t="s">
        <v>26</v>
      </c>
      <c r="C4399" s="7" t="s">
        <v>27</v>
      </c>
      <c r="D4399" s="7" t="s">
        <v>28</v>
      </c>
      <c r="E4399" s="7" t="s">
        <v>29</v>
      </c>
      <c r="F4399" s="7" t="s">
        <v>336</v>
      </c>
      <c r="G4399" s="7">
        <v>101.634</v>
      </c>
      <c r="H4399" s="7"/>
    </row>
    <row r="4400" spans="1:8" x14ac:dyDescent="0.35">
      <c r="A4400" s="7" t="s">
        <v>360</v>
      </c>
      <c r="B4400" s="7" t="s">
        <v>26</v>
      </c>
      <c r="C4400" s="7" t="s">
        <v>27</v>
      </c>
      <c r="D4400" s="7" t="s">
        <v>28</v>
      </c>
      <c r="E4400" s="7" t="s">
        <v>29</v>
      </c>
      <c r="F4400" s="7" t="s">
        <v>337</v>
      </c>
      <c r="G4400" s="7">
        <v>101.6343</v>
      </c>
      <c r="H4400" s="7"/>
    </row>
    <row r="4401" spans="1:8" x14ac:dyDescent="0.35">
      <c r="A4401" s="7" t="s">
        <v>360</v>
      </c>
      <c r="B4401" s="7" t="s">
        <v>26</v>
      </c>
      <c r="C4401" s="7" t="s">
        <v>27</v>
      </c>
      <c r="D4401" s="7" t="s">
        <v>28</v>
      </c>
      <c r="E4401" s="7" t="s">
        <v>29</v>
      </c>
      <c r="F4401" s="7" t="s">
        <v>338</v>
      </c>
      <c r="G4401" s="7">
        <v>101.65300000000001</v>
      </c>
      <c r="H4401" s="7"/>
    </row>
    <row r="4402" spans="1:8" x14ac:dyDescent="0.35">
      <c r="A4402" s="7" t="s">
        <v>360</v>
      </c>
      <c r="B4402" s="7" t="s">
        <v>26</v>
      </c>
      <c r="C4402" s="7" t="s">
        <v>27</v>
      </c>
      <c r="D4402" s="7" t="s">
        <v>28</v>
      </c>
      <c r="E4402" s="7" t="s">
        <v>29</v>
      </c>
      <c r="F4402" s="7" t="s">
        <v>339</v>
      </c>
      <c r="G4402" s="7">
        <v>101.69970000000001</v>
      </c>
      <c r="H4402" s="7"/>
    </row>
    <row r="4403" spans="1:8" x14ac:dyDescent="0.35">
      <c r="A4403" s="7" t="s">
        <v>360</v>
      </c>
      <c r="B4403" s="7" t="s">
        <v>26</v>
      </c>
      <c r="C4403" s="7" t="s">
        <v>27</v>
      </c>
      <c r="D4403" s="7" t="s">
        <v>28</v>
      </c>
      <c r="E4403" s="7" t="s">
        <v>29</v>
      </c>
      <c r="F4403" s="7" t="s">
        <v>340</v>
      </c>
      <c r="G4403" s="7">
        <v>101.7346</v>
      </c>
      <c r="H4403" s="7"/>
    </row>
    <row r="4404" spans="1:8" x14ac:dyDescent="0.35">
      <c r="A4404" s="7" t="s">
        <v>360</v>
      </c>
      <c r="B4404" s="7" t="s">
        <v>26</v>
      </c>
      <c r="C4404" s="7" t="s">
        <v>27</v>
      </c>
      <c r="D4404" s="7" t="s">
        <v>28</v>
      </c>
      <c r="E4404" s="7" t="s">
        <v>29</v>
      </c>
      <c r="F4404" s="7" t="s">
        <v>341</v>
      </c>
      <c r="G4404" s="7">
        <v>101.80029999999999</v>
      </c>
      <c r="H4404" s="7"/>
    </row>
    <row r="4405" spans="1:8" x14ac:dyDescent="0.35">
      <c r="A4405" s="7" t="s">
        <v>360</v>
      </c>
      <c r="B4405" s="7" t="s">
        <v>26</v>
      </c>
      <c r="C4405" s="7" t="s">
        <v>27</v>
      </c>
      <c r="D4405" s="7" t="s">
        <v>28</v>
      </c>
      <c r="E4405" s="7" t="s">
        <v>29</v>
      </c>
      <c r="F4405" s="7" t="s">
        <v>342</v>
      </c>
      <c r="G4405" s="7">
        <v>101.9278</v>
      </c>
      <c r="H4405" s="7"/>
    </row>
    <row r="4406" spans="1:8" x14ac:dyDescent="0.35">
      <c r="A4406" s="7" t="s">
        <v>360</v>
      </c>
      <c r="B4406" s="7" t="s">
        <v>26</v>
      </c>
      <c r="C4406" s="7" t="s">
        <v>27</v>
      </c>
      <c r="D4406" s="7" t="s">
        <v>28</v>
      </c>
      <c r="E4406" s="7" t="s">
        <v>29</v>
      </c>
      <c r="F4406" s="7" t="s">
        <v>343</v>
      </c>
      <c r="G4406" s="7">
        <v>102.12050000000001</v>
      </c>
      <c r="H4406" s="7"/>
    </row>
    <row r="4407" spans="1:8" x14ac:dyDescent="0.35">
      <c r="A4407" s="7" t="s">
        <v>360</v>
      </c>
      <c r="B4407" s="7" t="s">
        <v>26</v>
      </c>
      <c r="C4407" s="7" t="s">
        <v>27</v>
      </c>
      <c r="D4407" s="7" t="s">
        <v>28</v>
      </c>
      <c r="E4407" s="7" t="s">
        <v>29</v>
      </c>
      <c r="F4407" s="7" t="s">
        <v>344</v>
      </c>
      <c r="G4407" s="7">
        <v>102.2461</v>
      </c>
      <c r="H4407" s="7"/>
    </row>
    <row r="4408" spans="1:8" x14ac:dyDescent="0.35">
      <c r="A4408" s="7" t="s">
        <v>360</v>
      </c>
      <c r="B4408" s="7" t="s">
        <v>26</v>
      </c>
      <c r="C4408" s="7" t="s">
        <v>27</v>
      </c>
      <c r="D4408" s="7" t="s">
        <v>28</v>
      </c>
      <c r="E4408" s="7" t="s">
        <v>29</v>
      </c>
      <c r="F4408" s="7" t="s">
        <v>345</v>
      </c>
      <c r="G4408" s="7">
        <v>102.36150000000001</v>
      </c>
      <c r="H4408" s="7"/>
    </row>
    <row r="4409" spans="1:8" x14ac:dyDescent="0.35">
      <c r="A4409" s="7" t="s">
        <v>360</v>
      </c>
      <c r="B4409" s="7" t="s">
        <v>26</v>
      </c>
      <c r="C4409" s="7" t="s">
        <v>27</v>
      </c>
      <c r="D4409" s="7" t="s">
        <v>28</v>
      </c>
      <c r="E4409" s="7" t="s">
        <v>29</v>
      </c>
      <c r="F4409" s="7" t="s">
        <v>346</v>
      </c>
      <c r="G4409" s="7">
        <v>102.4877</v>
      </c>
      <c r="H4409" s="7"/>
    </row>
    <row r="4410" spans="1:8" x14ac:dyDescent="0.35">
      <c r="A4410" s="7" t="s">
        <v>361</v>
      </c>
      <c r="B4410" s="7" t="s">
        <v>26</v>
      </c>
      <c r="C4410" s="7" t="s">
        <v>27</v>
      </c>
      <c r="D4410" s="7" t="s">
        <v>28</v>
      </c>
      <c r="E4410" s="7" t="s">
        <v>29</v>
      </c>
      <c r="F4410" s="7" t="s">
        <v>30</v>
      </c>
      <c r="G4410" s="7">
        <v>101.7149</v>
      </c>
      <c r="H4410" s="7"/>
    </row>
    <row r="4411" spans="1:8" x14ac:dyDescent="0.35">
      <c r="A4411" s="7" t="s">
        <v>361</v>
      </c>
      <c r="B4411" s="7" t="s">
        <v>26</v>
      </c>
      <c r="C4411" s="7" t="s">
        <v>27</v>
      </c>
      <c r="D4411" s="7" t="s">
        <v>28</v>
      </c>
      <c r="E4411" s="7" t="s">
        <v>29</v>
      </c>
      <c r="F4411" s="7" t="s">
        <v>31</v>
      </c>
      <c r="G4411" s="7">
        <v>101.67310000000001</v>
      </c>
      <c r="H4411" s="7"/>
    </row>
    <row r="4412" spans="1:8" x14ac:dyDescent="0.35">
      <c r="A4412" s="7" t="s">
        <v>361</v>
      </c>
      <c r="B4412" s="7" t="s">
        <v>26</v>
      </c>
      <c r="C4412" s="7" t="s">
        <v>27</v>
      </c>
      <c r="D4412" s="7" t="s">
        <v>28</v>
      </c>
      <c r="E4412" s="7" t="s">
        <v>29</v>
      </c>
      <c r="F4412" s="7" t="s">
        <v>32</v>
      </c>
      <c r="G4412" s="7">
        <v>101.65009999999999</v>
      </c>
      <c r="H4412" s="7"/>
    </row>
    <row r="4413" spans="1:8" x14ac:dyDescent="0.35">
      <c r="A4413" s="7" t="s">
        <v>361</v>
      </c>
      <c r="B4413" s="7" t="s">
        <v>26</v>
      </c>
      <c r="C4413" s="7" t="s">
        <v>27</v>
      </c>
      <c r="D4413" s="7" t="s">
        <v>28</v>
      </c>
      <c r="E4413" s="7" t="s">
        <v>29</v>
      </c>
      <c r="F4413" s="7" t="s">
        <v>33</v>
      </c>
      <c r="G4413" s="7">
        <v>101.4378</v>
      </c>
      <c r="H4413" s="7"/>
    </row>
    <row r="4414" spans="1:8" x14ac:dyDescent="0.35">
      <c r="A4414" s="7" t="s">
        <v>361</v>
      </c>
      <c r="B4414" s="7" t="s">
        <v>26</v>
      </c>
      <c r="C4414" s="7" t="s">
        <v>27</v>
      </c>
      <c r="D4414" s="7" t="s">
        <v>28</v>
      </c>
      <c r="E4414" s="7" t="s">
        <v>29</v>
      </c>
      <c r="F4414" s="7" t="s">
        <v>34</v>
      </c>
      <c r="G4414" s="7">
        <v>101.1024</v>
      </c>
      <c r="H4414" s="7"/>
    </row>
    <row r="4415" spans="1:8" x14ac:dyDescent="0.35">
      <c r="A4415" s="7" t="s">
        <v>361</v>
      </c>
      <c r="B4415" s="7" t="s">
        <v>26</v>
      </c>
      <c r="C4415" s="7" t="s">
        <v>27</v>
      </c>
      <c r="D4415" s="7" t="s">
        <v>28</v>
      </c>
      <c r="E4415" s="7" t="s">
        <v>29</v>
      </c>
      <c r="F4415" s="7" t="s">
        <v>35</v>
      </c>
      <c r="G4415" s="7">
        <v>100.83459999999999</v>
      </c>
      <c r="H4415" s="7"/>
    </row>
    <row r="4416" spans="1:8" x14ac:dyDescent="0.35">
      <c r="A4416" s="7" t="s">
        <v>361</v>
      </c>
      <c r="B4416" s="7" t="s">
        <v>26</v>
      </c>
      <c r="C4416" s="7" t="s">
        <v>27</v>
      </c>
      <c r="D4416" s="7" t="s">
        <v>28</v>
      </c>
      <c r="E4416" s="7" t="s">
        <v>29</v>
      </c>
      <c r="F4416" s="7" t="s">
        <v>36</v>
      </c>
      <c r="G4416" s="7">
        <v>100.709</v>
      </c>
      <c r="H4416" s="7"/>
    </row>
    <row r="4417" spans="1:8" x14ac:dyDescent="0.35">
      <c r="A4417" s="7" t="s">
        <v>361</v>
      </c>
      <c r="B4417" s="7" t="s">
        <v>26</v>
      </c>
      <c r="C4417" s="7" t="s">
        <v>27</v>
      </c>
      <c r="D4417" s="7" t="s">
        <v>28</v>
      </c>
      <c r="E4417" s="7" t="s">
        <v>29</v>
      </c>
      <c r="F4417" s="7" t="s">
        <v>37</v>
      </c>
      <c r="G4417" s="7">
        <v>100.6742</v>
      </c>
      <c r="H4417" s="7"/>
    </row>
    <row r="4418" spans="1:8" x14ac:dyDescent="0.35">
      <c r="A4418" s="7" t="s">
        <v>361</v>
      </c>
      <c r="B4418" s="7" t="s">
        <v>26</v>
      </c>
      <c r="C4418" s="7" t="s">
        <v>27</v>
      </c>
      <c r="D4418" s="7" t="s">
        <v>28</v>
      </c>
      <c r="E4418" s="7" t="s">
        <v>29</v>
      </c>
      <c r="F4418" s="7" t="s">
        <v>38</v>
      </c>
      <c r="G4418" s="7">
        <v>100.60380000000001</v>
      </c>
      <c r="H4418" s="7"/>
    </row>
    <row r="4419" spans="1:8" x14ac:dyDescent="0.35">
      <c r="A4419" s="7" t="s">
        <v>361</v>
      </c>
      <c r="B4419" s="7" t="s">
        <v>26</v>
      </c>
      <c r="C4419" s="7" t="s">
        <v>27</v>
      </c>
      <c r="D4419" s="7" t="s">
        <v>28</v>
      </c>
      <c r="E4419" s="7" t="s">
        <v>29</v>
      </c>
      <c r="F4419" s="7" t="s">
        <v>39</v>
      </c>
      <c r="G4419" s="7">
        <v>100.5239</v>
      </c>
      <c r="H4419" s="7"/>
    </row>
    <row r="4420" spans="1:8" x14ac:dyDescent="0.35">
      <c r="A4420" s="7" t="s">
        <v>361</v>
      </c>
      <c r="B4420" s="7" t="s">
        <v>26</v>
      </c>
      <c r="C4420" s="7" t="s">
        <v>27</v>
      </c>
      <c r="D4420" s="7" t="s">
        <v>28</v>
      </c>
      <c r="E4420" s="7" t="s">
        <v>29</v>
      </c>
      <c r="F4420" s="7" t="s">
        <v>40</v>
      </c>
      <c r="G4420" s="7">
        <v>100.5331</v>
      </c>
      <c r="H4420" s="7"/>
    </row>
    <row r="4421" spans="1:8" x14ac:dyDescent="0.35">
      <c r="A4421" s="7" t="s">
        <v>361</v>
      </c>
      <c r="B4421" s="7" t="s">
        <v>26</v>
      </c>
      <c r="C4421" s="7" t="s">
        <v>27</v>
      </c>
      <c r="D4421" s="7" t="s">
        <v>28</v>
      </c>
      <c r="E4421" s="7" t="s">
        <v>29</v>
      </c>
      <c r="F4421" s="7" t="s">
        <v>41</v>
      </c>
      <c r="G4421" s="7">
        <v>100.446</v>
      </c>
      <c r="H4421" s="7"/>
    </row>
    <row r="4422" spans="1:8" x14ac:dyDescent="0.35">
      <c r="A4422" s="7" t="s">
        <v>361</v>
      </c>
      <c r="B4422" s="7" t="s">
        <v>26</v>
      </c>
      <c r="C4422" s="7" t="s">
        <v>27</v>
      </c>
      <c r="D4422" s="7" t="s">
        <v>28</v>
      </c>
      <c r="E4422" s="7" t="s">
        <v>29</v>
      </c>
      <c r="F4422" s="7" t="s">
        <v>42</v>
      </c>
      <c r="G4422" s="7">
        <v>100.2208</v>
      </c>
      <c r="H4422" s="7"/>
    </row>
    <row r="4423" spans="1:8" x14ac:dyDescent="0.35">
      <c r="A4423" s="7" t="s">
        <v>361</v>
      </c>
      <c r="B4423" s="7" t="s">
        <v>26</v>
      </c>
      <c r="C4423" s="7" t="s">
        <v>27</v>
      </c>
      <c r="D4423" s="7" t="s">
        <v>28</v>
      </c>
      <c r="E4423" s="7" t="s">
        <v>29</v>
      </c>
      <c r="F4423" s="7" t="s">
        <v>43</v>
      </c>
      <c r="G4423" s="7">
        <v>99.939859999999996</v>
      </c>
      <c r="H4423" s="7"/>
    </row>
    <row r="4424" spans="1:8" x14ac:dyDescent="0.35">
      <c r="A4424" s="7" t="s">
        <v>361</v>
      </c>
      <c r="B4424" s="7" t="s">
        <v>26</v>
      </c>
      <c r="C4424" s="7" t="s">
        <v>27</v>
      </c>
      <c r="D4424" s="7" t="s">
        <v>28</v>
      </c>
      <c r="E4424" s="7" t="s">
        <v>29</v>
      </c>
      <c r="F4424" s="7" t="s">
        <v>44</v>
      </c>
      <c r="G4424" s="7">
        <v>99.618899999999996</v>
      </c>
      <c r="H4424" s="7"/>
    </row>
    <row r="4425" spans="1:8" x14ac:dyDescent="0.35">
      <c r="A4425" s="7" t="s">
        <v>361</v>
      </c>
      <c r="B4425" s="7" t="s">
        <v>26</v>
      </c>
      <c r="C4425" s="7" t="s">
        <v>27</v>
      </c>
      <c r="D4425" s="7" t="s">
        <v>28</v>
      </c>
      <c r="E4425" s="7" t="s">
        <v>29</v>
      </c>
      <c r="F4425" s="7" t="s">
        <v>45</v>
      </c>
      <c r="G4425" s="7">
        <v>99.232190000000003</v>
      </c>
      <c r="H4425" s="7"/>
    </row>
    <row r="4426" spans="1:8" x14ac:dyDescent="0.35">
      <c r="A4426" s="7" t="s">
        <v>361</v>
      </c>
      <c r="B4426" s="7" t="s">
        <v>26</v>
      </c>
      <c r="C4426" s="7" t="s">
        <v>27</v>
      </c>
      <c r="D4426" s="7" t="s">
        <v>28</v>
      </c>
      <c r="E4426" s="7" t="s">
        <v>29</v>
      </c>
      <c r="F4426" s="7" t="s">
        <v>46</v>
      </c>
      <c r="G4426" s="7">
        <v>98.873339999999999</v>
      </c>
      <c r="H4426" s="7"/>
    </row>
    <row r="4427" spans="1:8" x14ac:dyDescent="0.35">
      <c r="A4427" s="7" t="s">
        <v>361</v>
      </c>
      <c r="B4427" s="7" t="s">
        <v>26</v>
      </c>
      <c r="C4427" s="7" t="s">
        <v>27</v>
      </c>
      <c r="D4427" s="7" t="s">
        <v>28</v>
      </c>
      <c r="E4427" s="7" t="s">
        <v>29</v>
      </c>
      <c r="F4427" s="7" t="s">
        <v>47</v>
      </c>
      <c r="G4427" s="7">
        <v>98.683530000000005</v>
      </c>
      <c r="H4427" s="7"/>
    </row>
    <row r="4428" spans="1:8" x14ac:dyDescent="0.35">
      <c r="A4428" s="7" t="s">
        <v>361</v>
      </c>
      <c r="B4428" s="7" t="s">
        <v>26</v>
      </c>
      <c r="C4428" s="7" t="s">
        <v>27</v>
      </c>
      <c r="D4428" s="7" t="s">
        <v>28</v>
      </c>
      <c r="E4428" s="7" t="s">
        <v>29</v>
      </c>
      <c r="F4428" s="7" t="s">
        <v>48</v>
      </c>
      <c r="G4428" s="7">
        <v>98.506360000000001</v>
      </c>
      <c r="H4428" s="7"/>
    </row>
    <row r="4429" spans="1:8" x14ac:dyDescent="0.35">
      <c r="A4429" s="7" t="s">
        <v>361</v>
      </c>
      <c r="B4429" s="7" t="s">
        <v>26</v>
      </c>
      <c r="C4429" s="7" t="s">
        <v>27</v>
      </c>
      <c r="D4429" s="7" t="s">
        <v>28</v>
      </c>
      <c r="E4429" s="7" t="s">
        <v>29</v>
      </c>
      <c r="F4429" s="7" t="s">
        <v>49</v>
      </c>
      <c r="G4429" s="7">
        <v>98.355029999999999</v>
      </c>
      <c r="H4429" s="7"/>
    </row>
    <row r="4430" spans="1:8" x14ac:dyDescent="0.35">
      <c r="A4430" s="7" t="s">
        <v>361</v>
      </c>
      <c r="B4430" s="7" t="s">
        <v>26</v>
      </c>
      <c r="C4430" s="7" t="s">
        <v>27</v>
      </c>
      <c r="D4430" s="7" t="s">
        <v>28</v>
      </c>
      <c r="E4430" s="7" t="s">
        <v>29</v>
      </c>
      <c r="F4430" s="7" t="s">
        <v>50</v>
      </c>
      <c r="G4430" s="7">
        <v>98.322850000000003</v>
      </c>
      <c r="H4430" s="7"/>
    </row>
    <row r="4431" spans="1:8" x14ac:dyDescent="0.35">
      <c r="A4431" s="7" t="s">
        <v>361</v>
      </c>
      <c r="B4431" s="7" t="s">
        <v>26</v>
      </c>
      <c r="C4431" s="7" t="s">
        <v>27</v>
      </c>
      <c r="D4431" s="7" t="s">
        <v>28</v>
      </c>
      <c r="E4431" s="7" t="s">
        <v>29</v>
      </c>
      <c r="F4431" s="7" t="s">
        <v>51</v>
      </c>
      <c r="G4431" s="7">
        <v>98.403909999999996</v>
      </c>
      <c r="H4431" s="7"/>
    </row>
    <row r="4432" spans="1:8" x14ac:dyDescent="0.35">
      <c r="A4432" s="7" t="s">
        <v>361</v>
      </c>
      <c r="B4432" s="7" t="s">
        <v>26</v>
      </c>
      <c r="C4432" s="7" t="s">
        <v>27</v>
      </c>
      <c r="D4432" s="7" t="s">
        <v>28</v>
      </c>
      <c r="E4432" s="7" t="s">
        <v>29</v>
      </c>
      <c r="F4432" s="7" t="s">
        <v>52</v>
      </c>
      <c r="G4432" s="7">
        <v>98.418670000000006</v>
      </c>
      <c r="H4432" s="7"/>
    </row>
    <row r="4433" spans="1:8" x14ac:dyDescent="0.35">
      <c r="A4433" s="7" t="s">
        <v>361</v>
      </c>
      <c r="B4433" s="7" t="s">
        <v>26</v>
      </c>
      <c r="C4433" s="7" t="s">
        <v>27</v>
      </c>
      <c r="D4433" s="7" t="s">
        <v>28</v>
      </c>
      <c r="E4433" s="7" t="s">
        <v>29</v>
      </c>
      <c r="F4433" s="7" t="s">
        <v>53</v>
      </c>
      <c r="G4433" s="7">
        <v>98.370159999999998</v>
      </c>
      <c r="H4433" s="7"/>
    </row>
    <row r="4434" spans="1:8" x14ac:dyDescent="0.35">
      <c r="A4434" s="7" t="s">
        <v>361</v>
      </c>
      <c r="B4434" s="7" t="s">
        <v>26</v>
      </c>
      <c r="C4434" s="7" t="s">
        <v>27</v>
      </c>
      <c r="D4434" s="7" t="s">
        <v>28</v>
      </c>
      <c r="E4434" s="7" t="s">
        <v>29</v>
      </c>
      <c r="F4434" s="7" t="s">
        <v>54</v>
      </c>
      <c r="G4434" s="7">
        <v>98.407880000000006</v>
      </c>
      <c r="H4434" s="7"/>
    </row>
    <row r="4435" spans="1:8" x14ac:dyDescent="0.35">
      <c r="A4435" s="7" t="s">
        <v>361</v>
      </c>
      <c r="B4435" s="7" t="s">
        <v>26</v>
      </c>
      <c r="C4435" s="7" t="s">
        <v>27</v>
      </c>
      <c r="D4435" s="7" t="s">
        <v>28</v>
      </c>
      <c r="E4435" s="7" t="s">
        <v>29</v>
      </c>
      <c r="F4435" s="7" t="s">
        <v>55</v>
      </c>
      <c r="G4435" s="7">
        <v>98.566999999999993</v>
      </c>
      <c r="H4435" s="7"/>
    </row>
    <row r="4436" spans="1:8" x14ac:dyDescent="0.35">
      <c r="A4436" s="7" t="s">
        <v>361</v>
      </c>
      <c r="B4436" s="7" t="s">
        <v>26</v>
      </c>
      <c r="C4436" s="7" t="s">
        <v>27</v>
      </c>
      <c r="D4436" s="7" t="s">
        <v>28</v>
      </c>
      <c r="E4436" s="7" t="s">
        <v>29</v>
      </c>
      <c r="F4436" s="7" t="s">
        <v>56</v>
      </c>
      <c r="G4436" s="7">
        <v>98.634699999999995</v>
      </c>
      <c r="H4436" s="7"/>
    </row>
    <row r="4437" spans="1:8" x14ac:dyDescent="0.35">
      <c r="A4437" s="7" t="s">
        <v>361</v>
      </c>
      <c r="B4437" s="7" t="s">
        <v>26</v>
      </c>
      <c r="C4437" s="7" t="s">
        <v>27</v>
      </c>
      <c r="D4437" s="7" t="s">
        <v>28</v>
      </c>
      <c r="E4437" s="7" t="s">
        <v>29</v>
      </c>
      <c r="F4437" s="7" t="s">
        <v>57</v>
      </c>
      <c r="G4437" s="7">
        <v>98.726900000000001</v>
      </c>
      <c r="H4437" s="7"/>
    </row>
    <row r="4438" spans="1:8" x14ac:dyDescent="0.35">
      <c r="A4438" s="7" t="s">
        <v>361</v>
      </c>
      <c r="B4438" s="7" t="s">
        <v>26</v>
      </c>
      <c r="C4438" s="7" t="s">
        <v>27</v>
      </c>
      <c r="D4438" s="7" t="s">
        <v>28</v>
      </c>
      <c r="E4438" s="7" t="s">
        <v>29</v>
      </c>
      <c r="F4438" s="7" t="s">
        <v>58</v>
      </c>
      <c r="G4438" s="7">
        <v>98.847309999999993</v>
      </c>
      <c r="H4438" s="7"/>
    </row>
    <row r="4439" spans="1:8" x14ac:dyDescent="0.35">
      <c r="A4439" s="7" t="s">
        <v>361</v>
      </c>
      <c r="B4439" s="7" t="s">
        <v>26</v>
      </c>
      <c r="C4439" s="7" t="s">
        <v>27</v>
      </c>
      <c r="D4439" s="7" t="s">
        <v>28</v>
      </c>
      <c r="E4439" s="7" t="s">
        <v>29</v>
      </c>
      <c r="F4439" s="7" t="s">
        <v>59</v>
      </c>
      <c r="G4439" s="7">
        <v>98.816559999999996</v>
      </c>
      <c r="H4439" s="7"/>
    </row>
    <row r="4440" spans="1:8" x14ac:dyDescent="0.35">
      <c r="A4440" s="7" t="s">
        <v>361</v>
      </c>
      <c r="B4440" s="7" t="s">
        <v>26</v>
      </c>
      <c r="C4440" s="7" t="s">
        <v>27</v>
      </c>
      <c r="D4440" s="7" t="s">
        <v>28</v>
      </c>
      <c r="E4440" s="7" t="s">
        <v>29</v>
      </c>
      <c r="F4440" s="7" t="s">
        <v>60</v>
      </c>
      <c r="G4440" s="7">
        <v>98.812970000000007</v>
      </c>
      <c r="H4440" s="7"/>
    </row>
    <row r="4441" spans="1:8" x14ac:dyDescent="0.35">
      <c r="A4441" s="7" t="s">
        <v>361</v>
      </c>
      <c r="B4441" s="7" t="s">
        <v>26</v>
      </c>
      <c r="C4441" s="7" t="s">
        <v>27</v>
      </c>
      <c r="D4441" s="7" t="s">
        <v>28</v>
      </c>
      <c r="E4441" s="7" t="s">
        <v>29</v>
      </c>
      <c r="F4441" s="7" t="s">
        <v>61</v>
      </c>
      <c r="G4441" s="7">
        <v>98.784840000000003</v>
      </c>
      <c r="H4441" s="7"/>
    </row>
    <row r="4442" spans="1:8" x14ac:dyDescent="0.35">
      <c r="A4442" s="7" t="s">
        <v>361</v>
      </c>
      <c r="B4442" s="7" t="s">
        <v>26</v>
      </c>
      <c r="C4442" s="7" t="s">
        <v>27</v>
      </c>
      <c r="D4442" s="7" t="s">
        <v>28</v>
      </c>
      <c r="E4442" s="7" t="s">
        <v>29</v>
      </c>
      <c r="F4442" s="7" t="s">
        <v>62</v>
      </c>
      <c r="G4442" s="7">
        <v>98.816540000000003</v>
      </c>
      <c r="H4442" s="7"/>
    </row>
    <row r="4443" spans="1:8" x14ac:dyDescent="0.35">
      <c r="A4443" s="7" t="s">
        <v>361</v>
      </c>
      <c r="B4443" s="7" t="s">
        <v>26</v>
      </c>
      <c r="C4443" s="7" t="s">
        <v>27</v>
      </c>
      <c r="D4443" s="7" t="s">
        <v>28</v>
      </c>
      <c r="E4443" s="7" t="s">
        <v>29</v>
      </c>
      <c r="F4443" s="7" t="s">
        <v>63</v>
      </c>
      <c r="G4443" s="7">
        <v>98.922039999999996</v>
      </c>
      <c r="H4443" s="7"/>
    </row>
    <row r="4444" spans="1:8" x14ac:dyDescent="0.35">
      <c r="A4444" s="7" t="s">
        <v>361</v>
      </c>
      <c r="B4444" s="7" t="s">
        <v>26</v>
      </c>
      <c r="C4444" s="7" t="s">
        <v>27</v>
      </c>
      <c r="D4444" s="7" t="s">
        <v>28</v>
      </c>
      <c r="E4444" s="7" t="s">
        <v>29</v>
      </c>
      <c r="F4444" s="7" t="s">
        <v>64</v>
      </c>
      <c r="G4444" s="7">
        <v>99.05592</v>
      </c>
      <c r="H4444" s="7"/>
    </row>
    <row r="4445" spans="1:8" x14ac:dyDescent="0.35">
      <c r="A4445" s="7" t="s">
        <v>361</v>
      </c>
      <c r="B4445" s="7" t="s">
        <v>26</v>
      </c>
      <c r="C4445" s="7" t="s">
        <v>27</v>
      </c>
      <c r="D4445" s="7" t="s">
        <v>28</v>
      </c>
      <c r="E4445" s="7" t="s">
        <v>29</v>
      </c>
      <c r="F4445" s="7" t="s">
        <v>65</v>
      </c>
      <c r="G4445" s="7">
        <v>99.167789999999997</v>
      </c>
      <c r="H4445" s="7"/>
    </row>
    <row r="4446" spans="1:8" x14ac:dyDescent="0.35">
      <c r="A4446" s="7" t="s">
        <v>361</v>
      </c>
      <c r="B4446" s="7" t="s">
        <v>26</v>
      </c>
      <c r="C4446" s="7" t="s">
        <v>27</v>
      </c>
      <c r="D4446" s="7" t="s">
        <v>28</v>
      </c>
      <c r="E4446" s="7" t="s">
        <v>29</v>
      </c>
      <c r="F4446" s="7" t="s">
        <v>66</v>
      </c>
      <c r="G4446" s="7">
        <v>99.20711</v>
      </c>
      <c r="H4446" s="7"/>
    </row>
    <row r="4447" spans="1:8" x14ac:dyDescent="0.35">
      <c r="A4447" s="7" t="s">
        <v>361</v>
      </c>
      <c r="B4447" s="7" t="s">
        <v>26</v>
      </c>
      <c r="C4447" s="7" t="s">
        <v>27</v>
      </c>
      <c r="D4447" s="7" t="s">
        <v>28</v>
      </c>
      <c r="E4447" s="7" t="s">
        <v>29</v>
      </c>
      <c r="F4447" s="7" t="s">
        <v>67</v>
      </c>
      <c r="G4447" s="7">
        <v>99.235219999999998</v>
      </c>
      <c r="H4447" s="7"/>
    </row>
    <row r="4448" spans="1:8" x14ac:dyDescent="0.35">
      <c r="A4448" s="7" t="s">
        <v>361</v>
      </c>
      <c r="B4448" s="7" t="s">
        <v>26</v>
      </c>
      <c r="C4448" s="7" t="s">
        <v>27</v>
      </c>
      <c r="D4448" s="7" t="s">
        <v>28</v>
      </c>
      <c r="E4448" s="7" t="s">
        <v>29</v>
      </c>
      <c r="F4448" s="7" t="s">
        <v>68</v>
      </c>
      <c r="G4448" s="7">
        <v>99.215450000000004</v>
      </c>
      <c r="H4448" s="7"/>
    </row>
    <row r="4449" spans="1:8" x14ac:dyDescent="0.35">
      <c r="A4449" s="7" t="s">
        <v>361</v>
      </c>
      <c r="B4449" s="7" t="s">
        <v>26</v>
      </c>
      <c r="C4449" s="7" t="s">
        <v>27</v>
      </c>
      <c r="D4449" s="7" t="s">
        <v>28</v>
      </c>
      <c r="E4449" s="7" t="s">
        <v>29</v>
      </c>
      <c r="F4449" s="7" t="s">
        <v>69</v>
      </c>
      <c r="G4449" s="7">
        <v>99.198269999999994</v>
      </c>
      <c r="H4449" s="7"/>
    </row>
    <row r="4450" spans="1:8" x14ac:dyDescent="0.35">
      <c r="A4450" s="7" t="s">
        <v>361</v>
      </c>
      <c r="B4450" s="7" t="s">
        <v>26</v>
      </c>
      <c r="C4450" s="7" t="s">
        <v>27</v>
      </c>
      <c r="D4450" s="7" t="s">
        <v>28</v>
      </c>
      <c r="E4450" s="7" t="s">
        <v>29</v>
      </c>
      <c r="F4450" s="7" t="s">
        <v>70</v>
      </c>
      <c r="G4450" s="7">
        <v>99.191699999999997</v>
      </c>
      <c r="H4450" s="7"/>
    </row>
    <row r="4451" spans="1:8" x14ac:dyDescent="0.35">
      <c r="A4451" s="7" t="s">
        <v>361</v>
      </c>
      <c r="B4451" s="7" t="s">
        <v>26</v>
      </c>
      <c r="C4451" s="7" t="s">
        <v>27</v>
      </c>
      <c r="D4451" s="7" t="s">
        <v>28</v>
      </c>
      <c r="E4451" s="7" t="s">
        <v>29</v>
      </c>
      <c r="F4451" s="7" t="s">
        <v>71</v>
      </c>
      <c r="G4451" s="7">
        <v>99.18929</v>
      </c>
      <c r="H4451" s="7"/>
    </row>
    <row r="4452" spans="1:8" x14ac:dyDescent="0.35">
      <c r="A4452" s="7" t="s">
        <v>361</v>
      </c>
      <c r="B4452" s="7" t="s">
        <v>26</v>
      </c>
      <c r="C4452" s="7" t="s">
        <v>27</v>
      </c>
      <c r="D4452" s="7" t="s">
        <v>28</v>
      </c>
      <c r="E4452" s="7" t="s">
        <v>29</v>
      </c>
      <c r="F4452" s="7" t="s">
        <v>72</v>
      </c>
      <c r="G4452" s="7">
        <v>99.229900000000001</v>
      </c>
      <c r="H4452" s="7"/>
    </row>
    <row r="4453" spans="1:8" x14ac:dyDescent="0.35">
      <c r="A4453" s="7" t="s">
        <v>361</v>
      </c>
      <c r="B4453" s="7" t="s">
        <v>26</v>
      </c>
      <c r="C4453" s="7" t="s">
        <v>27</v>
      </c>
      <c r="D4453" s="7" t="s">
        <v>28</v>
      </c>
      <c r="E4453" s="7" t="s">
        <v>29</v>
      </c>
      <c r="F4453" s="7" t="s">
        <v>73</v>
      </c>
      <c r="G4453" s="7">
        <v>99.368160000000003</v>
      </c>
      <c r="H4453" s="7"/>
    </row>
    <row r="4454" spans="1:8" x14ac:dyDescent="0.35">
      <c r="A4454" s="7" t="s">
        <v>361</v>
      </c>
      <c r="B4454" s="7" t="s">
        <v>26</v>
      </c>
      <c r="C4454" s="7" t="s">
        <v>27</v>
      </c>
      <c r="D4454" s="7" t="s">
        <v>28</v>
      </c>
      <c r="E4454" s="7" t="s">
        <v>29</v>
      </c>
      <c r="F4454" s="7" t="s">
        <v>74</v>
      </c>
      <c r="G4454" s="7">
        <v>99.537859999999995</v>
      </c>
      <c r="H4454" s="7"/>
    </row>
    <row r="4455" spans="1:8" x14ac:dyDescent="0.35">
      <c r="A4455" s="7" t="s">
        <v>361</v>
      </c>
      <c r="B4455" s="7" t="s">
        <v>26</v>
      </c>
      <c r="C4455" s="7" t="s">
        <v>27</v>
      </c>
      <c r="D4455" s="7" t="s">
        <v>28</v>
      </c>
      <c r="E4455" s="7" t="s">
        <v>29</v>
      </c>
      <c r="F4455" s="7" t="s">
        <v>75</v>
      </c>
      <c r="G4455" s="7">
        <v>99.797669999999997</v>
      </c>
      <c r="H4455" s="7"/>
    </row>
    <row r="4456" spans="1:8" x14ac:dyDescent="0.35">
      <c r="A4456" s="7" t="s">
        <v>361</v>
      </c>
      <c r="B4456" s="7" t="s">
        <v>26</v>
      </c>
      <c r="C4456" s="7" t="s">
        <v>27</v>
      </c>
      <c r="D4456" s="7" t="s">
        <v>28</v>
      </c>
      <c r="E4456" s="7" t="s">
        <v>29</v>
      </c>
      <c r="F4456" s="7" t="s">
        <v>76</v>
      </c>
      <c r="G4456" s="7">
        <v>100.1507</v>
      </c>
      <c r="H4456" s="7"/>
    </row>
    <row r="4457" spans="1:8" x14ac:dyDescent="0.35">
      <c r="A4457" s="7" t="s">
        <v>361</v>
      </c>
      <c r="B4457" s="7" t="s">
        <v>26</v>
      </c>
      <c r="C4457" s="7" t="s">
        <v>27</v>
      </c>
      <c r="D4457" s="7" t="s">
        <v>28</v>
      </c>
      <c r="E4457" s="7" t="s">
        <v>29</v>
      </c>
      <c r="F4457" s="7" t="s">
        <v>77</v>
      </c>
      <c r="G4457" s="7">
        <v>100.51949999999999</v>
      </c>
      <c r="H4457" s="7"/>
    </row>
    <row r="4458" spans="1:8" x14ac:dyDescent="0.35">
      <c r="A4458" s="7" t="s">
        <v>361</v>
      </c>
      <c r="B4458" s="7" t="s">
        <v>26</v>
      </c>
      <c r="C4458" s="7" t="s">
        <v>27</v>
      </c>
      <c r="D4458" s="7" t="s">
        <v>28</v>
      </c>
      <c r="E4458" s="7" t="s">
        <v>29</v>
      </c>
      <c r="F4458" s="7" t="s">
        <v>78</v>
      </c>
      <c r="G4458" s="7">
        <v>100.63800000000001</v>
      </c>
      <c r="H4458" s="7"/>
    </row>
    <row r="4459" spans="1:8" x14ac:dyDescent="0.35">
      <c r="A4459" s="7" t="s">
        <v>361</v>
      </c>
      <c r="B4459" s="7" t="s">
        <v>26</v>
      </c>
      <c r="C4459" s="7" t="s">
        <v>27</v>
      </c>
      <c r="D4459" s="7" t="s">
        <v>28</v>
      </c>
      <c r="E4459" s="7" t="s">
        <v>29</v>
      </c>
      <c r="F4459" s="7" t="s">
        <v>79</v>
      </c>
      <c r="G4459" s="7">
        <v>100.5575</v>
      </c>
      <c r="H4459" s="7"/>
    </row>
    <row r="4460" spans="1:8" x14ac:dyDescent="0.35">
      <c r="A4460" s="7" t="s">
        <v>361</v>
      </c>
      <c r="B4460" s="7" t="s">
        <v>26</v>
      </c>
      <c r="C4460" s="7" t="s">
        <v>27</v>
      </c>
      <c r="D4460" s="7" t="s">
        <v>28</v>
      </c>
      <c r="E4460" s="7" t="s">
        <v>29</v>
      </c>
      <c r="F4460" s="7" t="s">
        <v>80</v>
      </c>
      <c r="G4460" s="7">
        <v>100.3896</v>
      </c>
      <c r="H4460" s="7"/>
    </row>
    <row r="4461" spans="1:8" x14ac:dyDescent="0.35">
      <c r="A4461" s="7" t="s">
        <v>361</v>
      </c>
      <c r="B4461" s="7" t="s">
        <v>26</v>
      </c>
      <c r="C4461" s="7" t="s">
        <v>27</v>
      </c>
      <c r="D4461" s="7" t="s">
        <v>28</v>
      </c>
      <c r="E4461" s="7" t="s">
        <v>29</v>
      </c>
      <c r="F4461" s="7" t="s">
        <v>81</v>
      </c>
      <c r="G4461" s="7">
        <v>100.10899999999999</v>
      </c>
      <c r="H4461" s="7"/>
    </row>
    <row r="4462" spans="1:8" x14ac:dyDescent="0.35">
      <c r="A4462" s="7" t="s">
        <v>361</v>
      </c>
      <c r="B4462" s="7" t="s">
        <v>26</v>
      </c>
      <c r="C4462" s="7" t="s">
        <v>27</v>
      </c>
      <c r="D4462" s="7" t="s">
        <v>28</v>
      </c>
      <c r="E4462" s="7" t="s">
        <v>29</v>
      </c>
      <c r="F4462" s="7" t="s">
        <v>82</v>
      </c>
      <c r="G4462" s="7">
        <v>99.796679999999995</v>
      </c>
      <c r="H4462" s="7"/>
    </row>
    <row r="4463" spans="1:8" x14ac:dyDescent="0.35">
      <c r="A4463" s="7" t="s">
        <v>361</v>
      </c>
      <c r="B4463" s="7" t="s">
        <v>26</v>
      </c>
      <c r="C4463" s="7" t="s">
        <v>27</v>
      </c>
      <c r="D4463" s="7" t="s">
        <v>28</v>
      </c>
      <c r="E4463" s="7" t="s">
        <v>29</v>
      </c>
      <c r="F4463" s="7" t="s">
        <v>83</v>
      </c>
      <c r="G4463" s="7">
        <v>99.589290000000005</v>
      </c>
      <c r="H4463" s="7"/>
    </row>
    <row r="4464" spans="1:8" x14ac:dyDescent="0.35">
      <c r="A4464" s="7" t="s">
        <v>361</v>
      </c>
      <c r="B4464" s="7" t="s">
        <v>26</v>
      </c>
      <c r="C4464" s="7" t="s">
        <v>27</v>
      </c>
      <c r="D4464" s="7" t="s">
        <v>28</v>
      </c>
      <c r="E4464" s="7" t="s">
        <v>29</v>
      </c>
      <c r="F4464" s="7" t="s">
        <v>84</v>
      </c>
      <c r="G4464" s="7">
        <v>99.458569999999995</v>
      </c>
      <c r="H4464" s="7"/>
    </row>
    <row r="4465" spans="1:8" x14ac:dyDescent="0.35">
      <c r="A4465" s="7" t="s">
        <v>361</v>
      </c>
      <c r="B4465" s="7" t="s">
        <v>26</v>
      </c>
      <c r="C4465" s="7" t="s">
        <v>27</v>
      </c>
      <c r="D4465" s="7" t="s">
        <v>28</v>
      </c>
      <c r="E4465" s="7" t="s">
        <v>29</v>
      </c>
      <c r="F4465" s="7" t="s">
        <v>85</v>
      </c>
      <c r="G4465" s="7">
        <v>99.407939999999996</v>
      </c>
      <c r="H4465" s="7"/>
    </row>
    <row r="4466" spans="1:8" x14ac:dyDescent="0.35">
      <c r="A4466" s="7" t="s">
        <v>361</v>
      </c>
      <c r="B4466" s="7" t="s">
        <v>26</v>
      </c>
      <c r="C4466" s="7" t="s">
        <v>27</v>
      </c>
      <c r="D4466" s="7" t="s">
        <v>28</v>
      </c>
      <c r="E4466" s="7" t="s">
        <v>29</v>
      </c>
      <c r="F4466" s="7" t="s">
        <v>86</v>
      </c>
      <c r="G4466" s="7">
        <v>99.336609999999993</v>
      </c>
      <c r="H4466" s="7"/>
    </row>
    <row r="4467" spans="1:8" x14ac:dyDescent="0.35">
      <c r="A4467" s="7" t="s">
        <v>361</v>
      </c>
      <c r="B4467" s="7" t="s">
        <v>26</v>
      </c>
      <c r="C4467" s="7" t="s">
        <v>27</v>
      </c>
      <c r="D4467" s="7" t="s">
        <v>28</v>
      </c>
      <c r="E4467" s="7" t="s">
        <v>29</v>
      </c>
      <c r="F4467" s="7" t="s">
        <v>87</v>
      </c>
      <c r="G4467" s="7">
        <v>99.228840000000005</v>
      </c>
      <c r="H4467" s="7"/>
    </row>
    <row r="4468" spans="1:8" x14ac:dyDescent="0.35">
      <c r="A4468" s="7" t="s">
        <v>361</v>
      </c>
      <c r="B4468" s="7" t="s">
        <v>26</v>
      </c>
      <c r="C4468" s="7" t="s">
        <v>27</v>
      </c>
      <c r="D4468" s="7" t="s">
        <v>28</v>
      </c>
      <c r="E4468" s="7" t="s">
        <v>29</v>
      </c>
      <c r="F4468" s="7" t="s">
        <v>88</v>
      </c>
      <c r="G4468" s="7">
        <v>99.171989999999994</v>
      </c>
      <c r="H4468" s="7"/>
    </row>
    <row r="4469" spans="1:8" x14ac:dyDescent="0.35">
      <c r="A4469" s="7" t="s">
        <v>361</v>
      </c>
      <c r="B4469" s="7" t="s">
        <v>26</v>
      </c>
      <c r="C4469" s="7" t="s">
        <v>27</v>
      </c>
      <c r="D4469" s="7" t="s">
        <v>28</v>
      </c>
      <c r="E4469" s="7" t="s">
        <v>29</v>
      </c>
      <c r="F4469" s="7" t="s">
        <v>89</v>
      </c>
      <c r="G4469" s="7">
        <v>99.133629999999997</v>
      </c>
      <c r="H4469" s="7"/>
    </row>
    <row r="4470" spans="1:8" x14ac:dyDescent="0.35">
      <c r="A4470" s="7" t="s">
        <v>361</v>
      </c>
      <c r="B4470" s="7" t="s">
        <v>26</v>
      </c>
      <c r="C4470" s="7" t="s">
        <v>27</v>
      </c>
      <c r="D4470" s="7" t="s">
        <v>28</v>
      </c>
      <c r="E4470" s="7" t="s">
        <v>29</v>
      </c>
      <c r="F4470" s="7" t="s">
        <v>90</v>
      </c>
      <c r="G4470" s="7">
        <v>99.093069999999997</v>
      </c>
      <c r="H4470" s="7"/>
    </row>
    <row r="4471" spans="1:8" x14ac:dyDescent="0.35">
      <c r="A4471" s="7" t="s">
        <v>361</v>
      </c>
      <c r="B4471" s="7" t="s">
        <v>26</v>
      </c>
      <c r="C4471" s="7" t="s">
        <v>27</v>
      </c>
      <c r="D4471" s="7" t="s">
        <v>28</v>
      </c>
      <c r="E4471" s="7" t="s">
        <v>29</v>
      </c>
      <c r="F4471" s="7" t="s">
        <v>91</v>
      </c>
      <c r="G4471" s="7">
        <v>99.12236</v>
      </c>
      <c r="H4471" s="7"/>
    </row>
    <row r="4472" spans="1:8" x14ac:dyDescent="0.35">
      <c r="A4472" s="7" t="s">
        <v>361</v>
      </c>
      <c r="B4472" s="7" t="s">
        <v>26</v>
      </c>
      <c r="C4472" s="7" t="s">
        <v>27</v>
      </c>
      <c r="D4472" s="7" t="s">
        <v>28</v>
      </c>
      <c r="E4472" s="7" t="s">
        <v>29</v>
      </c>
      <c r="F4472" s="7" t="s">
        <v>92</v>
      </c>
      <c r="G4472" s="7">
        <v>99.320210000000003</v>
      </c>
      <c r="H4472" s="7"/>
    </row>
    <row r="4473" spans="1:8" x14ac:dyDescent="0.35">
      <c r="A4473" s="7" t="s">
        <v>361</v>
      </c>
      <c r="B4473" s="7" t="s">
        <v>26</v>
      </c>
      <c r="C4473" s="7" t="s">
        <v>27</v>
      </c>
      <c r="D4473" s="7" t="s">
        <v>28</v>
      </c>
      <c r="E4473" s="7" t="s">
        <v>29</v>
      </c>
      <c r="F4473" s="7" t="s">
        <v>93</v>
      </c>
      <c r="G4473" s="7">
        <v>99.740049999999997</v>
      </c>
      <c r="H4473" s="7"/>
    </row>
    <row r="4474" spans="1:8" x14ac:dyDescent="0.35">
      <c r="A4474" s="7" t="s">
        <v>361</v>
      </c>
      <c r="B4474" s="7" t="s">
        <v>26</v>
      </c>
      <c r="C4474" s="7" t="s">
        <v>27</v>
      </c>
      <c r="D4474" s="7" t="s">
        <v>28</v>
      </c>
      <c r="E4474" s="7" t="s">
        <v>29</v>
      </c>
      <c r="F4474" s="7" t="s">
        <v>94</v>
      </c>
      <c r="G4474" s="7">
        <v>100.2028</v>
      </c>
      <c r="H4474" s="7"/>
    </row>
    <row r="4475" spans="1:8" x14ac:dyDescent="0.35">
      <c r="A4475" s="7" t="s">
        <v>361</v>
      </c>
      <c r="B4475" s="7" t="s">
        <v>26</v>
      </c>
      <c r="C4475" s="7" t="s">
        <v>27</v>
      </c>
      <c r="D4475" s="7" t="s">
        <v>28</v>
      </c>
      <c r="E4475" s="7" t="s">
        <v>29</v>
      </c>
      <c r="F4475" s="7" t="s">
        <v>95</v>
      </c>
      <c r="G4475" s="7">
        <v>100.6557</v>
      </c>
      <c r="H4475" s="7"/>
    </row>
    <row r="4476" spans="1:8" x14ac:dyDescent="0.35">
      <c r="A4476" s="7" t="s">
        <v>361</v>
      </c>
      <c r="B4476" s="7" t="s">
        <v>26</v>
      </c>
      <c r="C4476" s="7" t="s">
        <v>27</v>
      </c>
      <c r="D4476" s="7" t="s">
        <v>28</v>
      </c>
      <c r="E4476" s="7" t="s">
        <v>29</v>
      </c>
      <c r="F4476" s="7" t="s">
        <v>96</v>
      </c>
      <c r="G4476" s="7">
        <v>101.0827</v>
      </c>
      <c r="H4476" s="7"/>
    </row>
    <row r="4477" spans="1:8" x14ac:dyDescent="0.35">
      <c r="A4477" s="7" t="s">
        <v>361</v>
      </c>
      <c r="B4477" s="7" t="s">
        <v>26</v>
      </c>
      <c r="C4477" s="7" t="s">
        <v>27</v>
      </c>
      <c r="D4477" s="7" t="s">
        <v>28</v>
      </c>
      <c r="E4477" s="7" t="s">
        <v>29</v>
      </c>
      <c r="F4477" s="7" t="s">
        <v>97</v>
      </c>
      <c r="G4477" s="7">
        <v>101.4674</v>
      </c>
      <c r="H4477" s="7"/>
    </row>
    <row r="4478" spans="1:8" x14ac:dyDescent="0.35">
      <c r="A4478" s="7" t="s">
        <v>361</v>
      </c>
      <c r="B4478" s="7" t="s">
        <v>26</v>
      </c>
      <c r="C4478" s="7" t="s">
        <v>27</v>
      </c>
      <c r="D4478" s="7" t="s">
        <v>28</v>
      </c>
      <c r="E4478" s="7" t="s">
        <v>29</v>
      </c>
      <c r="F4478" s="7" t="s">
        <v>98</v>
      </c>
      <c r="G4478" s="7">
        <v>101.7611</v>
      </c>
      <c r="H4478" s="7"/>
    </row>
    <row r="4479" spans="1:8" x14ac:dyDescent="0.35">
      <c r="A4479" s="7" t="s">
        <v>361</v>
      </c>
      <c r="B4479" s="7" t="s">
        <v>26</v>
      </c>
      <c r="C4479" s="7" t="s">
        <v>27</v>
      </c>
      <c r="D4479" s="7" t="s">
        <v>28</v>
      </c>
      <c r="E4479" s="7" t="s">
        <v>29</v>
      </c>
      <c r="F4479" s="7" t="s">
        <v>99</v>
      </c>
      <c r="G4479" s="7">
        <v>101.9134</v>
      </c>
      <c r="H4479" s="7"/>
    </row>
    <row r="4480" spans="1:8" x14ac:dyDescent="0.35">
      <c r="A4480" s="7" t="s">
        <v>361</v>
      </c>
      <c r="B4480" s="7" t="s">
        <v>26</v>
      </c>
      <c r="C4480" s="7" t="s">
        <v>27</v>
      </c>
      <c r="D4480" s="7" t="s">
        <v>28</v>
      </c>
      <c r="E4480" s="7" t="s">
        <v>29</v>
      </c>
      <c r="F4480" s="7" t="s">
        <v>100</v>
      </c>
      <c r="G4480" s="7">
        <v>101.87779999999999</v>
      </c>
      <c r="H4480" s="7"/>
    </row>
    <row r="4481" spans="1:8" x14ac:dyDescent="0.35">
      <c r="A4481" s="7" t="s">
        <v>361</v>
      </c>
      <c r="B4481" s="7" t="s">
        <v>26</v>
      </c>
      <c r="C4481" s="7" t="s">
        <v>27</v>
      </c>
      <c r="D4481" s="7" t="s">
        <v>28</v>
      </c>
      <c r="E4481" s="7" t="s">
        <v>29</v>
      </c>
      <c r="F4481" s="7" t="s">
        <v>101</v>
      </c>
      <c r="G4481" s="7">
        <v>101.7897</v>
      </c>
      <c r="H4481" s="7"/>
    </row>
    <row r="4482" spans="1:8" x14ac:dyDescent="0.35">
      <c r="A4482" s="7" t="s">
        <v>361</v>
      </c>
      <c r="B4482" s="7" t="s">
        <v>26</v>
      </c>
      <c r="C4482" s="7" t="s">
        <v>27</v>
      </c>
      <c r="D4482" s="7" t="s">
        <v>28</v>
      </c>
      <c r="E4482" s="7" t="s">
        <v>29</v>
      </c>
      <c r="F4482" s="7" t="s">
        <v>102</v>
      </c>
      <c r="G4482" s="7">
        <v>101.6926</v>
      </c>
      <c r="H4482" s="7"/>
    </row>
    <row r="4483" spans="1:8" x14ac:dyDescent="0.35">
      <c r="A4483" s="7" t="s">
        <v>361</v>
      </c>
      <c r="B4483" s="7" t="s">
        <v>26</v>
      </c>
      <c r="C4483" s="7" t="s">
        <v>27</v>
      </c>
      <c r="D4483" s="7" t="s">
        <v>28</v>
      </c>
      <c r="E4483" s="7" t="s">
        <v>29</v>
      </c>
      <c r="F4483" s="7" t="s">
        <v>103</v>
      </c>
      <c r="G4483" s="7">
        <v>101.6262</v>
      </c>
      <c r="H4483" s="7"/>
    </row>
    <row r="4484" spans="1:8" x14ac:dyDescent="0.35">
      <c r="A4484" s="7" t="s">
        <v>361</v>
      </c>
      <c r="B4484" s="7" t="s">
        <v>26</v>
      </c>
      <c r="C4484" s="7" t="s">
        <v>27</v>
      </c>
      <c r="D4484" s="7" t="s">
        <v>28</v>
      </c>
      <c r="E4484" s="7" t="s">
        <v>29</v>
      </c>
      <c r="F4484" s="7" t="s">
        <v>104</v>
      </c>
      <c r="G4484" s="7">
        <v>101.6174</v>
      </c>
      <c r="H4484" s="7"/>
    </row>
    <row r="4485" spans="1:8" x14ac:dyDescent="0.35">
      <c r="A4485" s="7" t="s">
        <v>361</v>
      </c>
      <c r="B4485" s="7" t="s">
        <v>26</v>
      </c>
      <c r="C4485" s="7" t="s">
        <v>27</v>
      </c>
      <c r="D4485" s="7" t="s">
        <v>28</v>
      </c>
      <c r="E4485" s="7" t="s">
        <v>29</v>
      </c>
      <c r="F4485" s="7" t="s">
        <v>105</v>
      </c>
      <c r="G4485" s="7">
        <v>101.67140000000001</v>
      </c>
      <c r="H4485" s="7"/>
    </row>
    <row r="4486" spans="1:8" x14ac:dyDescent="0.35">
      <c r="A4486" s="7" t="s">
        <v>361</v>
      </c>
      <c r="B4486" s="7" t="s">
        <v>26</v>
      </c>
      <c r="C4486" s="7" t="s">
        <v>27</v>
      </c>
      <c r="D4486" s="7" t="s">
        <v>28</v>
      </c>
      <c r="E4486" s="7" t="s">
        <v>29</v>
      </c>
      <c r="F4486" s="7" t="s">
        <v>106</v>
      </c>
      <c r="G4486" s="7">
        <v>101.74850000000001</v>
      </c>
      <c r="H4486" s="7"/>
    </row>
    <row r="4487" spans="1:8" x14ac:dyDescent="0.35">
      <c r="A4487" s="7" t="s">
        <v>361</v>
      </c>
      <c r="B4487" s="7" t="s">
        <v>26</v>
      </c>
      <c r="C4487" s="7" t="s">
        <v>27</v>
      </c>
      <c r="D4487" s="7" t="s">
        <v>28</v>
      </c>
      <c r="E4487" s="7" t="s">
        <v>29</v>
      </c>
      <c r="F4487" s="7" t="s">
        <v>107</v>
      </c>
      <c r="G4487" s="7">
        <v>101.8599</v>
      </c>
      <c r="H4487" s="7"/>
    </row>
    <row r="4488" spans="1:8" x14ac:dyDescent="0.35">
      <c r="A4488" s="7" t="s">
        <v>361</v>
      </c>
      <c r="B4488" s="7" t="s">
        <v>26</v>
      </c>
      <c r="C4488" s="7" t="s">
        <v>27</v>
      </c>
      <c r="D4488" s="7" t="s">
        <v>28</v>
      </c>
      <c r="E4488" s="7" t="s">
        <v>29</v>
      </c>
      <c r="F4488" s="7" t="s">
        <v>108</v>
      </c>
      <c r="G4488" s="7">
        <v>101.94759999999999</v>
      </c>
      <c r="H4488" s="7"/>
    </row>
    <row r="4489" spans="1:8" x14ac:dyDescent="0.35">
      <c r="A4489" s="7" t="s">
        <v>361</v>
      </c>
      <c r="B4489" s="7" t="s">
        <v>26</v>
      </c>
      <c r="C4489" s="7" t="s">
        <v>27</v>
      </c>
      <c r="D4489" s="7" t="s">
        <v>28</v>
      </c>
      <c r="E4489" s="7" t="s">
        <v>29</v>
      </c>
      <c r="F4489" s="7" t="s">
        <v>109</v>
      </c>
      <c r="G4489" s="7">
        <v>101.96510000000001</v>
      </c>
      <c r="H4489" s="7"/>
    </row>
    <row r="4490" spans="1:8" x14ac:dyDescent="0.35">
      <c r="A4490" s="7" t="s">
        <v>361</v>
      </c>
      <c r="B4490" s="7" t="s">
        <v>26</v>
      </c>
      <c r="C4490" s="7" t="s">
        <v>27</v>
      </c>
      <c r="D4490" s="7" t="s">
        <v>28</v>
      </c>
      <c r="E4490" s="7" t="s">
        <v>29</v>
      </c>
      <c r="F4490" s="7" t="s">
        <v>110</v>
      </c>
      <c r="G4490" s="7">
        <v>101.8856</v>
      </c>
      <c r="H4490" s="7"/>
    </row>
    <row r="4491" spans="1:8" x14ac:dyDescent="0.35">
      <c r="A4491" s="7" t="s">
        <v>361</v>
      </c>
      <c r="B4491" s="7" t="s">
        <v>26</v>
      </c>
      <c r="C4491" s="7" t="s">
        <v>27</v>
      </c>
      <c r="D4491" s="7" t="s">
        <v>28</v>
      </c>
      <c r="E4491" s="7" t="s">
        <v>29</v>
      </c>
      <c r="F4491" s="7" t="s">
        <v>111</v>
      </c>
      <c r="G4491" s="7">
        <v>101.7377</v>
      </c>
      <c r="H4491" s="7"/>
    </row>
    <row r="4492" spans="1:8" x14ac:dyDescent="0.35">
      <c r="A4492" s="7" t="s">
        <v>361</v>
      </c>
      <c r="B4492" s="7" t="s">
        <v>26</v>
      </c>
      <c r="C4492" s="7" t="s">
        <v>27</v>
      </c>
      <c r="D4492" s="7" t="s">
        <v>28</v>
      </c>
      <c r="E4492" s="7" t="s">
        <v>29</v>
      </c>
      <c r="F4492" s="7" t="s">
        <v>112</v>
      </c>
      <c r="G4492" s="7">
        <v>101.5253</v>
      </c>
      <c r="H4492" s="7"/>
    </row>
    <row r="4493" spans="1:8" x14ac:dyDescent="0.35">
      <c r="A4493" s="7" t="s">
        <v>361</v>
      </c>
      <c r="B4493" s="7" t="s">
        <v>26</v>
      </c>
      <c r="C4493" s="7" t="s">
        <v>27</v>
      </c>
      <c r="D4493" s="7" t="s">
        <v>28</v>
      </c>
      <c r="E4493" s="7" t="s">
        <v>29</v>
      </c>
      <c r="F4493" s="7" t="s">
        <v>113</v>
      </c>
      <c r="G4493" s="7">
        <v>101.31100000000001</v>
      </c>
      <c r="H4493" s="7"/>
    </row>
    <row r="4494" spans="1:8" x14ac:dyDescent="0.35">
      <c r="A4494" s="7" t="s">
        <v>361</v>
      </c>
      <c r="B4494" s="7" t="s">
        <v>26</v>
      </c>
      <c r="C4494" s="7" t="s">
        <v>27</v>
      </c>
      <c r="D4494" s="7" t="s">
        <v>28</v>
      </c>
      <c r="E4494" s="7" t="s">
        <v>29</v>
      </c>
      <c r="F4494" s="7" t="s">
        <v>114</v>
      </c>
      <c r="G4494" s="7">
        <v>101.2371</v>
      </c>
      <c r="H4494" s="7"/>
    </row>
    <row r="4495" spans="1:8" x14ac:dyDescent="0.35">
      <c r="A4495" s="7" t="s">
        <v>361</v>
      </c>
      <c r="B4495" s="7" t="s">
        <v>26</v>
      </c>
      <c r="C4495" s="7" t="s">
        <v>27</v>
      </c>
      <c r="D4495" s="7" t="s">
        <v>28</v>
      </c>
      <c r="E4495" s="7" t="s">
        <v>29</v>
      </c>
      <c r="F4495" s="7" t="s">
        <v>115</v>
      </c>
      <c r="G4495" s="7">
        <v>101.2807</v>
      </c>
      <c r="H4495" s="7"/>
    </row>
    <row r="4496" spans="1:8" x14ac:dyDescent="0.35">
      <c r="A4496" s="7" t="s">
        <v>361</v>
      </c>
      <c r="B4496" s="7" t="s">
        <v>26</v>
      </c>
      <c r="C4496" s="7" t="s">
        <v>27</v>
      </c>
      <c r="D4496" s="7" t="s">
        <v>28</v>
      </c>
      <c r="E4496" s="7" t="s">
        <v>29</v>
      </c>
      <c r="F4496" s="7" t="s">
        <v>116</v>
      </c>
      <c r="G4496" s="7">
        <v>101.4562</v>
      </c>
      <c r="H4496" s="7"/>
    </row>
    <row r="4497" spans="1:8" x14ac:dyDescent="0.35">
      <c r="A4497" s="7" t="s">
        <v>361</v>
      </c>
      <c r="B4497" s="7" t="s">
        <v>26</v>
      </c>
      <c r="C4497" s="7" t="s">
        <v>27</v>
      </c>
      <c r="D4497" s="7" t="s">
        <v>28</v>
      </c>
      <c r="E4497" s="7" t="s">
        <v>29</v>
      </c>
      <c r="F4497" s="7" t="s">
        <v>117</v>
      </c>
      <c r="G4497" s="7">
        <v>101.6431</v>
      </c>
      <c r="H4497" s="7"/>
    </row>
    <row r="4498" spans="1:8" x14ac:dyDescent="0.35">
      <c r="A4498" s="7" t="s">
        <v>361</v>
      </c>
      <c r="B4498" s="7" t="s">
        <v>26</v>
      </c>
      <c r="C4498" s="7" t="s">
        <v>27</v>
      </c>
      <c r="D4498" s="7" t="s">
        <v>28</v>
      </c>
      <c r="E4498" s="7" t="s">
        <v>29</v>
      </c>
      <c r="F4498" s="7" t="s">
        <v>118</v>
      </c>
      <c r="G4498" s="7">
        <v>101.74160000000001</v>
      </c>
      <c r="H4498" s="7"/>
    </row>
    <row r="4499" spans="1:8" x14ac:dyDescent="0.35">
      <c r="A4499" s="7" t="s">
        <v>361</v>
      </c>
      <c r="B4499" s="7" t="s">
        <v>26</v>
      </c>
      <c r="C4499" s="7" t="s">
        <v>27</v>
      </c>
      <c r="D4499" s="7" t="s">
        <v>28</v>
      </c>
      <c r="E4499" s="7" t="s">
        <v>29</v>
      </c>
      <c r="F4499" s="7" t="s">
        <v>119</v>
      </c>
      <c r="G4499" s="7">
        <v>101.80540000000001</v>
      </c>
      <c r="H4499" s="7"/>
    </row>
    <row r="4500" spans="1:8" x14ac:dyDescent="0.35">
      <c r="A4500" s="7" t="s">
        <v>361</v>
      </c>
      <c r="B4500" s="7" t="s">
        <v>26</v>
      </c>
      <c r="C4500" s="7" t="s">
        <v>27</v>
      </c>
      <c r="D4500" s="7" t="s">
        <v>28</v>
      </c>
      <c r="E4500" s="7" t="s">
        <v>29</v>
      </c>
      <c r="F4500" s="7" t="s">
        <v>120</v>
      </c>
      <c r="G4500" s="7">
        <v>101.84739999999999</v>
      </c>
      <c r="H4500" s="7"/>
    </row>
    <row r="4501" spans="1:8" x14ac:dyDescent="0.35">
      <c r="A4501" s="7" t="s">
        <v>361</v>
      </c>
      <c r="B4501" s="7" t="s">
        <v>26</v>
      </c>
      <c r="C4501" s="7" t="s">
        <v>27</v>
      </c>
      <c r="D4501" s="7" t="s">
        <v>28</v>
      </c>
      <c r="E4501" s="7" t="s">
        <v>29</v>
      </c>
      <c r="F4501" s="7" t="s">
        <v>121</v>
      </c>
      <c r="G4501" s="7">
        <v>101.8609</v>
      </c>
      <c r="H4501" s="7"/>
    </row>
    <row r="4502" spans="1:8" x14ac:dyDescent="0.35">
      <c r="A4502" s="7" t="s">
        <v>361</v>
      </c>
      <c r="B4502" s="7" t="s">
        <v>26</v>
      </c>
      <c r="C4502" s="7" t="s">
        <v>27</v>
      </c>
      <c r="D4502" s="7" t="s">
        <v>28</v>
      </c>
      <c r="E4502" s="7" t="s">
        <v>29</v>
      </c>
      <c r="F4502" s="7" t="s">
        <v>122</v>
      </c>
      <c r="G4502" s="7">
        <v>101.8313</v>
      </c>
      <c r="H4502" s="7"/>
    </row>
    <row r="4503" spans="1:8" x14ac:dyDescent="0.35">
      <c r="A4503" s="7" t="s">
        <v>361</v>
      </c>
      <c r="B4503" s="7" t="s">
        <v>26</v>
      </c>
      <c r="C4503" s="7" t="s">
        <v>27</v>
      </c>
      <c r="D4503" s="7" t="s">
        <v>28</v>
      </c>
      <c r="E4503" s="7" t="s">
        <v>29</v>
      </c>
      <c r="F4503" s="7" t="s">
        <v>123</v>
      </c>
      <c r="G4503" s="7">
        <v>101.7544</v>
      </c>
      <c r="H4503" s="7"/>
    </row>
    <row r="4504" spans="1:8" x14ac:dyDescent="0.35">
      <c r="A4504" s="7" t="s">
        <v>361</v>
      </c>
      <c r="B4504" s="7" t="s">
        <v>26</v>
      </c>
      <c r="C4504" s="7" t="s">
        <v>27</v>
      </c>
      <c r="D4504" s="7" t="s">
        <v>28</v>
      </c>
      <c r="E4504" s="7" t="s">
        <v>29</v>
      </c>
      <c r="F4504" s="7" t="s">
        <v>124</v>
      </c>
      <c r="G4504" s="7">
        <v>101.6982</v>
      </c>
      <c r="H4504" s="7"/>
    </row>
    <row r="4505" spans="1:8" x14ac:dyDescent="0.35">
      <c r="A4505" s="7" t="s">
        <v>361</v>
      </c>
      <c r="B4505" s="7" t="s">
        <v>26</v>
      </c>
      <c r="C4505" s="7" t="s">
        <v>27</v>
      </c>
      <c r="D4505" s="7" t="s">
        <v>28</v>
      </c>
      <c r="E4505" s="7" t="s">
        <v>29</v>
      </c>
      <c r="F4505" s="7" t="s">
        <v>125</v>
      </c>
      <c r="G4505" s="7">
        <v>101.7086</v>
      </c>
      <c r="H4505" s="7"/>
    </row>
    <row r="4506" spans="1:8" x14ac:dyDescent="0.35">
      <c r="A4506" s="7" t="s">
        <v>361</v>
      </c>
      <c r="B4506" s="7" t="s">
        <v>26</v>
      </c>
      <c r="C4506" s="7" t="s">
        <v>27</v>
      </c>
      <c r="D4506" s="7" t="s">
        <v>28</v>
      </c>
      <c r="E4506" s="7" t="s">
        <v>29</v>
      </c>
      <c r="F4506" s="7" t="s">
        <v>126</v>
      </c>
      <c r="G4506" s="7">
        <v>101.7063</v>
      </c>
      <c r="H4506" s="7"/>
    </row>
    <row r="4507" spans="1:8" x14ac:dyDescent="0.35">
      <c r="A4507" s="7" t="s">
        <v>361</v>
      </c>
      <c r="B4507" s="7" t="s">
        <v>26</v>
      </c>
      <c r="C4507" s="7" t="s">
        <v>27</v>
      </c>
      <c r="D4507" s="7" t="s">
        <v>28</v>
      </c>
      <c r="E4507" s="7" t="s">
        <v>29</v>
      </c>
      <c r="F4507" s="7" t="s">
        <v>127</v>
      </c>
      <c r="G4507" s="7">
        <v>101.711</v>
      </c>
      <c r="H4507" s="7"/>
    </row>
    <row r="4508" spans="1:8" x14ac:dyDescent="0.35">
      <c r="A4508" s="7" t="s">
        <v>361</v>
      </c>
      <c r="B4508" s="7" t="s">
        <v>26</v>
      </c>
      <c r="C4508" s="7" t="s">
        <v>27</v>
      </c>
      <c r="D4508" s="7" t="s">
        <v>28</v>
      </c>
      <c r="E4508" s="7" t="s">
        <v>29</v>
      </c>
      <c r="F4508" s="7" t="s">
        <v>128</v>
      </c>
      <c r="G4508" s="7">
        <v>101.7684</v>
      </c>
      <c r="H4508" s="7"/>
    </row>
    <row r="4509" spans="1:8" x14ac:dyDescent="0.35">
      <c r="A4509" s="7" t="s">
        <v>361</v>
      </c>
      <c r="B4509" s="7" t="s">
        <v>26</v>
      </c>
      <c r="C4509" s="7" t="s">
        <v>27</v>
      </c>
      <c r="D4509" s="7" t="s">
        <v>28</v>
      </c>
      <c r="E4509" s="7" t="s">
        <v>29</v>
      </c>
      <c r="F4509" s="7" t="s">
        <v>129</v>
      </c>
      <c r="G4509" s="7">
        <v>101.7861</v>
      </c>
      <c r="H4509" s="7"/>
    </row>
    <row r="4510" spans="1:8" x14ac:dyDescent="0.35">
      <c r="A4510" s="7" t="s">
        <v>361</v>
      </c>
      <c r="B4510" s="7" t="s">
        <v>26</v>
      </c>
      <c r="C4510" s="7" t="s">
        <v>27</v>
      </c>
      <c r="D4510" s="7" t="s">
        <v>28</v>
      </c>
      <c r="E4510" s="7" t="s">
        <v>29</v>
      </c>
      <c r="F4510" s="7" t="s">
        <v>130</v>
      </c>
      <c r="G4510" s="7">
        <v>101.6788</v>
      </c>
      <c r="H4510" s="7"/>
    </row>
    <row r="4511" spans="1:8" x14ac:dyDescent="0.35">
      <c r="A4511" s="7" t="s">
        <v>361</v>
      </c>
      <c r="B4511" s="7" t="s">
        <v>26</v>
      </c>
      <c r="C4511" s="7" t="s">
        <v>27</v>
      </c>
      <c r="D4511" s="7" t="s">
        <v>28</v>
      </c>
      <c r="E4511" s="7" t="s">
        <v>29</v>
      </c>
      <c r="F4511" s="7" t="s">
        <v>131</v>
      </c>
      <c r="G4511" s="7">
        <v>101.4889</v>
      </c>
      <c r="H4511" s="7"/>
    </row>
    <row r="4512" spans="1:8" x14ac:dyDescent="0.35">
      <c r="A4512" s="7" t="s">
        <v>361</v>
      </c>
      <c r="B4512" s="7" t="s">
        <v>26</v>
      </c>
      <c r="C4512" s="7" t="s">
        <v>27</v>
      </c>
      <c r="D4512" s="7" t="s">
        <v>28</v>
      </c>
      <c r="E4512" s="7" t="s">
        <v>29</v>
      </c>
      <c r="F4512" s="7" t="s">
        <v>132</v>
      </c>
      <c r="G4512" s="7">
        <v>101.41970000000001</v>
      </c>
      <c r="H4512" s="7"/>
    </row>
    <row r="4513" spans="1:8" x14ac:dyDescent="0.35">
      <c r="A4513" s="7" t="s">
        <v>361</v>
      </c>
      <c r="B4513" s="7" t="s">
        <v>26</v>
      </c>
      <c r="C4513" s="7" t="s">
        <v>27</v>
      </c>
      <c r="D4513" s="7" t="s">
        <v>28</v>
      </c>
      <c r="E4513" s="7" t="s">
        <v>29</v>
      </c>
      <c r="F4513" s="7" t="s">
        <v>133</v>
      </c>
      <c r="G4513" s="7">
        <v>101.3952</v>
      </c>
      <c r="H4513" s="7"/>
    </row>
    <row r="4514" spans="1:8" x14ac:dyDescent="0.35">
      <c r="A4514" s="7" t="s">
        <v>361</v>
      </c>
      <c r="B4514" s="7" t="s">
        <v>26</v>
      </c>
      <c r="C4514" s="7" t="s">
        <v>27</v>
      </c>
      <c r="D4514" s="7" t="s">
        <v>28</v>
      </c>
      <c r="E4514" s="7" t="s">
        <v>29</v>
      </c>
      <c r="F4514" s="7" t="s">
        <v>134</v>
      </c>
      <c r="G4514" s="7">
        <v>101.36490000000001</v>
      </c>
      <c r="H4514" s="7"/>
    </row>
    <row r="4515" spans="1:8" x14ac:dyDescent="0.35">
      <c r="A4515" s="7" t="s">
        <v>361</v>
      </c>
      <c r="B4515" s="7" t="s">
        <v>26</v>
      </c>
      <c r="C4515" s="7" t="s">
        <v>27</v>
      </c>
      <c r="D4515" s="7" t="s">
        <v>28</v>
      </c>
      <c r="E4515" s="7" t="s">
        <v>29</v>
      </c>
      <c r="F4515" s="7" t="s">
        <v>135</v>
      </c>
      <c r="G4515" s="7">
        <v>101.253</v>
      </c>
      <c r="H4515" s="7"/>
    </row>
    <row r="4516" spans="1:8" x14ac:dyDescent="0.35">
      <c r="A4516" s="7" t="s">
        <v>361</v>
      </c>
      <c r="B4516" s="7" t="s">
        <v>26</v>
      </c>
      <c r="C4516" s="7" t="s">
        <v>27</v>
      </c>
      <c r="D4516" s="7" t="s">
        <v>28</v>
      </c>
      <c r="E4516" s="7" t="s">
        <v>29</v>
      </c>
      <c r="F4516" s="7" t="s">
        <v>136</v>
      </c>
      <c r="G4516" s="7">
        <v>101.06359999999999</v>
      </c>
      <c r="H4516" s="7"/>
    </row>
    <row r="4517" spans="1:8" x14ac:dyDescent="0.35">
      <c r="A4517" s="7" t="s">
        <v>361</v>
      </c>
      <c r="B4517" s="7" t="s">
        <v>26</v>
      </c>
      <c r="C4517" s="7" t="s">
        <v>27</v>
      </c>
      <c r="D4517" s="7" t="s">
        <v>28</v>
      </c>
      <c r="E4517" s="7" t="s">
        <v>29</v>
      </c>
      <c r="F4517" s="7" t="s">
        <v>137</v>
      </c>
      <c r="G4517" s="7">
        <v>100.9074</v>
      </c>
      <c r="H4517" s="7"/>
    </row>
    <row r="4518" spans="1:8" x14ac:dyDescent="0.35">
      <c r="A4518" s="7" t="s">
        <v>361</v>
      </c>
      <c r="B4518" s="7" t="s">
        <v>26</v>
      </c>
      <c r="C4518" s="7" t="s">
        <v>27</v>
      </c>
      <c r="D4518" s="7" t="s">
        <v>28</v>
      </c>
      <c r="E4518" s="7" t="s">
        <v>29</v>
      </c>
      <c r="F4518" s="7" t="s">
        <v>138</v>
      </c>
      <c r="G4518" s="7">
        <v>100.8068</v>
      </c>
      <c r="H4518" s="7"/>
    </row>
    <row r="4519" spans="1:8" x14ac:dyDescent="0.35">
      <c r="A4519" s="7" t="s">
        <v>361</v>
      </c>
      <c r="B4519" s="7" t="s">
        <v>26</v>
      </c>
      <c r="C4519" s="7" t="s">
        <v>27</v>
      </c>
      <c r="D4519" s="7" t="s">
        <v>28</v>
      </c>
      <c r="E4519" s="7" t="s">
        <v>29</v>
      </c>
      <c r="F4519" s="7" t="s">
        <v>139</v>
      </c>
      <c r="G4519" s="7">
        <v>100.7671</v>
      </c>
      <c r="H4519" s="7"/>
    </row>
    <row r="4520" spans="1:8" x14ac:dyDescent="0.35">
      <c r="A4520" s="7" t="s">
        <v>361</v>
      </c>
      <c r="B4520" s="7" t="s">
        <v>26</v>
      </c>
      <c r="C4520" s="7" t="s">
        <v>27</v>
      </c>
      <c r="D4520" s="7" t="s">
        <v>28</v>
      </c>
      <c r="E4520" s="7" t="s">
        <v>29</v>
      </c>
      <c r="F4520" s="7" t="s">
        <v>140</v>
      </c>
      <c r="G4520" s="7">
        <v>100.7701</v>
      </c>
      <c r="H4520" s="7"/>
    </row>
    <row r="4521" spans="1:8" x14ac:dyDescent="0.35">
      <c r="A4521" s="7" t="s">
        <v>361</v>
      </c>
      <c r="B4521" s="7" t="s">
        <v>26</v>
      </c>
      <c r="C4521" s="7" t="s">
        <v>27</v>
      </c>
      <c r="D4521" s="7" t="s">
        <v>28</v>
      </c>
      <c r="E4521" s="7" t="s">
        <v>29</v>
      </c>
      <c r="F4521" s="7" t="s">
        <v>141</v>
      </c>
      <c r="G4521" s="7">
        <v>100.82470000000001</v>
      </c>
      <c r="H4521" s="7"/>
    </row>
    <row r="4522" spans="1:8" x14ac:dyDescent="0.35">
      <c r="A4522" s="7" t="s">
        <v>361</v>
      </c>
      <c r="B4522" s="7" t="s">
        <v>26</v>
      </c>
      <c r="C4522" s="7" t="s">
        <v>27</v>
      </c>
      <c r="D4522" s="7" t="s">
        <v>28</v>
      </c>
      <c r="E4522" s="7" t="s">
        <v>29</v>
      </c>
      <c r="F4522" s="7" t="s">
        <v>142</v>
      </c>
      <c r="G4522" s="7">
        <v>100.88939999999999</v>
      </c>
      <c r="H4522" s="7"/>
    </row>
    <row r="4523" spans="1:8" x14ac:dyDescent="0.35">
      <c r="A4523" s="7" t="s">
        <v>361</v>
      </c>
      <c r="B4523" s="7" t="s">
        <v>26</v>
      </c>
      <c r="C4523" s="7" t="s">
        <v>27</v>
      </c>
      <c r="D4523" s="7" t="s">
        <v>28</v>
      </c>
      <c r="E4523" s="7" t="s">
        <v>29</v>
      </c>
      <c r="F4523" s="7" t="s">
        <v>143</v>
      </c>
      <c r="G4523" s="7">
        <v>100.92400000000001</v>
      </c>
      <c r="H4523" s="7"/>
    </row>
    <row r="4524" spans="1:8" x14ac:dyDescent="0.35">
      <c r="A4524" s="7" t="s">
        <v>361</v>
      </c>
      <c r="B4524" s="7" t="s">
        <v>26</v>
      </c>
      <c r="C4524" s="7" t="s">
        <v>27</v>
      </c>
      <c r="D4524" s="7" t="s">
        <v>28</v>
      </c>
      <c r="E4524" s="7" t="s">
        <v>29</v>
      </c>
      <c r="F4524" s="7" t="s">
        <v>144</v>
      </c>
      <c r="G4524" s="7">
        <v>100.84650000000001</v>
      </c>
      <c r="H4524" s="7"/>
    </row>
    <row r="4525" spans="1:8" x14ac:dyDescent="0.35">
      <c r="A4525" s="7" t="s">
        <v>361</v>
      </c>
      <c r="B4525" s="7" t="s">
        <v>26</v>
      </c>
      <c r="C4525" s="7" t="s">
        <v>27</v>
      </c>
      <c r="D4525" s="7" t="s">
        <v>28</v>
      </c>
      <c r="E4525" s="7" t="s">
        <v>29</v>
      </c>
      <c r="F4525" s="7" t="s">
        <v>145</v>
      </c>
      <c r="G4525" s="7">
        <v>100.71169999999999</v>
      </c>
      <c r="H4525" s="7"/>
    </row>
    <row r="4526" spans="1:8" x14ac:dyDescent="0.35">
      <c r="A4526" s="7" t="s">
        <v>361</v>
      </c>
      <c r="B4526" s="7" t="s">
        <v>26</v>
      </c>
      <c r="C4526" s="7" t="s">
        <v>27</v>
      </c>
      <c r="D4526" s="7" t="s">
        <v>28</v>
      </c>
      <c r="E4526" s="7" t="s">
        <v>29</v>
      </c>
      <c r="F4526" s="7" t="s">
        <v>146</v>
      </c>
      <c r="G4526" s="7">
        <v>100.6075</v>
      </c>
      <c r="H4526" s="7"/>
    </row>
    <row r="4527" spans="1:8" x14ac:dyDescent="0.35">
      <c r="A4527" s="7" t="s">
        <v>361</v>
      </c>
      <c r="B4527" s="7" t="s">
        <v>26</v>
      </c>
      <c r="C4527" s="7" t="s">
        <v>27</v>
      </c>
      <c r="D4527" s="7" t="s">
        <v>28</v>
      </c>
      <c r="E4527" s="7" t="s">
        <v>29</v>
      </c>
      <c r="F4527" s="7" t="s">
        <v>147</v>
      </c>
      <c r="G4527" s="7">
        <v>100.5441</v>
      </c>
      <c r="H4527" s="7"/>
    </row>
    <row r="4528" spans="1:8" x14ac:dyDescent="0.35">
      <c r="A4528" s="7" t="s">
        <v>361</v>
      </c>
      <c r="B4528" s="7" t="s">
        <v>26</v>
      </c>
      <c r="C4528" s="7" t="s">
        <v>27</v>
      </c>
      <c r="D4528" s="7" t="s">
        <v>28</v>
      </c>
      <c r="E4528" s="7" t="s">
        <v>29</v>
      </c>
      <c r="F4528" s="7" t="s">
        <v>148</v>
      </c>
      <c r="G4528" s="7">
        <v>100.42010000000001</v>
      </c>
      <c r="H4528" s="7"/>
    </row>
    <row r="4529" spans="1:8" x14ac:dyDescent="0.35">
      <c r="A4529" s="7" t="s">
        <v>361</v>
      </c>
      <c r="B4529" s="7" t="s">
        <v>26</v>
      </c>
      <c r="C4529" s="7" t="s">
        <v>27</v>
      </c>
      <c r="D4529" s="7" t="s">
        <v>28</v>
      </c>
      <c r="E4529" s="7" t="s">
        <v>29</v>
      </c>
      <c r="F4529" s="7" t="s">
        <v>149</v>
      </c>
      <c r="G4529" s="7">
        <v>100.32</v>
      </c>
      <c r="H4529" s="7"/>
    </row>
    <row r="4530" spans="1:8" x14ac:dyDescent="0.35">
      <c r="A4530" s="7" t="s">
        <v>361</v>
      </c>
      <c r="B4530" s="7" t="s">
        <v>26</v>
      </c>
      <c r="C4530" s="7" t="s">
        <v>27</v>
      </c>
      <c r="D4530" s="7" t="s">
        <v>28</v>
      </c>
      <c r="E4530" s="7" t="s">
        <v>29</v>
      </c>
      <c r="F4530" s="7" t="s">
        <v>150</v>
      </c>
      <c r="G4530" s="7">
        <v>100.28619999999999</v>
      </c>
      <c r="H4530" s="7"/>
    </row>
    <row r="4531" spans="1:8" x14ac:dyDescent="0.35">
      <c r="A4531" s="7" t="s">
        <v>361</v>
      </c>
      <c r="B4531" s="7" t="s">
        <v>26</v>
      </c>
      <c r="C4531" s="7" t="s">
        <v>27</v>
      </c>
      <c r="D4531" s="7" t="s">
        <v>28</v>
      </c>
      <c r="E4531" s="7" t="s">
        <v>29</v>
      </c>
      <c r="F4531" s="7" t="s">
        <v>151</v>
      </c>
      <c r="G4531" s="7">
        <v>100.29170000000001</v>
      </c>
      <c r="H4531" s="7"/>
    </row>
    <row r="4532" spans="1:8" x14ac:dyDescent="0.35">
      <c r="A4532" s="7" t="s">
        <v>361</v>
      </c>
      <c r="B4532" s="7" t="s">
        <v>26</v>
      </c>
      <c r="C4532" s="7" t="s">
        <v>27</v>
      </c>
      <c r="D4532" s="7" t="s">
        <v>28</v>
      </c>
      <c r="E4532" s="7" t="s">
        <v>29</v>
      </c>
      <c r="F4532" s="7" t="s">
        <v>152</v>
      </c>
      <c r="G4532" s="7">
        <v>100.3051</v>
      </c>
      <c r="H4532" s="7"/>
    </row>
    <row r="4533" spans="1:8" x14ac:dyDescent="0.35">
      <c r="A4533" s="7" t="s">
        <v>361</v>
      </c>
      <c r="B4533" s="7" t="s">
        <v>26</v>
      </c>
      <c r="C4533" s="7" t="s">
        <v>27</v>
      </c>
      <c r="D4533" s="7" t="s">
        <v>28</v>
      </c>
      <c r="E4533" s="7" t="s">
        <v>29</v>
      </c>
      <c r="F4533" s="7" t="s">
        <v>153</v>
      </c>
      <c r="G4533" s="7">
        <v>100.36060000000001</v>
      </c>
      <c r="H4533" s="7"/>
    </row>
    <row r="4534" spans="1:8" x14ac:dyDescent="0.35">
      <c r="A4534" s="7" t="s">
        <v>361</v>
      </c>
      <c r="B4534" s="7" t="s">
        <v>26</v>
      </c>
      <c r="C4534" s="7" t="s">
        <v>27</v>
      </c>
      <c r="D4534" s="7" t="s">
        <v>28</v>
      </c>
      <c r="E4534" s="7" t="s">
        <v>29</v>
      </c>
      <c r="F4534" s="7" t="s">
        <v>154</v>
      </c>
      <c r="G4534" s="7">
        <v>100.41589999999999</v>
      </c>
      <c r="H4534" s="7"/>
    </row>
    <row r="4535" spans="1:8" x14ac:dyDescent="0.35">
      <c r="A4535" s="7" t="s">
        <v>361</v>
      </c>
      <c r="B4535" s="7" t="s">
        <v>26</v>
      </c>
      <c r="C4535" s="7" t="s">
        <v>27</v>
      </c>
      <c r="D4535" s="7" t="s">
        <v>28</v>
      </c>
      <c r="E4535" s="7" t="s">
        <v>29</v>
      </c>
      <c r="F4535" s="7" t="s">
        <v>155</v>
      </c>
      <c r="G4535" s="7">
        <v>100.2971</v>
      </c>
      <c r="H4535" s="7"/>
    </row>
    <row r="4536" spans="1:8" x14ac:dyDescent="0.35">
      <c r="A4536" s="7" t="s">
        <v>361</v>
      </c>
      <c r="B4536" s="7" t="s">
        <v>26</v>
      </c>
      <c r="C4536" s="7" t="s">
        <v>27</v>
      </c>
      <c r="D4536" s="7" t="s">
        <v>28</v>
      </c>
      <c r="E4536" s="7" t="s">
        <v>29</v>
      </c>
      <c r="F4536" s="7" t="s">
        <v>156</v>
      </c>
      <c r="G4536" s="7">
        <v>99.899280000000005</v>
      </c>
      <c r="H4536" s="7"/>
    </row>
    <row r="4537" spans="1:8" x14ac:dyDescent="0.35">
      <c r="A4537" s="7" t="s">
        <v>361</v>
      </c>
      <c r="B4537" s="7" t="s">
        <v>26</v>
      </c>
      <c r="C4537" s="7" t="s">
        <v>27</v>
      </c>
      <c r="D4537" s="7" t="s">
        <v>28</v>
      </c>
      <c r="E4537" s="7" t="s">
        <v>29</v>
      </c>
      <c r="F4537" s="7" t="s">
        <v>157</v>
      </c>
      <c r="G4537" s="7">
        <v>99.550409999999999</v>
      </c>
      <c r="H4537" s="7"/>
    </row>
    <row r="4538" spans="1:8" x14ac:dyDescent="0.35">
      <c r="A4538" s="7" t="s">
        <v>361</v>
      </c>
      <c r="B4538" s="7" t="s">
        <v>26</v>
      </c>
      <c r="C4538" s="7" t="s">
        <v>27</v>
      </c>
      <c r="D4538" s="7" t="s">
        <v>28</v>
      </c>
      <c r="E4538" s="7" t="s">
        <v>29</v>
      </c>
      <c r="F4538" s="7" t="s">
        <v>158</v>
      </c>
      <c r="G4538" s="7">
        <v>99.406940000000006</v>
      </c>
      <c r="H4538" s="7"/>
    </row>
    <row r="4539" spans="1:8" x14ac:dyDescent="0.35">
      <c r="A4539" s="7" t="s">
        <v>361</v>
      </c>
      <c r="B4539" s="7" t="s">
        <v>26</v>
      </c>
      <c r="C4539" s="7" t="s">
        <v>27</v>
      </c>
      <c r="D4539" s="7" t="s">
        <v>28</v>
      </c>
      <c r="E4539" s="7" t="s">
        <v>29</v>
      </c>
      <c r="F4539" s="7" t="s">
        <v>159</v>
      </c>
      <c r="G4539" s="7">
        <v>99.322640000000007</v>
      </c>
      <c r="H4539" s="7"/>
    </row>
    <row r="4540" spans="1:8" x14ac:dyDescent="0.35">
      <c r="A4540" s="7" t="s">
        <v>361</v>
      </c>
      <c r="B4540" s="7" t="s">
        <v>26</v>
      </c>
      <c r="C4540" s="7" t="s">
        <v>27</v>
      </c>
      <c r="D4540" s="7" t="s">
        <v>28</v>
      </c>
      <c r="E4540" s="7" t="s">
        <v>29</v>
      </c>
      <c r="F4540" s="7" t="s">
        <v>160</v>
      </c>
      <c r="G4540" s="7">
        <v>99.173289999999994</v>
      </c>
      <c r="H4540" s="7"/>
    </row>
    <row r="4541" spans="1:8" x14ac:dyDescent="0.35">
      <c r="A4541" s="7" t="s">
        <v>361</v>
      </c>
      <c r="B4541" s="7" t="s">
        <v>26</v>
      </c>
      <c r="C4541" s="7" t="s">
        <v>27</v>
      </c>
      <c r="D4541" s="7" t="s">
        <v>28</v>
      </c>
      <c r="E4541" s="7" t="s">
        <v>29</v>
      </c>
      <c r="F4541" s="7" t="s">
        <v>161</v>
      </c>
      <c r="G4541" s="7">
        <v>98.951759999999993</v>
      </c>
      <c r="H4541" s="7"/>
    </row>
    <row r="4542" spans="1:8" x14ac:dyDescent="0.35">
      <c r="A4542" s="7" t="s">
        <v>361</v>
      </c>
      <c r="B4542" s="7" t="s">
        <v>26</v>
      </c>
      <c r="C4542" s="7" t="s">
        <v>27</v>
      </c>
      <c r="D4542" s="7" t="s">
        <v>28</v>
      </c>
      <c r="E4542" s="7" t="s">
        <v>29</v>
      </c>
      <c r="F4542" s="7" t="s">
        <v>162</v>
      </c>
      <c r="G4542" s="7">
        <v>98.799980000000005</v>
      </c>
      <c r="H4542" s="7"/>
    </row>
    <row r="4543" spans="1:8" x14ac:dyDescent="0.35">
      <c r="A4543" s="7" t="s">
        <v>361</v>
      </c>
      <c r="B4543" s="7" t="s">
        <v>26</v>
      </c>
      <c r="C4543" s="7" t="s">
        <v>27</v>
      </c>
      <c r="D4543" s="7" t="s">
        <v>28</v>
      </c>
      <c r="E4543" s="7" t="s">
        <v>29</v>
      </c>
      <c r="F4543" s="7" t="s">
        <v>163</v>
      </c>
      <c r="G4543" s="7">
        <v>98.654560000000004</v>
      </c>
      <c r="H4543" s="7"/>
    </row>
    <row r="4544" spans="1:8" x14ac:dyDescent="0.35">
      <c r="A4544" s="7" t="s">
        <v>361</v>
      </c>
      <c r="B4544" s="7" t="s">
        <v>26</v>
      </c>
      <c r="C4544" s="7" t="s">
        <v>27</v>
      </c>
      <c r="D4544" s="7" t="s">
        <v>28</v>
      </c>
      <c r="E4544" s="7" t="s">
        <v>29</v>
      </c>
      <c r="F4544" s="7" t="s">
        <v>164</v>
      </c>
      <c r="G4544" s="7">
        <v>98.44126</v>
      </c>
      <c r="H4544" s="7"/>
    </row>
    <row r="4545" spans="1:8" x14ac:dyDescent="0.35">
      <c r="A4545" s="7" t="s">
        <v>361</v>
      </c>
      <c r="B4545" s="7" t="s">
        <v>26</v>
      </c>
      <c r="C4545" s="7" t="s">
        <v>27</v>
      </c>
      <c r="D4545" s="7" t="s">
        <v>28</v>
      </c>
      <c r="E4545" s="7" t="s">
        <v>29</v>
      </c>
      <c r="F4545" s="7" t="s">
        <v>165</v>
      </c>
      <c r="G4545" s="7">
        <v>98.220359999999999</v>
      </c>
      <c r="H4545" s="7"/>
    </row>
    <row r="4546" spans="1:8" x14ac:dyDescent="0.35">
      <c r="A4546" s="7" t="s">
        <v>361</v>
      </c>
      <c r="B4546" s="7" t="s">
        <v>26</v>
      </c>
      <c r="C4546" s="7" t="s">
        <v>27</v>
      </c>
      <c r="D4546" s="7" t="s">
        <v>28</v>
      </c>
      <c r="E4546" s="7" t="s">
        <v>29</v>
      </c>
      <c r="F4546" s="7" t="s">
        <v>166</v>
      </c>
      <c r="G4546" s="7">
        <v>98.144040000000004</v>
      </c>
      <c r="H4546" s="7"/>
    </row>
    <row r="4547" spans="1:8" x14ac:dyDescent="0.35">
      <c r="A4547" s="7" t="s">
        <v>361</v>
      </c>
      <c r="B4547" s="7" t="s">
        <v>26</v>
      </c>
      <c r="C4547" s="7" t="s">
        <v>27</v>
      </c>
      <c r="D4547" s="7" t="s">
        <v>28</v>
      </c>
      <c r="E4547" s="7" t="s">
        <v>29</v>
      </c>
      <c r="F4547" s="7" t="s">
        <v>167</v>
      </c>
      <c r="G4547" s="7">
        <v>98.261300000000006</v>
      </c>
      <c r="H4547" s="7"/>
    </row>
    <row r="4548" spans="1:8" x14ac:dyDescent="0.35">
      <c r="A4548" s="7" t="s">
        <v>361</v>
      </c>
      <c r="B4548" s="7" t="s">
        <v>26</v>
      </c>
      <c r="C4548" s="7" t="s">
        <v>27</v>
      </c>
      <c r="D4548" s="7" t="s">
        <v>28</v>
      </c>
      <c r="E4548" s="7" t="s">
        <v>29</v>
      </c>
      <c r="F4548" s="7" t="s">
        <v>168</v>
      </c>
      <c r="G4548" s="7">
        <v>98.487679999999997</v>
      </c>
      <c r="H4548" s="7"/>
    </row>
    <row r="4549" spans="1:8" x14ac:dyDescent="0.35">
      <c r="A4549" s="7" t="s">
        <v>361</v>
      </c>
      <c r="B4549" s="7" t="s">
        <v>26</v>
      </c>
      <c r="C4549" s="7" t="s">
        <v>27</v>
      </c>
      <c r="D4549" s="7" t="s">
        <v>28</v>
      </c>
      <c r="E4549" s="7" t="s">
        <v>29</v>
      </c>
      <c r="F4549" s="7" t="s">
        <v>169</v>
      </c>
      <c r="G4549" s="7">
        <v>98.722589999999997</v>
      </c>
      <c r="H4549" s="7"/>
    </row>
    <row r="4550" spans="1:8" x14ac:dyDescent="0.35">
      <c r="A4550" s="7" t="s">
        <v>361</v>
      </c>
      <c r="B4550" s="7" t="s">
        <v>26</v>
      </c>
      <c r="C4550" s="7" t="s">
        <v>27</v>
      </c>
      <c r="D4550" s="7" t="s">
        <v>28</v>
      </c>
      <c r="E4550" s="7" t="s">
        <v>29</v>
      </c>
      <c r="F4550" s="7" t="s">
        <v>170</v>
      </c>
      <c r="G4550" s="7">
        <v>98.900229999999993</v>
      </c>
      <c r="H4550" s="7"/>
    </row>
    <row r="4551" spans="1:8" x14ac:dyDescent="0.35">
      <c r="A4551" s="7" t="s">
        <v>361</v>
      </c>
      <c r="B4551" s="7" t="s">
        <v>26</v>
      </c>
      <c r="C4551" s="7" t="s">
        <v>27</v>
      </c>
      <c r="D4551" s="7" t="s">
        <v>28</v>
      </c>
      <c r="E4551" s="7" t="s">
        <v>29</v>
      </c>
      <c r="F4551" s="7" t="s">
        <v>171</v>
      </c>
      <c r="G4551" s="7">
        <v>99.042670000000001</v>
      </c>
      <c r="H4551" s="7"/>
    </row>
    <row r="4552" spans="1:8" x14ac:dyDescent="0.35">
      <c r="A4552" s="7" t="s">
        <v>361</v>
      </c>
      <c r="B4552" s="7" t="s">
        <v>26</v>
      </c>
      <c r="C4552" s="7" t="s">
        <v>27</v>
      </c>
      <c r="D4552" s="7" t="s">
        <v>28</v>
      </c>
      <c r="E4552" s="7" t="s">
        <v>29</v>
      </c>
      <c r="F4552" s="7" t="s">
        <v>172</v>
      </c>
      <c r="G4552" s="7">
        <v>99.231499999999997</v>
      </c>
      <c r="H4552" s="7"/>
    </row>
    <row r="4553" spans="1:8" x14ac:dyDescent="0.35">
      <c r="A4553" s="7" t="s">
        <v>361</v>
      </c>
      <c r="B4553" s="7" t="s">
        <v>26</v>
      </c>
      <c r="C4553" s="7" t="s">
        <v>27</v>
      </c>
      <c r="D4553" s="7" t="s">
        <v>28</v>
      </c>
      <c r="E4553" s="7" t="s">
        <v>29</v>
      </c>
      <c r="F4553" s="7" t="s">
        <v>173</v>
      </c>
      <c r="G4553" s="7">
        <v>99.422719999999998</v>
      </c>
      <c r="H4553" s="7"/>
    </row>
    <row r="4554" spans="1:8" x14ac:dyDescent="0.35">
      <c r="A4554" s="7" t="s">
        <v>361</v>
      </c>
      <c r="B4554" s="7" t="s">
        <v>26</v>
      </c>
      <c r="C4554" s="7" t="s">
        <v>27</v>
      </c>
      <c r="D4554" s="7" t="s">
        <v>28</v>
      </c>
      <c r="E4554" s="7" t="s">
        <v>29</v>
      </c>
      <c r="F4554" s="7" t="s">
        <v>174</v>
      </c>
      <c r="G4554" s="7">
        <v>99.428569999999993</v>
      </c>
      <c r="H4554" s="7"/>
    </row>
    <row r="4555" spans="1:8" x14ac:dyDescent="0.35">
      <c r="A4555" s="7" t="s">
        <v>361</v>
      </c>
      <c r="B4555" s="7" t="s">
        <v>26</v>
      </c>
      <c r="C4555" s="7" t="s">
        <v>27</v>
      </c>
      <c r="D4555" s="7" t="s">
        <v>28</v>
      </c>
      <c r="E4555" s="7" t="s">
        <v>29</v>
      </c>
      <c r="F4555" s="7" t="s">
        <v>175</v>
      </c>
      <c r="G4555" s="7">
        <v>99.376890000000003</v>
      </c>
      <c r="H4555" s="7"/>
    </row>
    <row r="4556" spans="1:8" x14ac:dyDescent="0.35">
      <c r="A4556" s="7" t="s">
        <v>361</v>
      </c>
      <c r="B4556" s="7" t="s">
        <v>26</v>
      </c>
      <c r="C4556" s="7" t="s">
        <v>27</v>
      </c>
      <c r="D4556" s="7" t="s">
        <v>28</v>
      </c>
      <c r="E4556" s="7" t="s">
        <v>29</v>
      </c>
      <c r="F4556" s="7" t="s">
        <v>176</v>
      </c>
      <c r="G4556" s="7">
        <v>99.310630000000003</v>
      </c>
      <c r="H4556" s="7"/>
    </row>
    <row r="4557" spans="1:8" x14ac:dyDescent="0.35">
      <c r="A4557" s="7" t="s">
        <v>361</v>
      </c>
      <c r="B4557" s="7" t="s">
        <v>26</v>
      </c>
      <c r="C4557" s="7" t="s">
        <v>27</v>
      </c>
      <c r="D4557" s="7" t="s">
        <v>28</v>
      </c>
      <c r="E4557" s="7" t="s">
        <v>29</v>
      </c>
      <c r="F4557" s="7" t="s">
        <v>177</v>
      </c>
      <c r="G4557" s="7">
        <v>99.26088</v>
      </c>
      <c r="H4557" s="7"/>
    </row>
    <row r="4558" spans="1:8" x14ac:dyDescent="0.35">
      <c r="A4558" s="7" t="s">
        <v>361</v>
      </c>
      <c r="B4558" s="7" t="s">
        <v>26</v>
      </c>
      <c r="C4558" s="7" t="s">
        <v>27</v>
      </c>
      <c r="D4558" s="7" t="s">
        <v>28</v>
      </c>
      <c r="E4558" s="7" t="s">
        <v>29</v>
      </c>
      <c r="F4558" s="7" t="s">
        <v>178</v>
      </c>
      <c r="G4558" s="7">
        <v>99.259799999999998</v>
      </c>
      <c r="H4558" s="7"/>
    </row>
    <row r="4559" spans="1:8" x14ac:dyDescent="0.35">
      <c r="A4559" s="7" t="s">
        <v>361</v>
      </c>
      <c r="B4559" s="7" t="s">
        <v>26</v>
      </c>
      <c r="C4559" s="7" t="s">
        <v>27</v>
      </c>
      <c r="D4559" s="7" t="s">
        <v>28</v>
      </c>
      <c r="E4559" s="7" t="s">
        <v>29</v>
      </c>
      <c r="F4559" s="7" t="s">
        <v>179</v>
      </c>
      <c r="G4559" s="7">
        <v>99.326419999999999</v>
      </c>
      <c r="H4559" s="7"/>
    </row>
    <row r="4560" spans="1:8" x14ac:dyDescent="0.35">
      <c r="A4560" s="7" t="s">
        <v>361</v>
      </c>
      <c r="B4560" s="7" t="s">
        <v>26</v>
      </c>
      <c r="C4560" s="7" t="s">
        <v>27</v>
      </c>
      <c r="D4560" s="7" t="s">
        <v>28</v>
      </c>
      <c r="E4560" s="7" t="s">
        <v>29</v>
      </c>
      <c r="F4560" s="7" t="s">
        <v>180</v>
      </c>
      <c r="G4560" s="7">
        <v>99.520970000000005</v>
      </c>
      <c r="H4560" s="7"/>
    </row>
    <row r="4561" spans="1:8" x14ac:dyDescent="0.35">
      <c r="A4561" s="7" t="s">
        <v>361</v>
      </c>
      <c r="B4561" s="7" t="s">
        <v>26</v>
      </c>
      <c r="C4561" s="7" t="s">
        <v>27</v>
      </c>
      <c r="D4561" s="7" t="s">
        <v>28</v>
      </c>
      <c r="E4561" s="7" t="s">
        <v>29</v>
      </c>
      <c r="F4561" s="7" t="s">
        <v>181</v>
      </c>
      <c r="G4561" s="7">
        <v>99.750309999999999</v>
      </c>
      <c r="H4561" s="7"/>
    </row>
    <row r="4562" spans="1:8" x14ac:dyDescent="0.35">
      <c r="A4562" s="7" t="s">
        <v>361</v>
      </c>
      <c r="B4562" s="7" t="s">
        <v>26</v>
      </c>
      <c r="C4562" s="7" t="s">
        <v>27</v>
      </c>
      <c r="D4562" s="7" t="s">
        <v>28</v>
      </c>
      <c r="E4562" s="7" t="s">
        <v>29</v>
      </c>
      <c r="F4562" s="7" t="s">
        <v>182</v>
      </c>
      <c r="G4562" s="7">
        <v>99.861369999999994</v>
      </c>
      <c r="H4562" s="7"/>
    </row>
    <row r="4563" spans="1:8" x14ac:dyDescent="0.35">
      <c r="A4563" s="7" t="s">
        <v>361</v>
      </c>
      <c r="B4563" s="7" t="s">
        <v>26</v>
      </c>
      <c r="C4563" s="7" t="s">
        <v>27</v>
      </c>
      <c r="D4563" s="7" t="s">
        <v>28</v>
      </c>
      <c r="E4563" s="7" t="s">
        <v>29</v>
      </c>
      <c r="F4563" s="7" t="s">
        <v>183</v>
      </c>
      <c r="G4563" s="7">
        <v>99.838359999999994</v>
      </c>
      <c r="H4563" s="7"/>
    </row>
    <row r="4564" spans="1:8" x14ac:dyDescent="0.35">
      <c r="A4564" s="7" t="s">
        <v>361</v>
      </c>
      <c r="B4564" s="7" t="s">
        <v>26</v>
      </c>
      <c r="C4564" s="7" t="s">
        <v>27</v>
      </c>
      <c r="D4564" s="7" t="s">
        <v>28</v>
      </c>
      <c r="E4564" s="7" t="s">
        <v>29</v>
      </c>
      <c r="F4564" s="7" t="s">
        <v>184</v>
      </c>
      <c r="G4564" s="7">
        <v>99.723749999999995</v>
      </c>
      <c r="H4564" s="7"/>
    </row>
    <row r="4565" spans="1:8" x14ac:dyDescent="0.35">
      <c r="A4565" s="7" t="s">
        <v>361</v>
      </c>
      <c r="B4565" s="7" t="s">
        <v>26</v>
      </c>
      <c r="C4565" s="7" t="s">
        <v>27</v>
      </c>
      <c r="D4565" s="7" t="s">
        <v>28</v>
      </c>
      <c r="E4565" s="7" t="s">
        <v>29</v>
      </c>
      <c r="F4565" s="7" t="s">
        <v>185</v>
      </c>
      <c r="G4565" s="7">
        <v>99.545299999999997</v>
      </c>
      <c r="H4565" s="7"/>
    </row>
    <row r="4566" spans="1:8" x14ac:dyDescent="0.35">
      <c r="A4566" s="7" t="s">
        <v>361</v>
      </c>
      <c r="B4566" s="7" t="s">
        <v>26</v>
      </c>
      <c r="C4566" s="7" t="s">
        <v>27</v>
      </c>
      <c r="D4566" s="7" t="s">
        <v>28</v>
      </c>
      <c r="E4566" s="7" t="s">
        <v>29</v>
      </c>
      <c r="F4566" s="7" t="s">
        <v>186</v>
      </c>
      <c r="G4566" s="7">
        <v>99.398610000000005</v>
      </c>
      <c r="H4566" s="7"/>
    </row>
    <row r="4567" spans="1:8" x14ac:dyDescent="0.35">
      <c r="A4567" s="7" t="s">
        <v>361</v>
      </c>
      <c r="B4567" s="7" t="s">
        <v>26</v>
      </c>
      <c r="C4567" s="7" t="s">
        <v>27</v>
      </c>
      <c r="D4567" s="7" t="s">
        <v>28</v>
      </c>
      <c r="E4567" s="7" t="s">
        <v>29</v>
      </c>
      <c r="F4567" s="7" t="s">
        <v>187</v>
      </c>
      <c r="G4567" s="7">
        <v>99.327039999999997</v>
      </c>
      <c r="H4567" s="7"/>
    </row>
    <row r="4568" spans="1:8" x14ac:dyDescent="0.35">
      <c r="A4568" s="7" t="s">
        <v>361</v>
      </c>
      <c r="B4568" s="7" t="s">
        <v>26</v>
      </c>
      <c r="C4568" s="7" t="s">
        <v>27</v>
      </c>
      <c r="D4568" s="7" t="s">
        <v>28</v>
      </c>
      <c r="E4568" s="7" t="s">
        <v>29</v>
      </c>
      <c r="F4568" s="7" t="s">
        <v>188</v>
      </c>
      <c r="G4568" s="7">
        <v>99.372370000000004</v>
      </c>
      <c r="H4568" s="7"/>
    </row>
    <row r="4569" spans="1:8" x14ac:dyDescent="0.35">
      <c r="A4569" s="7" t="s">
        <v>361</v>
      </c>
      <c r="B4569" s="7" t="s">
        <v>26</v>
      </c>
      <c r="C4569" s="7" t="s">
        <v>27</v>
      </c>
      <c r="D4569" s="7" t="s">
        <v>28</v>
      </c>
      <c r="E4569" s="7" t="s">
        <v>29</v>
      </c>
      <c r="F4569" s="7" t="s">
        <v>189</v>
      </c>
      <c r="G4569" s="7">
        <v>99.539670000000001</v>
      </c>
      <c r="H4569" s="7"/>
    </row>
    <row r="4570" spans="1:8" x14ac:dyDescent="0.35">
      <c r="A4570" s="7" t="s">
        <v>361</v>
      </c>
      <c r="B4570" s="7" t="s">
        <v>26</v>
      </c>
      <c r="C4570" s="7" t="s">
        <v>27</v>
      </c>
      <c r="D4570" s="7" t="s">
        <v>28</v>
      </c>
      <c r="E4570" s="7" t="s">
        <v>29</v>
      </c>
      <c r="F4570" s="7" t="s">
        <v>190</v>
      </c>
      <c r="G4570" s="7">
        <v>99.752039999999994</v>
      </c>
      <c r="H4570" s="7"/>
    </row>
    <row r="4571" spans="1:8" x14ac:dyDescent="0.35">
      <c r="A4571" s="7" t="s">
        <v>361</v>
      </c>
      <c r="B4571" s="7" t="s">
        <v>26</v>
      </c>
      <c r="C4571" s="7" t="s">
        <v>27</v>
      </c>
      <c r="D4571" s="7" t="s">
        <v>28</v>
      </c>
      <c r="E4571" s="7" t="s">
        <v>29</v>
      </c>
      <c r="F4571" s="7" t="s">
        <v>191</v>
      </c>
      <c r="G4571" s="7">
        <v>99.821939999999998</v>
      </c>
      <c r="H4571" s="7"/>
    </row>
    <row r="4572" spans="1:8" x14ac:dyDescent="0.35">
      <c r="A4572" s="7" t="s">
        <v>361</v>
      </c>
      <c r="B4572" s="7" t="s">
        <v>26</v>
      </c>
      <c r="C4572" s="7" t="s">
        <v>27</v>
      </c>
      <c r="D4572" s="7" t="s">
        <v>28</v>
      </c>
      <c r="E4572" s="7" t="s">
        <v>29</v>
      </c>
      <c r="F4572" s="7" t="s">
        <v>192</v>
      </c>
      <c r="G4572" s="7">
        <v>99.644080000000002</v>
      </c>
      <c r="H4572" s="7"/>
    </row>
    <row r="4573" spans="1:8" x14ac:dyDescent="0.35">
      <c r="A4573" s="7" t="s">
        <v>361</v>
      </c>
      <c r="B4573" s="7" t="s">
        <v>26</v>
      </c>
      <c r="C4573" s="7" t="s">
        <v>27</v>
      </c>
      <c r="D4573" s="7" t="s">
        <v>28</v>
      </c>
      <c r="E4573" s="7" t="s">
        <v>29</v>
      </c>
      <c r="F4573" s="7" t="s">
        <v>193</v>
      </c>
      <c r="G4573" s="7">
        <v>99.242840000000001</v>
      </c>
      <c r="H4573" s="7"/>
    </row>
    <row r="4574" spans="1:8" x14ac:dyDescent="0.35">
      <c r="A4574" s="7" t="s">
        <v>361</v>
      </c>
      <c r="B4574" s="7" t="s">
        <v>26</v>
      </c>
      <c r="C4574" s="7" t="s">
        <v>27</v>
      </c>
      <c r="D4574" s="7" t="s">
        <v>28</v>
      </c>
      <c r="E4574" s="7" t="s">
        <v>29</v>
      </c>
      <c r="F4574" s="7" t="s">
        <v>194</v>
      </c>
      <c r="G4574" s="7">
        <v>98.918180000000007</v>
      </c>
      <c r="H4574" s="7"/>
    </row>
    <row r="4575" spans="1:8" x14ac:dyDescent="0.35">
      <c r="A4575" s="7" t="s">
        <v>361</v>
      </c>
      <c r="B4575" s="7" t="s">
        <v>26</v>
      </c>
      <c r="C4575" s="7" t="s">
        <v>27</v>
      </c>
      <c r="D4575" s="7" t="s">
        <v>28</v>
      </c>
      <c r="E4575" s="7" t="s">
        <v>29</v>
      </c>
      <c r="F4575" s="7" t="s">
        <v>195</v>
      </c>
      <c r="G4575" s="7">
        <v>98.772229999999993</v>
      </c>
      <c r="H4575" s="7"/>
    </row>
    <row r="4576" spans="1:8" x14ac:dyDescent="0.35">
      <c r="A4576" s="7" t="s">
        <v>361</v>
      </c>
      <c r="B4576" s="7" t="s">
        <v>26</v>
      </c>
      <c r="C4576" s="7" t="s">
        <v>27</v>
      </c>
      <c r="D4576" s="7" t="s">
        <v>28</v>
      </c>
      <c r="E4576" s="7" t="s">
        <v>29</v>
      </c>
      <c r="F4576" s="7" t="s">
        <v>196</v>
      </c>
      <c r="G4576" s="7">
        <v>98.746110000000002</v>
      </c>
      <c r="H4576" s="7"/>
    </row>
    <row r="4577" spans="1:8" x14ac:dyDescent="0.35">
      <c r="A4577" s="7" t="s">
        <v>361</v>
      </c>
      <c r="B4577" s="7" t="s">
        <v>26</v>
      </c>
      <c r="C4577" s="7" t="s">
        <v>27</v>
      </c>
      <c r="D4577" s="7" t="s">
        <v>28</v>
      </c>
      <c r="E4577" s="7" t="s">
        <v>29</v>
      </c>
      <c r="F4577" s="7" t="s">
        <v>197</v>
      </c>
      <c r="G4577" s="7">
        <v>98.755099999999999</v>
      </c>
      <c r="H4577" s="7"/>
    </row>
    <row r="4578" spans="1:8" x14ac:dyDescent="0.35">
      <c r="A4578" s="7" t="s">
        <v>361</v>
      </c>
      <c r="B4578" s="7" t="s">
        <v>26</v>
      </c>
      <c r="C4578" s="7" t="s">
        <v>27</v>
      </c>
      <c r="D4578" s="7" t="s">
        <v>28</v>
      </c>
      <c r="E4578" s="7" t="s">
        <v>29</v>
      </c>
      <c r="F4578" s="7" t="s">
        <v>198</v>
      </c>
      <c r="G4578" s="7">
        <v>98.768190000000004</v>
      </c>
      <c r="H4578" s="7"/>
    </row>
    <row r="4579" spans="1:8" x14ac:dyDescent="0.35">
      <c r="A4579" s="7" t="s">
        <v>361</v>
      </c>
      <c r="B4579" s="7" t="s">
        <v>26</v>
      </c>
      <c r="C4579" s="7" t="s">
        <v>27</v>
      </c>
      <c r="D4579" s="7" t="s">
        <v>28</v>
      </c>
      <c r="E4579" s="7" t="s">
        <v>29</v>
      </c>
      <c r="F4579" s="7" t="s">
        <v>199</v>
      </c>
      <c r="G4579" s="7">
        <v>98.788359999999997</v>
      </c>
      <c r="H4579" s="7"/>
    </row>
    <row r="4580" spans="1:8" x14ac:dyDescent="0.35">
      <c r="A4580" s="7" t="s">
        <v>361</v>
      </c>
      <c r="B4580" s="7" t="s">
        <v>26</v>
      </c>
      <c r="C4580" s="7" t="s">
        <v>27</v>
      </c>
      <c r="D4580" s="7" t="s">
        <v>28</v>
      </c>
      <c r="E4580" s="7" t="s">
        <v>29</v>
      </c>
      <c r="F4580" s="7" t="s">
        <v>200</v>
      </c>
      <c r="G4580" s="7">
        <v>98.860860000000002</v>
      </c>
      <c r="H4580" s="7"/>
    </row>
    <row r="4581" spans="1:8" x14ac:dyDescent="0.35">
      <c r="A4581" s="7" t="s">
        <v>361</v>
      </c>
      <c r="B4581" s="7" t="s">
        <v>26</v>
      </c>
      <c r="C4581" s="7" t="s">
        <v>27</v>
      </c>
      <c r="D4581" s="7" t="s">
        <v>28</v>
      </c>
      <c r="E4581" s="7" t="s">
        <v>29</v>
      </c>
      <c r="F4581" s="7" t="s">
        <v>201</v>
      </c>
      <c r="G4581" s="7">
        <v>99.010310000000004</v>
      </c>
      <c r="H4581" s="7"/>
    </row>
    <row r="4582" spans="1:8" x14ac:dyDescent="0.35">
      <c r="A4582" s="7" t="s">
        <v>361</v>
      </c>
      <c r="B4582" s="7" t="s">
        <v>26</v>
      </c>
      <c r="C4582" s="7" t="s">
        <v>27</v>
      </c>
      <c r="D4582" s="7" t="s">
        <v>28</v>
      </c>
      <c r="E4582" s="7" t="s">
        <v>29</v>
      </c>
      <c r="F4582" s="7" t="s">
        <v>202</v>
      </c>
      <c r="G4582" s="7">
        <v>99.147000000000006</v>
      </c>
      <c r="H4582" s="7"/>
    </row>
    <row r="4583" spans="1:8" x14ac:dyDescent="0.35">
      <c r="A4583" s="7" t="s">
        <v>361</v>
      </c>
      <c r="B4583" s="7" t="s">
        <v>26</v>
      </c>
      <c r="C4583" s="7" t="s">
        <v>27</v>
      </c>
      <c r="D4583" s="7" t="s">
        <v>28</v>
      </c>
      <c r="E4583" s="7" t="s">
        <v>29</v>
      </c>
      <c r="F4583" s="7" t="s">
        <v>203</v>
      </c>
      <c r="G4583" s="7">
        <v>99.194590000000005</v>
      </c>
      <c r="H4583" s="7"/>
    </row>
    <row r="4584" spans="1:8" x14ac:dyDescent="0.35">
      <c r="A4584" s="7" t="s">
        <v>361</v>
      </c>
      <c r="B4584" s="7" t="s">
        <v>26</v>
      </c>
      <c r="C4584" s="7" t="s">
        <v>27</v>
      </c>
      <c r="D4584" s="7" t="s">
        <v>28</v>
      </c>
      <c r="E4584" s="7" t="s">
        <v>29</v>
      </c>
      <c r="F4584" s="7" t="s">
        <v>204</v>
      </c>
      <c r="G4584" s="7">
        <v>99.273439999999994</v>
      </c>
      <c r="H4584" s="7"/>
    </row>
    <row r="4585" spans="1:8" x14ac:dyDescent="0.35">
      <c r="A4585" s="7" t="s">
        <v>361</v>
      </c>
      <c r="B4585" s="7" t="s">
        <v>26</v>
      </c>
      <c r="C4585" s="7" t="s">
        <v>27</v>
      </c>
      <c r="D4585" s="7" t="s">
        <v>28</v>
      </c>
      <c r="E4585" s="7" t="s">
        <v>29</v>
      </c>
      <c r="F4585" s="7" t="s">
        <v>205</v>
      </c>
      <c r="G4585" s="7">
        <v>99.418400000000005</v>
      </c>
      <c r="H4585" s="7"/>
    </row>
    <row r="4586" spans="1:8" x14ac:dyDescent="0.35">
      <c r="A4586" s="7" t="s">
        <v>361</v>
      </c>
      <c r="B4586" s="7" t="s">
        <v>26</v>
      </c>
      <c r="C4586" s="7" t="s">
        <v>27</v>
      </c>
      <c r="D4586" s="7" t="s">
        <v>28</v>
      </c>
      <c r="E4586" s="7" t="s">
        <v>29</v>
      </c>
      <c r="F4586" s="7" t="s">
        <v>206</v>
      </c>
      <c r="G4586" s="7">
        <v>99.585250000000002</v>
      </c>
      <c r="H4586" s="7"/>
    </row>
    <row r="4587" spans="1:8" x14ac:dyDescent="0.35">
      <c r="A4587" s="7" t="s">
        <v>361</v>
      </c>
      <c r="B4587" s="7" t="s">
        <v>26</v>
      </c>
      <c r="C4587" s="7" t="s">
        <v>27</v>
      </c>
      <c r="D4587" s="7" t="s">
        <v>28</v>
      </c>
      <c r="E4587" s="7" t="s">
        <v>29</v>
      </c>
      <c r="F4587" s="7" t="s">
        <v>207</v>
      </c>
      <c r="G4587" s="7">
        <v>99.772419999999997</v>
      </c>
      <c r="H4587" s="7"/>
    </row>
    <row r="4588" spans="1:8" x14ac:dyDescent="0.35">
      <c r="A4588" s="7" t="s">
        <v>361</v>
      </c>
      <c r="B4588" s="7" t="s">
        <v>26</v>
      </c>
      <c r="C4588" s="7" t="s">
        <v>27</v>
      </c>
      <c r="D4588" s="7" t="s">
        <v>28</v>
      </c>
      <c r="E4588" s="7" t="s">
        <v>29</v>
      </c>
      <c r="F4588" s="7" t="s">
        <v>208</v>
      </c>
      <c r="G4588" s="7">
        <v>99.886060000000001</v>
      </c>
      <c r="H4588" s="7"/>
    </row>
    <row r="4589" spans="1:8" x14ac:dyDescent="0.35">
      <c r="A4589" s="7" t="s">
        <v>361</v>
      </c>
      <c r="B4589" s="7" t="s">
        <v>26</v>
      </c>
      <c r="C4589" s="7" t="s">
        <v>27</v>
      </c>
      <c r="D4589" s="7" t="s">
        <v>28</v>
      </c>
      <c r="E4589" s="7" t="s">
        <v>29</v>
      </c>
      <c r="F4589" s="7" t="s">
        <v>209</v>
      </c>
      <c r="G4589" s="7">
        <v>99.883579999999995</v>
      </c>
      <c r="H4589" s="7"/>
    </row>
    <row r="4590" spans="1:8" x14ac:dyDescent="0.35">
      <c r="A4590" s="7" t="s">
        <v>361</v>
      </c>
      <c r="B4590" s="7" t="s">
        <v>26</v>
      </c>
      <c r="C4590" s="7" t="s">
        <v>27</v>
      </c>
      <c r="D4590" s="7" t="s">
        <v>28</v>
      </c>
      <c r="E4590" s="7" t="s">
        <v>29</v>
      </c>
      <c r="F4590" s="7" t="s">
        <v>210</v>
      </c>
      <c r="G4590" s="7">
        <v>99.883930000000007</v>
      </c>
      <c r="H4590" s="7"/>
    </row>
    <row r="4591" spans="1:8" x14ac:dyDescent="0.35">
      <c r="A4591" s="7" t="s">
        <v>361</v>
      </c>
      <c r="B4591" s="7" t="s">
        <v>26</v>
      </c>
      <c r="C4591" s="7" t="s">
        <v>27</v>
      </c>
      <c r="D4591" s="7" t="s">
        <v>28</v>
      </c>
      <c r="E4591" s="7" t="s">
        <v>29</v>
      </c>
      <c r="F4591" s="7" t="s">
        <v>211</v>
      </c>
      <c r="G4591" s="7">
        <v>99.892740000000003</v>
      </c>
      <c r="H4591" s="7"/>
    </row>
    <row r="4592" spans="1:8" x14ac:dyDescent="0.35">
      <c r="A4592" s="7" t="s">
        <v>361</v>
      </c>
      <c r="B4592" s="7" t="s">
        <v>26</v>
      </c>
      <c r="C4592" s="7" t="s">
        <v>27</v>
      </c>
      <c r="D4592" s="7" t="s">
        <v>28</v>
      </c>
      <c r="E4592" s="7" t="s">
        <v>29</v>
      </c>
      <c r="F4592" s="7" t="s">
        <v>212</v>
      </c>
      <c r="G4592" s="7">
        <v>99.802080000000004</v>
      </c>
      <c r="H4592" s="7"/>
    </row>
    <row r="4593" spans="1:8" x14ac:dyDescent="0.35">
      <c r="A4593" s="7" t="s">
        <v>361</v>
      </c>
      <c r="B4593" s="7" t="s">
        <v>26</v>
      </c>
      <c r="C4593" s="7" t="s">
        <v>27</v>
      </c>
      <c r="D4593" s="7" t="s">
        <v>28</v>
      </c>
      <c r="E4593" s="7" t="s">
        <v>29</v>
      </c>
      <c r="F4593" s="7" t="s">
        <v>213</v>
      </c>
      <c r="G4593" s="7">
        <v>99.680160000000001</v>
      </c>
      <c r="H4593" s="7"/>
    </row>
    <row r="4594" spans="1:8" x14ac:dyDescent="0.35">
      <c r="A4594" s="7" t="s">
        <v>361</v>
      </c>
      <c r="B4594" s="7" t="s">
        <v>26</v>
      </c>
      <c r="C4594" s="7" t="s">
        <v>27</v>
      </c>
      <c r="D4594" s="7" t="s">
        <v>28</v>
      </c>
      <c r="E4594" s="7" t="s">
        <v>29</v>
      </c>
      <c r="F4594" s="7" t="s">
        <v>214</v>
      </c>
      <c r="G4594" s="7">
        <v>99.595470000000006</v>
      </c>
      <c r="H4594" s="7"/>
    </row>
    <row r="4595" spans="1:8" x14ac:dyDescent="0.35">
      <c r="A4595" s="7" t="s">
        <v>361</v>
      </c>
      <c r="B4595" s="7" t="s">
        <v>26</v>
      </c>
      <c r="C4595" s="7" t="s">
        <v>27</v>
      </c>
      <c r="D4595" s="7" t="s">
        <v>28</v>
      </c>
      <c r="E4595" s="7" t="s">
        <v>29</v>
      </c>
      <c r="F4595" s="7" t="s">
        <v>215</v>
      </c>
      <c r="G4595" s="7">
        <v>99.63194</v>
      </c>
      <c r="H4595" s="7"/>
    </row>
    <row r="4596" spans="1:8" x14ac:dyDescent="0.35">
      <c r="A4596" s="7" t="s">
        <v>361</v>
      </c>
      <c r="B4596" s="7" t="s">
        <v>26</v>
      </c>
      <c r="C4596" s="7" t="s">
        <v>27</v>
      </c>
      <c r="D4596" s="7" t="s">
        <v>28</v>
      </c>
      <c r="E4596" s="7" t="s">
        <v>29</v>
      </c>
      <c r="F4596" s="7" t="s">
        <v>216</v>
      </c>
      <c r="G4596" s="7">
        <v>99.707080000000005</v>
      </c>
      <c r="H4596" s="7"/>
    </row>
    <row r="4597" spans="1:8" x14ac:dyDescent="0.35">
      <c r="A4597" s="7" t="s">
        <v>361</v>
      </c>
      <c r="B4597" s="7" t="s">
        <v>26</v>
      </c>
      <c r="C4597" s="7" t="s">
        <v>27</v>
      </c>
      <c r="D4597" s="7" t="s">
        <v>28</v>
      </c>
      <c r="E4597" s="7" t="s">
        <v>29</v>
      </c>
      <c r="F4597" s="7" t="s">
        <v>217</v>
      </c>
      <c r="G4597" s="7">
        <v>99.706119999999999</v>
      </c>
      <c r="H4597" s="7"/>
    </row>
    <row r="4598" spans="1:8" x14ac:dyDescent="0.35">
      <c r="A4598" s="7" t="s">
        <v>361</v>
      </c>
      <c r="B4598" s="7" t="s">
        <v>26</v>
      </c>
      <c r="C4598" s="7" t="s">
        <v>27</v>
      </c>
      <c r="D4598" s="7" t="s">
        <v>28</v>
      </c>
      <c r="E4598" s="7" t="s">
        <v>29</v>
      </c>
      <c r="F4598" s="7" t="s">
        <v>218</v>
      </c>
      <c r="G4598" s="7">
        <v>99.641490000000005</v>
      </c>
      <c r="H4598" s="7"/>
    </row>
    <row r="4599" spans="1:8" x14ac:dyDescent="0.35">
      <c r="A4599" s="7" t="s">
        <v>361</v>
      </c>
      <c r="B4599" s="7" t="s">
        <v>26</v>
      </c>
      <c r="C4599" s="7" t="s">
        <v>27</v>
      </c>
      <c r="D4599" s="7" t="s">
        <v>28</v>
      </c>
      <c r="E4599" s="7" t="s">
        <v>29</v>
      </c>
      <c r="F4599" s="7" t="s">
        <v>219</v>
      </c>
      <c r="G4599" s="7">
        <v>99.504549999999995</v>
      </c>
      <c r="H4599" s="7"/>
    </row>
    <row r="4600" spans="1:8" x14ac:dyDescent="0.35">
      <c r="A4600" s="7" t="s">
        <v>361</v>
      </c>
      <c r="B4600" s="7" t="s">
        <v>26</v>
      </c>
      <c r="C4600" s="7" t="s">
        <v>27</v>
      </c>
      <c r="D4600" s="7" t="s">
        <v>28</v>
      </c>
      <c r="E4600" s="7" t="s">
        <v>29</v>
      </c>
      <c r="F4600" s="7" t="s">
        <v>220</v>
      </c>
      <c r="G4600" s="7">
        <v>99.340739999999997</v>
      </c>
      <c r="H4600" s="7"/>
    </row>
    <row r="4601" spans="1:8" x14ac:dyDescent="0.35">
      <c r="A4601" s="7" t="s">
        <v>361</v>
      </c>
      <c r="B4601" s="7" t="s">
        <v>26</v>
      </c>
      <c r="C4601" s="7" t="s">
        <v>27</v>
      </c>
      <c r="D4601" s="7" t="s">
        <v>28</v>
      </c>
      <c r="E4601" s="7" t="s">
        <v>29</v>
      </c>
      <c r="F4601" s="7" t="s">
        <v>221</v>
      </c>
      <c r="G4601" s="7">
        <v>99.194689999999994</v>
      </c>
      <c r="H4601" s="7"/>
    </row>
    <row r="4602" spans="1:8" x14ac:dyDescent="0.35">
      <c r="A4602" s="7" t="s">
        <v>361</v>
      </c>
      <c r="B4602" s="7" t="s">
        <v>26</v>
      </c>
      <c r="C4602" s="7" t="s">
        <v>27</v>
      </c>
      <c r="D4602" s="7" t="s">
        <v>28</v>
      </c>
      <c r="E4602" s="7" t="s">
        <v>29</v>
      </c>
      <c r="F4602" s="7" t="s">
        <v>222</v>
      </c>
      <c r="G4602" s="7">
        <v>99.049980000000005</v>
      </c>
      <c r="H4602" s="7"/>
    </row>
    <row r="4603" spans="1:8" x14ac:dyDescent="0.35">
      <c r="A4603" s="7" t="s">
        <v>361</v>
      </c>
      <c r="B4603" s="7" t="s">
        <v>26</v>
      </c>
      <c r="C4603" s="7" t="s">
        <v>27</v>
      </c>
      <c r="D4603" s="7" t="s">
        <v>28</v>
      </c>
      <c r="E4603" s="7" t="s">
        <v>29</v>
      </c>
      <c r="F4603" s="7" t="s">
        <v>223</v>
      </c>
      <c r="G4603" s="7">
        <v>98.868530000000007</v>
      </c>
      <c r="H4603" s="7"/>
    </row>
    <row r="4604" spans="1:8" x14ac:dyDescent="0.35">
      <c r="A4604" s="7" t="s">
        <v>361</v>
      </c>
      <c r="B4604" s="7" t="s">
        <v>26</v>
      </c>
      <c r="C4604" s="7" t="s">
        <v>27</v>
      </c>
      <c r="D4604" s="7" t="s">
        <v>28</v>
      </c>
      <c r="E4604" s="7" t="s">
        <v>29</v>
      </c>
      <c r="F4604" s="7" t="s">
        <v>224</v>
      </c>
      <c r="G4604" s="7">
        <v>98.714029999999994</v>
      </c>
      <c r="H4604" s="7"/>
    </row>
    <row r="4605" spans="1:8" x14ac:dyDescent="0.35">
      <c r="A4605" s="7" t="s">
        <v>361</v>
      </c>
      <c r="B4605" s="7" t="s">
        <v>26</v>
      </c>
      <c r="C4605" s="7" t="s">
        <v>27</v>
      </c>
      <c r="D4605" s="7" t="s">
        <v>28</v>
      </c>
      <c r="E4605" s="7" t="s">
        <v>29</v>
      </c>
      <c r="F4605" s="7" t="s">
        <v>225</v>
      </c>
      <c r="G4605" s="7">
        <v>98.656040000000004</v>
      </c>
      <c r="H4605" s="7"/>
    </row>
    <row r="4606" spans="1:8" x14ac:dyDescent="0.35">
      <c r="A4606" s="7" t="s">
        <v>361</v>
      </c>
      <c r="B4606" s="7" t="s">
        <v>26</v>
      </c>
      <c r="C4606" s="7" t="s">
        <v>27</v>
      </c>
      <c r="D4606" s="7" t="s">
        <v>28</v>
      </c>
      <c r="E4606" s="7" t="s">
        <v>29</v>
      </c>
      <c r="F4606" s="7" t="s">
        <v>226</v>
      </c>
      <c r="G4606" s="7">
        <v>98.647270000000006</v>
      </c>
      <c r="H4606" s="7"/>
    </row>
    <row r="4607" spans="1:8" x14ac:dyDescent="0.35">
      <c r="A4607" s="7" t="s">
        <v>361</v>
      </c>
      <c r="B4607" s="7" t="s">
        <v>26</v>
      </c>
      <c r="C4607" s="7" t="s">
        <v>27</v>
      </c>
      <c r="D4607" s="7" t="s">
        <v>28</v>
      </c>
      <c r="E4607" s="7" t="s">
        <v>29</v>
      </c>
      <c r="F4607" s="7" t="s">
        <v>227</v>
      </c>
      <c r="G4607" s="7">
        <v>98.666820000000001</v>
      </c>
      <c r="H4607" s="7"/>
    </row>
    <row r="4608" spans="1:8" x14ac:dyDescent="0.35">
      <c r="A4608" s="7" t="s">
        <v>361</v>
      </c>
      <c r="B4608" s="7" t="s">
        <v>26</v>
      </c>
      <c r="C4608" s="7" t="s">
        <v>27</v>
      </c>
      <c r="D4608" s="7" t="s">
        <v>28</v>
      </c>
      <c r="E4608" s="7" t="s">
        <v>29</v>
      </c>
      <c r="F4608" s="7" t="s">
        <v>228</v>
      </c>
      <c r="G4608" s="7">
        <v>98.654319999999998</v>
      </c>
      <c r="H4608" s="7"/>
    </row>
    <row r="4609" spans="1:8" x14ac:dyDescent="0.35">
      <c r="A4609" s="7" t="s">
        <v>361</v>
      </c>
      <c r="B4609" s="7" t="s">
        <v>26</v>
      </c>
      <c r="C4609" s="7" t="s">
        <v>27</v>
      </c>
      <c r="D4609" s="7" t="s">
        <v>28</v>
      </c>
      <c r="E4609" s="7" t="s">
        <v>29</v>
      </c>
      <c r="F4609" s="7" t="s">
        <v>229</v>
      </c>
      <c r="G4609" s="7">
        <v>98.565029999999993</v>
      </c>
      <c r="H4609" s="7"/>
    </row>
    <row r="4610" spans="1:8" x14ac:dyDescent="0.35">
      <c r="A4610" s="7" t="s">
        <v>361</v>
      </c>
      <c r="B4610" s="7" t="s">
        <v>26</v>
      </c>
      <c r="C4610" s="7" t="s">
        <v>27</v>
      </c>
      <c r="D4610" s="7" t="s">
        <v>28</v>
      </c>
      <c r="E4610" s="7" t="s">
        <v>29</v>
      </c>
      <c r="F4610" s="7" t="s">
        <v>230</v>
      </c>
      <c r="G4610" s="7">
        <v>98.627669999999995</v>
      </c>
      <c r="H4610" s="7"/>
    </row>
    <row r="4611" spans="1:8" x14ac:dyDescent="0.35">
      <c r="A4611" s="7" t="s">
        <v>361</v>
      </c>
      <c r="B4611" s="7" t="s">
        <v>26</v>
      </c>
      <c r="C4611" s="7" t="s">
        <v>27</v>
      </c>
      <c r="D4611" s="7" t="s">
        <v>28</v>
      </c>
      <c r="E4611" s="7" t="s">
        <v>29</v>
      </c>
      <c r="F4611" s="7" t="s">
        <v>231</v>
      </c>
      <c r="G4611" s="7">
        <v>98.86842</v>
      </c>
      <c r="H4611" s="7"/>
    </row>
    <row r="4612" spans="1:8" x14ac:dyDescent="0.35">
      <c r="A4612" s="7" t="s">
        <v>361</v>
      </c>
      <c r="B4612" s="7" t="s">
        <v>26</v>
      </c>
      <c r="C4612" s="7" t="s">
        <v>27</v>
      </c>
      <c r="D4612" s="7" t="s">
        <v>28</v>
      </c>
      <c r="E4612" s="7" t="s">
        <v>29</v>
      </c>
      <c r="F4612" s="7" t="s">
        <v>232</v>
      </c>
      <c r="G4612" s="7">
        <v>98.962940000000003</v>
      </c>
      <c r="H4612" s="7"/>
    </row>
    <row r="4613" spans="1:8" x14ac:dyDescent="0.35">
      <c r="A4613" s="7" t="s">
        <v>361</v>
      </c>
      <c r="B4613" s="7" t="s">
        <v>26</v>
      </c>
      <c r="C4613" s="7" t="s">
        <v>27</v>
      </c>
      <c r="D4613" s="7" t="s">
        <v>28</v>
      </c>
      <c r="E4613" s="7" t="s">
        <v>29</v>
      </c>
      <c r="F4613" s="7" t="s">
        <v>233</v>
      </c>
      <c r="G4613" s="7">
        <v>98.720939999999999</v>
      </c>
      <c r="H4613" s="7"/>
    </row>
    <row r="4614" spans="1:8" x14ac:dyDescent="0.35">
      <c r="A4614" s="7" t="s">
        <v>361</v>
      </c>
      <c r="B4614" s="7" t="s">
        <v>26</v>
      </c>
      <c r="C4614" s="7" t="s">
        <v>27</v>
      </c>
      <c r="D4614" s="7" t="s">
        <v>28</v>
      </c>
      <c r="E4614" s="7" t="s">
        <v>29</v>
      </c>
      <c r="F4614" s="7" t="s">
        <v>234</v>
      </c>
      <c r="G4614" s="7">
        <v>98.375500000000002</v>
      </c>
      <c r="H4614" s="7"/>
    </row>
    <row r="4615" spans="1:8" x14ac:dyDescent="0.35">
      <c r="A4615" s="7" t="s">
        <v>361</v>
      </c>
      <c r="B4615" s="7" t="s">
        <v>26</v>
      </c>
      <c r="C4615" s="7" t="s">
        <v>27</v>
      </c>
      <c r="D4615" s="7" t="s">
        <v>28</v>
      </c>
      <c r="E4615" s="7" t="s">
        <v>29</v>
      </c>
      <c r="F4615" s="7" t="s">
        <v>235</v>
      </c>
      <c r="G4615" s="7">
        <v>97.993279999999999</v>
      </c>
      <c r="H4615" s="7"/>
    </row>
    <row r="4616" spans="1:8" x14ac:dyDescent="0.35">
      <c r="A4616" s="7" t="s">
        <v>361</v>
      </c>
      <c r="B4616" s="7" t="s">
        <v>26</v>
      </c>
      <c r="C4616" s="7" t="s">
        <v>27</v>
      </c>
      <c r="D4616" s="7" t="s">
        <v>28</v>
      </c>
      <c r="E4616" s="7" t="s">
        <v>29</v>
      </c>
      <c r="F4616" s="7" t="s">
        <v>236</v>
      </c>
      <c r="G4616" s="7">
        <v>97.659899999999993</v>
      </c>
      <c r="H4616" s="7"/>
    </row>
    <row r="4617" spans="1:8" x14ac:dyDescent="0.35">
      <c r="A4617" s="7" t="s">
        <v>361</v>
      </c>
      <c r="B4617" s="7" t="s">
        <v>26</v>
      </c>
      <c r="C4617" s="7" t="s">
        <v>27</v>
      </c>
      <c r="D4617" s="7" t="s">
        <v>28</v>
      </c>
      <c r="E4617" s="7" t="s">
        <v>29</v>
      </c>
      <c r="F4617" s="7" t="s">
        <v>237</v>
      </c>
      <c r="G4617" s="7">
        <v>97.45693</v>
      </c>
      <c r="H4617" s="7"/>
    </row>
    <row r="4618" spans="1:8" x14ac:dyDescent="0.35">
      <c r="A4618" s="7" t="s">
        <v>361</v>
      </c>
      <c r="B4618" s="7" t="s">
        <v>26</v>
      </c>
      <c r="C4618" s="7" t="s">
        <v>27</v>
      </c>
      <c r="D4618" s="7" t="s">
        <v>28</v>
      </c>
      <c r="E4618" s="7" t="s">
        <v>29</v>
      </c>
      <c r="F4618" s="7" t="s">
        <v>238</v>
      </c>
      <c r="G4618" s="7">
        <v>97.528660000000002</v>
      </c>
      <c r="H4618" s="7"/>
    </row>
    <row r="4619" spans="1:8" x14ac:dyDescent="0.35">
      <c r="A4619" s="7" t="s">
        <v>361</v>
      </c>
      <c r="B4619" s="7" t="s">
        <v>26</v>
      </c>
      <c r="C4619" s="7" t="s">
        <v>27</v>
      </c>
      <c r="D4619" s="7" t="s">
        <v>28</v>
      </c>
      <c r="E4619" s="7" t="s">
        <v>29</v>
      </c>
      <c r="F4619" s="7" t="s">
        <v>239</v>
      </c>
      <c r="G4619" s="7">
        <v>97.762429999999995</v>
      </c>
      <c r="H4619" s="7"/>
    </row>
    <row r="4620" spans="1:8" x14ac:dyDescent="0.35">
      <c r="A4620" s="7" t="s">
        <v>361</v>
      </c>
      <c r="B4620" s="7" t="s">
        <v>26</v>
      </c>
      <c r="C4620" s="7" t="s">
        <v>27</v>
      </c>
      <c r="D4620" s="7" t="s">
        <v>28</v>
      </c>
      <c r="E4620" s="7" t="s">
        <v>29</v>
      </c>
      <c r="F4620" s="7" t="s">
        <v>240</v>
      </c>
      <c r="G4620" s="7">
        <v>98.090170000000001</v>
      </c>
      <c r="H4620" s="7"/>
    </row>
    <row r="4621" spans="1:8" x14ac:dyDescent="0.35">
      <c r="A4621" s="7" t="s">
        <v>361</v>
      </c>
      <c r="B4621" s="7" t="s">
        <v>26</v>
      </c>
      <c r="C4621" s="7" t="s">
        <v>27</v>
      </c>
      <c r="D4621" s="7" t="s">
        <v>28</v>
      </c>
      <c r="E4621" s="7" t="s">
        <v>29</v>
      </c>
      <c r="F4621" s="7" t="s">
        <v>241</v>
      </c>
      <c r="G4621" s="7">
        <v>98.574640000000002</v>
      </c>
      <c r="H4621" s="7"/>
    </row>
    <row r="4622" spans="1:8" x14ac:dyDescent="0.35">
      <c r="A4622" s="7" t="s">
        <v>361</v>
      </c>
      <c r="B4622" s="7" t="s">
        <v>26</v>
      </c>
      <c r="C4622" s="7" t="s">
        <v>27</v>
      </c>
      <c r="D4622" s="7" t="s">
        <v>28</v>
      </c>
      <c r="E4622" s="7" t="s">
        <v>29</v>
      </c>
      <c r="F4622" s="7" t="s">
        <v>242</v>
      </c>
      <c r="G4622" s="7">
        <v>99.102969999999999</v>
      </c>
      <c r="H4622" s="7"/>
    </row>
    <row r="4623" spans="1:8" x14ac:dyDescent="0.35">
      <c r="A4623" s="7" t="s">
        <v>361</v>
      </c>
      <c r="B4623" s="7" t="s">
        <v>26</v>
      </c>
      <c r="C4623" s="7" t="s">
        <v>27</v>
      </c>
      <c r="D4623" s="7" t="s">
        <v>28</v>
      </c>
      <c r="E4623" s="7" t="s">
        <v>29</v>
      </c>
      <c r="F4623" s="7" t="s">
        <v>243</v>
      </c>
      <c r="G4623" s="7">
        <v>99.488839999999996</v>
      </c>
      <c r="H4623" s="7"/>
    </row>
    <row r="4624" spans="1:8" x14ac:dyDescent="0.35">
      <c r="A4624" s="7" t="s">
        <v>361</v>
      </c>
      <c r="B4624" s="7" t="s">
        <v>26</v>
      </c>
      <c r="C4624" s="7" t="s">
        <v>27</v>
      </c>
      <c r="D4624" s="7" t="s">
        <v>28</v>
      </c>
      <c r="E4624" s="7" t="s">
        <v>29</v>
      </c>
      <c r="F4624" s="7" t="s">
        <v>244</v>
      </c>
      <c r="G4624" s="7">
        <v>99.722629999999995</v>
      </c>
      <c r="H4624" s="7"/>
    </row>
    <row r="4625" spans="1:8" x14ac:dyDescent="0.35">
      <c r="A4625" s="7" t="s">
        <v>361</v>
      </c>
      <c r="B4625" s="7" t="s">
        <v>26</v>
      </c>
      <c r="C4625" s="7" t="s">
        <v>27</v>
      </c>
      <c r="D4625" s="7" t="s">
        <v>28</v>
      </c>
      <c r="E4625" s="7" t="s">
        <v>29</v>
      </c>
      <c r="F4625" s="7" t="s">
        <v>245</v>
      </c>
      <c r="G4625" s="7">
        <v>99.809560000000005</v>
      </c>
      <c r="H4625" s="7"/>
    </row>
    <row r="4626" spans="1:8" x14ac:dyDescent="0.35">
      <c r="A4626" s="7" t="s">
        <v>361</v>
      </c>
      <c r="B4626" s="7" t="s">
        <v>26</v>
      </c>
      <c r="C4626" s="7" t="s">
        <v>27</v>
      </c>
      <c r="D4626" s="7" t="s">
        <v>28</v>
      </c>
      <c r="E4626" s="7" t="s">
        <v>29</v>
      </c>
      <c r="F4626" s="7" t="s">
        <v>246</v>
      </c>
      <c r="G4626" s="7">
        <v>99.717219999999998</v>
      </c>
      <c r="H4626" s="7"/>
    </row>
    <row r="4627" spans="1:8" x14ac:dyDescent="0.35">
      <c r="A4627" s="7" t="s">
        <v>361</v>
      </c>
      <c r="B4627" s="7" t="s">
        <v>26</v>
      </c>
      <c r="C4627" s="7" t="s">
        <v>27</v>
      </c>
      <c r="D4627" s="7" t="s">
        <v>28</v>
      </c>
      <c r="E4627" s="7" t="s">
        <v>29</v>
      </c>
      <c r="F4627" s="7" t="s">
        <v>247</v>
      </c>
      <c r="G4627" s="7">
        <v>99.597949999999997</v>
      </c>
      <c r="H4627" s="7"/>
    </row>
    <row r="4628" spans="1:8" x14ac:dyDescent="0.35">
      <c r="A4628" s="7" t="s">
        <v>361</v>
      </c>
      <c r="B4628" s="7" t="s">
        <v>26</v>
      </c>
      <c r="C4628" s="7" t="s">
        <v>27</v>
      </c>
      <c r="D4628" s="7" t="s">
        <v>28</v>
      </c>
      <c r="E4628" s="7" t="s">
        <v>29</v>
      </c>
      <c r="F4628" s="7" t="s">
        <v>248</v>
      </c>
      <c r="G4628" s="7">
        <v>99.539779999999993</v>
      </c>
      <c r="H4628" s="7"/>
    </row>
    <row r="4629" spans="1:8" x14ac:dyDescent="0.35">
      <c r="A4629" s="7" t="s">
        <v>361</v>
      </c>
      <c r="B4629" s="7" t="s">
        <v>26</v>
      </c>
      <c r="C4629" s="7" t="s">
        <v>27</v>
      </c>
      <c r="D4629" s="7" t="s">
        <v>28</v>
      </c>
      <c r="E4629" s="7" t="s">
        <v>29</v>
      </c>
      <c r="F4629" s="7" t="s">
        <v>249</v>
      </c>
      <c r="G4629" s="7">
        <v>99.387240000000006</v>
      </c>
      <c r="H4629" s="7"/>
    </row>
    <row r="4630" spans="1:8" x14ac:dyDescent="0.35">
      <c r="A4630" s="7" t="s">
        <v>361</v>
      </c>
      <c r="B4630" s="7" t="s">
        <v>26</v>
      </c>
      <c r="C4630" s="7" t="s">
        <v>27</v>
      </c>
      <c r="D4630" s="7" t="s">
        <v>28</v>
      </c>
      <c r="E4630" s="7" t="s">
        <v>29</v>
      </c>
      <c r="F4630" s="7" t="s">
        <v>250</v>
      </c>
      <c r="G4630" s="7">
        <v>99.204650000000001</v>
      </c>
      <c r="H4630" s="7"/>
    </row>
    <row r="4631" spans="1:8" x14ac:dyDescent="0.35">
      <c r="A4631" s="7" t="s">
        <v>361</v>
      </c>
      <c r="B4631" s="7" t="s">
        <v>26</v>
      </c>
      <c r="C4631" s="7" t="s">
        <v>27</v>
      </c>
      <c r="D4631" s="7" t="s">
        <v>28</v>
      </c>
      <c r="E4631" s="7" t="s">
        <v>29</v>
      </c>
      <c r="F4631" s="7" t="s">
        <v>251</v>
      </c>
      <c r="G4631" s="7">
        <v>99.002200000000002</v>
      </c>
      <c r="H4631" s="7"/>
    </row>
    <row r="4632" spans="1:8" x14ac:dyDescent="0.35">
      <c r="A4632" s="7" t="s">
        <v>361</v>
      </c>
      <c r="B4632" s="7" t="s">
        <v>26</v>
      </c>
      <c r="C4632" s="7" t="s">
        <v>27</v>
      </c>
      <c r="D4632" s="7" t="s">
        <v>28</v>
      </c>
      <c r="E4632" s="7" t="s">
        <v>29</v>
      </c>
      <c r="F4632" s="7" t="s">
        <v>252</v>
      </c>
      <c r="G4632" s="7">
        <v>98.758420000000001</v>
      </c>
      <c r="H4632" s="7"/>
    </row>
    <row r="4633" spans="1:8" x14ac:dyDescent="0.35">
      <c r="A4633" s="7" t="s">
        <v>361</v>
      </c>
      <c r="B4633" s="7" t="s">
        <v>26</v>
      </c>
      <c r="C4633" s="7" t="s">
        <v>27</v>
      </c>
      <c r="D4633" s="7" t="s">
        <v>28</v>
      </c>
      <c r="E4633" s="7" t="s">
        <v>29</v>
      </c>
      <c r="F4633" s="7" t="s">
        <v>253</v>
      </c>
      <c r="G4633" s="7">
        <v>98.644059999999996</v>
      </c>
      <c r="H4633" s="7"/>
    </row>
    <row r="4634" spans="1:8" x14ac:dyDescent="0.35">
      <c r="A4634" s="7" t="s">
        <v>361</v>
      </c>
      <c r="B4634" s="7" t="s">
        <v>26</v>
      </c>
      <c r="C4634" s="7" t="s">
        <v>27</v>
      </c>
      <c r="D4634" s="7" t="s">
        <v>28</v>
      </c>
      <c r="E4634" s="7" t="s">
        <v>29</v>
      </c>
      <c r="F4634" s="7" t="s">
        <v>254</v>
      </c>
      <c r="G4634" s="7">
        <v>98.625919999999994</v>
      </c>
      <c r="H4634" s="7"/>
    </row>
    <row r="4635" spans="1:8" x14ac:dyDescent="0.35">
      <c r="A4635" s="7" t="s">
        <v>361</v>
      </c>
      <c r="B4635" s="7" t="s">
        <v>26</v>
      </c>
      <c r="C4635" s="7" t="s">
        <v>27</v>
      </c>
      <c r="D4635" s="7" t="s">
        <v>28</v>
      </c>
      <c r="E4635" s="7" t="s">
        <v>29</v>
      </c>
      <c r="F4635" s="7" t="s">
        <v>255</v>
      </c>
      <c r="G4635" s="7">
        <v>98.60257</v>
      </c>
      <c r="H4635" s="7"/>
    </row>
    <row r="4636" spans="1:8" x14ac:dyDescent="0.35">
      <c r="A4636" s="7" t="s">
        <v>361</v>
      </c>
      <c r="B4636" s="7" t="s">
        <v>26</v>
      </c>
      <c r="C4636" s="7" t="s">
        <v>27</v>
      </c>
      <c r="D4636" s="7" t="s">
        <v>28</v>
      </c>
      <c r="E4636" s="7" t="s">
        <v>29</v>
      </c>
      <c r="F4636" s="7" t="s">
        <v>256</v>
      </c>
      <c r="G4636" s="7">
        <v>98.379779999999997</v>
      </c>
      <c r="H4636" s="7"/>
    </row>
    <row r="4637" spans="1:8" x14ac:dyDescent="0.35">
      <c r="A4637" s="7" t="s">
        <v>361</v>
      </c>
      <c r="B4637" s="7" t="s">
        <v>26</v>
      </c>
      <c r="C4637" s="7" t="s">
        <v>27</v>
      </c>
      <c r="D4637" s="7" t="s">
        <v>28</v>
      </c>
      <c r="E4637" s="7" t="s">
        <v>29</v>
      </c>
      <c r="F4637" s="7" t="s">
        <v>257</v>
      </c>
      <c r="G4637" s="7">
        <v>97.917850000000001</v>
      </c>
      <c r="H4637" s="7"/>
    </row>
    <row r="4638" spans="1:8" x14ac:dyDescent="0.35">
      <c r="A4638" s="7" t="s">
        <v>361</v>
      </c>
      <c r="B4638" s="7" t="s">
        <v>26</v>
      </c>
      <c r="C4638" s="7" t="s">
        <v>27</v>
      </c>
      <c r="D4638" s="7" t="s">
        <v>28</v>
      </c>
      <c r="E4638" s="7" t="s">
        <v>29</v>
      </c>
      <c r="F4638" s="7" t="s">
        <v>258</v>
      </c>
      <c r="G4638" s="7">
        <v>97.639809999999997</v>
      </c>
      <c r="H4638" s="7"/>
    </row>
    <row r="4639" spans="1:8" x14ac:dyDescent="0.35">
      <c r="A4639" s="7" t="s">
        <v>361</v>
      </c>
      <c r="B4639" s="7" t="s">
        <v>26</v>
      </c>
      <c r="C4639" s="7" t="s">
        <v>27</v>
      </c>
      <c r="D4639" s="7" t="s">
        <v>28</v>
      </c>
      <c r="E4639" s="7" t="s">
        <v>29</v>
      </c>
      <c r="F4639" s="7" t="s">
        <v>259</v>
      </c>
      <c r="G4639" s="7">
        <v>97.61336</v>
      </c>
      <c r="H4639" s="7"/>
    </row>
    <row r="4640" spans="1:8" x14ac:dyDescent="0.35">
      <c r="A4640" s="7" t="s">
        <v>361</v>
      </c>
      <c r="B4640" s="7" t="s">
        <v>26</v>
      </c>
      <c r="C4640" s="7" t="s">
        <v>27</v>
      </c>
      <c r="D4640" s="7" t="s">
        <v>28</v>
      </c>
      <c r="E4640" s="7" t="s">
        <v>29</v>
      </c>
      <c r="F4640" s="7" t="s">
        <v>260</v>
      </c>
      <c r="G4640" s="7">
        <v>97.701070000000001</v>
      </c>
      <c r="H4640" s="7"/>
    </row>
    <row r="4641" spans="1:8" x14ac:dyDescent="0.35">
      <c r="A4641" s="7" t="s">
        <v>361</v>
      </c>
      <c r="B4641" s="7" t="s">
        <v>26</v>
      </c>
      <c r="C4641" s="7" t="s">
        <v>27</v>
      </c>
      <c r="D4641" s="7" t="s">
        <v>28</v>
      </c>
      <c r="E4641" s="7" t="s">
        <v>29</v>
      </c>
      <c r="F4641" s="7" t="s">
        <v>261</v>
      </c>
      <c r="G4641" s="7">
        <v>97.800070000000005</v>
      </c>
      <c r="H4641" s="7"/>
    </row>
    <row r="4642" spans="1:8" x14ac:dyDescent="0.35">
      <c r="A4642" s="7" t="s">
        <v>361</v>
      </c>
      <c r="B4642" s="7" t="s">
        <v>26</v>
      </c>
      <c r="C4642" s="7" t="s">
        <v>27</v>
      </c>
      <c r="D4642" s="7" t="s">
        <v>28</v>
      </c>
      <c r="E4642" s="7" t="s">
        <v>29</v>
      </c>
      <c r="F4642" s="7" t="s">
        <v>262</v>
      </c>
      <c r="G4642" s="7">
        <v>97.733059999999995</v>
      </c>
      <c r="H4642" s="7"/>
    </row>
    <row r="4643" spans="1:8" x14ac:dyDescent="0.35">
      <c r="A4643" s="7" t="s">
        <v>361</v>
      </c>
      <c r="B4643" s="7" t="s">
        <v>26</v>
      </c>
      <c r="C4643" s="7" t="s">
        <v>27</v>
      </c>
      <c r="D4643" s="7" t="s">
        <v>28</v>
      </c>
      <c r="E4643" s="7" t="s">
        <v>29</v>
      </c>
      <c r="F4643" s="7" t="s">
        <v>263</v>
      </c>
      <c r="G4643" s="7">
        <v>97.575829999999996</v>
      </c>
      <c r="H4643" s="7"/>
    </row>
    <row r="4644" spans="1:8" x14ac:dyDescent="0.35">
      <c r="A4644" s="7" t="s">
        <v>361</v>
      </c>
      <c r="B4644" s="7" t="s">
        <v>26</v>
      </c>
      <c r="C4644" s="7" t="s">
        <v>27</v>
      </c>
      <c r="D4644" s="7" t="s">
        <v>28</v>
      </c>
      <c r="E4644" s="7" t="s">
        <v>29</v>
      </c>
      <c r="F4644" s="7" t="s">
        <v>264</v>
      </c>
      <c r="G4644" s="7">
        <v>97.564369999999997</v>
      </c>
      <c r="H4644" s="7"/>
    </row>
    <row r="4645" spans="1:8" x14ac:dyDescent="0.35">
      <c r="A4645" s="7" t="s">
        <v>361</v>
      </c>
      <c r="B4645" s="7" t="s">
        <v>26</v>
      </c>
      <c r="C4645" s="7" t="s">
        <v>27</v>
      </c>
      <c r="D4645" s="7" t="s">
        <v>28</v>
      </c>
      <c r="E4645" s="7" t="s">
        <v>29</v>
      </c>
      <c r="F4645" s="7" t="s">
        <v>265</v>
      </c>
      <c r="G4645" s="7">
        <v>97.548180000000002</v>
      </c>
      <c r="H4645" s="7"/>
    </row>
    <row r="4646" spans="1:8" x14ac:dyDescent="0.35">
      <c r="A4646" s="7" t="s">
        <v>361</v>
      </c>
      <c r="B4646" s="7" t="s">
        <v>26</v>
      </c>
      <c r="C4646" s="7" t="s">
        <v>27</v>
      </c>
      <c r="D4646" s="7" t="s">
        <v>28</v>
      </c>
      <c r="E4646" s="7" t="s">
        <v>29</v>
      </c>
      <c r="F4646" s="7" t="s">
        <v>266</v>
      </c>
      <c r="G4646" s="7">
        <v>97.39631</v>
      </c>
      <c r="H4646" s="7"/>
    </row>
    <row r="4647" spans="1:8" x14ac:dyDescent="0.35">
      <c r="A4647" s="7" t="s">
        <v>361</v>
      </c>
      <c r="B4647" s="7" t="s">
        <v>26</v>
      </c>
      <c r="C4647" s="7" t="s">
        <v>27</v>
      </c>
      <c r="D4647" s="7" t="s">
        <v>28</v>
      </c>
      <c r="E4647" s="7" t="s">
        <v>29</v>
      </c>
      <c r="F4647" s="7" t="s">
        <v>267</v>
      </c>
      <c r="G4647" s="7">
        <v>97.120230000000006</v>
      </c>
      <c r="H4647" s="7"/>
    </row>
    <row r="4648" spans="1:8" x14ac:dyDescent="0.35">
      <c r="A4648" s="7" t="s">
        <v>361</v>
      </c>
      <c r="B4648" s="7" t="s">
        <v>26</v>
      </c>
      <c r="C4648" s="7" t="s">
        <v>27</v>
      </c>
      <c r="D4648" s="7" t="s">
        <v>28</v>
      </c>
      <c r="E4648" s="7" t="s">
        <v>29</v>
      </c>
      <c r="F4648" s="7" t="s">
        <v>268</v>
      </c>
      <c r="G4648" s="7">
        <v>96.823080000000004</v>
      </c>
      <c r="H4648" s="7"/>
    </row>
    <row r="4649" spans="1:8" x14ac:dyDescent="0.35">
      <c r="A4649" s="7" t="s">
        <v>361</v>
      </c>
      <c r="B4649" s="7" t="s">
        <v>26</v>
      </c>
      <c r="C4649" s="7" t="s">
        <v>27</v>
      </c>
      <c r="D4649" s="7" t="s">
        <v>28</v>
      </c>
      <c r="E4649" s="7" t="s">
        <v>29</v>
      </c>
      <c r="F4649" s="7" t="s">
        <v>269</v>
      </c>
      <c r="G4649" s="7">
        <v>96.69838</v>
      </c>
      <c r="H4649" s="7"/>
    </row>
    <row r="4650" spans="1:8" x14ac:dyDescent="0.35">
      <c r="A4650" s="7" t="s">
        <v>361</v>
      </c>
      <c r="B4650" s="7" t="s">
        <v>26</v>
      </c>
      <c r="C4650" s="7" t="s">
        <v>27</v>
      </c>
      <c r="D4650" s="7" t="s">
        <v>28</v>
      </c>
      <c r="E4650" s="7" t="s">
        <v>29</v>
      </c>
      <c r="F4650" s="7" t="s">
        <v>270</v>
      </c>
      <c r="G4650" s="7">
        <v>96.687359999999998</v>
      </c>
      <c r="H4650" s="7"/>
    </row>
    <row r="4651" spans="1:8" x14ac:dyDescent="0.35">
      <c r="A4651" s="7" t="s">
        <v>361</v>
      </c>
      <c r="B4651" s="7" t="s">
        <v>26</v>
      </c>
      <c r="C4651" s="7" t="s">
        <v>27</v>
      </c>
      <c r="D4651" s="7" t="s">
        <v>28</v>
      </c>
      <c r="E4651" s="7" t="s">
        <v>29</v>
      </c>
      <c r="F4651" s="7" t="s">
        <v>271</v>
      </c>
      <c r="G4651" s="7">
        <v>96.784899999999993</v>
      </c>
      <c r="H4651" s="7"/>
    </row>
    <row r="4652" spans="1:8" x14ac:dyDescent="0.35">
      <c r="A4652" s="7" t="s">
        <v>361</v>
      </c>
      <c r="B4652" s="7" t="s">
        <v>26</v>
      </c>
      <c r="C4652" s="7" t="s">
        <v>27</v>
      </c>
      <c r="D4652" s="7" t="s">
        <v>28</v>
      </c>
      <c r="E4652" s="7" t="s">
        <v>29</v>
      </c>
      <c r="F4652" s="7" t="s">
        <v>272</v>
      </c>
      <c r="G4652" s="7">
        <v>96.922600000000003</v>
      </c>
      <c r="H4652" s="7"/>
    </row>
    <row r="4653" spans="1:8" x14ac:dyDescent="0.35">
      <c r="A4653" s="7" t="s">
        <v>361</v>
      </c>
      <c r="B4653" s="7" t="s">
        <v>26</v>
      </c>
      <c r="C4653" s="7" t="s">
        <v>27</v>
      </c>
      <c r="D4653" s="7" t="s">
        <v>28</v>
      </c>
      <c r="E4653" s="7" t="s">
        <v>29</v>
      </c>
      <c r="F4653" s="7" t="s">
        <v>273</v>
      </c>
      <c r="G4653" s="7">
        <v>97.084530000000001</v>
      </c>
      <c r="H4653" s="7"/>
    </row>
    <row r="4654" spans="1:8" x14ac:dyDescent="0.35">
      <c r="A4654" s="7" t="s">
        <v>361</v>
      </c>
      <c r="B4654" s="7" t="s">
        <v>26</v>
      </c>
      <c r="C4654" s="7" t="s">
        <v>27</v>
      </c>
      <c r="D4654" s="7" t="s">
        <v>28</v>
      </c>
      <c r="E4654" s="7" t="s">
        <v>29</v>
      </c>
      <c r="F4654" s="7" t="s">
        <v>274</v>
      </c>
      <c r="G4654" s="7">
        <v>97.22287</v>
      </c>
      <c r="H4654" s="7"/>
    </row>
    <row r="4655" spans="1:8" x14ac:dyDescent="0.35">
      <c r="A4655" s="7" t="s">
        <v>361</v>
      </c>
      <c r="B4655" s="7" t="s">
        <v>26</v>
      </c>
      <c r="C4655" s="7" t="s">
        <v>27</v>
      </c>
      <c r="D4655" s="7" t="s">
        <v>28</v>
      </c>
      <c r="E4655" s="7" t="s">
        <v>29</v>
      </c>
      <c r="F4655" s="7" t="s">
        <v>275</v>
      </c>
      <c r="G4655" s="7">
        <v>97.319950000000006</v>
      </c>
      <c r="H4655" s="7"/>
    </row>
    <row r="4656" spans="1:8" x14ac:dyDescent="0.35">
      <c r="A4656" s="7" t="s">
        <v>361</v>
      </c>
      <c r="B4656" s="7" t="s">
        <v>26</v>
      </c>
      <c r="C4656" s="7" t="s">
        <v>27</v>
      </c>
      <c r="D4656" s="7" t="s">
        <v>28</v>
      </c>
      <c r="E4656" s="7" t="s">
        <v>29</v>
      </c>
      <c r="F4656" s="7" t="s">
        <v>276</v>
      </c>
      <c r="G4656" s="7">
        <v>97.409869999999998</v>
      </c>
      <c r="H4656" s="7"/>
    </row>
    <row r="4657" spans="1:8" x14ac:dyDescent="0.35">
      <c r="A4657" s="7" t="s">
        <v>361</v>
      </c>
      <c r="B4657" s="7" t="s">
        <v>26</v>
      </c>
      <c r="C4657" s="7" t="s">
        <v>27</v>
      </c>
      <c r="D4657" s="7" t="s">
        <v>28</v>
      </c>
      <c r="E4657" s="7" t="s">
        <v>29</v>
      </c>
      <c r="F4657" s="7" t="s">
        <v>277</v>
      </c>
      <c r="G4657" s="7">
        <v>97.481440000000006</v>
      </c>
      <c r="H4657" s="7"/>
    </row>
    <row r="4658" spans="1:8" x14ac:dyDescent="0.35">
      <c r="A4658" s="7" t="s">
        <v>361</v>
      </c>
      <c r="B4658" s="7" t="s">
        <v>26</v>
      </c>
      <c r="C4658" s="7" t="s">
        <v>27</v>
      </c>
      <c r="D4658" s="7" t="s">
        <v>28</v>
      </c>
      <c r="E4658" s="7" t="s">
        <v>29</v>
      </c>
      <c r="F4658" s="7" t="s">
        <v>278</v>
      </c>
      <c r="G4658" s="7">
        <v>97.398910000000001</v>
      </c>
      <c r="H4658" s="7"/>
    </row>
    <row r="4659" spans="1:8" x14ac:dyDescent="0.35">
      <c r="A4659" s="7" t="s">
        <v>361</v>
      </c>
      <c r="B4659" s="7" t="s">
        <v>26</v>
      </c>
      <c r="C4659" s="7" t="s">
        <v>27</v>
      </c>
      <c r="D4659" s="7" t="s">
        <v>28</v>
      </c>
      <c r="E4659" s="7" t="s">
        <v>29</v>
      </c>
      <c r="F4659" s="7" t="s">
        <v>279</v>
      </c>
      <c r="G4659" s="7">
        <v>97.150369999999995</v>
      </c>
      <c r="H4659" s="7"/>
    </row>
    <row r="4660" spans="1:8" x14ac:dyDescent="0.35">
      <c r="A4660" s="7" t="s">
        <v>361</v>
      </c>
      <c r="B4660" s="7" t="s">
        <v>26</v>
      </c>
      <c r="C4660" s="7" t="s">
        <v>27</v>
      </c>
      <c r="D4660" s="7" t="s">
        <v>28</v>
      </c>
      <c r="E4660" s="7" t="s">
        <v>29</v>
      </c>
      <c r="F4660" s="7" t="s">
        <v>280</v>
      </c>
      <c r="G4660" s="7">
        <v>96.802279999999996</v>
      </c>
      <c r="H4660" s="7"/>
    </row>
    <row r="4661" spans="1:8" x14ac:dyDescent="0.35">
      <c r="A4661" s="7" t="s">
        <v>361</v>
      </c>
      <c r="B4661" s="7" t="s">
        <v>26</v>
      </c>
      <c r="C4661" s="7" t="s">
        <v>27</v>
      </c>
      <c r="D4661" s="7" t="s">
        <v>28</v>
      </c>
      <c r="E4661" s="7" t="s">
        <v>29</v>
      </c>
      <c r="F4661" s="7" t="s">
        <v>281</v>
      </c>
      <c r="G4661" s="7">
        <v>96.609380000000002</v>
      </c>
      <c r="H4661" s="7"/>
    </row>
    <row r="4662" spans="1:8" x14ac:dyDescent="0.35">
      <c r="A4662" s="7" t="s">
        <v>361</v>
      </c>
      <c r="B4662" s="7" t="s">
        <v>26</v>
      </c>
      <c r="C4662" s="7" t="s">
        <v>27</v>
      </c>
      <c r="D4662" s="7" t="s">
        <v>28</v>
      </c>
      <c r="E4662" s="7" t="s">
        <v>29</v>
      </c>
      <c r="F4662" s="7" t="s">
        <v>282</v>
      </c>
      <c r="G4662" s="7">
        <v>96.62688</v>
      </c>
      <c r="H4662" s="7"/>
    </row>
    <row r="4663" spans="1:8" x14ac:dyDescent="0.35">
      <c r="A4663" s="7" t="s">
        <v>361</v>
      </c>
      <c r="B4663" s="7" t="s">
        <v>26</v>
      </c>
      <c r="C4663" s="7" t="s">
        <v>27</v>
      </c>
      <c r="D4663" s="7" t="s">
        <v>28</v>
      </c>
      <c r="E4663" s="7" t="s">
        <v>29</v>
      </c>
      <c r="F4663" s="7" t="s">
        <v>283</v>
      </c>
      <c r="G4663" s="7">
        <v>96.743350000000007</v>
      </c>
      <c r="H4663" s="7"/>
    </row>
    <row r="4664" spans="1:8" x14ac:dyDescent="0.35">
      <c r="A4664" s="7" t="s">
        <v>361</v>
      </c>
      <c r="B4664" s="7" t="s">
        <v>26</v>
      </c>
      <c r="C4664" s="7" t="s">
        <v>27</v>
      </c>
      <c r="D4664" s="7" t="s">
        <v>28</v>
      </c>
      <c r="E4664" s="7" t="s">
        <v>29</v>
      </c>
      <c r="F4664" s="7" t="s">
        <v>284</v>
      </c>
      <c r="G4664" s="7">
        <v>96.887219999999999</v>
      </c>
      <c r="H4664" s="7"/>
    </row>
    <row r="4665" spans="1:8" x14ac:dyDescent="0.35">
      <c r="A4665" s="7" t="s">
        <v>361</v>
      </c>
      <c r="B4665" s="7" t="s">
        <v>26</v>
      </c>
      <c r="C4665" s="7" t="s">
        <v>27</v>
      </c>
      <c r="D4665" s="7" t="s">
        <v>28</v>
      </c>
      <c r="E4665" s="7" t="s">
        <v>29</v>
      </c>
      <c r="F4665" s="7" t="s">
        <v>285</v>
      </c>
      <c r="G4665" s="7">
        <v>97.016970000000001</v>
      </c>
      <c r="H4665" s="7"/>
    </row>
    <row r="4666" spans="1:8" x14ac:dyDescent="0.35">
      <c r="A4666" s="7" t="s">
        <v>361</v>
      </c>
      <c r="B4666" s="7" t="s">
        <v>26</v>
      </c>
      <c r="C4666" s="7" t="s">
        <v>27</v>
      </c>
      <c r="D4666" s="7" t="s">
        <v>28</v>
      </c>
      <c r="E4666" s="7" t="s">
        <v>29</v>
      </c>
      <c r="F4666" s="7" t="s">
        <v>286</v>
      </c>
      <c r="G4666" s="7">
        <v>97.041200000000003</v>
      </c>
      <c r="H4666" s="7"/>
    </row>
    <row r="4667" spans="1:8" x14ac:dyDescent="0.35">
      <c r="A4667" s="7" t="s">
        <v>361</v>
      </c>
      <c r="B4667" s="7" t="s">
        <v>26</v>
      </c>
      <c r="C4667" s="7" t="s">
        <v>27</v>
      </c>
      <c r="D4667" s="7" t="s">
        <v>28</v>
      </c>
      <c r="E4667" s="7" t="s">
        <v>29</v>
      </c>
      <c r="F4667" s="7" t="s">
        <v>287</v>
      </c>
      <c r="G4667" s="7">
        <v>97.062250000000006</v>
      </c>
      <c r="H4667" s="7"/>
    </row>
    <row r="4668" spans="1:8" x14ac:dyDescent="0.35">
      <c r="A4668" s="7" t="s">
        <v>361</v>
      </c>
      <c r="B4668" s="7" t="s">
        <v>26</v>
      </c>
      <c r="C4668" s="7" t="s">
        <v>27</v>
      </c>
      <c r="D4668" s="7" t="s">
        <v>28</v>
      </c>
      <c r="E4668" s="7" t="s">
        <v>29</v>
      </c>
      <c r="F4668" s="7" t="s">
        <v>288</v>
      </c>
      <c r="G4668" s="7">
        <v>97.085239999999999</v>
      </c>
      <c r="H4668" s="7"/>
    </row>
    <row r="4669" spans="1:8" x14ac:dyDescent="0.35">
      <c r="A4669" s="7" t="s">
        <v>361</v>
      </c>
      <c r="B4669" s="7" t="s">
        <v>26</v>
      </c>
      <c r="C4669" s="7" t="s">
        <v>27</v>
      </c>
      <c r="D4669" s="7" t="s">
        <v>28</v>
      </c>
      <c r="E4669" s="7" t="s">
        <v>29</v>
      </c>
      <c r="F4669" s="7" t="s">
        <v>289</v>
      </c>
      <c r="G4669" s="7">
        <v>97.199759999999998</v>
      </c>
      <c r="H4669" s="7"/>
    </row>
    <row r="4670" spans="1:8" x14ac:dyDescent="0.35">
      <c r="A4670" s="7" t="s">
        <v>361</v>
      </c>
      <c r="B4670" s="7" t="s">
        <v>26</v>
      </c>
      <c r="C4670" s="7" t="s">
        <v>27</v>
      </c>
      <c r="D4670" s="7" t="s">
        <v>28</v>
      </c>
      <c r="E4670" s="7" t="s">
        <v>29</v>
      </c>
      <c r="F4670" s="7" t="s">
        <v>290</v>
      </c>
      <c r="G4670" s="7">
        <v>97.407470000000004</v>
      </c>
      <c r="H4670" s="7"/>
    </row>
    <row r="4671" spans="1:8" x14ac:dyDescent="0.35">
      <c r="A4671" s="7" t="s">
        <v>361</v>
      </c>
      <c r="B4671" s="7" t="s">
        <v>26</v>
      </c>
      <c r="C4671" s="7" t="s">
        <v>27</v>
      </c>
      <c r="D4671" s="7" t="s">
        <v>28</v>
      </c>
      <c r="E4671" s="7" t="s">
        <v>29</v>
      </c>
      <c r="F4671" s="7" t="s">
        <v>291</v>
      </c>
      <c r="G4671" s="7">
        <v>97.731610000000003</v>
      </c>
      <c r="H4671" s="7"/>
    </row>
    <row r="4672" spans="1:8" x14ac:dyDescent="0.35">
      <c r="A4672" s="7" t="s">
        <v>361</v>
      </c>
      <c r="B4672" s="7" t="s">
        <v>26</v>
      </c>
      <c r="C4672" s="7" t="s">
        <v>27</v>
      </c>
      <c r="D4672" s="7" t="s">
        <v>28</v>
      </c>
      <c r="E4672" s="7" t="s">
        <v>29</v>
      </c>
      <c r="F4672" s="7" t="s">
        <v>292</v>
      </c>
      <c r="G4672" s="7">
        <v>98.083939999999998</v>
      </c>
      <c r="H4672" s="7"/>
    </row>
    <row r="4673" spans="1:8" x14ac:dyDescent="0.35">
      <c r="A4673" s="7" t="s">
        <v>361</v>
      </c>
      <c r="B4673" s="7" t="s">
        <v>26</v>
      </c>
      <c r="C4673" s="7" t="s">
        <v>27</v>
      </c>
      <c r="D4673" s="7" t="s">
        <v>28</v>
      </c>
      <c r="E4673" s="7" t="s">
        <v>29</v>
      </c>
      <c r="F4673" s="7" t="s">
        <v>293</v>
      </c>
      <c r="G4673" s="7">
        <v>98.399190000000004</v>
      </c>
      <c r="H4673" s="7"/>
    </row>
    <row r="4674" spans="1:8" x14ac:dyDescent="0.35">
      <c r="A4674" s="7" t="s">
        <v>361</v>
      </c>
      <c r="B4674" s="7" t="s">
        <v>26</v>
      </c>
      <c r="C4674" s="7" t="s">
        <v>27</v>
      </c>
      <c r="D4674" s="7" t="s">
        <v>28</v>
      </c>
      <c r="E4674" s="7" t="s">
        <v>29</v>
      </c>
      <c r="F4674" s="7" t="s">
        <v>294</v>
      </c>
      <c r="G4674" s="7">
        <v>98.73066</v>
      </c>
      <c r="H4674" s="7"/>
    </row>
    <row r="4675" spans="1:8" x14ac:dyDescent="0.35">
      <c r="A4675" s="7" t="s">
        <v>361</v>
      </c>
      <c r="B4675" s="7" t="s">
        <v>26</v>
      </c>
      <c r="C4675" s="7" t="s">
        <v>27</v>
      </c>
      <c r="D4675" s="7" t="s">
        <v>28</v>
      </c>
      <c r="E4675" s="7" t="s">
        <v>29</v>
      </c>
      <c r="F4675" s="7" t="s">
        <v>295</v>
      </c>
      <c r="G4675" s="7">
        <v>99.073639999999997</v>
      </c>
      <c r="H4675" s="7"/>
    </row>
    <row r="4676" spans="1:8" x14ac:dyDescent="0.35">
      <c r="A4676" s="7" t="s">
        <v>361</v>
      </c>
      <c r="B4676" s="7" t="s">
        <v>26</v>
      </c>
      <c r="C4676" s="7" t="s">
        <v>27</v>
      </c>
      <c r="D4676" s="7" t="s">
        <v>28</v>
      </c>
      <c r="E4676" s="7" t="s">
        <v>29</v>
      </c>
      <c r="F4676" s="7" t="s">
        <v>296</v>
      </c>
      <c r="G4676" s="7">
        <v>99.375230000000002</v>
      </c>
      <c r="H4676" s="7"/>
    </row>
    <row r="4677" spans="1:8" x14ac:dyDescent="0.35">
      <c r="A4677" s="7" t="s">
        <v>361</v>
      </c>
      <c r="B4677" s="7" t="s">
        <v>26</v>
      </c>
      <c r="C4677" s="7" t="s">
        <v>27</v>
      </c>
      <c r="D4677" s="7" t="s">
        <v>28</v>
      </c>
      <c r="E4677" s="7" t="s">
        <v>29</v>
      </c>
      <c r="F4677" s="7" t="s">
        <v>297</v>
      </c>
      <c r="G4677" s="7">
        <v>99.553960000000004</v>
      </c>
      <c r="H4677" s="7"/>
    </row>
    <row r="4678" spans="1:8" x14ac:dyDescent="0.35">
      <c r="A4678" s="7" t="s">
        <v>361</v>
      </c>
      <c r="B4678" s="7" t="s">
        <v>26</v>
      </c>
      <c r="C4678" s="7" t="s">
        <v>27</v>
      </c>
      <c r="D4678" s="7" t="s">
        <v>28</v>
      </c>
      <c r="E4678" s="7" t="s">
        <v>29</v>
      </c>
      <c r="F4678" s="7" t="s">
        <v>298</v>
      </c>
      <c r="G4678" s="7">
        <v>99.656779999999998</v>
      </c>
      <c r="H4678" s="7"/>
    </row>
    <row r="4679" spans="1:8" x14ac:dyDescent="0.35">
      <c r="A4679" s="7" t="s">
        <v>361</v>
      </c>
      <c r="B4679" s="7" t="s">
        <v>26</v>
      </c>
      <c r="C4679" s="7" t="s">
        <v>27</v>
      </c>
      <c r="D4679" s="7" t="s">
        <v>28</v>
      </c>
      <c r="E4679" s="7" t="s">
        <v>29</v>
      </c>
      <c r="F4679" s="7" t="s">
        <v>299</v>
      </c>
      <c r="G4679" s="7">
        <v>99.808400000000006</v>
      </c>
      <c r="H4679" s="7"/>
    </row>
    <row r="4680" spans="1:8" x14ac:dyDescent="0.35">
      <c r="A4680" s="7" t="s">
        <v>361</v>
      </c>
      <c r="B4680" s="7" t="s">
        <v>26</v>
      </c>
      <c r="C4680" s="7" t="s">
        <v>27</v>
      </c>
      <c r="D4680" s="7" t="s">
        <v>28</v>
      </c>
      <c r="E4680" s="7" t="s">
        <v>29</v>
      </c>
      <c r="F4680" s="7" t="s">
        <v>300</v>
      </c>
      <c r="G4680" s="7">
        <v>99.991039999999998</v>
      </c>
      <c r="H4680" s="7"/>
    </row>
    <row r="4681" spans="1:8" x14ac:dyDescent="0.35">
      <c r="A4681" s="7" t="s">
        <v>361</v>
      </c>
      <c r="B4681" s="7" t="s">
        <v>26</v>
      </c>
      <c r="C4681" s="7" t="s">
        <v>27</v>
      </c>
      <c r="D4681" s="7" t="s">
        <v>28</v>
      </c>
      <c r="E4681" s="7" t="s">
        <v>29</v>
      </c>
      <c r="F4681" s="7" t="s">
        <v>301</v>
      </c>
      <c r="G4681" s="7">
        <v>100.0849</v>
      </c>
      <c r="H4681" s="7"/>
    </row>
    <row r="4682" spans="1:8" x14ac:dyDescent="0.35">
      <c r="A4682" s="7" t="s">
        <v>361</v>
      </c>
      <c r="B4682" s="7" t="s">
        <v>26</v>
      </c>
      <c r="C4682" s="7" t="s">
        <v>27</v>
      </c>
      <c r="D4682" s="7" t="s">
        <v>28</v>
      </c>
      <c r="E4682" s="7" t="s">
        <v>29</v>
      </c>
      <c r="F4682" s="7" t="s">
        <v>302</v>
      </c>
      <c r="G4682" s="7">
        <v>100.1225</v>
      </c>
      <c r="H4682" s="7"/>
    </row>
    <row r="4683" spans="1:8" x14ac:dyDescent="0.35">
      <c r="A4683" s="7" t="s">
        <v>361</v>
      </c>
      <c r="B4683" s="7" t="s">
        <v>26</v>
      </c>
      <c r="C4683" s="7" t="s">
        <v>27</v>
      </c>
      <c r="D4683" s="7" t="s">
        <v>28</v>
      </c>
      <c r="E4683" s="7" t="s">
        <v>29</v>
      </c>
      <c r="F4683" s="7" t="s">
        <v>303</v>
      </c>
      <c r="G4683" s="7">
        <v>100.1422</v>
      </c>
      <c r="H4683" s="7"/>
    </row>
    <row r="4684" spans="1:8" x14ac:dyDescent="0.35">
      <c r="A4684" s="7" t="s">
        <v>361</v>
      </c>
      <c r="B4684" s="7" t="s">
        <v>26</v>
      </c>
      <c r="C4684" s="7" t="s">
        <v>27</v>
      </c>
      <c r="D4684" s="7" t="s">
        <v>28</v>
      </c>
      <c r="E4684" s="7" t="s">
        <v>29</v>
      </c>
      <c r="F4684" s="7" t="s">
        <v>304</v>
      </c>
      <c r="G4684" s="7">
        <v>100.3203</v>
      </c>
      <c r="H4684" s="7"/>
    </row>
    <row r="4685" spans="1:8" x14ac:dyDescent="0.35">
      <c r="A4685" s="7" t="s">
        <v>361</v>
      </c>
      <c r="B4685" s="7" t="s">
        <v>26</v>
      </c>
      <c r="C4685" s="7" t="s">
        <v>27</v>
      </c>
      <c r="D4685" s="7" t="s">
        <v>28</v>
      </c>
      <c r="E4685" s="7" t="s">
        <v>29</v>
      </c>
      <c r="F4685" s="7" t="s">
        <v>305</v>
      </c>
      <c r="G4685" s="7">
        <v>100.5361</v>
      </c>
      <c r="H4685" s="7"/>
    </row>
    <row r="4686" spans="1:8" x14ac:dyDescent="0.35">
      <c r="A4686" s="7" t="s">
        <v>361</v>
      </c>
      <c r="B4686" s="7" t="s">
        <v>26</v>
      </c>
      <c r="C4686" s="7" t="s">
        <v>27</v>
      </c>
      <c r="D4686" s="7" t="s">
        <v>28</v>
      </c>
      <c r="E4686" s="7" t="s">
        <v>29</v>
      </c>
      <c r="F4686" s="7" t="s">
        <v>306</v>
      </c>
      <c r="G4686" s="7">
        <v>100.6521</v>
      </c>
      <c r="H4686" s="7"/>
    </row>
    <row r="4687" spans="1:8" x14ac:dyDescent="0.35">
      <c r="A4687" s="7" t="s">
        <v>361</v>
      </c>
      <c r="B4687" s="7" t="s">
        <v>26</v>
      </c>
      <c r="C4687" s="7" t="s">
        <v>27</v>
      </c>
      <c r="D4687" s="7" t="s">
        <v>28</v>
      </c>
      <c r="E4687" s="7" t="s">
        <v>29</v>
      </c>
      <c r="F4687" s="7" t="s">
        <v>307</v>
      </c>
      <c r="G4687" s="7">
        <v>100.7144</v>
      </c>
      <c r="H4687" s="7"/>
    </row>
    <row r="4688" spans="1:8" x14ac:dyDescent="0.35">
      <c r="A4688" s="7" t="s">
        <v>361</v>
      </c>
      <c r="B4688" s="7" t="s">
        <v>26</v>
      </c>
      <c r="C4688" s="7" t="s">
        <v>27</v>
      </c>
      <c r="D4688" s="7" t="s">
        <v>28</v>
      </c>
      <c r="E4688" s="7" t="s">
        <v>29</v>
      </c>
      <c r="F4688" s="7" t="s">
        <v>308</v>
      </c>
      <c r="G4688" s="7">
        <v>100.83629999999999</v>
      </c>
      <c r="H4688" s="7"/>
    </row>
    <row r="4689" spans="1:8" x14ac:dyDescent="0.35">
      <c r="A4689" s="7" t="s">
        <v>361</v>
      </c>
      <c r="B4689" s="7" t="s">
        <v>26</v>
      </c>
      <c r="C4689" s="7" t="s">
        <v>27</v>
      </c>
      <c r="D4689" s="7" t="s">
        <v>28</v>
      </c>
      <c r="E4689" s="7" t="s">
        <v>29</v>
      </c>
      <c r="F4689" s="7" t="s">
        <v>309</v>
      </c>
      <c r="G4689" s="7">
        <v>100.9015</v>
      </c>
      <c r="H4689" s="7"/>
    </row>
    <row r="4690" spans="1:8" x14ac:dyDescent="0.35">
      <c r="A4690" s="7" t="s">
        <v>361</v>
      </c>
      <c r="B4690" s="7" t="s">
        <v>26</v>
      </c>
      <c r="C4690" s="7" t="s">
        <v>27</v>
      </c>
      <c r="D4690" s="7" t="s">
        <v>28</v>
      </c>
      <c r="E4690" s="7" t="s">
        <v>29</v>
      </c>
      <c r="F4690" s="7" t="s">
        <v>310</v>
      </c>
      <c r="G4690" s="7">
        <v>100.94370000000001</v>
      </c>
      <c r="H4690" s="7"/>
    </row>
    <row r="4691" spans="1:8" x14ac:dyDescent="0.35">
      <c r="A4691" s="7" t="s">
        <v>361</v>
      </c>
      <c r="B4691" s="7" t="s">
        <v>26</v>
      </c>
      <c r="C4691" s="7" t="s">
        <v>27</v>
      </c>
      <c r="D4691" s="7" t="s">
        <v>28</v>
      </c>
      <c r="E4691" s="7" t="s">
        <v>29</v>
      </c>
      <c r="F4691" s="7" t="s">
        <v>311</v>
      </c>
      <c r="G4691" s="7">
        <v>100.93170000000001</v>
      </c>
      <c r="H4691" s="7"/>
    </row>
    <row r="4692" spans="1:8" x14ac:dyDescent="0.35">
      <c r="A4692" s="7" t="s">
        <v>361</v>
      </c>
      <c r="B4692" s="7" t="s">
        <v>26</v>
      </c>
      <c r="C4692" s="7" t="s">
        <v>27</v>
      </c>
      <c r="D4692" s="7" t="s">
        <v>28</v>
      </c>
      <c r="E4692" s="7" t="s">
        <v>29</v>
      </c>
      <c r="F4692" s="7" t="s">
        <v>312</v>
      </c>
      <c r="G4692" s="7">
        <v>100.8982</v>
      </c>
      <c r="H4692" s="7"/>
    </row>
    <row r="4693" spans="1:8" x14ac:dyDescent="0.35">
      <c r="A4693" s="7" t="s">
        <v>361</v>
      </c>
      <c r="B4693" s="7" t="s">
        <v>26</v>
      </c>
      <c r="C4693" s="7" t="s">
        <v>27</v>
      </c>
      <c r="D4693" s="7" t="s">
        <v>28</v>
      </c>
      <c r="E4693" s="7" t="s">
        <v>29</v>
      </c>
      <c r="F4693" s="7" t="s">
        <v>313</v>
      </c>
      <c r="G4693" s="7">
        <v>100.86620000000001</v>
      </c>
      <c r="H4693" s="7"/>
    </row>
    <row r="4694" spans="1:8" x14ac:dyDescent="0.35">
      <c r="A4694" s="7" t="s">
        <v>361</v>
      </c>
      <c r="B4694" s="7" t="s">
        <v>26</v>
      </c>
      <c r="C4694" s="7" t="s">
        <v>27</v>
      </c>
      <c r="D4694" s="7" t="s">
        <v>28</v>
      </c>
      <c r="E4694" s="7" t="s">
        <v>29</v>
      </c>
      <c r="F4694" s="7" t="s">
        <v>314</v>
      </c>
      <c r="G4694" s="7">
        <v>100.85080000000001</v>
      </c>
      <c r="H4694" s="7"/>
    </row>
    <row r="4695" spans="1:8" x14ac:dyDescent="0.35">
      <c r="A4695" s="7" t="s">
        <v>361</v>
      </c>
      <c r="B4695" s="7" t="s">
        <v>26</v>
      </c>
      <c r="C4695" s="7" t="s">
        <v>27</v>
      </c>
      <c r="D4695" s="7" t="s">
        <v>28</v>
      </c>
      <c r="E4695" s="7" t="s">
        <v>29</v>
      </c>
      <c r="F4695" s="7" t="s">
        <v>315</v>
      </c>
      <c r="G4695" s="7">
        <v>100.8907</v>
      </c>
      <c r="H4695" s="7"/>
    </row>
    <row r="4696" spans="1:8" x14ac:dyDescent="0.35">
      <c r="A4696" s="7" t="s">
        <v>361</v>
      </c>
      <c r="B4696" s="7" t="s">
        <v>26</v>
      </c>
      <c r="C4696" s="7" t="s">
        <v>27</v>
      </c>
      <c r="D4696" s="7" t="s">
        <v>28</v>
      </c>
      <c r="E4696" s="7" t="s">
        <v>29</v>
      </c>
      <c r="F4696" s="7" t="s">
        <v>316</v>
      </c>
      <c r="G4696" s="7">
        <v>100.9044</v>
      </c>
      <c r="H4696" s="7"/>
    </row>
    <row r="4697" spans="1:8" x14ac:dyDescent="0.35">
      <c r="A4697" s="7" t="s">
        <v>361</v>
      </c>
      <c r="B4697" s="7" t="s">
        <v>26</v>
      </c>
      <c r="C4697" s="7" t="s">
        <v>27</v>
      </c>
      <c r="D4697" s="7" t="s">
        <v>28</v>
      </c>
      <c r="E4697" s="7" t="s">
        <v>29</v>
      </c>
      <c r="F4697" s="7" t="s">
        <v>317</v>
      </c>
      <c r="G4697" s="7">
        <v>100.8737</v>
      </c>
      <c r="H4697" s="7"/>
    </row>
    <row r="4698" spans="1:8" x14ac:dyDescent="0.35">
      <c r="A4698" s="7" t="s">
        <v>361</v>
      </c>
      <c r="B4698" s="7" t="s">
        <v>26</v>
      </c>
      <c r="C4698" s="7" t="s">
        <v>27</v>
      </c>
      <c r="D4698" s="7" t="s">
        <v>28</v>
      </c>
      <c r="E4698" s="7" t="s">
        <v>29</v>
      </c>
      <c r="F4698" s="7" t="s">
        <v>318</v>
      </c>
      <c r="G4698" s="7">
        <v>100.85120000000001</v>
      </c>
      <c r="H4698" s="7"/>
    </row>
    <row r="4699" spans="1:8" x14ac:dyDescent="0.35">
      <c r="A4699" s="7" t="s">
        <v>361</v>
      </c>
      <c r="B4699" s="7" t="s">
        <v>26</v>
      </c>
      <c r="C4699" s="7" t="s">
        <v>27</v>
      </c>
      <c r="D4699" s="7" t="s">
        <v>28</v>
      </c>
      <c r="E4699" s="7" t="s">
        <v>29</v>
      </c>
      <c r="F4699" s="7" t="s">
        <v>319</v>
      </c>
      <c r="G4699" s="7">
        <v>100.917</v>
      </c>
      <c r="H4699" s="7"/>
    </row>
    <row r="4700" spans="1:8" x14ac:dyDescent="0.35">
      <c r="A4700" s="7" t="s">
        <v>361</v>
      </c>
      <c r="B4700" s="7" t="s">
        <v>26</v>
      </c>
      <c r="C4700" s="7" t="s">
        <v>27</v>
      </c>
      <c r="D4700" s="7" t="s">
        <v>28</v>
      </c>
      <c r="E4700" s="7" t="s">
        <v>29</v>
      </c>
      <c r="F4700" s="7" t="s">
        <v>320</v>
      </c>
      <c r="G4700" s="7">
        <v>100.93380000000001</v>
      </c>
      <c r="H4700" s="7"/>
    </row>
    <row r="4701" spans="1:8" x14ac:dyDescent="0.35">
      <c r="A4701" s="7" t="s">
        <v>361</v>
      </c>
      <c r="B4701" s="7" t="s">
        <v>26</v>
      </c>
      <c r="C4701" s="7" t="s">
        <v>27</v>
      </c>
      <c r="D4701" s="7" t="s">
        <v>28</v>
      </c>
      <c r="E4701" s="7" t="s">
        <v>29</v>
      </c>
      <c r="F4701" s="7" t="s">
        <v>321</v>
      </c>
      <c r="G4701" s="7">
        <v>100.855</v>
      </c>
      <c r="H4701" s="7"/>
    </row>
    <row r="4702" spans="1:8" x14ac:dyDescent="0.35">
      <c r="A4702" s="7" t="s">
        <v>361</v>
      </c>
      <c r="B4702" s="7" t="s">
        <v>26</v>
      </c>
      <c r="C4702" s="7" t="s">
        <v>27</v>
      </c>
      <c r="D4702" s="7" t="s">
        <v>28</v>
      </c>
      <c r="E4702" s="7" t="s">
        <v>29</v>
      </c>
      <c r="F4702" s="7" t="s">
        <v>322</v>
      </c>
      <c r="G4702" s="7">
        <v>100.8355</v>
      </c>
      <c r="H4702" s="7"/>
    </row>
    <row r="4703" spans="1:8" x14ac:dyDescent="0.35">
      <c r="A4703" s="7" t="s">
        <v>361</v>
      </c>
      <c r="B4703" s="7" t="s">
        <v>26</v>
      </c>
      <c r="C4703" s="7" t="s">
        <v>27</v>
      </c>
      <c r="D4703" s="7" t="s">
        <v>28</v>
      </c>
      <c r="E4703" s="7" t="s">
        <v>29</v>
      </c>
      <c r="F4703" s="7" t="s">
        <v>323</v>
      </c>
      <c r="G4703" s="7">
        <v>100.8308</v>
      </c>
      <c r="H4703" s="7"/>
    </row>
    <row r="4704" spans="1:8" x14ac:dyDescent="0.35">
      <c r="A4704" s="7" t="s">
        <v>361</v>
      </c>
      <c r="B4704" s="7" t="s">
        <v>26</v>
      </c>
      <c r="C4704" s="7" t="s">
        <v>27</v>
      </c>
      <c r="D4704" s="7" t="s">
        <v>28</v>
      </c>
      <c r="E4704" s="7" t="s">
        <v>29</v>
      </c>
      <c r="F4704" s="7" t="s">
        <v>324</v>
      </c>
      <c r="G4704" s="7">
        <v>100.7976</v>
      </c>
      <c r="H4704" s="7"/>
    </row>
    <row r="4705" spans="1:8" x14ac:dyDescent="0.35">
      <c r="A4705" s="7" t="s">
        <v>361</v>
      </c>
      <c r="B4705" s="7" t="s">
        <v>26</v>
      </c>
      <c r="C4705" s="7" t="s">
        <v>27</v>
      </c>
      <c r="D4705" s="7" t="s">
        <v>28</v>
      </c>
      <c r="E4705" s="7" t="s">
        <v>29</v>
      </c>
      <c r="F4705" s="7" t="s">
        <v>325</v>
      </c>
      <c r="G4705" s="7">
        <v>100.7307</v>
      </c>
      <c r="H4705" s="7"/>
    </row>
    <row r="4706" spans="1:8" x14ac:dyDescent="0.35">
      <c r="A4706" s="7" t="s">
        <v>361</v>
      </c>
      <c r="B4706" s="7" t="s">
        <v>26</v>
      </c>
      <c r="C4706" s="7" t="s">
        <v>27</v>
      </c>
      <c r="D4706" s="7" t="s">
        <v>28</v>
      </c>
      <c r="E4706" s="7" t="s">
        <v>29</v>
      </c>
      <c r="F4706" s="7" t="s">
        <v>326</v>
      </c>
      <c r="G4706" s="7">
        <v>100.70659999999999</v>
      </c>
      <c r="H4706" s="7"/>
    </row>
    <row r="4707" spans="1:8" x14ac:dyDescent="0.35">
      <c r="A4707" s="7" t="s">
        <v>361</v>
      </c>
      <c r="B4707" s="7" t="s">
        <v>26</v>
      </c>
      <c r="C4707" s="7" t="s">
        <v>27</v>
      </c>
      <c r="D4707" s="7" t="s">
        <v>28</v>
      </c>
      <c r="E4707" s="7" t="s">
        <v>29</v>
      </c>
      <c r="F4707" s="7" t="s">
        <v>327</v>
      </c>
      <c r="G4707" s="7">
        <v>100.7376</v>
      </c>
      <c r="H4707" s="7"/>
    </row>
    <row r="4708" spans="1:8" x14ac:dyDescent="0.35">
      <c r="A4708" s="7" t="s">
        <v>361</v>
      </c>
      <c r="B4708" s="7" t="s">
        <v>26</v>
      </c>
      <c r="C4708" s="7" t="s">
        <v>27</v>
      </c>
      <c r="D4708" s="7" t="s">
        <v>28</v>
      </c>
      <c r="E4708" s="7" t="s">
        <v>29</v>
      </c>
      <c r="F4708" s="7" t="s">
        <v>328</v>
      </c>
      <c r="G4708" s="7">
        <v>100.8593</v>
      </c>
      <c r="H4708" s="7"/>
    </row>
    <row r="4709" spans="1:8" x14ac:dyDescent="0.35">
      <c r="A4709" s="7" t="s">
        <v>361</v>
      </c>
      <c r="B4709" s="7" t="s">
        <v>26</v>
      </c>
      <c r="C4709" s="7" t="s">
        <v>27</v>
      </c>
      <c r="D4709" s="7" t="s">
        <v>28</v>
      </c>
      <c r="E4709" s="7" t="s">
        <v>29</v>
      </c>
      <c r="F4709" s="7" t="s">
        <v>329</v>
      </c>
      <c r="G4709" s="7">
        <v>101.05719999999999</v>
      </c>
      <c r="H4709" s="7"/>
    </row>
    <row r="4710" spans="1:8" x14ac:dyDescent="0.35">
      <c r="A4710" s="7" t="s">
        <v>361</v>
      </c>
      <c r="B4710" s="7" t="s">
        <v>26</v>
      </c>
      <c r="C4710" s="7" t="s">
        <v>27</v>
      </c>
      <c r="D4710" s="7" t="s">
        <v>28</v>
      </c>
      <c r="E4710" s="7" t="s">
        <v>29</v>
      </c>
      <c r="F4710" s="7" t="s">
        <v>330</v>
      </c>
      <c r="G4710" s="7">
        <v>101.28400000000001</v>
      </c>
      <c r="H4710" s="7"/>
    </row>
    <row r="4711" spans="1:8" x14ac:dyDescent="0.35">
      <c r="A4711" s="7" t="s">
        <v>361</v>
      </c>
      <c r="B4711" s="7" t="s">
        <v>26</v>
      </c>
      <c r="C4711" s="7" t="s">
        <v>27</v>
      </c>
      <c r="D4711" s="7" t="s">
        <v>28</v>
      </c>
      <c r="E4711" s="7" t="s">
        <v>29</v>
      </c>
      <c r="F4711" s="7" t="s">
        <v>331</v>
      </c>
      <c r="G4711" s="7">
        <v>101.453</v>
      </c>
      <c r="H4711" s="7"/>
    </row>
    <row r="4712" spans="1:8" x14ac:dyDescent="0.35">
      <c r="A4712" s="7" t="s">
        <v>361</v>
      </c>
      <c r="B4712" s="7" t="s">
        <v>26</v>
      </c>
      <c r="C4712" s="7" t="s">
        <v>27</v>
      </c>
      <c r="D4712" s="7" t="s">
        <v>28</v>
      </c>
      <c r="E4712" s="7" t="s">
        <v>29</v>
      </c>
      <c r="F4712" s="7" t="s">
        <v>332</v>
      </c>
      <c r="G4712" s="7">
        <v>101.5424</v>
      </c>
      <c r="H4712" s="7"/>
    </row>
    <row r="4713" spans="1:8" x14ac:dyDescent="0.35">
      <c r="A4713" s="7" t="s">
        <v>361</v>
      </c>
      <c r="B4713" s="7" t="s">
        <v>26</v>
      </c>
      <c r="C4713" s="7" t="s">
        <v>27</v>
      </c>
      <c r="D4713" s="7" t="s">
        <v>28</v>
      </c>
      <c r="E4713" s="7" t="s">
        <v>29</v>
      </c>
      <c r="F4713" s="7" t="s">
        <v>333</v>
      </c>
      <c r="G4713" s="7">
        <v>101.6819</v>
      </c>
      <c r="H4713" s="7"/>
    </row>
    <row r="4714" spans="1:8" x14ac:dyDescent="0.35">
      <c r="A4714" s="7" t="s">
        <v>361</v>
      </c>
      <c r="B4714" s="7" t="s">
        <v>26</v>
      </c>
      <c r="C4714" s="7" t="s">
        <v>27</v>
      </c>
      <c r="D4714" s="7" t="s">
        <v>28</v>
      </c>
      <c r="E4714" s="7" t="s">
        <v>29</v>
      </c>
      <c r="F4714" s="7" t="s">
        <v>334</v>
      </c>
      <c r="G4714" s="7">
        <v>101.8824</v>
      </c>
      <c r="H4714" s="7"/>
    </row>
    <row r="4715" spans="1:8" x14ac:dyDescent="0.35">
      <c r="A4715" s="7" t="s">
        <v>361</v>
      </c>
      <c r="B4715" s="7" t="s">
        <v>26</v>
      </c>
      <c r="C4715" s="7" t="s">
        <v>27</v>
      </c>
      <c r="D4715" s="7" t="s">
        <v>28</v>
      </c>
      <c r="E4715" s="7" t="s">
        <v>29</v>
      </c>
      <c r="F4715" s="7" t="s">
        <v>335</v>
      </c>
      <c r="G4715" s="7">
        <v>102.0992</v>
      </c>
      <c r="H4715" s="7"/>
    </row>
    <row r="4716" spans="1:8" x14ac:dyDescent="0.35">
      <c r="A4716" s="7" t="s">
        <v>361</v>
      </c>
      <c r="B4716" s="7" t="s">
        <v>26</v>
      </c>
      <c r="C4716" s="7" t="s">
        <v>27</v>
      </c>
      <c r="D4716" s="7" t="s">
        <v>28</v>
      </c>
      <c r="E4716" s="7" t="s">
        <v>29</v>
      </c>
      <c r="F4716" s="7" t="s">
        <v>336</v>
      </c>
      <c r="G4716" s="7">
        <v>102.2867</v>
      </c>
      <c r="H4716" s="7"/>
    </row>
    <row r="4717" spans="1:8" x14ac:dyDescent="0.35">
      <c r="A4717" s="7" t="s">
        <v>361</v>
      </c>
      <c r="B4717" s="7" t="s">
        <v>26</v>
      </c>
      <c r="C4717" s="7" t="s">
        <v>27</v>
      </c>
      <c r="D4717" s="7" t="s">
        <v>28</v>
      </c>
      <c r="E4717" s="7" t="s">
        <v>29</v>
      </c>
      <c r="F4717" s="7" t="s">
        <v>337</v>
      </c>
      <c r="G4717" s="7">
        <v>102.4066</v>
      </c>
      <c r="H4717" s="7"/>
    </row>
    <row r="4718" spans="1:8" x14ac:dyDescent="0.35">
      <c r="A4718" s="7" t="s">
        <v>361</v>
      </c>
      <c r="B4718" s="7" t="s">
        <v>26</v>
      </c>
      <c r="C4718" s="7" t="s">
        <v>27</v>
      </c>
      <c r="D4718" s="7" t="s">
        <v>28</v>
      </c>
      <c r="E4718" s="7" t="s">
        <v>29</v>
      </c>
      <c r="F4718" s="7" t="s">
        <v>338</v>
      </c>
      <c r="G4718" s="7">
        <v>102.4208</v>
      </c>
      <c r="H4718" s="7"/>
    </row>
    <row r="4719" spans="1:8" x14ac:dyDescent="0.35">
      <c r="A4719" s="7" t="s">
        <v>361</v>
      </c>
      <c r="B4719" s="7" t="s">
        <v>26</v>
      </c>
      <c r="C4719" s="7" t="s">
        <v>27</v>
      </c>
      <c r="D4719" s="7" t="s">
        <v>28</v>
      </c>
      <c r="E4719" s="7" t="s">
        <v>29</v>
      </c>
      <c r="F4719" s="7" t="s">
        <v>339</v>
      </c>
      <c r="G4719" s="7">
        <v>102.3856</v>
      </c>
      <c r="H4719" s="7"/>
    </row>
    <row r="4720" spans="1:8" x14ac:dyDescent="0.35">
      <c r="A4720" s="7" t="s">
        <v>361</v>
      </c>
      <c r="B4720" s="7" t="s">
        <v>26</v>
      </c>
      <c r="C4720" s="7" t="s">
        <v>27</v>
      </c>
      <c r="D4720" s="7" t="s">
        <v>28</v>
      </c>
      <c r="E4720" s="7" t="s">
        <v>29</v>
      </c>
      <c r="F4720" s="7" t="s">
        <v>340</v>
      </c>
      <c r="G4720" s="7">
        <v>102.40479999999999</v>
      </c>
      <c r="H4720" s="7"/>
    </row>
    <row r="4721" spans="1:8" x14ac:dyDescent="0.35">
      <c r="A4721" s="7" t="s">
        <v>361</v>
      </c>
      <c r="B4721" s="7" t="s">
        <v>26</v>
      </c>
      <c r="C4721" s="7" t="s">
        <v>27</v>
      </c>
      <c r="D4721" s="7" t="s">
        <v>28</v>
      </c>
      <c r="E4721" s="7" t="s">
        <v>29</v>
      </c>
      <c r="F4721" s="7" t="s">
        <v>341</v>
      </c>
      <c r="G4721" s="7">
        <v>102.49460000000001</v>
      </c>
      <c r="H4721" s="7"/>
    </row>
    <row r="4722" spans="1:8" x14ac:dyDescent="0.35">
      <c r="A4722" s="7" t="s">
        <v>361</v>
      </c>
      <c r="B4722" s="7" t="s">
        <v>26</v>
      </c>
      <c r="C4722" s="7" t="s">
        <v>27</v>
      </c>
      <c r="D4722" s="7" t="s">
        <v>28</v>
      </c>
      <c r="E4722" s="7" t="s">
        <v>29</v>
      </c>
      <c r="F4722" s="7" t="s">
        <v>342</v>
      </c>
      <c r="G4722" s="7">
        <v>102.49</v>
      </c>
      <c r="H4722" s="7"/>
    </row>
    <row r="4723" spans="1:8" x14ac:dyDescent="0.35">
      <c r="A4723" s="7" t="s">
        <v>361</v>
      </c>
      <c r="B4723" s="7" t="s">
        <v>26</v>
      </c>
      <c r="C4723" s="7" t="s">
        <v>27</v>
      </c>
      <c r="D4723" s="7" t="s">
        <v>28</v>
      </c>
      <c r="E4723" s="7" t="s">
        <v>29</v>
      </c>
      <c r="F4723" s="7" t="s">
        <v>343</v>
      </c>
      <c r="G4723" s="7">
        <v>102.3917</v>
      </c>
      <c r="H4723" s="7"/>
    </row>
    <row r="4724" spans="1:8" x14ac:dyDescent="0.35">
      <c r="A4724" s="7" t="s">
        <v>361</v>
      </c>
      <c r="B4724" s="7" t="s">
        <v>26</v>
      </c>
      <c r="C4724" s="7" t="s">
        <v>27</v>
      </c>
      <c r="D4724" s="7" t="s">
        <v>28</v>
      </c>
      <c r="E4724" s="7" t="s">
        <v>29</v>
      </c>
      <c r="F4724" s="7" t="s">
        <v>344</v>
      </c>
      <c r="G4724" s="7">
        <v>102.3282</v>
      </c>
      <c r="H4724" s="7"/>
    </row>
    <row r="4725" spans="1:8" x14ac:dyDescent="0.35">
      <c r="A4725" s="7" t="s">
        <v>361</v>
      </c>
      <c r="B4725" s="7" t="s">
        <v>26</v>
      </c>
      <c r="C4725" s="7" t="s">
        <v>27</v>
      </c>
      <c r="D4725" s="7" t="s">
        <v>28</v>
      </c>
      <c r="E4725" s="7" t="s">
        <v>29</v>
      </c>
      <c r="F4725" s="7" t="s">
        <v>345</v>
      </c>
      <c r="G4725" s="7">
        <v>102.35590000000001</v>
      </c>
      <c r="H4725" s="7"/>
    </row>
    <row r="4726" spans="1:8" x14ac:dyDescent="0.35">
      <c r="A4726" s="7" t="s">
        <v>361</v>
      </c>
      <c r="B4726" s="7" t="s">
        <v>26</v>
      </c>
      <c r="C4726" s="7" t="s">
        <v>27</v>
      </c>
      <c r="D4726" s="7" t="s">
        <v>28</v>
      </c>
      <c r="E4726" s="7" t="s">
        <v>29</v>
      </c>
      <c r="F4726" s="7" t="s">
        <v>346</v>
      </c>
      <c r="G4726" s="7">
        <v>102.42610000000001</v>
      </c>
      <c r="H4726" s="7"/>
    </row>
    <row r="4727" spans="1:8" x14ac:dyDescent="0.35">
      <c r="A4727" s="7" t="s">
        <v>362</v>
      </c>
      <c r="B4727" s="7" t="s">
        <v>26</v>
      </c>
      <c r="C4727" s="7" t="s">
        <v>27</v>
      </c>
      <c r="D4727" s="7" t="s">
        <v>28</v>
      </c>
      <c r="E4727" s="7" t="s">
        <v>29</v>
      </c>
      <c r="F4727" s="7" t="s">
        <v>30</v>
      </c>
      <c r="G4727" s="7">
        <v>99.31953</v>
      </c>
      <c r="H4727" s="7"/>
    </row>
    <row r="4728" spans="1:8" x14ac:dyDescent="0.35">
      <c r="A4728" s="7" t="s">
        <v>362</v>
      </c>
      <c r="B4728" s="7" t="s">
        <v>26</v>
      </c>
      <c r="C4728" s="7" t="s">
        <v>27</v>
      </c>
      <c r="D4728" s="7" t="s">
        <v>28</v>
      </c>
      <c r="E4728" s="7" t="s">
        <v>29</v>
      </c>
      <c r="F4728" s="7" t="s">
        <v>31</v>
      </c>
      <c r="G4728" s="7">
        <v>99.478229999999996</v>
      </c>
      <c r="H4728" s="7"/>
    </row>
    <row r="4729" spans="1:8" x14ac:dyDescent="0.35">
      <c r="A4729" s="7" t="s">
        <v>362</v>
      </c>
      <c r="B4729" s="7" t="s">
        <v>26</v>
      </c>
      <c r="C4729" s="7" t="s">
        <v>27</v>
      </c>
      <c r="D4729" s="7" t="s">
        <v>28</v>
      </c>
      <c r="E4729" s="7" t="s">
        <v>29</v>
      </c>
      <c r="F4729" s="7" t="s">
        <v>32</v>
      </c>
      <c r="G4729" s="7">
        <v>99.417000000000002</v>
      </c>
      <c r="H4729" s="7"/>
    </row>
    <row r="4730" spans="1:8" x14ac:dyDescent="0.35">
      <c r="A4730" s="7" t="s">
        <v>362</v>
      </c>
      <c r="B4730" s="7" t="s">
        <v>26</v>
      </c>
      <c r="C4730" s="7" t="s">
        <v>27</v>
      </c>
      <c r="D4730" s="7" t="s">
        <v>28</v>
      </c>
      <c r="E4730" s="7" t="s">
        <v>29</v>
      </c>
      <c r="F4730" s="7" t="s">
        <v>33</v>
      </c>
      <c r="G4730" s="7">
        <v>99.238900000000001</v>
      </c>
      <c r="H4730" s="7"/>
    </row>
    <row r="4731" spans="1:8" x14ac:dyDescent="0.35">
      <c r="A4731" s="7" t="s">
        <v>362</v>
      </c>
      <c r="B4731" s="7" t="s">
        <v>26</v>
      </c>
      <c r="C4731" s="7" t="s">
        <v>27</v>
      </c>
      <c r="D4731" s="7" t="s">
        <v>28</v>
      </c>
      <c r="E4731" s="7" t="s">
        <v>29</v>
      </c>
      <c r="F4731" s="7" t="s">
        <v>34</v>
      </c>
      <c r="G4731" s="7">
        <v>99.209450000000004</v>
      </c>
      <c r="H4731" s="7"/>
    </row>
    <row r="4732" spans="1:8" x14ac:dyDescent="0.35">
      <c r="A4732" s="7" t="s">
        <v>362</v>
      </c>
      <c r="B4732" s="7" t="s">
        <v>26</v>
      </c>
      <c r="C4732" s="7" t="s">
        <v>27</v>
      </c>
      <c r="D4732" s="7" t="s">
        <v>28</v>
      </c>
      <c r="E4732" s="7" t="s">
        <v>29</v>
      </c>
      <c r="F4732" s="7" t="s">
        <v>35</v>
      </c>
      <c r="G4732" s="7">
        <v>99.366290000000006</v>
      </c>
      <c r="H4732" s="7"/>
    </row>
    <row r="4733" spans="1:8" x14ac:dyDescent="0.35">
      <c r="A4733" s="7" t="s">
        <v>362</v>
      </c>
      <c r="B4733" s="7" t="s">
        <v>26</v>
      </c>
      <c r="C4733" s="7" t="s">
        <v>27</v>
      </c>
      <c r="D4733" s="7" t="s">
        <v>28</v>
      </c>
      <c r="E4733" s="7" t="s">
        <v>29</v>
      </c>
      <c r="F4733" s="7" t="s">
        <v>36</v>
      </c>
      <c r="G4733" s="7">
        <v>99.561819999999997</v>
      </c>
      <c r="H4733" s="7"/>
    </row>
    <row r="4734" spans="1:8" x14ac:dyDescent="0.35">
      <c r="A4734" s="7" t="s">
        <v>362</v>
      </c>
      <c r="B4734" s="7" t="s">
        <v>26</v>
      </c>
      <c r="C4734" s="7" t="s">
        <v>27</v>
      </c>
      <c r="D4734" s="7" t="s">
        <v>28</v>
      </c>
      <c r="E4734" s="7" t="s">
        <v>29</v>
      </c>
      <c r="F4734" s="7" t="s">
        <v>37</v>
      </c>
      <c r="G4734" s="7">
        <v>99.636889999999994</v>
      </c>
      <c r="H4734" s="7"/>
    </row>
    <row r="4735" spans="1:8" x14ac:dyDescent="0.35">
      <c r="A4735" s="7" t="s">
        <v>362</v>
      </c>
      <c r="B4735" s="7" t="s">
        <v>26</v>
      </c>
      <c r="C4735" s="7" t="s">
        <v>27</v>
      </c>
      <c r="D4735" s="7" t="s">
        <v>28</v>
      </c>
      <c r="E4735" s="7" t="s">
        <v>29</v>
      </c>
      <c r="F4735" s="7" t="s">
        <v>38</v>
      </c>
      <c r="G4735" s="7">
        <v>99.608599999999996</v>
      </c>
      <c r="H4735" s="7"/>
    </row>
    <row r="4736" spans="1:8" x14ac:dyDescent="0.35">
      <c r="A4736" s="7" t="s">
        <v>362</v>
      </c>
      <c r="B4736" s="7" t="s">
        <v>26</v>
      </c>
      <c r="C4736" s="7" t="s">
        <v>27</v>
      </c>
      <c r="D4736" s="7" t="s">
        <v>28</v>
      </c>
      <c r="E4736" s="7" t="s">
        <v>29</v>
      </c>
      <c r="F4736" s="7" t="s">
        <v>39</v>
      </c>
      <c r="G4736" s="7">
        <v>99.463099999999997</v>
      </c>
      <c r="H4736" s="7"/>
    </row>
    <row r="4737" spans="1:8" x14ac:dyDescent="0.35">
      <c r="A4737" s="7" t="s">
        <v>362</v>
      </c>
      <c r="B4737" s="7" t="s">
        <v>26</v>
      </c>
      <c r="C4737" s="7" t="s">
        <v>27</v>
      </c>
      <c r="D4737" s="7" t="s">
        <v>28</v>
      </c>
      <c r="E4737" s="7" t="s">
        <v>29</v>
      </c>
      <c r="F4737" s="7" t="s">
        <v>40</v>
      </c>
      <c r="G4737" s="7">
        <v>99.210239999999999</v>
      </c>
      <c r="H4737" s="7"/>
    </row>
    <row r="4738" spans="1:8" x14ac:dyDescent="0.35">
      <c r="A4738" s="7" t="s">
        <v>362</v>
      </c>
      <c r="B4738" s="7" t="s">
        <v>26</v>
      </c>
      <c r="C4738" s="7" t="s">
        <v>27</v>
      </c>
      <c r="D4738" s="7" t="s">
        <v>28</v>
      </c>
      <c r="E4738" s="7" t="s">
        <v>29</v>
      </c>
      <c r="F4738" s="7" t="s">
        <v>41</v>
      </c>
      <c r="G4738" s="7">
        <v>98.989429999999999</v>
      </c>
      <c r="H4738" s="7"/>
    </row>
    <row r="4739" spans="1:8" x14ac:dyDescent="0.35">
      <c r="A4739" s="7" t="s">
        <v>362</v>
      </c>
      <c r="B4739" s="7" t="s">
        <v>26</v>
      </c>
      <c r="C4739" s="7" t="s">
        <v>27</v>
      </c>
      <c r="D4739" s="7" t="s">
        <v>28</v>
      </c>
      <c r="E4739" s="7" t="s">
        <v>29</v>
      </c>
      <c r="F4739" s="7" t="s">
        <v>42</v>
      </c>
      <c r="G4739" s="7">
        <v>98.820189999999997</v>
      </c>
      <c r="H4739" s="7"/>
    </row>
    <row r="4740" spans="1:8" x14ac:dyDescent="0.35">
      <c r="A4740" s="7" t="s">
        <v>362</v>
      </c>
      <c r="B4740" s="7" t="s">
        <v>26</v>
      </c>
      <c r="C4740" s="7" t="s">
        <v>27</v>
      </c>
      <c r="D4740" s="7" t="s">
        <v>28</v>
      </c>
      <c r="E4740" s="7" t="s">
        <v>29</v>
      </c>
      <c r="F4740" s="7" t="s">
        <v>43</v>
      </c>
      <c r="G4740" s="7">
        <v>98.862589999999997</v>
      </c>
      <c r="H4740" s="7"/>
    </row>
    <row r="4741" spans="1:8" x14ac:dyDescent="0.35">
      <c r="A4741" s="7" t="s">
        <v>362</v>
      </c>
      <c r="B4741" s="7" t="s">
        <v>26</v>
      </c>
      <c r="C4741" s="7" t="s">
        <v>27</v>
      </c>
      <c r="D4741" s="7" t="s">
        <v>28</v>
      </c>
      <c r="E4741" s="7" t="s">
        <v>29</v>
      </c>
      <c r="F4741" s="7" t="s">
        <v>44</v>
      </c>
      <c r="G4741" s="7">
        <v>98.951970000000003</v>
      </c>
      <c r="H4741" s="7"/>
    </row>
    <row r="4742" spans="1:8" x14ac:dyDescent="0.35">
      <c r="A4742" s="7" t="s">
        <v>362</v>
      </c>
      <c r="B4742" s="7" t="s">
        <v>26</v>
      </c>
      <c r="C4742" s="7" t="s">
        <v>27</v>
      </c>
      <c r="D4742" s="7" t="s">
        <v>28</v>
      </c>
      <c r="E4742" s="7" t="s">
        <v>29</v>
      </c>
      <c r="F4742" s="7" t="s">
        <v>45</v>
      </c>
      <c r="G4742" s="7">
        <v>98.979500000000002</v>
      </c>
      <c r="H4742" s="7"/>
    </row>
    <row r="4743" spans="1:8" x14ac:dyDescent="0.35">
      <c r="A4743" s="7" t="s">
        <v>362</v>
      </c>
      <c r="B4743" s="7" t="s">
        <v>26</v>
      </c>
      <c r="C4743" s="7" t="s">
        <v>27</v>
      </c>
      <c r="D4743" s="7" t="s">
        <v>28</v>
      </c>
      <c r="E4743" s="7" t="s">
        <v>29</v>
      </c>
      <c r="F4743" s="7" t="s">
        <v>46</v>
      </c>
      <c r="G4743" s="7">
        <v>98.961539999999999</v>
      </c>
      <c r="H4743" s="7"/>
    </row>
    <row r="4744" spans="1:8" x14ac:dyDescent="0.35">
      <c r="A4744" s="7" t="s">
        <v>362</v>
      </c>
      <c r="B4744" s="7" t="s">
        <v>26</v>
      </c>
      <c r="C4744" s="7" t="s">
        <v>27</v>
      </c>
      <c r="D4744" s="7" t="s">
        <v>28</v>
      </c>
      <c r="E4744" s="7" t="s">
        <v>29</v>
      </c>
      <c r="F4744" s="7" t="s">
        <v>47</v>
      </c>
      <c r="G4744" s="7">
        <v>99.012020000000007</v>
      </c>
      <c r="H4744" s="7"/>
    </row>
    <row r="4745" spans="1:8" x14ac:dyDescent="0.35">
      <c r="A4745" s="7" t="s">
        <v>362</v>
      </c>
      <c r="B4745" s="7" t="s">
        <v>26</v>
      </c>
      <c r="C4745" s="7" t="s">
        <v>27</v>
      </c>
      <c r="D4745" s="7" t="s">
        <v>28</v>
      </c>
      <c r="E4745" s="7" t="s">
        <v>29</v>
      </c>
      <c r="F4745" s="7" t="s">
        <v>48</v>
      </c>
      <c r="G4745" s="7">
        <v>99.188590000000005</v>
      </c>
      <c r="H4745" s="7"/>
    </row>
    <row r="4746" spans="1:8" x14ac:dyDescent="0.35">
      <c r="A4746" s="7" t="s">
        <v>362</v>
      </c>
      <c r="B4746" s="7" t="s">
        <v>26</v>
      </c>
      <c r="C4746" s="7" t="s">
        <v>27</v>
      </c>
      <c r="D4746" s="7" t="s">
        <v>28</v>
      </c>
      <c r="E4746" s="7" t="s">
        <v>29</v>
      </c>
      <c r="F4746" s="7" t="s">
        <v>49</v>
      </c>
      <c r="G4746" s="7">
        <v>99.362840000000006</v>
      </c>
      <c r="H4746" s="7"/>
    </row>
    <row r="4747" spans="1:8" x14ac:dyDescent="0.35">
      <c r="A4747" s="7" t="s">
        <v>362</v>
      </c>
      <c r="B4747" s="7" t="s">
        <v>26</v>
      </c>
      <c r="C4747" s="7" t="s">
        <v>27</v>
      </c>
      <c r="D4747" s="7" t="s">
        <v>28</v>
      </c>
      <c r="E4747" s="7" t="s">
        <v>29</v>
      </c>
      <c r="F4747" s="7" t="s">
        <v>50</v>
      </c>
      <c r="G4747" s="7">
        <v>99.427049999999994</v>
      </c>
      <c r="H4747" s="7"/>
    </row>
    <row r="4748" spans="1:8" x14ac:dyDescent="0.35">
      <c r="A4748" s="7" t="s">
        <v>362</v>
      </c>
      <c r="B4748" s="7" t="s">
        <v>26</v>
      </c>
      <c r="C4748" s="7" t="s">
        <v>27</v>
      </c>
      <c r="D4748" s="7" t="s">
        <v>28</v>
      </c>
      <c r="E4748" s="7" t="s">
        <v>29</v>
      </c>
      <c r="F4748" s="7" t="s">
        <v>51</v>
      </c>
      <c r="G4748" s="7">
        <v>99.39761</v>
      </c>
      <c r="H4748" s="7"/>
    </row>
    <row r="4749" spans="1:8" x14ac:dyDescent="0.35">
      <c r="A4749" s="7" t="s">
        <v>362</v>
      </c>
      <c r="B4749" s="7" t="s">
        <v>26</v>
      </c>
      <c r="C4749" s="7" t="s">
        <v>27</v>
      </c>
      <c r="D4749" s="7" t="s">
        <v>28</v>
      </c>
      <c r="E4749" s="7" t="s">
        <v>29</v>
      </c>
      <c r="F4749" s="7" t="s">
        <v>52</v>
      </c>
      <c r="G4749" s="7">
        <v>99.377200000000002</v>
      </c>
      <c r="H4749" s="7"/>
    </row>
    <row r="4750" spans="1:8" x14ac:dyDescent="0.35">
      <c r="A4750" s="7" t="s">
        <v>362</v>
      </c>
      <c r="B4750" s="7" t="s">
        <v>26</v>
      </c>
      <c r="C4750" s="7" t="s">
        <v>27</v>
      </c>
      <c r="D4750" s="7" t="s">
        <v>28</v>
      </c>
      <c r="E4750" s="7" t="s">
        <v>29</v>
      </c>
      <c r="F4750" s="7" t="s">
        <v>53</v>
      </c>
      <c r="G4750" s="7">
        <v>99.385949999999994</v>
      </c>
      <c r="H4750" s="7"/>
    </row>
    <row r="4751" spans="1:8" x14ac:dyDescent="0.35">
      <c r="A4751" s="7" t="s">
        <v>362</v>
      </c>
      <c r="B4751" s="7" t="s">
        <v>26</v>
      </c>
      <c r="C4751" s="7" t="s">
        <v>27</v>
      </c>
      <c r="D4751" s="7" t="s">
        <v>28</v>
      </c>
      <c r="E4751" s="7" t="s">
        <v>29</v>
      </c>
      <c r="F4751" s="7" t="s">
        <v>54</v>
      </c>
      <c r="G4751" s="7">
        <v>99.527299999999997</v>
      </c>
      <c r="H4751" s="7"/>
    </row>
    <row r="4752" spans="1:8" x14ac:dyDescent="0.35">
      <c r="A4752" s="7" t="s">
        <v>362</v>
      </c>
      <c r="B4752" s="7" t="s">
        <v>26</v>
      </c>
      <c r="C4752" s="7" t="s">
        <v>27</v>
      </c>
      <c r="D4752" s="7" t="s">
        <v>28</v>
      </c>
      <c r="E4752" s="7" t="s">
        <v>29</v>
      </c>
      <c r="F4752" s="7" t="s">
        <v>55</v>
      </c>
      <c r="G4752" s="7">
        <v>99.794120000000007</v>
      </c>
      <c r="H4752" s="7"/>
    </row>
    <row r="4753" spans="1:8" x14ac:dyDescent="0.35">
      <c r="A4753" s="7" t="s">
        <v>362</v>
      </c>
      <c r="B4753" s="7" t="s">
        <v>26</v>
      </c>
      <c r="C4753" s="7" t="s">
        <v>27</v>
      </c>
      <c r="D4753" s="7" t="s">
        <v>28</v>
      </c>
      <c r="E4753" s="7" t="s">
        <v>29</v>
      </c>
      <c r="F4753" s="7" t="s">
        <v>56</v>
      </c>
      <c r="G4753" s="7">
        <v>100.1521</v>
      </c>
      <c r="H4753" s="7"/>
    </row>
    <row r="4754" spans="1:8" x14ac:dyDescent="0.35">
      <c r="A4754" s="7" t="s">
        <v>362</v>
      </c>
      <c r="B4754" s="7" t="s">
        <v>26</v>
      </c>
      <c r="C4754" s="7" t="s">
        <v>27</v>
      </c>
      <c r="D4754" s="7" t="s">
        <v>28</v>
      </c>
      <c r="E4754" s="7" t="s">
        <v>29</v>
      </c>
      <c r="F4754" s="7" t="s">
        <v>57</v>
      </c>
      <c r="G4754" s="7">
        <v>100.4846</v>
      </c>
      <c r="H4754" s="7"/>
    </row>
    <row r="4755" spans="1:8" x14ac:dyDescent="0.35">
      <c r="A4755" s="7" t="s">
        <v>362</v>
      </c>
      <c r="B4755" s="7" t="s">
        <v>26</v>
      </c>
      <c r="C4755" s="7" t="s">
        <v>27</v>
      </c>
      <c r="D4755" s="7" t="s">
        <v>28</v>
      </c>
      <c r="E4755" s="7" t="s">
        <v>29</v>
      </c>
      <c r="F4755" s="7" t="s">
        <v>58</v>
      </c>
      <c r="G4755" s="7">
        <v>100.631</v>
      </c>
      <c r="H4755" s="7"/>
    </row>
    <row r="4756" spans="1:8" x14ac:dyDescent="0.35">
      <c r="A4756" s="7" t="s">
        <v>362</v>
      </c>
      <c r="B4756" s="7" t="s">
        <v>26</v>
      </c>
      <c r="C4756" s="7" t="s">
        <v>27</v>
      </c>
      <c r="D4756" s="7" t="s">
        <v>28</v>
      </c>
      <c r="E4756" s="7" t="s">
        <v>29</v>
      </c>
      <c r="F4756" s="7" t="s">
        <v>59</v>
      </c>
      <c r="G4756" s="7">
        <v>100.7547</v>
      </c>
      <c r="H4756" s="7"/>
    </row>
    <row r="4757" spans="1:8" x14ac:dyDescent="0.35">
      <c r="A4757" s="7" t="s">
        <v>362</v>
      </c>
      <c r="B4757" s="7" t="s">
        <v>26</v>
      </c>
      <c r="C4757" s="7" t="s">
        <v>27</v>
      </c>
      <c r="D4757" s="7" t="s">
        <v>28</v>
      </c>
      <c r="E4757" s="7" t="s">
        <v>29</v>
      </c>
      <c r="F4757" s="7" t="s">
        <v>60</v>
      </c>
      <c r="G4757" s="7">
        <v>100.82729999999999</v>
      </c>
      <c r="H4757" s="7"/>
    </row>
    <row r="4758" spans="1:8" x14ac:dyDescent="0.35">
      <c r="A4758" s="7" t="s">
        <v>362</v>
      </c>
      <c r="B4758" s="7" t="s">
        <v>26</v>
      </c>
      <c r="C4758" s="7" t="s">
        <v>27</v>
      </c>
      <c r="D4758" s="7" t="s">
        <v>28</v>
      </c>
      <c r="E4758" s="7" t="s">
        <v>29</v>
      </c>
      <c r="F4758" s="7" t="s">
        <v>61</v>
      </c>
      <c r="G4758" s="7">
        <v>100.9933</v>
      </c>
      <c r="H4758" s="7"/>
    </row>
    <row r="4759" spans="1:8" x14ac:dyDescent="0.35">
      <c r="A4759" s="7" t="s">
        <v>362</v>
      </c>
      <c r="B4759" s="7" t="s">
        <v>26</v>
      </c>
      <c r="C4759" s="7" t="s">
        <v>27</v>
      </c>
      <c r="D4759" s="7" t="s">
        <v>28</v>
      </c>
      <c r="E4759" s="7" t="s">
        <v>29</v>
      </c>
      <c r="F4759" s="7" t="s">
        <v>62</v>
      </c>
      <c r="G4759" s="7">
        <v>101.1938</v>
      </c>
      <c r="H4759" s="7"/>
    </row>
    <row r="4760" spans="1:8" x14ac:dyDescent="0.35">
      <c r="A4760" s="7" t="s">
        <v>362</v>
      </c>
      <c r="B4760" s="7" t="s">
        <v>26</v>
      </c>
      <c r="C4760" s="7" t="s">
        <v>27</v>
      </c>
      <c r="D4760" s="7" t="s">
        <v>28</v>
      </c>
      <c r="E4760" s="7" t="s">
        <v>29</v>
      </c>
      <c r="F4760" s="7" t="s">
        <v>63</v>
      </c>
      <c r="G4760" s="7">
        <v>101.41</v>
      </c>
      <c r="H4760" s="7"/>
    </row>
    <row r="4761" spans="1:8" x14ac:dyDescent="0.35">
      <c r="A4761" s="7" t="s">
        <v>362</v>
      </c>
      <c r="B4761" s="7" t="s">
        <v>26</v>
      </c>
      <c r="C4761" s="7" t="s">
        <v>27</v>
      </c>
      <c r="D4761" s="7" t="s">
        <v>28</v>
      </c>
      <c r="E4761" s="7" t="s">
        <v>29</v>
      </c>
      <c r="F4761" s="7" t="s">
        <v>64</v>
      </c>
      <c r="G4761" s="7">
        <v>101.5029</v>
      </c>
      <c r="H4761" s="7"/>
    </row>
    <row r="4762" spans="1:8" x14ac:dyDescent="0.35">
      <c r="A4762" s="7" t="s">
        <v>362</v>
      </c>
      <c r="B4762" s="7" t="s">
        <v>26</v>
      </c>
      <c r="C4762" s="7" t="s">
        <v>27</v>
      </c>
      <c r="D4762" s="7" t="s">
        <v>28</v>
      </c>
      <c r="E4762" s="7" t="s">
        <v>29</v>
      </c>
      <c r="F4762" s="7" t="s">
        <v>65</v>
      </c>
      <c r="G4762" s="7">
        <v>101.4461</v>
      </c>
      <c r="H4762" s="7"/>
    </row>
    <row r="4763" spans="1:8" x14ac:dyDescent="0.35">
      <c r="A4763" s="7" t="s">
        <v>362</v>
      </c>
      <c r="B4763" s="7" t="s">
        <v>26</v>
      </c>
      <c r="C4763" s="7" t="s">
        <v>27</v>
      </c>
      <c r="D4763" s="7" t="s">
        <v>28</v>
      </c>
      <c r="E4763" s="7" t="s">
        <v>29</v>
      </c>
      <c r="F4763" s="7" t="s">
        <v>66</v>
      </c>
      <c r="G4763" s="7">
        <v>101.3785</v>
      </c>
      <c r="H4763" s="7"/>
    </row>
    <row r="4764" spans="1:8" x14ac:dyDescent="0.35">
      <c r="A4764" s="7" t="s">
        <v>362</v>
      </c>
      <c r="B4764" s="7" t="s">
        <v>26</v>
      </c>
      <c r="C4764" s="7" t="s">
        <v>27</v>
      </c>
      <c r="D4764" s="7" t="s">
        <v>28</v>
      </c>
      <c r="E4764" s="7" t="s">
        <v>29</v>
      </c>
      <c r="F4764" s="7" t="s">
        <v>67</v>
      </c>
      <c r="G4764" s="7">
        <v>101.3703</v>
      </c>
      <c r="H4764" s="7"/>
    </row>
    <row r="4765" spans="1:8" x14ac:dyDescent="0.35">
      <c r="A4765" s="7" t="s">
        <v>362</v>
      </c>
      <c r="B4765" s="7" t="s">
        <v>26</v>
      </c>
      <c r="C4765" s="7" t="s">
        <v>27</v>
      </c>
      <c r="D4765" s="7" t="s">
        <v>28</v>
      </c>
      <c r="E4765" s="7" t="s">
        <v>29</v>
      </c>
      <c r="F4765" s="7" t="s">
        <v>68</v>
      </c>
      <c r="G4765" s="7">
        <v>101.4641</v>
      </c>
      <c r="H4765" s="7"/>
    </row>
    <row r="4766" spans="1:8" x14ac:dyDescent="0.35">
      <c r="A4766" s="7" t="s">
        <v>362</v>
      </c>
      <c r="B4766" s="7" t="s">
        <v>26</v>
      </c>
      <c r="C4766" s="7" t="s">
        <v>27</v>
      </c>
      <c r="D4766" s="7" t="s">
        <v>28</v>
      </c>
      <c r="E4766" s="7" t="s">
        <v>29</v>
      </c>
      <c r="F4766" s="7" t="s">
        <v>69</v>
      </c>
      <c r="G4766" s="7">
        <v>101.6168</v>
      </c>
      <c r="H4766" s="7"/>
    </row>
    <row r="4767" spans="1:8" x14ac:dyDescent="0.35">
      <c r="A4767" s="7" t="s">
        <v>362</v>
      </c>
      <c r="B4767" s="7" t="s">
        <v>26</v>
      </c>
      <c r="C4767" s="7" t="s">
        <v>27</v>
      </c>
      <c r="D4767" s="7" t="s">
        <v>28</v>
      </c>
      <c r="E4767" s="7" t="s">
        <v>29</v>
      </c>
      <c r="F4767" s="7" t="s">
        <v>70</v>
      </c>
      <c r="G4767" s="7">
        <v>101.57989999999999</v>
      </c>
      <c r="H4767" s="7"/>
    </row>
    <row r="4768" spans="1:8" x14ac:dyDescent="0.35">
      <c r="A4768" s="7" t="s">
        <v>362</v>
      </c>
      <c r="B4768" s="7" t="s">
        <v>26</v>
      </c>
      <c r="C4768" s="7" t="s">
        <v>27</v>
      </c>
      <c r="D4768" s="7" t="s">
        <v>28</v>
      </c>
      <c r="E4768" s="7" t="s">
        <v>29</v>
      </c>
      <c r="F4768" s="7" t="s">
        <v>71</v>
      </c>
      <c r="G4768" s="7">
        <v>101.4204</v>
      </c>
      <c r="H4768" s="7"/>
    </row>
    <row r="4769" spans="1:8" x14ac:dyDescent="0.35">
      <c r="A4769" s="7" t="s">
        <v>362</v>
      </c>
      <c r="B4769" s="7" t="s">
        <v>26</v>
      </c>
      <c r="C4769" s="7" t="s">
        <v>27</v>
      </c>
      <c r="D4769" s="7" t="s">
        <v>28</v>
      </c>
      <c r="E4769" s="7" t="s">
        <v>29</v>
      </c>
      <c r="F4769" s="7" t="s">
        <v>72</v>
      </c>
      <c r="G4769" s="7">
        <v>101.3201</v>
      </c>
      <c r="H4769" s="7"/>
    </row>
    <row r="4770" spans="1:8" x14ac:dyDescent="0.35">
      <c r="A4770" s="7" t="s">
        <v>362</v>
      </c>
      <c r="B4770" s="7" t="s">
        <v>26</v>
      </c>
      <c r="C4770" s="7" t="s">
        <v>27</v>
      </c>
      <c r="D4770" s="7" t="s">
        <v>28</v>
      </c>
      <c r="E4770" s="7" t="s">
        <v>29</v>
      </c>
      <c r="F4770" s="7" t="s">
        <v>73</v>
      </c>
      <c r="G4770" s="7">
        <v>101.2855</v>
      </c>
      <c r="H4770" s="7"/>
    </row>
    <row r="4771" spans="1:8" x14ac:dyDescent="0.35">
      <c r="A4771" s="7" t="s">
        <v>362</v>
      </c>
      <c r="B4771" s="7" t="s">
        <v>26</v>
      </c>
      <c r="C4771" s="7" t="s">
        <v>27</v>
      </c>
      <c r="D4771" s="7" t="s">
        <v>28</v>
      </c>
      <c r="E4771" s="7" t="s">
        <v>29</v>
      </c>
      <c r="F4771" s="7" t="s">
        <v>74</v>
      </c>
      <c r="G4771" s="7">
        <v>101.3272</v>
      </c>
      <c r="H4771" s="7"/>
    </row>
    <row r="4772" spans="1:8" x14ac:dyDescent="0.35">
      <c r="A4772" s="7" t="s">
        <v>362</v>
      </c>
      <c r="B4772" s="7" t="s">
        <v>26</v>
      </c>
      <c r="C4772" s="7" t="s">
        <v>27</v>
      </c>
      <c r="D4772" s="7" t="s">
        <v>28</v>
      </c>
      <c r="E4772" s="7" t="s">
        <v>29</v>
      </c>
      <c r="F4772" s="7" t="s">
        <v>75</v>
      </c>
      <c r="G4772" s="7">
        <v>101.42919999999999</v>
      </c>
      <c r="H4772" s="7"/>
    </row>
    <row r="4773" spans="1:8" x14ac:dyDescent="0.35">
      <c r="A4773" s="7" t="s">
        <v>362</v>
      </c>
      <c r="B4773" s="7" t="s">
        <v>26</v>
      </c>
      <c r="C4773" s="7" t="s">
        <v>27</v>
      </c>
      <c r="D4773" s="7" t="s">
        <v>28</v>
      </c>
      <c r="E4773" s="7" t="s">
        <v>29</v>
      </c>
      <c r="F4773" s="7" t="s">
        <v>76</v>
      </c>
      <c r="G4773" s="7">
        <v>101.5192</v>
      </c>
      <c r="H4773" s="7"/>
    </row>
    <row r="4774" spans="1:8" x14ac:dyDescent="0.35">
      <c r="A4774" s="7" t="s">
        <v>362</v>
      </c>
      <c r="B4774" s="7" t="s">
        <v>26</v>
      </c>
      <c r="C4774" s="7" t="s">
        <v>27</v>
      </c>
      <c r="D4774" s="7" t="s">
        <v>28</v>
      </c>
      <c r="E4774" s="7" t="s">
        <v>29</v>
      </c>
      <c r="F4774" s="7" t="s">
        <v>77</v>
      </c>
      <c r="G4774" s="7">
        <v>101.48690000000001</v>
      </c>
      <c r="H4774" s="7"/>
    </row>
    <row r="4775" spans="1:8" x14ac:dyDescent="0.35">
      <c r="A4775" s="7" t="s">
        <v>362</v>
      </c>
      <c r="B4775" s="7" t="s">
        <v>26</v>
      </c>
      <c r="C4775" s="7" t="s">
        <v>27</v>
      </c>
      <c r="D4775" s="7" t="s">
        <v>28</v>
      </c>
      <c r="E4775" s="7" t="s">
        <v>29</v>
      </c>
      <c r="F4775" s="7" t="s">
        <v>78</v>
      </c>
      <c r="G4775" s="7">
        <v>101.37050000000001</v>
      </c>
      <c r="H4775" s="7"/>
    </row>
    <row r="4776" spans="1:8" x14ac:dyDescent="0.35">
      <c r="A4776" s="7" t="s">
        <v>362</v>
      </c>
      <c r="B4776" s="7" t="s">
        <v>26</v>
      </c>
      <c r="C4776" s="7" t="s">
        <v>27</v>
      </c>
      <c r="D4776" s="7" t="s">
        <v>28</v>
      </c>
      <c r="E4776" s="7" t="s">
        <v>29</v>
      </c>
      <c r="F4776" s="7" t="s">
        <v>79</v>
      </c>
      <c r="G4776" s="7">
        <v>101.2311</v>
      </c>
      <c r="H4776" s="7"/>
    </row>
    <row r="4777" spans="1:8" x14ac:dyDescent="0.35">
      <c r="A4777" s="7" t="s">
        <v>362</v>
      </c>
      <c r="B4777" s="7" t="s">
        <v>26</v>
      </c>
      <c r="C4777" s="7" t="s">
        <v>27</v>
      </c>
      <c r="D4777" s="7" t="s">
        <v>28</v>
      </c>
      <c r="E4777" s="7" t="s">
        <v>29</v>
      </c>
      <c r="F4777" s="7" t="s">
        <v>80</v>
      </c>
      <c r="G4777" s="7">
        <v>101.1499</v>
      </c>
      <c r="H4777" s="7"/>
    </row>
    <row r="4778" spans="1:8" x14ac:dyDescent="0.35">
      <c r="A4778" s="7" t="s">
        <v>362</v>
      </c>
      <c r="B4778" s="7" t="s">
        <v>26</v>
      </c>
      <c r="C4778" s="7" t="s">
        <v>27</v>
      </c>
      <c r="D4778" s="7" t="s">
        <v>28</v>
      </c>
      <c r="E4778" s="7" t="s">
        <v>29</v>
      </c>
      <c r="F4778" s="7" t="s">
        <v>81</v>
      </c>
      <c r="G4778" s="7">
        <v>100.98390000000001</v>
      </c>
      <c r="H4778" s="7"/>
    </row>
    <row r="4779" spans="1:8" x14ac:dyDescent="0.35">
      <c r="A4779" s="7" t="s">
        <v>362</v>
      </c>
      <c r="B4779" s="7" t="s">
        <v>26</v>
      </c>
      <c r="C4779" s="7" t="s">
        <v>27</v>
      </c>
      <c r="D4779" s="7" t="s">
        <v>28</v>
      </c>
      <c r="E4779" s="7" t="s">
        <v>29</v>
      </c>
      <c r="F4779" s="7" t="s">
        <v>82</v>
      </c>
      <c r="G4779" s="7">
        <v>100.75190000000001</v>
      </c>
      <c r="H4779" s="7"/>
    </row>
    <row r="4780" spans="1:8" x14ac:dyDescent="0.35">
      <c r="A4780" s="7" t="s">
        <v>362</v>
      </c>
      <c r="B4780" s="7" t="s">
        <v>26</v>
      </c>
      <c r="C4780" s="7" t="s">
        <v>27</v>
      </c>
      <c r="D4780" s="7" t="s">
        <v>28</v>
      </c>
      <c r="E4780" s="7" t="s">
        <v>29</v>
      </c>
      <c r="F4780" s="7" t="s">
        <v>83</v>
      </c>
      <c r="G4780" s="7">
        <v>100.52200000000001</v>
      </c>
      <c r="H4780" s="7"/>
    </row>
    <row r="4781" spans="1:8" x14ac:dyDescent="0.35">
      <c r="A4781" s="7" t="s">
        <v>362</v>
      </c>
      <c r="B4781" s="7" t="s">
        <v>26</v>
      </c>
      <c r="C4781" s="7" t="s">
        <v>27</v>
      </c>
      <c r="D4781" s="7" t="s">
        <v>28</v>
      </c>
      <c r="E4781" s="7" t="s">
        <v>29</v>
      </c>
      <c r="F4781" s="7" t="s">
        <v>84</v>
      </c>
      <c r="G4781" s="7">
        <v>100.3137</v>
      </c>
      <c r="H4781" s="7"/>
    </row>
    <row r="4782" spans="1:8" x14ac:dyDescent="0.35">
      <c r="A4782" s="7" t="s">
        <v>362</v>
      </c>
      <c r="B4782" s="7" t="s">
        <v>26</v>
      </c>
      <c r="C4782" s="7" t="s">
        <v>27</v>
      </c>
      <c r="D4782" s="7" t="s">
        <v>28</v>
      </c>
      <c r="E4782" s="7" t="s">
        <v>29</v>
      </c>
      <c r="F4782" s="7" t="s">
        <v>85</v>
      </c>
      <c r="G4782" s="7">
        <v>100.23520000000001</v>
      </c>
      <c r="H4782" s="7"/>
    </row>
    <row r="4783" spans="1:8" x14ac:dyDescent="0.35">
      <c r="A4783" s="7" t="s">
        <v>362</v>
      </c>
      <c r="B4783" s="7" t="s">
        <v>26</v>
      </c>
      <c r="C4783" s="7" t="s">
        <v>27</v>
      </c>
      <c r="D4783" s="7" t="s">
        <v>28</v>
      </c>
      <c r="E4783" s="7" t="s">
        <v>29</v>
      </c>
      <c r="F4783" s="7" t="s">
        <v>86</v>
      </c>
      <c r="G4783" s="7">
        <v>100.2949</v>
      </c>
      <c r="H4783" s="7"/>
    </row>
    <row r="4784" spans="1:8" x14ac:dyDescent="0.35">
      <c r="A4784" s="7" t="s">
        <v>362</v>
      </c>
      <c r="B4784" s="7" t="s">
        <v>26</v>
      </c>
      <c r="C4784" s="7" t="s">
        <v>27</v>
      </c>
      <c r="D4784" s="7" t="s">
        <v>28</v>
      </c>
      <c r="E4784" s="7" t="s">
        <v>29</v>
      </c>
      <c r="F4784" s="7" t="s">
        <v>87</v>
      </c>
      <c r="G4784" s="7">
        <v>100.38720000000001</v>
      </c>
      <c r="H4784" s="7"/>
    </row>
    <row r="4785" spans="1:8" x14ac:dyDescent="0.35">
      <c r="A4785" s="7" t="s">
        <v>362</v>
      </c>
      <c r="B4785" s="7" t="s">
        <v>26</v>
      </c>
      <c r="C4785" s="7" t="s">
        <v>27</v>
      </c>
      <c r="D4785" s="7" t="s">
        <v>28</v>
      </c>
      <c r="E4785" s="7" t="s">
        <v>29</v>
      </c>
      <c r="F4785" s="7" t="s">
        <v>88</v>
      </c>
      <c r="G4785" s="7">
        <v>100.5639</v>
      </c>
      <c r="H4785" s="7"/>
    </row>
    <row r="4786" spans="1:8" x14ac:dyDescent="0.35">
      <c r="A4786" s="7" t="s">
        <v>362</v>
      </c>
      <c r="B4786" s="7" t="s">
        <v>26</v>
      </c>
      <c r="C4786" s="7" t="s">
        <v>27</v>
      </c>
      <c r="D4786" s="7" t="s">
        <v>28</v>
      </c>
      <c r="E4786" s="7" t="s">
        <v>29</v>
      </c>
      <c r="F4786" s="7" t="s">
        <v>89</v>
      </c>
      <c r="G4786" s="7">
        <v>100.7431</v>
      </c>
      <c r="H4786" s="7"/>
    </row>
    <row r="4787" spans="1:8" x14ac:dyDescent="0.35">
      <c r="A4787" s="7" t="s">
        <v>362</v>
      </c>
      <c r="B4787" s="7" t="s">
        <v>26</v>
      </c>
      <c r="C4787" s="7" t="s">
        <v>27</v>
      </c>
      <c r="D4787" s="7" t="s">
        <v>28</v>
      </c>
      <c r="E4787" s="7" t="s">
        <v>29</v>
      </c>
      <c r="F4787" s="7" t="s">
        <v>90</v>
      </c>
      <c r="G4787" s="7">
        <v>100.87649999999999</v>
      </c>
      <c r="H4787" s="7"/>
    </row>
    <row r="4788" spans="1:8" x14ac:dyDescent="0.35">
      <c r="A4788" s="7" t="s">
        <v>362</v>
      </c>
      <c r="B4788" s="7" t="s">
        <v>26</v>
      </c>
      <c r="C4788" s="7" t="s">
        <v>27</v>
      </c>
      <c r="D4788" s="7" t="s">
        <v>28</v>
      </c>
      <c r="E4788" s="7" t="s">
        <v>29</v>
      </c>
      <c r="F4788" s="7" t="s">
        <v>91</v>
      </c>
      <c r="G4788" s="7">
        <v>101.0478</v>
      </c>
      <c r="H4788" s="7"/>
    </row>
    <row r="4789" spans="1:8" x14ac:dyDescent="0.35">
      <c r="A4789" s="7" t="s">
        <v>362</v>
      </c>
      <c r="B4789" s="7" t="s">
        <v>26</v>
      </c>
      <c r="C4789" s="7" t="s">
        <v>27</v>
      </c>
      <c r="D4789" s="7" t="s">
        <v>28</v>
      </c>
      <c r="E4789" s="7" t="s">
        <v>29</v>
      </c>
      <c r="F4789" s="7" t="s">
        <v>92</v>
      </c>
      <c r="G4789" s="7">
        <v>101.2199</v>
      </c>
      <c r="H4789" s="7"/>
    </row>
    <row r="4790" spans="1:8" x14ac:dyDescent="0.35">
      <c r="A4790" s="7" t="s">
        <v>362</v>
      </c>
      <c r="B4790" s="7" t="s">
        <v>26</v>
      </c>
      <c r="C4790" s="7" t="s">
        <v>27</v>
      </c>
      <c r="D4790" s="7" t="s">
        <v>28</v>
      </c>
      <c r="E4790" s="7" t="s">
        <v>29</v>
      </c>
      <c r="F4790" s="7" t="s">
        <v>93</v>
      </c>
      <c r="G4790" s="7">
        <v>101.28879999999999</v>
      </c>
      <c r="H4790" s="7"/>
    </row>
    <row r="4791" spans="1:8" x14ac:dyDescent="0.35">
      <c r="A4791" s="7" t="s">
        <v>362</v>
      </c>
      <c r="B4791" s="7" t="s">
        <v>26</v>
      </c>
      <c r="C4791" s="7" t="s">
        <v>27</v>
      </c>
      <c r="D4791" s="7" t="s">
        <v>28</v>
      </c>
      <c r="E4791" s="7" t="s">
        <v>29</v>
      </c>
      <c r="F4791" s="7" t="s">
        <v>94</v>
      </c>
      <c r="G4791" s="7">
        <v>101.33450000000001</v>
      </c>
      <c r="H4791" s="7"/>
    </row>
    <row r="4792" spans="1:8" x14ac:dyDescent="0.35">
      <c r="A4792" s="7" t="s">
        <v>362</v>
      </c>
      <c r="B4792" s="7" t="s">
        <v>26</v>
      </c>
      <c r="C4792" s="7" t="s">
        <v>27</v>
      </c>
      <c r="D4792" s="7" t="s">
        <v>28</v>
      </c>
      <c r="E4792" s="7" t="s">
        <v>29</v>
      </c>
      <c r="F4792" s="7" t="s">
        <v>95</v>
      </c>
      <c r="G4792" s="7">
        <v>101.3403</v>
      </c>
      <c r="H4792" s="7"/>
    </row>
    <row r="4793" spans="1:8" x14ac:dyDescent="0.35">
      <c r="A4793" s="7" t="s">
        <v>362</v>
      </c>
      <c r="B4793" s="7" t="s">
        <v>26</v>
      </c>
      <c r="C4793" s="7" t="s">
        <v>27</v>
      </c>
      <c r="D4793" s="7" t="s">
        <v>28</v>
      </c>
      <c r="E4793" s="7" t="s">
        <v>29</v>
      </c>
      <c r="F4793" s="7" t="s">
        <v>96</v>
      </c>
      <c r="G4793" s="7">
        <v>101.3854</v>
      </c>
      <c r="H4793" s="7"/>
    </row>
    <row r="4794" spans="1:8" x14ac:dyDescent="0.35">
      <c r="A4794" s="7" t="s">
        <v>362</v>
      </c>
      <c r="B4794" s="7" t="s">
        <v>26</v>
      </c>
      <c r="C4794" s="7" t="s">
        <v>27</v>
      </c>
      <c r="D4794" s="7" t="s">
        <v>28</v>
      </c>
      <c r="E4794" s="7" t="s">
        <v>29</v>
      </c>
      <c r="F4794" s="7" t="s">
        <v>97</v>
      </c>
      <c r="G4794" s="7">
        <v>101.533</v>
      </c>
      <c r="H4794" s="7"/>
    </row>
    <row r="4795" spans="1:8" x14ac:dyDescent="0.35">
      <c r="A4795" s="7" t="s">
        <v>362</v>
      </c>
      <c r="B4795" s="7" t="s">
        <v>26</v>
      </c>
      <c r="C4795" s="7" t="s">
        <v>27</v>
      </c>
      <c r="D4795" s="7" t="s">
        <v>28</v>
      </c>
      <c r="E4795" s="7" t="s">
        <v>29</v>
      </c>
      <c r="F4795" s="7" t="s">
        <v>98</v>
      </c>
      <c r="G4795" s="7">
        <v>101.6003</v>
      </c>
      <c r="H4795" s="7"/>
    </row>
    <row r="4796" spans="1:8" x14ac:dyDescent="0.35">
      <c r="A4796" s="7" t="s">
        <v>362</v>
      </c>
      <c r="B4796" s="7" t="s">
        <v>26</v>
      </c>
      <c r="C4796" s="7" t="s">
        <v>27</v>
      </c>
      <c r="D4796" s="7" t="s">
        <v>28</v>
      </c>
      <c r="E4796" s="7" t="s">
        <v>29</v>
      </c>
      <c r="F4796" s="7" t="s">
        <v>99</v>
      </c>
      <c r="G4796" s="7">
        <v>101.5928</v>
      </c>
      <c r="H4796" s="7"/>
    </row>
    <row r="4797" spans="1:8" x14ac:dyDescent="0.35">
      <c r="A4797" s="7" t="s">
        <v>362</v>
      </c>
      <c r="B4797" s="7" t="s">
        <v>26</v>
      </c>
      <c r="C4797" s="7" t="s">
        <v>27</v>
      </c>
      <c r="D4797" s="7" t="s">
        <v>28</v>
      </c>
      <c r="E4797" s="7" t="s">
        <v>29</v>
      </c>
      <c r="F4797" s="7" t="s">
        <v>100</v>
      </c>
      <c r="G4797" s="7">
        <v>101.5042</v>
      </c>
      <c r="H4797" s="7"/>
    </row>
    <row r="4798" spans="1:8" x14ac:dyDescent="0.35">
      <c r="A4798" s="7" t="s">
        <v>362</v>
      </c>
      <c r="B4798" s="7" t="s">
        <v>26</v>
      </c>
      <c r="C4798" s="7" t="s">
        <v>27</v>
      </c>
      <c r="D4798" s="7" t="s">
        <v>28</v>
      </c>
      <c r="E4798" s="7" t="s">
        <v>29</v>
      </c>
      <c r="F4798" s="7" t="s">
        <v>101</v>
      </c>
      <c r="G4798" s="7">
        <v>101.4434</v>
      </c>
      <c r="H4798" s="7"/>
    </row>
    <row r="4799" spans="1:8" x14ac:dyDescent="0.35">
      <c r="A4799" s="7" t="s">
        <v>362</v>
      </c>
      <c r="B4799" s="7" t="s">
        <v>26</v>
      </c>
      <c r="C4799" s="7" t="s">
        <v>27</v>
      </c>
      <c r="D4799" s="7" t="s">
        <v>28</v>
      </c>
      <c r="E4799" s="7" t="s">
        <v>29</v>
      </c>
      <c r="F4799" s="7" t="s">
        <v>102</v>
      </c>
      <c r="G4799" s="7">
        <v>101.49809999999999</v>
      </c>
      <c r="H4799" s="7"/>
    </row>
    <row r="4800" spans="1:8" x14ac:dyDescent="0.35">
      <c r="A4800" s="7" t="s">
        <v>362</v>
      </c>
      <c r="B4800" s="7" t="s">
        <v>26</v>
      </c>
      <c r="C4800" s="7" t="s">
        <v>27</v>
      </c>
      <c r="D4800" s="7" t="s">
        <v>28</v>
      </c>
      <c r="E4800" s="7" t="s">
        <v>29</v>
      </c>
      <c r="F4800" s="7" t="s">
        <v>103</v>
      </c>
      <c r="G4800" s="7">
        <v>101.59739999999999</v>
      </c>
      <c r="H4800" s="7"/>
    </row>
    <row r="4801" spans="1:8" x14ac:dyDescent="0.35">
      <c r="A4801" s="7" t="s">
        <v>362</v>
      </c>
      <c r="B4801" s="7" t="s">
        <v>26</v>
      </c>
      <c r="C4801" s="7" t="s">
        <v>27</v>
      </c>
      <c r="D4801" s="7" t="s">
        <v>28</v>
      </c>
      <c r="E4801" s="7" t="s">
        <v>29</v>
      </c>
      <c r="F4801" s="7" t="s">
        <v>104</v>
      </c>
      <c r="G4801" s="7">
        <v>101.57599999999999</v>
      </c>
      <c r="H4801" s="7"/>
    </row>
    <row r="4802" spans="1:8" x14ac:dyDescent="0.35">
      <c r="A4802" s="7" t="s">
        <v>362</v>
      </c>
      <c r="B4802" s="7" t="s">
        <v>26</v>
      </c>
      <c r="C4802" s="7" t="s">
        <v>27</v>
      </c>
      <c r="D4802" s="7" t="s">
        <v>28</v>
      </c>
      <c r="E4802" s="7" t="s">
        <v>29</v>
      </c>
      <c r="F4802" s="7" t="s">
        <v>105</v>
      </c>
      <c r="G4802" s="7">
        <v>101.485</v>
      </c>
      <c r="H4802" s="7"/>
    </row>
    <row r="4803" spans="1:8" x14ac:dyDescent="0.35">
      <c r="A4803" s="7" t="s">
        <v>362</v>
      </c>
      <c r="B4803" s="7" t="s">
        <v>26</v>
      </c>
      <c r="C4803" s="7" t="s">
        <v>27</v>
      </c>
      <c r="D4803" s="7" t="s">
        <v>28</v>
      </c>
      <c r="E4803" s="7" t="s">
        <v>29</v>
      </c>
      <c r="F4803" s="7" t="s">
        <v>106</v>
      </c>
      <c r="G4803" s="7">
        <v>101.48050000000001</v>
      </c>
      <c r="H4803" s="7"/>
    </row>
    <row r="4804" spans="1:8" x14ac:dyDescent="0.35">
      <c r="A4804" s="7" t="s">
        <v>362</v>
      </c>
      <c r="B4804" s="7" t="s">
        <v>26</v>
      </c>
      <c r="C4804" s="7" t="s">
        <v>27</v>
      </c>
      <c r="D4804" s="7" t="s">
        <v>28</v>
      </c>
      <c r="E4804" s="7" t="s">
        <v>29</v>
      </c>
      <c r="F4804" s="7" t="s">
        <v>107</v>
      </c>
      <c r="G4804" s="7">
        <v>101.43940000000001</v>
      </c>
      <c r="H4804" s="7"/>
    </row>
    <row r="4805" spans="1:8" x14ac:dyDescent="0.35">
      <c r="A4805" s="7" t="s">
        <v>362</v>
      </c>
      <c r="B4805" s="7" t="s">
        <v>26</v>
      </c>
      <c r="C4805" s="7" t="s">
        <v>27</v>
      </c>
      <c r="D4805" s="7" t="s">
        <v>28</v>
      </c>
      <c r="E4805" s="7" t="s">
        <v>29</v>
      </c>
      <c r="F4805" s="7" t="s">
        <v>108</v>
      </c>
      <c r="G4805" s="7">
        <v>101.2807</v>
      </c>
      <c r="H4805" s="7"/>
    </row>
    <row r="4806" spans="1:8" x14ac:dyDescent="0.35">
      <c r="A4806" s="7" t="s">
        <v>362</v>
      </c>
      <c r="B4806" s="7" t="s">
        <v>26</v>
      </c>
      <c r="C4806" s="7" t="s">
        <v>27</v>
      </c>
      <c r="D4806" s="7" t="s">
        <v>28</v>
      </c>
      <c r="E4806" s="7" t="s">
        <v>29</v>
      </c>
      <c r="F4806" s="7" t="s">
        <v>109</v>
      </c>
      <c r="G4806" s="7">
        <v>100.9538</v>
      </c>
      <c r="H4806" s="7"/>
    </row>
    <row r="4807" spans="1:8" x14ac:dyDescent="0.35">
      <c r="A4807" s="7" t="s">
        <v>362</v>
      </c>
      <c r="B4807" s="7" t="s">
        <v>26</v>
      </c>
      <c r="C4807" s="7" t="s">
        <v>27</v>
      </c>
      <c r="D4807" s="7" t="s">
        <v>28</v>
      </c>
      <c r="E4807" s="7" t="s">
        <v>29</v>
      </c>
      <c r="F4807" s="7" t="s">
        <v>110</v>
      </c>
      <c r="G4807" s="7">
        <v>100.72969999999999</v>
      </c>
      <c r="H4807" s="7"/>
    </row>
    <row r="4808" spans="1:8" x14ac:dyDescent="0.35">
      <c r="A4808" s="7" t="s">
        <v>362</v>
      </c>
      <c r="B4808" s="7" t="s">
        <v>26</v>
      </c>
      <c r="C4808" s="7" t="s">
        <v>27</v>
      </c>
      <c r="D4808" s="7" t="s">
        <v>28</v>
      </c>
      <c r="E4808" s="7" t="s">
        <v>29</v>
      </c>
      <c r="F4808" s="7" t="s">
        <v>111</v>
      </c>
      <c r="G4808" s="7">
        <v>100.69450000000001</v>
      </c>
      <c r="H4808" s="7"/>
    </row>
    <row r="4809" spans="1:8" x14ac:dyDescent="0.35">
      <c r="A4809" s="7" t="s">
        <v>362</v>
      </c>
      <c r="B4809" s="7" t="s">
        <v>26</v>
      </c>
      <c r="C4809" s="7" t="s">
        <v>27</v>
      </c>
      <c r="D4809" s="7" t="s">
        <v>28</v>
      </c>
      <c r="E4809" s="7" t="s">
        <v>29</v>
      </c>
      <c r="F4809" s="7" t="s">
        <v>112</v>
      </c>
      <c r="G4809" s="7">
        <v>100.64360000000001</v>
      </c>
      <c r="H4809" s="7"/>
    </row>
    <row r="4810" spans="1:8" x14ac:dyDescent="0.35">
      <c r="A4810" s="7" t="s">
        <v>362</v>
      </c>
      <c r="B4810" s="7" t="s">
        <v>26</v>
      </c>
      <c r="C4810" s="7" t="s">
        <v>27</v>
      </c>
      <c r="D4810" s="7" t="s">
        <v>28</v>
      </c>
      <c r="E4810" s="7" t="s">
        <v>29</v>
      </c>
      <c r="F4810" s="7" t="s">
        <v>113</v>
      </c>
      <c r="G4810" s="7">
        <v>100.39400000000001</v>
      </c>
      <c r="H4810" s="7"/>
    </row>
    <row r="4811" spans="1:8" x14ac:dyDescent="0.35">
      <c r="A4811" s="7" t="s">
        <v>362</v>
      </c>
      <c r="B4811" s="7" t="s">
        <v>26</v>
      </c>
      <c r="C4811" s="7" t="s">
        <v>27</v>
      </c>
      <c r="D4811" s="7" t="s">
        <v>28</v>
      </c>
      <c r="E4811" s="7" t="s">
        <v>29</v>
      </c>
      <c r="F4811" s="7" t="s">
        <v>114</v>
      </c>
      <c r="G4811" s="7">
        <v>100.12649999999999</v>
      </c>
      <c r="H4811" s="7"/>
    </row>
    <row r="4812" spans="1:8" x14ac:dyDescent="0.35">
      <c r="A4812" s="7" t="s">
        <v>362</v>
      </c>
      <c r="B4812" s="7" t="s">
        <v>26</v>
      </c>
      <c r="C4812" s="7" t="s">
        <v>27</v>
      </c>
      <c r="D4812" s="7" t="s">
        <v>28</v>
      </c>
      <c r="E4812" s="7" t="s">
        <v>29</v>
      </c>
      <c r="F4812" s="7" t="s">
        <v>115</v>
      </c>
      <c r="G4812" s="7">
        <v>99.775509999999997</v>
      </c>
      <c r="H4812" s="7"/>
    </row>
    <row r="4813" spans="1:8" x14ac:dyDescent="0.35">
      <c r="A4813" s="7" t="s">
        <v>362</v>
      </c>
      <c r="B4813" s="7" t="s">
        <v>26</v>
      </c>
      <c r="C4813" s="7" t="s">
        <v>27</v>
      </c>
      <c r="D4813" s="7" t="s">
        <v>28</v>
      </c>
      <c r="E4813" s="7" t="s">
        <v>29</v>
      </c>
      <c r="F4813" s="7" t="s">
        <v>116</v>
      </c>
      <c r="G4813" s="7">
        <v>99.614339999999999</v>
      </c>
      <c r="H4813" s="7"/>
    </row>
    <row r="4814" spans="1:8" x14ac:dyDescent="0.35">
      <c r="A4814" s="7" t="s">
        <v>362</v>
      </c>
      <c r="B4814" s="7" t="s">
        <v>26</v>
      </c>
      <c r="C4814" s="7" t="s">
        <v>27</v>
      </c>
      <c r="D4814" s="7" t="s">
        <v>28</v>
      </c>
      <c r="E4814" s="7" t="s">
        <v>29</v>
      </c>
      <c r="F4814" s="7" t="s">
        <v>117</v>
      </c>
      <c r="G4814" s="7">
        <v>99.64085</v>
      </c>
      <c r="H4814" s="7"/>
    </row>
    <row r="4815" spans="1:8" x14ac:dyDescent="0.35">
      <c r="A4815" s="7" t="s">
        <v>362</v>
      </c>
      <c r="B4815" s="7" t="s">
        <v>26</v>
      </c>
      <c r="C4815" s="7" t="s">
        <v>27</v>
      </c>
      <c r="D4815" s="7" t="s">
        <v>28</v>
      </c>
      <c r="E4815" s="7" t="s">
        <v>29</v>
      </c>
      <c r="F4815" s="7" t="s">
        <v>118</v>
      </c>
      <c r="G4815" s="7">
        <v>99.725480000000005</v>
      </c>
      <c r="H4815" s="7"/>
    </row>
    <row r="4816" spans="1:8" x14ac:dyDescent="0.35">
      <c r="A4816" s="7" t="s">
        <v>362</v>
      </c>
      <c r="B4816" s="7" t="s">
        <v>26</v>
      </c>
      <c r="C4816" s="7" t="s">
        <v>27</v>
      </c>
      <c r="D4816" s="7" t="s">
        <v>28</v>
      </c>
      <c r="E4816" s="7" t="s">
        <v>29</v>
      </c>
      <c r="F4816" s="7" t="s">
        <v>119</v>
      </c>
      <c r="G4816" s="7">
        <v>99.796239999999997</v>
      </c>
      <c r="H4816" s="7"/>
    </row>
    <row r="4817" spans="1:8" x14ac:dyDescent="0.35">
      <c r="A4817" s="7" t="s">
        <v>362</v>
      </c>
      <c r="B4817" s="7" t="s">
        <v>26</v>
      </c>
      <c r="C4817" s="7" t="s">
        <v>27</v>
      </c>
      <c r="D4817" s="7" t="s">
        <v>28</v>
      </c>
      <c r="E4817" s="7" t="s">
        <v>29</v>
      </c>
      <c r="F4817" s="7" t="s">
        <v>120</v>
      </c>
      <c r="G4817" s="7">
        <v>99.899550000000005</v>
      </c>
      <c r="H4817" s="7"/>
    </row>
    <row r="4818" spans="1:8" x14ac:dyDescent="0.35">
      <c r="A4818" s="7" t="s">
        <v>362</v>
      </c>
      <c r="B4818" s="7" t="s">
        <v>26</v>
      </c>
      <c r="C4818" s="7" t="s">
        <v>27</v>
      </c>
      <c r="D4818" s="7" t="s">
        <v>28</v>
      </c>
      <c r="E4818" s="7" t="s">
        <v>29</v>
      </c>
      <c r="F4818" s="7" t="s">
        <v>121</v>
      </c>
      <c r="G4818" s="7">
        <v>100.10299999999999</v>
      </c>
      <c r="H4818" s="7"/>
    </row>
    <row r="4819" spans="1:8" x14ac:dyDescent="0.35">
      <c r="A4819" s="7" t="s">
        <v>362</v>
      </c>
      <c r="B4819" s="7" t="s">
        <v>26</v>
      </c>
      <c r="C4819" s="7" t="s">
        <v>27</v>
      </c>
      <c r="D4819" s="7" t="s">
        <v>28</v>
      </c>
      <c r="E4819" s="7" t="s">
        <v>29</v>
      </c>
      <c r="F4819" s="7" t="s">
        <v>122</v>
      </c>
      <c r="G4819" s="7">
        <v>100.4448</v>
      </c>
      <c r="H4819" s="7"/>
    </row>
    <row r="4820" spans="1:8" x14ac:dyDescent="0.35">
      <c r="A4820" s="7" t="s">
        <v>362</v>
      </c>
      <c r="B4820" s="7" t="s">
        <v>26</v>
      </c>
      <c r="C4820" s="7" t="s">
        <v>27</v>
      </c>
      <c r="D4820" s="7" t="s">
        <v>28</v>
      </c>
      <c r="E4820" s="7" t="s">
        <v>29</v>
      </c>
      <c r="F4820" s="7" t="s">
        <v>123</v>
      </c>
      <c r="G4820" s="7">
        <v>100.75709999999999</v>
      </c>
      <c r="H4820" s="7"/>
    </row>
    <row r="4821" spans="1:8" x14ac:dyDescent="0.35">
      <c r="A4821" s="7" t="s">
        <v>362</v>
      </c>
      <c r="B4821" s="7" t="s">
        <v>26</v>
      </c>
      <c r="C4821" s="7" t="s">
        <v>27</v>
      </c>
      <c r="D4821" s="7" t="s">
        <v>28</v>
      </c>
      <c r="E4821" s="7" t="s">
        <v>29</v>
      </c>
      <c r="F4821" s="7" t="s">
        <v>124</v>
      </c>
      <c r="G4821" s="7">
        <v>100.7206</v>
      </c>
      <c r="H4821" s="7"/>
    </row>
    <row r="4822" spans="1:8" x14ac:dyDescent="0.35">
      <c r="A4822" s="7" t="s">
        <v>362</v>
      </c>
      <c r="B4822" s="7" t="s">
        <v>26</v>
      </c>
      <c r="C4822" s="7" t="s">
        <v>27</v>
      </c>
      <c r="D4822" s="7" t="s">
        <v>28</v>
      </c>
      <c r="E4822" s="7" t="s">
        <v>29</v>
      </c>
      <c r="F4822" s="7" t="s">
        <v>125</v>
      </c>
      <c r="G4822" s="7">
        <v>100.583</v>
      </c>
      <c r="H4822" s="7"/>
    </row>
    <row r="4823" spans="1:8" x14ac:dyDescent="0.35">
      <c r="A4823" s="7" t="s">
        <v>362</v>
      </c>
      <c r="B4823" s="7" t="s">
        <v>26</v>
      </c>
      <c r="C4823" s="7" t="s">
        <v>27</v>
      </c>
      <c r="D4823" s="7" t="s">
        <v>28</v>
      </c>
      <c r="E4823" s="7" t="s">
        <v>29</v>
      </c>
      <c r="F4823" s="7" t="s">
        <v>126</v>
      </c>
      <c r="G4823" s="7">
        <v>100.4693</v>
      </c>
      <c r="H4823" s="7"/>
    </row>
    <row r="4824" spans="1:8" x14ac:dyDescent="0.35">
      <c r="A4824" s="7" t="s">
        <v>362</v>
      </c>
      <c r="B4824" s="7" t="s">
        <v>26</v>
      </c>
      <c r="C4824" s="7" t="s">
        <v>27</v>
      </c>
      <c r="D4824" s="7" t="s">
        <v>28</v>
      </c>
      <c r="E4824" s="7" t="s">
        <v>29</v>
      </c>
      <c r="F4824" s="7" t="s">
        <v>127</v>
      </c>
      <c r="G4824" s="7">
        <v>100.5317</v>
      </c>
      <c r="H4824" s="7"/>
    </row>
    <row r="4825" spans="1:8" x14ac:dyDescent="0.35">
      <c r="A4825" s="7" t="s">
        <v>362</v>
      </c>
      <c r="B4825" s="7" t="s">
        <v>26</v>
      </c>
      <c r="C4825" s="7" t="s">
        <v>27</v>
      </c>
      <c r="D4825" s="7" t="s">
        <v>28</v>
      </c>
      <c r="E4825" s="7" t="s">
        <v>29</v>
      </c>
      <c r="F4825" s="7" t="s">
        <v>128</v>
      </c>
      <c r="G4825" s="7">
        <v>100.6541</v>
      </c>
      <c r="H4825" s="7"/>
    </row>
    <row r="4826" spans="1:8" x14ac:dyDescent="0.35">
      <c r="A4826" s="7" t="s">
        <v>362</v>
      </c>
      <c r="B4826" s="7" t="s">
        <v>26</v>
      </c>
      <c r="C4826" s="7" t="s">
        <v>27</v>
      </c>
      <c r="D4826" s="7" t="s">
        <v>28</v>
      </c>
      <c r="E4826" s="7" t="s">
        <v>29</v>
      </c>
      <c r="F4826" s="7" t="s">
        <v>129</v>
      </c>
      <c r="G4826" s="7">
        <v>100.786</v>
      </c>
      <c r="H4826" s="7"/>
    </row>
    <row r="4827" spans="1:8" x14ac:dyDescent="0.35">
      <c r="A4827" s="7" t="s">
        <v>362</v>
      </c>
      <c r="B4827" s="7" t="s">
        <v>26</v>
      </c>
      <c r="C4827" s="7" t="s">
        <v>27</v>
      </c>
      <c r="D4827" s="7" t="s">
        <v>28</v>
      </c>
      <c r="E4827" s="7" t="s">
        <v>29</v>
      </c>
      <c r="F4827" s="7" t="s">
        <v>130</v>
      </c>
      <c r="G4827" s="7">
        <v>100.92610000000001</v>
      </c>
      <c r="H4827" s="7"/>
    </row>
    <row r="4828" spans="1:8" x14ac:dyDescent="0.35">
      <c r="A4828" s="7" t="s">
        <v>362</v>
      </c>
      <c r="B4828" s="7" t="s">
        <v>26</v>
      </c>
      <c r="C4828" s="7" t="s">
        <v>27</v>
      </c>
      <c r="D4828" s="7" t="s">
        <v>28</v>
      </c>
      <c r="E4828" s="7" t="s">
        <v>29</v>
      </c>
      <c r="F4828" s="7" t="s">
        <v>131</v>
      </c>
      <c r="G4828" s="7">
        <v>101.1091</v>
      </c>
      <c r="H4828" s="7"/>
    </row>
    <row r="4829" spans="1:8" x14ac:dyDescent="0.35">
      <c r="A4829" s="7" t="s">
        <v>362</v>
      </c>
      <c r="B4829" s="7" t="s">
        <v>26</v>
      </c>
      <c r="C4829" s="7" t="s">
        <v>27</v>
      </c>
      <c r="D4829" s="7" t="s">
        <v>28</v>
      </c>
      <c r="E4829" s="7" t="s">
        <v>29</v>
      </c>
      <c r="F4829" s="7" t="s">
        <v>132</v>
      </c>
      <c r="G4829" s="7">
        <v>101.2394</v>
      </c>
      <c r="H4829" s="7"/>
    </row>
    <row r="4830" spans="1:8" x14ac:dyDescent="0.35">
      <c r="A4830" s="7" t="s">
        <v>362</v>
      </c>
      <c r="B4830" s="7" t="s">
        <v>26</v>
      </c>
      <c r="C4830" s="7" t="s">
        <v>27</v>
      </c>
      <c r="D4830" s="7" t="s">
        <v>28</v>
      </c>
      <c r="E4830" s="7" t="s">
        <v>29</v>
      </c>
      <c r="F4830" s="7" t="s">
        <v>133</v>
      </c>
      <c r="G4830" s="7">
        <v>101.27809999999999</v>
      </c>
      <c r="H4830" s="7"/>
    </row>
    <row r="4831" spans="1:8" x14ac:dyDescent="0.35">
      <c r="A4831" s="7" t="s">
        <v>362</v>
      </c>
      <c r="B4831" s="7" t="s">
        <v>26</v>
      </c>
      <c r="C4831" s="7" t="s">
        <v>27</v>
      </c>
      <c r="D4831" s="7" t="s">
        <v>28</v>
      </c>
      <c r="E4831" s="7" t="s">
        <v>29</v>
      </c>
      <c r="F4831" s="7" t="s">
        <v>134</v>
      </c>
      <c r="G4831" s="7">
        <v>101.2054</v>
      </c>
      <c r="H4831" s="7"/>
    </row>
    <row r="4832" spans="1:8" x14ac:dyDescent="0.35">
      <c r="A4832" s="7" t="s">
        <v>362</v>
      </c>
      <c r="B4832" s="7" t="s">
        <v>26</v>
      </c>
      <c r="C4832" s="7" t="s">
        <v>27</v>
      </c>
      <c r="D4832" s="7" t="s">
        <v>28</v>
      </c>
      <c r="E4832" s="7" t="s">
        <v>29</v>
      </c>
      <c r="F4832" s="7" t="s">
        <v>135</v>
      </c>
      <c r="G4832" s="7">
        <v>101.08710000000001</v>
      </c>
      <c r="H4832" s="7"/>
    </row>
    <row r="4833" spans="1:8" x14ac:dyDescent="0.35">
      <c r="A4833" s="7" t="s">
        <v>362</v>
      </c>
      <c r="B4833" s="7" t="s">
        <v>26</v>
      </c>
      <c r="C4833" s="7" t="s">
        <v>27</v>
      </c>
      <c r="D4833" s="7" t="s">
        <v>28</v>
      </c>
      <c r="E4833" s="7" t="s">
        <v>29</v>
      </c>
      <c r="F4833" s="7" t="s">
        <v>136</v>
      </c>
      <c r="G4833" s="7">
        <v>101.08199999999999</v>
      </c>
      <c r="H4833" s="7"/>
    </row>
    <row r="4834" spans="1:8" x14ac:dyDescent="0.35">
      <c r="A4834" s="7" t="s">
        <v>362</v>
      </c>
      <c r="B4834" s="7" t="s">
        <v>26</v>
      </c>
      <c r="C4834" s="7" t="s">
        <v>27</v>
      </c>
      <c r="D4834" s="7" t="s">
        <v>28</v>
      </c>
      <c r="E4834" s="7" t="s">
        <v>29</v>
      </c>
      <c r="F4834" s="7" t="s">
        <v>137</v>
      </c>
      <c r="G4834" s="7">
        <v>101.1104</v>
      </c>
      <c r="H4834" s="7"/>
    </row>
    <row r="4835" spans="1:8" x14ac:dyDescent="0.35">
      <c r="A4835" s="7" t="s">
        <v>362</v>
      </c>
      <c r="B4835" s="7" t="s">
        <v>26</v>
      </c>
      <c r="C4835" s="7" t="s">
        <v>27</v>
      </c>
      <c r="D4835" s="7" t="s">
        <v>28</v>
      </c>
      <c r="E4835" s="7" t="s">
        <v>29</v>
      </c>
      <c r="F4835" s="7" t="s">
        <v>138</v>
      </c>
      <c r="G4835" s="7">
        <v>101.0175</v>
      </c>
      <c r="H4835" s="7"/>
    </row>
    <row r="4836" spans="1:8" x14ac:dyDescent="0.35">
      <c r="A4836" s="7" t="s">
        <v>362</v>
      </c>
      <c r="B4836" s="7" t="s">
        <v>26</v>
      </c>
      <c r="C4836" s="7" t="s">
        <v>27</v>
      </c>
      <c r="D4836" s="7" t="s">
        <v>28</v>
      </c>
      <c r="E4836" s="7" t="s">
        <v>29</v>
      </c>
      <c r="F4836" s="7" t="s">
        <v>139</v>
      </c>
      <c r="G4836" s="7">
        <v>100.9684</v>
      </c>
      <c r="H4836" s="7"/>
    </row>
    <row r="4837" spans="1:8" x14ac:dyDescent="0.35">
      <c r="A4837" s="7" t="s">
        <v>362</v>
      </c>
      <c r="B4837" s="7" t="s">
        <v>26</v>
      </c>
      <c r="C4837" s="7" t="s">
        <v>27</v>
      </c>
      <c r="D4837" s="7" t="s">
        <v>28</v>
      </c>
      <c r="E4837" s="7" t="s">
        <v>29</v>
      </c>
      <c r="F4837" s="7" t="s">
        <v>140</v>
      </c>
      <c r="G4837" s="7">
        <v>100.8933</v>
      </c>
      <c r="H4837" s="7"/>
    </row>
    <row r="4838" spans="1:8" x14ac:dyDescent="0.35">
      <c r="A4838" s="7" t="s">
        <v>362</v>
      </c>
      <c r="B4838" s="7" t="s">
        <v>26</v>
      </c>
      <c r="C4838" s="7" t="s">
        <v>27</v>
      </c>
      <c r="D4838" s="7" t="s">
        <v>28</v>
      </c>
      <c r="E4838" s="7" t="s">
        <v>29</v>
      </c>
      <c r="F4838" s="7" t="s">
        <v>141</v>
      </c>
      <c r="G4838" s="7">
        <v>100.80070000000001</v>
      </c>
      <c r="H4838" s="7"/>
    </row>
    <row r="4839" spans="1:8" x14ac:dyDescent="0.35">
      <c r="A4839" s="7" t="s">
        <v>362</v>
      </c>
      <c r="B4839" s="7" t="s">
        <v>26</v>
      </c>
      <c r="C4839" s="7" t="s">
        <v>27</v>
      </c>
      <c r="D4839" s="7" t="s">
        <v>28</v>
      </c>
      <c r="E4839" s="7" t="s">
        <v>29</v>
      </c>
      <c r="F4839" s="7" t="s">
        <v>142</v>
      </c>
      <c r="G4839" s="7">
        <v>100.6414</v>
      </c>
      <c r="H4839" s="7"/>
    </row>
    <row r="4840" spans="1:8" x14ac:dyDescent="0.35">
      <c r="A4840" s="7" t="s">
        <v>362</v>
      </c>
      <c r="B4840" s="7" t="s">
        <v>26</v>
      </c>
      <c r="C4840" s="7" t="s">
        <v>27</v>
      </c>
      <c r="D4840" s="7" t="s">
        <v>28</v>
      </c>
      <c r="E4840" s="7" t="s">
        <v>29</v>
      </c>
      <c r="F4840" s="7" t="s">
        <v>143</v>
      </c>
      <c r="G4840" s="7">
        <v>100.5458</v>
      </c>
      <c r="H4840" s="7"/>
    </row>
    <row r="4841" spans="1:8" x14ac:dyDescent="0.35">
      <c r="A4841" s="7" t="s">
        <v>362</v>
      </c>
      <c r="B4841" s="7" t="s">
        <v>26</v>
      </c>
      <c r="C4841" s="7" t="s">
        <v>27</v>
      </c>
      <c r="D4841" s="7" t="s">
        <v>28</v>
      </c>
      <c r="E4841" s="7" t="s">
        <v>29</v>
      </c>
      <c r="F4841" s="7" t="s">
        <v>144</v>
      </c>
      <c r="G4841" s="7">
        <v>100.6799</v>
      </c>
      <c r="H4841" s="7"/>
    </row>
    <row r="4842" spans="1:8" x14ac:dyDescent="0.35">
      <c r="A4842" s="7" t="s">
        <v>362</v>
      </c>
      <c r="B4842" s="7" t="s">
        <v>26</v>
      </c>
      <c r="C4842" s="7" t="s">
        <v>27</v>
      </c>
      <c r="D4842" s="7" t="s">
        <v>28</v>
      </c>
      <c r="E4842" s="7" t="s">
        <v>29</v>
      </c>
      <c r="F4842" s="7" t="s">
        <v>145</v>
      </c>
      <c r="G4842" s="7">
        <v>100.91759999999999</v>
      </c>
      <c r="H4842" s="7"/>
    </row>
    <row r="4843" spans="1:8" x14ac:dyDescent="0.35">
      <c r="A4843" s="7" t="s">
        <v>362</v>
      </c>
      <c r="B4843" s="7" t="s">
        <v>26</v>
      </c>
      <c r="C4843" s="7" t="s">
        <v>27</v>
      </c>
      <c r="D4843" s="7" t="s">
        <v>28</v>
      </c>
      <c r="E4843" s="7" t="s">
        <v>29</v>
      </c>
      <c r="F4843" s="7" t="s">
        <v>146</v>
      </c>
      <c r="G4843" s="7">
        <v>101.07680000000001</v>
      </c>
      <c r="H4843" s="7"/>
    </row>
    <row r="4844" spans="1:8" x14ac:dyDescent="0.35">
      <c r="A4844" s="7" t="s">
        <v>362</v>
      </c>
      <c r="B4844" s="7" t="s">
        <v>26</v>
      </c>
      <c r="C4844" s="7" t="s">
        <v>27</v>
      </c>
      <c r="D4844" s="7" t="s">
        <v>28</v>
      </c>
      <c r="E4844" s="7" t="s">
        <v>29</v>
      </c>
      <c r="F4844" s="7" t="s">
        <v>147</v>
      </c>
      <c r="G4844" s="7">
        <v>100.8796</v>
      </c>
      <c r="H4844" s="7"/>
    </row>
    <row r="4845" spans="1:8" x14ac:dyDescent="0.35">
      <c r="A4845" s="7" t="s">
        <v>362</v>
      </c>
      <c r="B4845" s="7" t="s">
        <v>26</v>
      </c>
      <c r="C4845" s="7" t="s">
        <v>27</v>
      </c>
      <c r="D4845" s="7" t="s">
        <v>28</v>
      </c>
      <c r="E4845" s="7" t="s">
        <v>29</v>
      </c>
      <c r="F4845" s="7" t="s">
        <v>148</v>
      </c>
      <c r="G4845" s="7">
        <v>100.6662</v>
      </c>
      <c r="H4845" s="7"/>
    </row>
    <row r="4846" spans="1:8" x14ac:dyDescent="0.35">
      <c r="A4846" s="7" t="s">
        <v>362</v>
      </c>
      <c r="B4846" s="7" t="s">
        <v>26</v>
      </c>
      <c r="C4846" s="7" t="s">
        <v>27</v>
      </c>
      <c r="D4846" s="7" t="s">
        <v>28</v>
      </c>
      <c r="E4846" s="7" t="s">
        <v>29</v>
      </c>
      <c r="F4846" s="7" t="s">
        <v>149</v>
      </c>
      <c r="G4846" s="7">
        <v>100.53400000000001</v>
      </c>
      <c r="H4846" s="7"/>
    </row>
    <row r="4847" spans="1:8" x14ac:dyDescent="0.35">
      <c r="A4847" s="7" t="s">
        <v>362</v>
      </c>
      <c r="B4847" s="7" t="s">
        <v>26</v>
      </c>
      <c r="C4847" s="7" t="s">
        <v>27</v>
      </c>
      <c r="D4847" s="7" t="s">
        <v>28</v>
      </c>
      <c r="E4847" s="7" t="s">
        <v>29</v>
      </c>
      <c r="F4847" s="7" t="s">
        <v>150</v>
      </c>
      <c r="G4847" s="7">
        <v>100.61750000000001</v>
      </c>
      <c r="H4847" s="7"/>
    </row>
    <row r="4848" spans="1:8" x14ac:dyDescent="0.35">
      <c r="A4848" s="7" t="s">
        <v>362</v>
      </c>
      <c r="B4848" s="7" t="s">
        <v>26</v>
      </c>
      <c r="C4848" s="7" t="s">
        <v>27</v>
      </c>
      <c r="D4848" s="7" t="s">
        <v>28</v>
      </c>
      <c r="E4848" s="7" t="s">
        <v>29</v>
      </c>
      <c r="F4848" s="7" t="s">
        <v>151</v>
      </c>
      <c r="G4848" s="7">
        <v>100.8105</v>
      </c>
      <c r="H4848" s="7"/>
    </row>
    <row r="4849" spans="1:8" x14ac:dyDescent="0.35">
      <c r="A4849" s="7" t="s">
        <v>362</v>
      </c>
      <c r="B4849" s="7" t="s">
        <v>26</v>
      </c>
      <c r="C4849" s="7" t="s">
        <v>27</v>
      </c>
      <c r="D4849" s="7" t="s">
        <v>28</v>
      </c>
      <c r="E4849" s="7" t="s">
        <v>29</v>
      </c>
      <c r="F4849" s="7" t="s">
        <v>152</v>
      </c>
      <c r="G4849" s="7">
        <v>100.8811</v>
      </c>
      <c r="H4849" s="7"/>
    </row>
    <row r="4850" spans="1:8" x14ac:dyDescent="0.35">
      <c r="A4850" s="7" t="s">
        <v>362</v>
      </c>
      <c r="B4850" s="7" t="s">
        <v>26</v>
      </c>
      <c r="C4850" s="7" t="s">
        <v>27</v>
      </c>
      <c r="D4850" s="7" t="s">
        <v>28</v>
      </c>
      <c r="E4850" s="7" t="s">
        <v>29</v>
      </c>
      <c r="F4850" s="7" t="s">
        <v>153</v>
      </c>
      <c r="G4850" s="7">
        <v>100.8733</v>
      </c>
      <c r="H4850" s="7"/>
    </row>
    <row r="4851" spans="1:8" x14ac:dyDescent="0.35">
      <c r="A4851" s="7" t="s">
        <v>362</v>
      </c>
      <c r="B4851" s="7" t="s">
        <v>26</v>
      </c>
      <c r="C4851" s="7" t="s">
        <v>27</v>
      </c>
      <c r="D4851" s="7" t="s">
        <v>28</v>
      </c>
      <c r="E4851" s="7" t="s">
        <v>29</v>
      </c>
      <c r="F4851" s="7" t="s">
        <v>154</v>
      </c>
      <c r="G4851" s="7">
        <v>100.8643</v>
      </c>
      <c r="H4851" s="7"/>
    </row>
    <row r="4852" spans="1:8" x14ac:dyDescent="0.35">
      <c r="A4852" s="7" t="s">
        <v>362</v>
      </c>
      <c r="B4852" s="7" t="s">
        <v>26</v>
      </c>
      <c r="C4852" s="7" t="s">
        <v>27</v>
      </c>
      <c r="D4852" s="7" t="s">
        <v>28</v>
      </c>
      <c r="E4852" s="7" t="s">
        <v>29</v>
      </c>
      <c r="F4852" s="7" t="s">
        <v>155</v>
      </c>
      <c r="G4852" s="7">
        <v>100.8674</v>
      </c>
      <c r="H4852" s="7"/>
    </row>
    <row r="4853" spans="1:8" x14ac:dyDescent="0.35">
      <c r="A4853" s="7" t="s">
        <v>362</v>
      </c>
      <c r="B4853" s="7" t="s">
        <v>26</v>
      </c>
      <c r="C4853" s="7" t="s">
        <v>27</v>
      </c>
      <c r="D4853" s="7" t="s">
        <v>28</v>
      </c>
      <c r="E4853" s="7" t="s">
        <v>29</v>
      </c>
      <c r="F4853" s="7" t="s">
        <v>156</v>
      </c>
      <c r="G4853" s="7">
        <v>100.8006</v>
      </c>
      <c r="H4853" s="7"/>
    </row>
    <row r="4854" spans="1:8" x14ac:dyDescent="0.35">
      <c r="A4854" s="7" t="s">
        <v>362</v>
      </c>
      <c r="B4854" s="7" t="s">
        <v>26</v>
      </c>
      <c r="C4854" s="7" t="s">
        <v>27</v>
      </c>
      <c r="D4854" s="7" t="s">
        <v>28</v>
      </c>
      <c r="E4854" s="7" t="s">
        <v>29</v>
      </c>
      <c r="F4854" s="7" t="s">
        <v>157</v>
      </c>
      <c r="G4854" s="7">
        <v>100.7612</v>
      </c>
      <c r="H4854" s="7"/>
    </row>
    <row r="4855" spans="1:8" x14ac:dyDescent="0.35">
      <c r="A4855" s="7" t="s">
        <v>362</v>
      </c>
      <c r="B4855" s="7" t="s">
        <v>26</v>
      </c>
      <c r="C4855" s="7" t="s">
        <v>27</v>
      </c>
      <c r="D4855" s="7" t="s">
        <v>28</v>
      </c>
      <c r="E4855" s="7" t="s">
        <v>29</v>
      </c>
      <c r="F4855" s="7" t="s">
        <v>158</v>
      </c>
      <c r="G4855" s="7">
        <v>100.72280000000001</v>
      </c>
      <c r="H4855" s="7"/>
    </row>
    <row r="4856" spans="1:8" x14ac:dyDescent="0.35">
      <c r="A4856" s="7" t="s">
        <v>362</v>
      </c>
      <c r="B4856" s="7" t="s">
        <v>26</v>
      </c>
      <c r="C4856" s="7" t="s">
        <v>27</v>
      </c>
      <c r="D4856" s="7" t="s">
        <v>28</v>
      </c>
      <c r="E4856" s="7" t="s">
        <v>29</v>
      </c>
      <c r="F4856" s="7" t="s">
        <v>159</v>
      </c>
      <c r="G4856" s="7">
        <v>100.7201</v>
      </c>
      <c r="H4856" s="7"/>
    </row>
    <row r="4857" spans="1:8" x14ac:dyDescent="0.35">
      <c r="A4857" s="7" t="s">
        <v>362</v>
      </c>
      <c r="B4857" s="7" t="s">
        <v>26</v>
      </c>
      <c r="C4857" s="7" t="s">
        <v>27</v>
      </c>
      <c r="D4857" s="7" t="s">
        <v>28</v>
      </c>
      <c r="E4857" s="7" t="s">
        <v>29</v>
      </c>
      <c r="F4857" s="7" t="s">
        <v>160</v>
      </c>
      <c r="G4857" s="7">
        <v>100.7809</v>
      </c>
      <c r="H4857" s="7"/>
    </row>
    <row r="4858" spans="1:8" x14ac:dyDescent="0.35">
      <c r="A4858" s="7" t="s">
        <v>362</v>
      </c>
      <c r="B4858" s="7" t="s">
        <v>26</v>
      </c>
      <c r="C4858" s="7" t="s">
        <v>27</v>
      </c>
      <c r="D4858" s="7" t="s">
        <v>28</v>
      </c>
      <c r="E4858" s="7" t="s">
        <v>29</v>
      </c>
      <c r="F4858" s="7" t="s">
        <v>161</v>
      </c>
      <c r="G4858" s="7">
        <v>100.81059999999999</v>
      </c>
      <c r="H4858" s="7"/>
    </row>
    <row r="4859" spans="1:8" x14ac:dyDescent="0.35">
      <c r="A4859" s="7" t="s">
        <v>362</v>
      </c>
      <c r="B4859" s="7" t="s">
        <v>26</v>
      </c>
      <c r="C4859" s="7" t="s">
        <v>27</v>
      </c>
      <c r="D4859" s="7" t="s">
        <v>28</v>
      </c>
      <c r="E4859" s="7" t="s">
        <v>29</v>
      </c>
      <c r="F4859" s="7" t="s">
        <v>162</v>
      </c>
      <c r="G4859" s="7">
        <v>100.66330000000001</v>
      </c>
      <c r="H4859" s="7"/>
    </row>
    <row r="4860" spans="1:8" x14ac:dyDescent="0.35">
      <c r="A4860" s="7" t="s">
        <v>362</v>
      </c>
      <c r="B4860" s="7" t="s">
        <v>26</v>
      </c>
      <c r="C4860" s="7" t="s">
        <v>27</v>
      </c>
      <c r="D4860" s="7" t="s">
        <v>28</v>
      </c>
      <c r="E4860" s="7" t="s">
        <v>29</v>
      </c>
      <c r="F4860" s="7" t="s">
        <v>163</v>
      </c>
      <c r="G4860" s="7">
        <v>100.41589999999999</v>
      </c>
      <c r="H4860" s="7"/>
    </row>
    <row r="4861" spans="1:8" x14ac:dyDescent="0.35">
      <c r="A4861" s="7" t="s">
        <v>362</v>
      </c>
      <c r="B4861" s="7" t="s">
        <v>26</v>
      </c>
      <c r="C4861" s="7" t="s">
        <v>27</v>
      </c>
      <c r="D4861" s="7" t="s">
        <v>28</v>
      </c>
      <c r="E4861" s="7" t="s">
        <v>29</v>
      </c>
      <c r="F4861" s="7" t="s">
        <v>164</v>
      </c>
      <c r="G4861" s="7">
        <v>100.22490000000001</v>
      </c>
      <c r="H4861" s="7"/>
    </row>
    <row r="4862" spans="1:8" x14ac:dyDescent="0.35">
      <c r="A4862" s="7" t="s">
        <v>362</v>
      </c>
      <c r="B4862" s="7" t="s">
        <v>26</v>
      </c>
      <c r="C4862" s="7" t="s">
        <v>27</v>
      </c>
      <c r="D4862" s="7" t="s">
        <v>28</v>
      </c>
      <c r="E4862" s="7" t="s">
        <v>29</v>
      </c>
      <c r="F4862" s="7" t="s">
        <v>165</v>
      </c>
      <c r="G4862" s="7">
        <v>99.965609999999998</v>
      </c>
      <c r="H4862" s="7"/>
    </row>
    <row r="4863" spans="1:8" x14ac:dyDescent="0.35">
      <c r="A4863" s="7" t="s">
        <v>362</v>
      </c>
      <c r="B4863" s="7" t="s">
        <v>26</v>
      </c>
      <c r="C4863" s="7" t="s">
        <v>27</v>
      </c>
      <c r="D4863" s="7" t="s">
        <v>28</v>
      </c>
      <c r="E4863" s="7" t="s">
        <v>29</v>
      </c>
      <c r="F4863" s="7" t="s">
        <v>166</v>
      </c>
      <c r="G4863" s="7">
        <v>99.766750000000002</v>
      </c>
      <c r="H4863" s="7"/>
    </row>
    <row r="4864" spans="1:8" x14ac:dyDescent="0.35">
      <c r="A4864" s="7" t="s">
        <v>362</v>
      </c>
      <c r="B4864" s="7" t="s">
        <v>26</v>
      </c>
      <c r="C4864" s="7" t="s">
        <v>27</v>
      </c>
      <c r="D4864" s="7" t="s">
        <v>28</v>
      </c>
      <c r="E4864" s="7" t="s">
        <v>29</v>
      </c>
      <c r="F4864" s="7" t="s">
        <v>167</v>
      </c>
      <c r="G4864" s="7">
        <v>99.767499999999998</v>
      </c>
      <c r="H4864" s="7"/>
    </row>
    <row r="4865" spans="1:8" x14ac:dyDescent="0.35">
      <c r="A4865" s="7" t="s">
        <v>362</v>
      </c>
      <c r="B4865" s="7" t="s">
        <v>26</v>
      </c>
      <c r="C4865" s="7" t="s">
        <v>27</v>
      </c>
      <c r="D4865" s="7" t="s">
        <v>28</v>
      </c>
      <c r="E4865" s="7" t="s">
        <v>29</v>
      </c>
      <c r="F4865" s="7" t="s">
        <v>168</v>
      </c>
      <c r="G4865" s="7">
        <v>99.91977</v>
      </c>
      <c r="H4865" s="7"/>
    </row>
    <row r="4866" spans="1:8" x14ac:dyDescent="0.35">
      <c r="A4866" s="7" t="s">
        <v>362</v>
      </c>
      <c r="B4866" s="7" t="s">
        <v>26</v>
      </c>
      <c r="C4866" s="7" t="s">
        <v>27</v>
      </c>
      <c r="D4866" s="7" t="s">
        <v>28</v>
      </c>
      <c r="E4866" s="7" t="s">
        <v>29</v>
      </c>
      <c r="F4866" s="7" t="s">
        <v>169</v>
      </c>
      <c r="G4866" s="7">
        <v>99.987380000000002</v>
      </c>
      <c r="H4866" s="7"/>
    </row>
    <row r="4867" spans="1:8" x14ac:dyDescent="0.35">
      <c r="A4867" s="7" t="s">
        <v>362</v>
      </c>
      <c r="B4867" s="7" t="s">
        <v>26</v>
      </c>
      <c r="C4867" s="7" t="s">
        <v>27</v>
      </c>
      <c r="D4867" s="7" t="s">
        <v>28</v>
      </c>
      <c r="E4867" s="7" t="s">
        <v>29</v>
      </c>
      <c r="F4867" s="7" t="s">
        <v>170</v>
      </c>
      <c r="G4867" s="7">
        <v>99.949100000000001</v>
      </c>
      <c r="H4867" s="7"/>
    </row>
    <row r="4868" spans="1:8" x14ac:dyDescent="0.35">
      <c r="A4868" s="7" t="s">
        <v>362</v>
      </c>
      <c r="B4868" s="7" t="s">
        <v>26</v>
      </c>
      <c r="C4868" s="7" t="s">
        <v>27</v>
      </c>
      <c r="D4868" s="7" t="s">
        <v>28</v>
      </c>
      <c r="E4868" s="7" t="s">
        <v>29</v>
      </c>
      <c r="F4868" s="7" t="s">
        <v>171</v>
      </c>
      <c r="G4868" s="7">
        <v>100.0103</v>
      </c>
      <c r="H4868" s="7"/>
    </row>
    <row r="4869" spans="1:8" x14ac:dyDescent="0.35">
      <c r="A4869" s="7" t="s">
        <v>362</v>
      </c>
      <c r="B4869" s="7" t="s">
        <v>26</v>
      </c>
      <c r="C4869" s="7" t="s">
        <v>27</v>
      </c>
      <c r="D4869" s="7" t="s">
        <v>28</v>
      </c>
      <c r="E4869" s="7" t="s">
        <v>29</v>
      </c>
      <c r="F4869" s="7" t="s">
        <v>172</v>
      </c>
      <c r="G4869" s="7">
        <v>100.0729</v>
      </c>
      <c r="H4869" s="7"/>
    </row>
    <row r="4870" spans="1:8" x14ac:dyDescent="0.35">
      <c r="A4870" s="7" t="s">
        <v>362</v>
      </c>
      <c r="B4870" s="7" t="s">
        <v>26</v>
      </c>
      <c r="C4870" s="7" t="s">
        <v>27</v>
      </c>
      <c r="D4870" s="7" t="s">
        <v>28</v>
      </c>
      <c r="E4870" s="7" t="s">
        <v>29</v>
      </c>
      <c r="F4870" s="7" t="s">
        <v>173</v>
      </c>
      <c r="G4870" s="7">
        <v>100.1498</v>
      </c>
      <c r="H4870" s="7"/>
    </row>
    <row r="4871" spans="1:8" x14ac:dyDescent="0.35">
      <c r="A4871" s="7" t="s">
        <v>362</v>
      </c>
      <c r="B4871" s="7" t="s">
        <v>26</v>
      </c>
      <c r="C4871" s="7" t="s">
        <v>27</v>
      </c>
      <c r="D4871" s="7" t="s">
        <v>28</v>
      </c>
      <c r="E4871" s="7" t="s">
        <v>29</v>
      </c>
      <c r="F4871" s="7" t="s">
        <v>174</v>
      </c>
      <c r="G4871" s="7">
        <v>100.23650000000001</v>
      </c>
      <c r="H4871" s="7"/>
    </row>
    <row r="4872" spans="1:8" x14ac:dyDescent="0.35">
      <c r="A4872" s="7" t="s">
        <v>362</v>
      </c>
      <c r="B4872" s="7" t="s">
        <v>26</v>
      </c>
      <c r="C4872" s="7" t="s">
        <v>27</v>
      </c>
      <c r="D4872" s="7" t="s">
        <v>28</v>
      </c>
      <c r="E4872" s="7" t="s">
        <v>29</v>
      </c>
      <c r="F4872" s="7" t="s">
        <v>175</v>
      </c>
      <c r="G4872" s="7">
        <v>100.366</v>
      </c>
      <c r="H4872" s="7"/>
    </row>
    <row r="4873" spans="1:8" x14ac:dyDescent="0.35">
      <c r="A4873" s="7" t="s">
        <v>362</v>
      </c>
      <c r="B4873" s="7" t="s">
        <v>26</v>
      </c>
      <c r="C4873" s="7" t="s">
        <v>27</v>
      </c>
      <c r="D4873" s="7" t="s">
        <v>28</v>
      </c>
      <c r="E4873" s="7" t="s">
        <v>29</v>
      </c>
      <c r="F4873" s="7" t="s">
        <v>176</v>
      </c>
      <c r="G4873" s="7">
        <v>100.4829</v>
      </c>
      <c r="H4873" s="7"/>
    </row>
    <row r="4874" spans="1:8" x14ac:dyDescent="0.35">
      <c r="A4874" s="7" t="s">
        <v>362</v>
      </c>
      <c r="B4874" s="7" t="s">
        <v>26</v>
      </c>
      <c r="C4874" s="7" t="s">
        <v>27</v>
      </c>
      <c r="D4874" s="7" t="s">
        <v>28</v>
      </c>
      <c r="E4874" s="7" t="s">
        <v>29</v>
      </c>
      <c r="F4874" s="7" t="s">
        <v>177</v>
      </c>
      <c r="G4874" s="7">
        <v>100.4725</v>
      </c>
      <c r="H4874" s="7"/>
    </row>
    <row r="4875" spans="1:8" x14ac:dyDescent="0.35">
      <c r="A4875" s="7" t="s">
        <v>362</v>
      </c>
      <c r="B4875" s="7" t="s">
        <v>26</v>
      </c>
      <c r="C4875" s="7" t="s">
        <v>27</v>
      </c>
      <c r="D4875" s="7" t="s">
        <v>28</v>
      </c>
      <c r="E4875" s="7" t="s">
        <v>29</v>
      </c>
      <c r="F4875" s="7" t="s">
        <v>178</v>
      </c>
      <c r="G4875" s="7">
        <v>100.61190000000001</v>
      </c>
      <c r="H4875" s="7"/>
    </row>
    <row r="4876" spans="1:8" x14ac:dyDescent="0.35">
      <c r="A4876" s="7" t="s">
        <v>362</v>
      </c>
      <c r="B4876" s="7" t="s">
        <v>26</v>
      </c>
      <c r="C4876" s="7" t="s">
        <v>27</v>
      </c>
      <c r="D4876" s="7" t="s">
        <v>28</v>
      </c>
      <c r="E4876" s="7" t="s">
        <v>29</v>
      </c>
      <c r="F4876" s="7" t="s">
        <v>179</v>
      </c>
      <c r="G4876" s="7">
        <v>100.8536</v>
      </c>
      <c r="H4876" s="7"/>
    </row>
    <row r="4877" spans="1:8" x14ac:dyDescent="0.35">
      <c r="A4877" s="7" t="s">
        <v>362</v>
      </c>
      <c r="B4877" s="7" t="s">
        <v>26</v>
      </c>
      <c r="C4877" s="7" t="s">
        <v>27</v>
      </c>
      <c r="D4877" s="7" t="s">
        <v>28</v>
      </c>
      <c r="E4877" s="7" t="s">
        <v>29</v>
      </c>
      <c r="F4877" s="7" t="s">
        <v>180</v>
      </c>
      <c r="G4877" s="7">
        <v>101.00360000000001</v>
      </c>
      <c r="H4877" s="7"/>
    </row>
    <row r="4878" spans="1:8" x14ac:dyDescent="0.35">
      <c r="A4878" s="7" t="s">
        <v>362</v>
      </c>
      <c r="B4878" s="7" t="s">
        <v>26</v>
      </c>
      <c r="C4878" s="7" t="s">
        <v>27</v>
      </c>
      <c r="D4878" s="7" t="s">
        <v>28</v>
      </c>
      <c r="E4878" s="7" t="s">
        <v>29</v>
      </c>
      <c r="F4878" s="7" t="s">
        <v>181</v>
      </c>
      <c r="G4878" s="7">
        <v>101.1007</v>
      </c>
      <c r="H4878" s="7"/>
    </row>
    <row r="4879" spans="1:8" x14ac:dyDescent="0.35">
      <c r="A4879" s="7" t="s">
        <v>362</v>
      </c>
      <c r="B4879" s="7" t="s">
        <v>26</v>
      </c>
      <c r="C4879" s="7" t="s">
        <v>27</v>
      </c>
      <c r="D4879" s="7" t="s">
        <v>28</v>
      </c>
      <c r="E4879" s="7" t="s">
        <v>29</v>
      </c>
      <c r="F4879" s="7" t="s">
        <v>182</v>
      </c>
      <c r="G4879" s="7">
        <v>101.1476</v>
      </c>
      <c r="H4879" s="7"/>
    </row>
    <row r="4880" spans="1:8" x14ac:dyDescent="0.35">
      <c r="A4880" s="7" t="s">
        <v>362</v>
      </c>
      <c r="B4880" s="7" t="s">
        <v>26</v>
      </c>
      <c r="C4880" s="7" t="s">
        <v>27</v>
      </c>
      <c r="D4880" s="7" t="s">
        <v>28</v>
      </c>
      <c r="E4880" s="7" t="s">
        <v>29</v>
      </c>
      <c r="F4880" s="7" t="s">
        <v>183</v>
      </c>
      <c r="G4880" s="7">
        <v>101.18559999999999</v>
      </c>
      <c r="H4880" s="7"/>
    </row>
    <row r="4881" spans="1:8" x14ac:dyDescent="0.35">
      <c r="A4881" s="7" t="s">
        <v>362</v>
      </c>
      <c r="B4881" s="7" t="s">
        <v>26</v>
      </c>
      <c r="C4881" s="7" t="s">
        <v>27</v>
      </c>
      <c r="D4881" s="7" t="s">
        <v>28</v>
      </c>
      <c r="E4881" s="7" t="s">
        <v>29</v>
      </c>
      <c r="F4881" s="7" t="s">
        <v>184</v>
      </c>
      <c r="G4881" s="7">
        <v>101.19499999999999</v>
      </c>
      <c r="H4881" s="7"/>
    </row>
    <row r="4882" spans="1:8" x14ac:dyDescent="0.35">
      <c r="A4882" s="7" t="s">
        <v>362</v>
      </c>
      <c r="B4882" s="7" t="s">
        <v>26</v>
      </c>
      <c r="C4882" s="7" t="s">
        <v>27</v>
      </c>
      <c r="D4882" s="7" t="s">
        <v>28</v>
      </c>
      <c r="E4882" s="7" t="s">
        <v>29</v>
      </c>
      <c r="F4882" s="7" t="s">
        <v>185</v>
      </c>
      <c r="G4882" s="7">
        <v>101.1495</v>
      </c>
      <c r="H4882" s="7"/>
    </row>
    <row r="4883" spans="1:8" x14ac:dyDescent="0.35">
      <c r="A4883" s="7" t="s">
        <v>362</v>
      </c>
      <c r="B4883" s="7" t="s">
        <v>26</v>
      </c>
      <c r="C4883" s="7" t="s">
        <v>27</v>
      </c>
      <c r="D4883" s="7" t="s">
        <v>28</v>
      </c>
      <c r="E4883" s="7" t="s">
        <v>29</v>
      </c>
      <c r="F4883" s="7" t="s">
        <v>186</v>
      </c>
      <c r="G4883" s="7">
        <v>101.16549999999999</v>
      </c>
      <c r="H4883" s="7"/>
    </row>
    <row r="4884" spans="1:8" x14ac:dyDescent="0.35">
      <c r="A4884" s="7" t="s">
        <v>362</v>
      </c>
      <c r="B4884" s="7" t="s">
        <v>26</v>
      </c>
      <c r="C4884" s="7" t="s">
        <v>27</v>
      </c>
      <c r="D4884" s="7" t="s">
        <v>28</v>
      </c>
      <c r="E4884" s="7" t="s">
        <v>29</v>
      </c>
      <c r="F4884" s="7" t="s">
        <v>187</v>
      </c>
      <c r="G4884" s="7">
        <v>101.2436</v>
      </c>
      <c r="H4884" s="7"/>
    </row>
    <row r="4885" spans="1:8" x14ac:dyDescent="0.35">
      <c r="A4885" s="7" t="s">
        <v>362</v>
      </c>
      <c r="B4885" s="7" t="s">
        <v>26</v>
      </c>
      <c r="C4885" s="7" t="s">
        <v>27</v>
      </c>
      <c r="D4885" s="7" t="s">
        <v>28</v>
      </c>
      <c r="E4885" s="7" t="s">
        <v>29</v>
      </c>
      <c r="F4885" s="7" t="s">
        <v>188</v>
      </c>
      <c r="G4885" s="7">
        <v>101.3582</v>
      </c>
      <c r="H4885" s="7"/>
    </row>
    <row r="4886" spans="1:8" x14ac:dyDescent="0.35">
      <c r="A4886" s="7" t="s">
        <v>362</v>
      </c>
      <c r="B4886" s="7" t="s">
        <v>26</v>
      </c>
      <c r="C4886" s="7" t="s">
        <v>27</v>
      </c>
      <c r="D4886" s="7" t="s">
        <v>28</v>
      </c>
      <c r="E4886" s="7" t="s">
        <v>29</v>
      </c>
      <c r="F4886" s="7" t="s">
        <v>189</v>
      </c>
      <c r="G4886" s="7">
        <v>101.4588</v>
      </c>
      <c r="H4886" s="7"/>
    </row>
    <row r="4887" spans="1:8" x14ac:dyDescent="0.35">
      <c r="A4887" s="7" t="s">
        <v>362</v>
      </c>
      <c r="B4887" s="7" t="s">
        <v>26</v>
      </c>
      <c r="C4887" s="7" t="s">
        <v>27</v>
      </c>
      <c r="D4887" s="7" t="s">
        <v>28</v>
      </c>
      <c r="E4887" s="7" t="s">
        <v>29</v>
      </c>
      <c r="F4887" s="7" t="s">
        <v>190</v>
      </c>
      <c r="G4887" s="7">
        <v>101.5009</v>
      </c>
      <c r="H4887" s="7"/>
    </row>
    <row r="4888" spans="1:8" x14ac:dyDescent="0.35">
      <c r="A4888" s="7" t="s">
        <v>362</v>
      </c>
      <c r="B4888" s="7" t="s">
        <v>26</v>
      </c>
      <c r="C4888" s="7" t="s">
        <v>27</v>
      </c>
      <c r="D4888" s="7" t="s">
        <v>28</v>
      </c>
      <c r="E4888" s="7" t="s">
        <v>29</v>
      </c>
      <c r="F4888" s="7" t="s">
        <v>191</v>
      </c>
      <c r="G4888" s="7">
        <v>101.43770000000001</v>
      </c>
      <c r="H4888" s="7"/>
    </row>
    <row r="4889" spans="1:8" x14ac:dyDescent="0.35">
      <c r="A4889" s="7" t="s">
        <v>362</v>
      </c>
      <c r="B4889" s="7" t="s">
        <v>26</v>
      </c>
      <c r="C4889" s="7" t="s">
        <v>27</v>
      </c>
      <c r="D4889" s="7" t="s">
        <v>28</v>
      </c>
      <c r="E4889" s="7" t="s">
        <v>29</v>
      </c>
      <c r="F4889" s="7" t="s">
        <v>192</v>
      </c>
      <c r="G4889" s="7">
        <v>101.3897</v>
      </c>
      <c r="H4889" s="7"/>
    </row>
    <row r="4890" spans="1:8" x14ac:dyDescent="0.35">
      <c r="A4890" s="7" t="s">
        <v>362</v>
      </c>
      <c r="B4890" s="7" t="s">
        <v>26</v>
      </c>
      <c r="C4890" s="7" t="s">
        <v>27</v>
      </c>
      <c r="D4890" s="7" t="s">
        <v>28</v>
      </c>
      <c r="E4890" s="7" t="s">
        <v>29</v>
      </c>
      <c r="F4890" s="7" t="s">
        <v>193</v>
      </c>
      <c r="G4890" s="7">
        <v>101.37739999999999</v>
      </c>
      <c r="H4890" s="7"/>
    </row>
    <row r="4891" spans="1:8" x14ac:dyDescent="0.35">
      <c r="A4891" s="7" t="s">
        <v>362</v>
      </c>
      <c r="B4891" s="7" t="s">
        <v>26</v>
      </c>
      <c r="C4891" s="7" t="s">
        <v>27</v>
      </c>
      <c r="D4891" s="7" t="s">
        <v>28</v>
      </c>
      <c r="E4891" s="7" t="s">
        <v>29</v>
      </c>
      <c r="F4891" s="7" t="s">
        <v>194</v>
      </c>
      <c r="G4891" s="7">
        <v>101.4091</v>
      </c>
      <c r="H4891" s="7"/>
    </row>
    <row r="4892" spans="1:8" x14ac:dyDescent="0.35">
      <c r="A4892" s="7" t="s">
        <v>362</v>
      </c>
      <c r="B4892" s="7" t="s">
        <v>26</v>
      </c>
      <c r="C4892" s="7" t="s">
        <v>27</v>
      </c>
      <c r="D4892" s="7" t="s">
        <v>28</v>
      </c>
      <c r="E4892" s="7" t="s">
        <v>29</v>
      </c>
      <c r="F4892" s="7" t="s">
        <v>195</v>
      </c>
      <c r="G4892" s="7">
        <v>101.506</v>
      </c>
      <c r="H4892" s="7"/>
    </row>
    <row r="4893" spans="1:8" x14ac:dyDescent="0.35">
      <c r="A4893" s="7" t="s">
        <v>362</v>
      </c>
      <c r="B4893" s="7" t="s">
        <v>26</v>
      </c>
      <c r="C4893" s="7" t="s">
        <v>27</v>
      </c>
      <c r="D4893" s="7" t="s">
        <v>28</v>
      </c>
      <c r="E4893" s="7" t="s">
        <v>29</v>
      </c>
      <c r="F4893" s="7" t="s">
        <v>196</v>
      </c>
      <c r="G4893" s="7">
        <v>101.631</v>
      </c>
      <c r="H4893" s="7"/>
    </row>
    <row r="4894" spans="1:8" x14ac:dyDescent="0.35">
      <c r="A4894" s="7" t="s">
        <v>362</v>
      </c>
      <c r="B4894" s="7" t="s">
        <v>26</v>
      </c>
      <c r="C4894" s="7" t="s">
        <v>27</v>
      </c>
      <c r="D4894" s="7" t="s">
        <v>28</v>
      </c>
      <c r="E4894" s="7" t="s">
        <v>29</v>
      </c>
      <c r="F4894" s="7" t="s">
        <v>197</v>
      </c>
      <c r="G4894" s="7">
        <v>101.7246</v>
      </c>
      <c r="H4894" s="7"/>
    </row>
    <row r="4895" spans="1:8" x14ac:dyDescent="0.35">
      <c r="A4895" s="7" t="s">
        <v>362</v>
      </c>
      <c r="B4895" s="7" t="s">
        <v>26</v>
      </c>
      <c r="C4895" s="7" t="s">
        <v>27</v>
      </c>
      <c r="D4895" s="7" t="s">
        <v>28</v>
      </c>
      <c r="E4895" s="7" t="s">
        <v>29</v>
      </c>
      <c r="F4895" s="7" t="s">
        <v>198</v>
      </c>
      <c r="G4895" s="7">
        <v>101.8035</v>
      </c>
      <c r="H4895" s="7"/>
    </row>
    <row r="4896" spans="1:8" x14ac:dyDescent="0.35">
      <c r="A4896" s="7" t="s">
        <v>362</v>
      </c>
      <c r="B4896" s="7" t="s">
        <v>26</v>
      </c>
      <c r="C4896" s="7" t="s">
        <v>27</v>
      </c>
      <c r="D4896" s="7" t="s">
        <v>28</v>
      </c>
      <c r="E4896" s="7" t="s">
        <v>29</v>
      </c>
      <c r="F4896" s="7" t="s">
        <v>199</v>
      </c>
      <c r="G4896" s="7">
        <v>101.855</v>
      </c>
      <c r="H4896" s="7"/>
    </row>
    <row r="4897" spans="1:8" x14ac:dyDescent="0.35">
      <c r="A4897" s="7" t="s">
        <v>362</v>
      </c>
      <c r="B4897" s="7" t="s">
        <v>26</v>
      </c>
      <c r="C4897" s="7" t="s">
        <v>27</v>
      </c>
      <c r="D4897" s="7" t="s">
        <v>28</v>
      </c>
      <c r="E4897" s="7" t="s">
        <v>29</v>
      </c>
      <c r="F4897" s="7" t="s">
        <v>200</v>
      </c>
      <c r="G4897" s="7">
        <v>101.8497</v>
      </c>
      <c r="H4897" s="7"/>
    </row>
    <row r="4898" spans="1:8" x14ac:dyDescent="0.35">
      <c r="A4898" s="7" t="s">
        <v>362</v>
      </c>
      <c r="B4898" s="7" t="s">
        <v>26</v>
      </c>
      <c r="C4898" s="7" t="s">
        <v>27</v>
      </c>
      <c r="D4898" s="7" t="s">
        <v>28</v>
      </c>
      <c r="E4898" s="7" t="s">
        <v>29</v>
      </c>
      <c r="F4898" s="7" t="s">
        <v>201</v>
      </c>
      <c r="G4898" s="7">
        <v>101.74339999999999</v>
      </c>
      <c r="H4898" s="7"/>
    </row>
    <row r="4899" spans="1:8" x14ac:dyDescent="0.35">
      <c r="A4899" s="7" t="s">
        <v>362</v>
      </c>
      <c r="B4899" s="7" t="s">
        <v>26</v>
      </c>
      <c r="C4899" s="7" t="s">
        <v>27</v>
      </c>
      <c r="D4899" s="7" t="s">
        <v>28</v>
      </c>
      <c r="E4899" s="7" t="s">
        <v>29</v>
      </c>
      <c r="F4899" s="7" t="s">
        <v>202</v>
      </c>
      <c r="G4899" s="7">
        <v>101.7199</v>
      </c>
      <c r="H4899" s="7"/>
    </row>
    <row r="4900" spans="1:8" x14ac:dyDescent="0.35">
      <c r="A4900" s="7" t="s">
        <v>362</v>
      </c>
      <c r="B4900" s="7" t="s">
        <v>26</v>
      </c>
      <c r="C4900" s="7" t="s">
        <v>27</v>
      </c>
      <c r="D4900" s="7" t="s">
        <v>28</v>
      </c>
      <c r="E4900" s="7" t="s">
        <v>29</v>
      </c>
      <c r="F4900" s="7" t="s">
        <v>203</v>
      </c>
      <c r="G4900" s="7">
        <v>101.7824</v>
      </c>
      <c r="H4900" s="7"/>
    </row>
    <row r="4901" spans="1:8" x14ac:dyDescent="0.35">
      <c r="A4901" s="7" t="s">
        <v>362</v>
      </c>
      <c r="B4901" s="7" t="s">
        <v>26</v>
      </c>
      <c r="C4901" s="7" t="s">
        <v>27</v>
      </c>
      <c r="D4901" s="7" t="s">
        <v>28</v>
      </c>
      <c r="E4901" s="7" t="s">
        <v>29</v>
      </c>
      <c r="F4901" s="7" t="s">
        <v>204</v>
      </c>
      <c r="G4901" s="7">
        <v>101.81610000000001</v>
      </c>
      <c r="H4901" s="7"/>
    </row>
    <row r="4902" spans="1:8" x14ac:dyDescent="0.35">
      <c r="A4902" s="7" t="s">
        <v>362</v>
      </c>
      <c r="B4902" s="7" t="s">
        <v>26</v>
      </c>
      <c r="C4902" s="7" t="s">
        <v>27</v>
      </c>
      <c r="D4902" s="7" t="s">
        <v>28</v>
      </c>
      <c r="E4902" s="7" t="s">
        <v>29</v>
      </c>
      <c r="F4902" s="7" t="s">
        <v>205</v>
      </c>
      <c r="G4902" s="7">
        <v>101.7903</v>
      </c>
      <c r="H4902" s="7"/>
    </row>
    <row r="4903" spans="1:8" x14ac:dyDescent="0.35">
      <c r="A4903" s="7" t="s">
        <v>362</v>
      </c>
      <c r="B4903" s="7" t="s">
        <v>26</v>
      </c>
      <c r="C4903" s="7" t="s">
        <v>27</v>
      </c>
      <c r="D4903" s="7" t="s">
        <v>28</v>
      </c>
      <c r="E4903" s="7" t="s">
        <v>29</v>
      </c>
      <c r="F4903" s="7" t="s">
        <v>206</v>
      </c>
      <c r="G4903" s="7">
        <v>101.7775</v>
      </c>
      <c r="H4903" s="7"/>
    </row>
    <row r="4904" spans="1:8" x14ac:dyDescent="0.35">
      <c r="A4904" s="7" t="s">
        <v>362</v>
      </c>
      <c r="B4904" s="7" t="s">
        <v>26</v>
      </c>
      <c r="C4904" s="7" t="s">
        <v>27</v>
      </c>
      <c r="D4904" s="7" t="s">
        <v>28</v>
      </c>
      <c r="E4904" s="7" t="s">
        <v>29</v>
      </c>
      <c r="F4904" s="7" t="s">
        <v>207</v>
      </c>
      <c r="G4904" s="7">
        <v>101.7945</v>
      </c>
      <c r="H4904" s="7"/>
    </row>
    <row r="4905" spans="1:8" x14ac:dyDescent="0.35">
      <c r="A4905" s="7" t="s">
        <v>362</v>
      </c>
      <c r="B4905" s="7" t="s">
        <v>26</v>
      </c>
      <c r="C4905" s="7" t="s">
        <v>27</v>
      </c>
      <c r="D4905" s="7" t="s">
        <v>28</v>
      </c>
      <c r="E4905" s="7" t="s">
        <v>29</v>
      </c>
      <c r="F4905" s="7" t="s">
        <v>208</v>
      </c>
      <c r="G4905" s="7">
        <v>101.7882</v>
      </c>
      <c r="H4905" s="7"/>
    </row>
    <row r="4906" spans="1:8" x14ac:dyDescent="0.35">
      <c r="A4906" s="7" t="s">
        <v>362</v>
      </c>
      <c r="B4906" s="7" t="s">
        <v>26</v>
      </c>
      <c r="C4906" s="7" t="s">
        <v>27</v>
      </c>
      <c r="D4906" s="7" t="s">
        <v>28</v>
      </c>
      <c r="E4906" s="7" t="s">
        <v>29</v>
      </c>
      <c r="F4906" s="7" t="s">
        <v>209</v>
      </c>
      <c r="G4906" s="7">
        <v>101.81699999999999</v>
      </c>
      <c r="H4906" s="7"/>
    </row>
    <row r="4907" spans="1:8" x14ac:dyDescent="0.35">
      <c r="A4907" s="7" t="s">
        <v>362</v>
      </c>
      <c r="B4907" s="7" t="s">
        <v>26</v>
      </c>
      <c r="C4907" s="7" t="s">
        <v>27</v>
      </c>
      <c r="D4907" s="7" t="s">
        <v>28</v>
      </c>
      <c r="E4907" s="7" t="s">
        <v>29</v>
      </c>
      <c r="F4907" s="7" t="s">
        <v>210</v>
      </c>
      <c r="G4907" s="7">
        <v>101.8725</v>
      </c>
      <c r="H4907" s="7"/>
    </row>
    <row r="4908" spans="1:8" x14ac:dyDescent="0.35">
      <c r="A4908" s="7" t="s">
        <v>362</v>
      </c>
      <c r="B4908" s="7" t="s">
        <v>26</v>
      </c>
      <c r="C4908" s="7" t="s">
        <v>27</v>
      </c>
      <c r="D4908" s="7" t="s">
        <v>28</v>
      </c>
      <c r="E4908" s="7" t="s">
        <v>29</v>
      </c>
      <c r="F4908" s="7" t="s">
        <v>211</v>
      </c>
      <c r="G4908" s="7">
        <v>101.837</v>
      </c>
      <c r="H4908" s="7"/>
    </row>
    <row r="4909" spans="1:8" x14ac:dyDescent="0.35">
      <c r="A4909" s="7" t="s">
        <v>362</v>
      </c>
      <c r="B4909" s="7" t="s">
        <v>26</v>
      </c>
      <c r="C4909" s="7" t="s">
        <v>27</v>
      </c>
      <c r="D4909" s="7" t="s">
        <v>28</v>
      </c>
      <c r="E4909" s="7" t="s">
        <v>29</v>
      </c>
      <c r="F4909" s="7" t="s">
        <v>212</v>
      </c>
      <c r="G4909" s="7">
        <v>101.81140000000001</v>
      </c>
      <c r="H4909" s="7"/>
    </row>
    <row r="4910" spans="1:8" x14ac:dyDescent="0.35">
      <c r="A4910" s="7" t="s">
        <v>362</v>
      </c>
      <c r="B4910" s="7" t="s">
        <v>26</v>
      </c>
      <c r="C4910" s="7" t="s">
        <v>27</v>
      </c>
      <c r="D4910" s="7" t="s">
        <v>28</v>
      </c>
      <c r="E4910" s="7" t="s">
        <v>29</v>
      </c>
      <c r="F4910" s="7" t="s">
        <v>213</v>
      </c>
      <c r="G4910" s="7">
        <v>101.8073</v>
      </c>
      <c r="H4910" s="7"/>
    </row>
    <row r="4911" spans="1:8" x14ac:dyDescent="0.35">
      <c r="A4911" s="7" t="s">
        <v>362</v>
      </c>
      <c r="B4911" s="7" t="s">
        <v>26</v>
      </c>
      <c r="C4911" s="7" t="s">
        <v>27</v>
      </c>
      <c r="D4911" s="7" t="s">
        <v>28</v>
      </c>
      <c r="E4911" s="7" t="s">
        <v>29</v>
      </c>
      <c r="F4911" s="7" t="s">
        <v>214</v>
      </c>
      <c r="G4911" s="7">
        <v>101.7856</v>
      </c>
      <c r="H4911" s="7"/>
    </row>
    <row r="4912" spans="1:8" x14ac:dyDescent="0.35">
      <c r="A4912" s="7" t="s">
        <v>362</v>
      </c>
      <c r="B4912" s="7" t="s">
        <v>26</v>
      </c>
      <c r="C4912" s="7" t="s">
        <v>27</v>
      </c>
      <c r="D4912" s="7" t="s">
        <v>28</v>
      </c>
      <c r="E4912" s="7" t="s">
        <v>29</v>
      </c>
      <c r="F4912" s="7" t="s">
        <v>215</v>
      </c>
      <c r="G4912" s="7">
        <v>101.7266</v>
      </c>
      <c r="H4912" s="7"/>
    </row>
    <row r="4913" spans="1:8" x14ac:dyDescent="0.35">
      <c r="A4913" s="7" t="s">
        <v>362</v>
      </c>
      <c r="B4913" s="7" t="s">
        <v>26</v>
      </c>
      <c r="C4913" s="7" t="s">
        <v>27</v>
      </c>
      <c r="D4913" s="7" t="s">
        <v>28</v>
      </c>
      <c r="E4913" s="7" t="s">
        <v>29</v>
      </c>
      <c r="F4913" s="7" t="s">
        <v>216</v>
      </c>
      <c r="G4913" s="7">
        <v>101.70480000000001</v>
      </c>
      <c r="H4913" s="7"/>
    </row>
    <row r="4914" spans="1:8" x14ac:dyDescent="0.35">
      <c r="A4914" s="7" t="s">
        <v>362</v>
      </c>
      <c r="B4914" s="7" t="s">
        <v>26</v>
      </c>
      <c r="C4914" s="7" t="s">
        <v>27</v>
      </c>
      <c r="D4914" s="7" t="s">
        <v>28</v>
      </c>
      <c r="E4914" s="7" t="s">
        <v>29</v>
      </c>
      <c r="F4914" s="7" t="s">
        <v>217</v>
      </c>
      <c r="G4914" s="7">
        <v>101.7231</v>
      </c>
      <c r="H4914" s="7"/>
    </row>
    <row r="4915" spans="1:8" x14ac:dyDescent="0.35">
      <c r="A4915" s="7" t="s">
        <v>362</v>
      </c>
      <c r="B4915" s="7" t="s">
        <v>26</v>
      </c>
      <c r="C4915" s="7" t="s">
        <v>27</v>
      </c>
      <c r="D4915" s="7" t="s">
        <v>28</v>
      </c>
      <c r="E4915" s="7" t="s">
        <v>29</v>
      </c>
      <c r="F4915" s="7" t="s">
        <v>218</v>
      </c>
      <c r="G4915" s="7">
        <v>101.70820000000001</v>
      </c>
      <c r="H4915" s="7"/>
    </row>
    <row r="4916" spans="1:8" x14ac:dyDescent="0.35">
      <c r="A4916" s="7" t="s">
        <v>362</v>
      </c>
      <c r="B4916" s="7" t="s">
        <v>26</v>
      </c>
      <c r="C4916" s="7" t="s">
        <v>27</v>
      </c>
      <c r="D4916" s="7" t="s">
        <v>28</v>
      </c>
      <c r="E4916" s="7" t="s">
        <v>29</v>
      </c>
      <c r="F4916" s="7" t="s">
        <v>219</v>
      </c>
      <c r="G4916" s="7">
        <v>101.61109999999999</v>
      </c>
      <c r="H4916" s="7"/>
    </row>
    <row r="4917" spans="1:8" x14ac:dyDescent="0.35">
      <c r="A4917" s="7" t="s">
        <v>362</v>
      </c>
      <c r="B4917" s="7" t="s">
        <v>26</v>
      </c>
      <c r="C4917" s="7" t="s">
        <v>27</v>
      </c>
      <c r="D4917" s="7" t="s">
        <v>28</v>
      </c>
      <c r="E4917" s="7" t="s">
        <v>29</v>
      </c>
      <c r="F4917" s="7" t="s">
        <v>220</v>
      </c>
      <c r="G4917" s="7">
        <v>101.5013</v>
      </c>
      <c r="H4917" s="7"/>
    </row>
    <row r="4918" spans="1:8" x14ac:dyDescent="0.35">
      <c r="A4918" s="7" t="s">
        <v>362</v>
      </c>
      <c r="B4918" s="7" t="s">
        <v>26</v>
      </c>
      <c r="C4918" s="7" t="s">
        <v>27</v>
      </c>
      <c r="D4918" s="7" t="s">
        <v>28</v>
      </c>
      <c r="E4918" s="7" t="s">
        <v>29</v>
      </c>
      <c r="F4918" s="7" t="s">
        <v>221</v>
      </c>
      <c r="G4918" s="7">
        <v>101.3734</v>
      </c>
      <c r="H4918" s="7"/>
    </row>
    <row r="4919" spans="1:8" x14ac:dyDescent="0.35">
      <c r="A4919" s="7" t="s">
        <v>362</v>
      </c>
      <c r="B4919" s="7" t="s">
        <v>26</v>
      </c>
      <c r="C4919" s="7" t="s">
        <v>27</v>
      </c>
      <c r="D4919" s="7" t="s">
        <v>28</v>
      </c>
      <c r="E4919" s="7" t="s">
        <v>29</v>
      </c>
      <c r="F4919" s="7" t="s">
        <v>222</v>
      </c>
      <c r="G4919" s="7">
        <v>101.1508</v>
      </c>
      <c r="H4919" s="7"/>
    </row>
    <row r="4920" spans="1:8" x14ac:dyDescent="0.35">
      <c r="A4920" s="7" t="s">
        <v>362</v>
      </c>
      <c r="B4920" s="7" t="s">
        <v>26</v>
      </c>
      <c r="C4920" s="7" t="s">
        <v>27</v>
      </c>
      <c r="D4920" s="7" t="s">
        <v>28</v>
      </c>
      <c r="E4920" s="7" t="s">
        <v>29</v>
      </c>
      <c r="F4920" s="7" t="s">
        <v>223</v>
      </c>
      <c r="G4920" s="7">
        <v>100.8006</v>
      </c>
      <c r="H4920" s="7"/>
    </row>
    <row r="4921" spans="1:8" x14ac:dyDescent="0.35">
      <c r="A4921" s="7" t="s">
        <v>362</v>
      </c>
      <c r="B4921" s="7" t="s">
        <v>26</v>
      </c>
      <c r="C4921" s="7" t="s">
        <v>27</v>
      </c>
      <c r="D4921" s="7" t="s">
        <v>28</v>
      </c>
      <c r="E4921" s="7" t="s">
        <v>29</v>
      </c>
      <c r="F4921" s="7" t="s">
        <v>224</v>
      </c>
      <c r="G4921" s="7">
        <v>100.46339999999999</v>
      </c>
      <c r="H4921" s="7"/>
    </row>
    <row r="4922" spans="1:8" x14ac:dyDescent="0.35">
      <c r="A4922" s="7" t="s">
        <v>362</v>
      </c>
      <c r="B4922" s="7" t="s">
        <v>26</v>
      </c>
      <c r="C4922" s="7" t="s">
        <v>27</v>
      </c>
      <c r="D4922" s="7" t="s">
        <v>28</v>
      </c>
      <c r="E4922" s="7" t="s">
        <v>29</v>
      </c>
      <c r="F4922" s="7" t="s">
        <v>225</v>
      </c>
      <c r="G4922" s="7">
        <v>100.3145</v>
      </c>
      <c r="H4922" s="7"/>
    </row>
    <row r="4923" spans="1:8" x14ac:dyDescent="0.35">
      <c r="A4923" s="7" t="s">
        <v>362</v>
      </c>
      <c r="B4923" s="7" t="s">
        <v>26</v>
      </c>
      <c r="C4923" s="7" t="s">
        <v>27</v>
      </c>
      <c r="D4923" s="7" t="s">
        <v>28</v>
      </c>
      <c r="E4923" s="7" t="s">
        <v>29</v>
      </c>
      <c r="F4923" s="7" t="s">
        <v>226</v>
      </c>
      <c r="G4923" s="7">
        <v>100.2402</v>
      </c>
      <c r="H4923" s="7"/>
    </row>
    <row r="4924" spans="1:8" x14ac:dyDescent="0.35">
      <c r="A4924" s="7" t="s">
        <v>362</v>
      </c>
      <c r="B4924" s="7" t="s">
        <v>26</v>
      </c>
      <c r="C4924" s="7" t="s">
        <v>27</v>
      </c>
      <c r="D4924" s="7" t="s">
        <v>28</v>
      </c>
      <c r="E4924" s="7" t="s">
        <v>29</v>
      </c>
      <c r="F4924" s="7" t="s">
        <v>227</v>
      </c>
      <c r="G4924" s="7">
        <v>100.0924</v>
      </c>
      <c r="H4924" s="7"/>
    </row>
    <row r="4925" spans="1:8" x14ac:dyDescent="0.35">
      <c r="A4925" s="7" t="s">
        <v>362</v>
      </c>
      <c r="B4925" s="7" t="s">
        <v>26</v>
      </c>
      <c r="C4925" s="7" t="s">
        <v>27</v>
      </c>
      <c r="D4925" s="7" t="s">
        <v>28</v>
      </c>
      <c r="E4925" s="7" t="s">
        <v>29</v>
      </c>
      <c r="F4925" s="7" t="s">
        <v>228</v>
      </c>
      <c r="G4925" s="7">
        <v>99.908420000000007</v>
      </c>
      <c r="H4925" s="7"/>
    </row>
    <row r="4926" spans="1:8" x14ac:dyDescent="0.35">
      <c r="A4926" s="7" t="s">
        <v>362</v>
      </c>
      <c r="B4926" s="7" t="s">
        <v>26</v>
      </c>
      <c r="C4926" s="7" t="s">
        <v>27</v>
      </c>
      <c r="D4926" s="7" t="s">
        <v>28</v>
      </c>
      <c r="E4926" s="7" t="s">
        <v>29</v>
      </c>
      <c r="F4926" s="7" t="s">
        <v>229</v>
      </c>
      <c r="G4926" s="7">
        <v>99.648679999999999</v>
      </c>
      <c r="H4926" s="7"/>
    </row>
    <row r="4927" spans="1:8" x14ac:dyDescent="0.35">
      <c r="A4927" s="7" t="s">
        <v>362</v>
      </c>
      <c r="B4927" s="7" t="s">
        <v>26</v>
      </c>
      <c r="C4927" s="7" t="s">
        <v>27</v>
      </c>
      <c r="D4927" s="7" t="s">
        <v>28</v>
      </c>
      <c r="E4927" s="7" t="s">
        <v>29</v>
      </c>
      <c r="F4927" s="7" t="s">
        <v>230</v>
      </c>
      <c r="G4927" s="7">
        <v>99.420689999999993</v>
      </c>
      <c r="H4927" s="7"/>
    </row>
    <row r="4928" spans="1:8" x14ac:dyDescent="0.35">
      <c r="A4928" s="7" t="s">
        <v>362</v>
      </c>
      <c r="B4928" s="7" t="s">
        <v>26</v>
      </c>
      <c r="C4928" s="7" t="s">
        <v>27</v>
      </c>
      <c r="D4928" s="7" t="s">
        <v>28</v>
      </c>
      <c r="E4928" s="7" t="s">
        <v>29</v>
      </c>
      <c r="F4928" s="7" t="s">
        <v>231</v>
      </c>
      <c r="G4928" s="7">
        <v>99.315569999999994</v>
      </c>
      <c r="H4928" s="7"/>
    </row>
    <row r="4929" spans="1:8" x14ac:dyDescent="0.35">
      <c r="A4929" s="7" t="s">
        <v>362</v>
      </c>
      <c r="B4929" s="7" t="s">
        <v>26</v>
      </c>
      <c r="C4929" s="7" t="s">
        <v>27</v>
      </c>
      <c r="D4929" s="7" t="s">
        <v>28</v>
      </c>
      <c r="E4929" s="7" t="s">
        <v>29</v>
      </c>
      <c r="F4929" s="7" t="s">
        <v>232</v>
      </c>
      <c r="G4929" s="7">
        <v>99.186620000000005</v>
      </c>
      <c r="H4929" s="7"/>
    </row>
    <row r="4930" spans="1:8" x14ac:dyDescent="0.35">
      <c r="A4930" s="7" t="s">
        <v>362</v>
      </c>
      <c r="B4930" s="7" t="s">
        <v>26</v>
      </c>
      <c r="C4930" s="7" t="s">
        <v>27</v>
      </c>
      <c r="D4930" s="7" t="s">
        <v>28</v>
      </c>
      <c r="E4930" s="7" t="s">
        <v>29</v>
      </c>
      <c r="F4930" s="7" t="s">
        <v>233</v>
      </c>
      <c r="G4930" s="7">
        <v>99.005600000000001</v>
      </c>
      <c r="H4930" s="7"/>
    </row>
    <row r="4931" spans="1:8" x14ac:dyDescent="0.35">
      <c r="A4931" s="7" t="s">
        <v>362</v>
      </c>
      <c r="B4931" s="7" t="s">
        <v>26</v>
      </c>
      <c r="C4931" s="7" t="s">
        <v>27</v>
      </c>
      <c r="D4931" s="7" t="s">
        <v>28</v>
      </c>
      <c r="E4931" s="7" t="s">
        <v>29</v>
      </c>
      <c r="F4931" s="7" t="s">
        <v>234</v>
      </c>
      <c r="G4931" s="7">
        <v>99.004909999999995</v>
      </c>
      <c r="H4931" s="7"/>
    </row>
    <row r="4932" spans="1:8" x14ac:dyDescent="0.35">
      <c r="A4932" s="7" t="s">
        <v>362</v>
      </c>
      <c r="B4932" s="7" t="s">
        <v>26</v>
      </c>
      <c r="C4932" s="7" t="s">
        <v>27</v>
      </c>
      <c r="D4932" s="7" t="s">
        <v>28</v>
      </c>
      <c r="E4932" s="7" t="s">
        <v>29</v>
      </c>
      <c r="F4932" s="7" t="s">
        <v>235</v>
      </c>
      <c r="G4932" s="7">
        <v>99.012529999999998</v>
      </c>
      <c r="H4932" s="7"/>
    </row>
    <row r="4933" spans="1:8" x14ac:dyDescent="0.35">
      <c r="A4933" s="7" t="s">
        <v>362</v>
      </c>
      <c r="B4933" s="7" t="s">
        <v>26</v>
      </c>
      <c r="C4933" s="7" t="s">
        <v>27</v>
      </c>
      <c r="D4933" s="7" t="s">
        <v>28</v>
      </c>
      <c r="E4933" s="7" t="s">
        <v>29</v>
      </c>
      <c r="F4933" s="7" t="s">
        <v>236</v>
      </c>
      <c r="G4933" s="7">
        <v>99.021199999999993</v>
      </c>
      <c r="H4933" s="7"/>
    </row>
    <row r="4934" spans="1:8" x14ac:dyDescent="0.35">
      <c r="A4934" s="7" t="s">
        <v>362</v>
      </c>
      <c r="B4934" s="7" t="s">
        <v>26</v>
      </c>
      <c r="C4934" s="7" t="s">
        <v>27</v>
      </c>
      <c r="D4934" s="7" t="s">
        <v>28</v>
      </c>
      <c r="E4934" s="7" t="s">
        <v>29</v>
      </c>
      <c r="F4934" s="7" t="s">
        <v>237</v>
      </c>
      <c r="G4934" s="7">
        <v>99.088250000000002</v>
      </c>
      <c r="H4934" s="7"/>
    </row>
    <row r="4935" spans="1:8" x14ac:dyDescent="0.35">
      <c r="A4935" s="7" t="s">
        <v>362</v>
      </c>
      <c r="B4935" s="7" t="s">
        <v>26</v>
      </c>
      <c r="C4935" s="7" t="s">
        <v>27</v>
      </c>
      <c r="D4935" s="7" t="s">
        <v>28</v>
      </c>
      <c r="E4935" s="7" t="s">
        <v>29</v>
      </c>
      <c r="F4935" s="7" t="s">
        <v>238</v>
      </c>
      <c r="G4935" s="7">
        <v>99.366550000000004</v>
      </c>
      <c r="H4935" s="7"/>
    </row>
    <row r="4936" spans="1:8" x14ac:dyDescent="0.35">
      <c r="A4936" s="7" t="s">
        <v>362</v>
      </c>
      <c r="B4936" s="7" t="s">
        <v>26</v>
      </c>
      <c r="C4936" s="7" t="s">
        <v>27</v>
      </c>
      <c r="D4936" s="7" t="s">
        <v>28</v>
      </c>
      <c r="E4936" s="7" t="s">
        <v>29</v>
      </c>
      <c r="F4936" s="7" t="s">
        <v>239</v>
      </c>
      <c r="G4936" s="7">
        <v>99.81277</v>
      </c>
      <c r="H4936" s="7"/>
    </row>
    <row r="4937" spans="1:8" x14ac:dyDescent="0.35">
      <c r="A4937" s="7" t="s">
        <v>362</v>
      </c>
      <c r="B4937" s="7" t="s">
        <v>26</v>
      </c>
      <c r="C4937" s="7" t="s">
        <v>27</v>
      </c>
      <c r="D4937" s="7" t="s">
        <v>28</v>
      </c>
      <c r="E4937" s="7" t="s">
        <v>29</v>
      </c>
      <c r="F4937" s="7" t="s">
        <v>240</v>
      </c>
      <c r="G4937" s="7">
        <v>100.14700000000001</v>
      </c>
      <c r="H4937" s="7"/>
    </row>
    <row r="4938" spans="1:8" x14ac:dyDescent="0.35">
      <c r="A4938" s="7" t="s">
        <v>362</v>
      </c>
      <c r="B4938" s="7" t="s">
        <v>26</v>
      </c>
      <c r="C4938" s="7" t="s">
        <v>27</v>
      </c>
      <c r="D4938" s="7" t="s">
        <v>28</v>
      </c>
      <c r="E4938" s="7" t="s">
        <v>29</v>
      </c>
      <c r="F4938" s="7" t="s">
        <v>241</v>
      </c>
      <c r="G4938" s="7">
        <v>100.398</v>
      </c>
      <c r="H4938" s="7"/>
    </row>
    <row r="4939" spans="1:8" x14ac:dyDescent="0.35">
      <c r="A4939" s="7" t="s">
        <v>362</v>
      </c>
      <c r="B4939" s="7" t="s">
        <v>26</v>
      </c>
      <c r="C4939" s="7" t="s">
        <v>27</v>
      </c>
      <c r="D4939" s="7" t="s">
        <v>28</v>
      </c>
      <c r="E4939" s="7" t="s">
        <v>29</v>
      </c>
      <c r="F4939" s="7" t="s">
        <v>242</v>
      </c>
      <c r="G4939" s="7">
        <v>100.70140000000001</v>
      </c>
      <c r="H4939" s="7"/>
    </row>
    <row r="4940" spans="1:8" x14ac:dyDescent="0.35">
      <c r="A4940" s="7" t="s">
        <v>362</v>
      </c>
      <c r="B4940" s="7" t="s">
        <v>26</v>
      </c>
      <c r="C4940" s="7" t="s">
        <v>27</v>
      </c>
      <c r="D4940" s="7" t="s">
        <v>28</v>
      </c>
      <c r="E4940" s="7" t="s">
        <v>29</v>
      </c>
      <c r="F4940" s="7" t="s">
        <v>243</v>
      </c>
      <c r="G4940" s="7">
        <v>100.8498</v>
      </c>
      <c r="H4940" s="7"/>
    </row>
    <row r="4941" spans="1:8" x14ac:dyDescent="0.35">
      <c r="A4941" s="7" t="s">
        <v>362</v>
      </c>
      <c r="B4941" s="7" t="s">
        <v>26</v>
      </c>
      <c r="C4941" s="7" t="s">
        <v>27</v>
      </c>
      <c r="D4941" s="7" t="s">
        <v>28</v>
      </c>
      <c r="E4941" s="7" t="s">
        <v>29</v>
      </c>
      <c r="F4941" s="7" t="s">
        <v>244</v>
      </c>
      <c r="G4941" s="7">
        <v>100.9552</v>
      </c>
      <c r="H4941" s="7"/>
    </row>
    <row r="4942" spans="1:8" x14ac:dyDescent="0.35">
      <c r="A4942" s="7" t="s">
        <v>362</v>
      </c>
      <c r="B4942" s="7" t="s">
        <v>26</v>
      </c>
      <c r="C4942" s="7" t="s">
        <v>27</v>
      </c>
      <c r="D4942" s="7" t="s">
        <v>28</v>
      </c>
      <c r="E4942" s="7" t="s">
        <v>29</v>
      </c>
      <c r="F4942" s="7" t="s">
        <v>245</v>
      </c>
      <c r="G4942" s="7">
        <v>100.9164</v>
      </c>
      <c r="H4942" s="7"/>
    </row>
    <row r="4943" spans="1:8" x14ac:dyDescent="0.35">
      <c r="A4943" s="7" t="s">
        <v>362</v>
      </c>
      <c r="B4943" s="7" t="s">
        <v>26</v>
      </c>
      <c r="C4943" s="7" t="s">
        <v>27</v>
      </c>
      <c r="D4943" s="7" t="s">
        <v>28</v>
      </c>
      <c r="E4943" s="7" t="s">
        <v>29</v>
      </c>
      <c r="F4943" s="7" t="s">
        <v>246</v>
      </c>
      <c r="G4943" s="7">
        <v>100.7771</v>
      </c>
      <c r="H4943" s="7"/>
    </row>
    <row r="4944" spans="1:8" x14ac:dyDescent="0.35">
      <c r="A4944" s="7" t="s">
        <v>362</v>
      </c>
      <c r="B4944" s="7" t="s">
        <v>26</v>
      </c>
      <c r="C4944" s="7" t="s">
        <v>27</v>
      </c>
      <c r="D4944" s="7" t="s">
        <v>28</v>
      </c>
      <c r="E4944" s="7" t="s">
        <v>29</v>
      </c>
      <c r="F4944" s="7" t="s">
        <v>247</v>
      </c>
      <c r="G4944" s="7">
        <v>100.7775</v>
      </c>
      <c r="H4944" s="7"/>
    </row>
    <row r="4945" spans="1:8" x14ac:dyDescent="0.35">
      <c r="A4945" s="7" t="s">
        <v>362</v>
      </c>
      <c r="B4945" s="7" t="s">
        <v>26</v>
      </c>
      <c r="C4945" s="7" t="s">
        <v>27</v>
      </c>
      <c r="D4945" s="7" t="s">
        <v>28</v>
      </c>
      <c r="E4945" s="7" t="s">
        <v>29</v>
      </c>
      <c r="F4945" s="7" t="s">
        <v>248</v>
      </c>
      <c r="G4945" s="7">
        <v>100.92489999999999</v>
      </c>
      <c r="H4945" s="7"/>
    </row>
    <row r="4946" spans="1:8" x14ac:dyDescent="0.35">
      <c r="A4946" s="7" t="s">
        <v>362</v>
      </c>
      <c r="B4946" s="7" t="s">
        <v>26</v>
      </c>
      <c r="C4946" s="7" t="s">
        <v>27</v>
      </c>
      <c r="D4946" s="7" t="s">
        <v>28</v>
      </c>
      <c r="E4946" s="7" t="s">
        <v>29</v>
      </c>
      <c r="F4946" s="7" t="s">
        <v>249</v>
      </c>
      <c r="G4946" s="7">
        <v>101.0731</v>
      </c>
      <c r="H4946" s="7"/>
    </row>
    <row r="4947" spans="1:8" x14ac:dyDescent="0.35">
      <c r="A4947" s="7" t="s">
        <v>362</v>
      </c>
      <c r="B4947" s="7" t="s">
        <v>26</v>
      </c>
      <c r="C4947" s="7" t="s">
        <v>27</v>
      </c>
      <c r="D4947" s="7" t="s">
        <v>28</v>
      </c>
      <c r="E4947" s="7" t="s">
        <v>29</v>
      </c>
      <c r="F4947" s="7" t="s">
        <v>250</v>
      </c>
      <c r="G4947" s="7">
        <v>101.2907</v>
      </c>
      <c r="H4947" s="7"/>
    </row>
    <row r="4948" spans="1:8" x14ac:dyDescent="0.35">
      <c r="A4948" s="7" t="s">
        <v>362</v>
      </c>
      <c r="B4948" s="7" t="s">
        <v>26</v>
      </c>
      <c r="C4948" s="7" t="s">
        <v>27</v>
      </c>
      <c r="D4948" s="7" t="s">
        <v>28</v>
      </c>
      <c r="E4948" s="7" t="s">
        <v>29</v>
      </c>
      <c r="F4948" s="7" t="s">
        <v>251</v>
      </c>
      <c r="G4948" s="7">
        <v>101.57980000000001</v>
      </c>
      <c r="H4948" s="7"/>
    </row>
    <row r="4949" spans="1:8" x14ac:dyDescent="0.35">
      <c r="A4949" s="7" t="s">
        <v>362</v>
      </c>
      <c r="B4949" s="7" t="s">
        <v>26</v>
      </c>
      <c r="C4949" s="7" t="s">
        <v>27</v>
      </c>
      <c r="D4949" s="7" t="s">
        <v>28</v>
      </c>
      <c r="E4949" s="7" t="s">
        <v>29</v>
      </c>
      <c r="F4949" s="7" t="s">
        <v>252</v>
      </c>
      <c r="G4949" s="7">
        <v>101.7389</v>
      </c>
      <c r="H4949" s="7"/>
    </row>
    <row r="4950" spans="1:8" x14ac:dyDescent="0.35">
      <c r="A4950" s="7" t="s">
        <v>362</v>
      </c>
      <c r="B4950" s="7" t="s">
        <v>26</v>
      </c>
      <c r="C4950" s="7" t="s">
        <v>27</v>
      </c>
      <c r="D4950" s="7" t="s">
        <v>28</v>
      </c>
      <c r="E4950" s="7" t="s">
        <v>29</v>
      </c>
      <c r="F4950" s="7" t="s">
        <v>253</v>
      </c>
      <c r="G4950" s="7">
        <v>101.76009999999999</v>
      </c>
      <c r="H4950" s="7"/>
    </row>
    <row r="4951" spans="1:8" x14ac:dyDescent="0.35">
      <c r="A4951" s="7" t="s">
        <v>362</v>
      </c>
      <c r="B4951" s="7" t="s">
        <v>26</v>
      </c>
      <c r="C4951" s="7" t="s">
        <v>27</v>
      </c>
      <c r="D4951" s="7" t="s">
        <v>28</v>
      </c>
      <c r="E4951" s="7" t="s">
        <v>29</v>
      </c>
      <c r="F4951" s="7" t="s">
        <v>254</v>
      </c>
      <c r="G4951" s="7">
        <v>101.76349999999999</v>
      </c>
      <c r="H4951" s="7"/>
    </row>
    <row r="4952" spans="1:8" x14ac:dyDescent="0.35">
      <c r="A4952" s="7" t="s">
        <v>362</v>
      </c>
      <c r="B4952" s="7" t="s">
        <v>26</v>
      </c>
      <c r="C4952" s="7" t="s">
        <v>27</v>
      </c>
      <c r="D4952" s="7" t="s">
        <v>28</v>
      </c>
      <c r="E4952" s="7" t="s">
        <v>29</v>
      </c>
      <c r="F4952" s="7" t="s">
        <v>255</v>
      </c>
      <c r="G4952" s="7">
        <v>101.605</v>
      </c>
      <c r="H4952" s="7"/>
    </row>
    <row r="4953" spans="1:8" x14ac:dyDescent="0.35">
      <c r="A4953" s="7" t="s">
        <v>362</v>
      </c>
      <c r="B4953" s="7" t="s">
        <v>26</v>
      </c>
      <c r="C4953" s="7" t="s">
        <v>27</v>
      </c>
      <c r="D4953" s="7" t="s">
        <v>28</v>
      </c>
      <c r="E4953" s="7" t="s">
        <v>29</v>
      </c>
      <c r="F4953" s="7" t="s">
        <v>256</v>
      </c>
      <c r="G4953" s="7">
        <v>101.36279999999999</v>
      </c>
      <c r="H4953" s="7"/>
    </row>
    <row r="4954" spans="1:8" x14ac:dyDescent="0.35">
      <c r="A4954" s="7" t="s">
        <v>362</v>
      </c>
      <c r="B4954" s="7" t="s">
        <v>26</v>
      </c>
      <c r="C4954" s="7" t="s">
        <v>27</v>
      </c>
      <c r="D4954" s="7" t="s">
        <v>28</v>
      </c>
      <c r="E4954" s="7" t="s">
        <v>29</v>
      </c>
      <c r="F4954" s="7" t="s">
        <v>257</v>
      </c>
      <c r="G4954" s="7">
        <v>101.1386</v>
      </c>
      <c r="H4954" s="7"/>
    </row>
    <row r="4955" spans="1:8" x14ac:dyDescent="0.35">
      <c r="A4955" s="7" t="s">
        <v>362</v>
      </c>
      <c r="B4955" s="7" t="s">
        <v>26</v>
      </c>
      <c r="C4955" s="7" t="s">
        <v>27</v>
      </c>
      <c r="D4955" s="7" t="s">
        <v>28</v>
      </c>
      <c r="E4955" s="7" t="s">
        <v>29</v>
      </c>
      <c r="F4955" s="7" t="s">
        <v>258</v>
      </c>
      <c r="G4955" s="7">
        <v>100.9294</v>
      </c>
      <c r="H4955" s="7"/>
    </row>
    <row r="4956" spans="1:8" x14ac:dyDescent="0.35">
      <c r="A4956" s="7" t="s">
        <v>362</v>
      </c>
      <c r="B4956" s="7" t="s">
        <v>26</v>
      </c>
      <c r="C4956" s="7" t="s">
        <v>27</v>
      </c>
      <c r="D4956" s="7" t="s">
        <v>28</v>
      </c>
      <c r="E4956" s="7" t="s">
        <v>29</v>
      </c>
      <c r="F4956" s="7" t="s">
        <v>259</v>
      </c>
      <c r="G4956" s="7">
        <v>100.8391</v>
      </c>
      <c r="H4956" s="7"/>
    </row>
    <row r="4957" spans="1:8" x14ac:dyDescent="0.35">
      <c r="A4957" s="7" t="s">
        <v>362</v>
      </c>
      <c r="B4957" s="7" t="s">
        <v>26</v>
      </c>
      <c r="C4957" s="7" t="s">
        <v>27</v>
      </c>
      <c r="D4957" s="7" t="s">
        <v>28</v>
      </c>
      <c r="E4957" s="7" t="s">
        <v>29</v>
      </c>
      <c r="F4957" s="7" t="s">
        <v>260</v>
      </c>
      <c r="G4957" s="7">
        <v>100.81100000000001</v>
      </c>
      <c r="H4957" s="7"/>
    </row>
    <row r="4958" spans="1:8" x14ac:dyDescent="0.35">
      <c r="A4958" s="7" t="s">
        <v>362</v>
      </c>
      <c r="B4958" s="7" t="s">
        <v>26</v>
      </c>
      <c r="C4958" s="7" t="s">
        <v>27</v>
      </c>
      <c r="D4958" s="7" t="s">
        <v>28</v>
      </c>
      <c r="E4958" s="7" t="s">
        <v>29</v>
      </c>
      <c r="F4958" s="7" t="s">
        <v>261</v>
      </c>
      <c r="G4958" s="7">
        <v>100.83799999999999</v>
      </c>
      <c r="H4958" s="7"/>
    </row>
    <row r="4959" spans="1:8" x14ac:dyDescent="0.35">
      <c r="A4959" s="7" t="s">
        <v>362</v>
      </c>
      <c r="B4959" s="7" t="s">
        <v>26</v>
      </c>
      <c r="C4959" s="7" t="s">
        <v>27</v>
      </c>
      <c r="D4959" s="7" t="s">
        <v>28</v>
      </c>
      <c r="E4959" s="7" t="s">
        <v>29</v>
      </c>
      <c r="F4959" s="7" t="s">
        <v>262</v>
      </c>
      <c r="G4959" s="7">
        <v>100.9633</v>
      </c>
      <c r="H4959" s="7"/>
    </row>
    <row r="4960" spans="1:8" x14ac:dyDescent="0.35">
      <c r="A4960" s="7" t="s">
        <v>362</v>
      </c>
      <c r="B4960" s="7" t="s">
        <v>26</v>
      </c>
      <c r="C4960" s="7" t="s">
        <v>27</v>
      </c>
      <c r="D4960" s="7" t="s">
        <v>28</v>
      </c>
      <c r="E4960" s="7" t="s">
        <v>29</v>
      </c>
      <c r="F4960" s="7" t="s">
        <v>263</v>
      </c>
      <c r="G4960" s="7">
        <v>101.1617</v>
      </c>
      <c r="H4960" s="7"/>
    </row>
    <row r="4961" spans="1:8" x14ac:dyDescent="0.35">
      <c r="A4961" s="7" t="s">
        <v>362</v>
      </c>
      <c r="B4961" s="7" t="s">
        <v>26</v>
      </c>
      <c r="C4961" s="7" t="s">
        <v>27</v>
      </c>
      <c r="D4961" s="7" t="s">
        <v>28</v>
      </c>
      <c r="E4961" s="7" t="s">
        <v>29</v>
      </c>
      <c r="F4961" s="7" t="s">
        <v>264</v>
      </c>
      <c r="G4961" s="7">
        <v>101.2929</v>
      </c>
      <c r="H4961" s="7"/>
    </row>
    <row r="4962" spans="1:8" x14ac:dyDescent="0.35">
      <c r="A4962" s="7" t="s">
        <v>362</v>
      </c>
      <c r="B4962" s="7" t="s">
        <v>26</v>
      </c>
      <c r="C4962" s="7" t="s">
        <v>27</v>
      </c>
      <c r="D4962" s="7" t="s">
        <v>28</v>
      </c>
      <c r="E4962" s="7" t="s">
        <v>29</v>
      </c>
      <c r="F4962" s="7" t="s">
        <v>265</v>
      </c>
      <c r="G4962" s="7">
        <v>101.34010000000001</v>
      </c>
      <c r="H4962" s="7"/>
    </row>
    <row r="4963" spans="1:8" x14ac:dyDescent="0.35">
      <c r="A4963" s="7" t="s">
        <v>362</v>
      </c>
      <c r="B4963" s="7" t="s">
        <v>26</v>
      </c>
      <c r="C4963" s="7" t="s">
        <v>27</v>
      </c>
      <c r="D4963" s="7" t="s">
        <v>28</v>
      </c>
      <c r="E4963" s="7" t="s">
        <v>29</v>
      </c>
      <c r="F4963" s="7" t="s">
        <v>266</v>
      </c>
      <c r="G4963" s="7">
        <v>101.0932</v>
      </c>
      <c r="H4963" s="7"/>
    </row>
    <row r="4964" spans="1:8" x14ac:dyDescent="0.35">
      <c r="A4964" s="7" t="s">
        <v>362</v>
      </c>
      <c r="B4964" s="7" t="s">
        <v>26</v>
      </c>
      <c r="C4964" s="7" t="s">
        <v>27</v>
      </c>
      <c r="D4964" s="7" t="s">
        <v>28</v>
      </c>
      <c r="E4964" s="7" t="s">
        <v>29</v>
      </c>
      <c r="F4964" s="7" t="s">
        <v>267</v>
      </c>
      <c r="G4964" s="7">
        <v>100.72280000000001</v>
      </c>
      <c r="H4964" s="7"/>
    </row>
    <row r="4965" spans="1:8" x14ac:dyDescent="0.35">
      <c r="A4965" s="7" t="s">
        <v>362</v>
      </c>
      <c r="B4965" s="7" t="s">
        <v>26</v>
      </c>
      <c r="C4965" s="7" t="s">
        <v>27</v>
      </c>
      <c r="D4965" s="7" t="s">
        <v>28</v>
      </c>
      <c r="E4965" s="7" t="s">
        <v>29</v>
      </c>
      <c r="F4965" s="7" t="s">
        <v>268</v>
      </c>
      <c r="G4965" s="7">
        <v>100.4064</v>
      </c>
      <c r="H4965" s="7"/>
    </row>
    <row r="4966" spans="1:8" x14ac:dyDescent="0.35">
      <c r="A4966" s="7" t="s">
        <v>362</v>
      </c>
      <c r="B4966" s="7" t="s">
        <v>26</v>
      </c>
      <c r="C4966" s="7" t="s">
        <v>27</v>
      </c>
      <c r="D4966" s="7" t="s">
        <v>28</v>
      </c>
      <c r="E4966" s="7" t="s">
        <v>29</v>
      </c>
      <c r="F4966" s="7" t="s">
        <v>269</v>
      </c>
      <c r="G4966" s="7">
        <v>99.970870000000005</v>
      </c>
      <c r="H4966" s="7"/>
    </row>
    <row r="4967" spans="1:8" x14ac:dyDescent="0.35">
      <c r="A4967" s="7" t="s">
        <v>362</v>
      </c>
      <c r="B4967" s="7" t="s">
        <v>26</v>
      </c>
      <c r="C4967" s="7" t="s">
        <v>27</v>
      </c>
      <c r="D4967" s="7" t="s">
        <v>28</v>
      </c>
      <c r="E4967" s="7" t="s">
        <v>29</v>
      </c>
      <c r="F4967" s="7" t="s">
        <v>270</v>
      </c>
      <c r="G4967" s="7">
        <v>99.566689999999994</v>
      </c>
      <c r="H4967" s="7"/>
    </row>
    <row r="4968" spans="1:8" x14ac:dyDescent="0.35">
      <c r="A4968" s="7" t="s">
        <v>362</v>
      </c>
      <c r="B4968" s="7" t="s">
        <v>26</v>
      </c>
      <c r="C4968" s="7" t="s">
        <v>27</v>
      </c>
      <c r="D4968" s="7" t="s">
        <v>28</v>
      </c>
      <c r="E4968" s="7" t="s">
        <v>29</v>
      </c>
      <c r="F4968" s="7" t="s">
        <v>271</v>
      </c>
      <c r="G4968" s="7">
        <v>99.468289999999996</v>
      </c>
      <c r="H4968" s="7"/>
    </row>
    <row r="4969" spans="1:8" x14ac:dyDescent="0.35">
      <c r="A4969" s="7" t="s">
        <v>362</v>
      </c>
      <c r="B4969" s="7" t="s">
        <v>26</v>
      </c>
      <c r="C4969" s="7" t="s">
        <v>27</v>
      </c>
      <c r="D4969" s="7" t="s">
        <v>28</v>
      </c>
      <c r="E4969" s="7" t="s">
        <v>29</v>
      </c>
      <c r="F4969" s="7" t="s">
        <v>272</v>
      </c>
      <c r="G4969" s="7">
        <v>99.711740000000006</v>
      </c>
      <c r="H4969" s="7"/>
    </row>
    <row r="4970" spans="1:8" x14ac:dyDescent="0.35">
      <c r="A4970" s="7" t="s">
        <v>362</v>
      </c>
      <c r="B4970" s="7" t="s">
        <v>26</v>
      </c>
      <c r="C4970" s="7" t="s">
        <v>27</v>
      </c>
      <c r="D4970" s="7" t="s">
        <v>28</v>
      </c>
      <c r="E4970" s="7" t="s">
        <v>29</v>
      </c>
      <c r="F4970" s="7" t="s">
        <v>273</v>
      </c>
      <c r="G4970" s="7">
        <v>100.2195</v>
      </c>
      <c r="H4970" s="7"/>
    </row>
    <row r="4971" spans="1:8" x14ac:dyDescent="0.35">
      <c r="A4971" s="7" t="s">
        <v>362</v>
      </c>
      <c r="B4971" s="7" t="s">
        <v>26</v>
      </c>
      <c r="C4971" s="7" t="s">
        <v>27</v>
      </c>
      <c r="D4971" s="7" t="s">
        <v>28</v>
      </c>
      <c r="E4971" s="7" t="s">
        <v>29</v>
      </c>
      <c r="F4971" s="7" t="s">
        <v>274</v>
      </c>
      <c r="G4971" s="7">
        <v>100.6497</v>
      </c>
      <c r="H4971" s="7"/>
    </row>
    <row r="4972" spans="1:8" x14ac:dyDescent="0.35">
      <c r="A4972" s="7" t="s">
        <v>362</v>
      </c>
      <c r="B4972" s="7" t="s">
        <v>26</v>
      </c>
      <c r="C4972" s="7" t="s">
        <v>27</v>
      </c>
      <c r="D4972" s="7" t="s">
        <v>28</v>
      </c>
      <c r="E4972" s="7" t="s">
        <v>29</v>
      </c>
      <c r="F4972" s="7" t="s">
        <v>275</v>
      </c>
      <c r="G4972" s="7">
        <v>100.76049999999999</v>
      </c>
      <c r="H4972" s="7"/>
    </row>
    <row r="4973" spans="1:8" x14ac:dyDescent="0.35">
      <c r="A4973" s="7" t="s">
        <v>362</v>
      </c>
      <c r="B4973" s="7" t="s">
        <v>26</v>
      </c>
      <c r="C4973" s="7" t="s">
        <v>27</v>
      </c>
      <c r="D4973" s="7" t="s">
        <v>28</v>
      </c>
      <c r="E4973" s="7" t="s">
        <v>29</v>
      </c>
      <c r="F4973" s="7" t="s">
        <v>276</v>
      </c>
      <c r="G4973" s="7">
        <v>100.6544</v>
      </c>
      <c r="H4973" s="7"/>
    </row>
    <row r="4974" spans="1:8" x14ac:dyDescent="0.35">
      <c r="A4974" s="7" t="s">
        <v>362</v>
      </c>
      <c r="B4974" s="7" t="s">
        <v>26</v>
      </c>
      <c r="C4974" s="7" t="s">
        <v>27</v>
      </c>
      <c r="D4974" s="7" t="s">
        <v>28</v>
      </c>
      <c r="E4974" s="7" t="s">
        <v>29</v>
      </c>
      <c r="F4974" s="7" t="s">
        <v>277</v>
      </c>
      <c r="G4974" s="7">
        <v>100.54859999999999</v>
      </c>
      <c r="H4974" s="7"/>
    </row>
    <row r="4975" spans="1:8" x14ac:dyDescent="0.35">
      <c r="A4975" s="7" t="s">
        <v>362</v>
      </c>
      <c r="B4975" s="7" t="s">
        <v>26</v>
      </c>
      <c r="C4975" s="7" t="s">
        <v>27</v>
      </c>
      <c r="D4975" s="7" t="s">
        <v>28</v>
      </c>
      <c r="E4975" s="7" t="s">
        <v>29</v>
      </c>
      <c r="F4975" s="7" t="s">
        <v>278</v>
      </c>
      <c r="G4975" s="7">
        <v>100.4974</v>
      </c>
      <c r="H4975" s="7"/>
    </row>
    <row r="4976" spans="1:8" x14ac:dyDescent="0.35">
      <c r="A4976" s="7" t="s">
        <v>362</v>
      </c>
      <c r="B4976" s="7" t="s">
        <v>26</v>
      </c>
      <c r="C4976" s="7" t="s">
        <v>27</v>
      </c>
      <c r="D4976" s="7" t="s">
        <v>28</v>
      </c>
      <c r="E4976" s="7" t="s">
        <v>29</v>
      </c>
      <c r="F4976" s="7" t="s">
        <v>279</v>
      </c>
      <c r="G4976" s="7">
        <v>100.4452</v>
      </c>
      <c r="H4976" s="7"/>
    </row>
    <row r="4977" spans="1:8" x14ac:dyDescent="0.35">
      <c r="A4977" s="7" t="s">
        <v>362</v>
      </c>
      <c r="B4977" s="7" t="s">
        <v>26</v>
      </c>
      <c r="C4977" s="7" t="s">
        <v>27</v>
      </c>
      <c r="D4977" s="7" t="s">
        <v>28</v>
      </c>
      <c r="E4977" s="7" t="s">
        <v>29</v>
      </c>
      <c r="F4977" s="7" t="s">
        <v>280</v>
      </c>
      <c r="G4977" s="7">
        <v>100.3437</v>
      </c>
      <c r="H4977" s="7"/>
    </row>
    <row r="4978" spans="1:8" x14ac:dyDescent="0.35">
      <c r="A4978" s="7" t="s">
        <v>362</v>
      </c>
      <c r="B4978" s="7" t="s">
        <v>26</v>
      </c>
      <c r="C4978" s="7" t="s">
        <v>27</v>
      </c>
      <c r="D4978" s="7" t="s">
        <v>28</v>
      </c>
      <c r="E4978" s="7" t="s">
        <v>29</v>
      </c>
      <c r="F4978" s="7" t="s">
        <v>281</v>
      </c>
      <c r="G4978" s="7">
        <v>100.31019999999999</v>
      </c>
      <c r="H4978" s="7"/>
    </row>
    <row r="4979" spans="1:8" x14ac:dyDescent="0.35">
      <c r="A4979" s="7" t="s">
        <v>362</v>
      </c>
      <c r="B4979" s="7" t="s">
        <v>26</v>
      </c>
      <c r="C4979" s="7" t="s">
        <v>27</v>
      </c>
      <c r="D4979" s="7" t="s">
        <v>28</v>
      </c>
      <c r="E4979" s="7" t="s">
        <v>29</v>
      </c>
      <c r="F4979" s="7" t="s">
        <v>282</v>
      </c>
      <c r="G4979" s="7">
        <v>100.35850000000001</v>
      </c>
      <c r="H4979" s="7"/>
    </row>
    <row r="4980" spans="1:8" x14ac:dyDescent="0.35">
      <c r="A4980" s="7" t="s">
        <v>362</v>
      </c>
      <c r="B4980" s="7" t="s">
        <v>26</v>
      </c>
      <c r="C4980" s="7" t="s">
        <v>27</v>
      </c>
      <c r="D4980" s="7" t="s">
        <v>28</v>
      </c>
      <c r="E4980" s="7" t="s">
        <v>29</v>
      </c>
      <c r="F4980" s="7" t="s">
        <v>283</v>
      </c>
      <c r="G4980" s="7">
        <v>100.3272</v>
      </c>
      <c r="H4980" s="7"/>
    </row>
    <row r="4981" spans="1:8" x14ac:dyDescent="0.35">
      <c r="A4981" s="7" t="s">
        <v>362</v>
      </c>
      <c r="B4981" s="7" t="s">
        <v>26</v>
      </c>
      <c r="C4981" s="7" t="s">
        <v>27</v>
      </c>
      <c r="D4981" s="7" t="s">
        <v>28</v>
      </c>
      <c r="E4981" s="7" t="s">
        <v>29</v>
      </c>
      <c r="F4981" s="7" t="s">
        <v>284</v>
      </c>
      <c r="G4981" s="7">
        <v>100.2803</v>
      </c>
      <c r="H4981" s="7"/>
    </row>
    <row r="4982" spans="1:8" x14ac:dyDescent="0.35">
      <c r="A4982" s="7" t="s">
        <v>362</v>
      </c>
      <c r="B4982" s="7" t="s">
        <v>26</v>
      </c>
      <c r="C4982" s="7" t="s">
        <v>27</v>
      </c>
      <c r="D4982" s="7" t="s">
        <v>28</v>
      </c>
      <c r="E4982" s="7" t="s">
        <v>29</v>
      </c>
      <c r="F4982" s="7" t="s">
        <v>285</v>
      </c>
      <c r="G4982" s="7">
        <v>100.3408</v>
      </c>
      <c r="H4982" s="7"/>
    </row>
    <row r="4983" spans="1:8" x14ac:dyDescent="0.35">
      <c r="A4983" s="7" t="s">
        <v>362</v>
      </c>
      <c r="B4983" s="7" t="s">
        <v>26</v>
      </c>
      <c r="C4983" s="7" t="s">
        <v>27</v>
      </c>
      <c r="D4983" s="7" t="s">
        <v>28</v>
      </c>
      <c r="E4983" s="7" t="s">
        <v>29</v>
      </c>
      <c r="F4983" s="7" t="s">
        <v>286</v>
      </c>
      <c r="G4983" s="7">
        <v>100.4196</v>
      </c>
      <c r="H4983" s="7"/>
    </row>
    <row r="4984" spans="1:8" x14ac:dyDescent="0.35">
      <c r="A4984" s="7" t="s">
        <v>362</v>
      </c>
      <c r="B4984" s="7" t="s">
        <v>26</v>
      </c>
      <c r="C4984" s="7" t="s">
        <v>27</v>
      </c>
      <c r="D4984" s="7" t="s">
        <v>28</v>
      </c>
      <c r="E4984" s="7" t="s">
        <v>29</v>
      </c>
      <c r="F4984" s="7" t="s">
        <v>287</v>
      </c>
      <c r="G4984" s="7">
        <v>100.49930000000001</v>
      </c>
      <c r="H4984" s="7"/>
    </row>
    <row r="4985" spans="1:8" x14ac:dyDescent="0.35">
      <c r="A4985" s="7" t="s">
        <v>362</v>
      </c>
      <c r="B4985" s="7" t="s">
        <v>26</v>
      </c>
      <c r="C4985" s="7" t="s">
        <v>27</v>
      </c>
      <c r="D4985" s="7" t="s">
        <v>28</v>
      </c>
      <c r="E4985" s="7" t="s">
        <v>29</v>
      </c>
      <c r="F4985" s="7" t="s">
        <v>288</v>
      </c>
      <c r="G4985" s="7">
        <v>100.6741</v>
      </c>
      <c r="H4985" s="7"/>
    </row>
    <row r="4986" spans="1:8" x14ac:dyDescent="0.35">
      <c r="A4986" s="7" t="s">
        <v>362</v>
      </c>
      <c r="B4986" s="7" t="s">
        <v>26</v>
      </c>
      <c r="C4986" s="7" t="s">
        <v>27</v>
      </c>
      <c r="D4986" s="7" t="s">
        <v>28</v>
      </c>
      <c r="E4986" s="7" t="s">
        <v>29</v>
      </c>
      <c r="F4986" s="7" t="s">
        <v>289</v>
      </c>
      <c r="G4986" s="7">
        <v>100.9644</v>
      </c>
      <c r="H4986" s="7"/>
    </row>
    <row r="4987" spans="1:8" x14ac:dyDescent="0.35">
      <c r="A4987" s="7" t="s">
        <v>362</v>
      </c>
      <c r="B4987" s="7" t="s">
        <v>26</v>
      </c>
      <c r="C4987" s="7" t="s">
        <v>27</v>
      </c>
      <c r="D4987" s="7" t="s">
        <v>28</v>
      </c>
      <c r="E4987" s="7" t="s">
        <v>29</v>
      </c>
      <c r="F4987" s="7" t="s">
        <v>290</v>
      </c>
      <c r="G4987" s="7">
        <v>101.2479</v>
      </c>
      <c r="H4987" s="7"/>
    </row>
    <row r="4988" spans="1:8" x14ac:dyDescent="0.35">
      <c r="A4988" s="7" t="s">
        <v>362</v>
      </c>
      <c r="B4988" s="7" t="s">
        <v>26</v>
      </c>
      <c r="C4988" s="7" t="s">
        <v>27</v>
      </c>
      <c r="D4988" s="7" t="s">
        <v>28</v>
      </c>
      <c r="E4988" s="7" t="s">
        <v>29</v>
      </c>
      <c r="F4988" s="7" t="s">
        <v>291</v>
      </c>
      <c r="G4988" s="7">
        <v>101.51130000000001</v>
      </c>
      <c r="H4988" s="7"/>
    </row>
    <row r="4989" spans="1:8" x14ac:dyDescent="0.35">
      <c r="A4989" s="7" t="s">
        <v>362</v>
      </c>
      <c r="B4989" s="7" t="s">
        <v>26</v>
      </c>
      <c r="C4989" s="7" t="s">
        <v>27</v>
      </c>
      <c r="D4989" s="7" t="s">
        <v>28</v>
      </c>
      <c r="E4989" s="7" t="s">
        <v>29</v>
      </c>
      <c r="F4989" s="7" t="s">
        <v>292</v>
      </c>
      <c r="G4989" s="7">
        <v>101.65900000000001</v>
      </c>
      <c r="H4989" s="7"/>
    </row>
    <row r="4990" spans="1:8" x14ac:dyDescent="0.35">
      <c r="A4990" s="7" t="s">
        <v>362</v>
      </c>
      <c r="B4990" s="7" t="s">
        <v>26</v>
      </c>
      <c r="C4990" s="7" t="s">
        <v>27</v>
      </c>
      <c r="D4990" s="7" t="s">
        <v>28</v>
      </c>
      <c r="E4990" s="7" t="s">
        <v>29</v>
      </c>
      <c r="F4990" s="7" t="s">
        <v>293</v>
      </c>
      <c r="G4990" s="7">
        <v>101.71250000000001</v>
      </c>
      <c r="H4990" s="7"/>
    </row>
    <row r="4991" spans="1:8" x14ac:dyDescent="0.35">
      <c r="A4991" s="7" t="s">
        <v>362</v>
      </c>
      <c r="B4991" s="7" t="s">
        <v>26</v>
      </c>
      <c r="C4991" s="7" t="s">
        <v>27</v>
      </c>
      <c r="D4991" s="7" t="s">
        <v>28</v>
      </c>
      <c r="E4991" s="7" t="s">
        <v>29</v>
      </c>
      <c r="F4991" s="7" t="s">
        <v>294</v>
      </c>
      <c r="G4991" s="7">
        <v>101.6897</v>
      </c>
      <c r="H4991" s="7"/>
    </row>
    <row r="4992" spans="1:8" x14ac:dyDescent="0.35">
      <c r="A4992" s="7" t="s">
        <v>362</v>
      </c>
      <c r="B4992" s="7" t="s">
        <v>26</v>
      </c>
      <c r="C4992" s="7" t="s">
        <v>27</v>
      </c>
      <c r="D4992" s="7" t="s">
        <v>28</v>
      </c>
      <c r="E4992" s="7" t="s">
        <v>29</v>
      </c>
      <c r="F4992" s="7" t="s">
        <v>295</v>
      </c>
      <c r="G4992" s="7">
        <v>101.70910000000001</v>
      </c>
      <c r="H4992" s="7"/>
    </row>
    <row r="4993" spans="1:8" x14ac:dyDescent="0.35">
      <c r="A4993" s="7" t="s">
        <v>362</v>
      </c>
      <c r="B4993" s="7" t="s">
        <v>26</v>
      </c>
      <c r="C4993" s="7" t="s">
        <v>27</v>
      </c>
      <c r="D4993" s="7" t="s">
        <v>28</v>
      </c>
      <c r="E4993" s="7" t="s">
        <v>29</v>
      </c>
      <c r="F4993" s="7" t="s">
        <v>296</v>
      </c>
      <c r="G4993" s="7">
        <v>101.7491</v>
      </c>
      <c r="H4993" s="7"/>
    </row>
    <row r="4994" spans="1:8" x14ac:dyDescent="0.35">
      <c r="A4994" s="7" t="s">
        <v>362</v>
      </c>
      <c r="B4994" s="7" t="s">
        <v>26</v>
      </c>
      <c r="C4994" s="7" t="s">
        <v>27</v>
      </c>
      <c r="D4994" s="7" t="s">
        <v>28</v>
      </c>
      <c r="E4994" s="7" t="s">
        <v>29</v>
      </c>
      <c r="F4994" s="7" t="s">
        <v>297</v>
      </c>
      <c r="G4994" s="7">
        <v>101.6938</v>
      </c>
      <c r="H4994" s="7"/>
    </row>
    <row r="4995" spans="1:8" x14ac:dyDescent="0.35">
      <c r="A4995" s="7" t="s">
        <v>362</v>
      </c>
      <c r="B4995" s="7" t="s">
        <v>26</v>
      </c>
      <c r="C4995" s="7" t="s">
        <v>27</v>
      </c>
      <c r="D4995" s="7" t="s">
        <v>28</v>
      </c>
      <c r="E4995" s="7" t="s">
        <v>29</v>
      </c>
      <c r="F4995" s="7" t="s">
        <v>298</v>
      </c>
      <c r="G4995" s="7">
        <v>101.5848</v>
      </c>
      <c r="H4995" s="7"/>
    </row>
    <row r="4996" spans="1:8" x14ac:dyDescent="0.35">
      <c r="A4996" s="7" t="s">
        <v>362</v>
      </c>
      <c r="B4996" s="7" t="s">
        <v>26</v>
      </c>
      <c r="C4996" s="7" t="s">
        <v>27</v>
      </c>
      <c r="D4996" s="7" t="s">
        <v>28</v>
      </c>
      <c r="E4996" s="7" t="s">
        <v>29</v>
      </c>
      <c r="F4996" s="7" t="s">
        <v>299</v>
      </c>
      <c r="G4996" s="7">
        <v>101.6228</v>
      </c>
      <c r="H4996" s="7"/>
    </row>
    <row r="4997" spans="1:8" x14ac:dyDescent="0.35">
      <c r="A4997" s="7" t="s">
        <v>362</v>
      </c>
      <c r="B4997" s="7" t="s">
        <v>26</v>
      </c>
      <c r="C4997" s="7" t="s">
        <v>27</v>
      </c>
      <c r="D4997" s="7" t="s">
        <v>28</v>
      </c>
      <c r="E4997" s="7" t="s">
        <v>29</v>
      </c>
      <c r="F4997" s="7" t="s">
        <v>300</v>
      </c>
      <c r="G4997" s="7">
        <v>101.85429999999999</v>
      </c>
      <c r="H4997" s="7"/>
    </row>
    <row r="4998" spans="1:8" x14ac:dyDescent="0.35">
      <c r="A4998" s="7" t="s">
        <v>362</v>
      </c>
      <c r="B4998" s="7" t="s">
        <v>26</v>
      </c>
      <c r="C4998" s="7" t="s">
        <v>27</v>
      </c>
      <c r="D4998" s="7" t="s">
        <v>28</v>
      </c>
      <c r="E4998" s="7" t="s">
        <v>29</v>
      </c>
      <c r="F4998" s="7" t="s">
        <v>301</v>
      </c>
      <c r="G4998" s="7">
        <v>102.08</v>
      </c>
      <c r="H4998" s="7"/>
    </row>
    <row r="4999" spans="1:8" x14ac:dyDescent="0.35">
      <c r="A4999" s="7" t="s">
        <v>362</v>
      </c>
      <c r="B4999" s="7" t="s">
        <v>26</v>
      </c>
      <c r="C4999" s="7" t="s">
        <v>27</v>
      </c>
      <c r="D4999" s="7" t="s">
        <v>28</v>
      </c>
      <c r="E4999" s="7" t="s">
        <v>29</v>
      </c>
      <c r="F4999" s="7" t="s">
        <v>302</v>
      </c>
      <c r="G4999" s="7">
        <v>102.12609999999999</v>
      </c>
      <c r="H4999" s="7"/>
    </row>
    <row r="5000" spans="1:8" x14ac:dyDescent="0.35">
      <c r="A5000" s="7" t="s">
        <v>362</v>
      </c>
      <c r="B5000" s="7" t="s">
        <v>26</v>
      </c>
      <c r="C5000" s="7" t="s">
        <v>27</v>
      </c>
      <c r="D5000" s="7" t="s">
        <v>28</v>
      </c>
      <c r="E5000" s="7" t="s">
        <v>29</v>
      </c>
      <c r="F5000" s="7" t="s">
        <v>303</v>
      </c>
      <c r="G5000" s="7">
        <v>102.0151</v>
      </c>
      <c r="H5000" s="7"/>
    </row>
    <row r="5001" spans="1:8" x14ac:dyDescent="0.35">
      <c r="A5001" s="7" t="s">
        <v>362</v>
      </c>
      <c r="B5001" s="7" t="s">
        <v>26</v>
      </c>
      <c r="C5001" s="7" t="s">
        <v>27</v>
      </c>
      <c r="D5001" s="7" t="s">
        <v>28</v>
      </c>
      <c r="E5001" s="7" t="s">
        <v>29</v>
      </c>
      <c r="F5001" s="7" t="s">
        <v>304</v>
      </c>
      <c r="G5001" s="7">
        <v>101.8009</v>
      </c>
      <c r="H5001" s="7"/>
    </row>
    <row r="5002" spans="1:8" x14ac:dyDescent="0.35">
      <c r="A5002" s="7" t="s">
        <v>362</v>
      </c>
      <c r="B5002" s="7" t="s">
        <v>26</v>
      </c>
      <c r="C5002" s="7" t="s">
        <v>27</v>
      </c>
      <c r="D5002" s="7" t="s">
        <v>28</v>
      </c>
      <c r="E5002" s="7" t="s">
        <v>29</v>
      </c>
      <c r="F5002" s="7" t="s">
        <v>305</v>
      </c>
      <c r="G5002" s="7">
        <v>101.7191</v>
      </c>
      <c r="H5002" s="7"/>
    </row>
    <row r="5003" spans="1:8" x14ac:dyDescent="0.35">
      <c r="A5003" s="7" t="s">
        <v>362</v>
      </c>
      <c r="B5003" s="7" t="s">
        <v>26</v>
      </c>
      <c r="C5003" s="7" t="s">
        <v>27</v>
      </c>
      <c r="D5003" s="7" t="s">
        <v>28</v>
      </c>
      <c r="E5003" s="7" t="s">
        <v>29</v>
      </c>
      <c r="F5003" s="7" t="s">
        <v>306</v>
      </c>
      <c r="G5003" s="7">
        <v>101.7008</v>
      </c>
      <c r="H5003" s="7"/>
    </row>
    <row r="5004" spans="1:8" x14ac:dyDescent="0.35">
      <c r="A5004" s="7" t="s">
        <v>362</v>
      </c>
      <c r="B5004" s="7" t="s">
        <v>26</v>
      </c>
      <c r="C5004" s="7" t="s">
        <v>27</v>
      </c>
      <c r="D5004" s="7" t="s">
        <v>28</v>
      </c>
      <c r="E5004" s="7" t="s">
        <v>29</v>
      </c>
      <c r="F5004" s="7" t="s">
        <v>307</v>
      </c>
      <c r="G5004" s="7">
        <v>101.7186</v>
      </c>
      <c r="H5004" s="7"/>
    </row>
    <row r="5005" spans="1:8" x14ac:dyDescent="0.35">
      <c r="A5005" s="7" t="s">
        <v>362</v>
      </c>
      <c r="B5005" s="7" t="s">
        <v>26</v>
      </c>
      <c r="C5005" s="7" t="s">
        <v>27</v>
      </c>
      <c r="D5005" s="7" t="s">
        <v>28</v>
      </c>
      <c r="E5005" s="7" t="s">
        <v>29</v>
      </c>
      <c r="F5005" s="7" t="s">
        <v>308</v>
      </c>
      <c r="G5005" s="7">
        <v>101.83150000000001</v>
      </c>
      <c r="H5005" s="7"/>
    </row>
    <row r="5006" spans="1:8" x14ac:dyDescent="0.35">
      <c r="A5006" s="7" t="s">
        <v>362</v>
      </c>
      <c r="B5006" s="7" t="s">
        <v>26</v>
      </c>
      <c r="C5006" s="7" t="s">
        <v>27</v>
      </c>
      <c r="D5006" s="7" t="s">
        <v>28</v>
      </c>
      <c r="E5006" s="7" t="s">
        <v>29</v>
      </c>
      <c r="F5006" s="7" t="s">
        <v>309</v>
      </c>
      <c r="G5006" s="7">
        <v>102.0214</v>
      </c>
      <c r="H5006" s="7"/>
    </row>
    <row r="5007" spans="1:8" x14ac:dyDescent="0.35">
      <c r="A5007" s="7" t="s">
        <v>362</v>
      </c>
      <c r="B5007" s="7" t="s">
        <v>26</v>
      </c>
      <c r="C5007" s="7" t="s">
        <v>27</v>
      </c>
      <c r="D5007" s="7" t="s">
        <v>28</v>
      </c>
      <c r="E5007" s="7" t="s">
        <v>29</v>
      </c>
      <c r="F5007" s="7" t="s">
        <v>310</v>
      </c>
      <c r="G5007" s="7">
        <v>102.2393</v>
      </c>
      <c r="H5007" s="7"/>
    </row>
    <row r="5008" spans="1:8" x14ac:dyDescent="0.35">
      <c r="A5008" s="7" t="s">
        <v>362</v>
      </c>
      <c r="B5008" s="7" t="s">
        <v>26</v>
      </c>
      <c r="C5008" s="7" t="s">
        <v>27</v>
      </c>
      <c r="D5008" s="7" t="s">
        <v>28</v>
      </c>
      <c r="E5008" s="7" t="s">
        <v>29</v>
      </c>
      <c r="F5008" s="7" t="s">
        <v>311</v>
      </c>
      <c r="G5008" s="7">
        <v>102.2814</v>
      </c>
      <c r="H5008" s="7"/>
    </row>
    <row r="5009" spans="1:8" x14ac:dyDescent="0.35">
      <c r="A5009" s="7" t="s">
        <v>362</v>
      </c>
      <c r="B5009" s="7" t="s">
        <v>26</v>
      </c>
      <c r="C5009" s="7" t="s">
        <v>27</v>
      </c>
      <c r="D5009" s="7" t="s">
        <v>28</v>
      </c>
      <c r="E5009" s="7" t="s">
        <v>29</v>
      </c>
      <c r="F5009" s="7" t="s">
        <v>312</v>
      </c>
      <c r="G5009" s="7">
        <v>102.1789</v>
      </c>
      <c r="H5009" s="7"/>
    </row>
    <row r="5010" spans="1:8" x14ac:dyDescent="0.35">
      <c r="A5010" s="7" t="s">
        <v>362</v>
      </c>
      <c r="B5010" s="7" t="s">
        <v>26</v>
      </c>
      <c r="C5010" s="7" t="s">
        <v>27</v>
      </c>
      <c r="D5010" s="7" t="s">
        <v>28</v>
      </c>
      <c r="E5010" s="7" t="s">
        <v>29</v>
      </c>
      <c r="F5010" s="7" t="s">
        <v>313</v>
      </c>
      <c r="G5010" s="7">
        <v>102.011</v>
      </c>
      <c r="H5010" s="7"/>
    </row>
    <row r="5011" spans="1:8" x14ac:dyDescent="0.35">
      <c r="A5011" s="7" t="s">
        <v>362</v>
      </c>
      <c r="B5011" s="7" t="s">
        <v>26</v>
      </c>
      <c r="C5011" s="7" t="s">
        <v>27</v>
      </c>
      <c r="D5011" s="7" t="s">
        <v>28</v>
      </c>
      <c r="E5011" s="7" t="s">
        <v>29</v>
      </c>
      <c r="F5011" s="7" t="s">
        <v>314</v>
      </c>
      <c r="G5011" s="7">
        <v>101.80889999999999</v>
      </c>
      <c r="H5011" s="7"/>
    </row>
    <row r="5012" spans="1:8" x14ac:dyDescent="0.35">
      <c r="A5012" s="7" t="s">
        <v>362</v>
      </c>
      <c r="B5012" s="7" t="s">
        <v>26</v>
      </c>
      <c r="C5012" s="7" t="s">
        <v>27</v>
      </c>
      <c r="D5012" s="7" t="s">
        <v>28</v>
      </c>
      <c r="E5012" s="7" t="s">
        <v>29</v>
      </c>
      <c r="F5012" s="7" t="s">
        <v>315</v>
      </c>
      <c r="G5012" s="7">
        <v>101.64409999999999</v>
      </c>
      <c r="H5012" s="7"/>
    </row>
    <row r="5013" spans="1:8" x14ac:dyDescent="0.35">
      <c r="A5013" s="7" t="s">
        <v>362</v>
      </c>
      <c r="B5013" s="7" t="s">
        <v>26</v>
      </c>
      <c r="C5013" s="7" t="s">
        <v>27</v>
      </c>
      <c r="D5013" s="7" t="s">
        <v>28</v>
      </c>
      <c r="E5013" s="7" t="s">
        <v>29</v>
      </c>
      <c r="F5013" s="7" t="s">
        <v>316</v>
      </c>
      <c r="G5013" s="7">
        <v>101.47410000000001</v>
      </c>
      <c r="H5013" s="7"/>
    </row>
    <row r="5014" spans="1:8" x14ac:dyDescent="0.35">
      <c r="A5014" s="7" t="s">
        <v>362</v>
      </c>
      <c r="B5014" s="7" t="s">
        <v>26</v>
      </c>
      <c r="C5014" s="7" t="s">
        <v>27</v>
      </c>
      <c r="D5014" s="7" t="s">
        <v>28</v>
      </c>
      <c r="E5014" s="7" t="s">
        <v>29</v>
      </c>
      <c r="F5014" s="7" t="s">
        <v>317</v>
      </c>
      <c r="G5014" s="7">
        <v>101.39919999999999</v>
      </c>
      <c r="H5014" s="7"/>
    </row>
    <row r="5015" spans="1:8" x14ac:dyDescent="0.35">
      <c r="A5015" s="7" t="s">
        <v>362</v>
      </c>
      <c r="B5015" s="7" t="s">
        <v>26</v>
      </c>
      <c r="C5015" s="7" t="s">
        <v>27</v>
      </c>
      <c r="D5015" s="7" t="s">
        <v>28</v>
      </c>
      <c r="E5015" s="7" t="s">
        <v>29</v>
      </c>
      <c r="F5015" s="7" t="s">
        <v>318</v>
      </c>
      <c r="G5015" s="7">
        <v>101.39660000000001</v>
      </c>
      <c r="H5015" s="7"/>
    </row>
    <row r="5016" spans="1:8" x14ac:dyDescent="0.35">
      <c r="A5016" s="7" t="s">
        <v>362</v>
      </c>
      <c r="B5016" s="7" t="s">
        <v>26</v>
      </c>
      <c r="C5016" s="7" t="s">
        <v>27</v>
      </c>
      <c r="D5016" s="7" t="s">
        <v>28</v>
      </c>
      <c r="E5016" s="7" t="s">
        <v>29</v>
      </c>
      <c r="F5016" s="7" t="s">
        <v>319</v>
      </c>
      <c r="G5016" s="7">
        <v>101.3421</v>
      </c>
      <c r="H5016" s="7"/>
    </row>
    <row r="5017" spans="1:8" x14ac:dyDescent="0.35">
      <c r="A5017" s="7" t="s">
        <v>362</v>
      </c>
      <c r="B5017" s="7" t="s">
        <v>26</v>
      </c>
      <c r="C5017" s="7" t="s">
        <v>27</v>
      </c>
      <c r="D5017" s="7" t="s">
        <v>28</v>
      </c>
      <c r="E5017" s="7" t="s">
        <v>29</v>
      </c>
      <c r="F5017" s="7" t="s">
        <v>320</v>
      </c>
      <c r="G5017" s="7">
        <v>101.1982</v>
      </c>
      <c r="H5017" s="7"/>
    </row>
    <row r="5018" spans="1:8" x14ac:dyDescent="0.35">
      <c r="A5018" s="7" t="s">
        <v>362</v>
      </c>
      <c r="B5018" s="7" t="s">
        <v>26</v>
      </c>
      <c r="C5018" s="7" t="s">
        <v>27</v>
      </c>
      <c r="D5018" s="7" t="s">
        <v>28</v>
      </c>
      <c r="E5018" s="7" t="s">
        <v>29</v>
      </c>
      <c r="F5018" s="7" t="s">
        <v>321</v>
      </c>
      <c r="G5018" s="7">
        <v>101.0551</v>
      </c>
      <c r="H5018" s="7"/>
    </row>
    <row r="5019" spans="1:8" x14ac:dyDescent="0.35">
      <c r="A5019" s="7" t="s">
        <v>362</v>
      </c>
      <c r="B5019" s="7" t="s">
        <v>26</v>
      </c>
      <c r="C5019" s="7" t="s">
        <v>27</v>
      </c>
      <c r="D5019" s="7" t="s">
        <v>28</v>
      </c>
      <c r="E5019" s="7" t="s">
        <v>29</v>
      </c>
      <c r="F5019" s="7" t="s">
        <v>322</v>
      </c>
      <c r="G5019" s="7">
        <v>100.931</v>
      </c>
      <c r="H5019" s="7"/>
    </row>
    <row r="5020" spans="1:8" x14ac:dyDescent="0.35">
      <c r="A5020" s="7" t="s">
        <v>362</v>
      </c>
      <c r="B5020" s="7" t="s">
        <v>26</v>
      </c>
      <c r="C5020" s="7" t="s">
        <v>27</v>
      </c>
      <c r="D5020" s="7" t="s">
        <v>28</v>
      </c>
      <c r="E5020" s="7" t="s">
        <v>29</v>
      </c>
      <c r="F5020" s="7" t="s">
        <v>323</v>
      </c>
      <c r="G5020" s="7">
        <v>100.87560000000001</v>
      </c>
      <c r="H5020" s="7"/>
    </row>
    <row r="5021" spans="1:8" x14ac:dyDescent="0.35">
      <c r="A5021" s="7" t="s">
        <v>362</v>
      </c>
      <c r="B5021" s="7" t="s">
        <v>26</v>
      </c>
      <c r="C5021" s="7" t="s">
        <v>27</v>
      </c>
      <c r="D5021" s="7" t="s">
        <v>28</v>
      </c>
      <c r="E5021" s="7" t="s">
        <v>29</v>
      </c>
      <c r="F5021" s="7" t="s">
        <v>324</v>
      </c>
      <c r="G5021" s="7">
        <v>100.8165</v>
      </c>
      <c r="H5021" s="7"/>
    </row>
    <row r="5022" spans="1:8" x14ac:dyDescent="0.35">
      <c r="A5022" s="7" t="s">
        <v>362</v>
      </c>
      <c r="B5022" s="7" t="s">
        <v>26</v>
      </c>
      <c r="C5022" s="7" t="s">
        <v>27</v>
      </c>
      <c r="D5022" s="7" t="s">
        <v>28</v>
      </c>
      <c r="E5022" s="7" t="s">
        <v>29</v>
      </c>
      <c r="F5022" s="7" t="s">
        <v>325</v>
      </c>
      <c r="G5022" s="7">
        <v>100.7864</v>
      </c>
      <c r="H5022" s="7"/>
    </row>
    <row r="5023" spans="1:8" x14ac:dyDescent="0.35">
      <c r="A5023" s="7" t="s">
        <v>362</v>
      </c>
      <c r="B5023" s="7" t="s">
        <v>26</v>
      </c>
      <c r="C5023" s="7" t="s">
        <v>27</v>
      </c>
      <c r="D5023" s="7" t="s">
        <v>28</v>
      </c>
      <c r="E5023" s="7" t="s">
        <v>29</v>
      </c>
      <c r="F5023" s="7" t="s">
        <v>326</v>
      </c>
      <c r="G5023" s="7">
        <v>100.75749999999999</v>
      </c>
      <c r="H5023" s="7"/>
    </row>
    <row r="5024" spans="1:8" x14ac:dyDescent="0.35">
      <c r="A5024" s="7" t="s">
        <v>362</v>
      </c>
      <c r="B5024" s="7" t="s">
        <v>26</v>
      </c>
      <c r="C5024" s="7" t="s">
        <v>27</v>
      </c>
      <c r="D5024" s="7" t="s">
        <v>28</v>
      </c>
      <c r="E5024" s="7" t="s">
        <v>29</v>
      </c>
      <c r="F5024" s="7" t="s">
        <v>327</v>
      </c>
      <c r="G5024" s="7">
        <v>100.7908</v>
      </c>
      <c r="H5024" s="7"/>
    </row>
    <row r="5025" spans="1:8" x14ac:dyDescent="0.35">
      <c r="A5025" s="7" t="s">
        <v>362</v>
      </c>
      <c r="B5025" s="7" t="s">
        <v>26</v>
      </c>
      <c r="C5025" s="7" t="s">
        <v>27</v>
      </c>
      <c r="D5025" s="7" t="s">
        <v>28</v>
      </c>
      <c r="E5025" s="7" t="s">
        <v>29</v>
      </c>
      <c r="F5025" s="7" t="s">
        <v>328</v>
      </c>
      <c r="G5025" s="7">
        <v>100.77370000000001</v>
      </c>
      <c r="H5025" s="7"/>
    </row>
    <row r="5026" spans="1:8" x14ac:dyDescent="0.35">
      <c r="A5026" s="7" t="s">
        <v>362</v>
      </c>
      <c r="B5026" s="7" t="s">
        <v>26</v>
      </c>
      <c r="C5026" s="7" t="s">
        <v>27</v>
      </c>
      <c r="D5026" s="7" t="s">
        <v>28</v>
      </c>
      <c r="E5026" s="7" t="s">
        <v>29</v>
      </c>
      <c r="F5026" s="7" t="s">
        <v>329</v>
      </c>
      <c r="G5026" s="7">
        <v>100.7439</v>
      </c>
      <c r="H5026" s="7"/>
    </row>
    <row r="5027" spans="1:8" x14ac:dyDescent="0.35">
      <c r="A5027" s="7" t="s">
        <v>362</v>
      </c>
      <c r="B5027" s="7" t="s">
        <v>26</v>
      </c>
      <c r="C5027" s="7" t="s">
        <v>27</v>
      </c>
      <c r="D5027" s="7" t="s">
        <v>28</v>
      </c>
      <c r="E5027" s="7" t="s">
        <v>29</v>
      </c>
      <c r="F5027" s="7" t="s">
        <v>330</v>
      </c>
      <c r="G5027" s="7">
        <v>100.7349</v>
      </c>
      <c r="H5027" s="7"/>
    </row>
    <row r="5028" spans="1:8" x14ac:dyDescent="0.35">
      <c r="A5028" s="7" t="s">
        <v>362</v>
      </c>
      <c r="B5028" s="7" t="s">
        <v>26</v>
      </c>
      <c r="C5028" s="7" t="s">
        <v>27</v>
      </c>
      <c r="D5028" s="7" t="s">
        <v>28</v>
      </c>
      <c r="E5028" s="7" t="s">
        <v>29</v>
      </c>
      <c r="F5028" s="7" t="s">
        <v>331</v>
      </c>
      <c r="G5028" s="7">
        <v>100.84480000000001</v>
      </c>
      <c r="H5028" s="7"/>
    </row>
    <row r="5029" spans="1:8" x14ac:dyDescent="0.35">
      <c r="A5029" s="7" t="s">
        <v>362</v>
      </c>
      <c r="B5029" s="7" t="s">
        <v>26</v>
      </c>
      <c r="C5029" s="7" t="s">
        <v>27</v>
      </c>
      <c r="D5029" s="7" t="s">
        <v>28</v>
      </c>
      <c r="E5029" s="7" t="s">
        <v>29</v>
      </c>
      <c r="F5029" s="7" t="s">
        <v>332</v>
      </c>
      <c r="G5029" s="7">
        <v>101.074</v>
      </c>
      <c r="H5029" s="7"/>
    </row>
    <row r="5030" spans="1:8" x14ac:dyDescent="0.35">
      <c r="A5030" s="7" t="s">
        <v>362</v>
      </c>
      <c r="B5030" s="7" t="s">
        <v>26</v>
      </c>
      <c r="C5030" s="7" t="s">
        <v>27</v>
      </c>
      <c r="D5030" s="7" t="s">
        <v>28</v>
      </c>
      <c r="E5030" s="7" t="s">
        <v>29</v>
      </c>
      <c r="F5030" s="7" t="s">
        <v>333</v>
      </c>
      <c r="G5030" s="7">
        <v>101.2813</v>
      </c>
      <c r="H5030" s="7"/>
    </row>
    <row r="5031" spans="1:8" x14ac:dyDescent="0.35">
      <c r="A5031" s="7" t="s">
        <v>362</v>
      </c>
      <c r="B5031" s="7" t="s">
        <v>26</v>
      </c>
      <c r="C5031" s="7" t="s">
        <v>27</v>
      </c>
      <c r="D5031" s="7" t="s">
        <v>28</v>
      </c>
      <c r="E5031" s="7" t="s">
        <v>29</v>
      </c>
      <c r="F5031" s="7" t="s">
        <v>334</v>
      </c>
      <c r="G5031" s="7">
        <v>101.404</v>
      </c>
      <c r="H5031" s="7"/>
    </row>
    <row r="5032" spans="1:8" x14ac:dyDescent="0.35">
      <c r="A5032" s="7" t="s">
        <v>362</v>
      </c>
      <c r="B5032" s="7" t="s">
        <v>26</v>
      </c>
      <c r="C5032" s="7" t="s">
        <v>27</v>
      </c>
      <c r="D5032" s="7" t="s">
        <v>28</v>
      </c>
      <c r="E5032" s="7" t="s">
        <v>29</v>
      </c>
      <c r="F5032" s="7" t="s">
        <v>335</v>
      </c>
      <c r="G5032" s="7">
        <v>101.46210000000001</v>
      </c>
      <c r="H5032" s="7"/>
    </row>
    <row r="5033" spans="1:8" x14ac:dyDescent="0.35">
      <c r="A5033" s="7" t="s">
        <v>362</v>
      </c>
      <c r="B5033" s="7" t="s">
        <v>26</v>
      </c>
      <c r="C5033" s="7" t="s">
        <v>27</v>
      </c>
      <c r="D5033" s="7" t="s">
        <v>28</v>
      </c>
      <c r="E5033" s="7" t="s">
        <v>29</v>
      </c>
      <c r="F5033" s="7" t="s">
        <v>336</v>
      </c>
      <c r="G5033" s="7">
        <v>101.4888</v>
      </c>
      <c r="H5033" s="7"/>
    </row>
    <row r="5034" spans="1:8" x14ac:dyDescent="0.35">
      <c r="A5034" s="7" t="s">
        <v>362</v>
      </c>
      <c r="B5034" s="7" t="s">
        <v>26</v>
      </c>
      <c r="C5034" s="7" t="s">
        <v>27</v>
      </c>
      <c r="D5034" s="7" t="s">
        <v>28</v>
      </c>
      <c r="E5034" s="7" t="s">
        <v>29</v>
      </c>
      <c r="F5034" s="7" t="s">
        <v>337</v>
      </c>
      <c r="G5034" s="7">
        <v>101.56440000000001</v>
      </c>
      <c r="H5034" s="7"/>
    </row>
    <row r="5035" spans="1:8" x14ac:dyDescent="0.35">
      <c r="A5035" s="7" t="s">
        <v>362</v>
      </c>
      <c r="B5035" s="7" t="s">
        <v>26</v>
      </c>
      <c r="C5035" s="7" t="s">
        <v>27</v>
      </c>
      <c r="D5035" s="7" t="s">
        <v>28</v>
      </c>
      <c r="E5035" s="7" t="s">
        <v>29</v>
      </c>
      <c r="F5035" s="7" t="s">
        <v>338</v>
      </c>
      <c r="G5035" s="7">
        <v>101.6315</v>
      </c>
      <c r="H5035" s="7"/>
    </row>
    <row r="5036" spans="1:8" x14ac:dyDescent="0.35">
      <c r="A5036" s="7" t="s">
        <v>362</v>
      </c>
      <c r="B5036" s="7" t="s">
        <v>26</v>
      </c>
      <c r="C5036" s="7" t="s">
        <v>27</v>
      </c>
      <c r="D5036" s="7" t="s">
        <v>28</v>
      </c>
      <c r="E5036" s="7" t="s">
        <v>29</v>
      </c>
      <c r="F5036" s="7" t="s">
        <v>339</v>
      </c>
      <c r="G5036" s="7">
        <v>101.6309</v>
      </c>
      <c r="H5036" s="7"/>
    </row>
    <row r="5037" spans="1:8" x14ac:dyDescent="0.35">
      <c r="A5037" s="7" t="s">
        <v>362</v>
      </c>
      <c r="B5037" s="7" t="s">
        <v>26</v>
      </c>
      <c r="C5037" s="7" t="s">
        <v>27</v>
      </c>
      <c r="D5037" s="7" t="s">
        <v>28</v>
      </c>
      <c r="E5037" s="7" t="s">
        <v>29</v>
      </c>
      <c r="F5037" s="7" t="s">
        <v>340</v>
      </c>
      <c r="G5037" s="7">
        <v>101.64530000000001</v>
      </c>
      <c r="H5037" s="7"/>
    </row>
    <row r="5038" spans="1:8" x14ac:dyDescent="0.35">
      <c r="A5038" s="7" t="s">
        <v>362</v>
      </c>
      <c r="B5038" s="7" t="s">
        <v>26</v>
      </c>
      <c r="C5038" s="7" t="s">
        <v>27</v>
      </c>
      <c r="D5038" s="7" t="s">
        <v>28</v>
      </c>
      <c r="E5038" s="7" t="s">
        <v>29</v>
      </c>
      <c r="F5038" s="7" t="s">
        <v>341</v>
      </c>
      <c r="G5038" s="7">
        <v>101.6499</v>
      </c>
      <c r="H5038" s="7"/>
    </row>
    <row r="5039" spans="1:8" x14ac:dyDescent="0.35">
      <c r="A5039" s="7" t="s">
        <v>362</v>
      </c>
      <c r="B5039" s="7" t="s">
        <v>26</v>
      </c>
      <c r="C5039" s="7" t="s">
        <v>27</v>
      </c>
      <c r="D5039" s="7" t="s">
        <v>28</v>
      </c>
      <c r="E5039" s="7" t="s">
        <v>29</v>
      </c>
      <c r="F5039" s="7" t="s">
        <v>342</v>
      </c>
      <c r="G5039" s="7">
        <v>101.69499999999999</v>
      </c>
      <c r="H5039" s="7"/>
    </row>
    <row r="5040" spans="1:8" x14ac:dyDescent="0.35">
      <c r="A5040" s="7" t="s">
        <v>362</v>
      </c>
      <c r="B5040" s="7" t="s">
        <v>26</v>
      </c>
      <c r="C5040" s="7" t="s">
        <v>27</v>
      </c>
      <c r="D5040" s="7" t="s">
        <v>28</v>
      </c>
      <c r="E5040" s="7" t="s">
        <v>29</v>
      </c>
      <c r="F5040" s="7" t="s">
        <v>343</v>
      </c>
      <c r="G5040" s="7">
        <v>101.7308</v>
      </c>
      <c r="H5040" s="7"/>
    </row>
    <row r="5041" spans="1:8" x14ac:dyDescent="0.35">
      <c r="A5041" s="7" t="s">
        <v>362</v>
      </c>
      <c r="B5041" s="7" t="s">
        <v>26</v>
      </c>
      <c r="C5041" s="7" t="s">
        <v>27</v>
      </c>
      <c r="D5041" s="7" t="s">
        <v>28</v>
      </c>
      <c r="E5041" s="7" t="s">
        <v>29</v>
      </c>
      <c r="F5041" s="7" t="s">
        <v>344</v>
      </c>
      <c r="G5041" s="7">
        <v>101.7595</v>
      </c>
      <c r="H5041" s="7"/>
    </row>
    <row r="5042" spans="1:8" x14ac:dyDescent="0.35">
      <c r="A5042" s="7" t="s">
        <v>362</v>
      </c>
      <c r="B5042" s="7" t="s">
        <v>26</v>
      </c>
      <c r="C5042" s="7" t="s">
        <v>27</v>
      </c>
      <c r="D5042" s="7" t="s">
        <v>28</v>
      </c>
      <c r="E5042" s="7" t="s">
        <v>29</v>
      </c>
      <c r="F5042" s="7" t="s">
        <v>345</v>
      </c>
      <c r="G5042" s="7">
        <v>101.7607</v>
      </c>
      <c r="H5042" s="7"/>
    </row>
    <row r="5043" spans="1:8" x14ac:dyDescent="0.35">
      <c r="A5043" s="7" t="s">
        <v>362</v>
      </c>
      <c r="B5043" s="7" t="s">
        <v>26</v>
      </c>
      <c r="C5043" s="7" t="s">
        <v>27</v>
      </c>
      <c r="D5043" s="7" t="s">
        <v>28</v>
      </c>
      <c r="E5043" s="7" t="s">
        <v>29</v>
      </c>
      <c r="F5043" s="7" t="s">
        <v>346</v>
      </c>
      <c r="G5043" s="7">
        <v>101.7282</v>
      </c>
      <c r="H5043" s="7"/>
    </row>
    <row r="5044" spans="1:8" x14ac:dyDescent="0.35">
      <c r="A5044" s="7" t="s">
        <v>363</v>
      </c>
      <c r="B5044" s="7" t="s">
        <v>26</v>
      </c>
      <c r="C5044" s="7" t="s">
        <v>27</v>
      </c>
      <c r="D5044" s="7" t="s">
        <v>28</v>
      </c>
      <c r="E5044" s="7" t="s">
        <v>29</v>
      </c>
      <c r="F5044" s="7" t="s">
        <v>30</v>
      </c>
      <c r="G5044" s="7">
        <v>99.781570000000002</v>
      </c>
      <c r="H5044" s="7"/>
    </row>
    <row r="5045" spans="1:8" x14ac:dyDescent="0.35">
      <c r="A5045" s="7" t="s">
        <v>363</v>
      </c>
      <c r="B5045" s="7" t="s">
        <v>26</v>
      </c>
      <c r="C5045" s="7" t="s">
        <v>27</v>
      </c>
      <c r="D5045" s="7" t="s">
        <v>28</v>
      </c>
      <c r="E5045" s="7" t="s">
        <v>29</v>
      </c>
      <c r="F5045" s="7" t="s">
        <v>31</v>
      </c>
      <c r="G5045" s="7">
        <v>99.559600000000003</v>
      </c>
      <c r="H5045" s="7"/>
    </row>
    <row r="5046" spans="1:8" x14ac:dyDescent="0.35">
      <c r="A5046" s="7" t="s">
        <v>363</v>
      </c>
      <c r="B5046" s="7" t="s">
        <v>26</v>
      </c>
      <c r="C5046" s="7" t="s">
        <v>27</v>
      </c>
      <c r="D5046" s="7" t="s">
        <v>28</v>
      </c>
      <c r="E5046" s="7" t="s">
        <v>29</v>
      </c>
      <c r="F5046" s="7" t="s">
        <v>32</v>
      </c>
      <c r="G5046" s="7">
        <v>99.509860000000003</v>
      </c>
      <c r="H5046" s="7"/>
    </row>
    <row r="5047" spans="1:8" x14ac:dyDescent="0.35">
      <c r="A5047" s="7" t="s">
        <v>363</v>
      </c>
      <c r="B5047" s="7" t="s">
        <v>26</v>
      </c>
      <c r="C5047" s="7" t="s">
        <v>27</v>
      </c>
      <c r="D5047" s="7" t="s">
        <v>28</v>
      </c>
      <c r="E5047" s="7" t="s">
        <v>29</v>
      </c>
      <c r="F5047" s="7" t="s">
        <v>33</v>
      </c>
      <c r="G5047" s="7">
        <v>99.437970000000007</v>
      </c>
      <c r="H5047" s="7"/>
    </row>
    <row r="5048" spans="1:8" x14ac:dyDescent="0.35">
      <c r="A5048" s="7" t="s">
        <v>363</v>
      </c>
      <c r="B5048" s="7" t="s">
        <v>26</v>
      </c>
      <c r="C5048" s="7" t="s">
        <v>27</v>
      </c>
      <c r="D5048" s="7" t="s">
        <v>28</v>
      </c>
      <c r="E5048" s="7" t="s">
        <v>29</v>
      </c>
      <c r="F5048" s="7" t="s">
        <v>34</v>
      </c>
      <c r="G5048" s="7">
        <v>99.334630000000004</v>
      </c>
      <c r="H5048" s="7"/>
    </row>
    <row r="5049" spans="1:8" x14ac:dyDescent="0.35">
      <c r="A5049" s="7" t="s">
        <v>363</v>
      </c>
      <c r="B5049" s="7" t="s">
        <v>26</v>
      </c>
      <c r="C5049" s="7" t="s">
        <v>27</v>
      </c>
      <c r="D5049" s="7" t="s">
        <v>28</v>
      </c>
      <c r="E5049" s="7" t="s">
        <v>29</v>
      </c>
      <c r="F5049" s="7" t="s">
        <v>35</v>
      </c>
      <c r="G5049" s="7">
        <v>99.312560000000005</v>
      </c>
      <c r="H5049" s="7"/>
    </row>
    <row r="5050" spans="1:8" x14ac:dyDescent="0.35">
      <c r="A5050" s="7" t="s">
        <v>363</v>
      </c>
      <c r="B5050" s="7" t="s">
        <v>26</v>
      </c>
      <c r="C5050" s="7" t="s">
        <v>27</v>
      </c>
      <c r="D5050" s="7" t="s">
        <v>28</v>
      </c>
      <c r="E5050" s="7" t="s">
        <v>29</v>
      </c>
      <c r="F5050" s="7" t="s">
        <v>36</v>
      </c>
      <c r="G5050" s="7">
        <v>99.145020000000002</v>
      </c>
      <c r="H5050" s="7"/>
    </row>
    <row r="5051" spans="1:8" x14ac:dyDescent="0.35">
      <c r="A5051" s="7" t="s">
        <v>363</v>
      </c>
      <c r="B5051" s="7" t="s">
        <v>26</v>
      </c>
      <c r="C5051" s="7" t="s">
        <v>27</v>
      </c>
      <c r="D5051" s="7" t="s">
        <v>28</v>
      </c>
      <c r="E5051" s="7" t="s">
        <v>29</v>
      </c>
      <c r="F5051" s="7" t="s">
        <v>37</v>
      </c>
      <c r="G5051" s="7">
        <v>98.828090000000003</v>
      </c>
      <c r="H5051" s="7"/>
    </row>
    <row r="5052" spans="1:8" x14ac:dyDescent="0.35">
      <c r="A5052" s="7" t="s">
        <v>363</v>
      </c>
      <c r="B5052" s="7" t="s">
        <v>26</v>
      </c>
      <c r="C5052" s="7" t="s">
        <v>27</v>
      </c>
      <c r="D5052" s="7" t="s">
        <v>28</v>
      </c>
      <c r="E5052" s="7" t="s">
        <v>29</v>
      </c>
      <c r="F5052" s="7" t="s">
        <v>38</v>
      </c>
      <c r="G5052" s="7">
        <v>98.318520000000007</v>
      </c>
      <c r="H5052" s="7"/>
    </row>
    <row r="5053" spans="1:8" x14ac:dyDescent="0.35">
      <c r="A5053" s="7" t="s">
        <v>363</v>
      </c>
      <c r="B5053" s="7" t="s">
        <v>26</v>
      </c>
      <c r="C5053" s="7" t="s">
        <v>27</v>
      </c>
      <c r="D5053" s="7" t="s">
        <v>28</v>
      </c>
      <c r="E5053" s="7" t="s">
        <v>29</v>
      </c>
      <c r="F5053" s="7" t="s">
        <v>39</v>
      </c>
      <c r="G5053" s="7">
        <v>97.777050000000003</v>
      </c>
      <c r="H5053" s="7"/>
    </row>
    <row r="5054" spans="1:8" x14ac:dyDescent="0.35">
      <c r="A5054" s="7" t="s">
        <v>363</v>
      </c>
      <c r="B5054" s="7" t="s">
        <v>26</v>
      </c>
      <c r="C5054" s="7" t="s">
        <v>27</v>
      </c>
      <c r="D5054" s="7" t="s">
        <v>28</v>
      </c>
      <c r="E5054" s="7" t="s">
        <v>29</v>
      </c>
      <c r="F5054" s="7" t="s">
        <v>40</v>
      </c>
      <c r="G5054" s="7">
        <v>97.451769999999996</v>
      </c>
      <c r="H5054" s="7"/>
    </row>
    <row r="5055" spans="1:8" x14ac:dyDescent="0.35">
      <c r="A5055" s="7" t="s">
        <v>363</v>
      </c>
      <c r="B5055" s="7" t="s">
        <v>26</v>
      </c>
      <c r="C5055" s="7" t="s">
        <v>27</v>
      </c>
      <c r="D5055" s="7" t="s">
        <v>28</v>
      </c>
      <c r="E5055" s="7" t="s">
        <v>29</v>
      </c>
      <c r="F5055" s="7" t="s">
        <v>41</v>
      </c>
      <c r="G5055" s="7">
        <v>97.127080000000007</v>
      </c>
      <c r="H5055" s="7"/>
    </row>
    <row r="5056" spans="1:8" x14ac:dyDescent="0.35">
      <c r="A5056" s="7" t="s">
        <v>363</v>
      </c>
      <c r="B5056" s="7" t="s">
        <v>26</v>
      </c>
      <c r="C5056" s="7" t="s">
        <v>27</v>
      </c>
      <c r="D5056" s="7" t="s">
        <v>28</v>
      </c>
      <c r="E5056" s="7" t="s">
        <v>29</v>
      </c>
      <c r="F5056" s="7" t="s">
        <v>42</v>
      </c>
      <c r="G5056" s="7">
        <v>97.025869999999998</v>
      </c>
      <c r="H5056" s="7"/>
    </row>
    <row r="5057" spans="1:8" x14ac:dyDescent="0.35">
      <c r="A5057" s="7" t="s">
        <v>363</v>
      </c>
      <c r="B5057" s="7" t="s">
        <v>26</v>
      </c>
      <c r="C5057" s="7" t="s">
        <v>27</v>
      </c>
      <c r="D5057" s="7" t="s">
        <v>28</v>
      </c>
      <c r="E5057" s="7" t="s">
        <v>29</v>
      </c>
      <c r="F5057" s="7" t="s">
        <v>43</v>
      </c>
      <c r="G5057" s="7">
        <v>97.066199999999995</v>
      </c>
      <c r="H5057" s="7"/>
    </row>
    <row r="5058" spans="1:8" x14ac:dyDescent="0.35">
      <c r="A5058" s="7" t="s">
        <v>363</v>
      </c>
      <c r="B5058" s="7" t="s">
        <v>26</v>
      </c>
      <c r="C5058" s="7" t="s">
        <v>27</v>
      </c>
      <c r="D5058" s="7" t="s">
        <v>28</v>
      </c>
      <c r="E5058" s="7" t="s">
        <v>29</v>
      </c>
      <c r="F5058" s="7" t="s">
        <v>44</v>
      </c>
      <c r="G5058" s="7">
        <v>97.220280000000002</v>
      </c>
      <c r="H5058" s="7"/>
    </row>
    <row r="5059" spans="1:8" x14ac:dyDescent="0.35">
      <c r="A5059" s="7" t="s">
        <v>363</v>
      </c>
      <c r="B5059" s="7" t="s">
        <v>26</v>
      </c>
      <c r="C5059" s="7" t="s">
        <v>27</v>
      </c>
      <c r="D5059" s="7" t="s">
        <v>28</v>
      </c>
      <c r="E5059" s="7" t="s">
        <v>29</v>
      </c>
      <c r="F5059" s="7" t="s">
        <v>45</v>
      </c>
      <c r="G5059" s="7">
        <v>97.388239999999996</v>
      </c>
      <c r="H5059" s="7"/>
    </row>
    <row r="5060" spans="1:8" x14ac:dyDescent="0.35">
      <c r="A5060" s="7" t="s">
        <v>363</v>
      </c>
      <c r="B5060" s="7" t="s">
        <v>26</v>
      </c>
      <c r="C5060" s="7" t="s">
        <v>27</v>
      </c>
      <c r="D5060" s="7" t="s">
        <v>28</v>
      </c>
      <c r="E5060" s="7" t="s">
        <v>29</v>
      </c>
      <c r="F5060" s="7" t="s">
        <v>46</v>
      </c>
      <c r="G5060" s="7">
        <v>97.661450000000002</v>
      </c>
      <c r="H5060" s="7"/>
    </row>
    <row r="5061" spans="1:8" x14ac:dyDescent="0.35">
      <c r="A5061" s="7" t="s">
        <v>363</v>
      </c>
      <c r="B5061" s="7" t="s">
        <v>26</v>
      </c>
      <c r="C5061" s="7" t="s">
        <v>27</v>
      </c>
      <c r="D5061" s="7" t="s">
        <v>28</v>
      </c>
      <c r="E5061" s="7" t="s">
        <v>29</v>
      </c>
      <c r="F5061" s="7" t="s">
        <v>47</v>
      </c>
      <c r="G5061" s="7">
        <v>98.01952</v>
      </c>
      <c r="H5061" s="7"/>
    </row>
    <row r="5062" spans="1:8" x14ac:dyDescent="0.35">
      <c r="A5062" s="7" t="s">
        <v>363</v>
      </c>
      <c r="B5062" s="7" t="s">
        <v>26</v>
      </c>
      <c r="C5062" s="7" t="s">
        <v>27</v>
      </c>
      <c r="D5062" s="7" t="s">
        <v>28</v>
      </c>
      <c r="E5062" s="7" t="s">
        <v>29</v>
      </c>
      <c r="F5062" s="7" t="s">
        <v>48</v>
      </c>
      <c r="G5062" s="7">
        <v>98.241219999999998</v>
      </c>
      <c r="H5062" s="7"/>
    </row>
    <row r="5063" spans="1:8" x14ac:dyDescent="0.35">
      <c r="A5063" s="7" t="s">
        <v>363</v>
      </c>
      <c r="B5063" s="7" t="s">
        <v>26</v>
      </c>
      <c r="C5063" s="7" t="s">
        <v>27</v>
      </c>
      <c r="D5063" s="7" t="s">
        <v>28</v>
      </c>
      <c r="E5063" s="7" t="s">
        <v>29</v>
      </c>
      <c r="F5063" s="7" t="s">
        <v>49</v>
      </c>
      <c r="G5063" s="7">
        <v>98.135710000000003</v>
      </c>
      <c r="H5063" s="7"/>
    </row>
    <row r="5064" spans="1:8" x14ac:dyDescent="0.35">
      <c r="A5064" s="7" t="s">
        <v>363</v>
      </c>
      <c r="B5064" s="7" t="s">
        <v>26</v>
      </c>
      <c r="C5064" s="7" t="s">
        <v>27</v>
      </c>
      <c r="D5064" s="7" t="s">
        <v>28</v>
      </c>
      <c r="E5064" s="7" t="s">
        <v>29</v>
      </c>
      <c r="F5064" s="7" t="s">
        <v>50</v>
      </c>
      <c r="G5064" s="7">
        <v>98.045150000000007</v>
      </c>
      <c r="H5064" s="7"/>
    </row>
    <row r="5065" spans="1:8" x14ac:dyDescent="0.35">
      <c r="A5065" s="7" t="s">
        <v>363</v>
      </c>
      <c r="B5065" s="7" t="s">
        <v>26</v>
      </c>
      <c r="C5065" s="7" t="s">
        <v>27</v>
      </c>
      <c r="D5065" s="7" t="s">
        <v>28</v>
      </c>
      <c r="E5065" s="7" t="s">
        <v>29</v>
      </c>
      <c r="F5065" s="7" t="s">
        <v>51</v>
      </c>
      <c r="G5065" s="7">
        <v>97.906700000000001</v>
      </c>
      <c r="H5065" s="7"/>
    </row>
    <row r="5066" spans="1:8" x14ac:dyDescent="0.35">
      <c r="A5066" s="7" t="s">
        <v>363</v>
      </c>
      <c r="B5066" s="7" t="s">
        <v>26</v>
      </c>
      <c r="C5066" s="7" t="s">
        <v>27</v>
      </c>
      <c r="D5066" s="7" t="s">
        <v>28</v>
      </c>
      <c r="E5066" s="7" t="s">
        <v>29</v>
      </c>
      <c r="F5066" s="7" t="s">
        <v>52</v>
      </c>
      <c r="G5066" s="7">
        <v>97.907799999999995</v>
      </c>
      <c r="H5066" s="7"/>
    </row>
    <row r="5067" spans="1:8" x14ac:dyDescent="0.35">
      <c r="A5067" s="7" t="s">
        <v>363</v>
      </c>
      <c r="B5067" s="7" t="s">
        <v>26</v>
      </c>
      <c r="C5067" s="7" t="s">
        <v>27</v>
      </c>
      <c r="D5067" s="7" t="s">
        <v>28</v>
      </c>
      <c r="E5067" s="7" t="s">
        <v>29</v>
      </c>
      <c r="F5067" s="7" t="s">
        <v>53</v>
      </c>
      <c r="G5067" s="7">
        <v>97.838930000000005</v>
      </c>
      <c r="H5067" s="7"/>
    </row>
    <row r="5068" spans="1:8" x14ac:dyDescent="0.35">
      <c r="A5068" s="7" t="s">
        <v>363</v>
      </c>
      <c r="B5068" s="7" t="s">
        <v>26</v>
      </c>
      <c r="C5068" s="7" t="s">
        <v>27</v>
      </c>
      <c r="D5068" s="7" t="s">
        <v>28</v>
      </c>
      <c r="E5068" s="7" t="s">
        <v>29</v>
      </c>
      <c r="F5068" s="7" t="s">
        <v>54</v>
      </c>
      <c r="G5068" s="7">
        <v>97.792259999999999</v>
      </c>
      <c r="H5068" s="7"/>
    </row>
    <row r="5069" spans="1:8" x14ac:dyDescent="0.35">
      <c r="A5069" s="7" t="s">
        <v>363</v>
      </c>
      <c r="B5069" s="7" t="s">
        <v>26</v>
      </c>
      <c r="C5069" s="7" t="s">
        <v>27</v>
      </c>
      <c r="D5069" s="7" t="s">
        <v>28</v>
      </c>
      <c r="E5069" s="7" t="s">
        <v>29</v>
      </c>
      <c r="F5069" s="7" t="s">
        <v>55</v>
      </c>
      <c r="G5069" s="7">
        <v>97.874520000000004</v>
      </c>
      <c r="H5069" s="7"/>
    </row>
    <row r="5070" spans="1:8" x14ac:dyDescent="0.35">
      <c r="A5070" s="7" t="s">
        <v>363</v>
      </c>
      <c r="B5070" s="7" t="s">
        <v>26</v>
      </c>
      <c r="C5070" s="7" t="s">
        <v>27</v>
      </c>
      <c r="D5070" s="7" t="s">
        <v>28</v>
      </c>
      <c r="E5070" s="7" t="s">
        <v>29</v>
      </c>
      <c r="F5070" s="7" t="s">
        <v>56</v>
      </c>
      <c r="G5070" s="7">
        <v>98.044939999999997</v>
      </c>
      <c r="H5070" s="7"/>
    </row>
    <row r="5071" spans="1:8" x14ac:dyDescent="0.35">
      <c r="A5071" s="7" t="s">
        <v>363</v>
      </c>
      <c r="B5071" s="7" t="s">
        <v>26</v>
      </c>
      <c r="C5071" s="7" t="s">
        <v>27</v>
      </c>
      <c r="D5071" s="7" t="s">
        <v>28</v>
      </c>
      <c r="E5071" s="7" t="s">
        <v>29</v>
      </c>
      <c r="F5071" s="7" t="s">
        <v>57</v>
      </c>
      <c r="G5071" s="7">
        <v>98.290819999999997</v>
      </c>
      <c r="H5071" s="7"/>
    </row>
    <row r="5072" spans="1:8" x14ac:dyDescent="0.35">
      <c r="A5072" s="7" t="s">
        <v>363</v>
      </c>
      <c r="B5072" s="7" t="s">
        <v>26</v>
      </c>
      <c r="C5072" s="7" t="s">
        <v>27</v>
      </c>
      <c r="D5072" s="7" t="s">
        <v>28</v>
      </c>
      <c r="E5072" s="7" t="s">
        <v>29</v>
      </c>
      <c r="F5072" s="7" t="s">
        <v>58</v>
      </c>
      <c r="G5072" s="7">
        <v>98.555319999999995</v>
      </c>
      <c r="H5072" s="7"/>
    </row>
    <row r="5073" spans="1:8" x14ac:dyDescent="0.35">
      <c r="A5073" s="7" t="s">
        <v>363</v>
      </c>
      <c r="B5073" s="7" t="s">
        <v>26</v>
      </c>
      <c r="C5073" s="7" t="s">
        <v>27</v>
      </c>
      <c r="D5073" s="7" t="s">
        <v>28</v>
      </c>
      <c r="E5073" s="7" t="s">
        <v>29</v>
      </c>
      <c r="F5073" s="7" t="s">
        <v>59</v>
      </c>
      <c r="G5073" s="7">
        <v>98.93356</v>
      </c>
      <c r="H5073" s="7"/>
    </row>
    <row r="5074" spans="1:8" x14ac:dyDescent="0.35">
      <c r="A5074" s="7" t="s">
        <v>363</v>
      </c>
      <c r="B5074" s="7" t="s">
        <v>26</v>
      </c>
      <c r="C5074" s="7" t="s">
        <v>27</v>
      </c>
      <c r="D5074" s="7" t="s">
        <v>28</v>
      </c>
      <c r="E5074" s="7" t="s">
        <v>29</v>
      </c>
      <c r="F5074" s="7" t="s">
        <v>60</v>
      </c>
      <c r="G5074" s="7">
        <v>99.383489999999995</v>
      </c>
      <c r="H5074" s="7"/>
    </row>
    <row r="5075" spans="1:8" x14ac:dyDescent="0.35">
      <c r="A5075" s="7" t="s">
        <v>363</v>
      </c>
      <c r="B5075" s="7" t="s">
        <v>26</v>
      </c>
      <c r="C5075" s="7" t="s">
        <v>27</v>
      </c>
      <c r="D5075" s="7" t="s">
        <v>28</v>
      </c>
      <c r="E5075" s="7" t="s">
        <v>29</v>
      </c>
      <c r="F5075" s="7" t="s">
        <v>61</v>
      </c>
      <c r="G5075" s="7">
        <v>99.826560000000001</v>
      </c>
      <c r="H5075" s="7"/>
    </row>
    <row r="5076" spans="1:8" x14ac:dyDescent="0.35">
      <c r="A5076" s="7" t="s">
        <v>363</v>
      </c>
      <c r="B5076" s="7" t="s">
        <v>26</v>
      </c>
      <c r="C5076" s="7" t="s">
        <v>27</v>
      </c>
      <c r="D5076" s="7" t="s">
        <v>28</v>
      </c>
      <c r="E5076" s="7" t="s">
        <v>29</v>
      </c>
      <c r="F5076" s="7" t="s">
        <v>62</v>
      </c>
      <c r="G5076" s="7">
        <v>100.1151</v>
      </c>
      <c r="H5076" s="7"/>
    </row>
    <row r="5077" spans="1:8" x14ac:dyDescent="0.35">
      <c r="A5077" s="7" t="s">
        <v>363</v>
      </c>
      <c r="B5077" s="7" t="s">
        <v>26</v>
      </c>
      <c r="C5077" s="7" t="s">
        <v>27</v>
      </c>
      <c r="D5077" s="7" t="s">
        <v>28</v>
      </c>
      <c r="E5077" s="7" t="s">
        <v>29</v>
      </c>
      <c r="F5077" s="7" t="s">
        <v>63</v>
      </c>
      <c r="G5077" s="7">
        <v>100.3259</v>
      </c>
      <c r="H5077" s="7"/>
    </row>
    <row r="5078" spans="1:8" x14ac:dyDescent="0.35">
      <c r="A5078" s="7" t="s">
        <v>363</v>
      </c>
      <c r="B5078" s="7" t="s">
        <v>26</v>
      </c>
      <c r="C5078" s="7" t="s">
        <v>27</v>
      </c>
      <c r="D5078" s="7" t="s">
        <v>28</v>
      </c>
      <c r="E5078" s="7" t="s">
        <v>29</v>
      </c>
      <c r="F5078" s="7" t="s">
        <v>64</v>
      </c>
      <c r="G5078" s="7">
        <v>100.3734</v>
      </c>
      <c r="H5078" s="7"/>
    </row>
    <row r="5079" spans="1:8" x14ac:dyDescent="0.35">
      <c r="A5079" s="7" t="s">
        <v>363</v>
      </c>
      <c r="B5079" s="7" t="s">
        <v>26</v>
      </c>
      <c r="C5079" s="7" t="s">
        <v>27</v>
      </c>
      <c r="D5079" s="7" t="s">
        <v>28</v>
      </c>
      <c r="E5079" s="7" t="s">
        <v>29</v>
      </c>
      <c r="F5079" s="7" t="s">
        <v>65</v>
      </c>
      <c r="G5079" s="7">
        <v>100.2777</v>
      </c>
      <c r="H5079" s="7"/>
    </row>
    <row r="5080" spans="1:8" x14ac:dyDescent="0.35">
      <c r="A5080" s="7" t="s">
        <v>363</v>
      </c>
      <c r="B5080" s="7" t="s">
        <v>26</v>
      </c>
      <c r="C5080" s="7" t="s">
        <v>27</v>
      </c>
      <c r="D5080" s="7" t="s">
        <v>28</v>
      </c>
      <c r="E5080" s="7" t="s">
        <v>29</v>
      </c>
      <c r="F5080" s="7" t="s">
        <v>66</v>
      </c>
      <c r="G5080" s="7">
        <v>100.2769</v>
      </c>
      <c r="H5080" s="7"/>
    </row>
    <row r="5081" spans="1:8" x14ac:dyDescent="0.35">
      <c r="A5081" s="7" t="s">
        <v>363</v>
      </c>
      <c r="B5081" s="7" t="s">
        <v>26</v>
      </c>
      <c r="C5081" s="7" t="s">
        <v>27</v>
      </c>
      <c r="D5081" s="7" t="s">
        <v>28</v>
      </c>
      <c r="E5081" s="7" t="s">
        <v>29</v>
      </c>
      <c r="F5081" s="7" t="s">
        <v>67</v>
      </c>
      <c r="G5081" s="7">
        <v>100.2717</v>
      </c>
      <c r="H5081" s="7"/>
    </row>
    <row r="5082" spans="1:8" x14ac:dyDescent="0.35">
      <c r="A5082" s="7" t="s">
        <v>363</v>
      </c>
      <c r="B5082" s="7" t="s">
        <v>26</v>
      </c>
      <c r="C5082" s="7" t="s">
        <v>27</v>
      </c>
      <c r="D5082" s="7" t="s">
        <v>28</v>
      </c>
      <c r="E5082" s="7" t="s">
        <v>29</v>
      </c>
      <c r="F5082" s="7" t="s">
        <v>68</v>
      </c>
      <c r="G5082" s="7">
        <v>100.158</v>
      </c>
      <c r="H5082" s="7"/>
    </row>
    <row r="5083" spans="1:8" x14ac:dyDescent="0.35">
      <c r="A5083" s="7" t="s">
        <v>363</v>
      </c>
      <c r="B5083" s="7" t="s">
        <v>26</v>
      </c>
      <c r="C5083" s="7" t="s">
        <v>27</v>
      </c>
      <c r="D5083" s="7" t="s">
        <v>28</v>
      </c>
      <c r="E5083" s="7" t="s">
        <v>29</v>
      </c>
      <c r="F5083" s="7" t="s">
        <v>69</v>
      </c>
      <c r="G5083" s="7">
        <v>99.942629999999994</v>
      </c>
      <c r="H5083" s="7"/>
    </row>
    <row r="5084" spans="1:8" x14ac:dyDescent="0.35">
      <c r="A5084" s="7" t="s">
        <v>363</v>
      </c>
      <c r="B5084" s="7" t="s">
        <v>26</v>
      </c>
      <c r="C5084" s="7" t="s">
        <v>27</v>
      </c>
      <c r="D5084" s="7" t="s">
        <v>28</v>
      </c>
      <c r="E5084" s="7" t="s">
        <v>29</v>
      </c>
      <c r="F5084" s="7" t="s">
        <v>70</v>
      </c>
      <c r="G5084" s="7">
        <v>99.819829999999996</v>
      </c>
      <c r="H5084" s="7"/>
    </row>
    <row r="5085" spans="1:8" x14ac:dyDescent="0.35">
      <c r="A5085" s="7" t="s">
        <v>363</v>
      </c>
      <c r="B5085" s="7" t="s">
        <v>26</v>
      </c>
      <c r="C5085" s="7" t="s">
        <v>27</v>
      </c>
      <c r="D5085" s="7" t="s">
        <v>28</v>
      </c>
      <c r="E5085" s="7" t="s">
        <v>29</v>
      </c>
      <c r="F5085" s="7" t="s">
        <v>71</v>
      </c>
      <c r="G5085" s="7">
        <v>99.846760000000003</v>
      </c>
      <c r="H5085" s="7"/>
    </row>
    <row r="5086" spans="1:8" x14ac:dyDescent="0.35">
      <c r="A5086" s="7" t="s">
        <v>363</v>
      </c>
      <c r="B5086" s="7" t="s">
        <v>26</v>
      </c>
      <c r="C5086" s="7" t="s">
        <v>27</v>
      </c>
      <c r="D5086" s="7" t="s">
        <v>28</v>
      </c>
      <c r="E5086" s="7" t="s">
        <v>29</v>
      </c>
      <c r="F5086" s="7" t="s">
        <v>72</v>
      </c>
      <c r="G5086" s="7">
        <v>99.968029999999999</v>
      </c>
      <c r="H5086" s="7"/>
    </row>
    <row r="5087" spans="1:8" x14ac:dyDescent="0.35">
      <c r="A5087" s="7" t="s">
        <v>363</v>
      </c>
      <c r="B5087" s="7" t="s">
        <v>26</v>
      </c>
      <c r="C5087" s="7" t="s">
        <v>27</v>
      </c>
      <c r="D5087" s="7" t="s">
        <v>28</v>
      </c>
      <c r="E5087" s="7" t="s">
        <v>29</v>
      </c>
      <c r="F5087" s="7" t="s">
        <v>73</v>
      </c>
      <c r="G5087" s="7">
        <v>99.96414</v>
      </c>
      <c r="H5087" s="7"/>
    </row>
    <row r="5088" spans="1:8" x14ac:dyDescent="0.35">
      <c r="A5088" s="7" t="s">
        <v>363</v>
      </c>
      <c r="B5088" s="7" t="s">
        <v>26</v>
      </c>
      <c r="C5088" s="7" t="s">
        <v>27</v>
      </c>
      <c r="D5088" s="7" t="s">
        <v>28</v>
      </c>
      <c r="E5088" s="7" t="s">
        <v>29</v>
      </c>
      <c r="F5088" s="7" t="s">
        <v>74</v>
      </c>
      <c r="G5088" s="7">
        <v>99.931849999999997</v>
      </c>
      <c r="H5088" s="7"/>
    </row>
    <row r="5089" spans="1:8" x14ac:dyDescent="0.35">
      <c r="A5089" s="7" t="s">
        <v>363</v>
      </c>
      <c r="B5089" s="7" t="s">
        <v>26</v>
      </c>
      <c r="C5089" s="7" t="s">
        <v>27</v>
      </c>
      <c r="D5089" s="7" t="s">
        <v>28</v>
      </c>
      <c r="E5089" s="7" t="s">
        <v>29</v>
      </c>
      <c r="F5089" s="7" t="s">
        <v>75</v>
      </c>
      <c r="G5089" s="7">
        <v>99.968850000000003</v>
      </c>
      <c r="H5089" s="7"/>
    </row>
    <row r="5090" spans="1:8" x14ac:dyDescent="0.35">
      <c r="A5090" s="7" t="s">
        <v>363</v>
      </c>
      <c r="B5090" s="7" t="s">
        <v>26</v>
      </c>
      <c r="C5090" s="7" t="s">
        <v>27</v>
      </c>
      <c r="D5090" s="7" t="s">
        <v>28</v>
      </c>
      <c r="E5090" s="7" t="s">
        <v>29</v>
      </c>
      <c r="F5090" s="7" t="s">
        <v>76</v>
      </c>
      <c r="G5090" s="7">
        <v>99.923640000000006</v>
      </c>
      <c r="H5090" s="7"/>
    </row>
    <row r="5091" spans="1:8" x14ac:dyDescent="0.35">
      <c r="A5091" s="7" t="s">
        <v>363</v>
      </c>
      <c r="B5091" s="7" t="s">
        <v>26</v>
      </c>
      <c r="C5091" s="7" t="s">
        <v>27</v>
      </c>
      <c r="D5091" s="7" t="s">
        <v>28</v>
      </c>
      <c r="E5091" s="7" t="s">
        <v>29</v>
      </c>
      <c r="F5091" s="7" t="s">
        <v>77</v>
      </c>
      <c r="G5091" s="7">
        <v>99.849670000000003</v>
      </c>
      <c r="H5091" s="7"/>
    </row>
    <row r="5092" spans="1:8" x14ac:dyDescent="0.35">
      <c r="A5092" s="7" t="s">
        <v>363</v>
      </c>
      <c r="B5092" s="7" t="s">
        <v>26</v>
      </c>
      <c r="C5092" s="7" t="s">
        <v>27</v>
      </c>
      <c r="D5092" s="7" t="s">
        <v>28</v>
      </c>
      <c r="E5092" s="7" t="s">
        <v>29</v>
      </c>
      <c r="F5092" s="7" t="s">
        <v>78</v>
      </c>
      <c r="G5092" s="7">
        <v>99.952290000000005</v>
      </c>
      <c r="H5092" s="7"/>
    </row>
    <row r="5093" spans="1:8" x14ac:dyDescent="0.35">
      <c r="A5093" s="7" t="s">
        <v>363</v>
      </c>
      <c r="B5093" s="7" t="s">
        <v>26</v>
      </c>
      <c r="C5093" s="7" t="s">
        <v>27</v>
      </c>
      <c r="D5093" s="7" t="s">
        <v>28</v>
      </c>
      <c r="E5093" s="7" t="s">
        <v>29</v>
      </c>
      <c r="F5093" s="7" t="s">
        <v>79</v>
      </c>
      <c r="G5093" s="7">
        <v>100.14709999999999</v>
      </c>
      <c r="H5093" s="7"/>
    </row>
    <row r="5094" spans="1:8" x14ac:dyDescent="0.35">
      <c r="A5094" s="7" t="s">
        <v>363</v>
      </c>
      <c r="B5094" s="7" t="s">
        <v>26</v>
      </c>
      <c r="C5094" s="7" t="s">
        <v>27</v>
      </c>
      <c r="D5094" s="7" t="s">
        <v>28</v>
      </c>
      <c r="E5094" s="7" t="s">
        <v>29</v>
      </c>
      <c r="F5094" s="7" t="s">
        <v>80</v>
      </c>
      <c r="G5094" s="7">
        <v>100.3994</v>
      </c>
      <c r="H5094" s="7"/>
    </row>
    <row r="5095" spans="1:8" x14ac:dyDescent="0.35">
      <c r="A5095" s="7" t="s">
        <v>363</v>
      </c>
      <c r="B5095" s="7" t="s">
        <v>26</v>
      </c>
      <c r="C5095" s="7" t="s">
        <v>27</v>
      </c>
      <c r="D5095" s="7" t="s">
        <v>28</v>
      </c>
      <c r="E5095" s="7" t="s">
        <v>29</v>
      </c>
      <c r="F5095" s="7" t="s">
        <v>81</v>
      </c>
      <c r="G5095" s="7">
        <v>100.51690000000001</v>
      </c>
      <c r="H5095" s="7"/>
    </row>
    <row r="5096" spans="1:8" x14ac:dyDescent="0.35">
      <c r="A5096" s="7" t="s">
        <v>363</v>
      </c>
      <c r="B5096" s="7" t="s">
        <v>26</v>
      </c>
      <c r="C5096" s="7" t="s">
        <v>27</v>
      </c>
      <c r="D5096" s="7" t="s">
        <v>28</v>
      </c>
      <c r="E5096" s="7" t="s">
        <v>29</v>
      </c>
      <c r="F5096" s="7" t="s">
        <v>82</v>
      </c>
      <c r="G5096" s="7">
        <v>100.5971</v>
      </c>
      <c r="H5096" s="7"/>
    </row>
    <row r="5097" spans="1:8" x14ac:dyDescent="0.35">
      <c r="A5097" s="7" t="s">
        <v>363</v>
      </c>
      <c r="B5097" s="7" t="s">
        <v>26</v>
      </c>
      <c r="C5097" s="7" t="s">
        <v>27</v>
      </c>
      <c r="D5097" s="7" t="s">
        <v>28</v>
      </c>
      <c r="E5097" s="7" t="s">
        <v>29</v>
      </c>
      <c r="F5097" s="7" t="s">
        <v>83</v>
      </c>
      <c r="G5097" s="7">
        <v>100.6157</v>
      </c>
      <c r="H5097" s="7"/>
    </row>
    <row r="5098" spans="1:8" x14ac:dyDescent="0.35">
      <c r="A5098" s="7" t="s">
        <v>363</v>
      </c>
      <c r="B5098" s="7" t="s">
        <v>26</v>
      </c>
      <c r="C5098" s="7" t="s">
        <v>27</v>
      </c>
      <c r="D5098" s="7" t="s">
        <v>28</v>
      </c>
      <c r="E5098" s="7" t="s">
        <v>29</v>
      </c>
      <c r="F5098" s="7" t="s">
        <v>84</v>
      </c>
      <c r="G5098" s="7">
        <v>100.6035</v>
      </c>
      <c r="H5098" s="7"/>
    </row>
    <row r="5099" spans="1:8" x14ac:dyDescent="0.35">
      <c r="A5099" s="7" t="s">
        <v>363</v>
      </c>
      <c r="B5099" s="7" t="s">
        <v>26</v>
      </c>
      <c r="C5099" s="7" t="s">
        <v>27</v>
      </c>
      <c r="D5099" s="7" t="s">
        <v>28</v>
      </c>
      <c r="E5099" s="7" t="s">
        <v>29</v>
      </c>
      <c r="F5099" s="7" t="s">
        <v>85</v>
      </c>
      <c r="G5099" s="7">
        <v>100.5548</v>
      </c>
      <c r="H5099" s="7"/>
    </row>
    <row r="5100" spans="1:8" x14ac:dyDescent="0.35">
      <c r="A5100" s="7" t="s">
        <v>363</v>
      </c>
      <c r="B5100" s="7" t="s">
        <v>26</v>
      </c>
      <c r="C5100" s="7" t="s">
        <v>27</v>
      </c>
      <c r="D5100" s="7" t="s">
        <v>28</v>
      </c>
      <c r="E5100" s="7" t="s">
        <v>29</v>
      </c>
      <c r="F5100" s="7" t="s">
        <v>86</v>
      </c>
      <c r="G5100" s="7">
        <v>100.43899999999999</v>
      </c>
      <c r="H5100" s="7"/>
    </row>
    <row r="5101" spans="1:8" x14ac:dyDescent="0.35">
      <c r="A5101" s="7" t="s">
        <v>363</v>
      </c>
      <c r="B5101" s="7" t="s">
        <v>26</v>
      </c>
      <c r="C5101" s="7" t="s">
        <v>27</v>
      </c>
      <c r="D5101" s="7" t="s">
        <v>28</v>
      </c>
      <c r="E5101" s="7" t="s">
        <v>29</v>
      </c>
      <c r="F5101" s="7" t="s">
        <v>87</v>
      </c>
      <c r="G5101" s="7">
        <v>100.3728</v>
      </c>
      <c r="H5101" s="7"/>
    </row>
    <row r="5102" spans="1:8" x14ac:dyDescent="0.35">
      <c r="A5102" s="7" t="s">
        <v>363</v>
      </c>
      <c r="B5102" s="7" t="s">
        <v>26</v>
      </c>
      <c r="C5102" s="7" t="s">
        <v>27</v>
      </c>
      <c r="D5102" s="7" t="s">
        <v>28</v>
      </c>
      <c r="E5102" s="7" t="s">
        <v>29</v>
      </c>
      <c r="F5102" s="7" t="s">
        <v>88</v>
      </c>
      <c r="G5102" s="7">
        <v>100.2565</v>
      </c>
      <c r="H5102" s="7"/>
    </row>
    <row r="5103" spans="1:8" x14ac:dyDescent="0.35">
      <c r="A5103" s="7" t="s">
        <v>363</v>
      </c>
      <c r="B5103" s="7" t="s">
        <v>26</v>
      </c>
      <c r="C5103" s="7" t="s">
        <v>27</v>
      </c>
      <c r="D5103" s="7" t="s">
        <v>28</v>
      </c>
      <c r="E5103" s="7" t="s">
        <v>29</v>
      </c>
      <c r="F5103" s="7" t="s">
        <v>89</v>
      </c>
      <c r="G5103" s="7">
        <v>100.1964</v>
      </c>
      <c r="H5103" s="7"/>
    </row>
    <row r="5104" spans="1:8" x14ac:dyDescent="0.35">
      <c r="A5104" s="7" t="s">
        <v>363</v>
      </c>
      <c r="B5104" s="7" t="s">
        <v>26</v>
      </c>
      <c r="C5104" s="7" t="s">
        <v>27</v>
      </c>
      <c r="D5104" s="7" t="s">
        <v>28</v>
      </c>
      <c r="E5104" s="7" t="s">
        <v>29</v>
      </c>
      <c r="F5104" s="7" t="s">
        <v>90</v>
      </c>
      <c r="G5104" s="7">
        <v>100.2654</v>
      </c>
      <c r="H5104" s="7"/>
    </row>
    <row r="5105" spans="1:8" x14ac:dyDescent="0.35">
      <c r="A5105" s="7" t="s">
        <v>363</v>
      </c>
      <c r="B5105" s="7" t="s">
        <v>26</v>
      </c>
      <c r="C5105" s="7" t="s">
        <v>27</v>
      </c>
      <c r="D5105" s="7" t="s">
        <v>28</v>
      </c>
      <c r="E5105" s="7" t="s">
        <v>29</v>
      </c>
      <c r="F5105" s="7" t="s">
        <v>91</v>
      </c>
      <c r="G5105" s="7">
        <v>100.5137</v>
      </c>
      <c r="H5105" s="7"/>
    </row>
    <row r="5106" spans="1:8" x14ac:dyDescent="0.35">
      <c r="A5106" s="7" t="s">
        <v>363</v>
      </c>
      <c r="B5106" s="7" t="s">
        <v>26</v>
      </c>
      <c r="C5106" s="7" t="s">
        <v>27</v>
      </c>
      <c r="D5106" s="7" t="s">
        <v>28</v>
      </c>
      <c r="E5106" s="7" t="s">
        <v>29</v>
      </c>
      <c r="F5106" s="7" t="s">
        <v>92</v>
      </c>
      <c r="G5106" s="7">
        <v>100.78919999999999</v>
      </c>
      <c r="H5106" s="7"/>
    </row>
    <row r="5107" spans="1:8" x14ac:dyDescent="0.35">
      <c r="A5107" s="7" t="s">
        <v>363</v>
      </c>
      <c r="B5107" s="7" t="s">
        <v>26</v>
      </c>
      <c r="C5107" s="7" t="s">
        <v>27</v>
      </c>
      <c r="D5107" s="7" t="s">
        <v>28</v>
      </c>
      <c r="E5107" s="7" t="s">
        <v>29</v>
      </c>
      <c r="F5107" s="7" t="s">
        <v>93</v>
      </c>
      <c r="G5107" s="7">
        <v>100.87009999999999</v>
      </c>
      <c r="H5107" s="7"/>
    </row>
    <row r="5108" spans="1:8" x14ac:dyDescent="0.35">
      <c r="A5108" s="7" t="s">
        <v>363</v>
      </c>
      <c r="B5108" s="7" t="s">
        <v>26</v>
      </c>
      <c r="C5108" s="7" t="s">
        <v>27</v>
      </c>
      <c r="D5108" s="7" t="s">
        <v>28</v>
      </c>
      <c r="E5108" s="7" t="s">
        <v>29</v>
      </c>
      <c r="F5108" s="7" t="s">
        <v>94</v>
      </c>
      <c r="G5108" s="7">
        <v>100.92619999999999</v>
      </c>
      <c r="H5108" s="7"/>
    </row>
    <row r="5109" spans="1:8" x14ac:dyDescent="0.35">
      <c r="A5109" s="7" t="s">
        <v>363</v>
      </c>
      <c r="B5109" s="7" t="s">
        <v>26</v>
      </c>
      <c r="C5109" s="7" t="s">
        <v>27</v>
      </c>
      <c r="D5109" s="7" t="s">
        <v>28</v>
      </c>
      <c r="E5109" s="7" t="s">
        <v>29</v>
      </c>
      <c r="F5109" s="7" t="s">
        <v>95</v>
      </c>
      <c r="G5109" s="7">
        <v>101.03189999999999</v>
      </c>
      <c r="H5109" s="7"/>
    </row>
    <row r="5110" spans="1:8" x14ac:dyDescent="0.35">
      <c r="A5110" s="7" t="s">
        <v>363</v>
      </c>
      <c r="B5110" s="7" t="s">
        <v>26</v>
      </c>
      <c r="C5110" s="7" t="s">
        <v>27</v>
      </c>
      <c r="D5110" s="7" t="s">
        <v>28</v>
      </c>
      <c r="E5110" s="7" t="s">
        <v>29</v>
      </c>
      <c r="F5110" s="7" t="s">
        <v>96</v>
      </c>
      <c r="G5110" s="7">
        <v>101.185</v>
      </c>
      <c r="H5110" s="7"/>
    </row>
    <row r="5111" spans="1:8" x14ac:dyDescent="0.35">
      <c r="A5111" s="7" t="s">
        <v>363</v>
      </c>
      <c r="B5111" s="7" t="s">
        <v>26</v>
      </c>
      <c r="C5111" s="7" t="s">
        <v>27</v>
      </c>
      <c r="D5111" s="7" t="s">
        <v>28</v>
      </c>
      <c r="E5111" s="7" t="s">
        <v>29</v>
      </c>
      <c r="F5111" s="7" t="s">
        <v>97</v>
      </c>
      <c r="G5111" s="7">
        <v>101.4087</v>
      </c>
      <c r="H5111" s="7"/>
    </row>
    <row r="5112" spans="1:8" x14ac:dyDescent="0.35">
      <c r="A5112" s="7" t="s">
        <v>363</v>
      </c>
      <c r="B5112" s="7" t="s">
        <v>26</v>
      </c>
      <c r="C5112" s="7" t="s">
        <v>27</v>
      </c>
      <c r="D5112" s="7" t="s">
        <v>28</v>
      </c>
      <c r="E5112" s="7" t="s">
        <v>29</v>
      </c>
      <c r="F5112" s="7" t="s">
        <v>98</v>
      </c>
      <c r="G5112" s="7">
        <v>101.56229999999999</v>
      </c>
      <c r="H5112" s="7"/>
    </row>
    <row r="5113" spans="1:8" x14ac:dyDescent="0.35">
      <c r="A5113" s="7" t="s">
        <v>363</v>
      </c>
      <c r="B5113" s="7" t="s">
        <v>26</v>
      </c>
      <c r="C5113" s="7" t="s">
        <v>27</v>
      </c>
      <c r="D5113" s="7" t="s">
        <v>28</v>
      </c>
      <c r="E5113" s="7" t="s">
        <v>29</v>
      </c>
      <c r="F5113" s="7" t="s">
        <v>99</v>
      </c>
      <c r="G5113" s="7">
        <v>101.5836</v>
      </c>
      <c r="H5113" s="7"/>
    </row>
    <row r="5114" spans="1:8" x14ac:dyDescent="0.35">
      <c r="A5114" s="7" t="s">
        <v>363</v>
      </c>
      <c r="B5114" s="7" t="s">
        <v>26</v>
      </c>
      <c r="C5114" s="7" t="s">
        <v>27</v>
      </c>
      <c r="D5114" s="7" t="s">
        <v>28</v>
      </c>
      <c r="E5114" s="7" t="s">
        <v>29</v>
      </c>
      <c r="F5114" s="7" t="s">
        <v>100</v>
      </c>
      <c r="G5114" s="7">
        <v>101.4461</v>
      </c>
      <c r="H5114" s="7"/>
    </row>
    <row r="5115" spans="1:8" x14ac:dyDescent="0.35">
      <c r="A5115" s="7" t="s">
        <v>363</v>
      </c>
      <c r="B5115" s="7" t="s">
        <v>26</v>
      </c>
      <c r="C5115" s="7" t="s">
        <v>27</v>
      </c>
      <c r="D5115" s="7" t="s">
        <v>28</v>
      </c>
      <c r="E5115" s="7" t="s">
        <v>29</v>
      </c>
      <c r="F5115" s="7" t="s">
        <v>101</v>
      </c>
      <c r="G5115" s="7">
        <v>101.3095</v>
      </c>
      <c r="H5115" s="7"/>
    </row>
    <row r="5116" spans="1:8" x14ac:dyDescent="0.35">
      <c r="A5116" s="7" t="s">
        <v>363</v>
      </c>
      <c r="B5116" s="7" t="s">
        <v>26</v>
      </c>
      <c r="C5116" s="7" t="s">
        <v>27</v>
      </c>
      <c r="D5116" s="7" t="s">
        <v>28</v>
      </c>
      <c r="E5116" s="7" t="s">
        <v>29</v>
      </c>
      <c r="F5116" s="7" t="s">
        <v>102</v>
      </c>
      <c r="G5116" s="7">
        <v>101.2273</v>
      </c>
      <c r="H5116" s="7"/>
    </row>
    <row r="5117" spans="1:8" x14ac:dyDescent="0.35">
      <c r="A5117" s="7" t="s">
        <v>363</v>
      </c>
      <c r="B5117" s="7" t="s">
        <v>26</v>
      </c>
      <c r="C5117" s="7" t="s">
        <v>27</v>
      </c>
      <c r="D5117" s="7" t="s">
        <v>28</v>
      </c>
      <c r="E5117" s="7" t="s">
        <v>29</v>
      </c>
      <c r="F5117" s="7" t="s">
        <v>103</v>
      </c>
      <c r="G5117" s="7">
        <v>101.2099</v>
      </c>
      <c r="H5117" s="7"/>
    </row>
    <row r="5118" spans="1:8" x14ac:dyDescent="0.35">
      <c r="A5118" s="7" t="s">
        <v>363</v>
      </c>
      <c r="B5118" s="7" t="s">
        <v>26</v>
      </c>
      <c r="C5118" s="7" t="s">
        <v>27</v>
      </c>
      <c r="D5118" s="7" t="s">
        <v>28</v>
      </c>
      <c r="E5118" s="7" t="s">
        <v>29</v>
      </c>
      <c r="F5118" s="7" t="s">
        <v>104</v>
      </c>
      <c r="G5118" s="7">
        <v>101.2333</v>
      </c>
      <c r="H5118" s="7"/>
    </row>
    <row r="5119" spans="1:8" x14ac:dyDescent="0.35">
      <c r="A5119" s="7" t="s">
        <v>363</v>
      </c>
      <c r="B5119" s="7" t="s">
        <v>26</v>
      </c>
      <c r="C5119" s="7" t="s">
        <v>27</v>
      </c>
      <c r="D5119" s="7" t="s">
        <v>28</v>
      </c>
      <c r="E5119" s="7" t="s">
        <v>29</v>
      </c>
      <c r="F5119" s="7" t="s">
        <v>105</v>
      </c>
      <c r="G5119" s="7">
        <v>101.3052</v>
      </c>
      <c r="H5119" s="7"/>
    </row>
    <row r="5120" spans="1:8" x14ac:dyDescent="0.35">
      <c r="A5120" s="7" t="s">
        <v>363</v>
      </c>
      <c r="B5120" s="7" t="s">
        <v>26</v>
      </c>
      <c r="C5120" s="7" t="s">
        <v>27</v>
      </c>
      <c r="D5120" s="7" t="s">
        <v>28</v>
      </c>
      <c r="E5120" s="7" t="s">
        <v>29</v>
      </c>
      <c r="F5120" s="7" t="s">
        <v>106</v>
      </c>
      <c r="G5120" s="7">
        <v>101.4177</v>
      </c>
      <c r="H5120" s="7"/>
    </row>
    <row r="5121" spans="1:8" x14ac:dyDescent="0.35">
      <c r="A5121" s="7" t="s">
        <v>363</v>
      </c>
      <c r="B5121" s="7" t="s">
        <v>26</v>
      </c>
      <c r="C5121" s="7" t="s">
        <v>27</v>
      </c>
      <c r="D5121" s="7" t="s">
        <v>28</v>
      </c>
      <c r="E5121" s="7" t="s">
        <v>29</v>
      </c>
      <c r="F5121" s="7" t="s">
        <v>107</v>
      </c>
      <c r="G5121" s="7">
        <v>101.51130000000001</v>
      </c>
      <c r="H5121" s="7"/>
    </row>
    <row r="5122" spans="1:8" x14ac:dyDescent="0.35">
      <c r="A5122" s="7" t="s">
        <v>363</v>
      </c>
      <c r="B5122" s="7" t="s">
        <v>26</v>
      </c>
      <c r="C5122" s="7" t="s">
        <v>27</v>
      </c>
      <c r="D5122" s="7" t="s">
        <v>28</v>
      </c>
      <c r="E5122" s="7" t="s">
        <v>29</v>
      </c>
      <c r="F5122" s="7" t="s">
        <v>108</v>
      </c>
      <c r="G5122" s="7">
        <v>101.5722</v>
      </c>
      <c r="H5122" s="7"/>
    </row>
    <row r="5123" spans="1:8" x14ac:dyDescent="0.35">
      <c r="A5123" s="7" t="s">
        <v>363</v>
      </c>
      <c r="B5123" s="7" t="s">
        <v>26</v>
      </c>
      <c r="C5123" s="7" t="s">
        <v>27</v>
      </c>
      <c r="D5123" s="7" t="s">
        <v>28</v>
      </c>
      <c r="E5123" s="7" t="s">
        <v>29</v>
      </c>
      <c r="F5123" s="7" t="s">
        <v>109</v>
      </c>
      <c r="G5123" s="7">
        <v>101.599</v>
      </c>
      <c r="H5123" s="7"/>
    </row>
    <row r="5124" spans="1:8" x14ac:dyDescent="0.35">
      <c r="A5124" s="7" t="s">
        <v>363</v>
      </c>
      <c r="B5124" s="7" t="s">
        <v>26</v>
      </c>
      <c r="C5124" s="7" t="s">
        <v>27</v>
      </c>
      <c r="D5124" s="7" t="s">
        <v>28</v>
      </c>
      <c r="E5124" s="7" t="s">
        <v>29</v>
      </c>
      <c r="F5124" s="7" t="s">
        <v>110</v>
      </c>
      <c r="G5124" s="7">
        <v>101.57940000000001</v>
      </c>
      <c r="H5124" s="7"/>
    </row>
    <row r="5125" spans="1:8" x14ac:dyDescent="0.35">
      <c r="A5125" s="7" t="s">
        <v>363</v>
      </c>
      <c r="B5125" s="7" t="s">
        <v>26</v>
      </c>
      <c r="C5125" s="7" t="s">
        <v>27</v>
      </c>
      <c r="D5125" s="7" t="s">
        <v>28</v>
      </c>
      <c r="E5125" s="7" t="s">
        <v>29</v>
      </c>
      <c r="F5125" s="7" t="s">
        <v>111</v>
      </c>
      <c r="G5125" s="7">
        <v>101.5613</v>
      </c>
      <c r="H5125" s="7"/>
    </row>
    <row r="5126" spans="1:8" x14ac:dyDescent="0.35">
      <c r="A5126" s="7" t="s">
        <v>363</v>
      </c>
      <c r="B5126" s="7" t="s">
        <v>26</v>
      </c>
      <c r="C5126" s="7" t="s">
        <v>27</v>
      </c>
      <c r="D5126" s="7" t="s">
        <v>28</v>
      </c>
      <c r="E5126" s="7" t="s">
        <v>29</v>
      </c>
      <c r="F5126" s="7" t="s">
        <v>112</v>
      </c>
      <c r="G5126" s="7">
        <v>101.6353</v>
      </c>
      <c r="H5126" s="7"/>
    </row>
    <row r="5127" spans="1:8" x14ac:dyDescent="0.35">
      <c r="A5127" s="7" t="s">
        <v>363</v>
      </c>
      <c r="B5127" s="7" t="s">
        <v>26</v>
      </c>
      <c r="C5127" s="7" t="s">
        <v>27</v>
      </c>
      <c r="D5127" s="7" t="s">
        <v>28</v>
      </c>
      <c r="E5127" s="7" t="s">
        <v>29</v>
      </c>
      <c r="F5127" s="7" t="s">
        <v>113</v>
      </c>
      <c r="G5127" s="7">
        <v>101.75709999999999</v>
      </c>
      <c r="H5127" s="7"/>
    </row>
    <row r="5128" spans="1:8" x14ac:dyDescent="0.35">
      <c r="A5128" s="7" t="s">
        <v>363</v>
      </c>
      <c r="B5128" s="7" t="s">
        <v>26</v>
      </c>
      <c r="C5128" s="7" t="s">
        <v>27</v>
      </c>
      <c r="D5128" s="7" t="s">
        <v>28</v>
      </c>
      <c r="E5128" s="7" t="s">
        <v>29</v>
      </c>
      <c r="F5128" s="7" t="s">
        <v>114</v>
      </c>
      <c r="G5128" s="7">
        <v>101.8079</v>
      </c>
      <c r="H5128" s="7"/>
    </row>
    <row r="5129" spans="1:8" x14ac:dyDescent="0.35">
      <c r="A5129" s="7" t="s">
        <v>363</v>
      </c>
      <c r="B5129" s="7" t="s">
        <v>26</v>
      </c>
      <c r="C5129" s="7" t="s">
        <v>27</v>
      </c>
      <c r="D5129" s="7" t="s">
        <v>28</v>
      </c>
      <c r="E5129" s="7" t="s">
        <v>29</v>
      </c>
      <c r="F5129" s="7" t="s">
        <v>115</v>
      </c>
      <c r="G5129" s="7">
        <v>101.792</v>
      </c>
      <c r="H5129" s="7"/>
    </row>
    <row r="5130" spans="1:8" x14ac:dyDescent="0.35">
      <c r="A5130" s="7" t="s">
        <v>363</v>
      </c>
      <c r="B5130" s="7" t="s">
        <v>26</v>
      </c>
      <c r="C5130" s="7" t="s">
        <v>27</v>
      </c>
      <c r="D5130" s="7" t="s">
        <v>28</v>
      </c>
      <c r="E5130" s="7" t="s">
        <v>29</v>
      </c>
      <c r="F5130" s="7" t="s">
        <v>116</v>
      </c>
      <c r="G5130" s="7">
        <v>101.7739</v>
      </c>
      <c r="H5130" s="7"/>
    </row>
    <row r="5131" spans="1:8" x14ac:dyDescent="0.35">
      <c r="A5131" s="7" t="s">
        <v>363</v>
      </c>
      <c r="B5131" s="7" t="s">
        <v>26</v>
      </c>
      <c r="C5131" s="7" t="s">
        <v>27</v>
      </c>
      <c r="D5131" s="7" t="s">
        <v>28</v>
      </c>
      <c r="E5131" s="7" t="s">
        <v>29</v>
      </c>
      <c r="F5131" s="7" t="s">
        <v>117</v>
      </c>
      <c r="G5131" s="7">
        <v>101.7099</v>
      </c>
      <c r="H5131" s="7"/>
    </row>
    <row r="5132" spans="1:8" x14ac:dyDescent="0.35">
      <c r="A5132" s="7" t="s">
        <v>363</v>
      </c>
      <c r="B5132" s="7" t="s">
        <v>26</v>
      </c>
      <c r="C5132" s="7" t="s">
        <v>27</v>
      </c>
      <c r="D5132" s="7" t="s">
        <v>28</v>
      </c>
      <c r="E5132" s="7" t="s">
        <v>29</v>
      </c>
      <c r="F5132" s="7" t="s">
        <v>118</v>
      </c>
      <c r="G5132" s="7">
        <v>101.66240000000001</v>
      </c>
      <c r="H5132" s="7"/>
    </row>
    <row r="5133" spans="1:8" x14ac:dyDescent="0.35">
      <c r="A5133" s="7" t="s">
        <v>363</v>
      </c>
      <c r="B5133" s="7" t="s">
        <v>26</v>
      </c>
      <c r="C5133" s="7" t="s">
        <v>27</v>
      </c>
      <c r="D5133" s="7" t="s">
        <v>28</v>
      </c>
      <c r="E5133" s="7" t="s">
        <v>29</v>
      </c>
      <c r="F5133" s="7" t="s">
        <v>119</v>
      </c>
      <c r="G5133" s="7">
        <v>101.6555</v>
      </c>
      <c r="H5133" s="7"/>
    </row>
    <row r="5134" spans="1:8" x14ac:dyDescent="0.35">
      <c r="A5134" s="7" t="s">
        <v>363</v>
      </c>
      <c r="B5134" s="7" t="s">
        <v>26</v>
      </c>
      <c r="C5134" s="7" t="s">
        <v>27</v>
      </c>
      <c r="D5134" s="7" t="s">
        <v>28</v>
      </c>
      <c r="E5134" s="7" t="s">
        <v>29</v>
      </c>
      <c r="F5134" s="7" t="s">
        <v>120</v>
      </c>
      <c r="G5134" s="7">
        <v>101.72280000000001</v>
      </c>
      <c r="H5134" s="7"/>
    </row>
    <row r="5135" spans="1:8" x14ac:dyDescent="0.35">
      <c r="A5135" s="7" t="s">
        <v>363</v>
      </c>
      <c r="B5135" s="7" t="s">
        <v>26</v>
      </c>
      <c r="C5135" s="7" t="s">
        <v>27</v>
      </c>
      <c r="D5135" s="7" t="s">
        <v>28</v>
      </c>
      <c r="E5135" s="7" t="s">
        <v>29</v>
      </c>
      <c r="F5135" s="7" t="s">
        <v>121</v>
      </c>
      <c r="G5135" s="7">
        <v>101.76609999999999</v>
      </c>
      <c r="H5135" s="7"/>
    </row>
    <row r="5136" spans="1:8" x14ac:dyDescent="0.35">
      <c r="A5136" s="7" t="s">
        <v>363</v>
      </c>
      <c r="B5136" s="7" t="s">
        <v>26</v>
      </c>
      <c r="C5136" s="7" t="s">
        <v>27</v>
      </c>
      <c r="D5136" s="7" t="s">
        <v>28</v>
      </c>
      <c r="E5136" s="7" t="s">
        <v>29</v>
      </c>
      <c r="F5136" s="7" t="s">
        <v>122</v>
      </c>
      <c r="G5136" s="7">
        <v>101.759</v>
      </c>
      <c r="H5136" s="7"/>
    </row>
    <row r="5137" spans="1:8" x14ac:dyDescent="0.35">
      <c r="A5137" s="7" t="s">
        <v>363</v>
      </c>
      <c r="B5137" s="7" t="s">
        <v>26</v>
      </c>
      <c r="C5137" s="7" t="s">
        <v>27</v>
      </c>
      <c r="D5137" s="7" t="s">
        <v>28</v>
      </c>
      <c r="E5137" s="7" t="s">
        <v>29</v>
      </c>
      <c r="F5137" s="7" t="s">
        <v>123</v>
      </c>
      <c r="G5137" s="7">
        <v>101.7153</v>
      </c>
      <c r="H5137" s="7"/>
    </row>
    <row r="5138" spans="1:8" x14ac:dyDescent="0.35">
      <c r="A5138" s="7" t="s">
        <v>363</v>
      </c>
      <c r="B5138" s="7" t="s">
        <v>26</v>
      </c>
      <c r="C5138" s="7" t="s">
        <v>27</v>
      </c>
      <c r="D5138" s="7" t="s">
        <v>28</v>
      </c>
      <c r="E5138" s="7" t="s">
        <v>29</v>
      </c>
      <c r="F5138" s="7" t="s">
        <v>124</v>
      </c>
      <c r="G5138" s="7">
        <v>101.7336</v>
      </c>
      <c r="H5138" s="7"/>
    </row>
    <row r="5139" spans="1:8" x14ac:dyDescent="0.35">
      <c r="A5139" s="7" t="s">
        <v>363</v>
      </c>
      <c r="B5139" s="7" t="s">
        <v>26</v>
      </c>
      <c r="C5139" s="7" t="s">
        <v>27</v>
      </c>
      <c r="D5139" s="7" t="s">
        <v>28</v>
      </c>
      <c r="E5139" s="7" t="s">
        <v>29</v>
      </c>
      <c r="F5139" s="7" t="s">
        <v>125</v>
      </c>
      <c r="G5139" s="7">
        <v>101.8193</v>
      </c>
      <c r="H5139" s="7"/>
    </row>
    <row r="5140" spans="1:8" x14ac:dyDescent="0.35">
      <c r="A5140" s="7" t="s">
        <v>363</v>
      </c>
      <c r="B5140" s="7" t="s">
        <v>26</v>
      </c>
      <c r="C5140" s="7" t="s">
        <v>27</v>
      </c>
      <c r="D5140" s="7" t="s">
        <v>28</v>
      </c>
      <c r="E5140" s="7" t="s">
        <v>29</v>
      </c>
      <c r="F5140" s="7" t="s">
        <v>126</v>
      </c>
      <c r="G5140" s="7">
        <v>101.8421</v>
      </c>
      <c r="H5140" s="7"/>
    </row>
    <row r="5141" spans="1:8" x14ac:dyDescent="0.35">
      <c r="A5141" s="7" t="s">
        <v>363</v>
      </c>
      <c r="B5141" s="7" t="s">
        <v>26</v>
      </c>
      <c r="C5141" s="7" t="s">
        <v>27</v>
      </c>
      <c r="D5141" s="7" t="s">
        <v>28</v>
      </c>
      <c r="E5141" s="7" t="s">
        <v>29</v>
      </c>
      <c r="F5141" s="7" t="s">
        <v>127</v>
      </c>
      <c r="G5141" s="7">
        <v>101.8552</v>
      </c>
      <c r="H5141" s="7"/>
    </row>
    <row r="5142" spans="1:8" x14ac:dyDescent="0.35">
      <c r="A5142" s="7" t="s">
        <v>363</v>
      </c>
      <c r="B5142" s="7" t="s">
        <v>26</v>
      </c>
      <c r="C5142" s="7" t="s">
        <v>27</v>
      </c>
      <c r="D5142" s="7" t="s">
        <v>28</v>
      </c>
      <c r="E5142" s="7" t="s">
        <v>29</v>
      </c>
      <c r="F5142" s="7" t="s">
        <v>128</v>
      </c>
      <c r="G5142" s="7">
        <v>101.9258</v>
      </c>
      <c r="H5142" s="7"/>
    </row>
    <row r="5143" spans="1:8" x14ac:dyDescent="0.35">
      <c r="A5143" s="7" t="s">
        <v>363</v>
      </c>
      <c r="B5143" s="7" t="s">
        <v>26</v>
      </c>
      <c r="C5143" s="7" t="s">
        <v>27</v>
      </c>
      <c r="D5143" s="7" t="s">
        <v>28</v>
      </c>
      <c r="E5143" s="7" t="s">
        <v>29</v>
      </c>
      <c r="F5143" s="7" t="s">
        <v>129</v>
      </c>
      <c r="G5143" s="7">
        <v>102.03530000000001</v>
      </c>
      <c r="H5143" s="7"/>
    </row>
    <row r="5144" spans="1:8" x14ac:dyDescent="0.35">
      <c r="A5144" s="7" t="s">
        <v>363</v>
      </c>
      <c r="B5144" s="7" t="s">
        <v>26</v>
      </c>
      <c r="C5144" s="7" t="s">
        <v>27</v>
      </c>
      <c r="D5144" s="7" t="s">
        <v>28</v>
      </c>
      <c r="E5144" s="7" t="s">
        <v>29</v>
      </c>
      <c r="F5144" s="7" t="s">
        <v>130</v>
      </c>
      <c r="G5144" s="7">
        <v>102.1318</v>
      </c>
      <c r="H5144" s="7"/>
    </row>
    <row r="5145" spans="1:8" x14ac:dyDescent="0.35">
      <c r="A5145" s="7" t="s">
        <v>363</v>
      </c>
      <c r="B5145" s="7" t="s">
        <v>26</v>
      </c>
      <c r="C5145" s="7" t="s">
        <v>27</v>
      </c>
      <c r="D5145" s="7" t="s">
        <v>28</v>
      </c>
      <c r="E5145" s="7" t="s">
        <v>29</v>
      </c>
      <c r="F5145" s="7" t="s">
        <v>131</v>
      </c>
      <c r="G5145" s="7">
        <v>102.1557</v>
      </c>
      <c r="H5145" s="7"/>
    </row>
    <row r="5146" spans="1:8" x14ac:dyDescent="0.35">
      <c r="A5146" s="7" t="s">
        <v>363</v>
      </c>
      <c r="B5146" s="7" t="s">
        <v>26</v>
      </c>
      <c r="C5146" s="7" t="s">
        <v>27</v>
      </c>
      <c r="D5146" s="7" t="s">
        <v>28</v>
      </c>
      <c r="E5146" s="7" t="s">
        <v>29</v>
      </c>
      <c r="F5146" s="7" t="s">
        <v>132</v>
      </c>
      <c r="G5146" s="7">
        <v>102.12730000000001</v>
      </c>
      <c r="H5146" s="7"/>
    </row>
    <row r="5147" spans="1:8" x14ac:dyDescent="0.35">
      <c r="A5147" s="7" t="s">
        <v>363</v>
      </c>
      <c r="B5147" s="7" t="s">
        <v>26</v>
      </c>
      <c r="C5147" s="7" t="s">
        <v>27</v>
      </c>
      <c r="D5147" s="7" t="s">
        <v>28</v>
      </c>
      <c r="E5147" s="7" t="s">
        <v>29</v>
      </c>
      <c r="F5147" s="7" t="s">
        <v>133</v>
      </c>
      <c r="G5147" s="7">
        <v>102.0984</v>
      </c>
      <c r="H5147" s="7"/>
    </row>
    <row r="5148" spans="1:8" x14ac:dyDescent="0.35">
      <c r="A5148" s="7" t="s">
        <v>363</v>
      </c>
      <c r="B5148" s="7" t="s">
        <v>26</v>
      </c>
      <c r="C5148" s="7" t="s">
        <v>27</v>
      </c>
      <c r="D5148" s="7" t="s">
        <v>28</v>
      </c>
      <c r="E5148" s="7" t="s">
        <v>29</v>
      </c>
      <c r="F5148" s="7" t="s">
        <v>134</v>
      </c>
      <c r="G5148" s="7">
        <v>102.021</v>
      </c>
      <c r="H5148" s="7"/>
    </row>
    <row r="5149" spans="1:8" x14ac:dyDescent="0.35">
      <c r="A5149" s="7" t="s">
        <v>363</v>
      </c>
      <c r="B5149" s="7" t="s">
        <v>26</v>
      </c>
      <c r="C5149" s="7" t="s">
        <v>27</v>
      </c>
      <c r="D5149" s="7" t="s">
        <v>28</v>
      </c>
      <c r="E5149" s="7" t="s">
        <v>29</v>
      </c>
      <c r="F5149" s="7" t="s">
        <v>135</v>
      </c>
      <c r="G5149" s="7">
        <v>101.8253</v>
      </c>
      <c r="H5149" s="7"/>
    </row>
    <row r="5150" spans="1:8" x14ac:dyDescent="0.35">
      <c r="A5150" s="7" t="s">
        <v>363</v>
      </c>
      <c r="B5150" s="7" t="s">
        <v>26</v>
      </c>
      <c r="C5150" s="7" t="s">
        <v>27</v>
      </c>
      <c r="D5150" s="7" t="s">
        <v>28</v>
      </c>
      <c r="E5150" s="7" t="s">
        <v>29</v>
      </c>
      <c r="F5150" s="7" t="s">
        <v>136</v>
      </c>
      <c r="G5150" s="7">
        <v>101.58320000000001</v>
      </c>
      <c r="H5150" s="7"/>
    </row>
    <row r="5151" spans="1:8" x14ac:dyDescent="0.35">
      <c r="A5151" s="7" t="s">
        <v>363</v>
      </c>
      <c r="B5151" s="7" t="s">
        <v>26</v>
      </c>
      <c r="C5151" s="7" t="s">
        <v>27</v>
      </c>
      <c r="D5151" s="7" t="s">
        <v>28</v>
      </c>
      <c r="E5151" s="7" t="s">
        <v>29</v>
      </c>
      <c r="F5151" s="7" t="s">
        <v>137</v>
      </c>
      <c r="G5151" s="7">
        <v>101.4093</v>
      </c>
      <c r="H5151" s="7"/>
    </row>
    <row r="5152" spans="1:8" x14ac:dyDescent="0.35">
      <c r="A5152" s="7" t="s">
        <v>363</v>
      </c>
      <c r="B5152" s="7" t="s">
        <v>26</v>
      </c>
      <c r="C5152" s="7" t="s">
        <v>27</v>
      </c>
      <c r="D5152" s="7" t="s">
        <v>28</v>
      </c>
      <c r="E5152" s="7" t="s">
        <v>29</v>
      </c>
      <c r="F5152" s="7" t="s">
        <v>138</v>
      </c>
      <c r="G5152" s="7">
        <v>101.322</v>
      </c>
      <c r="H5152" s="7"/>
    </row>
    <row r="5153" spans="1:8" x14ac:dyDescent="0.35">
      <c r="A5153" s="7" t="s">
        <v>363</v>
      </c>
      <c r="B5153" s="7" t="s">
        <v>26</v>
      </c>
      <c r="C5153" s="7" t="s">
        <v>27</v>
      </c>
      <c r="D5153" s="7" t="s">
        <v>28</v>
      </c>
      <c r="E5153" s="7" t="s">
        <v>29</v>
      </c>
      <c r="F5153" s="7" t="s">
        <v>139</v>
      </c>
      <c r="G5153" s="7">
        <v>101.2586</v>
      </c>
      <c r="H5153" s="7"/>
    </row>
    <row r="5154" spans="1:8" x14ac:dyDescent="0.35">
      <c r="A5154" s="7" t="s">
        <v>363</v>
      </c>
      <c r="B5154" s="7" t="s">
        <v>26</v>
      </c>
      <c r="C5154" s="7" t="s">
        <v>27</v>
      </c>
      <c r="D5154" s="7" t="s">
        <v>28</v>
      </c>
      <c r="E5154" s="7" t="s">
        <v>29</v>
      </c>
      <c r="F5154" s="7" t="s">
        <v>140</v>
      </c>
      <c r="G5154" s="7">
        <v>101.2603</v>
      </c>
      <c r="H5154" s="7"/>
    </row>
    <row r="5155" spans="1:8" x14ac:dyDescent="0.35">
      <c r="A5155" s="7" t="s">
        <v>363</v>
      </c>
      <c r="B5155" s="7" t="s">
        <v>26</v>
      </c>
      <c r="C5155" s="7" t="s">
        <v>27</v>
      </c>
      <c r="D5155" s="7" t="s">
        <v>28</v>
      </c>
      <c r="E5155" s="7" t="s">
        <v>29</v>
      </c>
      <c r="F5155" s="7" t="s">
        <v>141</v>
      </c>
      <c r="G5155" s="7">
        <v>101.2899</v>
      </c>
      <c r="H5155" s="7"/>
    </row>
    <row r="5156" spans="1:8" x14ac:dyDescent="0.35">
      <c r="A5156" s="7" t="s">
        <v>363</v>
      </c>
      <c r="B5156" s="7" t="s">
        <v>26</v>
      </c>
      <c r="C5156" s="7" t="s">
        <v>27</v>
      </c>
      <c r="D5156" s="7" t="s">
        <v>28</v>
      </c>
      <c r="E5156" s="7" t="s">
        <v>29</v>
      </c>
      <c r="F5156" s="7" t="s">
        <v>142</v>
      </c>
      <c r="G5156" s="7">
        <v>101.3044</v>
      </c>
      <c r="H5156" s="7"/>
    </row>
    <row r="5157" spans="1:8" x14ac:dyDescent="0.35">
      <c r="A5157" s="7" t="s">
        <v>363</v>
      </c>
      <c r="B5157" s="7" t="s">
        <v>26</v>
      </c>
      <c r="C5157" s="7" t="s">
        <v>27</v>
      </c>
      <c r="D5157" s="7" t="s">
        <v>28</v>
      </c>
      <c r="E5157" s="7" t="s">
        <v>29</v>
      </c>
      <c r="F5157" s="7" t="s">
        <v>143</v>
      </c>
      <c r="G5157" s="7">
        <v>101.27370000000001</v>
      </c>
      <c r="H5157" s="7"/>
    </row>
    <row r="5158" spans="1:8" x14ac:dyDescent="0.35">
      <c r="A5158" s="7" t="s">
        <v>363</v>
      </c>
      <c r="B5158" s="7" t="s">
        <v>26</v>
      </c>
      <c r="C5158" s="7" t="s">
        <v>27</v>
      </c>
      <c r="D5158" s="7" t="s">
        <v>28</v>
      </c>
      <c r="E5158" s="7" t="s">
        <v>29</v>
      </c>
      <c r="F5158" s="7" t="s">
        <v>144</v>
      </c>
      <c r="G5158" s="7">
        <v>101.25279999999999</v>
      </c>
      <c r="H5158" s="7"/>
    </row>
    <row r="5159" spans="1:8" x14ac:dyDescent="0.35">
      <c r="A5159" s="7" t="s">
        <v>363</v>
      </c>
      <c r="B5159" s="7" t="s">
        <v>26</v>
      </c>
      <c r="C5159" s="7" t="s">
        <v>27</v>
      </c>
      <c r="D5159" s="7" t="s">
        <v>28</v>
      </c>
      <c r="E5159" s="7" t="s">
        <v>29</v>
      </c>
      <c r="F5159" s="7" t="s">
        <v>145</v>
      </c>
      <c r="G5159" s="7">
        <v>101.191</v>
      </c>
      <c r="H5159" s="7"/>
    </row>
    <row r="5160" spans="1:8" x14ac:dyDescent="0.35">
      <c r="A5160" s="7" t="s">
        <v>363</v>
      </c>
      <c r="B5160" s="7" t="s">
        <v>26</v>
      </c>
      <c r="C5160" s="7" t="s">
        <v>27</v>
      </c>
      <c r="D5160" s="7" t="s">
        <v>28</v>
      </c>
      <c r="E5160" s="7" t="s">
        <v>29</v>
      </c>
      <c r="F5160" s="7" t="s">
        <v>146</v>
      </c>
      <c r="G5160" s="7">
        <v>101.1373</v>
      </c>
      <c r="H5160" s="7"/>
    </row>
    <row r="5161" spans="1:8" x14ac:dyDescent="0.35">
      <c r="A5161" s="7" t="s">
        <v>363</v>
      </c>
      <c r="B5161" s="7" t="s">
        <v>26</v>
      </c>
      <c r="C5161" s="7" t="s">
        <v>27</v>
      </c>
      <c r="D5161" s="7" t="s">
        <v>28</v>
      </c>
      <c r="E5161" s="7" t="s">
        <v>29</v>
      </c>
      <c r="F5161" s="7" t="s">
        <v>147</v>
      </c>
      <c r="G5161" s="7">
        <v>101.10550000000001</v>
      </c>
      <c r="H5161" s="7"/>
    </row>
    <row r="5162" spans="1:8" x14ac:dyDescent="0.35">
      <c r="A5162" s="7" t="s">
        <v>363</v>
      </c>
      <c r="B5162" s="7" t="s">
        <v>26</v>
      </c>
      <c r="C5162" s="7" t="s">
        <v>27</v>
      </c>
      <c r="D5162" s="7" t="s">
        <v>28</v>
      </c>
      <c r="E5162" s="7" t="s">
        <v>29</v>
      </c>
      <c r="F5162" s="7" t="s">
        <v>148</v>
      </c>
      <c r="G5162" s="7">
        <v>101.00530000000001</v>
      </c>
      <c r="H5162" s="7"/>
    </row>
    <row r="5163" spans="1:8" x14ac:dyDescent="0.35">
      <c r="A5163" s="7" t="s">
        <v>363</v>
      </c>
      <c r="B5163" s="7" t="s">
        <v>26</v>
      </c>
      <c r="C5163" s="7" t="s">
        <v>27</v>
      </c>
      <c r="D5163" s="7" t="s">
        <v>28</v>
      </c>
      <c r="E5163" s="7" t="s">
        <v>29</v>
      </c>
      <c r="F5163" s="7" t="s">
        <v>149</v>
      </c>
      <c r="G5163" s="7">
        <v>100.80889999999999</v>
      </c>
      <c r="H5163" s="7"/>
    </row>
    <row r="5164" spans="1:8" x14ac:dyDescent="0.35">
      <c r="A5164" s="7" t="s">
        <v>363</v>
      </c>
      <c r="B5164" s="7" t="s">
        <v>26</v>
      </c>
      <c r="C5164" s="7" t="s">
        <v>27</v>
      </c>
      <c r="D5164" s="7" t="s">
        <v>28</v>
      </c>
      <c r="E5164" s="7" t="s">
        <v>29</v>
      </c>
      <c r="F5164" s="7" t="s">
        <v>150</v>
      </c>
      <c r="G5164" s="7">
        <v>100.6148</v>
      </c>
      <c r="H5164" s="7"/>
    </row>
    <row r="5165" spans="1:8" x14ac:dyDescent="0.35">
      <c r="A5165" s="7" t="s">
        <v>363</v>
      </c>
      <c r="B5165" s="7" t="s">
        <v>26</v>
      </c>
      <c r="C5165" s="7" t="s">
        <v>27</v>
      </c>
      <c r="D5165" s="7" t="s">
        <v>28</v>
      </c>
      <c r="E5165" s="7" t="s">
        <v>29</v>
      </c>
      <c r="F5165" s="7" t="s">
        <v>151</v>
      </c>
      <c r="G5165" s="7">
        <v>100.4755</v>
      </c>
      <c r="H5165" s="7"/>
    </row>
    <row r="5166" spans="1:8" x14ac:dyDescent="0.35">
      <c r="A5166" s="7" t="s">
        <v>363</v>
      </c>
      <c r="B5166" s="7" t="s">
        <v>26</v>
      </c>
      <c r="C5166" s="7" t="s">
        <v>27</v>
      </c>
      <c r="D5166" s="7" t="s">
        <v>28</v>
      </c>
      <c r="E5166" s="7" t="s">
        <v>29</v>
      </c>
      <c r="F5166" s="7" t="s">
        <v>152</v>
      </c>
      <c r="G5166" s="7">
        <v>100.3584</v>
      </c>
      <c r="H5166" s="7"/>
    </row>
    <row r="5167" spans="1:8" x14ac:dyDescent="0.35">
      <c r="A5167" s="7" t="s">
        <v>363</v>
      </c>
      <c r="B5167" s="7" t="s">
        <v>26</v>
      </c>
      <c r="C5167" s="7" t="s">
        <v>27</v>
      </c>
      <c r="D5167" s="7" t="s">
        <v>28</v>
      </c>
      <c r="E5167" s="7" t="s">
        <v>29</v>
      </c>
      <c r="F5167" s="7" t="s">
        <v>153</v>
      </c>
      <c r="G5167" s="7">
        <v>100.28530000000001</v>
      </c>
      <c r="H5167" s="7"/>
    </row>
    <row r="5168" spans="1:8" x14ac:dyDescent="0.35">
      <c r="A5168" s="7" t="s">
        <v>363</v>
      </c>
      <c r="B5168" s="7" t="s">
        <v>26</v>
      </c>
      <c r="C5168" s="7" t="s">
        <v>27</v>
      </c>
      <c r="D5168" s="7" t="s">
        <v>28</v>
      </c>
      <c r="E5168" s="7" t="s">
        <v>29</v>
      </c>
      <c r="F5168" s="7" t="s">
        <v>154</v>
      </c>
      <c r="G5168" s="7">
        <v>100.265</v>
      </c>
      <c r="H5168" s="7"/>
    </row>
    <row r="5169" spans="1:8" x14ac:dyDescent="0.35">
      <c r="A5169" s="7" t="s">
        <v>363</v>
      </c>
      <c r="B5169" s="7" t="s">
        <v>26</v>
      </c>
      <c r="C5169" s="7" t="s">
        <v>27</v>
      </c>
      <c r="D5169" s="7" t="s">
        <v>28</v>
      </c>
      <c r="E5169" s="7" t="s">
        <v>29</v>
      </c>
      <c r="F5169" s="7" t="s">
        <v>155</v>
      </c>
      <c r="G5169" s="7">
        <v>100.3302</v>
      </c>
      <c r="H5169" s="7"/>
    </row>
    <row r="5170" spans="1:8" x14ac:dyDescent="0.35">
      <c r="A5170" s="7" t="s">
        <v>363</v>
      </c>
      <c r="B5170" s="7" t="s">
        <v>26</v>
      </c>
      <c r="C5170" s="7" t="s">
        <v>27</v>
      </c>
      <c r="D5170" s="7" t="s">
        <v>28</v>
      </c>
      <c r="E5170" s="7" t="s">
        <v>29</v>
      </c>
      <c r="F5170" s="7" t="s">
        <v>156</v>
      </c>
      <c r="G5170" s="7">
        <v>100.373</v>
      </c>
      <c r="H5170" s="7"/>
    </row>
    <row r="5171" spans="1:8" x14ac:dyDescent="0.35">
      <c r="A5171" s="7" t="s">
        <v>363</v>
      </c>
      <c r="B5171" s="7" t="s">
        <v>26</v>
      </c>
      <c r="C5171" s="7" t="s">
        <v>27</v>
      </c>
      <c r="D5171" s="7" t="s">
        <v>28</v>
      </c>
      <c r="E5171" s="7" t="s">
        <v>29</v>
      </c>
      <c r="F5171" s="7" t="s">
        <v>157</v>
      </c>
      <c r="G5171" s="7">
        <v>100.3378</v>
      </c>
      <c r="H5171" s="7"/>
    </row>
    <row r="5172" spans="1:8" x14ac:dyDescent="0.35">
      <c r="A5172" s="7" t="s">
        <v>363</v>
      </c>
      <c r="B5172" s="7" t="s">
        <v>26</v>
      </c>
      <c r="C5172" s="7" t="s">
        <v>27</v>
      </c>
      <c r="D5172" s="7" t="s">
        <v>28</v>
      </c>
      <c r="E5172" s="7" t="s">
        <v>29</v>
      </c>
      <c r="F5172" s="7" t="s">
        <v>158</v>
      </c>
      <c r="G5172" s="7">
        <v>100.2645</v>
      </c>
      <c r="H5172" s="7"/>
    </row>
    <row r="5173" spans="1:8" x14ac:dyDescent="0.35">
      <c r="A5173" s="7" t="s">
        <v>363</v>
      </c>
      <c r="B5173" s="7" t="s">
        <v>26</v>
      </c>
      <c r="C5173" s="7" t="s">
        <v>27</v>
      </c>
      <c r="D5173" s="7" t="s">
        <v>28</v>
      </c>
      <c r="E5173" s="7" t="s">
        <v>29</v>
      </c>
      <c r="F5173" s="7" t="s">
        <v>159</v>
      </c>
      <c r="G5173" s="7">
        <v>100.1763</v>
      </c>
      <c r="H5173" s="7"/>
    </row>
    <row r="5174" spans="1:8" x14ac:dyDescent="0.35">
      <c r="A5174" s="7" t="s">
        <v>363</v>
      </c>
      <c r="B5174" s="7" t="s">
        <v>26</v>
      </c>
      <c r="C5174" s="7" t="s">
        <v>27</v>
      </c>
      <c r="D5174" s="7" t="s">
        <v>28</v>
      </c>
      <c r="E5174" s="7" t="s">
        <v>29</v>
      </c>
      <c r="F5174" s="7" t="s">
        <v>160</v>
      </c>
      <c r="G5174" s="7">
        <v>100.1163</v>
      </c>
      <c r="H5174" s="7"/>
    </row>
    <row r="5175" spans="1:8" x14ac:dyDescent="0.35">
      <c r="A5175" s="7" t="s">
        <v>363</v>
      </c>
      <c r="B5175" s="7" t="s">
        <v>26</v>
      </c>
      <c r="C5175" s="7" t="s">
        <v>27</v>
      </c>
      <c r="D5175" s="7" t="s">
        <v>28</v>
      </c>
      <c r="E5175" s="7" t="s">
        <v>29</v>
      </c>
      <c r="F5175" s="7" t="s">
        <v>161</v>
      </c>
      <c r="G5175" s="7">
        <v>99.989949999999993</v>
      </c>
      <c r="H5175" s="7"/>
    </row>
    <row r="5176" spans="1:8" x14ac:dyDescent="0.35">
      <c r="A5176" s="7" t="s">
        <v>363</v>
      </c>
      <c r="B5176" s="7" t="s">
        <v>26</v>
      </c>
      <c r="C5176" s="7" t="s">
        <v>27</v>
      </c>
      <c r="D5176" s="7" t="s">
        <v>28</v>
      </c>
      <c r="E5176" s="7" t="s">
        <v>29</v>
      </c>
      <c r="F5176" s="7" t="s">
        <v>162</v>
      </c>
      <c r="G5176" s="7">
        <v>99.821510000000004</v>
      </c>
      <c r="H5176" s="7"/>
    </row>
    <row r="5177" spans="1:8" x14ac:dyDescent="0.35">
      <c r="A5177" s="7" t="s">
        <v>363</v>
      </c>
      <c r="B5177" s="7" t="s">
        <v>26</v>
      </c>
      <c r="C5177" s="7" t="s">
        <v>27</v>
      </c>
      <c r="D5177" s="7" t="s">
        <v>28</v>
      </c>
      <c r="E5177" s="7" t="s">
        <v>29</v>
      </c>
      <c r="F5177" s="7" t="s">
        <v>163</v>
      </c>
      <c r="G5177" s="7">
        <v>99.610399999999998</v>
      </c>
      <c r="H5177" s="7"/>
    </row>
    <row r="5178" spans="1:8" x14ac:dyDescent="0.35">
      <c r="A5178" s="7" t="s">
        <v>363</v>
      </c>
      <c r="B5178" s="7" t="s">
        <v>26</v>
      </c>
      <c r="C5178" s="7" t="s">
        <v>27</v>
      </c>
      <c r="D5178" s="7" t="s">
        <v>28</v>
      </c>
      <c r="E5178" s="7" t="s">
        <v>29</v>
      </c>
      <c r="F5178" s="7" t="s">
        <v>164</v>
      </c>
      <c r="G5178" s="7">
        <v>99.487340000000003</v>
      </c>
      <c r="H5178" s="7"/>
    </row>
    <row r="5179" spans="1:8" x14ac:dyDescent="0.35">
      <c r="A5179" s="7" t="s">
        <v>363</v>
      </c>
      <c r="B5179" s="7" t="s">
        <v>26</v>
      </c>
      <c r="C5179" s="7" t="s">
        <v>27</v>
      </c>
      <c r="D5179" s="7" t="s">
        <v>28</v>
      </c>
      <c r="E5179" s="7" t="s">
        <v>29</v>
      </c>
      <c r="F5179" s="7" t="s">
        <v>165</v>
      </c>
      <c r="G5179" s="7">
        <v>99.422039999999996</v>
      </c>
      <c r="H5179" s="7"/>
    </row>
    <row r="5180" spans="1:8" x14ac:dyDescent="0.35">
      <c r="A5180" s="7" t="s">
        <v>363</v>
      </c>
      <c r="B5180" s="7" t="s">
        <v>26</v>
      </c>
      <c r="C5180" s="7" t="s">
        <v>27</v>
      </c>
      <c r="D5180" s="7" t="s">
        <v>28</v>
      </c>
      <c r="E5180" s="7" t="s">
        <v>29</v>
      </c>
      <c r="F5180" s="7" t="s">
        <v>166</v>
      </c>
      <c r="G5180" s="7">
        <v>99.518219999999999</v>
      </c>
      <c r="H5180" s="7"/>
    </row>
    <row r="5181" spans="1:8" x14ac:dyDescent="0.35">
      <c r="A5181" s="7" t="s">
        <v>363</v>
      </c>
      <c r="B5181" s="7" t="s">
        <v>26</v>
      </c>
      <c r="C5181" s="7" t="s">
        <v>27</v>
      </c>
      <c r="D5181" s="7" t="s">
        <v>28</v>
      </c>
      <c r="E5181" s="7" t="s">
        <v>29</v>
      </c>
      <c r="F5181" s="7" t="s">
        <v>167</v>
      </c>
      <c r="G5181" s="7">
        <v>99.759680000000003</v>
      </c>
      <c r="H5181" s="7"/>
    </row>
    <row r="5182" spans="1:8" x14ac:dyDescent="0.35">
      <c r="A5182" s="7" t="s">
        <v>363</v>
      </c>
      <c r="B5182" s="7" t="s">
        <v>26</v>
      </c>
      <c r="C5182" s="7" t="s">
        <v>27</v>
      </c>
      <c r="D5182" s="7" t="s">
        <v>28</v>
      </c>
      <c r="E5182" s="7" t="s">
        <v>29</v>
      </c>
      <c r="F5182" s="7" t="s">
        <v>168</v>
      </c>
      <c r="G5182" s="7">
        <v>100.0369</v>
      </c>
      <c r="H5182" s="7"/>
    </row>
    <row r="5183" spans="1:8" x14ac:dyDescent="0.35">
      <c r="A5183" s="7" t="s">
        <v>363</v>
      </c>
      <c r="B5183" s="7" t="s">
        <v>26</v>
      </c>
      <c r="C5183" s="7" t="s">
        <v>27</v>
      </c>
      <c r="D5183" s="7" t="s">
        <v>28</v>
      </c>
      <c r="E5183" s="7" t="s">
        <v>29</v>
      </c>
      <c r="F5183" s="7" t="s">
        <v>169</v>
      </c>
      <c r="G5183" s="7">
        <v>100.21250000000001</v>
      </c>
      <c r="H5183" s="7"/>
    </row>
    <row r="5184" spans="1:8" x14ac:dyDescent="0.35">
      <c r="A5184" s="7" t="s">
        <v>363</v>
      </c>
      <c r="B5184" s="7" t="s">
        <v>26</v>
      </c>
      <c r="C5184" s="7" t="s">
        <v>27</v>
      </c>
      <c r="D5184" s="7" t="s">
        <v>28</v>
      </c>
      <c r="E5184" s="7" t="s">
        <v>29</v>
      </c>
      <c r="F5184" s="7" t="s">
        <v>170</v>
      </c>
      <c r="G5184" s="7">
        <v>100.2123</v>
      </c>
      <c r="H5184" s="7"/>
    </row>
    <row r="5185" spans="1:8" x14ac:dyDescent="0.35">
      <c r="A5185" s="7" t="s">
        <v>363</v>
      </c>
      <c r="B5185" s="7" t="s">
        <v>26</v>
      </c>
      <c r="C5185" s="7" t="s">
        <v>27</v>
      </c>
      <c r="D5185" s="7" t="s">
        <v>28</v>
      </c>
      <c r="E5185" s="7" t="s">
        <v>29</v>
      </c>
      <c r="F5185" s="7" t="s">
        <v>171</v>
      </c>
      <c r="G5185" s="7">
        <v>100.19329999999999</v>
      </c>
      <c r="H5185" s="7"/>
    </row>
    <row r="5186" spans="1:8" x14ac:dyDescent="0.35">
      <c r="A5186" s="7" t="s">
        <v>363</v>
      </c>
      <c r="B5186" s="7" t="s">
        <v>26</v>
      </c>
      <c r="C5186" s="7" t="s">
        <v>27</v>
      </c>
      <c r="D5186" s="7" t="s">
        <v>28</v>
      </c>
      <c r="E5186" s="7" t="s">
        <v>29</v>
      </c>
      <c r="F5186" s="7" t="s">
        <v>172</v>
      </c>
      <c r="G5186" s="7">
        <v>100.13930000000001</v>
      </c>
      <c r="H5186" s="7"/>
    </row>
    <row r="5187" spans="1:8" x14ac:dyDescent="0.35">
      <c r="A5187" s="7" t="s">
        <v>363</v>
      </c>
      <c r="B5187" s="7" t="s">
        <v>26</v>
      </c>
      <c r="C5187" s="7" t="s">
        <v>27</v>
      </c>
      <c r="D5187" s="7" t="s">
        <v>28</v>
      </c>
      <c r="E5187" s="7" t="s">
        <v>29</v>
      </c>
      <c r="F5187" s="7" t="s">
        <v>173</v>
      </c>
      <c r="G5187" s="7">
        <v>100.03879999999999</v>
      </c>
      <c r="H5187" s="7"/>
    </row>
    <row r="5188" spans="1:8" x14ac:dyDescent="0.35">
      <c r="A5188" s="7" t="s">
        <v>363</v>
      </c>
      <c r="B5188" s="7" t="s">
        <v>26</v>
      </c>
      <c r="C5188" s="7" t="s">
        <v>27</v>
      </c>
      <c r="D5188" s="7" t="s">
        <v>28</v>
      </c>
      <c r="E5188" s="7" t="s">
        <v>29</v>
      </c>
      <c r="F5188" s="7" t="s">
        <v>174</v>
      </c>
      <c r="G5188" s="7">
        <v>99.988600000000005</v>
      </c>
      <c r="H5188" s="7"/>
    </row>
    <row r="5189" spans="1:8" x14ac:dyDescent="0.35">
      <c r="A5189" s="7" t="s">
        <v>363</v>
      </c>
      <c r="B5189" s="7" t="s">
        <v>26</v>
      </c>
      <c r="C5189" s="7" t="s">
        <v>27</v>
      </c>
      <c r="D5189" s="7" t="s">
        <v>28</v>
      </c>
      <c r="E5189" s="7" t="s">
        <v>29</v>
      </c>
      <c r="F5189" s="7" t="s">
        <v>175</v>
      </c>
      <c r="G5189" s="7">
        <v>99.987020000000001</v>
      </c>
      <c r="H5189" s="7"/>
    </row>
    <row r="5190" spans="1:8" x14ac:dyDescent="0.35">
      <c r="A5190" s="7" t="s">
        <v>363</v>
      </c>
      <c r="B5190" s="7" t="s">
        <v>26</v>
      </c>
      <c r="C5190" s="7" t="s">
        <v>27</v>
      </c>
      <c r="D5190" s="7" t="s">
        <v>28</v>
      </c>
      <c r="E5190" s="7" t="s">
        <v>29</v>
      </c>
      <c r="F5190" s="7" t="s">
        <v>176</v>
      </c>
      <c r="G5190" s="7">
        <v>100.0089</v>
      </c>
      <c r="H5190" s="7"/>
    </row>
    <row r="5191" spans="1:8" x14ac:dyDescent="0.35">
      <c r="A5191" s="7" t="s">
        <v>363</v>
      </c>
      <c r="B5191" s="7" t="s">
        <v>26</v>
      </c>
      <c r="C5191" s="7" t="s">
        <v>27</v>
      </c>
      <c r="D5191" s="7" t="s">
        <v>28</v>
      </c>
      <c r="E5191" s="7" t="s">
        <v>29</v>
      </c>
      <c r="F5191" s="7" t="s">
        <v>177</v>
      </c>
      <c r="G5191" s="7">
        <v>100.0932</v>
      </c>
      <c r="H5191" s="7"/>
    </row>
    <row r="5192" spans="1:8" x14ac:dyDescent="0.35">
      <c r="A5192" s="7" t="s">
        <v>363</v>
      </c>
      <c r="B5192" s="7" t="s">
        <v>26</v>
      </c>
      <c r="C5192" s="7" t="s">
        <v>27</v>
      </c>
      <c r="D5192" s="7" t="s">
        <v>28</v>
      </c>
      <c r="E5192" s="7" t="s">
        <v>29</v>
      </c>
      <c r="F5192" s="7" t="s">
        <v>178</v>
      </c>
      <c r="G5192" s="7">
        <v>100.2717</v>
      </c>
      <c r="H5192" s="7"/>
    </row>
    <row r="5193" spans="1:8" x14ac:dyDescent="0.35">
      <c r="A5193" s="7" t="s">
        <v>363</v>
      </c>
      <c r="B5193" s="7" t="s">
        <v>26</v>
      </c>
      <c r="C5193" s="7" t="s">
        <v>27</v>
      </c>
      <c r="D5193" s="7" t="s">
        <v>28</v>
      </c>
      <c r="E5193" s="7" t="s">
        <v>29</v>
      </c>
      <c r="F5193" s="7" t="s">
        <v>179</v>
      </c>
      <c r="G5193" s="7">
        <v>100.4601</v>
      </c>
      <c r="H5193" s="7"/>
    </row>
    <row r="5194" spans="1:8" x14ac:dyDescent="0.35">
      <c r="A5194" s="7" t="s">
        <v>363</v>
      </c>
      <c r="B5194" s="7" t="s">
        <v>26</v>
      </c>
      <c r="C5194" s="7" t="s">
        <v>27</v>
      </c>
      <c r="D5194" s="7" t="s">
        <v>28</v>
      </c>
      <c r="E5194" s="7" t="s">
        <v>29</v>
      </c>
      <c r="F5194" s="7" t="s">
        <v>180</v>
      </c>
      <c r="G5194" s="7">
        <v>100.5012</v>
      </c>
      <c r="H5194" s="7"/>
    </row>
    <row r="5195" spans="1:8" x14ac:dyDescent="0.35">
      <c r="A5195" s="7" t="s">
        <v>363</v>
      </c>
      <c r="B5195" s="7" t="s">
        <v>26</v>
      </c>
      <c r="C5195" s="7" t="s">
        <v>27</v>
      </c>
      <c r="D5195" s="7" t="s">
        <v>28</v>
      </c>
      <c r="E5195" s="7" t="s">
        <v>29</v>
      </c>
      <c r="F5195" s="7" t="s">
        <v>181</v>
      </c>
      <c r="G5195" s="7">
        <v>100.4298</v>
      </c>
      <c r="H5195" s="7"/>
    </row>
    <row r="5196" spans="1:8" x14ac:dyDescent="0.35">
      <c r="A5196" s="7" t="s">
        <v>363</v>
      </c>
      <c r="B5196" s="7" t="s">
        <v>26</v>
      </c>
      <c r="C5196" s="7" t="s">
        <v>27</v>
      </c>
      <c r="D5196" s="7" t="s">
        <v>28</v>
      </c>
      <c r="E5196" s="7" t="s">
        <v>29</v>
      </c>
      <c r="F5196" s="7" t="s">
        <v>182</v>
      </c>
      <c r="G5196" s="7">
        <v>100.3219</v>
      </c>
      <c r="H5196" s="7"/>
    </row>
    <row r="5197" spans="1:8" x14ac:dyDescent="0.35">
      <c r="A5197" s="7" t="s">
        <v>363</v>
      </c>
      <c r="B5197" s="7" t="s">
        <v>26</v>
      </c>
      <c r="C5197" s="7" t="s">
        <v>27</v>
      </c>
      <c r="D5197" s="7" t="s">
        <v>28</v>
      </c>
      <c r="E5197" s="7" t="s">
        <v>29</v>
      </c>
      <c r="F5197" s="7" t="s">
        <v>183</v>
      </c>
      <c r="G5197" s="7">
        <v>100.1936</v>
      </c>
      <c r="H5197" s="7"/>
    </row>
    <row r="5198" spans="1:8" x14ac:dyDescent="0.35">
      <c r="A5198" s="7" t="s">
        <v>363</v>
      </c>
      <c r="B5198" s="7" t="s">
        <v>26</v>
      </c>
      <c r="C5198" s="7" t="s">
        <v>27</v>
      </c>
      <c r="D5198" s="7" t="s">
        <v>28</v>
      </c>
      <c r="E5198" s="7" t="s">
        <v>29</v>
      </c>
      <c r="F5198" s="7" t="s">
        <v>184</v>
      </c>
      <c r="G5198" s="7">
        <v>100.07259999999999</v>
      </c>
      <c r="H5198" s="7"/>
    </row>
    <row r="5199" spans="1:8" x14ac:dyDescent="0.35">
      <c r="A5199" s="7" t="s">
        <v>363</v>
      </c>
      <c r="B5199" s="7" t="s">
        <v>26</v>
      </c>
      <c r="C5199" s="7" t="s">
        <v>27</v>
      </c>
      <c r="D5199" s="7" t="s">
        <v>28</v>
      </c>
      <c r="E5199" s="7" t="s">
        <v>29</v>
      </c>
      <c r="F5199" s="7" t="s">
        <v>185</v>
      </c>
      <c r="G5199" s="7">
        <v>100.0774</v>
      </c>
      <c r="H5199" s="7"/>
    </row>
    <row r="5200" spans="1:8" x14ac:dyDescent="0.35">
      <c r="A5200" s="7" t="s">
        <v>363</v>
      </c>
      <c r="B5200" s="7" t="s">
        <v>26</v>
      </c>
      <c r="C5200" s="7" t="s">
        <v>27</v>
      </c>
      <c r="D5200" s="7" t="s">
        <v>28</v>
      </c>
      <c r="E5200" s="7" t="s">
        <v>29</v>
      </c>
      <c r="F5200" s="7" t="s">
        <v>186</v>
      </c>
      <c r="G5200" s="7">
        <v>100.1696</v>
      </c>
      <c r="H5200" s="7"/>
    </row>
    <row r="5201" spans="1:8" x14ac:dyDescent="0.35">
      <c r="A5201" s="7" t="s">
        <v>363</v>
      </c>
      <c r="B5201" s="7" t="s">
        <v>26</v>
      </c>
      <c r="C5201" s="7" t="s">
        <v>27</v>
      </c>
      <c r="D5201" s="7" t="s">
        <v>28</v>
      </c>
      <c r="E5201" s="7" t="s">
        <v>29</v>
      </c>
      <c r="F5201" s="7" t="s">
        <v>187</v>
      </c>
      <c r="G5201" s="7">
        <v>100.2724</v>
      </c>
      <c r="H5201" s="7"/>
    </row>
    <row r="5202" spans="1:8" x14ac:dyDescent="0.35">
      <c r="A5202" s="7" t="s">
        <v>363</v>
      </c>
      <c r="B5202" s="7" t="s">
        <v>26</v>
      </c>
      <c r="C5202" s="7" t="s">
        <v>27</v>
      </c>
      <c r="D5202" s="7" t="s">
        <v>28</v>
      </c>
      <c r="E5202" s="7" t="s">
        <v>29</v>
      </c>
      <c r="F5202" s="7" t="s">
        <v>188</v>
      </c>
      <c r="G5202" s="7">
        <v>100.3252</v>
      </c>
      <c r="H5202" s="7"/>
    </row>
    <row r="5203" spans="1:8" x14ac:dyDescent="0.35">
      <c r="A5203" s="7" t="s">
        <v>363</v>
      </c>
      <c r="B5203" s="7" t="s">
        <v>26</v>
      </c>
      <c r="C5203" s="7" t="s">
        <v>27</v>
      </c>
      <c r="D5203" s="7" t="s">
        <v>28</v>
      </c>
      <c r="E5203" s="7" t="s">
        <v>29</v>
      </c>
      <c r="F5203" s="7" t="s">
        <v>189</v>
      </c>
      <c r="G5203" s="7">
        <v>100.3163</v>
      </c>
      <c r="H5203" s="7"/>
    </row>
    <row r="5204" spans="1:8" x14ac:dyDescent="0.35">
      <c r="A5204" s="7" t="s">
        <v>363</v>
      </c>
      <c r="B5204" s="7" t="s">
        <v>26</v>
      </c>
      <c r="C5204" s="7" t="s">
        <v>27</v>
      </c>
      <c r="D5204" s="7" t="s">
        <v>28</v>
      </c>
      <c r="E5204" s="7" t="s">
        <v>29</v>
      </c>
      <c r="F5204" s="7" t="s">
        <v>190</v>
      </c>
      <c r="G5204" s="7">
        <v>100.32810000000001</v>
      </c>
      <c r="H5204" s="7"/>
    </row>
    <row r="5205" spans="1:8" x14ac:dyDescent="0.35">
      <c r="A5205" s="7" t="s">
        <v>363</v>
      </c>
      <c r="B5205" s="7" t="s">
        <v>26</v>
      </c>
      <c r="C5205" s="7" t="s">
        <v>27</v>
      </c>
      <c r="D5205" s="7" t="s">
        <v>28</v>
      </c>
      <c r="E5205" s="7" t="s">
        <v>29</v>
      </c>
      <c r="F5205" s="7" t="s">
        <v>191</v>
      </c>
      <c r="G5205" s="7">
        <v>100.337</v>
      </c>
      <c r="H5205" s="7"/>
    </row>
    <row r="5206" spans="1:8" x14ac:dyDescent="0.35">
      <c r="A5206" s="7" t="s">
        <v>363</v>
      </c>
      <c r="B5206" s="7" t="s">
        <v>26</v>
      </c>
      <c r="C5206" s="7" t="s">
        <v>27</v>
      </c>
      <c r="D5206" s="7" t="s">
        <v>28</v>
      </c>
      <c r="E5206" s="7" t="s">
        <v>29</v>
      </c>
      <c r="F5206" s="7" t="s">
        <v>192</v>
      </c>
      <c r="G5206" s="7">
        <v>100.3372</v>
      </c>
      <c r="H5206" s="7"/>
    </row>
    <row r="5207" spans="1:8" x14ac:dyDescent="0.35">
      <c r="A5207" s="7" t="s">
        <v>363</v>
      </c>
      <c r="B5207" s="7" t="s">
        <v>26</v>
      </c>
      <c r="C5207" s="7" t="s">
        <v>27</v>
      </c>
      <c r="D5207" s="7" t="s">
        <v>28</v>
      </c>
      <c r="E5207" s="7" t="s">
        <v>29</v>
      </c>
      <c r="F5207" s="7" t="s">
        <v>193</v>
      </c>
      <c r="G5207" s="7">
        <v>100.33150000000001</v>
      </c>
      <c r="H5207" s="7"/>
    </row>
    <row r="5208" spans="1:8" x14ac:dyDescent="0.35">
      <c r="A5208" s="7" t="s">
        <v>363</v>
      </c>
      <c r="B5208" s="7" t="s">
        <v>26</v>
      </c>
      <c r="C5208" s="7" t="s">
        <v>27</v>
      </c>
      <c r="D5208" s="7" t="s">
        <v>28</v>
      </c>
      <c r="E5208" s="7" t="s">
        <v>29</v>
      </c>
      <c r="F5208" s="7" t="s">
        <v>194</v>
      </c>
      <c r="G5208" s="7">
        <v>100.3189</v>
      </c>
      <c r="H5208" s="7"/>
    </row>
    <row r="5209" spans="1:8" x14ac:dyDescent="0.35">
      <c r="A5209" s="7" t="s">
        <v>363</v>
      </c>
      <c r="B5209" s="7" t="s">
        <v>26</v>
      </c>
      <c r="C5209" s="7" t="s">
        <v>27</v>
      </c>
      <c r="D5209" s="7" t="s">
        <v>28</v>
      </c>
      <c r="E5209" s="7" t="s">
        <v>29</v>
      </c>
      <c r="F5209" s="7" t="s">
        <v>195</v>
      </c>
      <c r="G5209" s="7">
        <v>100.2633</v>
      </c>
      <c r="H5209" s="7"/>
    </row>
    <row r="5210" spans="1:8" x14ac:dyDescent="0.35">
      <c r="A5210" s="7" t="s">
        <v>363</v>
      </c>
      <c r="B5210" s="7" t="s">
        <v>26</v>
      </c>
      <c r="C5210" s="7" t="s">
        <v>27</v>
      </c>
      <c r="D5210" s="7" t="s">
        <v>28</v>
      </c>
      <c r="E5210" s="7" t="s">
        <v>29</v>
      </c>
      <c r="F5210" s="7" t="s">
        <v>196</v>
      </c>
      <c r="G5210" s="7">
        <v>100.18</v>
      </c>
      <c r="H5210" s="7"/>
    </row>
    <row r="5211" spans="1:8" x14ac:dyDescent="0.35">
      <c r="A5211" s="7" t="s">
        <v>363</v>
      </c>
      <c r="B5211" s="7" t="s">
        <v>26</v>
      </c>
      <c r="C5211" s="7" t="s">
        <v>27</v>
      </c>
      <c r="D5211" s="7" t="s">
        <v>28</v>
      </c>
      <c r="E5211" s="7" t="s">
        <v>29</v>
      </c>
      <c r="F5211" s="7" t="s">
        <v>197</v>
      </c>
      <c r="G5211" s="7">
        <v>100.0929</v>
      </c>
      <c r="H5211" s="7"/>
    </row>
    <row r="5212" spans="1:8" x14ac:dyDescent="0.35">
      <c r="A5212" s="7" t="s">
        <v>363</v>
      </c>
      <c r="B5212" s="7" t="s">
        <v>26</v>
      </c>
      <c r="C5212" s="7" t="s">
        <v>27</v>
      </c>
      <c r="D5212" s="7" t="s">
        <v>28</v>
      </c>
      <c r="E5212" s="7" t="s">
        <v>29</v>
      </c>
      <c r="F5212" s="7" t="s">
        <v>198</v>
      </c>
      <c r="G5212" s="7">
        <v>100.0197</v>
      </c>
      <c r="H5212" s="7"/>
    </row>
    <row r="5213" spans="1:8" x14ac:dyDescent="0.35">
      <c r="A5213" s="7" t="s">
        <v>363</v>
      </c>
      <c r="B5213" s="7" t="s">
        <v>26</v>
      </c>
      <c r="C5213" s="7" t="s">
        <v>27</v>
      </c>
      <c r="D5213" s="7" t="s">
        <v>28</v>
      </c>
      <c r="E5213" s="7" t="s">
        <v>29</v>
      </c>
      <c r="F5213" s="7" t="s">
        <v>199</v>
      </c>
      <c r="G5213" s="7">
        <v>100.0342</v>
      </c>
      <c r="H5213" s="7"/>
    </row>
    <row r="5214" spans="1:8" x14ac:dyDescent="0.35">
      <c r="A5214" s="7" t="s">
        <v>363</v>
      </c>
      <c r="B5214" s="7" t="s">
        <v>26</v>
      </c>
      <c r="C5214" s="7" t="s">
        <v>27</v>
      </c>
      <c r="D5214" s="7" t="s">
        <v>28</v>
      </c>
      <c r="E5214" s="7" t="s">
        <v>29</v>
      </c>
      <c r="F5214" s="7" t="s">
        <v>200</v>
      </c>
      <c r="G5214" s="7">
        <v>99.996160000000003</v>
      </c>
      <c r="H5214" s="7"/>
    </row>
    <row r="5215" spans="1:8" x14ac:dyDescent="0.35">
      <c r="A5215" s="7" t="s">
        <v>363</v>
      </c>
      <c r="B5215" s="7" t="s">
        <v>26</v>
      </c>
      <c r="C5215" s="7" t="s">
        <v>27</v>
      </c>
      <c r="D5215" s="7" t="s">
        <v>28</v>
      </c>
      <c r="E5215" s="7" t="s">
        <v>29</v>
      </c>
      <c r="F5215" s="7" t="s">
        <v>201</v>
      </c>
      <c r="G5215" s="7">
        <v>99.978459999999998</v>
      </c>
      <c r="H5215" s="7"/>
    </row>
    <row r="5216" spans="1:8" x14ac:dyDescent="0.35">
      <c r="A5216" s="7" t="s">
        <v>363</v>
      </c>
      <c r="B5216" s="7" t="s">
        <v>26</v>
      </c>
      <c r="C5216" s="7" t="s">
        <v>27</v>
      </c>
      <c r="D5216" s="7" t="s">
        <v>28</v>
      </c>
      <c r="E5216" s="7" t="s">
        <v>29</v>
      </c>
      <c r="F5216" s="7" t="s">
        <v>202</v>
      </c>
      <c r="G5216" s="7">
        <v>100.0598</v>
      </c>
      <c r="H5216" s="7"/>
    </row>
    <row r="5217" spans="1:8" x14ac:dyDescent="0.35">
      <c r="A5217" s="7" t="s">
        <v>363</v>
      </c>
      <c r="B5217" s="7" t="s">
        <v>26</v>
      </c>
      <c r="C5217" s="7" t="s">
        <v>27</v>
      </c>
      <c r="D5217" s="7" t="s">
        <v>28</v>
      </c>
      <c r="E5217" s="7" t="s">
        <v>29</v>
      </c>
      <c r="F5217" s="7" t="s">
        <v>203</v>
      </c>
      <c r="G5217" s="7">
        <v>100.158</v>
      </c>
      <c r="H5217" s="7"/>
    </row>
    <row r="5218" spans="1:8" x14ac:dyDescent="0.35">
      <c r="A5218" s="7" t="s">
        <v>363</v>
      </c>
      <c r="B5218" s="7" t="s">
        <v>26</v>
      </c>
      <c r="C5218" s="7" t="s">
        <v>27</v>
      </c>
      <c r="D5218" s="7" t="s">
        <v>28</v>
      </c>
      <c r="E5218" s="7" t="s">
        <v>29</v>
      </c>
      <c r="F5218" s="7" t="s">
        <v>204</v>
      </c>
      <c r="G5218" s="7">
        <v>100.1331</v>
      </c>
      <c r="H5218" s="7"/>
    </row>
    <row r="5219" spans="1:8" x14ac:dyDescent="0.35">
      <c r="A5219" s="7" t="s">
        <v>363</v>
      </c>
      <c r="B5219" s="7" t="s">
        <v>26</v>
      </c>
      <c r="C5219" s="7" t="s">
        <v>27</v>
      </c>
      <c r="D5219" s="7" t="s">
        <v>28</v>
      </c>
      <c r="E5219" s="7" t="s">
        <v>29</v>
      </c>
      <c r="F5219" s="7" t="s">
        <v>205</v>
      </c>
      <c r="G5219" s="7">
        <v>100.09439999999999</v>
      </c>
      <c r="H5219" s="7"/>
    </row>
    <row r="5220" spans="1:8" x14ac:dyDescent="0.35">
      <c r="A5220" s="7" t="s">
        <v>363</v>
      </c>
      <c r="B5220" s="7" t="s">
        <v>26</v>
      </c>
      <c r="C5220" s="7" t="s">
        <v>27</v>
      </c>
      <c r="D5220" s="7" t="s">
        <v>28</v>
      </c>
      <c r="E5220" s="7" t="s">
        <v>29</v>
      </c>
      <c r="F5220" s="7" t="s">
        <v>206</v>
      </c>
      <c r="G5220" s="7">
        <v>100.0566</v>
      </c>
      <c r="H5220" s="7"/>
    </row>
    <row r="5221" spans="1:8" x14ac:dyDescent="0.35">
      <c r="A5221" s="7" t="s">
        <v>363</v>
      </c>
      <c r="B5221" s="7" t="s">
        <v>26</v>
      </c>
      <c r="C5221" s="7" t="s">
        <v>27</v>
      </c>
      <c r="D5221" s="7" t="s">
        <v>28</v>
      </c>
      <c r="E5221" s="7" t="s">
        <v>29</v>
      </c>
      <c r="F5221" s="7" t="s">
        <v>207</v>
      </c>
      <c r="G5221" s="7">
        <v>100.02760000000001</v>
      </c>
      <c r="H5221" s="7"/>
    </row>
    <row r="5222" spans="1:8" x14ac:dyDescent="0.35">
      <c r="A5222" s="7" t="s">
        <v>363</v>
      </c>
      <c r="B5222" s="7" t="s">
        <v>26</v>
      </c>
      <c r="C5222" s="7" t="s">
        <v>27</v>
      </c>
      <c r="D5222" s="7" t="s">
        <v>28</v>
      </c>
      <c r="E5222" s="7" t="s">
        <v>29</v>
      </c>
      <c r="F5222" s="7" t="s">
        <v>208</v>
      </c>
      <c r="G5222" s="7">
        <v>100.0103</v>
      </c>
      <c r="H5222" s="7"/>
    </row>
    <row r="5223" spans="1:8" x14ac:dyDescent="0.35">
      <c r="A5223" s="7" t="s">
        <v>363</v>
      </c>
      <c r="B5223" s="7" t="s">
        <v>26</v>
      </c>
      <c r="C5223" s="7" t="s">
        <v>27</v>
      </c>
      <c r="D5223" s="7" t="s">
        <v>28</v>
      </c>
      <c r="E5223" s="7" t="s">
        <v>29</v>
      </c>
      <c r="F5223" s="7" t="s">
        <v>209</v>
      </c>
      <c r="G5223" s="7">
        <v>100.104</v>
      </c>
      <c r="H5223" s="7"/>
    </row>
    <row r="5224" spans="1:8" x14ac:dyDescent="0.35">
      <c r="A5224" s="7" t="s">
        <v>363</v>
      </c>
      <c r="B5224" s="7" t="s">
        <v>26</v>
      </c>
      <c r="C5224" s="7" t="s">
        <v>27</v>
      </c>
      <c r="D5224" s="7" t="s">
        <v>28</v>
      </c>
      <c r="E5224" s="7" t="s">
        <v>29</v>
      </c>
      <c r="F5224" s="7" t="s">
        <v>210</v>
      </c>
      <c r="G5224" s="7">
        <v>100.17910000000001</v>
      </c>
      <c r="H5224" s="7"/>
    </row>
    <row r="5225" spans="1:8" x14ac:dyDescent="0.35">
      <c r="A5225" s="7" t="s">
        <v>363</v>
      </c>
      <c r="B5225" s="7" t="s">
        <v>26</v>
      </c>
      <c r="C5225" s="7" t="s">
        <v>27</v>
      </c>
      <c r="D5225" s="7" t="s">
        <v>28</v>
      </c>
      <c r="E5225" s="7" t="s">
        <v>29</v>
      </c>
      <c r="F5225" s="7" t="s">
        <v>211</v>
      </c>
      <c r="G5225" s="7">
        <v>100.1755</v>
      </c>
      <c r="H5225" s="7"/>
    </row>
    <row r="5226" spans="1:8" x14ac:dyDescent="0.35">
      <c r="A5226" s="7" t="s">
        <v>363</v>
      </c>
      <c r="B5226" s="7" t="s">
        <v>26</v>
      </c>
      <c r="C5226" s="7" t="s">
        <v>27</v>
      </c>
      <c r="D5226" s="7" t="s">
        <v>28</v>
      </c>
      <c r="E5226" s="7" t="s">
        <v>29</v>
      </c>
      <c r="F5226" s="7" t="s">
        <v>212</v>
      </c>
      <c r="G5226" s="7">
        <v>100.1386</v>
      </c>
      <c r="H5226" s="7"/>
    </row>
    <row r="5227" spans="1:8" x14ac:dyDescent="0.35">
      <c r="A5227" s="7" t="s">
        <v>363</v>
      </c>
      <c r="B5227" s="7" t="s">
        <v>26</v>
      </c>
      <c r="C5227" s="7" t="s">
        <v>27</v>
      </c>
      <c r="D5227" s="7" t="s">
        <v>28</v>
      </c>
      <c r="E5227" s="7" t="s">
        <v>29</v>
      </c>
      <c r="F5227" s="7" t="s">
        <v>213</v>
      </c>
      <c r="G5227" s="7">
        <v>100.16079999999999</v>
      </c>
      <c r="H5227" s="7"/>
    </row>
    <row r="5228" spans="1:8" x14ac:dyDescent="0.35">
      <c r="A5228" s="7" t="s">
        <v>363</v>
      </c>
      <c r="B5228" s="7" t="s">
        <v>26</v>
      </c>
      <c r="C5228" s="7" t="s">
        <v>27</v>
      </c>
      <c r="D5228" s="7" t="s">
        <v>28</v>
      </c>
      <c r="E5228" s="7" t="s">
        <v>29</v>
      </c>
      <c r="F5228" s="7" t="s">
        <v>214</v>
      </c>
      <c r="G5228" s="7">
        <v>100.1981</v>
      </c>
      <c r="H5228" s="7"/>
    </row>
    <row r="5229" spans="1:8" x14ac:dyDescent="0.35">
      <c r="A5229" s="7" t="s">
        <v>363</v>
      </c>
      <c r="B5229" s="7" t="s">
        <v>26</v>
      </c>
      <c r="C5229" s="7" t="s">
        <v>27</v>
      </c>
      <c r="D5229" s="7" t="s">
        <v>28</v>
      </c>
      <c r="E5229" s="7" t="s">
        <v>29</v>
      </c>
      <c r="F5229" s="7" t="s">
        <v>215</v>
      </c>
      <c r="G5229" s="7">
        <v>100.20699999999999</v>
      </c>
      <c r="H5229" s="7"/>
    </row>
    <row r="5230" spans="1:8" x14ac:dyDescent="0.35">
      <c r="A5230" s="7" t="s">
        <v>363</v>
      </c>
      <c r="B5230" s="7" t="s">
        <v>26</v>
      </c>
      <c r="C5230" s="7" t="s">
        <v>27</v>
      </c>
      <c r="D5230" s="7" t="s">
        <v>28</v>
      </c>
      <c r="E5230" s="7" t="s">
        <v>29</v>
      </c>
      <c r="F5230" s="7" t="s">
        <v>216</v>
      </c>
      <c r="G5230" s="7">
        <v>100.20569999999999</v>
      </c>
      <c r="H5230" s="7"/>
    </row>
    <row r="5231" spans="1:8" x14ac:dyDescent="0.35">
      <c r="A5231" s="7" t="s">
        <v>363</v>
      </c>
      <c r="B5231" s="7" t="s">
        <v>26</v>
      </c>
      <c r="C5231" s="7" t="s">
        <v>27</v>
      </c>
      <c r="D5231" s="7" t="s">
        <v>28</v>
      </c>
      <c r="E5231" s="7" t="s">
        <v>29</v>
      </c>
      <c r="F5231" s="7" t="s">
        <v>217</v>
      </c>
      <c r="G5231" s="7">
        <v>100.22839999999999</v>
      </c>
      <c r="H5231" s="7"/>
    </row>
    <row r="5232" spans="1:8" x14ac:dyDescent="0.35">
      <c r="A5232" s="7" t="s">
        <v>363</v>
      </c>
      <c r="B5232" s="7" t="s">
        <v>26</v>
      </c>
      <c r="C5232" s="7" t="s">
        <v>27</v>
      </c>
      <c r="D5232" s="7" t="s">
        <v>28</v>
      </c>
      <c r="E5232" s="7" t="s">
        <v>29</v>
      </c>
      <c r="F5232" s="7" t="s">
        <v>218</v>
      </c>
      <c r="G5232" s="7">
        <v>100.2158</v>
      </c>
      <c r="H5232" s="7"/>
    </row>
    <row r="5233" spans="1:8" x14ac:dyDescent="0.35">
      <c r="A5233" s="7" t="s">
        <v>363</v>
      </c>
      <c r="B5233" s="7" t="s">
        <v>26</v>
      </c>
      <c r="C5233" s="7" t="s">
        <v>27</v>
      </c>
      <c r="D5233" s="7" t="s">
        <v>28</v>
      </c>
      <c r="E5233" s="7" t="s">
        <v>29</v>
      </c>
      <c r="F5233" s="7" t="s">
        <v>219</v>
      </c>
      <c r="G5233" s="7">
        <v>100.0663</v>
      </c>
      <c r="H5233" s="7"/>
    </row>
    <row r="5234" spans="1:8" x14ac:dyDescent="0.35">
      <c r="A5234" s="7" t="s">
        <v>363</v>
      </c>
      <c r="B5234" s="7" t="s">
        <v>26</v>
      </c>
      <c r="C5234" s="7" t="s">
        <v>27</v>
      </c>
      <c r="D5234" s="7" t="s">
        <v>28</v>
      </c>
      <c r="E5234" s="7" t="s">
        <v>29</v>
      </c>
      <c r="F5234" s="7" t="s">
        <v>220</v>
      </c>
      <c r="G5234" s="7">
        <v>99.795680000000004</v>
      </c>
      <c r="H5234" s="7"/>
    </row>
    <row r="5235" spans="1:8" x14ac:dyDescent="0.35">
      <c r="A5235" s="7" t="s">
        <v>363</v>
      </c>
      <c r="B5235" s="7" t="s">
        <v>26</v>
      </c>
      <c r="C5235" s="7" t="s">
        <v>27</v>
      </c>
      <c r="D5235" s="7" t="s">
        <v>28</v>
      </c>
      <c r="E5235" s="7" t="s">
        <v>29</v>
      </c>
      <c r="F5235" s="7" t="s">
        <v>221</v>
      </c>
      <c r="G5235" s="7">
        <v>99.539739999999995</v>
      </c>
      <c r="H5235" s="7"/>
    </row>
    <row r="5236" spans="1:8" x14ac:dyDescent="0.35">
      <c r="A5236" s="7" t="s">
        <v>363</v>
      </c>
      <c r="B5236" s="7" t="s">
        <v>26</v>
      </c>
      <c r="C5236" s="7" t="s">
        <v>27</v>
      </c>
      <c r="D5236" s="7" t="s">
        <v>28</v>
      </c>
      <c r="E5236" s="7" t="s">
        <v>29</v>
      </c>
      <c r="F5236" s="7" t="s">
        <v>222</v>
      </c>
      <c r="G5236" s="7">
        <v>99.321160000000006</v>
      </c>
      <c r="H5236" s="7"/>
    </row>
    <row r="5237" spans="1:8" x14ac:dyDescent="0.35">
      <c r="A5237" s="7" t="s">
        <v>363</v>
      </c>
      <c r="B5237" s="7" t="s">
        <v>26</v>
      </c>
      <c r="C5237" s="7" t="s">
        <v>27</v>
      </c>
      <c r="D5237" s="7" t="s">
        <v>28</v>
      </c>
      <c r="E5237" s="7" t="s">
        <v>29</v>
      </c>
      <c r="F5237" s="7" t="s">
        <v>223</v>
      </c>
      <c r="G5237" s="7">
        <v>99.146010000000004</v>
      </c>
      <c r="H5237" s="7"/>
    </row>
    <row r="5238" spans="1:8" x14ac:dyDescent="0.35">
      <c r="A5238" s="7" t="s">
        <v>363</v>
      </c>
      <c r="B5238" s="7" t="s">
        <v>26</v>
      </c>
      <c r="C5238" s="7" t="s">
        <v>27</v>
      </c>
      <c r="D5238" s="7" t="s">
        <v>28</v>
      </c>
      <c r="E5238" s="7" t="s">
        <v>29</v>
      </c>
      <c r="F5238" s="7" t="s">
        <v>224</v>
      </c>
      <c r="G5238" s="7">
        <v>99.050439999999995</v>
      </c>
      <c r="H5238" s="7"/>
    </row>
    <row r="5239" spans="1:8" x14ac:dyDescent="0.35">
      <c r="A5239" s="7" t="s">
        <v>363</v>
      </c>
      <c r="B5239" s="7" t="s">
        <v>26</v>
      </c>
      <c r="C5239" s="7" t="s">
        <v>27</v>
      </c>
      <c r="D5239" s="7" t="s">
        <v>28</v>
      </c>
      <c r="E5239" s="7" t="s">
        <v>29</v>
      </c>
      <c r="F5239" s="7" t="s">
        <v>225</v>
      </c>
      <c r="G5239" s="7">
        <v>98.981170000000006</v>
      </c>
      <c r="H5239" s="7"/>
    </row>
    <row r="5240" spans="1:8" x14ac:dyDescent="0.35">
      <c r="A5240" s="7" t="s">
        <v>363</v>
      </c>
      <c r="B5240" s="7" t="s">
        <v>26</v>
      </c>
      <c r="C5240" s="7" t="s">
        <v>27</v>
      </c>
      <c r="D5240" s="7" t="s">
        <v>28</v>
      </c>
      <c r="E5240" s="7" t="s">
        <v>29</v>
      </c>
      <c r="F5240" s="7" t="s">
        <v>226</v>
      </c>
      <c r="G5240" s="7">
        <v>98.841989999999996</v>
      </c>
      <c r="H5240" s="7"/>
    </row>
    <row r="5241" spans="1:8" x14ac:dyDescent="0.35">
      <c r="A5241" s="7" t="s">
        <v>363</v>
      </c>
      <c r="B5241" s="7" t="s">
        <v>26</v>
      </c>
      <c r="C5241" s="7" t="s">
        <v>27</v>
      </c>
      <c r="D5241" s="7" t="s">
        <v>28</v>
      </c>
      <c r="E5241" s="7" t="s">
        <v>29</v>
      </c>
      <c r="F5241" s="7" t="s">
        <v>227</v>
      </c>
      <c r="G5241" s="7">
        <v>98.427930000000003</v>
      </c>
      <c r="H5241" s="7"/>
    </row>
    <row r="5242" spans="1:8" x14ac:dyDescent="0.35">
      <c r="A5242" s="7" t="s">
        <v>363</v>
      </c>
      <c r="B5242" s="7" t="s">
        <v>26</v>
      </c>
      <c r="C5242" s="7" t="s">
        <v>27</v>
      </c>
      <c r="D5242" s="7" t="s">
        <v>28</v>
      </c>
      <c r="E5242" s="7" t="s">
        <v>29</v>
      </c>
      <c r="F5242" s="7" t="s">
        <v>228</v>
      </c>
      <c r="G5242" s="7">
        <v>97.846869999999996</v>
      </c>
      <c r="H5242" s="7"/>
    </row>
    <row r="5243" spans="1:8" x14ac:dyDescent="0.35">
      <c r="A5243" s="7" t="s">
        <v>363</v>
      </c>
      <c r="B5243" s="7" t="s">
        <v>26</v>
      </c>
      <c r="C5243" s="7" t="s">
        <v>27</v>
      </c>
      <c r="D5243" s="7" t="s">
        <v>28</v>
      </c>
      <c r="E5243" s="7" t="s">
        <v>29</v>
      </c>
      <c r="F5243" s="7" t="s">
        <v>229</v>
      </c>
      <c r="G5243" s="7">
        <v>97.307419999999993</v>
      </c>
      <c r="H5243" s="7"/>
    </row>
    <row r="5244" spans="1:8" x14ac:dyDescent="0.35">
      <c r="A5244" s="7" t="s">
        <v>363</v>
      </c>
      <c r="B5244" s="7" t="s">
        <v>26</v>
      </c>
      <c r="C5244" s="7" t="s">
        <v>27</v>
      </c>
      <c r="D5244" s="7" t="s">
        <v>28</v>
      </c>
      <c r="E5244" s="7" t="s">
        <v>29</v>
      </c>
      <c r="F5244" s="7" t="s">
        <v>230</v>
      </c>
      <c r="G5244" s="7">
        <v>97.00027</v>
      </c>
      <c r="H5244" s="7"/>
    </row>
    <row r="5245" spans="1:8" x14ac:dyDescent="0.35">
      <c r="A5245" s="7" t="s">
        <v>363</v>
      </c>
      <c r="B5245" s="7" t="s">
        <v>26</v>
      </c>
      <c r="C5245" s="7" t="s">
        <v>27</v>
      </c>
      <c r="D5245" s="7" t="s">
        <v>28</v>
      </c>
      <c r="E5245" s="7" t="s">
        <v>29</v>
      </c>
      <c r="F5245" s="7" t="s">
        <v>231</v>
      </c>
      <c r="G5245" s="7">
        <v>96.82732</v>
      </c>
      <c r="H5245" s="7"/>
    </row>
    <row r="5246" spans="1:8" x14ac:dyDescent="0.35">
      <c r="A5246" s="7" t="s">
        <v>363</v>
      </c>
      <c r="B5246" s="7" t="s">
        <v>26</v>
      </c>
      <c r="C5246" s="7" t="s">
        <v>27</v>
      </c>
      <c r="D5246" s="7" t="s">
        <v>28</v>
      </c>
      <c r="E5246" s="7" t="s">
        <v>29</v>
      </c>
      <c r="F5246" s="7" t="s">
        <v>232</v>
      </c>
      <c r="G5246" s="7">
        <v>96.561549999999997</v>
      </c>
      <c r="H5246" s="7"/>
    </row>
    <row r="5247" spans="1:8" x14ac:dyDescent="0.35">
      <c r="A5247" s="7" t="s">
        <v>363</v>
      </c>
      <c r="B5247" s="7" t="s">
        <v>26</v>
      </c>
      <c r="C5247" s="7" t="s">
        <v>27</v>
      </c>
      <c r="D5247" s="7" t="s">
        <v>28</v>
      </c>
      <c r="E5247" s="7" t="s">
        <v>29</v>
      </c>
      <c r="F5247" s="7" t="s">
        <v>233</v>
      </c>
      <c r="G5247" s="7">
        <v>96.253249999999994</v>
      </c>
      <c r="H5247" s="7"/>
    </row>
    <row r="5248" spans="1:8" x14ac:dyDescent="0.35">
      <c r="A5248" s="7" t="s">
        <v>363</v>
      </c>
      <c r="B5248" s="7" t="s">
        <v>26</v>
      </c>
      <c r="C5248" s="7" t="s">
        <v>27</v>
      </c>
      <c r="D5248" s="7" t="s">
        <v>28</v>
      </c>
      <c r="E5248" s="7" t="s">
        <v>29</v>
      </c>
      <c r="F5248" s="7" t="s">
        <v>234</v>
      </c>
      <c r="G5248" s="7">
        <v>96.041480000000007</v>
      </c>
      <c r="H5248" s="7"/>
    </row>
    <row r="5249" spans="1:8" x14ac:dyDescent="0.35">
      <c r="A5249" s="7" t="s">
        <v>363</v>
      </c>
      <c r="B5249" s="7" t="s">
        <v>26</v>
      </c>
      <c r="C5249" s="7" t="s">
        <v>27</v>
      </c>
      <c r="D5249" s="7" t="s">
        <v>28</v>
      </c>
      <c r="E5249" s="7" t="s">
        <v>29</v>
      </c>
      <c r="F5249" s="7" t="s">
        <v>235</v>
      </c>
      <c r="G5249" s="7">
        <v>95.909980000000004</v>
      </c>
      <c r="H5249" s="7"/>
    </row>
    <row r="5250" spans="1:8" x14ac:dyDescent="0.35">
      <c r="A5250" s="7" t="s">
        <v>363</v>
      </c>
      <c r="B5250" s="7" t="s">
        <v>26</v>
      </c>
      <c r="C5250" s="7" t="s">
        <v>27</v>
      </c>
      <c r="D5250" s="7" t="s">
        <v>28</v>
      </c>
      <c r="E5250" s="7" t="s">
        <v>29</v>
      </c>
      <c r="F5250" s="7" t="s">
        <v>236</v>
      </c>
      <c r="G5250" s="7">
        <v>95.911180000000002</v>
      </c>
      <c r="H5250" s="7"/>
    </row>
    <row r="5251" spans="1:8" x14ac:dyDescent="0.35">
      <c r="A5251" s="7" t="s">
        <v>363</v>
      </c>
      <c r="B5251" s="7" t="s">
        <v>26</v>
      </c>
      <c r="C5251" s="7" t="s">
        <v>27</v>
      </c>
      <c r="D5251" s="7" t="s">
        <v>28</v>
      </c>
      <c r="E5251" s="7" t="s">
        <v>29</v>
      </c>
      <c r="F5251" s="7" t="s">
        <v>237</v>
      </c>
      <c r="G5251" s="7">
        <v>96.039900000000003</v>
      </c>
      <c r="H5251" s="7"/>
    </row>
    <row r="5252" spans="1:8" x14ac:dyDescent="0.35">
      <c r="A5252" s="7" t="s">
        <v>363</v>
      </c>
      <c r="B5252" s="7" t="s">
        <v>26</v>
      </c>
      <c r="C5252" s="7" t="s">
        <v>27</v>
      </c>
      <c r="D5252" s="7" t="s">
        <v>28</v>
      </c>
      <c r="E5252" s="7" t="s">
        <v>29</v>
      </c>
      <c r="F5252" s="7" t="s">
        <v>238</v>
      </c>
      <c r="G5252" s="7">
        <v>96.526809999999998</v>
      </c>
      <c r="H5252" s="7"/>
    </row>
    <row r="5253" spans="1:8" x14ac:dyDescent="0.35">
      <c r="A5253" s="7" t="s">
        <v>363</v>
      </c>
      <c r="B5253" s="7" t="s">
        <v>26</v>
      </c>
      <c r="C5253" s="7" t="s">
        <v>27</v>
      </c>
      <c r="D5253" s="7" t="s">
        <v>28</v>
      </c>
      <c r="E5253" s="7" t="s">
        <v>29</v>
      </c>
      <c r="F5253" s="7" t="s">
        <v>239</v>
      </c>
      <c r="G5253" s="7">
        <v>97.279970000000006</v>
      </c>
      <c r="H5253" s="7"/>
    </row>
    <row r="5254" spans="1:8" x14ac:dyDescent="0.35">
      <c r="A5254" s="7" t="s">
        <v>363</v>
      </c>
      <c r="B5254" s="7" t="s">
        <v>26</v>
      </c>
      <c r="C5254" s="7" t="s">
        <v>27</v>
      </c>
      <c r="D5254" s="7" t="s">
        <v>28</v>
      </c>
      <c r="E5254" s="7" t="s">
        <v>29</v>
      </c>
      <c r="F5254" s="7" t="s">
        <v>240</v>
      </c>
      <c r="G5254" s="7">
        <v>98.146870000000007</v>
      </c>
      <c r="H5254" s="7"/>
    </row>
    <row r="5255" spans="1:8" x14ac:dyDescent="0.35">
      <c r="A5255" s="7" t="s">
        <v>363</v>
      </c>
      <c r="B5255" s="7" t="s">
        <v>26</v>
      </c>
      <c r="C5255" s="7" t="s">
        <v>27</v>
      </c>
      <c r="D5255" s="7" t="s">
        <v>28</v>
      </c>
      <c r="E5255" s="7" t="s">
        <v>29</v>
      </c>
      <c r="F5255" s="7" t="s">
        <v>241</v>
      </c>
      <c r="G5255" s="7">
        <v>98.750529999999998</v>
      </c>
      <c r="H5255" s="7"/>
    </row>
    <row r="5256" spans="1:8" x14ac:dyDescent="0.35">
      <c r="A5256" s="7" t="s">
        <v>363</v>
      </c>
      <c r="B5256" s="7" t="s">
        <v>26</v>
      </c>
      <c r="C5256" s="7" t="s">
        <v>27</v>
      </c>
      <c r="D5256" s="7" t="s">
        <v>28</v>
      </c>
      <c r="E5256" s="7" t="s">
        <v>29</v>
      </c>
      <c r="F5256" s="7" t="s">
        <v>242</v>
      </c>
      <c r="G5256" s="7">
        <v>99.046639999999996</v>
      </c>
      <c r="H5256" s="7"/>
    </row>
    <row r="5257" spans="1:8" x14ac:dyDescent="0.35">
      <c r="A5257" s="7" t="s">
        <v>363</v>
      </c>
      <c r="B5257" s="7" t="s">
        <v>26</v>
      </c>
      <c r="C5257" s="7" t="s">
        <v>27</v>
      </c>
      <c r="D5257" s="7" t="s">
        <v>28</v>
      </c>
      <c r="E5257" s="7" t="s">
        <v>29</v>
      </c>
      <c r="F5257" s="7" t="s">
        <v>243</v>
      </c>
      <c r="G5257" s="7">
        <v>99.075999999999993</v>
      </c>
      <c r="H5257" s="7"/>
    </row>
    <row r="5258" spans="1:8" x14ac:dyDescent="0.35">
      <c r="A5258" s="7" t="s">
        <v>363</v>
      </c>
      <c r="B5258" s="7" t="s">
        <v>26</v>
      </c>
      <c r="C5258" s="7" t="s">
        <v>27</v>
      </c>
      <c r="D5258" s="7" t="s">
        <v>28</v>
      </c>
      <c r="E5258" s="7" t="s">
        <v>29</v>
      </c>
      <c r="F5258" s="7" t="s">
        <v>244</v>
      </c>
      <c r="G5258" s="7">
        <v>98.999859999999998</v>
      </c>
      <c r="H5258" s="7"/>
    </row>
    <row r="5259" spans="1:8" x14ac:dyDescent="0.35">
      <c r="A5259" s="7" t="s">
        <v>363</v>
      </c>
      <c r="B5259" s="7" t="s">
        <v>26</v>
      </c>
      <c r="C5259" s="7" t="s">
        <v>27</v>
      </c>
      <c r="D5259" s="7" t="s">
        <v>28</v>
      </c>
      <c r="E5259" s="7" t="s">
        <v>29</v>
      </c>
      <c r="F5259" s="7" t="s">
        <v>245</v>
      </c>
      <c r="G5259" s="7">
        <v>99.021420000000006</v>
      </c>
      <c r="H5259" s="7"/>
    </row>
    <row r="5260" spans="1:8" x14ac:dyDescent="0.35">
      <c r="A5260" s="7" t="s">
        <v>363</v>
      </c>
      <c r="B5260" s="7" t="s">
        <v>26</v>
      </c>
      <c r="C5260" s="7" t="s">
        <v>27</v>
      </c>
      <c r="D5260" s="7" t="s">
        <v>28</v>
      </c>
      <c r="E5260" s="7" t="s">
        <v>29</v>
      </c>
      <c r="F5260" s="7" t="s">
        <v>246</v>
      </c>
      <c r="G5260" s="7">
        <v>99.155079999999998</v>
      </c>
      <c r="H5260" s="7"/>
    </row>
    <row r="5261" spans="1:8" x14ac:dyDescent="0.35">
      <c r="A5261" s="7" t="s">
        <v>363</v>
      </c>
      <c r="B5261" s="7" t="s">
        <v>26</v>
      </c>
      <c r="C5261" s="7" t="s">
        <v>27</v>
      </c>
      <c r="D5261" s="7" t="s">
        <v>28</v>
      </c>
      <c r="E5261" s="7" t="s">
        <v>29</v>
      </c>
      <c r="F5261" s="7" t="s">
        <v>247</v>
      </c>
      <c r="G5261" s="7">
        <v>99.364509999999996</v>
      </c>
      <c r="H5261" s="7"/>
    </row>
    <row r="5262" spans="1:8" x14ac:dyDescent="0.35">
      <c r="A5262" s="7" t="s">
        <v>363</v>
      </c>
      <c r="B5262" s="7" t="s">
        <v>26</v>
      </c>
      <c r="C5262" s="7" t="s">
        <v>27</v>
      </c>
      <c r="D5262" s="7" t="s">
        <v>28</v>
      </c>
      <c r="E5262" s="7" t="s">
        <v>29</v>
      </c>
      <c r="F5262" s="7" t="s">
        <v>248</v>
      </c>
      <c r="G5262" s="7">
        <v>99.477999999999994</v>
      </c>
      <c r="H5262" s="7"/>
    </row>
    <row r="5263" spans="1:8" x14ac:dyDescent="0.35">
      <c r="A5263" s="7" t="s">
        <v>363</v>
      </c>
      <c r="B5263" s="7" t="s">
        <v>26</v>
      </c>
      <c r="C5263" s="7" t="s">
        <v>27</v>
      </c>
      <c r="D5263" s="7" t="s">
        <v>28</v>
      </c>
      <c r="E5263" s="7" t="s">
        <v>29</v>
      </c>
      <c r="F5263" s="7" t="s">
        <v>249</v>
      </c>
      <c r="G5263" s="7">
        <v>99.322890000000001</v>
      </c>
      <c r="H5263" s="7"/>
    </row>
    <row r="5264" spans="1:8" x14ac:dyDescent="0.35">
      <c r="A5264" s="7" t="s">
        <v>363</v>
      </c>
      <c r="B5264" s="7" t="s">
        <v>26</v>
      </c>
      <c r="C5264" s="7" t="s">
        <v>27</v>
      </c>
      <c r="D5264" s="7" t="s">
        <v>28</v>
      </c>
      <c r="E5264" s="7" t="s">
        <v>29</v>
      </c>
      <c r="F5264" s="7" t="s">
        <v>250</v>
      </c>
      <c r="G5264" s="7">
        <v>99.090789999999998</v>
      </c>
      <c r="H5264" s="7"/>
    </row>
    <row r="5265" spans="1:8" x14ac:dyDescent="0.35">
      <c r="A5265" s="7" t="s">
        <v>363</v>
      </c>
      <c r="B5265" s="7" t="s">
        <v>26</v>
      </c>
      <c r="C5265" s="7" t="s">
        <v>27</v>
      </c>
      <c r="D5265" s="7" t="s">
        <v>28</v>
      </c>
      <c r="E5265" s="7" t="s">
        <v>29</v>
      </c>
      <c r="F5265" s="7" t="s">
        <v>251</v>
      </c>
      <c r="G5265" s="7">
        <v>98.90343</v>
      </c>
      <c r="H5265" s="7"/>
    </row>
    <row r="5266" spans="1:8" x14ac:dyDescent="0.35">
      <c r="A5266" s="7" t="s">
        <v>363</v>
      </c>
      <c r="B5266" s="7" t="s">
        <v>26</v>
      </c>
      <c r="C5266" s="7" t="s">
        <v>27</v>
      </c>
      <c r="D5266" s="7" t="s">
        <v>28</v>
      </c>
      <c r="E5266" s="7" t="s">
        <v>29</v>
      </c>
      <c r="F5266" s="7" t="s">
        <v>252</v>
      </c>
      <c r="G5266" s="7">
        <v>98.676469999999995</v>
      </c>
      <c r="H5266" s="7"/>
    </row>
    <row r="5267" spans="1:8" x14ac:dyDescent="0.35">
      <c r="A5267" s="7" t="s">
        <v>363</v>
      </c>
      <c r="B5267" s="7" t="s">
        <v>26</v>
      </c>
      <c r="C5267" s="7" t="s">
        <v>27</v>
      </c>
      <c r="D5267" s="7" t="s">
        <v>28</v>
      </c>
      <c r="E5267" s="7" t="s">
        <v>29</v>
      </c>
      <c r="F5267" s="7" t="s">
        <v>253</v>
      </c>
      <c r="G5267" s="7">
        <v>98.57696</v>
      </c>
      <c r="H5267" s="7"/>
    </row>
    <row r="5268" spans="1:8" x14ac:dyDescent="0.35">
      <c r="A5268" s="7" t="s">
        <v>363</v>
      </c>
      <c r="B5268" s="7" t="s">
        <v>26</v>
      </c>
      <c r="C5268" s="7" t="s">
        <v>27</v>
      </c>
      <c r="D5268" s="7" t="s">
        <v>28</v>
      </c>
      <c r="E5268" s="7" t="s">
        <v>29</v>
      </c>
      <c r="F5268" s="7" t="s">
        <v>254</v>
      </c>
      <c r="G5268" s="7">
        <v>98.660989999999998</v>
      </c>
      <c r="H5268" s="7"/>
    </row>
    <row r="5269" spans="1:8" x14ac:dyDescent="0.35">
      <c r="A5269" s="7" t="s">
        <v>363</v>
      </c>
      <c r="B5269" s="7" t="s">
        <v>26</v>
      </c>
      <c r="C5269" s="7" t="s">
        <v>27</v>
      </c>
      <c r="D5269" s="7" t="s">
        <v>28</v>
      </c>
      <c r="E5269" s="7" t="s">
        <v>29</v>
      </c>
      <c r="F5269" s="7" t="s">
        <v>255</v>
      </c>
      <c r="G5269" s="7">
        <v>98.924099999999996</v>
      </c>
      <c r="H5269" s="7"/>
    </row>
    <row r="5270" spans="1:8" x14ac:dyDescent="0.35">
      <c r="A5270" s="7" t="s">
        <v>363</v>
      </c>
      <c r="B5270" s="7" t="s">
        <v>26</v>
      </c>
      <c r="C5270" s="7" t="s">
        <v>27</v>
      </c>
      <c r="D5270" s="7" t="s">
        <v>28</v>
      </c>
      <c r="E5270" s="7" t="s">
        <v>29</v>
      </c>
      <c r="F5270" s="7" t="s">
        <v>256</v>
      </c>
      <c r="G5270" s="7">
        <v>99.09451</v>
      </c>
      <c r="H5270" s="7"/>
    </row>
    <row r="5271" spans="1:8" x14ac:dyDescent="0.35">
      <c r="A5271" s="7" t="s">
        <v>363</v>
      </c>
      <c r="B5271" s="7" t="s">
        <v>26</v>
      </c>
      <c r="C5271" s="7" t="s">
        <v>27</v>
      </c>
      <c r="D5271" s="7" t="s">
        <v>28</v>
      </c>
      <c r="E5271" s="7" t="s">
        <v>29</v>
      </c>
      <c r="F5271" s="7" t="s">
        <v>257</v>
      </c>
      <c r="G5271" s="7">
        <v>99.106579999999994</v>
      </c>
      <c r="H5271" s="7"/>
    </row>
    <row r="5272" spans="1:8" x14ac:dyDescent="0.35">
      <c r="A5272" s="7" t="s">
        <v>363</v>
      </c>
      <c r="B5272" s="7" t="s">
        <v>26</v>
      </c>
      <c r="C5272" s="7" t="s">
        <v>27</v>
      </c>
      <c r="D5272" s="7" t="s">
        <v>28</v>
      </c>
      <c r="E5272" s="7" t="s">
        <v>29</v>
      </c>
      <c r="F5272" s="7" t="s">
        <v>258</v>
      </c>
      <c r="G5272" s="7">
        <v>99.028649999999999</v>
      </c>
      <c r="H5272" s="7"/>
    </row>
    <row r="5273" spans="1:8" x14ac:dyDescent="0.35">
      <c r="A5273" s="7" t="s">
        <v>363</v>
      </c>
      <c r="B5273" s="7" t="s">
        <v>26</v>
      </c>
      <c r="C5273" s="7" t="s">
        <v>27</v>
      </c>
      <c r="D5273" s="7" t="s">
        <v>28</v>
      </c>
      <c r="E5273" s="7" t="s">
        <v>29</v>
      </c>
      <c r="F5273" s="7" t="s">
        <v>259</v>
      </c>
      <c r="G5273" s="7">
        <v>98.977279999999993</v>
      </c>
      <c r="H5273" s="7"/>
    </row>
    <row r="5274" spans="1:8" x14ac:dyDescent="0.35">
      <c r="A5274" s="7" t="s">
        <v>363</v>
      </c>
      <c r="B5274" s="7" t="s">
        <v>26</v>
      </c>
      <c r="C5274" s="7" t="s">
        <v>27</v>
      </c>
      <c r="D5274" s="7" t="s">
        <v>28</v>
      </c>
      <c r="E5274" s="7" t="s">
        <v>29</v>
      </c>
      <c r="F5274" s="7" t="s">
        <v>260</v>
      </c>
      <c r="G5274" s="7">
        <v>99.060149999999993</v>
      </c>
      <c r="H5274" s="7"/>
    </row>
    <row r="5275" spans="1:8" x14ac:dyDescent="0.35">
      <c r="A5275" s="7" t="s">
        <v>363</v>
      </c>
      <c r="B5275" s="7" t="s">
        <v>26</v>
      </c>
      <c r="C5275" s="7" t="s">
        <v>27</v>
      </c>
      <c r="D5275" s="7" t="s">
        <v>28</v>
      </c>
      <c r="E5275" s="7" t="s">
        <v>29</v>
      </c>
      <c r="F5275" s="7" t="s">
        <v>261</v>
      </c>
      <c r="G5275" s="7">
        <v>99.169589999999999</v>
      </c>
      <c r="H5275" s="7"/>
    </row>
    <row r="5276" spans="1:8" x14ac:dyDescent="0.35">
      <c r="A5276" s="7" t="s">
        <v>363</v>
      </c>
      <c r="B5276" s="7" t="s">
        <v>26</v>
      </c>
      <c r="C5276" s="7" t="s">
        <v>27</v>
      </c>
      <c r="D5276" s="7" t="s">
        <v>28</v>
      </c>
      <c r="E5276" s="7" t="s">
        <v>29</v>
      </c>
      <c r="F5276" s="7" t="s">
        <v>262</v>
      </c>
      <c r="G5276" s="7">
        <v>99.120729999999995</v>
      </c>
      <c r="H5276" s="7"/>
    </row>
    <row r="5277" spans="1:8" x14ac:dyDescent="0.35">
      <c r="A5277" s="7" t="s">
        <v>363</v>
      </c>
      <c r="B5277" s="7" t="s">
        <v>26</v>
      </c>
      <c r="C5277" s="7" t="s">
        <v>27</v>
      </c>
      <c r="D5277" s="7" t="s">
        <v>28</v>
      </c>
      <c r="E5277" s="7" t="s">
        <v>29</v>
      </c>
      <c r="F5277" s="7" t="s">
        <v>263</v>
      </c>
      <c r="G5277" s="7">
        <v>99.254080000000002</v>
      </c>
      <c r="H5277" s="7"/>
    </row>
    <row r="5278" spans="1:8" x14ac:dyDescent="0.35">
      <c r="A5278" s="7" t="s">
        <v>363</v>
      </c>
      <c r="B5278" s="7" t="s">
        <v>26</v>
      </c>
      <c r="C5278" s="7" t="s">
        <v>27</v>
      </c>
      <c r="D5278" s="7" t="s">
        <v>28</v>
      </c>
      <c r="E5278" s="7" t="s">
        <v>29</v>
      </c>
      <c r="F5278" s="7" t="s">
        <v>264</v>
      </c>
      <c r="G5278" s="7">
        <v>99.575950000000006</v>
      </c>
      <c r="H5278" s="7"/>
    </row>
    <row r="5279" spans="1:8" x14ac:dyDescent="0.35">
      <c r="A5279" s="7" t="s">
        <v>363</v>
      </c>
      <c r="B5279" s="7" t="s">
        <v>26</v>
      </c>
      <c r="C5279" s="7" t="s">
        <v>27</v>
      </c>
      <c r="D5279" s="7" t="s">
        <v>28</v>
      </c>
      <c r="E5279" s="7" t="s">
        <v>29</v>
      </c>
      <c r="F5279" s="7" t="s">
        <v>265</v>
      </c>
      <c r="G5279" s="7">
        <v>99.821489999999997</v>
      </c>
      <c r="H5279" s="7"/>
    </row>
    <row r="5280" spans="1:8" x14ac:dyDescent="0.35">
      <c r="A5280" s="7" t="s">
        <v>363</v>
      </c>
      <c r="B5280" s="7" t="s">
        <v>26</v>
      </c>
      <c r="C5280" s="7" t="s">
        <v>27</v>
      </c>
      <c r="D5280" s="7" t="s">
        <v>28</v>
      </c>
      <c r="E5280" s="7" t="s">
        <v>29</v>
      </c>
      <c r="F5280" s="7" t="s">
        <v>266</v>
      </c>
      <c r="G5280" s="7">
        <v>99.808030000000002</v>
      </c>
      <c r="H5280" s="7"/>
    </row>
    <row r="5281" spans="1:8" x14ac:dyDescent="0.35">
      <c r="A5281" s="7" t="s">
        <v>363</v>
      </c>
      <c r="B5281" s="7" t="s">
        <v>26</v>
      </c>
      <c r="C5281" s="7" t="s">
        <v>27</v>
      </c>
      <c r="D5281" s="7" t="s">
        <v>28</v>
      </c>
      <c r="E5281" s="7" t="s">
        <v>29</v>
      </c>
      <c r="F5281" s="7" t="s">
        <v>267</v>
      </c>
      <c r="G5281" s="7">
        <v>99.631550000000004</v>
      </c>
      <c r="H5281" s="7"/>
    </row>
    <row r="5282" spans="1:8" x14ac:dyDescent="0.35">
      <c r="A5282" s="7" t="s">
        <v>363</v>
      </c>
      <c r="B5282" s="7" t="s">
        <v>26</v>
      </c>
      <c r="C5282" s="7" t="s">
        <v>27</v>
      </c>
      <c r="D5282" s="7" t="s">
        <v>28</v>
      </c>
      <c r="E5282" s="7" t="s">
        <v>29</v>
      </c>
      <c r="F5282" s="7" t="s">
        <v>268</v>
      </c>
      <c r="G5282" s="7">
        <v>99.495930000000001</v>
      </c>
      <c r="H5282" s="7"/>
    </row>
    <row r="5283" spans="1:8" x14ac:dyDescent="0.35">
      <c r="A5283" s="7" t="s">
        <v>363</v>
      </c>
      <c r="B5283" s="7" t="s">
        <v>26</v>
      </c>
      <c r="C5283" s="7" t="s">
        <v>27</v>
      </c>
      <c r="D5283" s="7" t="s">
        <v>28</v>
      </c>
      <c r="E5283" s="7" t="s">
        <v>29</v>
      </c>
      <c r="F5283" s="7" t="s">
        <v>269</v>
      </c>
      <c r="G5283" s="7">
        <v>99.447519999999997</v>
      </c>
      <c r="H5283" s="7"/>
    </row>
    <row r="5284" spans="1:8" x14ac:dyDescent="0.35">
      <c r="A5284" s="7" t="s">
        <v>363</v>
      </c>
      <c r="B5284" s="7" t="s">
        <v>26</v>
      </c>
      <c r="C5284" s="7" t="s">
        <v>27</v>
      </c>
      <c r="D5284" s="7" t="s">
        <v>28</v>
      </c>
      <c r="E5284" s="7" t="s">
        <v>29</v>
      </c>
      <c r="F5284" s="7" t="s">
        <v>270</v>
      </c>
      <c r="G5284" s="7">
        <v>99.510710000000003</v>
      </c>
      <c r="H5284" s="7"/>
    </row>
    <row r="5285" spans="1:8" x14ac:dyDescent="0.35">
      <c r="A5285" s="7" t="s">
        <v>363</v>
      </c>
      <c r="B5285" s="7" t="s">
        <v>26</v>
      </c>
      <c r="C5285" s="7" t="s">
        <v>27</v>
      </c>
      <c r="D5285" s="7" t="s">
        <v>28</v>
      </c>
      <c r="E5285" s="7" t="s">
        <v>29</v>
      </c>
      <c r="F5285" s="7" t="s">
        <v>271</v>
      </c>
      <c r="G5285" s="7">
        <v>99.417230000000004</v>
      </c>
      <c r="H5285" s="7"/>
    </row>
    <row r="5286" spans="1:8" x14ac:dyDescent="0.35">
      <c r="A5286" s="7" t="s">
        <v>363</v>
      </c>
      <c r="B5286" s="7" t="s">
        <v>26</v>
      </c>
      <c r="C5286" s="7" t="s">
        <v>27</v>
      </c>
      <c r="D5286" s="7" t="s">
        <v>28</v>
      </c>
      <c r="E5286" s="7" t="s">
        <v>29</v>
      </c>
      <c r="F5286" s="7" t="s">
        <v>272</v>
      </c>
      <c r="G5286" s="7">
        <v>99.058459999999997</v>
      </c>
      <c r="H5286" s="7"/>
    </row>
    <row r="5287" spans="1:8" x14ac:dyDescent="0.35">
      <c r="A5287" s="7" t="s">
        <v>363</v>
      </c>
      <c r="B5287" s="7" t="s">
        <v>26</v>
      </c>
      <c r="C5287" s="7" t="s">
        <v>27</v>
      </c>
      <c r="D5287" s="7" t="s">
        <v>28</v>
      </c>
      <c r="E5287" s="7" t="s">
        <v>29</v>
      </c>
      <c r="F5287" s="7" t="s">
        <v>273</v>
      </c>
      <c r="G5287" s="7">
        <v>98.591300000000004</v>
      </c>
      <c r="H5287" s="7"/>
    </row>
    <row r="5288" spans="1:8" x14ac:dyDescent="0.35">
      <c r="A5288" s="7" t="s">
        <v>363</v>
      </c>
      <c r="B5288" s="7" t="s">
        <v>26</v>
      </c>
      <c r="C5288" s="7" t="s">
        <v>27</v>
      </c>
      <c r="D5288" s="7" t="s">
        <v>28</v>
      </c>
      <c r="E5288" s="7" t="s">
        <v>29</v>
      </c>
      <c r="F5288" s="7" t="s">
        <v>274</v>
      </c>
      <c r="G5288" s="7">
        <v>98.195300000000003</v>
      </c>
      <c r="H5288" s="7"/>
    </row>
    <row r="5289" spans="1:8" x14ac:dyDescent="0.35">
      <c r="A5289" s="7" t="s">
        <v>363</v>
      </c>
      <c r="B5289" s="7" t="s">
        <v>26</v>
      </c>
      <c r="C5289" s="7" t="s">
        <v>27</v>
      </c>
      <c r="D5289" s="7" t="s">
        <v>28</v>
      </c>
      <c r="E5289" s="7" t="s">
        <v>29</v>
      </c>
      <c r="F5289" s="7" t="s">
        <v>275</v>
      </c>
      <c r="G5289" s="7">
        <v>97.987430000000003</v>
      </c>
      <c r="H5289" s="7"/>
    </row>
    <row r="5290" spans="1:8" x14ac:dyDescent="0.35">
      <c r="A5290" s="7" t="s">
        <v>363</v>
      </c>
      <c r="B5290" s="7" t="s">
        <v>26</v>
      </c>
      <c r="C5290" s="7" t="s">
        <v>27</v>
      </c>
      <c r="D5290" s="7" t="s">
        <v>28</v>
      </c>
      <c r="E5290" s="7" t="s">
        <v>29</v>
      </c>
      <c r="F5290" s="7" t="s">
        <v>276</v>
      </c>
      <c r="G5290" s="7">
        <v>97.902420000000006</v>
      </c>
      <c r="H5290" s="7"/>
    </row>
    <row r="5291" spans="1:8" x14ac:dyDescent="0.35">
      <c r="A5291" s="7" t="s">
        <v>363</v>
      </c>
      <c r="B5291" s="7" t="s">
        <v>26</v>
      </c>
      <c r="C5291" s="7" t="s">
        <v>27</v>
      </c>
      <c r="D5291" s="7" t="s">
        <v>28</v>
      </c>
      <c r="E5291" s="7" t="s">
        <v>29</v>
      </c>
      <c r="F5291" s="7" t="s">
        <v>277</v>
      </c>
      <c r="G5291" s="7">
        <v>97.937449999999998</v>
      </c>
      <c r="H5291" s="7"/>
    </row>
    <row r="5292" spans="1:8" x14ac:dyDescent="0.35">
      <c r="A5292" s="7" t="s">
        <v>363</v>
      </c>
      <c r="B5292" s="7" t="s">
        <v>26</v>
      </c>
      <c r="C5292" s="7" t="s">
        <v>27</v>
      </c>
      <c r="D5292" s="7" t="s">
        <v>28</v>
      </c>
      <c r="E5292" s="7" t="s">
        <v>29</v>
      </c>
      <c r="F5292" s="7" t="s">
        <v>278</v>
      </c>
      <c r="G5292" s="7">
        <v>97.672479999999993</v>
      </c>
      <c r="H5292" s="7"/>
    </row>
    <row r="5293" spans="1:8" x14ac:dyDescent="0.35">
      <c r="A5293" s="7" t="s">
        <v>363</v>
      </c>
      <c r="B5293" s="7" t="s">
        <v>26</v>
      </c>
      <c r="C5293" s="7" t="s">
        <v>27</v>
      </c>
      <c r="D5293" s="7" t="s">
        <v>28</v>
      </c>
      <c r="E5293" s="7" t="s">
        <v>29</v>
      </c>
      <c r="F5293" s="7" t="s">
        <v>279</v>
      </c>
      <c r="G5293" s="7">
        <v>97.229569999999995</v>
      </c>
      <c r="H5293" s="7"/>
    </row>
    <row r="5294" spans="1:8" x14ac:dyDescent="0.35">
      <c r="A5294" s="7" t="s">
        <v>363</v>
      </c>
      <c r="B5294" s="7" t="s">
        <v>26</v>
      </c>
      <c r="C5294" s="7" t="s">
        <v>27</v>
      </c>
      <c r="D5294" s="7" t="s">
        <v>28</v>
      </c>
      <c r="E5294" s="7" t="s">
        <v>29</v>
      </c>
      <c r="F5294" s="7" t="s">
        <v>280</v>
      </c>
      <c r="G5294" s="7">
        <v>97.034549999999996</v>
      </c>
      <c r="H5294" s="7"/>
    </row>
    <row r="5295" spans="1:8" x14ac:dyDescent="0.35">
      <c r="A5295" s="7" t="s">
        <v>363</v>
      </c>
      <c r="B5295" s="7" t="s">
        <v>26</v>
      </c>
      <c r="C5295" s="7" t="s">
        <v>27</v>
      </c>
      <c r="D5295" s="7" t="s">
        <v>28</v>
      </c>
      <c r="E5295" s="7" t="s">
        <v>29</v>
      </c>
      <c r="F5295" s="7" t="s">
        <v>281</v>
      </c>
      <c r="G5295" s="7">
        <v>96.970879999999994</v>
      </c>
      <c r="H5295" s="7"/>
    </row>
    <row r="5296" spans="1:8" x14ac:dyDescent="0.35">
      <c r="A5296" s="7" t="s">
        <v>363</v>
      </c>
      <c r="B5296" s="7" t="s">
        <v>26</v>
      </c>
      <c r="C5296" s="7" t="s">
        <v>27</v>
      </c>
      <c r="D5296" s="7" t="s">
        <v>28</v>
      </c>
      <c r="E5296" s="7" t="s">
        <v>29</v>
      </c>
      <c r="F5296" s="7" t="s">
        <v>282</v>
      </c>
      <c r="G5296" s="7">
        <v>96.930689999999998</v>
      </c>
      <c r="H5296" s="7"/>
    </row>
    <row r="5297" spans="1:8" x14ac:dyDescent="0.35">
      <c r="A5297" s="7" t="s">
        <v>363</v>
      </c>
      <c r="B5297" s="7" t="s">
        <v>26</v>
      </c>
      <c r="C5297" s="7" t="s">
        <v>27</v>
      </c>
      <c r="D5297" s="7" t="s">
        <v>28</v>
      </c>
      <c r="E5297" s="7" t="s">
        <v>29</v>
      </c>
      <c r="F5297" s="7" t="s">
        <v>283</v>
      </c>
      <c r="G5297" s="7">
        <v>97.001199999999997</v>
      </c>
      <c r="H5297" s="7"/>
    </row>
    <row r="5298" spans="1:8" x14ac:dyDescent="0.35">
      <c r="A5298" s="7" t="s">
        <v>363</v>
      </c>
      <c r="B5298" s="7" t="s">
        <v>26</v>
      </c>
      <c r="C5298" s="7" t="s">
        <v>27</v>
      </c>
      <c r="D5298" s="7" t="s">
        <v>28</v>
      </c>
      <c r="E5298" s="7" t="s">
        <v>29</v>
      </c>
      <c r="F5298" s="7" t="s">
        <v>284</v>
      </c>
      <c r="G5298" s="7">
        <v>97.27167</v>
      </c>
      <c r="H5298" s="7"/>
    </row>
    <row r="5299" spans="1:8" x14ac:dyDescent="0.35">
      <c r="A5299" s="7" t="s">
        <v>363</v>
      </c>
      <c r="B5299" s="7" t="s">
        <v>26</v>
      </c>
      <c r="C5299" s="7" t="s">
        <v>27</v>
      </c>
      <c r="D5299" s="7" t="s">
        <v>28</v>
      </c>
      <c r="E5299" s="7" t="s">
        <v>29</v>
      </c>
      <c r="F5299" s="7" t="s">
        <v>285</v>
      </c>
      <c r="G5299" s="7">
        <v>97.480509999999995</v>
      </c>
      <c r="H5299" s="7"/>
    </row>
    <row r="5300" spans="1:8" x14ac:dyDescent="0.35">
      <c r="A5300" s="7" t="s">
        <v>363</v>
      </c>
      <c r="B5300" s="7" t="s">
        <v>26</v>
      </c>
      <c r="C5300" s="7" t="s">
        <v>27</v>
      </c>
      <c r="D5300" s="7" t="s">
        <v>28</v>
      </c>
      <c r="E5300" s="7" t="s">
        <v>29</v>
      </c>
      <c r="F5300" s="7" t="s">
        <v>286</v>
      </c>
      <c r="G5300" s="7">
        <v>97.665620000000004</v>
      </c>
      <c r="H5300" s="7"/>
    </row>
    <row r="5301" spans="1:8" x14ac:dyDescent="0.35">
      <c r="A5301" s="7" t="s">
        <v>363</v>
      </c>
      <c r="B5301" s="7" t="s">
        <v>26</v>
      </c>
      <c r="C5301" s="7" t="s">
        <v>27</v>
      </c>
      <c r="D5301" s="7" t="s">
        <v>28</v>
      </c>
      <c r="E5301" s="7" t="s">
        <v>29</v>
      </c>
      <c r="F5301" s="7" t="s">
        <v>287</v>
      </c>
      <c r="G5301" s="7">
        <v>97.844930000000005</v>
      </c>
      <c r="H5301" s="7"/>
    </row>
    <row r="5302" spans="1:8" x14ac:dyDescent="0.35">
      <c r="A5302" s="7" t="s">
        <v>363</v>
      </c>
      <c r="B5302" s="7" t="s">
        <v>26</v>
      </c>
      <c r="C5302" s="7" t="s">
        <v>27</v>
      </c>
      <c r="D5302" s="7" t="s">
        <v>28</v>
      </c>
      <c r="E5302" s="7" t="s">
        <v>29</v>
      </c>
      <c r="F5302" s="7" t="s">
        <v>288</v>
      </c>
      <c r="G5302" s="7">
        <v>98.015590000000003</v>
      </c>
      <c r="H5302" s="7"/>
    </row>
    <row r="5303" spans="1:8" x14ac:dyDescent="0.35">
      <c r="A5303" s="7" t="s">
        <v>363</v>
      </c>
      <c r="B5303" s="7" t="s">
        <v>26</v>
      </c>
      <c r="C5303" s="7" t="s">
        <v>27</v>
      </c>
      <c r="D5303" s="7" t="s">
        <v>28</v>
      </c>
      <c r="E5303" s="7" t="s">
        <v>29</v>
      </c>
      <c r="F5303" s="7" t="s">
        <v>289</v>
      </c>
      <c r="G5303" s="7">
        <v>98.355119999999999</v>
      </c>
      <c r="H5303" s="7"/>
    </row>
    <row r="5304" spans="1:8" x14ac:dyDescent="0.35">
      <c r="A5304" s="7" t="s">
        <v>363</v>
      </c>
      <c r="B5304" s="7" t="s">
        <v>26</v>
      </c>
      <c r="C5304" s="7" t="s">
        <v>27</v>
      </c>
      <c r="D5304" s="7" t="s">
        <v>28</v>
      </c>
      <c r="E5304" s="7" t="s">
        <v>29</v>
      </c>
      <c r="F5304" s="7" t="s">
        <v>290</v>
      </c>
      <c r="G5304" s="7">
        <v>98.707080000000005</v>
      </c>
      <c r="H5304" s="7"/>
    </row>
    <row r="5305" spans="1:8" x14ac:dyDescent="0.35">
      <c r="A5305" s="7" t="s">
        <v>363</v>
      </c>
      <c r="B5305" s="7" t="s">
        <v>26</v>
      </c>
      <c r="C5305" s="7" t="s">
        <v>27</v>
      </c>
      <c r="D5305" s="7" t="s">
        <v>28</v>
      </c>
      <c r="E5305" s="7" t="s">
        <v>29</v>
      </c>
      <c r="F5305" s="7" t="s">
        <v>291</v>
      </c>
      <c r="G5305" s="7">
        <v>98.978110000000001</v>
      </c>
      <c r="H5305" s="7"/>
    </row>
    <row r="5306" spans="1:8" x14ac:dyDescent="0.35">
      <c r="A5306" s="7" t="s">
        <v>363</v>
      </c>
      <c r="B5306" s="7" t="s">
        <v>26</v>
      </c>
      <c r="C5306" s="7" t="s">
        <v>27</v>
      </c>
      <c r="D5306" s="7" t="s">
        <v>28</v>
      </c>
      <c r="E5306" s="7" t="s">
        <v>29</v>
      </c>
      <c r="F5306" s="7" t="s">
        <v>292</v>
      </c>
      <c r="G5306" s="7">
        <v>99.141990000000007</v>
      </c>
      <c r="H5306" s="7"/>
    </row>
    <row r="5307" spans="1:8" x14ac:dyDescent="0.35">
      <c r="A5307" s="7" t="s">
        <v>363</v>
      </c>
      <c r="B5307" s="7" t="s">
        <v>26</v>
      </c>
      <c r="C5307" s="7" t="s">
        <v>27</v>
      </c>
      <c r="D5307" s="7" t="s">
        <v>28</v>
      </c>
      <c r="E5307" s="7" t="s">
        <v>29</v>
      </c>
      <c r="F5307" s="7" t="s">
        <v>293</v>
      </c>
      <c r="G5307" s="7">
        <v>99.152760000000001</v>
      </c>
      <c r="H5307" s="7"/>
    </row>
    <row r="5308" spans="1:8" x14ac:dyDescent="0.35">
      <c r="A5308" s="7" t="s">
        <v>363</v>
      </c>
      <c r="B5308" s="7" t="s">
        <v>26</v>
      </c>
      <c r="C5308" s="7" t="s">
        <v>27</v>
      </c>
      <c r="D5308" s="7" t="s">
        <v>28</v>
      </c>
      <c r="E5308" s="7" t="s">
        <v>29</v>
      </c>
      <c r="F5308" s="7" t="s">
        <v>294</v>
      </c>
      <c r="G5308" s="7">
        <v>99.235110000000006</v>
      </c>
      <c r="H5308" s="7"/>
    </row>
    <row r="5309" spans="1:8" x14ac:dyDescent="0.35">
      <c r="A5309" s="7" t="s">
        <v>363</v>
      </c>
      <c r="B5309" s="7" t="s">
        <v>26</v>
      </c>
      <c r="C5309" s="7" t="s">
        <v>27</v>
      </c>
      <c r="D5309" s="7" t="s">
        <v>28</v>
      </c>
      <c r="E5309" s="7" t="s">
        <v>29</v>
      </c>
      <c r="F5309" s="7" t="s">
        <v>295</v>
      </c>
      <c r="G5309" s="7">
        <v>99.480699999999999</v>
      </c>
      <c r="H5309" s="7"/>
    </row>
    <row r="5310" spans="1:8" x14ac:dyDescent="0.35">
      <c r="A5310" s="7" t="s">
        <v>363</v>
      </c>
      <c r="B5310" s="7" t="s">
        <v>26</v>
      </c>
      <c r="C5310" s="7" t="s">
        <v>27</v>
      </c>
      <c r="D5310" s="7" t="s">
        <v>28</v>
      </c>
      <c r="E5310" s="7" t="s">
        <v>29</v>
      </c>
      <c r="F5310" s="7" t="s">
        <v>296</v>
      </c>
      <c r="G5310" s="7">
        <v>99.790400000000005</v>
      </c>
      <c r="H5310" s="7"/>
    </row>
    <row r="5311" spans="1:8" x14ac:dyDescent="0.35">
      <c r="A5311" s="7" t="s">
        <v>363</v>
      </c>
      <c r="B5311" s="7" t="s">
        <v>26</v>
      </c>
      <c r="C5311" s="7" t="s">
        <v>27</v>
      </c>
      <c r="D5311" s="7" t="s">
        <v>28</v>
      </c>
      <c r="E5311" s="7" t="s">
        <v>29</v>
      </c>
      <c r="F5311" s="7" t="s">
        <v>297</v>
      </c>
      <c r="G5311" s="7">
        <v>100.0461</v>
      </c>
      <c r="H5311" s="7"/>
    </row>
    <row r="5312" spans="1:8" x14ac:dyDescent="0.35">
      <c r="A5312" s="7" t="s">
        <v>363</v>
      </c>
      <c r="B5312" s="7" t="s">
        <v>26</v>
      </c>
      <c r="C5312" s="7" t="s">
        <v>27</v>
      </c>
      <c r="D5312" s="7" t="s">
        <v>28</v>
      </c>
      <c r="E5312" s="7" t="s">
        <v>29</v>
      </c>
      <c r="F5312" s="7" t="s">
        <v>298</v>
      </c>
      <c r="G5312" s="7">
        <v>100.3781</v>
      </c>
      <c r="H5312" s="7"/>
    </row>
    <row r="5313" spans="1:8" x14ac:dyDescent="0.35">
      <c r="A5313" s="7" t="s">
        <v>363</v>
      </c>
      <c r="B5313" s="7" t="s">
        <v>26</v>
      </c>
      <c r="C5313" s="7" t="s">
        <v>27</v>
      </c>
      <c r="D5313" s="7" t="s">
        <v>28</v>
      </c>
      <c r="E5313" s="7" t="s">
        <v>29</v>
      </c>
      <c r="F5313" s="7" t="s">
        <v>299</v>
      </c>
      <c r="G5313" s="7">
        <v>100.6268</v>
      </c>
      <c r="H5313" s="7"/>
    </row>
    <row r="5314" spans="1:8" x14ac:dyDescent="0.35">
      <c r="A5314" s="7" t="s">
        <v>363</v>
      </c>
      <c r="B5314" s="7" t="s">
        <v>26</v>
      </c>
      <c r="C5314" s="7" t="s">
        <v>27</v>
      </c>
      <c r="D5314" s="7" t="s">
        <v>28</v>
      </c>
      <c r="E5314" s="7" t="s">
        <v>29</v>
      </c>
      <c r="F5314" s="7" t="s">
        <v>300</v>
      </c>
      <c r="G5314" s="7">
        <v>100.7966</v>
      </c>
      <c r="H5314" s="7"/>
    </row>
    <row r="5315" spans="1:8" x14ac:dyDescent="0.35">
      <c r="A5315" s="7" t="s">
        <v>363</v>
      </c>
      <c r="B5315" s="7" t="s">
        <v>26</v>
      </c>
      <c r="C5315" s="7" t="s">
        <v>27</v>
      </c>
      <c r="D5315" s="7" t="s">
        <v>28</v>
      </c>
      <c r="E5315" s="7" t="s">
        <v>29</v>
      </c>
      <c r="F5315" s="7" t="s">
        <v>301</v>
      </c>
      <c r="G5315" s="7">
        <v>100.86879999999999</v>
      </c>
      <c r="H5315" s="7"/>
    </row>
    <row r="5316" spans="1:8" x14ac:dyDescent="0.35">
      <c r="A5316" s="7" t="s">
        <v>363</v>
      </c>
      <c r="B5316" s="7" t="s">
        <v>26</v>
      </c>
      <c r="C5316" s="7" t="s">
        <v>27</v>
      </c>
      <c r="D5316" s="7" t="s">
        <v>28</v>
      </c>
      <c r="E5316" s="7" t="s">
        <v>29</v>
      </c>
      <c r="F5316" s="7" t="s">
        <v>302</v>
      </c>
      <c r="G5316" s="7">
        <v>100.7662</v>
      </c>
      <c r="H5316" s="7"/>
    </row>
    <row r="5317" spans="1:8" x14ac:dyDescent="0.35">
      <c r="A5317" s="7" t="s">
        <v>363</v>
      </c>
      <c r="B5317" s="7" t="s">
        <v>26</v>
      </c>
      <c r="C5317" s="7" t="s">
        <v>27</v>
      </c>
      <c r="D5317" s="7" t="s">
        <v>28</v>
      </c>
      <c r="E5317" s="7" t="s">
        <v>29</v>
      </c>
      <c r="F5317" s="7" t="s">
        <v>303</v>
      </c>
      <c r="G5317" s="7">
        <v>100.6253</v>
      </c>
      <c r="H5317" s="7"/>
    </row>
    <row r="5318" spans="1:8" x14ac:dyDescent="0.35">
      <c r="A5318" s="7" t="s">
        <v>363</v>
      </c>
      <c r="B5318" s="7" t="s">
        <v>26</v>
      </c>
      <c r="C5318" s="7" t="s">
        <v>27</v>
      </c>
      <c r="D5318" s="7" t="s">
        <v>28</v>
      </c>
      <c r="E5318" s="7" t="s">
        <v>29</v>
      </c>
      <c r="F5318" s="7" t="s">
        <v>304</v>
      </c>
      <c r="G5318" s="7">
        <v>100.43219999999999</v>
      </c>
      <c r="H5318" s="7"/>
    </row>
    <row r="5319" spans="1:8" x14ac:dyDescent="0.35">
      <c r="A5319" s="7" t="s">
        <v>363</v>
      </c>
      <c r="B5319" s="7" t="s">
        <v>26</v>
      </c>
      <c r="C5319" s="7" t="s">
        <v>27</v>
      </c>
      <c r="D5319" s="7" t="s">
        <v>28</v>
      </c>
      <c r="E5319" s="7" t="s">
        <v>29</v>
      </c>
      <c r="F5319" s="7" t="s">
        <v>305</v>
      </c>
      <c r="G5319" s="7">
        <v>100.3227</v>
      </c>
      <c r="H5319" s="7"/>
    </row>
    <row r="5320" spans="1:8" x14ac:dyDescent="0.35">
      <c r="A5320" s="7" t="s">
        <v>363</v>
      </c>
      <c r="B5320" s="7" t="s">
        <v>26</v>
      </c>
      <c r="C5320" s="7" t="s">
        <v>27</v>
      </c>
      <c r="D5320" s="7" t="s">
        <v>28</v>
      </c>
      <c r="E5320" s="7" t="s">
        <v>29</v>
      </c>
      <c r="F5320" s="7" t="s">
        <v>306</v>
      </c>
      <c r="G5320" s="7">
        <v>100.3831</v>
      </c>
      <c r="H5320" s="7"/>
    </row>
    <row r="5321" spans="1:8" x14ac:dyDescent="0.35">
      <c r="A5321" s="7" t="s">
        <v>363</v>
      </c>
      <c r="B5321" s="7" t="s">
        <v>26</v>
      </c>
      <c r="C5321" s="7" t="s">
        <v>27</v>
      </c>
      <c r="D5321" s="7" t="s">
        <v>28</v>
      </c>
      <c r="E5321" s="7" t="s">
        <v>29</v>
      </c>
      <c r="F5321" s="7" t="s">
        <v>307</v>
      </c>
      <c r="G5321" s="7">
        <v>100.7106</v>
      </c>
      <c r="H5321" s="7"/>
    </row>
    <row r="5322" spans="1:8" x14ac:dyDescent="0.35">
      <c r="A5322" s="7" t="s">
        <v>363</v>
      </c>
      <c r="B5322" s="7" t="s">
        <v>26</v>
      </c>
      <c r="C5322" s="7" t="s">
        <v>27</v>
      </c>
      <c r="D5322" s="7" t="s">
        <v>28</v>
      </c>
      <c r="E5322" s="7" t="s">
        <v>29</v>
      </c>
      <c r="F5322" s="7" t="s">
        <v>308</v>
      </c>
      <c r="G5322" s="7">
        <v>101.1314</v>
      </c>
      <c r="H5322" s="7"/>
    </row>
    <row r="5323" spans="1:8" x14ac:dyDescent="0.35">
      <c r="A5323" s="7" t="s">
        <v>363</v>
      </c>
      <c r="B5323" s="7" t="s">
        <v>26</v>
      </c>
      <c r="C5323" s="7" t="s">
        <v>27</v>
      </c>
      <c r="D5323" s="7" t="s">
        <v>28</v>
      </c>
      <c r="E5323" s="7" t="s">
        <v>29</v>
      </c>
      <c r="F5323" s="7" t="s">
        <v>309</v>
      </c>
      <c r="G5323" s="7">
        <v>101.45050000000001</v>
      </c>
      <c r="H5323" s="7"/>
    </row>
    <row r="5324" spans="1:8" x14ac:dyDescent="0.35">
      <c r="A5324" s="7" t="s">
        <v>363</v>
      </c>
      <c r="B5324" s="7" t="s">
        <v>26</v>
      </c>
      <c r="C5324" s="7" t="s">
        <v>27</v>
      </c>
      <c r="D5324" s="7" t="s">
        <v>28</v>
      </c>
      <c r="E5324" s="7" t="s">
        <v>29</v>
      </c>
      <c r="F5324" s="7" t="s">
        <v>310</v>
      </c>
      <c r="G5324" s="7">
        <v>101.7183</v>
      </c>
      <c r="H5324" s="7"/>
    </row>
    <row r="5325" spans="1:8" x14ac:dyDescent="0.35">
      <c r="A5325" s="7" t="s">
        <v>363</v>
      </c>
      <c r="B5325" s="7" t="s">
        <v>26</v>
      </c>
      <c r="C5325" s="7" t="s">
        <v>27</v>
      </c>
      <c r="D5325" s="7" t="s">
        <v>28</v>
      </c>
      <c r="E5325" s="7" t="s">
        <v>29</v>
      </c>
      <c r="F5325" s="7" t="s">
        <v>311</v>
      </c>
      <c r="G5325" s="7">
        <v>101.8381</v>
      </c>
      <c r="H5325" s="7"/>
    </row>
    <row r="5326" spans="1:8" x14ac:dyDescent="0.35">
      <c r="A5326" s="7" t="s">
        <v>363</v>
      </c>
      <c r="B5326" s="7" t="s">
        <v>26</v>
      </c>
      <c r="C5326" s="7" t="s">
        <v>27</v>
      </c>
      <c r="D5326" s="7" t="s">
        <v>28</v>
      </c>
      <c r="E5326" s="7" t="s">
        <v>29</v>
      </c>
      <c r="F5326" s="7" t="s">
        <v>312</v>
      </c>
      <c r="G5326" s="7">
        <v>101.7647</v>
      </c>
      <c r="H5326" s="7"/>
    </row>
    <row r="5327" spans="1:8" x14ac:dyDescent="0.35">
      <c r="A5327" s="7" t="s">
        <v>363</v>
      </c>
      <c r="B5327" s="7" t="s">
        <v>26</v>
      </c>
      <c r="C5327" s="7" t="s">
        <v>27</v>
      </c>
      <c r="D5327" s="7" t="s">
        <v>28</v>
      </c>
      <c r="E5327" s="7" t="s">
        <v>29</v>
      </c>
      <c r="F5327" s="7" t="s">
        <v>313</v>
      </c>
      <c r="G5327" s="7">
        <v>101.6178</v>
      </c>
      <c r="H5327" s="7"/>
    </row>
    <row r="5328" spans="1:8" x14ac:dyDescent="0.35">
      <c r="A5328" s="7" t="s">
        <v>363</v>
      </c>
      <c r="B5328" s="7" t="s">
        <v>26</v>
      </c>
      <c r="C5328" s="7" t="s">
        <v>27</v>
      </c>
      <c r="D5328" s="7" t="s">
        <v>28</v>
      </c>
      <c r="E5328" s="7" t="s">
        <v>29</v>
      </c>
      <c r="F5328" s="7" t="s">
        <v>314</v>
      </c>
      <c r="G5328" s="7">
        <v>101.49720000000001</v>
      </c>
      <c r="H5328" s="7"/>
    </row>
    <row r="5329" spans="1:8" x14ac:dyDescent="0.35">
      <c r="A5329" s="7" t="s">
        <v>363</v>
      </c>
      <c r="B5329" s="7" t="s">
        <v>26</v>
      </c>
      <c r="C5329" s="7" t="s">
        <v>27</v>
      </c>
      <c r="D5329" s="7" t="s">
        <v>28</v>
      </c>
      <c r="E5329" s="7" t="s">
        <v>29</v>
      </c>
      <c r="F5329" s="7" t="s">
        <v>315</v>
      </c>
      <c r="G5329" s="7">
        <v>101.3974</v>
      </c>
      <c r="H5329" s="7"/>
    </row>
    <row r="5330" spans="1:8" x14ac:dyDescent="0.35">
      <c r="A5330" s="7" t="s">
        <v>363</v>
      </c>
      <c r="B5330" s="7" t="s">
        <v>26</v>
      </c>
      <c r="C5330" s="7" t="s">
        <v>27</v>
      </c>
      <c r="D5330" s="7" t="s">
        <v>28</v>
      </c>
      <c r="E5330" s="7" t="s">
        <v>29</v>
      </c>
      <c r="F5330" s="7" t="s">
        <v>316</v>
      </c>
      <c r="G5330" s="7">
        <v>101.3763</v>
      </c>
      <c r="H5330" s="7"/>
    </row>
    <row r="5331" spans="1:8" x14ac:dyDescent="0.35">
      <c r="A5331" s="7" t="s">
        <v>363</v>
      </c>
      <c r="B5331" s="7" t="s">
        <v>26</v>
      </c>
      <c r="C5331" s="7" t="s">
        <v>27</v>
      </c>
      <c r="D5331" s="7" t="s">
        <v>28</v>
      </c>
      <c r="E5331" s="7" t="s">
        <v>29</v>
      </c>
      <c r="F5331" s="7" t="s">
        <v>317</v>
      </c>
      <c r="G5331" s="7">
        <v>101.496</v>
      </c>
      <c r="H5331" s="7"/>
    </row>
    <row r="5332" spans="1:8" x14ac:dyDescent="0.35">
      <c r="A5332" s="7" t="s">
        <v>363</v>
      </c>
      <c r="B5332" s="7" t="s">
        <v>26</v>
      </c>
      <c r="C5332" s="7" t="s">
        <v>27</v>
      </c>
      <c r="D5332" s="7" t="s">
        <v>28</v>
      </c>
      <c r="E5332" s="7" t="s">
        <v>29</v>
      </c>
      <c r="F5332" s="7" t="s">
        <v>318</v>
      </c>
      <c r="G5332" s="7">
        <v>101.684</v>
      </c>
      <c r="H5332" s="7"/>
    </row>
    <row r="5333" spans="1:8" x14ac:dyDescent="0.35">
      <c r="A5333" s="7" t="s">
        <v>363</v>
      </c>
      <c r="B5333" s="7" t="s">
        <v>26</v>
      </c>
      <c r="C5333" s="7" t="s">
        <v>27</v>
      </c>
      <c r="D5333" s="7" t="s">
        <v>28</v>
      </c>
      <c r="E5333" s="7" t="s">
        <v>29</v>
      </c>
      <c r="F5333" s="7" t="s">
        <v>319</v>
      </c>
      <c r="G5333" s="7">
        <v>101.7855</v>
      </c>
      <c r="H5333" s="7"/>
    </row>
    <row r="5334" spans="1:8" x14ac:dyDescent="0.35">
      <c r="A5334" s="7" t="s">
        <v>363</v>
      </c>
      <c r="B5334" s="7" t="s">
        <v>26</v>
      </c>
      <c r="C5334" s="7" t="s">
        <v>27</v>
      </c>
      <c r="D5334" s="7" t="s">
        <v>28</v>
      </c>
      <c r="E5334" s="7" t="s">
        <v>29</v>
      </c>
      <c r="F5334" s="7" t="s">
        <v>320</v>
      </c>
      <c r="G5334" s="7">
        <v>101.5967</v>
      </c>
      <c r="H5334" s="7"/>
    </row>
    <row r="5335" spans="1:8" x14ac:dyDescent="0.35">
      <c r="A5335" s="7" t="s">
        <v>363</v>
      </c>
      <c r="B5335" s="7" t="s">
        <v>26</v>
      </c>
      <c r="C5335" s="7" t="s">
        <v>27</v>
      </c>
      <c r="D5335" s="7" t="s">
        <v>28</v>
      </c>
      <c r="E5335" s="7" t="s">
        <v>29</v>
      </c>
      <c r="F5335" s="7" t="s">
        <v>321</v>
      </c>
      <c r="G5335" s="7">
        <v>101.3518</v>
      </c>
      <c r="H5335" s="7"/>
    </row>
    <row r="5336" spans="1:8" x14ac:dyDescent="0.35">
      <c r="A5336" s="7" t="s">
        <v>363</v>
      </c>
      <c r="B5336" s="7" t="s">
        <v>26</v>
      </c>
      <c r="C5336" s="7" t="s">
        <v>27</v>
      </c>
      <c r="D5336" s="7" t="s">
        <v>28</v>
      </c>
      <c r="E5336" s="7" t="s">
        <v>29</v>
      </c>
      <c r="F5336" s="7" t="s">
        <v>322</v>
      </c>
      <c r="G5336" s="7">
        <v>101.13930000000001</v>
      </c>
      <c r="H5336" s="7"/>
    </row>
    <row r="5337" spans="1:8" x14ac:dyDescent="0.35">
      <c r="A5337" s="7" t="s">
        <v>363</v>
      </c>
      <c r="B5337" s="7" t="s">
        <v>26</v>
      </c>
      <c r="C5337" s="7" t="s">
        <v>27</v>
      </c>
      <c r="D5337" s="7" t="s">
        <v>28</v>
      </c>
      <c r="E5337" s="7" t="s">
        <v>29</v>
      </c>
      <c r="F5337" s="7" t="s">
        <v>323</v>
      </c>
      <c r="G5337" s="7">
        <v>101.0847</v>
      </c>
      <c r="H5337" s="7"/>
    </row>
    <row r="5338" spans="1:8" x14ac:dyDescent="0.35">
      <c r="A5338" s="7" t="s">
        <v>363</v>
      </c>
      <c r="B5338" s="7" t="s">
        <v>26</v>
      </c>
      <c r="C5338" s="7" t="s">
        <v>27</v>
      </c>
      <c r="D5338" s="7" t="s">
        <v>28</v>
      </c>
      <c r="E5338" s="7" t="s">
        <v>29</v>
      </c>
      <c r="F5338" s="7" t="s">
        <v>324</v>
      </c>
      <c r="G5338" s="7">
        <v>101.1092</v>
      </c>
      <c r="H5338" s="7"/>
    </row>
    <row r="5339" spans="1:8" x14ac:dyDescent="0.35">
      <c r="A5339" s="7" t="s">
        <v>363</v>
      </c>
      <c r="B5339" s="7" t="s">
        <v>26</v>
      </c>
      <c r="C5339" s="7" t="s">
        <v>27</v>
      </c>
      <c r="D5339" s="7" t="s">
        <v>28</v>
      </c>
      <c r="E5339" s="7" t="s">
        <v>29</v>
      </c>
      <c r="F5339" s="7" t="s">
        <v>325</v>
      </c>
      <c r="G5339" s="7">
        <v>101.08280000000001</v>
      </c>
      <c r="H5339" s="7"/>
    </row>
    <row r="5340" spans="1:8" x14ac:dyDescent="0.35">
      <c r="A5340" s="7" t="s">
        <v>363</v>
      </c>
      <c r="B5340" s="7" t="s">
        <v>26</v>
      </c>
      <c r="C5340" s="7" t="s">
        <v>27</v>
      </c>
      <c r="D5340" s="7" t="s">
        <v>28</v>
      </c>
      <c r="E5340" s="7" t="s">
        <v>29</v>
      </c>
      <c r="F5340" s="7" t="s">
        <v>326</v>
      </c>
      <c r="G5340" s="7">
        <v>100.9584</v>
      </c>
      <c r="H5340" s="7"/>
    </row>
    <row r="5341" spans="1:8" x14ac:dyDescent="0.35">
      <c r="A5341" s="7" t="s">
        <v>363</v>
      </c>
      <c r="B5341" s="7" t="s">
        <v>26</v>
      </c>
      <c r="C5341" s="7" t="s">
        <v>27</v>
      </c>
      <c r="D5341" s="7" t="s">
        <v>28</v>
      </c>
      <c r="E5341" s="7" t="s">
        <v>29</v>
      </c>
      <c r="F5341" s="7" t="s">
        <v>327</v>
      </c>
      <c r="G5341" s="7">
        <v>100.87309999999999</v>
      </c>
      <c r="H5341" s="7"/>
    </row>
    <row r="5342" spans="1:8" x14ac:dyDescent="0.35">
      <c r="A5342" s="7" t="s">
        <v>363</v>
      </c>
      <c r="B5342" s="7" t="s">
        <v>26</v>
      </c>
      <c r="C5342" s="7" t="s">
        <v>27</v>
      </c>
      <c r="D5342" s="7" t="s">
        <v>28</v>
      </c>
      <c r="E5342" s="7" t="s">
        <v>29</v>
      </c>
      <c r="F5342" s="7" t="s">
        <v>328</v>
      </c>
      <c r="G5342" s="7">
        <v>100.85429999999999</v>
      </c>
      <c r="H5342" s="7"/>
    </row>
    <row r="5343" spans="1:8" x14ac:dyDescent="0.35">
      <c r="A5343" s="7" t="s">
        <v>363</v>
      </c>
      <c r="B5343" s="7" t="s">
        <v>26</v>
      </c>
      <c r="C5343" s="7" t="s">
        <v>27</v>
      </c>
      <c r="D5343" s="7" t="s">
        <v>28</v>
      </c>
      <c r="E5343" s="7" t="s">
        <v>29</v>
      </c>
      <c r="F5343" s="7" t="s">
        <v>329</v>
      </c>
      <c r="G5343" s="7">
        <v>100.9789</v>
      </c>
      <c r="H5343" s="7"/>
    </row>
    <row r="5344" spans="1:8" x14ac:dyDescent="0.35">
      <c r="A5344" s="7" t="s">
        <v>363</v>
      </c>
      <c r="B5344" s="7" t="s">
        <v>26</v>
      </c>
      <c r="C5344" s="7" t="s">
        <v>27</v>
      </c>
      <c r="D5344" s="7" t="s">
        <v>28</v>
      </c>
      <c r="E5344" s="7" t="s">
        <v>29</v>
      </c>
      <c r="F5344" s="7" t="s">
        <v>330</v>
      </c>
      <c r="G5344" s="7">
        <v>101.1344</v>
      </c>
      <c r="H5344" s="7"/>
    </row>
    <row r="5345" spans="1:8" x14ac:dyDescent="0.35">
      <c r="A5345" s="7" t="s">
        <v>363</v>
      </c>
      <c r="B5345" s="7" t="s">
        <v>26</v>
      </c>
      <c r="C5345" s="7" t="s">
        <v>27</v>
      </c>
      <c r="D5345" s="7" t="s">
        <v>28</v>
      </c>
      <c r="E5345" s="7" t="s">
        <v>29</v>
      </c>
      <c r="F5345" s="7" t="s">
        <v>331</v>
      </c>
      <c r="G5345" s="7">
        <v>101.20140000000001</v>
      </c>
      <c r="H5345" s="7"/>
    </row>
    <row r="5346" spans="1:8" x14ac:dyDescent="0.35">
      <c r="A5346" s="7" t="s">
        <v>363</v>
      </c>
      <c r="B5346" s="7" t="s">
        <v>26</v>
      </c>
      <c r="C5346" s="7" t="s">
        <v>27</v>
      </c>
      <c r="D5346" s="7" t="s">
        <v>28</v>
      </c>
      <c r="E5346" s="7" t="s">
        <v>29</v>
      </c>
      <c r="F5346" s="7" t="s">
        <v>332</v>
      </c>
      <c r="G5346" s="7">
        <v>101.2165</v>
      </c>
      <c r="H5346" s="7"/>
    </row>
    <row r="5347" spans="1:8" x14ac:dyDescent="0.35">
      <c r="A5347" s="7" t="s">
        <v>363</v>
      </c>
      <c r="B5347" s="7" t="s">
        <v>26</v>
      </c>
      <c r="C5347" s="7" t="s">
        <v>27</v>
      </c>
      <c r="D5347" s="7" t="s">
        <v>28</v>
      </c>
      <c r="E5347" s="7" t="s">
        <v>29</v>
      </c>
      <c r="F5347" s="7" t="s">
        <v>333</v>
      </c>
      <c r="G5347" s="7">
        <v>101.24509999999999</v>
      </c>
      <c r="H5347" s="7"/>
    </row>
    <row r="5348" spans="1:8" x14ac:dyDescent="0.35">
      <c r="A5348" s="7" t="s">
        <v>363</v>
      </c>
      <c r="B5348" s="7" t="s">
        <v>26</v>
      </c>
      <c r="C5348" s="7" t="s">
        <v>27</v>
      </c>
      <c r="D5348" s="7" t="s">
        <v>28</v>
      </c>
      <c r="E5348" s="7" t="s">
        <v>29</v>
      </c>
      <c r="F5348" s="7" t="s">
        <v>334</v>
      </c>
      <c r="G5348" s="7">
        <v>101.3897</v>
      </c>
      <c r="H5348" s="7"/>
    </row>
    <row r="5349" spans="1:8" x14ac:dyDescent="0.35">
      <c r="A5349" s="7" t="s">
        <v>363</v>
      </c>
      <c r="B5349" s="7" t="s">
        <v>26</v>
      </c>
      <c r="C5349" s="7" t="s">
        <v>27</v>
      </c>
      <c r="D5349" s="7" t="s">
        <v>28</v>
      </c>
      <c r="E5349" s="7" t="s">
        <v>29</v>
      </c>
      <c r="F5349" s="7" t="s">
        <v>335</v>
      </c>
      <c r="G5349" s="7">
        <v>101.60250000000001</v>
      </c>
      <c r="H5349" s="7"/>
    </row>
    <row r="5350" spans="1:8" x14ac:dyDescent="0.35">
      <c r="A5350" s="7" t="s">
        <v>363</v>
      </c>
      <c r="B5350" s="7" t="s">
        <v>26</v>
      </c>
      <c r="C5350" s="7" t="s">
        <v>27</v>
      </c>
      <c r="D5350" s="7" t="s">
        <v>28</v>
      </c>
      <c r="E5350" s="7" t="s">
        <v>29</v>
      </c>
      <c r="F5350" s="7" t="s">
        <v>336</v>
      </c>
      <c r="G5350" s="7">
        <v>101.7367</v>
      </c>
      <c r="H5350" s="7"/>
    </row>
    <row r="5351" spans="1:8" x14ac:dyDescent="0.35">
      <c r="A5351" s="7" t="s">
        <v>363</v>
      </c>
      <c r="B5351" s="7" t="s">
        <v>26</v>
      </c>
      <c r="C5351" s="7" t="s">
        <v>27</v>
      </c>
      <c r="D5351" s="7" t="s">
        <v>28</v>
      </c>
      <c r="E5351" s="7" t="s">
        <v>29</v>
      </c>
      <c r="F5351" s="7" t="s">
        <v>337</v>
      </c>
      <c r="G5351" s="7">
        <v>101.76390000000001</v>
      </c>
      <c r="H5351" s="7"/>
    </row>
    <row r="5352" spans="1:8" x14ac:dyDescent="0.35">
      <c r="A5352" s="7" t="s">
        <v>363</v>
      </c>
      <c r="B5352" s="7" t="s">
        <v>26</v>
      </c>
      <c r="C5352" s="7" t="s">
        <v>27</v>
      </c>
      <c r="D5352" s="7" t="s">
        <v>28</v>
      </c>
      <c r="E5352" s="7" t="s">
        <v>29</v>
      </c>
      <c r="F5352" s="7" t="s">
        <v>338</v>
      </c>
      <c r="G5352" s="7">
        <v>101.71299999999999</v>
      </c>
      <c r="H5352" s="7"/>
    </row>
    <row r="5353" spans="1:8" x14ac:dyDescent="0.35">
      <c r="A5353" s="7" t="s">
        <v>363</v>
      </c>
      <c r="B5353" s="7" t="s">
        <v>26</v>
      </c>
      <c r="C5353" s="7" t="s">
        <v>27</v>
      </c>
      <c r="D5353" s="7" t="s">
        <v>28</v>
      </c>
      <c r="E5353" s="7" t="s">
        <v>29</v>
      </c>
      <c r="F5353" s="7" t="s">
        <v>339</v>
      </c>
      <c r="G5353" s="7">
        <v>101.58199999999999</v>
      </c>
      <c r="H5353" s="7"/>
    </row>
    <row r="5354" spans="1:8" x14ac:dyDescent="0.35">
      <c r="A5354" s="7" t="s">
        <v>363</v>
      </c>
      <c r="B5354" s="7" t="s">
        <v>26</v>
      </c>
      <c r="C5354" s="7" t="s">
        <v>27</v>
      </c>
      <c r="D5354" s="7" t="s">
        <v>28</v>
      </c>
      <c r="E5354" s="7" t="s">
        <v>29</v>
      </c>
      <c r="F5354" s="7" t="s">
        <v>340</v>
      </c>
      <c r="G5354" s="7">
        <v>101.4628</v>
      </c>
      <c r="H5354" s="7"/>
    </row>
    <row r="5355" spans="1:8" x14ac:dyDescent="0.35">
      <c r="A5355" s="7" t="s">
        <v>363</v>
      </c>
      <c r="B5355" s="7" t="s">
        <v>26</v>
      </c>
      <c r="C5355" s="7" t="s">
        <v>27</v>
      </c>
      <c r="D5355" s="7" t="s">
        <v>28</v>
      </c>
      <c r="E5355" s="7" t="s">
        <v>29</v>
      </c>
      <c r="F5355" s="7" t="s">
        <v>341</v>
      </c>
      <c r="G5355" s="7">
        <v>101.4012</v>
      </c>
      <c r="H5355" s="7"/>
    </row>
    <row r="5356" spans="1:8" x14ac:dyDescent="0.35">
      <c r="A5356" s="7" t="s">
        <v>363</v>
      </c>
      <c r="B5356" s="7" t="s">
        <v>26</v>
      </c>
      <c r="C5356" s="7" t="s">
        <v>27</v>
      </c>
      <c r="D5356" s="7" t="s">
        <v>28</v>
      </c>
      <c r="E5356" s="7" t="s">
        <v>29</v>
      </c>
      <c r="F5356" s="7" t="s">
        <v>342</v>
      </c>
      <c r="G5356" s="7">
        <v>101.4067</v>
      </c>
      <c r="H5356" s="7"/>
    </row>
    <row r="5357" spans="1:8" x14ac:dyDescent="0.35">
      <c r="A5357" s="7" t="s">
        <v>363</v>
      </c>
      <c r="B5357" s="7" t="s">
        <v>26</v>
      </c>
      <c r="C5357" s="7" t="s">
        <v>27</v>
      </c>
      <c r="D5357" s="7" t="s">
        <v>28</v>
      </c>
      <c r="E5357" s="7" t="s">
        <v>29</v>
      </c>
      <c r="F5357" s="7" t="s">
        <v>343</v>
      </c>
      <c r="G5357" s="7">
        <v>101.4765</v>
      </c>
      <c r="H5357" s="7"/>
    </row>
    <row r="5358" spans="1:8" x14ac:dyDescent="0.35">
      <c r="A5358" s="7" t="s">
        <v>363</v>
      </c>
      <c r="B5358" s="7" t="s">
        <v>26</v>
      </c>
      <c r="C5358" s="7" t="s">
        <v>27</v>
      </c>
      <c r="D5358" s="7" t="s">
        <v>28</v>
      </c>
      <c r="E5358" s="7" t="s">
        <v>29</v>
      </c>
      <c r="F5358" s="7" t="s">
        <v>344</v>
      </c>
      <c r="G5358" s="7">
        <v>101.55370000000001</v>
      </c>
      <c r="H5358" s="7"/>
    </row>
    <row r="5359" spans="1:8" x14ac:dyDescent="0.35">
      <c r="A5359" s="7" t="s">
        <v>363</v>
      </c>
      <c r="B5359" s="7" t="s">
        <v>26</v>
      </c>
      <c r="C5359" s="7" t="s">
        <v>27</v>
      </c>
      <c r="D5359" s="7" t="s">
        <v>28</v>
      </c>
      <c r="E5359" s="7" t="s">
        <v>29</v>
      </c>
      <c r="F5359" s="7" t="s">
        <v>345</v>
      </c>
      <c r="G5359" s="7">
        <v>101.4815</v>
      </c>
      <c r="H5359" s="7"/>
    </row>
    <row r="5360" spans="1:8" x14ac:dyDescent="0.35">
      <c r="A5360" s="7" t="s">
        <v>363</v>
      </c>
      <c r="B5360" s="7" t="s">
        <v>26</v>
      </c>
      <c r="C5360" s="7" t="s">
        <v>27</v>
      </c>
      <c r="D5360" s="7" t="s">
        <v>28</v>
      </c>
      <c r="E5360" s="7" t="s">
        <v>29</v>
      </c>
      <c r="F5360" s="7" t="s">
        <v>346</v>
      </c>
      <c r="G5360" s="7">
        <v>101.27030000000001</v>
      </c>
      <c r="H5360" s="7"/>
    </row>
    <row r="5361" spans="1:8" x14ac:dyDescent="0.35">
      <c r="A5361" s="7" t="s">
        <v>364</v>
      </c>
      <c r="B5361" s="7" t="s">
        <v>26</v>
      </c>
      <c r="C5361" s="7" t="s">
        <v>27</v>
      </c>
      <c r="D5361" s="7" t="s">
        <v>28</v>
      </c>
      <c r="E5361" s="7" t="s">
        <v>29</v>
      </c>
      <c r="F5361" s="7" t="s">
        <v>152</v>
      </c>
      <c r="G5361" s="7">
        <v>102.3402</v>
      </c>
      <c r="H5361" s="7"/>
    </row>
    <row r="5362" spans="1:8" x14ac:dyDescent="0.35">
      <c r="A5362" s="7" t="s">
        <v>364</v>
      </c>
      <c r="B5362" s="7" t="s">
        <v>26</v>
      </c>
      <c r="C5362" s="7" t="s">
        <v>27</v>
      </c>
      <c r="D5362" s="7" t="s">
        <v>28</v>
      </c>
      <c r="E5362" s="7" t="s">
        <v>29</v>
      </c>
      <c r="F5362" s="7" t="s">
        <v>153</v>
      </c>
      <c r="G5362" s="7">
        <v>102.8344</v>
      </c>
      <c r="H5362" s="7"/>
    </row>
    <row r="5363" spans="1:8" x14ac:dyDescent="0.35">
      <c r="A5363" s="7" t="s">
        <v>364</v>
      </c>
      <c r="B5363" s="7" t="s">
        <v>26</v>
      </c>
      <c r="C5363" s="7" t="s">
        <v>27</v>
      </c>
      <c r="D5363" s="7" t="s">
        <v>28</v>
      </c>
      <c r="E5363" s="7" t="s">
        <v>29</v>
      </c>
      <c r="F5363" s="7" t="s">
        <v>154</v>
      </c>
      <c r="G5363" s="7">
        <v>102.98350000000001</v>
      </c>
      <c r="H5363" s="7"/>
    </row>
    <row r="5364" spans="1:8" x14ac:dyDescent="0.35">
      <c r="A5364" s="7" t="s">
        <v>364</v>
      </c>
      <c r="B5364" s="7" t="s">
        <v>26</v>
      </c>
      <c r="C5364" s="7" t="s">
        <v>27</v>
      </c>
      <c r="D5364" s="7" t="s">
        <v>28</v>
      </c>
      <c r="E5364" s="7" t="s">
        <v>29</v>
      </c>
      <c r="F5364" s="7" t="s">
        <v>155</v>
      </c>
      <c r="G5364" s="7">
        <v>103.15600000000001</v>
      </c>
      <c r="H5364" s="7"/>
    </row>
    <row r="5365" spans="1:8" x14ac:dyDescent="0.35">
      <c r="A5365" s="7" t="s">
        <v>364</v>
      </c>
      <c r="B5365" s="7" t="s">
        <v>26</v>
      </c>
      <c r="C5365" s="7" t="s">
        <v>27</v>
      </c>
      <c r="D5365" s="7" t="s">
        <v>28</v>
      </c>
      <c r="E5365" s="7" t="s">
        <v>29</v>
      </c>
      <c r="F5365" s="7" t="s">
        <v>156</v>
      </c>
      <c r="G5365" s="7">
        <v>103.1835</v>
      </c>
      <c r="H5365" s="7"/>
    </row>
    <row r="5366" spans="1:8" x14ac:dyDescent="0.35">
      <c r="A5366" s="7" t="s">
        <v>364</v>
      </c>
      <c r="B5366" s="7" t="s">
        <v>26</v>
      </c>
      <c r="C5366" s="7" t="s">
        <v>27</v>
      </c>
      <c r="D5366" s="7" t="s">
        <v>28</v>
      </c>
      <c r="E5366" s="7" t="s">
        <v>29</v>
      </c>
      <c r="F5366" s="7" t="s">
        <v>157</v>
      </c>
      <c r="G5366" s="7">
        <v>102.9795</v>
      </c>
      <c r="H5366" s="7"/>
    </row>
    <row r="5367" spans="1:8" x14ac:dyDescent="0.35">
      <c r="A5367" s="7" t="s">
        <v>364</v>
      </c>
      <c r="B5367" s="7" t="s">
        <v>26</v>
      </c>
      <c r="C5367" s="7" t="s">
        <v>27</v>
      </c>
      <c r="D5367" s="7" t="s">
        <v>28</v>
      </c>
      <c r="E5367" s="7" t="s">
        <v>29</v>
      </c>
      <c r="F5367" s="7" t="s">
        <v>158</v>
      </c>
      <c r="G5367" s="7">
        <v>102.4832</v>
      </c>
      <c r="H5367" s="7"/>
    </row>
    <row r="5368" spans="1:8" x14ac:dyDescent="0.35">
      <c r="A5368" s="7" t="s">
        <v>364</v>
      </c>
      <c r="B5368" s="7" t="s">
        <v>26</v>
      </c>
      <c r="C5368" s="7" t="s">
        <v>27</v>
      </c>
      <c r="D5368" s="7" t="s">
        <v>28</v>
      </c>
      <c r="E5368" s="7" t="s">
        <v>29</v>
      </c>
      <c r="F5368" s="7" t="s">
        <v>159</v>
      </c>
      <c r="G5368" s="7">
        <v>101.8068</v>
      </c>
      <c r="H5368" s="7"/>
    </row>
    <row r="5369" spans="1:8" x14ac:dyDescent="0.35">
      <c r="A5369" s="7" t="s">
        <v>364</v>
      </c>
      <c r="B5369" s="7" t="s">
        <v>26</v>
      </c>
      <c r="C5369" s="7" t="s">
        <v>27</v>
      </c>
      <c r="D5369" s="7" t="s">
        <v>28</v>
      </c>
      <c r="E5369" s="7" t="s">
        <v>29</v>
      </c>
      <c r="F5369" s="7" t="s">
        <v>160</v>
      </c>
      <c r="G5369" s="7">
        <v>101.11109999999999</v>
      </c>
      <c r="H5369" s="7"/>
    </row>
    <row r="5370" spans="1:8" x14ac:dyDescent="0.35">
      <c r="A5370" s="7" t="s">
        <v>364</v>
      </c>
      <c r="B5370" s="7" t="s">
        <v>26</v>
      </c>
      <c r="C5370" s="7" t="s">
        <v>27</v>
      </c>
      <c r="D5370" s="7" t="s">
        <v>28</v>
      </c>
      <c r="E5370" s="7" t="s">
        <v>29</v>
      </c>
      <c r="F5370" s="7" t="s">
        <v>161</v>
      </c>
      <c r="G5370" s="7">
        <v>100.4063</v>
      </c>
      <c r="H5370" s="7"/>
    </row>
    <row r="5371" spans="1:8" x14ac:dyDescent="0.35">
      <c r="A5371" s="7" t="s">
        <v>364</v>
      </c>
      <c r="B5371" s="7" t="s">
        <v>26</v>
      </c>
      <c r="C5371" s="7" t="s">
        <v>27</v>
      </c>
      <c r="D5371" s="7" t="s">
        <v>28</v>
      </c>
      <c r="E5371" s="7" t="s">
        <v>29</v>
      </c>
      <c r="F5371" s="7" t="s">
        <v>162</v>
      </c>
      <c r="G5371" s="7">
        <v>99.68262</v>
      </c>
      <c r="H5371" s="7"/>
    </row>
    <row r="5372" spans="1:8" x14ac:dyDescent="0.35">
      <c r="A5372" s="7" t="s">
        <v>364</v>
      </c>
      <c r="B5372" s="7" t="s">
        <v>26</v>
      </c>
      <c r="C5372" s="7" t="s">
        <v>27</v>
      </c>
      <c r="D5372" s="7" t="s">
        <v>28</v>
      </c>
      <c r="E5372" s="7" t="s">
        <v>29</v>
      </c>
      <c r="F5372" s="7" t="s">
        <v>163</v>
      </c>
      <c r="G5372" s="7">
        <v>99.417659999999998</v>
      </c>
      <c r="H5372" s="7"/>
    </row>
    <row r="5373" spans="1:8" x14ac:dyDescent="0.35">
      <c r="A5373" s="7" t="s">
        <v>364</v>
      </c>
      <c r="B5373" s="7" t="s">
        <v>26</v>
      </c>
      <c r="C5373" s="7" t="s">
        <v>27</v>
      </c>
      <c r="D5373" s="7" t="s">
        <v>28</v>
      </c>
      <c r="E5373" s="7" t="s">
        <v>29</v>
      </c>
      <c r="F5373" s="7" t="s">
        <v>164</v>
      </c>
      <c r="G5373" s="7">
        <v>99.379810000000006</v>
      </c>
      <c r="H5373" s="7"/>
    </row>
    <row r="5374" spans="1:8" x14ac:dyDescent="0.35">
      <c r="A5374" s="7" t="s">
        <v>364</v>
      </c>
      <c r="B5374" s="7" t="s">
        <v>26</v>
      </c>
      <c r="C5374" s="7" t="s">
        <v>27</v>
      </c>
      <c r="D5374" s="7" t="s">
        <v>28</v>
      </c>
      <c r="E5374" s="7" t="s">
        <v>29</v>
      </c>
      <c r="F5374" s="7" t="s">
        <v>165</v>
      </c>
      <c r="G5374" s="7">
        <v>99.288570000000007</v>
      </c>
      <c r="H5374" s="7"/>
    </row>
    <row r="5375" spans="1:8" x14ac:dyDescent="0.35">
      <c r="A5375" s="7" t="s">
        <v>364</v>
      </c>
      <c r="B5375" s="7" t="s">
        <v>26</v>
      </c>
      <c r="C5375" s="7" t="s">
        <v>27</v>
      </c>
      <c r="D5375" s="7" t="s">
        <v>28</v>
      </c>
      <c r="E5375" s="7" t="s">
        <v>29</v>
      </c>
      <c r="F5375" s="7" t="s">
        <v>166</v>
      </c>
      <c r="G5375" s="7">
        <v>99.275930000000002</v>
      </c>
      <c r="H5375" s="7"/>
    </row>
    <row r="5376" spans="1:8" x14ac:dyDescent="0.35">
      <c r="A5376" s="7" t="s">
        <v>364</v>
      </c>
      <c r="B5376" s="7" t="s">
        <v>26</v>
      </c>
      <c r="C5376" s="7" t="s">
        <v>27</v>
      </c>
      <c r="D5376" s="7" t="s">
        <v>28</v>
      </c>
      <c r="E5376" s="7" t="s">
        <v>29</v>
      </c>
      <c r="F5376" s="7" t="s">
        <v>167</v>
      </c>
      <c r="G5376" s="7">
        <v>99.441149999999993</v>
      </c>
      <c r="H5376" s="7"/>
    </row>
    <row r="5377" spans="1:8" x14ac:dyDescent="0.35">
      <c r="A5377" s="7" t="s">
        <v>364</v>
      </c>
      <c r="B5377" s="7" t="s">
        <v>26</v>
      </c>
      <c r="C5377" s="7" t="s">
        <v>27</v>
      </c>
      <c r="D5377" s="7" t="s">
        <v>28</v>
      </c>
      <c r="E5377" s="7" t="s">
        <v>29</v>
      </c>
      <c r="F5377" s="7" t="s">
        <v>168</v>
      </c>
      <c r="G5377" s="7">
        <v>99.665629999999993</v>
      </c>
      <c r="H5377" s="7"/>
    </row>
    <row r="5378" spans="1:8" x14ac:dyDescent="0.35">
      <c r="A5378" s="7" t="s">
        <v>364</v>
      </c>
      <c r="B5378" s="7" t="s">
        <v>26</v>
      </c>
      <c r="C5378" s="7" t="s">
        <v>27</v>
      </c>
      <c r="D5378" s="7" t="s">
        <v>28</v>
      </c>
      <c r="E5378" s="7" t="s">
        <v>29</v>
      </c>
      <c r="F5378" s="7" t="s">
        <v>169</v>
      </c>
      <c r="G5378" s="7">
        <v>99.814869999999999</v>
      </c>
      <c r="H5378" s="7"/>
    </row>
    <row r="5379" spans="1:8" x14ac:dyDescent="0.35">
      <c r="A5379" s="7" t="s">
        <v>364</v>
      </c>
      <c r="B5379" s="7" t="s">
        <v>26</v>
      </c>
      <c r="C5379" s="7" t="s">
        <v>27</v>
      </c>
      <c r="D5379" s="7" t="s">
        <v>28</v>
      </c>
      <c r="E5379" s="7" t="s">
        <v>29</v>
      </c>
      <c r="F5379" s="7" t="s">
        <v>170</v>
      </c>
      <c r="G5379" s="7">
        <v>100.107</v>
      </c>
      <c r="H5379" s="7"/>
    </row>
    <row r="5380" spans="1:8" x14ac:dyDescent="0.35">
      <c r="A5380" s="7" t="s">
        <v>364</v>
      </c>
      <c r="B5380" s="7" t="s">
        <v>26</v>
      </c>
      <c r="C5380" s="7" t="s">
        <v>27</v>
      </c>
      <c r="D5380" s="7" t="s">
        <v>28</v>
      </c>
      <c r="E5380" s="7" t="s">
        <v>29</v>
      </c>
      <c r="F5380" s="7" t="s">
        <v>171</v>
      </c>
      <c r="G5380" s="7">
        <v>100.3139</v>
      </c>
      <c r="H5380" s="7"/>
    </row>
    <row r="5381" spans="1:8" x14ac:dyDescent="0.35">
      <c r="A5381" s="7" t="s">
        <v>364</v>
      </c>
      <c r="B5381" s="7" t="s">
        <v>26</v>
      </c>
      <c r="C5381" s="7" t="s">
        <v>27</v>
      </c>
      <c r="D5381" s="7" t="s">
        <v>28</v>
      </c>
      <c r="E5381" s="7" t="s">
        <v>29</v>
      </c>
      <c r="F5381" s="7" t="s">
        <v>172</v>
      </c>
      <c r="G5381" s="7">
        <v>100.34480000000001</v>
      </c>
      <c r="H5381" s="7"/>
    </row>
    <row r="5382" spans="1:8" x14ac:dyDescent="0.35">
      <c r="A5382" s="7" t="s">
        <v>364</v>
      </c>
      <c r="B5382" s="7" t="s">
        <v>26</v>
      </c>
      <c r="C5382" s="7" t="s">
        <v>27</v>
      </c>
      <c r="D5382" s="7" t="s">
        <v>28</v>
      </c>
      <c r="E5382" s="7" t="s">
        <v>29</v>
      </c>
      <c r="F5382" s="7" t="s">
        <v>173</v>
      </c>
      <c r="G5382" s="7">
        <v>100.0956</v>
      </c>
      <c r="H5382" s="7"/>
    </row>
    <row r="5383" spans="1:8" x14ac:dyDescent="0.35">
      <c r="A5383" s="7" t="s">
        <v>364</v>
      </c>
      <c r="B5383" s="7" t="s">
        <v>26</v>
      </c>
      <c r="C5383" s="7" t="s">
        <v>27</v>
      </c>
      <c r="D5383" s="7" t="s">
        <v>28</v>
      </c>
      <c r="E5383" s="7" t="s">
        <v>29</v>
      </c>
      <c r="F5383" s="7" t="s">
        <v>174</v>
      </c>
      <c r="G5383" s="7">
        <v>99.813460000000006</v>
      </c>
      <c r="H5383" s="7"/>
    </row>
    <row r="5384" spans="1:8" x14ac:dyDescent="0.35">
      <c r="A5384" s="7" t="s">
        <v>364</v>
      </c>
      <c r="B5384" s="7" t="s">
        <v>26</v>
      </c>
      <c r="C5384" s="7" t="s">
        <v>27</v>
      </c>
      <c r="D5384" s="7" t="s">
        <v>28</v>
      </c>
      <c r="E5384" s="7" t="s">
        <v>29</v>
      </c>
      <c r="F5384" s="7" t="s">
        <v>175</v>
      </c>
      <c r="G5384" s="7">
        <v>99.696479999999994</v>
      </c>
      <c r="H5384" s="7"/>
    </row>
    <row r="5385" spans="1:8" x14ac:dyDescent="0.35">
      <c r="A5385" s="7" t="s">
        <v>364</v>
      </c>
      <c r="B5385" s="7" t="s">
        <v>26</v>
      </c>
      <c r="C5385" s="7" t="s">
        <v>27</v>
      </c>
      <c r="D5385" s="7" t="s">
        <v>28</v>
      </c>
      <c r="E5385" s="7" t="s">
        <v>29</v>
      </c>
      <c r="F5385" s="7" t="s">
        <v>176</v>
      </c>
      <c r="G5385" s="7">
        <v>99.949780000000004</v>
      </c>
      <c r="H5385" s="7"/>
    </row>
    <row r="5386" spans="1:8" x14ac:dyDescent="0.35">
      <c r="A5386" s="7" t="s">
        <v>364</v>
      </c>
      <c r="B5386" s="7" t="s">
        <v>26</v>
      </c>
      <c r="C5386" s="7" t="s">
        <v>27</v>
      </c>
      <c r="D5386" s="7" t="s">
        <v>28</v>
      </c>
      <c r="E5386" s="7" t="s">
        <v>29</v>
      </c>
      <c r="F5386" s="7" t="s">
        <v>177</v>
      </c>
      <c r="G5386" s="7">
        <v>100.19670000000001</v>
      </c>
      <c r="H5386" s="7"/>
    </row>
    <row r="5387" spans="1:8" x14ac:dyDescent="0.35">
      <c r="A5387" s="7" t="s">
        <v>364</v>
      </c>
      <c r="B5387" s="7" t="s">
        <v>26</v>
      </c>
      <c r="C5387" s="7" t="s">
        <v>27</v>
      </c>
      <c r="D5387" s="7" t="s">
        <v>28</v>
      </c>
      <c r="E5387" s="7" t="s">
        <v>29</v>
      </c>
      <c r="F5387" s="7" t="s">
        <v>178</v>
      </c>
      <c r="G5387" s="7">
        <v>100.1854</v>
      </c>
      <c r="H5387" s="7"/>
    </row>
    <row r="5388" spans="1:8" x14ac:dyDescent="0.35">
      <c r="A5388" s="7" t="s">
        <v>364</v>
      </c>
      <c r="B5388" s="7" t="s">
        <v>26</v>
      </c>
      <c r="C5388" s="7" t="s">
        <v>27</v>
      </c>
      <c r="D5388" s="7" t="s">
        <v>28</v>
      </c>
      <c r="E5388" s="7" t="s">
        <v>29</v>
      </c>
      <c r="F5388" s="7" t="s">
        <v>179</v>
      </c>
      <c r="G5388" s="7">
        <v>100.0504</v>
      </c>
      <c r="H5388" s="7"/>
    </row>
    <row r="5389" spans="1:8" x14ac:dyDescent="0.35">
      <c r="A5389" s="7" t="s">
        <v>364</v>
      </c>
      <c r="B5389" s="7" t="s">
        <v>26</v>
      </c>
      <c r="C5389" s="7" t="s">
        <v>27</v>
      </c>
      <c r="D5389" s="7" t="s">
        <v>28</v>
      </c>
      <c r="E5389" s="7" t="s">
        <v>29</v>
      </c>
      <c r="F5389" s="7" t="s">
        <v>180</v>
      </c>
      <c r="G5389" s="7">
        <v>100.2677</v>
      </c>
      <c r="H5389" s="7"/>
    </row>
    <row r="5390" spans="1:8" x14ac:dyDescent="0.35">
      <c r="A5390" s="7" t="s">
        <v>364</v>
      </c>
      <c r="B5390" s="7" t="s">
        <v>26</v>
      </c>
      <c r="C5390" s="7" t="s">
        <v>27</v>
      </c>
      <c r="D5390" s="7" t="s">
        <v>28</v>
      </c>
      <c r="E5390" s="7" t="s">
        <v>29</v>
      </c>
      <c r="F5390" s="7" t="s">
        <v>181</v>
      </c>
      <c r="G5390" s="7">
        <v>100.7441</v>
      </c>
      <c r="H5390" s="7"/>
    </row>
    <row r="5391" spans="1:8" x14ac:dyDescent="0.35">
      <c r="A5391" s="7" t="s">
        <v>364</v>
      </c>
      <c r="B5391" s="7" t="s">
        <v>26</v>
      </c>
      <c r="C5391" s="7" t="s">
        <v>27</v>
      </c>
      <c r="D5391" s="7" t="s">
        <v>28</v>
      </c>
      <c r="E5391" s="7" t="s">
        <v>29</v>
      </c>
      <c r="F5391" s="7" t="s">
        <v>182</v>
      </c>
      <c r="G5391" s="7">
        <v>101.0243</v>
      </c>
      <c r="H5391" s="7"/>
    </row>
    <row r="5392" spans="1:8" x14ac:dyDescent="0.35">
      <c r="A5392" s="7" t="s">
        <v>364</v>
      </c>
      <c r="B5392" s="7" t="s">
        <v>26</v>
      </c>
      <c r="C5392" s="7" t="s">
        <v>27</v>
      </c>
      <c r="D5392" s="7" t="s">
        <v>28</v>
      </c>
      <c r="E5392" s="7" t="s">
        <v>29</v>
      </c>
      <c r="F5392" s="7" t="s">
        <v>183</v>
      </c>
      <c r="G5392" s="7">
        <v>101.1696</v>
      </c>
      <c r="H5392" s="7"/>
    </row>
    <row r="5393" spans="1:8" x14ac:dyDescent="0.35">
      <c r="A5393" s="7" t="s">
        <v>364</v>
      </c>
      <c r="B5393" s="7" t="s">
        <v>26</v>
      </c>
      <c r="C5393" s="7" t="s">
        <v>27</v>
      </c>
      <c r="D5393" s="7" t="s">
        <v>28</v>
      </c>
      <c r="E5393" s="7" t="s">
        <v>29</v>
      </c>
      <c r="F5393" s="7" t="s">
        <v>184</v>
      </c>
      <c r="G5393" s="7">
        <v>101.2804</v>
      </c>
      <c r="H5393" s="7"/>
    </row>
    <row r="5394" spans="1:8" x14ac:dyDescent="0.35">
      <c r="A5394" s="7" t="s">
        <v>364</v>
      </c>
      <c r="B5394" s="7" t="s">
        <v>26</v>
      </c>
      <c r="C5394" s="7" t="s">
        <v>27</v>
      </c>
      <c r="D5394" s="7" t="s">
        <v>28</v>
      </c>
      <c r="E5394" s="7" t="s">
        <v>29</v>
      </c>
      <c r="F5394" s="7" t="s">
        <v>185</v>
      </c>
      <c r="G5394" s="7">
        <v>101.2372</v>
      </c>
      <c r="H5394" s="7"/>
    </row>
    <row r="5395" spans="1:8" x14ac:dyDescent="0.35">
      <c r="A5395" s="7" t="s">
        <v>364</v>
      </c>
      <c r="B5395" s="7" t="s">
        <v>26</v>
      </c>
      <c r="C5395" s="7" t="s">
        <v>27</v>
      </c>
      <c r="D5395" s="7" t="s">
        <v>28</v>
      </c>
      <c r="E5395" s="7" t="s">
        <v>29</v>
      </c>
      <c r="F5395" s="7" t="s">
        <v>186</v>
      </c>
      <c r="G5395" s="7">
        <v>101.1835</v>
      </c>
      <c r="H5395" s="7"/>
    </row>
    <row r="5396" spans="1:8" x14ac:dyDescent="0.35">
      <c r="A5396" s="7" t="s">
        <v>364</v>
      </c>
      <c r="B5396" s="7" t="s">
        <v>26</v>
      </c>
      <c r="C5396" s="7" t="s">
        <v>27</v>
      </c>
      <c r="D5396" s="7" t="s">
        <v>28</v>
      </c>
      <c r="E5396" s="7" t="s">
        <v>29</v>
      </c>
      <c r="F5396" s="7" t="s">
        <v>187</v>
      </c>
      <c r="G5396" s="7">
        <v>101.0039</v>
      </c>
      <c r="H5396" s="7"/>
    </row>
    <row r="5397" spans="1:8" x14ac:dyDescent="0.35">
      <c r="A5397" s="7" t="s">
        <v>364</v>
      </c>
      <c r="B5397" s="7" t="s">
        <v>26</v>
      </c>
      <c r="C5397" s="7" t="s">
        <v>27</v>
      </c>
      <c r="D5397" s="7" t="s">
        <v>28</v>
      </c>
      <c r="E5397" s="7" t="s">
        <v>29</v>
      </c>
      <c r="F5397" s="7" t="s">
        <v>188</v>
      </c>
      <c r="G5397" s="7">
        <v>100.6605</v>
      </c>
      <c r="H5397" s="7"/>
    </row>
    <row r="5398" spans="1:8" x14ac:dyDescent="0.35">
      <c r="A5398" s="7" t="s">
        <v>364</v>
      </c>
      <c r="B5398" s="7" t="s">
        <v>26</v>
      </c>
      <c r="C5398" s="7" t="s">
        <v>27</v>
      </c>
      <c r="D5398" s="7" t="s">
        <v>28</v>
      </c>
      <c r="E5398" s="7" t="s">
        <v>29</v>
      </c>
      <c r="F5398" s="7" t="s">
        <v>189</v>
      </c>
      <c r="G5398" s="7">
        <v>100.3438</v>
      </c>
      <c r="H5398" s="7"/>
    </row>
    <row r="5399" spans="1:8" x14ac:dyDescent="0.35">
      <c r="A5399" s="7" t="s">
        <v>364</v>
      </c>
      <c r="B5399" s="7" t="s">
        <v>26</v>
      </c>
      <c r="C5399" s="7" t="s">
        <v>27</v>
      </c>
      <c r="D5399" s="7" t="s">
        <v>28</v>
      </c>
      <c r="E5399" s="7" t="s">
        <v>29</v>
      </c>
      <c r="F5399" s="7" t="s">
        <v>190</v>
      </c>
      <c r="G5399" s="7">
        <v>100.27979999999999</v>
      </c>
      <c r="H5399" s="7"/>
    </row>
    <row r="5400" spans="1:8" x14ac:dyDescent="0.35">
      <c r="A5400" s="7" t="s">
        <v>364</v>
      </c>
      <c r="B5400" s="7" t="s">
        <v>26</v>
      </c>
      <c r="C5400" s="7" t="s">
        <v>27</v>
      </c>
      <c r="D5400" s="7" t="s">
        <v>28</v>
      </c>
      <c r="E5400" s="7" t="s">
        <v>29</v>
      </c>
      <c r="F5400" s="7" t="s">
        <v>191</v>
      </c>
      <c r="G5400" s="7">
        <v>100.25620000000001</v>
      </c>
      <c r="H5400" s="7"/>
    </row>
    <row r="5401" spans="1:8" x14ac:dyDescent="0.35">
      <c r="A5401" s="7" t="s">
        <v>364</v>
      </c>
      <c r="B5401" s="7" t="s">
        <v>26</v>
      </c>
      <c r="C5401" s="7" t="s">
        <v>27</v>
      </c>
      <c r="D5401" s="7" t="s">
        <v>28</v>
      </c>
      <c r="E5401" s="7" t="s">
        <v>29</v>
      </c>
      <c r="F5401" s="7" t="s">
        <v>192</v>
      </c>
      <c r="G5401" s="7">
        <v>100.2225</v>
      </c>
      <c r="H5401" s="7"/>
    </row>
    <row r="5402" spans="1:8" x14ac:dyDescent="0.35">
      <c r="A5402" s="7" t="s">
        <v>364</v>
      </c>
      <c r="B5402" s="7" t="s">
        <v>26</v>
      </c>
      <c r="C5402" s="7" t="s">
        <v>27</v>
      </c>
      <c r="D5402" s="7" t="s">
        <v>28</v>
      </c>
      <c r="E5402" s="7" t="s">
        <v>29</v>
      </c>
      <c r="F5402" s="7" t="s">
        <v>193</v>
      </c>
      <c r="G5402" s="7">
        <v>100.1165</v>
      </c>
      <c r="H5402" s="7"/>
    </row>
    <row r="5403" spans="1:8" x14ac:dyDescent="0.35">
      <c r="A5403" s="7" t="s">
        <v>364</v>
      </c>
      <c r="B5403" s="7" t="s">
        <v>26</v>
      </c>
      <c r="C5403" s="7" t="s">
        <v>27</v>
      </c>
      <c r="D5403" s="7" t="s">
        <v>28</v>
      </c>
      <c r="E5403" s="7" t="s">
        <v>29</v>
      </c>
      <c r="F5403" s="7" t="s">
        <v>194</v>
      </c>
      <c r="G5403" s="7">
        <v>100.1798</v>
      </c>
      <c r="H5403" s="7"/>
    </row>
    <row r="5404" spans="1:8" x14ac:dyDescent="0.35">
      <c r="A5404" s="7" t="s">
        <v>364</v>
      </c>
      <c r="B5404" s="7" t="s">
        <v>26</v>
      </c>
      <c r="C5404" s="7" t="s">
        <v>27</v>
      </c>
      <c r="D5404" s="7" t="s">
        <v>28</v>
      </c>
      <c r="E5404" s="7" t="s">
        <v>29</v>
      </c>
      <c r="F5404" s="7" t="s">
        <v>195</v>
      </c>
      <c r="G5404" s="7">
        <v>100.1604</v>
      </c>
      <c r="H5404" s="7"/>
    </row>
    <row r="5405" spans="1:8" x14ac:dyDescent="0.35">
      <c r="A5405" s="7" t="s">
        <v>364</v>
      </c>
      <c r="B5405" s="7" t="s">
        <v>26</v>
      </c>
      <c r="C5405" s="7" t="s">
        <v>27</v>
      </c>
      <c r="D5405" s="7" t="s">
        <v>28</v>
      </c>
      <c r="E5405" s="7" t="s">
        <v>29</v>
      </c>
      <c r="F5405" s="7" t="s">
        <v>196</v>
      </c>
      <c r="G5405" s="7">
        <v>99.870620000000002</v>
      </c>
      <c r="H5405" s="7"/>
    </row>
    <row r="5406" spans="1:8" x14ac:dyDescent="0.35">
      <c r="A5406" s="7" t="s">
        <v>364</v>
      </c>
      <c r="B5406" s="7" t="s">
        <v>26</v>
      </c>
      <c r="C5406" s="7" t="s">
        <v>27</v>
      </c>
      <c r="D5406" s="7" t="s">
        <v>28</v>
      </c>
      <c r="E5406" s="7" t="s">
        <v>29</v>
      </c>
      <c r="F5406" s="7" t="s">
        <v>197</v>
      </c>
      <c r="G5406" s="7">
        <v>99.7714</v>
      </c>
      <c r="H5406" s="7"/>
    </row>
    <row r="5407" spans="1:8" x14ac:dyDescent="0.35">
      <c r="A5407" s="7" t="s">
        <v>364</v>
      </c>
      <c r="B5407" s="7" t="s">
        <v>26</v>
      </c>
      <c r="C5407" s="7" t="s">
        <v>27</v>
      </c>
      <c r="D5407" s="7" t="s">
        <v>28</v>
      </c>
      <c r="E5407" s="7" t="s">
        <v>29</v>
      </c>
      <c r="F5407" s="7" t="s">
        <v>198</v>
      </c>
      <c r="G5407" s="7">
        <v>99.737020000000001</v>
      </c>
      <c r="H5407" s="7"/>
    </row>
    <row r="5408" spans="1:8" x14ac:dyDescent="0.35">
      <c r="A5408" s="7" t="s">
        <v>364</v>
      </c>
      <c r="B5408" s="7" t="s">
        <v>26</v>
      </c>
      <c r="C5408" s="7" t="s">
        <v>27</v>
      </c>
      <c r="D5408" s="7" t="s">
        <v>28</v>
      </c>
      <c r="E5408" s="7" t="s">
        <v>29</v>
      </c>
      <c r="F5408" s="7" t="s">
        <v>199</v>
      </c>
      <c r="G5408" s="7">
        <v>99.634510000000006</v>
      </c>
      <c r="H5408" s="7"/>
    </row>
    <row r="5409" spans="1:8" x14ac:dyDescent="0.35">
      <c r="A5409" s="7" t="s">
        <v>364</v>
      </c>
      <c r="B5409" s="7" t="s">
        <v>26</v>
      </c>
      <c r="C5409" s="7" t="s">
        <v>27</v>
      </c>
      <c r="D5409" s="7" t="s">
        <v>28</v>
      </c>
      <c r="E5409" s="7" t="s">
        <v>29</v>
      </c>
      <c r="F5409" s="7" t="s">
        <v>200</v>
      </c>
      <c r="G5409" s="7">
        <v>99.640309999999999</v>
      </c>
      <c r="H5409" s="7"/>
    </row>
    <row r="5410" spans="1:8" x14ac:dyDescent="0.35">
      <c r="A5410" s="7" t="s">
        <v>364</v>
      </c>
      <c r="B5410" s="7" t="s">
        <v>26</v>
      </c>
      <c r="C5410" s="7" t="s">
        <v>27</v>
      </c>
      <c r="D5410" s="7" t="s">
        <v>28</v>
      </c>
      <c r="E5410" s="7" t="s">
        <v>29</v>
      </c>
      <c r="F5410" s="7" t="s">
        <v>201</v>
      </c>
      <c r="G5410" s="7">
        <v>99.411000000000001</v>
      </c>
      <c r="H5410" s="7"/>
    </row>
    <row r="5411" spans="1:8" x14ac:dyDescent="0.35">
      <c r="A5411" s="7" t="s">
        <v>364</v>
      </c>
      <c r="B5411" s="7" t="s">
        <v>26</v>
      </c>
      <c r="C5411" s="7" t="s">
        <v>27</v>
      </c>
      <c r="D5411" s="7" t="s">
        <v>28</v>
      </c>
      <c r="E5411" s="7" t="s">
        <v>29</v>
      </c>
      <c r="F5411" s="7" t="s">
        <v>202</v>
      </c>
      <c r="G5411" s="7">
        <v>99.009270000000001</v>
      </c>
      <c r="H5411" s="7"/>
    </row>
    <row r="5412" spans="1:8" x14ac:dyDescent="0.35">
      <c r="A5412" s="7" t="s">
        <v>364</v>
      </c>
      <c r="B5412" s="7" t="s">
        <v>26</v>
      </c>
      <c r="C5412" s="7" t="s">
        <v>27</v>
      </c>
      <c r="D5412" s="7" t="s">
        <v>28</v>
      </c>
      <c r="E5412" s="7" t="s">
        <v>29</v>
      </c>
      <c r="F5412" s="7" t="s">
        <v>203</v>
      </c>
      <c r="G5412" s="7">
        <v>98.54034</v>
      </c>
      <c r="H5412" s="7"/>
    </row>
    <row r="5413" spans="1:8" x14ac:dyDescent="0.35">
      <c r="A5413" s="7" t="s">
        <v>364</v>
      </c>
      <c r="B5413" s="7" t="s">
        <v>26</v>
      </c>
      <c r="C5413" s="7" t="s">
        <v>27</v>
      </c>
      <c r="D5413" s="7" t="s">
        <v>28</v>
      </c>
      <c r="E5413" s="7" t="s">
        <v>29</v>
      </c>
      <c r="F5413" s="7" t="s">
        <v>204</v>
      </c>
      <c r="G5413" s="7">
        <v>98.440619999999996</v>
      </c>
      <c r="H5413" s="7"/>
    </row>
    <row r="5414" spans="1:8" x14ac:dyDescent="0.35">
      <c r="A5414" s="7" t="s">
        <v>364</v>
      </c>
      <c r="B5414" s="7" t="s">
        <v>26</v>
      </c>
      <c r="C5414" s="7" t="s">
        <v>27</v>
      </c>
      <c r="D5414" s="7" t="s">
        <v>28</v>
      </c>
      <c r="E5414" s="7" t="s">
        <v>29</v>
      </c>
      <c r="F5414" s="7" t="s">
        <v>205</v>
      </c>
      <c r="G5414" s="7">
        <v>98.930139999999994</v>
      </c>
      <c r="H5414" s="7"/>
    </row>
    <row r="5415" spans="1:8" x14ac:dyDescent="0.35">
      <c r="A5415" s="7" t="s">
        <v>364</v>
      </c>
      <c r="B5415" s="7" t="s">
        <v>26</v>
      </c>
      <c r="C5415" s="7" t="s">
        <v>27</v>
      </c>
      <c r="D5415" s="7" t="s">
        <v>28</v>
      </c>
      <c r="E5415" s="7" t="s">
        <v>29</v>
      </c>
      <c r="F5415" s="7" t="s">
        <v>206</v>
      </c>
      <c r="G5415" s="7">
        <v>99.406170000000003</v>
      </c>
      <c r="H5415" s="7"/>
    </row>
    <row r="5416" spans="1:8" x14ac:dyDescent="0.35">
      <c r="A5416" s="7" t="s">
        <v>364</v>
      </c>
      <c r="B5416" s="7" t="s">
        <v>26</v>
      </c>
      <c r="C5416" s="7" t="s">
        <v>27</v>
      </c>
      <c r="D5416" s="7" t="s">
        <v>28</v>
      </c>
      <c r="E5416" s="7" t="s">
        <v>29</v>
      </c>
      <c r="F5416" s="7" t="s">
        <v>207</v>
      </c>
      <c r="G5416" s="7">
        <v>99.87406</v>
      </c>
      <c r="H5416" s="7"/>
    </row>
    <row r="5417" spans="1:8" x14ac:dyDescent="0.35">
      <c r="A5417" s="7" t="s">
        <v>364</v>
      </c>
      <c r="B5417" s="7" t="s">
        <v>26</v>
      </c>
      <c r="C5417" s="7" t="s">
        <v>27</v>
      </c>
      <c r="D5417" s="7" t="s">
        <v>28</v>
      </c>
      <c r="E5417" s="7" t="s">
        <v>29</v>
      </c>
      <c r="F5417" s="7" t="s">
        <v>208</v>
      </c>
      <c r="G5417" s="7">
        <v>100.217</v>
      </c>
      <c r="H5417" s="7"/>
    </row>
    <row r="5418" spans="1:8" x14ac:dyDescent="0.35">
      <c r="A5418" s="7" t="s">
        <v>364</v>
      </c>
      <c r="B5418" s="7" t="s">
        <v>26</v>
      </c>
      <c r="C5418" s="7" t="s">
        <v>27</v>
      </c>
      <c r="D5418" s="7" t="s">
        <v>28</v>
      </c>
      <c r="E5418" s="7" t="s">
        <v>29</v>
      </c>
      <c r="F5418" s="7" t="s">
        <v>209</v>
      </c>
      <c r="G5418" s="7">
        <v>100.20820000000001</v>
      </c>
      <c r="H5418" s="7"/>
    </row>
    <row r="5419" spans="1:8" x14ac:dyDescent="0.35">
      <c r="A5419" s="7" t="s">
        <v>364</v>
      </c>
      <c r="B5419" s="7" t="s">
        <v>26</v>
      </c>
      <c r="C5419" s="7" t="s">
        <v>27</v>
      </c>
      <c r="D5419" s="7" t="s">
        <v>28</v>
      </c>
      <c r="E5419" s="7" t="s">
        <v>29</v>
      </c>
      <c r="F5419" s="7" t="s">
        <v>210</v>
      </c>
      <c r="G5419" s="7">
        <v>100.2976</v>
      </c>
      <c r="H5419" s="7"/>
    </row>
    <row r="5420" spans="1:8" x14ac:dyDescent="0.35">
      <c r="A5420" s="7" t="s">
        <v>364</v>
      </c>
      <c r="B5420" s="7" t="s">
        <v>26</v>
      </c>
      <c r="C5420" s="7" t="s">
        <v>27</v>
      </c>
      <c r="D5420" s="7" t="s">
        <v>28</v>
      </c>
      <c r="E5420" s="7" t="s">
        <v>29</v>
      </c>
      <c r="F5420" s="7" t="s">
        <v>211</v>
      </c>
      <c r="G5420" s="7">
        <v>100.51909999999999</v>
      </c>
      <c r="H5420" s="7"/>
    </row>
    <row r="5421" spans="1:8" x14ac:dyDescent="0.35">
      <c r="A5421" s="7" t="s">
        <v>364</v>
      </c>
      <c r="B5421" s="7" t="s">
        <v>26</v>
      </c>
      <c r="C5421" s="7" t="s">
        <v>27</v>
      </c>
      <c r="D5421" s="7" t="s">
        <v>28</v>
      </c>
      <c r="E5421" s="7" t="s">
        <v>29</v>
      </c>
      <c r="F5421" s="7" t="s">
        <v>212</v>
      </c>
      <c r="G5421" s="7">
        <v>100.712</v>
      </c>
      <c r="H5421" s="7"/>
    </row>
    <row r="5422" spans="1:8" x14ac:dyDescent="0.35">
      <c r="A5422" s="7" t="s">
        <v>364</v>
      </c>
      <c r="B5422" s="7" t="s">
        <v>26</v>
      </c>
      <c r="C5422" s="7" t="s">
        <v>27</v>
      </c>
      <c r="D5422" s="7" t="s">
        <v>28</v>
      </c>
      <c r="E5422" s="7" t="s">
        <v>29</v>
      </c>
      <c r="F5422" s="7" t="s">
        <v>213</v>
      </c>
      <c r="G5422" s="7">
        <v>100.7513</v>
      </c>
      <c r="H5422" s="7"/>
    </row>
    <row r="5423" spans="1:8" x14ac:dyDescent="0.35">
      <c r="A5423" s="7" t="s">
        <v>364</v>
      </c>
      <c r="B5423" s="7" t="s">
        <v>26</v>
      </c>
      <c r="C5423" s="7" t="s">
        <v>27</v>
      </c>
      <c r="D5423" s="7" t="s">
        <v>28</v>
      </c>
      <c r="E5423" s="7" t="s">
        <v>29</v>
      </c>
      <c r="F5423" s="7" t="s">
        <v>214</v>
      </c>
      <c r="G5423" s="7">
        <v>101.0324</v>
      </c>
      <c r="H5423" s="7"/>
    </row>
    <row r="5424" spans="1:8" x14ac:dyDescent="0.35">
      <c r="A5424" s="7" t="s">
        <v>364</v>
      </c>
      <c r="B5424" s="7" t="s">
        <v>26</v>
      </c>
      <c r="C5424" s="7" t="s">
        <v>27</v>
      </c>
      <c r="D5424" s="7" t="s">
        <v>28</v>
      </c>
      <c r="E5424" s="7" t="s">
        <v>29</v>
      </c>
      <c r="F5424" s="7" t="s">
        <v>215</v>
      </c>
      <c r="G5424" s="7">
        <v>101.613</v>
      </c>
      <c r="H5424" s="7"/>
    </row>
    <row r="5425" spans="1:8" x14ac:dyDescent="0.35">
      <c r="A5425" s="7" t="s">
        <v>364</v>
      </c>
      <c r="B5425" s="7" t="s">
        <v>26</v>
      </c>
      <c r="C5425" s="7" t="s">
        <v>27</v>
      </c>
      <c r="D5425" s="7" t="s">
        <v>28</v>
      </c>
      <c r="E5425" s="7" t="s">
        <v>29</v>
      </c>
      <c r="F5425" s="7" t="s">
        <v>216</v>
      </c>
      <c r="G5425" s="7">
        <v>102.2144</v>
      </c>
      <c r="H5425" s="7"/>
    </row>
    <row r="5426" spans="1:8" x14ac:dyDescent="0.35">
      <c r="A5426" s="7" t="s">
        <v>364</v>
      </c>
      <c r="B5426" s="7" t="s">
        <v>26</v>
      </c>
      <c r="C5426" s="7" t="s">
        <v>27</v>
      </c>
      <c r="D5426" s="7" t="s">
        <v>28</v>
      </c>
      <c r="E5426" s="7" t="s">
        <v>29</v>
      </c>
      <c r="F5426" s="7" t="s">
        <v>217</v>
      </c>
      <c r="G5426" s="7">
        <v>102.4034</v>
      </c>
      <c r="H5426" s="7"/>
    </row>
    <row r="5427" spans="1:8" x14ac:dyDescent="0.35">
      <c r="A5427" s="7" t="s">
        <v>364</v>
      </c>
      <c r="B5427" s="7" t="s">
        <v>26</v>
      </c>
      <c r="C5427" s="7" t="s">
        <v>27</v>
      </c>
      <c r="D5427" s="7" t="s">
        <v>28</v>
      </c>
      <c r="E5427" s="7" t="s">
        <v>29</v>
      </c>
      <c r="F5427" s="7" t="s">
        <v>218</v>
      </c>
      <c r="G5427" s="7">
        <v>102.4029</v>
      </c>
      <c r="H5427" s="7"/>
    </row>
    <row r="5428" spans="1:8" x14ac:dyDescent="0.35">
      <c r="A5428" s="7" t="s">
        <v>364</v>
      </c>
      <c r="B5428" s="7" t="s">
        <v>26</v>
      </c>
      <c r="C5428" s="7" t="s">
        <v>27</v>
      </c>
      <c r="D5428" s="7" t="s">
        <v>28</v>
      </c>
      <c r="E5428" s="7" t="s">
        <v>29</v>
      </c>
      <c r="F5428" s="7" t="s">
        <v>219</v>
      </c>
      <c r="G5428" s="7">
        <v>102.16840000000001</v>
      </c>
      <c r="H5428" s="7"/>
    </row>
    <row r="5429" spans="1:8" x14ac:dyDescent="0.35">
      <c r="A5429" s="7" t="s">
        <v>364</v>
      </c>
      <c r="B5429" s="7" t="s">
        <v>26</v>
      </c>
      <c r="C5429" s="7" t="s">
        <v>27</v>
      </c>
      <c r="D5429" s="7" t="s">
        <v>28</v>
      </c>
      <c r="E5429" s="7" t="s">
        <v>29</v>
      </c>
      <c r="F5429" s="7" t="s">
        <v>220</v>
      </c>
      <c r="G5429" s="7">
        <v>101.86879999999999</v>
      </c>
      <c r="H5429" s="7"/>
    </row>
    <row r="5430" spans="1:8" x14ac:dyDescent="0.35">
      <c r="A5430" s="7" t="s">
        <v>364</v>
      </c>
      <c r="B5430" s="7" t="s">
        <v>26</v>
      </c>
      <c r="C5430" s="7" t="s">
        <v>27</v>
      </c>
      <c r="D5430" s="7" t="s">
        <v>28</v>
      </c>
      <c r="E5430" s="7" t="s">
        <v>29</v>
      </c>
      <c r="F5430" s="7" t="s">
        <v>221</v>
      </c>
      <c r="G5430" s="7">
        <v>101.6973</v>
      </c>
      <c r="H5430" s="7"/>
    </row>
    <row r="5431" spans="1:8" x14ac:dyDescent="0.35">
      <c r="A5431" s="7" t="s">
        <v>364</v>
      </c>
      <c r="B5431" s="7" t="s">
        <v>26</v>
      </c>
      <c r="C5431" s="7" t="s">
        <v>27</v>
      </c>
      <c r="D5431" s="7" t="s">
        <v>28</v>
      </c>
      <c r="E5431" s="7" t="s">
        <v>29</v>
      </c>
      <c r="F5431" s="7" t="s">
        <v>222</v>
      </c>
      <c r="G5431" s="7">
        <v>101.3523</v>
      </c>
      <c r="H5431" s="7"/>
    </row>
    <row r="5432" spans="1:8" x14ac:dyDescent="0.35">
      <c r="A5432" s="7" t="s">
        <v>364</v>
      </c>
      <c r="B5432" s="7" t="s">
        <v>26</v>
      </c>
      <c r="C5432" s="7" t="s">
        <v>27</v>
      </c>
      <c r="D5432" s="7" t="s">
        <v>28</v>
      </c>
      <c r="E5432" s="7" t="s">
        <v>29</v>
      </c>
      <c r="F5432" s="7" t="s">
        <v>223</v>
      </c>
      <c r="G5432" s="7">
        <v>101.05540000000001</v>
      </c>
      <c r="H5432" s="7"/>
    </row>
    <row r="5433" spans="1:8" x14ac:dyDescent="0.35">
      <c r="A5433" s="7" t="s">
        <v>364</v>
      </c>
      <c r="B5433" s="7" t="s">
        <v>26</v>
      </c>
      <c r="C5433" s="7" t="s">
        <v>27</v>
      </c>
      <c r="D5433" s="7" t="s">
        <v>28</v>
      </c>
      <c r="E5433" s="7" t="s">
        <v>29</v>
      </c>
      <c r="F5433" s="7" t="s">
        <v>224</v>
      </c>
      <c r="G5433" s="7">
        <v>100.9933</v>
      </c>
      <c r="H5433" s="7"/>
    </row>
    <row r="5434" spans="1:8" x14ac:dyDescent="0.35">
      <c r="A5434" s="7" t="s">
        <v>364</v>
      </c>
      <c r="B5434" s="7" t="s">
        <v>26</v>
      </c>
      <c r="C5434" s="7" t="s">
        <v>27</v>
      </c>
      <c r="D5434" s="7" t="s">
        <v>28</v>
      </c>
      <c r="E5434" s="7" t="s">
        <v>29</v>
      </c>
      <c r="F5434" s="7" t="s">
        <v>225</v>
      </c>
      <c r="G5434" s="7">
        <v>100.965</v>
      </c>
      <c r="H5434" s="7"/>
    </row>
    <row r="5435" spans="1:8" x14ac:dyDescent="0.35">
      <c r="A5435" s="7" t="s">
        <v>364</v>
      </c>
      <c r="B5435" s="7" t="s">
        <v>26</v>
      </c>
      <c r="C5435" s="7" t="s">
        <v>27</v>
      </c>
      <c r="D5435" s="7" t="s">
        <v>28</v>
      </c>
      <c r="E5435" s="7" t="s">
        <v>29</v>
      </c>
      <c r="F5435" s="7" t="s">
        <v>226</v>
      </c>
      <c r="G5435" s="7">
        <v>100.8394</v>
      </c>
      <c r="H5435" s="7"/>
    </row>
    <row r="5436" spans="1:8" x14ac:dyDescent="0.35">
      <c r="A5436" s="7" t="s">
        <v>364</v>
      </c>
      <c r="B5436" s="7" t="s">
        <v>26</v>
      </c>
      <c r="C5436" s="7" t="s">
        <v>27</v>
      </c>
      <c r="D5436" s="7" t="s">
        <v>28</v>
      </c>
      <c r="E5436" s="7" t="s">
        <v>29</v>
      </c>
      <c r="F5436" s="7" t="s">
        <v>227</v>
      </c>
      <c r="G5436" s="7">
        <v>100.6681</v>
      </c>
      <c r="H5436" s="7"/>
    </row>
    <row r="5437" spans="1:8" x14ac:dyDescent="0.35">
      <c r="A5437" s="7" t="s">
        <v>364</v>
      </c>
      <c r="B5437" s="7" t="s">
        <v>26</v>
      </c>
      <c r="C5437" s="7" t="s">
        <v>27</v>
      </c>
      <c r="D5437" s="7" t="s">
        <v>28</v>
      </c>
      <c r="E5437" s="7" t="s">
        <v>29</v>
      </c>
      <c r="F5437" s="7" t="s">
        <v>228</v>
      </c>
      <c r="G5437" s="7">
        <v>100.24630000000001</v>
      </c>
      <c r="H5437" s="7"/>
    </row>
    <row r="5438" spans="1:8" x14ac:dyDescent="0.35">
      <c r="A5438" s="7" t="s">
        <v>364</v>
      </c>
      <c r="B5438" s="7" t="s">
        <v>26</v>
      </c>
      <c r="C5438" s="7" t="s">
        <v>27</v>
      </c>
      <c r="D5438" s="7" t="s">
        <v>28</v>
      </c>
      <c r="E5438" s="7" t="s">
        <v>29</v>
      </c>
      <c r="F5438" s="7" t="s">
        <v>229</v>
      </c>
      <c r="G5438" s="7">
        <v>99.764349999999993</v>
      </c>
      <c r="H5438" s="7"/>
    </row>
    <row r="5439" spans="1:8" x14ac:dyDescent="0.35">
      <c r="A5439" s="7" t="s">
        <v>364</v>
      </c>
      <c r="B5439" s="7" t="s">
        <v>26</v>
      </c>
      <c r="C5439" s="7" t="s">
        <v>27</v>
      </c>
      <c r="D5439" s="7" t="s">
        <v>28</v>
      </c>
      <c r="E5439" s="7" t="s">
        <v>29</v>
      </c>
      <c r="F5439" s="7" t="s">
        <v>230</v>
      </c>
      <c r="G5439" s="7">
        <v>99.353859999999997</v>
      </c>
      <c r="H5439" s="7"/>
    </row>
    <row r="5440" spans="1:8" x14ac:dyDescent="0.35">
      <c r="A5440" s="7" t="s">
        <v>364</v>
      </c>
      <c r="B5440" s="7" t="s">
        <v>26</v>
      </c>
      <c r="C5440" s="7" t="s">
        <v>27</v>
      </c>
      <c r="D5440" s="7" t="s">
        <v>28</v>
      </c>
      <c r="E5440" s="7" t="s">
        <v>29</v>
      </c>
      <c r="F5440" s="7" t="s">
        <v>231</v>
      </c>
      <c r="G5440" s="7">
        <v>99.061499999999995</v>
      </c>
      <c r="H5440" s="7"/>
    </row>
    <row r="5441" spans="1:8" x14ac:dyDescent="0.35">
      <c r="A5441" s="7" t="s">
        <v>364</v>
      </c>
      <c r="B5441" s="7" t="s">
        <v>26</v>
      </c>
      <c r="C5441" s="7" t="s">
        <v>27</v>
      </c>
      <c r="D5441" s="7" t="s">
        <v>28</v>
      </c>
      <c r="E5441" s="7" t="s">
        <v>29</v>
      </c>
      <c r="F5441" s="7" t="s">
        <v>232</v>
      </c>
      <c r="G5441" s="7">
        <v>98.440520000000006</v>
      </c>
      <c r="H5441" s="7"/>
    </row>
    <row r="5442" spans="1:8" x14ac:dyDescent="0.35">
      <c r="A5442" s="7" t="s">
        <v>364</v>
      </c>
      <c r="B5442" s="7" t="s">
        <v>26</v>
      </c>
      <c r="C5442" s="7" t="s">
        <v>27</v>
      </c>
      <c r="D5442" s="7" t="s">
        <v>28</v>
      </c>
      <c r="E5442" s="7" t="s">
        <v>29</v>
      </c>
      <c r="F5442" s="7" t="s">
        <v>233</v>
      </c>
      <c r="G5442" s="7">
        <v>97.181979999999996</v>
      </c>
      <c r="H5442" s="7"/>
    </row>
    <row r="5443" spans="1:8" x14ac:dyDescent="0.35">
      <c r="A5443" s="7" t="s">
        <v>364</v>
      </c>
      <c r="B5443" s="7" t="s">
        <v>26</v>
      </c>
      <c r="C5443" s="7" t="s">
        <v>27</v>
      </c>
      <c r="D5443" s="7" t="s">
        <v>28</v>
      </c>
      <c r="E5443" s="7" t="s">
        <v>29</v>
      </c>
      <c r="F5443" s="7" t="s">
        <v>234</v>
      </c>
      <c r="G5443" s="7">
        <v>95.876909999999995</v>
      </c>
      <c r="H5443" s="7"/>
    </row>
    <row r="5444" spans="1:8" x14ac:dyDescent="0.35">
      <c r="A5444" s="7" t="s">
        <v>364</v>
      </c>
      <c r="B5444" s="7" t="s">
        <v>26</v>
      </c>
      <c r="C5444" s="7" t="s">
        <v>27</v>
      </c>
      <c r="D5444" s="7" t="s">
        <v>28</v>
      </c>
      <c r="E5444" s="7" t="s">
        <v>29</v>
      </c>
      <c r="F5444" s="7" t="s">
        <v>235</v>
      </c>
      <c r="G5444" s="7">
        <v>94.818119999999993</v>
      </c>
      <c r="H5444" s="7"/>
    </row>
    <row r="5445" spans="1:8" x14ac:dyDescent="0.35">
      <c r="A5445" s="7" t="s">
        <v>364</v>
      </c>
      <c r="B5445" s="7" t="s">
        <v>26</v>
      </c>
      <c r="C5445" s="7" t="s">
        <v>27</v>
      </c>
      <c r="D5445" s="7" t="s">
        <v>28</v>
      </c>
      <c r="E5445" s="7" t="s">
        <v>29</v>
      </c>
      <c r="F5445" s="7" t="s">
        <v>236</v>
      </c>
      <c r="G5445" s="7">
        <v>94.457980000000006</v>
      </c>
      <c r="H5445" s="7"/>
    </row>
    <row r="5446" spans="1:8" x14ac:dyDescent="0.35">
      <c r="A5446" s="7" t="s">
        <v>364</v>
      </c>
      <c r="B5446" s="7" t="s">
        <v>26</v>
      </c>
      <c r="C5446" s="7" t="s">
        <v>27</v>
      </c>
      <c r="D5446" s="7" t="s">
        <v>28</v>
      </c>
      <c r="E5446" s="7" t="s">
        <v>29</v>
      </c>
      <c r="F5446" s="7" t="s">
        <v>237</v>
      </c>
      <c r="G5446" s="7">
        <v>94.349379999999996</v>
      </c>
      <c r="H5446" s="7"/>
    </row>
    <row r="5447" spans="1:8" x14ac:dyDescent="0.35">
      <c r="A5447" s="7" t="s">
        <v>364</v>
      </c>
      <c r="B5447" s="7" t="s">
        <v>26</v>
      </c>
      <c r="C5447" s="7" t="s">
        <v>27</v>
      </c>
      <c r="D5447" s="7" t="s">
        <v>28</v>
      </c>
      <c r="E5447" s="7" t="s">
        <v>29</v>
      </c>
      <c r="F5447" s="7" t="s">
        <v>238</v>
      </c>
      <c r="G5447" s="7">
        <v>94.381180000000001</v>
      </c>
      <c r="H5447" s="7"/>
    </row>
    <row r="5448" spans="1:8" x14ac:dyDescent="0.35">
      <c r="A5448" s="7" t="s">
        <v>364</v>
      </c>
      <c r="B5448" s="7" t="s">
        <v>26</v>
      </c>
      <c r="C5448" s="7" t="s">
        <v>27</v>
      </c>
      <c r="D5448" s="7" t="s">
        <v>28</v>
      </c>
      <c r="E5448" s="7" t="s">
        <v>29</v>
      </c>
      <c r="F5448" s="7" t="s">
        <v>239</v>
      </c>
      <c r="G5448" s="7">
        <v>94.717479999999995</v>
      </c>
      <c r="H5448" s="7"/>
    </row>
    <row r="5449" spans="1:8" x14ac:dyDescent="0.35">
      <c r="A5449" s="7" t="s">
        <v>364</v>
      </c>
      <c r="B5449" s="7" t="s">
        <v>26</v>
      </c>
      <c r="C5449" s="7" t="s">
        <v>27</v>
      </c>
      <c r="D5449" s="7" t="s">
        <v>28</v>
      </c>
      <c r="E5449" s="7" t="s">
        <v>29</v>
      </c>
      <c r="F5449" s="7" t="s">
        <v>240</v>
      </c>
      <c r="G5449" s="7">
        <v>95.370410000000007</v>
      </c>
      <c r="H5449" s="7"/>
    </row>
    <row r="5450" spans="1:8" x14ac:dyDescent="0.35">
      <c r="A5450" s="7" t="s">
        <v>364</v>
      </c>
      <c r="B5450" s="7" t="s">
        <v>26</v>
      </c>
      <c r="C5450" s="7" t="s">
        <v>27</v>
      </c>
      <c r="D5450" s="7" t="s">
        <v>28</v>
      </c>
      <c r="E5450" s="7" t="s">
        <v>29</v>
      </c>
      <c r="F5450" s="7" t="s">
        <v>241</v>
      </c>
      <c r="G5450" s="7">
        <v>96.174480000000003</v>
      </c>
      <c r="H5450" s="7"/>
    </row>
    <row r="5451" spans="1:8" x14ac:dyDescent="0.35">
      <c r="A5451" s="7" t="s">
        <v>364</v>
      </c>
      <c r="B5451" s="7" t="s">
        <v>26</v>
      </c>
      <c r="C5451" s="7" t="s">
        <v>27</v>
      </c>
      <c r="D5451" s="7" t="s">
        <v>28</v>
      </c>
      <c r="E5451" s="7" t="s">
        <v>29</v>
      </c>
      <c r="F5451" s="7" t="s">
        <v>242</v>
      </c>
      <c r="G5451" s="7">
        <v>97.009010000000004</v>
      </c>
      <c r="H5451" s="7"/>
    </row>
    <row r="5452" spans="1:8" x14ac:dyDescent="0.35">
      <c r="A5452" s="7" t="s">
        <v>364</v>
      </c>
      <c r="B5452" s="7" t="s">
        <v>26</v>
      </c>
      <c r="C5452" s="7" t="s">
        <v>27</v>
      </c>
      <c r="D5452" s="7" t="s">
        <v>28</v>
      </c>
      <c r="E5452" s="7" t="s">
        <v>29</v>
      </c>
      <c r="F5452" s="7" t="s">
        <v>243</v>
      </c>
      <c r="G5452" s="7">
        <v>97.643659999999997</v>
      </c>
      <c r="H5452" s="7"/>
    </row>
    <row r="5453" spans="1:8" x14ac:dyDescent="0.35">
      <c r="A5453" s="7" t="s">
        <v>364</v>
      </c>
      <c r="B5453" s="7" t="s">
        <v>26</v>
      </c>
      <c r="C5453" s="7" t="s">
        <v>27</v>
      </c>
      <c r="D5453" s="7" t="s">
        <v>28</v>
      </c>
      <c r="E5453" s="7" t="s">
        <v>29</v>
      </c>
      <c r="F5453" s="7" t="s">
        <v>244</v>
      </c>
      <c r="G5453" s="7">
        <v>98.089870000000005</v>
      </c>
      <c r="H5453" s="7"/>
    </row>
    <row r="5454" spans="1:8" x14ac:dyDescent="0.35">
      <c r="A5454" s="7" t="s">
        <v>364</v>
      </c>
      <c r="B5454" s="7" t="s">
        <v>26</v>
      </c>
      <c r="C5454" s="7" t="s">
        <v>27</v>
      </c>
      <c r="D5454" s="7" t="s">
        <v>28</v>
      </c>
      <c r="E5454" s="7" t="s">
        <v>29</v>
      </c>
      <c r="F5454" s="7" t="s">
        <v>245</v>
      </c>
      <c r="G5454" s="7">
        <v>98.248649999999998</v>
      </c>
      <c r="H5454" s="7"/>
    </row>
    <row r="5455" spans="1:8" x14ac:dyDescent="0.35">
      <c r="A5455" s="7" t="s">
        <v>364</v>
      </c>
      <c r="B5455" s="7" t="s">
        <v>26</v>
      </c>
      <c r="C5455" s="7" t="s">
        <v>27</v>
      </c>
      <c r="D5455" s="7" t="s">
        <v>28</v>
      </c>
      <c r="E5455" s="7" t="s">
        <v>29</v>
      </c>
      <c r="F5455" s="7" t="s">
        <v>246</v>
      </c>
      <c r="G5455" s="7">
        <v>98.254990000000006</v>
      </c>
      <c r="H5455" s="7"/>
    </row>
    <row r="5456" spans="1:8" x14ac:dyDescent="0.35">
      <c r="A5456" s="7" t="s">
        <v>364</v>
      </c>
      <c r="B5456" s="7" t="s">
        <v>26</v>
      </c>
      <c r="C5456" s="7" t="s">
        <v>27</v>
      </c>
      <c r="D5456" s="7" t="s">
        <v>28</v>
      </c>
      <c r="E5456" s="7" t="s">
        <v>29</v>
      </c>
      <c r="F5456" s="7" t="s">
        <v>247</v>
      </c>
      <c r="G5456" s="7">
        <v>98.008539999999996</v>
      </c>
      <c r="H5456" s="7"/>
    </row>
    <row r="5457" spans="1:8" x14ac:dyDescent="0.35">
      <c r="A5457" s="7" t="s">
        <v>364</v>
      </c>
      <c r="B5457" s="7" t="s">
        <v>26</v>
      </c>
      <c r="C5457" s="7" t="s">
        <v>27</v>
      </c>
      <c r="D5457" s="7" t="s">
        <v>28</v>
      </c>
      <c r="E5457" s="7" t="s">
        <v>29</v>
      </c>
      <c r="F5457" s="7" t="s">
        <v>248</v>
      </c>
      <c r="G5457" s="7">
        <v>97.675510000000003</v>
      </c>
      <c r="H5457" s="7"/>
    </row>
    <row r="5458" spans="1:8" x14ac:dyDescent="0.35">
      <c r="A5458" s="7" t="s">
        <v>364</v>
      </c>
      <c r="B5458" s="7" t="s">
        <v>26</v>
      </c>
      <c r="C5458" s="7" t="s">
        <v>27</v>
      </c>
      <c r="D5458" s="7" t="s">
        <v>28</v>
      </c>
      <c r="E5458" s="7" t="s">
        <v>29</v>
      </c>
      <c r="F5458" s="7" t="s">
        <v>249</v>
      </c>
      <c r="G5458" s="7">
        <v>97.935159999999996</v>
      </c>
      <c r="H5458" s="7"/>
    </row>
    <row r="5459" spans="1:8" x14ac:dyDescent="0.35">
      <c r="A5459" s="7" t="s">
        <v>364</v>
      </c>
      <c r="B5459" s="7" t="s">
        <v>26</v>
      </c>
      <c r="C5459" s="7" t="s">
        <v>27</v>
      </c>
      <c r="D5459" s="7" t="s">
        <v>28</v>
      </c>
      <c r="E5459" s="7" t="s">
        <v>29</v>
      </c>
      <c r="F5459" s="7" t="s">
        <v>250</v>
      </c>
      <c r="G5459" s="7">
        <v>98.392520000000005</v>
      </c>
      <c r="H5459" s="7"/>
    </row>
    <row r="5460" spans="1:8" x14ac:dyDescent="0.35">
      <c r="A5460" s="7" t="s">
        <v>364</v>
      </c>
      <c r="B5460" s="7" t="s">
        <v>26</v>
      </c>
      <c r="C5460" s="7" t="s">
        <v>27</v>
      </c>
      <c r="D5460" s="7" t="s">
        <v>28</v>
      </c>
      <c r="E5460" s="7" t="s">
        <v>29</v>
      </c>
      <c r="F5460" s="7" t="s">
        <v>251</v>
      </c>
      <c r="G5460" s="7">
        <v>98.674270000000007</v>
      </c>
      <c r="H5460" s="7"/>
    </row>
    <row r="5461" spans="1:8" x14ac:dyDescent="0.35">
      <c r="A5461" s="7" t="s">
        <v>364</v>
      </c>
      <c r="B5461" s="7" t="s">
        <v>26</v>
      </c>
      <c r="C5461" s="7" t="s">
        <v>27</v>
      </c>
      <c r="D5461" s="7" t="s">
        <v>28</v>
      </c>
      <c r="E5461" s="7" t="s">
        <v>29</v>
      </c>
      <c r="F5461" s="7" t="s">
        <v>252</v>
      </c>
      <c r="G5461" s="7">
        <v>99.100939999999994</v>
      </c>
      <c r="H5461" s="7"/>
    </row>
    <row r="5462" spans="1:8" x14ac:dyDescent="0.35">
      <c r="A5462" s="7" t="s">
        <v>364</v>
      </c>
      <c r="B5462" s="7" t="s">
        <v>26</v>
      </c>
      <c r="C5462" s="7" t="s">
        <v>27</v>
      </c>
      <c r="D5462" s="7" t="s">
        <v>28</v>
      </c>
      <c r="E5462" s="7" t="s">
        <v>29</v>
      </c>
      <c r="F5462" s="7" t="s">
        <v>253</v>
      </c>
      <c r="G5462" s="7">
        <v>99.868579999999994</v>
      </c>
      <c r="H5462" s="7"/>
    </row>
    <row r="5463" spans="1:8" x14ac:dyDescent="0.35">
      <c r="A5463" s="7" t="s">
        <v>364</v>
      </c>
      <c r="B5463" s="7" t="s">
        <v>26</v>
      </c>
      <c r="C5463" s="7" t="s">
        <v>27</v>
      </c>
      <c r="D5463" s="7" t="s">
        <v>28</v>
      </c>
      <c r="E5463" s="7" t="s">
        <v>29</v>
      </c>
      <c r="F5463" s="7" t="s">
        <v>254</v>
      </c>
      <c r="G5463" s="7">
        <v>100.7068</v>
      </c>
      <c r="H5463" s="7"/>
    </row>
    <row r="5464" spans="1:8" x14ac:dyDescent="0.35">
      <c r="A5464" s="7" t="s">
        <v>364</v>
      </c>
      <c r="B5464" s="7" t="s">
        <v>26</v>
      </c>
      <c r="C5464" s="7" t="s">
        <v>27</v>
      </c>
      <c r="D5464" s="7" t="s">
        <v>28</v>
      </c>
      <c r="E5464" s="7" t="s">
        <v>29</v>
      </c>
      <c r="F5464" s="7" t="s">
        <v>255</v>
      </c>
      <c r="G5464" s="7">
        <v>101.128</v>
      </c>
      <c r="H5464" s="7"/>
    </row>
    <row r="5465" spans="1:8" x14ac:dyDescent="0.35">
      <c r="A5465" s="7" t="s">
        <v>364</v>
      </c>
      <c r="B5465" s="7" t="s">
        <v>26</v>
      </c>
      <c r="C5465" s="7" t="s">
        <v>27</v>
      </c>
      <c r="D5465" s="7" t="s">
        <v>28</v>
      </c>
      <c r="E5465" s="7" t="s">
        <v>29</v>
      </c>
      <c r="F5465" s="7" t="s">
        <v>256</v>
      </c>
      <c r="G5465" s="7">
        <v>101.1698</v>
      </c>
      <c r="H5465" s="7"/>
    </row>
    <row r="5466" spans="1:8" x14ac:dyDescent="0.35">
      <c r="A5466" s="7" t="s">
        <v>364</v>
      </c>
      <c r="B5466" s="7" t="s">
        <v>26</v>
      </c>
      <c r="C5466" s="7" t="s">
        <v>27</v>
      </c>
      <c r="D5466" s="7" t="s">
        <v>28</v>
      </c>
      <c r="E5466" s="7" t="s">
        <v>29</v>
      </c>
      <c r="F5466" s="7" t="s">
        <v>257</v>
      </c>
      <c r="G5466" s="7">
        <v>101.0879</v>
      </c>
      <c r="H5466" s="7"/>
    </row>
    <row r="5467" spans="1:8" x14ac:dyDescent="0.35">
      <c r="A5467" s="7" t="s">
        <v>364</v>
      </c>
      <c r="B5467" s="7" t="s">
        <v>26</v>
      </c>
      <c r="C5467" s="7" t="s">
        <v>27</v>
      </c>
      <c r="D5467" s="7" t="s">
        <v>28</v>
      </c>
      <c r="E5467" s="7" t="s">
        <v>29</v>
      </c>
      <c r="F5467" s="7" t="s">
        <v>258</v>
      </c>
      <c r="G5467" s="7">
        <v>100.9461</v>
      </c>
      <c r="H5467" s="7"/>
    </row>
    <row r="5468" spans="1:8" x14ac:dyDescent="0.35">
      <c r="A5468" s="7" t="s">
        <v>364</v>
      </c>
      <c r="B5468" s="7" t="s">
        <v>26</v>
      </c>
      <c r="C5468" s="7" t="s">
        <v>27</v>
      </c>
      <c r="D5468" s="7" t="s">
        <v>28</v>
      </c>
      <c r="E5468" s="7" t="s">
        <v>29</v>
      </c>
      <c r="F5468" s="7" t="s">
        <v>259</v>
      </c>
      <c r="G5468" s="7">
        <v>100.6707</v>
      </c>
      <c r="H5468" s="7"/>
    </row>
    <row r="5469" spans="1:8" x14ac:dyDescent="0.35">
      <c r="A5469" s="7" t="s">
        <v>364</v>
      </c>
      <c r="B5469" s="7" t="s">
        <v>26</v>
      </c>
      <c r="C5469" s="7" t="s">
        <v>27</v>
      </c>
      <c r="D5469" s="7" t="s">
        <v>28</v>
      </c>
      <c r="E5469" s="7" t="s">
        <v>29</v>
      </c>
      <c r="F5469" s="7" t="s">
        <v>260</v>
      </c>
      <c r="G5469" s="7">
        <v>100.6438</v>
      </c>
      <c r="H5469" s="7"/>
    </row>
    <row r="5470" spans="1:8" x14ac:dyDescent="0.35">
      <c r="A5470" s="7" t="s">
        <v>364</v>
      </c>
      <c r="B5470" s="7" t="s">
        <v>26</v>
      </c>
      <c r="C5470" s="7" t="s">
        <v>27</v>
      </c>
      <c r="D5470" s="7" t="s">
        <v>28</v>
      </c>
      <c r="E5470" s="7" t="s">
        <v>29</v>
      </c>
      <c r="F5470" s="7" t="s">
        <v>261</v>
      </c>
      <c r="G5470" s="7">
        <v>100.76479999999999</v>
      </c>
      <c r="H5470" s="7"/>
    </row>
    <row r="5471" spans="1:8" x14ac:dyDescent="0.35">
      <c r="A5471" s="7" t="s">
        <v>364</v>
      </c>
      <c r="B5471" s="7" t="s">
        <v>26</v>
      </c>
      <c r="C5471" s="7" t="s">
        <v>27</v>
      </c>
      <c r="D5471" s="7" t="s">
        <v>28</v>
      </c>
      <c r="E5471" s="7" t="s">
        <v>29</v>
      </c>
      <c r="F5471" s="7" t="s">
        <v>262</v>
      </c>
      <c r="G5471" s="7">
        <v>101.1824</v>
      </c>
      <c r="H5471" s="7"/>
    </row>
    <row r="5472" spans="1:8" x14ac:dyDescent="0.35">
      <c r="A5472" s="7" t="s">
        <v>364</v>
      </c>
      <c r="B5472" s="7" t="s">
        <v>26</v>
      </c>
      <c r="C5472" s="7" t="s">
        <v>27</v>
      </c>
      <c r="D5472" s="7" t="s">
        <v>28</v>
      </c>
      <c r="E5472" s="7" t="s">
        <v>29</v>
      </c>
      <c r="F5472" s="7" t="s">
        <v>263</v>
      </c>
      <c r="G5472" s="7">
        <v>101.7229</v>
      </c>
      <c r="H5472" s="7"/>
    </row>
    <row r="5473" spans="1:8" x14ac:dyDescent="0.35">
      <c r="A5473" s="7" t="s">
        <v>364</v>
      </c>
      <c r="B5473" s="7" t="s">
        <v>26</v>
      </c>
      <c r="C5473" s="7" t="s">
        <v>27</v>
      </c>
      <c r="D5473" s="7" t="s">
        <v>28</v>
      </c>
      <c r="E5473" s="7" t="s">
        <v>29</v>
      </c>
      <c r="F5473" s="7" t="s">
        <v>264</v>
      </c>
      <c r="G5473" s="7">
        <v>102.0929</v>
      </c>
      <c r="H5473" s="7"/>
    </row>
    <row r="5474" spans="1:8" x14ac:dyDescent="0.35">
      <c r="A5474" s="7" t="s">
        <v>364</v>
      </c>
      <c r="B5474" s="7" t="s">
        <v>26</v>
      </c>
      <c r="C5474" s="7" t="s">
        <v>27</v>
      </c>
      <c r="D5474" s="7" t="s">
        <v>28</v>
      </c>
      <c r="E5474" s="7" t="s">
        <v>29</v>
      </c>
      <c r="F5474" s="7" t="s">
        <v>265</v>
      </c>
      <c r="G5474" s="7">
        <v>101.8758</v>
      </c>
      <c r="H5474" s="7"/>
    </row>
    <row r="5475" spans="1:8" x14ac:dyDescent="0.35">
      <c r="A5475" s="7" t="s">
        <v>364</v>
      </c>
      <c r="B5475" s="7" t="s">
        <v>26</v>
      </c>
      <c r="C5475" s="7" t="s">
        <v>27</v>
      </c>
      <c r="D5475" s="7" t="s">
        <v>28</v>
      </c>
      <c r="E5475" s="7" t="s">
        <v>29</v>
      </c>
      <c r="F5475" s="7" t="s">
        <v>266</v>
      </c>
      <c r="G5475" s="7">
        <v>101.2351</v>
      </c>
      <c r="H5475" s="7"/>
    </row>
    <row r="5476" spans="1:8" x14ac:dyDescent="0.35">
      <c r="A5476" s="7" t="s">
        <v>364</v>
      </c>
      <c r="B5476" s="7" t="s">
        <v>26</v>
      </c>
      <c r="C5476" s="7" t="s">
        <v>27</v>
      </c>
      <c r="D5476" s="7" t="s">
        <v>28</v>
      </c>
      <c r="E5476" s="7" t="s">
        <v>29</v>
      </c>
      <c r="F5476" s="7" t="s">
        <v>267</v>
      </c>
      <c r="G5476" s="7">
        <v>100.1707</v>
      </c>
      <c r="H5476" s="7"/>
    </row>
    <row r="5477" spans="1:8" x14ac:dyDescent="0.35">
      <c r="A5477" s="7" t="s">
        <v>364</v>
      </c>
      <c r="B5477" s="7" t="s">
        <v>26</v>
      </c>
      <c r="C5477" s="7" t="s">
        <v>27</v>
      </c>
      <c r="D5477" s="7" t="s">
        <v>28</v>
      </c>
      <c r="E5477" s="7" t="s">
        <v>29</v>
      </c>
      <c r="F5477" s="7" t="s">
        <v>268</v>
      </c>
      <c r="G5477" s="7">
        <v>99.075680000000006</v>
      </c>
      <c r="H5477" s="7"/>
    </row>
    <row r="5478" spans="1:8" x14ac:dyDescent="0.35">
      <c r="A5478" s="7" t="s">
        <v>364</v>
      </c>
      <c r="B5478" s="7" t="s">
        <v>26</v>
      </c>
      <c r="C5478" s="7" t="s">
        <v>27</v>
      </c>
      <c r="D5478" s="7" t="s">
        <v>28</v>
      </c>
      <c r="E5478" s="7" t="s">
        <v>29</v>
      </c>
      <c r="F5478" s="7" t="s">
        <v>269</v>
      </c>
      <c r="G5478" s="7">
        <v>98.13391</v>
      </c>
      <c r="H5478" s="7"/>
    </row>
    <row r="5479" spans="1:8" x14ac:dyDescent="0.35">
      <c r="A5479" s="7" t="s">
        <v>364</v>
      </c>
      <c r="B5479" s="7" t="s">
        <v>26</v>
      </c>
      <c r="C5479" s="7" t="s">
        <v>27</v>
      </c>
      <c r="D5479" s="7" t="s">
        <v>28</v>
      </c>
      <c r="E5479" s="7" t="s">
        <v>29</v>
      </c>
      <c r="F5479" s="7" t="s">
        <v>270</v>
      </c>
      <c r="G5479" s="7">
        <v>97.765950000000004</v>
      </c>
      <c r="H5479" s="7"/>
    </row>
    <row r="5480" spans="1:8" x14ac:dyDescent="0.35">
      <c r="A5480" s="7" t="s">
        <v>364</v>
      </c>
      <c r="B5480" s="7" t="s">
        <v>26</v>
      </c>
      <c r="C5480" s="7" t="s">
        <v>27</v>
      </c>
      <c r="D5480" s="7" t="s">
        <v>28</v>
      </c>
      <c r="E5480" s="7" t="s">
        <v>29</v>
      </c>
      <c r="F5480" s="7" t="s">
        <v>271</v>
      </c>
      <c r="G5480" s="7">
        <v>97.848110000000005</v>
      </c>
      <c r="H5480" s="7"/>
    </row>
    <row r="5481" spans="1:8" x14ac:dyDescent="0.35">
      <c r="A5481" s="7" t="s">
        <v>364</v>
      </c>
      <c r="B5481" s="7" t="s">
        <v>26</v>
      </c>
      <c r="C5481" s="7" t="s">
        <v>27</v>
      </c>
      <c r="D5481" s="7" t="s">
        <v>28</v>
      </c>
      <c r="E5481" s="7" t="s">
        <v>29</v>
      </c>
      <c r="F5481" s="7" t="s">
        <v>272</v>
      </c>
      <c r="G5481" s="7">
        <v>98.10866</v>
      </c>
      <c r="H5481" s="7"/>
    </row>
    <row r="5482" spans="1:8" x14ac:dyDescent="0.35">
      <c r="A5482" s="7" t="s">
        <v>364</v>
      </c>
      <c r="B5482" s="7" t="s">
        <v>26</v>
      </c>
      <c r="C5482" s="7" t="s">
        <v>27</v>
      </c>
      <c r="D5482" s="7" t="s">
        <v>28</v>
      </c>
      <c r="E5482" s="7" t="s">
        <v>29</v>
      </c>
      <c r="F5482" s="7" t="s">
        <v>273</v>
      </c>
      <c r="G5482" s="7">
        <v>98.130409999999998</v>
      </c>
      <c r="H5482" s="7"/>
    </row>
    <row r="5483" spans="1:8" x14ac:dyDescent="0.35">
      <c r="A5483" s="7" t="s">
        <v>364</v>
      </c>
      <c r="B5483" s="7" t="s">
        <v>26</v>
      </c>
      <c r="C5483" s="7" t="s">
        <v>27</v>
      </c>
      <c r="D5483" s="7" t="s">
        <v>28</v>
      </c>
      <c r="E5483" s="7" t="s">
        <v>29</v>
      </c>
      <c r="F5483" s="7" t="s">
        <v>274</v>
      </c>
      <c r="G5483" s="7">
        <v>98.135000000000005</v>
      </c>
      <c r="H5483" s="7"/>
    </row>
    <row r="5484" spans="1:8" x14ac:dyDescent="0.35">
      <c r="A5484" s="7" t="s">
        <v>364</v>
      </c>
      <c r="B5484" s="7" t="s">
        <v>26</v>
      </c>
      <c r="C5484" s="7" t="s">
        <v>27</v>
      </c>
      <c r="D5484" s="7" t="s">
        <v>28</v>
      </c>
      <c r="E5484" s="7" t="s">
        <v>29</v>
      </c>
      <c r="F5484" s="7" t="s">
        <v>275</v>
      </c>
      <c r="G5484" s="7">
        <v>98.142229999999998</v>
      </c>
      <c r="H5484" s="7"/>
    </row>
    <row r="5485" spans="1:8" x14ac:dyDescent="0.35">
      <c r="A5485" s="7" t="s">
        <v>364</v>
      </c>
      <c r="B5485" s="7" t="s">
        <v>26</v>
      </c>
      <c r="C5485" s="7" t="s">
        <v>27</v>
      </c>
      <c r="D5485" s="7" t="s">
        <v>28</v>
      </c>
      <c r="E5485" s="7" t="s">
        <v>29</v>
      </c>
      <c r="F5485" s="7" t="s">
        <v>276</v>
      </c>
      <c r="G5485" s="7">
        <v>98.163079999999994</v>
      </c>
      <c r="H5485" s="7"/>
    </row>
    <row r="5486" spans="1:8" x14ac:dyDescent="0.35">
      <c r="A5486" s="7" t="s">
        <v>364</v>
      </c>
      <c r="B5486" s="7" t="s">
        <v>26</v>
      </c>
      <c r="C5486" s="7" t="s">
        <v>27</v>
      </c>
      <c r="D5486" s="7" t="s">
        <v>28</v>
      </c>
      <c r="E5486" s="7" t="s">
        <v>29</v>
      </c>
      <c r="F5486" s="7" t="s">
        <v>277</v>
      </c>
      <c r="G5486" s="7">
        <v>98.164339999999996</v>
      </c>
      <c r="H5486" s="7"/>
    </row>
    <row r="5487" spans="1:8" x14ac:dyDescent="0.35">
      <c r="A5487" s="7" t="s">
        <v>364</v>
      </c>
      <c r="B5487" s="7" t="s">
        <v>26</v>
      </c>
      <c r="C5487" s="7" t="s">
        <v>27</v>
      </c>
      <c r="D5487" s="7" t="s">
        <v>28</v>
      </c>
      <c r="E5487" s="7" t="s">
        <v>29</v>
      </c>
      <c r="F5487" s="7" t="s">
        <v>278</v>
      </c>
      <c r="G5487" s="7">
        <v>98.019440000000003</v>
      </c>
      <c r="H5487" s="7"/>
    </row>
    <row r="5488" spans="1:8" x14ac:dyDescent="0.35">
      <c r="A5488" s="7" t="s">
        <v>364</v>
      </c>
      <c r="B5488" s="7" t="s">
        <v>26</v>
      </c>
      <c r="C5488" s="7" t="s">
        <v>27</v>
      </c>
      <c r="D5488" s="7" t="s">
        <v>28</v>
      </c>
      <c r="E5488" s="7" t="s">
        <v>29</v>
      </c>
      <c r="F5488" s="7" t="s">
        <v>279</v>
      </c>
      <c r="G5488" s="7">
        <v>97.450729999999993</v>
      </c>
      <c r="H5488" s="7"/>
    </row>
    <row r="5489" spans="1:8" x14ac:dyDescent="0.35">
      <c r="A5489" s="7" t="s">
        <v>364</v>
      </c>
      <c r="B5489" s="7" t="s">
        <v>26</v>
      </c>
      <c r="C5489" s="7" t="s">
        <v>27</v>
      </c>
      <c r="D5489" s="7" t="s">
        <v>28</v>
      </c>
      <c r="E5489" s="7" t="s">
        <v>29</v>
      </c>
      <c r="F5489" s="7" t="s">
        <v>280</v>
      </c>
      <c r="G5489" s="7">
        <v>96.739199999999997</v>
      </c>
      <c r="H5489" s="7"/>
    </row>
    <row r="5490" spans="1:8" x14ac:dyDescent="0.35">
      <c r="A5490" s="7" t="s">
        <v>364</v>
      </c>
      <c r="B5490" s="7" t="s">
        <v>26</v>
      </c>
      <c r="C5490" s="7" t="s">
        <v>27</v>
      </c>
      <c r="D5490" s="7" t="s">
        <v>28</v>
      </c>
      <c r="E5490" s="7" t="s">
        <v>29</v>
      </c>
      <c r="F5490" s="7" t="s">
        <v>281</v>
      </c>
      <c r="G5490" s="7">
        <v>96.107089999999999</v>
      </c>
      <c r="H5490" s="7"/>
    </row>
    <row r="5491" spans="1:8" x14ac:dyDescent="0.35">
      <c r="A5491" s="7" t="s">
        <v>364</v>
      </c>
      <c r="B5491" s="7" t="s">
        <v>26</v>
      </c>
      <c r="C5491" s="7" t="s">
        <v>27</v>
      </c>
      <c r="D5491" s="7" t="s">
        <v>28</v>
      </c>
      <c r="E5491" s="7" t="s">
        <v>29</v>
      </c>
      <c r="F5491" s="7" t="s">
        <v>282</v>
      </c>
      <c r="G5491" s="7">
        <v>95.97766</v>
      </c>
      <c r="H5491" s="7"/>
    </row>
    <row r="5492" spans="1:8" x14ac:dyDescent="0.35">
      <c r="A5492" s="7" t="s">
        <v>364</v>
      </c>
      <c r="B5492" s="7" t="s">
        <v>26</v>
      </c>
      <c r="C5492" s="7" t="s">
        <v>27</v>
      </c>
      <c r="D5492" s="7" t="s">
        <v>28</v>
      </c>
      <c r="E5492" s="7" t="s">
        <v>29</v>
      </c>
      <c r="F5492" s="7" t="s">
        <v>283</v>
      </c>
      <c r="G5492" s="7">
        <v>96.167019999999994</v>
      </c>
      <c r="H5492" s="7"/>
    </row>
    <row r="5493" spans="1:8" x14ac:dyDescent="0.35">
      <c r="A5493" s="7" t="s">
        <v>364</v>
      </c>
      <c r="B5493" s="7" t="s">
        <v>26</v>
      </c>
      <c r="C5493" s="7" t="s">
        <v>27</v>
      </c>
      <c r="D5493" s="7" t="s">
        <v>28</v>
      </c>
      <c r="E5493" s="7" t="s">
        <v>29</v>
      </c>
      <c r="F5493" s="7" t="s">
        <v>284</v>
      </c>
      <c r="G5493" s="7">
        <v>96.550169999999994</v>
      </c>
      <c r="H5493" s="7"/>
    </row>
    <row r="5494" spans="1:8" x14ac:dyDescent="0.35">
      <c r="A5494" s="7" t="s">
        <v>364</v>
      </c>
      <c r="B5494" s="7" t="s">
        <v>26</v>
      </c>
      <c r="C5494" s="7" t="s">
        <v>27</v>
      </c>
      <c r="D5494" s="7" t="s">
        <v>28</v>
      </c>
      <c r="E5494" s="7" t="s">
        <v>29</v>
      </c>
      <c r="F5494" s="7" t="s">
        <v>285</v>
      </c>
      <c r="G5494" s="7">
        <v>97.012799999999999</v>
      </c>
      <c r="H5494" s="7"/>
    </row>
    <row r="5495" spans="1:8" x14ac:dyDescent="0.35">
      <c r="A5495" s="7" t="s">
        <v>364</v>
      </c>
      <c r="B5495" s="7" t="s">
        <v>26</v>
      </c>
      <c r="C5495" s="7" t="s">
        <v>27</v>
      </c>
      <c r="D5495" s="7" t="s">
        <v>28</v>
      </c>
      <c r="E5495" s="7" t="s">
        <v>29</v>
      </c>
      <c r="F5495" s="7" t="s">
        <v>286</v>
      </c>
      <c r="G5495" s="7">
        <v>97.265820000000005</v>
      </c>
      <c r="H5495" s="7"/>
    </row>
    <row r="5496" spans="1:8" x14ac:dyDescent="0.35">
      <c r="A5496" s="7" t="s">
        <v>364</v>
      </c>
      <c r="B5496" s="7" t="s">
        <v>26</v>
      </c>
      <c r="C5496" s="7" t="s">
        <v>27</v>
      </c>
      <c r="D5496" s="7" t="s">
        <v>28</v>
      </c>
      <c r="E5496" s="7" t="s">
        <v>29</v>
      </c>
      <c r="F5496" s="7" t="s">
        <v>287</v>
      </c>
      <c r="G5496" s="7">
        <v>97.399349999999998</v>
      </c>
      <c r="H5496" s="7"/>
    </row>
    <row r="5497" spans="1:8" x14ac:dyDescent="0.35">
      <c r="A5497" s="7" t="s">
        <v>364</v>
      </c>
      <c r="B5497" s="7" t="s">
        <v>26</v>
      </c>
      <c r="C5497" s="7" t="s">
        <v>27</v>
      </c>
      <c r="D5497" s="7" t="s">
        <v>28</v>
      </c>
      <c r="E5497" s="7" t="s">
        <v>29</v>
      </c>
      <c r="F5497" s="7" t="s">
        <v>288</v>
      </c>
      <c r="G5497" s="7">
        <v>97.262600000000006</v>
      </c>
      <c r="H5497" s="7"/>
    </row>
    <row r="5498" spans="1:8" x14ac:dyDescent="0.35">
      <c r="A5498" s="7" t="s">
        <v>364</v>
      </c>
      <c r="B5498" s="7" t="s">
        <v>26</v>
      </c>
      <c r="C5498" s="7" t="s">
        <v>27</v>
      </c>
      <c r="D5498" s="7" t="s">
        <v>28</v>
      </c>
      <c r="E5498" s="7" t="s">
        <v>29</v>
      </c>
      <c r="F5498" s="7" t="s">
        <v>289</v>
      </c>
      <c r="G5498" s="7">
        <v>97.00806</v>
      </c>
      <c r="H5498" s="7"/>
    </row>
    <row r="5499" spans="1:8" x14ac:dyDescent="0.35">
      <c r="A5499" s="7" t="s">
        <v>364</v>
      </c>
      <c r="B5499" s="7" t="s">
        <v>26</v>
      </c>
      <c r="C5499" s="7" t="s">
        <v>27</v>
      </c>
      <c r="D5499" s="7" t="s">
        <v>28</v>
      </c>
      <c r="E5499" s="7" t="s">
        <v>29</v>
      </c>
      <c r="F5499" s="7" t="s">
        <v>290</v>
      </c>
      <c r="G5499" s="7">
        <v>97.002390000000005</v>
      </c>
      <c r="H5499" s="7"/>
    </row>
    <row r="5500" spans="1:8" x14ac:dyDescent="0.35">
      <c r="A5500" s="7" t="s">
        <v>364</v>
      </c>
      <c r="B5500" s="7" t="s">
        <v>26</v>
      </c>
      <c r="C5500" s="7" t="s">
        <v>27</v>
      </c>
      <c r="D5500" s="7" t="s">
        <v>28</v>
      </c>
      <c r="E5500" s="7" t="s">
        <v>29</v>
      </c>
      <c r="F5500" s="7" t="s">
        <v>291</v>
      </c>
      <c r="G5500" s="7">
        <v>97.657259999999994</v>
      </c>
      <c r="H5500" s="7"/>
    </row>
    <row r="5501" spans="1:8" x14ac:dyDescent="0.35">
      <c r="A5501" s="7" t="s">
        <v>364</v>
      </c>
      <c r="B5501" s="7" t="s">
        <v>26</v>
      </c>
      <c r="C5501" s="7" t="s">
        <v>27</v>
      </c>
      <c r="D5501" s="7" t="s">
        <v>28</v>
      </c>
      <c r="E5501" s="7" t="s">
        <v>29</v>
      </c>
      <c r="F5501" s="7" t="s">
        <v>292</v>
      </c>
      <c r="G5501" s="7">
        <v>98.559719999999999</v>
      </c>
      <c r="H5501" s="7"/>
    </row>
    <row r="5502" spans="1:8" x14ac:dyDescent="0.35">
      <c r="A5502" s="7" t="s">
        <v>364</v>
      </c>
      <c r="B5502" s="7" t="s">
        <v>26</v>
      </c>
      <c r="C5502" s="7" t="s">
        <v>27</v>
      </c>
      <c r="D5502" s="7" t="s">
        <v>28</v>
      </c>
      <c r="E5502" s="7" t="s">
        <v>29</v>
      </c>
      <c r="F5502" s="7" t="s">
        <v>293</v>
      </c>
      <c r="G5502" s="7">
        <v>99.200999999999993</v>
      </c>
      <c r="H5502" s="7"/>
    </row>
    <row r="5503" spans="1:8" x14ac:dyDescent="0.35">
      <c r="A5503" s="7" t="s">
        <v>364</v>
      </c>
      <c r="B5503" s="7" t="s">
        <v>26</v>
      </c>
      <c r="C5503" s="7" t="s">
        <v>27</v>
      </c>
      <c r="D5503" s="7" t="s">
        <v>28</v>
      </c>
      <c r="E5503" s="7" t="s">
        <v>29</v>
      </c>
      <c r="F5503" s="7" t="s">
        <v>294</v>
      </c>
      <c r="G5503" s="7">
        <v>99.457729999999998</v>
      </c>
      <c r="H5503" s="7"/>
    </row>
    <row r="5504" spans="1:8" x14ac:dyDescent="0.35">
      <c r="A5504" s="7" t="s">
        <v>364</v>
      </c>
      <c r="B5504" s="7" t="s">
        <v>26</v>
      </c>
      <c r="C5504" s="7" t="s">
        <v>27</v>
      </c>
      <c r="D5504" s="7" t="s">
        <v>28</v>
      </c>
      <c r="E5504" s="7" t="s">
        <v>29</v>
      </c>
      <c r="F5504" s="7" t="s">
        <v>295</v>
      </c>
      <c r="G5504" s="7">
        <v>99.430819999999997</v>
      </c>
      <c r="H5504" s="7"/>
    </row>
    <row r="5505" spans="1:8" x14ac:dyDescent="0.35">
      <c r="A5505" s="7" t="s">
        <v>364</v>
      </c>
      <c r="B5505" s="7" t="s">
        <v>26</v>
      </c>
      <c r="C5505" s="7" t="s">
        <v>27</v>
      </c>
      <c r="D5505" s="7" t="s">
        <v>28</v>
      </c>
      <c r="E5505" s="7" t="s">
        <v>29</v>
      </c>
      <c r="F5505" s="7" t="s">
        <v>296</v>
      </c>
      <c r="G5505" s="7">
        <v>99.24512</v>
      </c>
      <c r="H5505" s="7"/>
    </row>
    <row r="5506" spans="1:8" x14ac:dyDescent="0.35">
      <c r="A5506" s="7" t="s">
        <v>364</v>
      </c>
      <c r="B5506" s="7" t="s">
        <v>26</v>
      </c>
      <c r="C5506" s="7" t="s">
        <v>27</v>
      </c>
      <c r="D5506" s="7" t="s">
        <v>28</v>
      </c>
      <c r="E5506" s="7" t="s">
        <v>29</v>
      </c>
      <c r="F5506" s="7" t="s">
        <v>297</v>
      </c>
      <c r="G5506" s="7">
        <v>99.104590000000002</v>
      </c>
      <c r="H5506" s="7"/>
    </row>
    <row r="5507" spans="1:8" x14ac:dyDescent="0.35">
      <c r="A5507" s="7" t="s">
        <v>364</v>
      </c>
      <c r="B5507" s="7" t="s">
        <v>26</v>
      </c>
      <c r="C5507" s="7" t="s">
        <v>27</v>
      </c>
      <c r="D5507" s="7" t="s">
        <v>28</v>
      </c>
      <c r="E5507" s="7" t="s">
        <v>29</v>
      </c>
      <c r="F5507" s="7" t="s">
        <v>298</v>
      </c>
      <c r="G5507" s="7">
        <v>98.941490000000002</v>
      </c>
      <c r="H5507" s="7"/>
    </row>
    <row r="5508" spans="1:8" x14ac:dyDescent="0.35">
      <c r="A5508" s="7" t="s">
        <v>364</v>
      </c>
      <c r="B5508" s="7" t="s">
        <v>26</v>
      </c>
      <c r="C5508" s="7" t="s">
        <v>27</v>
      </c>
      <c r="D5508" s="7" t="s">
        <v>28</v>
      </c>
      <c r="E5508" s="7" t="s">
        <v>29</v>
      </c>
      <c r="F5508" s="7" t="s">
        <v>299</v>
      </c>
      <c r="G5508" s="7">
        <v>98.92398</v>
      </c>
      <c r="H5508" s="7"/>
    </row>
    <row r="5509" spans="1:8" x14ac:dyDescent="0.35">
      <c r="A5509" s="7" t="s">
        <v>364</v>
      </c>
      <c r="B5509" s="7" t="s">
        <v>26</v>
      </c>
      <c r="C5509" s="7" t="s">
        <v>27</v>
      </c>
      <c r="D5509" s="7" t="s">
        <v>28</v>
      </c>
      <c r="E5509" s="7" t="s">
        <v>29</v>
      </c>
      <c r="F5509" s="7" t="s">
        <v>300</v>
      </c>
      <c r="G5509" s="7">
        <v>99.252129999999994</v>
      </c>
      <c r="H5509" s="7"/>
    </row>
    <row r="5510" spans="1:8" x14ac:dyDescent="0.35">
      <c r="A5510" s="7" t="s">
        <v>364</v>
      </c>
      <c r="B5510" s="7" t="s">
        <v>26</v>
      </c>
      <c r="C5510" s="7" t="s">
        <v>27</v>
      </c>
      <c r="D5510" s="7" t="s">
        <v>28</v>
      </c>
      <c r="E5510" s="7" t="s">
        <v>29</v>
      </c>
      <c r="F5510" s="7" t="s">
        <v>301</v>
      </c>
      <c r="G5510" s="7">
        <v>99.497690000000006</v>
      </c>
      <c r="H5510" s="7"/>
    </row>
    <row r="5511" spans="1:8" x14ac:dyDescent="0.35">
      <c r="A5511" s="7" t="s">
        <v>364</v>
      </c>
      <c r="B5511" s="7" t="s">
        <v>26</v>
      </c>
      <c r="C5511" s="7" t="s">
        <v>27</v>
      </c>
      <c r="D5511" s="7" t="s">
        <v>28</v>
      </c>
      <c r="E5511" s="7" t="s">
        <v>29</v>
      </c>
      <c r="F5511" s="7" t="s">
        <v>302</v>
      </c>
      <c r="G5511" s="7">
        <v>99.12312</v>
      </c>
      <c r="H5511" s="7"/>
    </row>
    <row r="5512" spans="1:8" x14ac:dyDescent="0.35">
      <c r="A5512" s="7" t="s">
        <v>364</v>
      </c>
      <c r="B5512" s="7" t="s">
        <v>26</v>
      </c>
      <c r="C5512" s="7" t="s">
        <v>27</v>
      </c>
      <c r="D5512" s="7" t="s">
        <v>28</v>
      </c>
      <c r="E5512" s="7" t="s">
        <v>29</v>
      </c>
      <c r="F5512" s="7" t="s">
        <v>303</v>
      </c>
      <c r="G5512" s="7">
        <v>98.535020000000003</v>
      </c>
      <c r="H5512" s="7"/>
    </row>
    <row r="5513" spans="1:8" x14ac:dyDescent="0.35">
      <c r="A5513" s="7" t="s">
        <v>364</v>
      </c>
      <c r="B5513" s="7" t="s">
        <v>26</v>
      </c>
      <c r="C5513" s="7" t="s">
        <v>27</v>
      </c>
      <c r="D5513" s="7" t="s">
        <v>28</v>
      </c>
      <c r="E5513" s="7" t="s">
        <v>29</v>
      </c>
      <c r="F5513" s="7" t="s">
        <v>304</v>
      </c>
      <c r="G5513" s="7">
        <v>98.187939999999998</v>
      </c>
      <c r="H5513" s="7"/>
    </row>
    <row r="5514" spans="1:8" x14ac:dyDescent="0.35">
      <c r="A5514" s="7" t="s">
        <v>364</v>
      </c>
      <c r="B5514" s="7" t="s">
        <v>26</v>
      </c>
      <c r="C5514" s="7" t="s">
        <v>27</v>
      </c>
      <c r="D5514" s="7" t="s">
        <v>28</v>
      </c>
      <c r="E5514" s="7" t="s">
        <v>29</v>
      </c>
      <c r="F5514" s="7" t="s">
        <v>305</v>
      </c>
      <c r="G5514" s="7">
        <v>98.268829999999994</v>
      </c>
      <c r="H5514" s="7"/>
    </row>
    <row r="5515" spans="1:8" x14ac:dyDescent="0.35">
      <c r="A5515" s="7" t="s">
        <v>364</v>
      </c>
      <c r="B5515" s="7" t="s">
        <v>26</v>
      </c>
      <c r="C5515" s="7" t="s">
        <v>27</v>
      </c>
      <c r="D5515" s="7" t="s">
        <v>28</v>
      </c>
      <c r="E5515" s="7" t="s">
        <v>29</v>
      </c>
      <c r="F5515" s="7" t="s">
        <v>306</v>
      </c>
      <c r="G5515" s="7">
        <v>98.338139999999996</v>
      </c>
      <c r="H5515" s="7"/>
    </row>
    <row r="5516" spans="1:8" x14ac:dyDescent="0.35">
      <c r="A5516" s="7" t="s">
        <v>364</v>
      </c>
      <c r="B5516" s="7" t="s">
        <v>26</v>
      </c>
      <c r="C5516" s="7" t="s">
        <v>27</v>
      </c>
      <c r="D5516" s="7" t="s">
        <v>28</v>
      </c>
      <c r="E5516" s="7" t="s">
        <v>29</v>
      </c>
      <c r="F5516" s="7" t="s">
        <v>307</v>
      </c>
      <c r="G5516" s="7">
        <v>98.491460000000004</v>
      </c>
      <c r="H5516" s="7"/>
    </row>
    <row r="5517" spans="1:8" x14ac:dyDescent="0.35">
      <c r="A5517" s="7" t="s">
        <v>364</v>
      </c>
      <c r="B5517" s="7" t="s">
        <v>26</v>
      </c>
      <c r="C5517" s="7" t="s">
        <v>27</v>
      </c>
      <c r="D5517" s="7" t="s">
        <v>28</v>
      </c>
      <c r="E5517" s="7" t="s">
        <v>29</v>
      </c>
      <c r="F5517" s="7" t="s">
        <v>308</v>
      </c>
      <c r="G5517" s="7">
        <v>98.753640000000004</v>
      </c>
      <c r="H5517" s="7"/>
    </row>
    <row r="5518" spans="1:8" x14ac:dyDescent="0.35">
      <c r="A5518" s="7" t="s">
        <v>364</v>
      </c>
      <c r="B5518" s="7" t="s">
        <v>26</v>
      </c>
      <c r="C5518" s="7" t="s">
        <v>27</v>
      </c>
      <c r="D5518" s="7" t="s">
        <v>28</v>
      </c>
      <c r="E5518" s="7" t="s">
        <v>29</v>
      </c>
      <c r="F5518" s="7" t="s">
        <v>309</v>
      </c>
      <c r="G5518" s="7">
        <v>99.12321</v>
      </c>
      <c r="H5518" s="7"/>
    </row>
    <row r="5519" spans="1:8" x14ac:dyDescent="0.35">
      <c r="A5519" s="7" t="s">
        <v>364</v>
      </c>
      <c r="B5519" s="7" t="s">
        <v>26</v>
      </c>
      <c r="C5519" s="7" t="s">
        <v>27</v>
      </c>
      <c r="D5519" s="7" t="s">
        <v>28</v>
      </c>
      <c r="E5519" s="7" t="s">
        <v>29</v>
      </c>
      <c r="F5519" s="7" t="s">
        <v>310</v>
      </c>
      <c r="G5519" s="7">
        <v>99.394829999999999</v>
      </c>
      <c r="H5519" s="7"/>
    </row>
    <row r="5520" spans="1:8" x14ac:dyDescent="0.35">
      <c r="A5520" s="7" t="s">
        <v>364</v>
      </c>
      <c r="B5520" s="7" t="s">
        <v>26</v>
      </c>
      <c r="C5520" s="7" t="s">
        <v>27</v>
      </c>
      <c r="D5520" s="7" t="s">
        <v>28</v>
      </c>
      <c r="E5520" s="7" t="s">
        <v>29</v>
      </c>
      <c r="F5520" s="7" t="s">
        <v>311</v>
      </c>
      <c r="G5520" s="7">
        <v>99.806399999999996</v>
      </c>
      <c r="H5520" s="7"/>
    </row>
    <row r="5521" spans="1:8" x14ac:dyDescent="0.35">
      <c r="A5521" s="7" t="s">
        <v>364</v>
      </c>
      <c r="B5521" s="7" t="s">
        <v>26</v>
      </c>
      <c r="C5521" s="7" t="s">
        <v>27</v>
      </c>
      <c r="D5521" s="7" t="s">
        <v>28</v>
      </c>
      <c r="E5521" s="7" t="s">
        <v>29</v>
      </c>
      <c r="F5521" s="7" t="s">
        <v>312</v>
      </c>
      <c r="G5521" s="7">
        <v>100.17440000000001</v>
      </c>
      <c r="H5521" s="7"/>
    </row>
    <row r="5522" spans="1:8" x14ac:dyDescent="0.35">
      <c r="A5522" s="7" t="s">
        <v>364</v>
      </c>
      <c r="B5522" s="7" t="s">
        <v>26</v>
      </c>
      <c r="C5522" s="7" t="s">
        <v>27</v>
      </c>
      <c r="D5522" s="7" t="s">
        <v>28</v>
      </c>
      <c r="E5522" s="7" t="s">
        <v>29</v>
      </c>
      <c r="F5522" s="7" t="s">
        <v>313</v>
      </c>
      <c r="G5522" s="7">
        <v>100.27290000000001</v>
      </c>
      <c r="H5522" s="7"/>
    </row>
    <row r="5523" spans="1:8" x14ac:dyDescent="0.35">
      <c r="A5523" s="7" t="s">
        <v>364</v>
      </c>
      <c r="B5523" s="7" t="s">
        <v>26</v>
      </c>
      <c r="C5523" s="7" t="s">
        <v>27</v>
      </c>
      <c r="D5523" s="7" t="s">
        <v>28</v>
      </c>
      <c r="E5523" s="7" t="s">
        <v>29</v>
      </c>
      <c r="F5523" s="7" t="s">
        <v>314</v>
      </c>
      <c r="G5523" s="7">
        <v>100.2283</v>
      </c>
      <c r="H5523" s="7"/>
    </row>
    <row r="5524" spans="1:8" x14ac:dyDescent="0.35">
      <c r="A5524" s="7" t="s">
        <v>364</v>
      </c>
      <c r="B5524" s="7" t="s">
        <v>26</v>
      </c>
      <c r="C5524" s="7" t="s">
        <v>27</v>
      </c>
      <c r="D5524" s="7" t="s">
        <v>28</v>
      </c>
      <c r="E5524" s="7" t="s">
        <v>29</v>
      </c>
      <c r="F5524" s="7" t="s">
        <v>315</v>
      </c>
      <c r="G5524" s="7">
        <v>100.0535</v>
      </c>
      <c r="H5524" s="7"/>
    </row>
    <row r="5525" spans="1:8" x14ac:dyDescent="0.35">
      <c r="A5525" s="7" t="s">
        <v>364</v>
      </c>
      <c r="B5525" s="7" t="s">
        <v>26</v>
      </c>
      <c r="C5525" s="7" t="s">
        <v>27</v>
      </c>
      <c r="D5525" s="7" t="s">
        <v>28</v>
      </c>
      <c r="E5525" s="7" t="s">
        <v>29</v>
      </c>
      <c r="F5525" s="7" t="s">
        <v>316</v>
      </c>
      <c r="G5525" s="7">
        <v>99.833740000000006</v>
      </c>
      <c r="H5525" s="7"/>
    </row>
    <row r="5526" spans="1:8" x14ac:dyDescent="0.35">
      <c r="A5526" s="7" t="s">
        <v>364</v>
      </c>
      <c r="B5526" s="7" t="s">
        <v>26</v>
      </c>
      <c r="C5526" s="7" t="s">
        <v>27</v>
      </c>
      <c r="D5526" s="7" t="s">
        <v>28</v>
      </c>
      <c r="E5526" s="7" t="s">
        <v>29</v>
      </c>
      <c r="F5526" s="7" t="s">
        <v>317</v>
      </c>
      <c r="G5526" s="7">
        <v>99.816659999999999</v>
      </c>
      <c r="H5526" s="7"/>
    </row>
    <row r="5527" spans="1:8" x14ac:dyDescent="0.35">
      <c r="A5527" s="7" t="s">
        <v>364</v>
      </c>
      <c r="B5527" s="7" t="s">
        <v>26</v>
      </c>
      <c r="C5527" s="7" t="s">
        <v>27</v>
      </c>
      <c r="D5527" s="7" t="s">
        <v>28</v>
      </c>
      <c r="E5527" s="7" t="s">
        <v>29</v>
      </c>
      <c r="F5527" s="7" t="s">
        <v>318</v>
      </c>
      <c r="G5527" s="7">
        <v>100.2367</v>
      </c>
      <c r="H5527" s="7"/>
    </row>
    <row r="5528" spans="1:8" x14ac:dyDescent="0.35">
      <c r="A5528" s="7" t="s">
        <v>364</v>
      </c>
      <c r="B5528" s="7" t="s">
        <v>26</v>
      </c>
      <c r="C5528" s="7" t="s">
        <v>27</v>
      </c>
      <c r="D5528" s="7" t="s">
        <v>28</v>
      </c>
      <c r="E5528" s="7" t="s">
        <v>29</v>
      </c>
      <c r="F5528" s="7" t="s">
        <v>319</v>
      </c>
      <c r="G5528" s="7">
        <v>100.7959</v>
      </c>
      <c r="H5528" s="7"/>
    </row>
    <row r="5529" spans="1:8" x14ac:dyDescent="0.35">
      <c r="A5529" s="7" t="s">
        <v>364</v>
      </c>
      <c r="B5529" s="7" t="s">
        <v>26</v>
      </c>
      <c r="C5529" s="7" t="s">
        <v>27</v>
      </c>
      <c r="D5529" s="7" t="s">
        <v>28</v>
      </c>
      <c r="E5529" s="7" t="s">
        <v>29</v>
      </c>
      <c r="F5529" s="7" t="s">
        <v>320</v>
      </c>
      <c r="G5529" s="7">
        <v>101.2315</v>
      </c>
      <c r="H5529" s="7"/>
    </row>
    <row r="5530" spans="1:8" x14ac:dyDescent="0.35">
      <c r="A5530" s="7" t="s">
        <v>364</v>
      </c>
      <c r="B5530" s="7" t="s">
        <v>26</v>
      </c>
      <c r="C5530" s="7" t="s">
        <v>27</v>
      </c>
      <c r="D5530" s="7" t="s">
        <v>28</v>
      </c>
      <c r="E5530" s="7" t="s">
        <v>29</v>
      </c>
      <c r="F5530" s="7" t="s">
        <v>321</v>
      </c>
      <c r="G5530" s="7">
        <v>101.5767</v>
      </c>
      <c r="H5530" s="7"/>
    </row>
    <row r="5531" spans="1:8" x14ac:dyDescent="0.35">
      <c r="A5531" s="7" t="s">
        <v>364</v>
      </c>
      <c r="B5531" s="7" t="s">
        <v>26</v>
      </c>
      <c r="C5531" s="7" t="s">
        <v>27</v>
      </c>
      <c r="D5531" s="7" t="s">
        <v>28</v>
      </c>
      <c r="E5531" s="7" t="s">
        <v>29</v>
      </c>
      <c r="F5531" s="7" t="s">
        <v>322</v>
      </c>
      <c r="G5531" s="7">
        <v>101.922</v>
      </c>
      <c r="H5531" s="7"/>
    </row>
    <row r="5532" spans="1:8" x14ac:dyDescent="0.35">
      <c r="A5532" s="7" t="s">
        <v>364</v>
      </c>
      <c r="B5532" s="7" t="s">
        <v>26</v>
      </c>
      <c r="C5532" s="7" t="s">
        <v>27</v>
      </c>
      <c r="D5532" s="7" t="s">
        <v>28</v>
      </c>
      <c r="E5532" s="7" t="s">
        <v>29</v>
      </c>
      <c r="F5532" s="7" t="s">
        <v>323</v>
      </c>
      <c r="G5532" s="7">
        <v>102.12649999999999</v>
      </c>
      <c r="H5532" s="7"/>
    </row>
    <row r="5533" spans="1:8" x14ac:dyDescent="0.35">
      <c r="A5533" s="7" t="s">
        <v>364</v>
      </c>
      <c r="B5533" s="7" t="s">
        <v>26</v>
      </c>
      <c r="C5533" s="7" t="s">
        <v>27</v>
      </c>
      <c r="D5533" s="7" t="s">
        <v>28</v>
      </c>
      <c r="E5533" s="7" t="s">
        <v>29</v>
      </c>
      <c r="F5533" s="7" t="s">
        <v>324</v>
      </c>
      <c r="G5533" s="7">
        <v>102.3767</v>
      </c>
      <c r="H5533" s="7"/>
    </row>
    <row r="5534" spans="1:8" x14ac:dyDescent="0.35">
      <c r="A5534" s="7" t="s">
        <v>364</v>
      </c>
      <c r="B5534" s="7" t="s">
        <v>26</v>
      </c>
      <c r="C5534" s="7" t="s">
        <v>27</v>
      </c>
      <c r="D5534" s="7" t="s">
        <v>28</v>
      </c>
      <c r="E5534" s="7" t="s">
        <v>29</v>
      </c>
      <c r="F5534" s="7" t="s">
        <v>325</v>
      </c>
      <c r="G5534" s="7">
        <v>102.4731</v>
      </c>
      <c r="H5534" s="7"/>
    </row>
    <row r="5535" spans="1:8" x14ac:dyDescent="0.35">
      <c r="A5535" s="7" t="s">
        <v>364</v>
      </c>
      <c r="B5535" s="7" t="s">
        <v>26</v>
      </c>
      <c r="C5535" s="7" t="s">
        <v>27</v>
      </c>
      <c r="D5535" s="7" t="s">
        <v>28</v>
      </c>
      <c r="E5535" s="7" t="s">
        <v>29</v>
      </c>
      <c r="F5535" s="7" t="s">
        <v>326</v>
      </c>
      <c r="G5535" s="7">
        <v>102.3997</v>
      </c>
      <c r="H5535" s="7"/>
    </row>
    <row r="5536" spans="1:8" x14ac:dyDescent="0.35">
      <c r="A5536" s="7" t="s">
        <v>364</v>
      </c>
      <c r="B5536" s="7" t="s">
        <v>26</v>
      </c>
      <c r="C5536" s="7" t="s">
        <v>27</v>
      </c>
      <c r="D5536" s="7" t="s">
        <v>28</v>
      </c>
      <c r="E5536" s="7" t="s">
        <v>29</v>
      </c>
      <c r="F5536" s="7" t="s">
        <v>327</v>
      </c>
      <c r="G5536" s="7">
        <v>102.2831</v>
      </c>
      <c r="H5536" s="7"/>
    </row>
    <row r="5537" spans="1:8" x14ac:dyDescent="0.35">
      <c r="A5537" s="7" t="s">
        <v>364</v>
      </c>
      <c r="B5537" s="7" t="s">
        <v>26</v>
      </c>
      <c r="C5537" s="7" t="s">
        <v>27</v>
      </c>
      <c r="D5537" s="7" t="s">
        <v>28</v>
      </c>
      <c r="E5537" s="7" t="s">
        <v>29</v>
      </c>
      <c r="F5537" s="7" t="s">
        <v>328</v>
      </c>
      <c r="G5537" s="7">
        <v>101.9868</v>
      </c>
      <c r="H5537" s="7"/>
    </row>
    <row r="5538" spans="1:8" x14ac:dyDescent="0.35">
      <c r="A5538" s="7" t="s">
        <v>364</v>
      </c>
      <c r="B5538" s="7" t="s">
        <v>26</v>
      </c>
      <c r="C5538" s="7" t="s">
        <v>27</v>
      </c>
      <c r="D5538" s="7" t="s">
        <v>28</v>
      </c>
      <c r="E5538" s="7" t="s">
        <v>29</v>
      </c>
      <c r="F5538" s="7" t="s">
        <v>329</v>
      </c>
      <c r="G5538" s="7">
        <v>101.9616</v>
      </c>
      <c r="H5538" s="7"/>
    </row>
    <row r="5539" spans="1:8" x14ac:dyDescent="0.35">
      <c r="A5539" s="7" t="s">
        <v>364</v>
      </c>
      <c r="B5539" s="7" t="s">
        <v>26</v>
      </c>
      <c r="C5539" s="7" t="s">
        <v>27</v>
      </c>
      <c r="D5539" s="7" t="s">
        <v>28</v>
      </c>
      <c r="E5539" s="7" t="s">
        <v>29</v>
      </c>
      <c r="F5539" s="7" t="s">
        <v>330</v>
      </c>
      <c r="G5539" s="7">
        <v>102.3556</v>
      </c>
      <c r="H5539" s="7"/>
    </row>
    <row r="5540" spans="1:8" x14ac:dyDescent="0.35">
      <c r="A5540" s="7" t="s">
        <v>364</v>
      </c>
      <c r="B5540" s="7" t="s">
        <v>26</v>
      </c>
      <c r="C5540" s="7" t="s">
        <v>27</v>
      </c>
      <c r="D5540" s="7" t="s">
        <v>28</v>
      </c>
      <c r="E5540" s="7" t="s">
        <v>29</v>
      </c>
      <c r="F5540" s="7" t="s">
        <v>331</v>
      </c>
      <c r="G5540" s="7">
        <v>102.7011</v>
      </c>
      <c r="H5540" s="7"/>
    </row>
    <row r="5541" spans="1:8" x14ac:dyDescent="0.35">
      <c r="A5541" s="7" t="s">
        <v>364</v>
      </c>
      <c r="B5541" s="7" t="s">
        <v>26</v>
      </c>
      <c r="C5541" s="7" t="s">
        <v>27</v>
      </c>
      <c r="D5541" s="7" t="s">
        <v>28</v>
      </c>
      <c r="E5541" s="7" t="s">
        <v>29</v>
      </c>
      <c r="F5541" s="7" t="s">
        <v>332</v>
      </c>
      <c r="G5541" s="7">
        <v>102.8475</v>
      </c>
      <c r="H5541" s="7"/>
    </row>
    <row r="5542" spans="1:8" x14ac:dyDescent="0.35">
      <c r="A5542" s="7" t="s">
        <v>364</v>
      </c>
      <c r="B5542" s="7" t="s">
        <v>26</v>
      </c>
      <c r="C5542" s="7" t="s">
        <v>27</v>
      </c>
      <c r="D5542" s="7" t="s">
        <v>28</v>
      </c>
      <c r="E5542" s="7" t="s">
        <v>29</v>
      </c>
      <c r="F5542" s="7" t="s">
        <v>333</v>
      </c>
      <c r="G5542" s="7">
        <v>103.03919999999999</v>
      </c>
      <c r="H5542" s="7"/>
    </row>
    <row r="5543" spans="1:8" x14ac:dyDescent="0.35">
      <c r="A5543" s="7" t="s">
        <v>364</v>
      </c>
      <c r="B5543" s="7" t="s">
        <v>26</v>
      </c>
      <c r="C5543" s="7" t="s">
        <v>27</v>
      </c>
      <c r="D5543" s="7" t="s">
        <v>28</v>
      </c>
      <c r="E5543" s="7" t="s">
        <v>29</v>
      </c>
      <c r="F5543" s="7" t="s">
        <v>334</v>
      </c>
      <c r="G5543" s="7">
        <v>103.5153</v>
      </c>
      <c r="H5543" s="7"/>
    </row>
    <row r="5544" spans="1:8" x14ac:dyDescent="0.35">
      <c r="A5544" s="7" t="s">
        <v>364</v>
      </c>
      <c r="B5544" s="7" t="s">
        <v>26</v>
      </c>
      <c r="C5544" s="7" t="s">
        <v>27</v>
      </c>
      <c r="D5544" s="7" t="s">
        <v>28</v>
      </c>
      <c r="E5544" s="7" t="s">
        <v>29</v>
      </c>
      <c r="F5544" s="7" t="s">
        <v>335</v>
      </c>
      <c r="G5544" s="7">
        <v>103.8944</v>
      </c>
      <c r="H5544" s="7"/>
    </row>
    <row r="5545" spans="1:8" x14ac:dyDescent="0.35">
      <c r="A5545" s="7" t="s">
        <v>364</v>
      </c>
      <c r="B5545" s="7" t="s">
        <v>26</v>
      </c>
      <c r="C5545" s="7" t="s">
        <v>27</v>
      </c>
      <c r="D5545" s="7" t="s">
        <v>28</v>
      </c>
      <c r="E5545" s="7" t="s">
        <v>29</v>
      </c>
      <c r="F5545" s="7" t="s">
        <v>336</v>
      </c>
      <c r="G5545" s="7">
        <v>104.0538</v>
      </c>
      <c r="H5545" s="7"/>
    </row>
    <row r="5546" spans="1:8" x14ac:dyDescent="0.35">
      <c r="A5546" s="7" t="s">
        <v>364</v>
      </c>
      <c r="B5546" s="7" t="s">
        <v>26</v>
      </c>
      <c r="C5546" s="7" t="s">
        <v>27</v>
      </c>
      <c r="D5546" s="7" t="s">
        <v>28</v>
      </c>
      <c r="E5546" s="7" t="s">
        <v>29</v>
      </c>
      <c r="F5546" s="7" t="s">
        <v>337</v>
      </c>
      <c r="G5546" s="7">
        <v>103.9198</v>
      </c>
      <c r="H5546" s="7"/>
    </row>
    <row r="5547" spans="1:8" x14ac:dyDescent="0.35">
      <c r="A5547" s="7" t="s">
        <v>364</v>
      </c>
      <c r="B5547" s="7" t="s">
        <v>26</v>
      </c>
      <c r="C5547" s="7" t="s">
        <v>27</v>
      </c>
      <c r="D5547" s="7" t="s">
        <v>28</v>
      </c>
      <c r="E5547" s="7" t="s">
        <v>29</v>
      </c>
      <c r="F5547" s="7" t="s">
        <v>338</v>
      </c>
      <c r="G5547" s="7">
        <v>103.8169</v>
      </c>
      <c r="H5547" s="7"/>
    </row>
    <row r="5548" spans="1:8" x14ac:dyDescent="0.35">
      <c r="A5548" s="7" t="s">
        <v>364</v>
      </c>
      <c r="B5548" s="7" t="s">
        <v>26</v>
      </c>
      <c r="C5548" s="7" t="s">
        <v>27</v>
      </c>
      <c r="D5548" s="7" t="s">
        <v>28</v>
      </c>
      <c r="E5548" s="7" t="s">
        <v>29</v>
      </c>
      <c r="F5548" s="7" t="s">
        <v>339</v>
      </c>
      <c r="G5548" s="7">
        <v>103.86709999999999</v>
      </c>
      <c r="H5548" s="7"/>
    </row>
    <row r="5549" spans="1:8" x14ac:dyDescent="0.35">
      <c r="A5549" s="7" t="s">
        <v>364</v>
      </c>
      <c r="B5549" s="7" t="s">
        <v>26</v>
      </c>
      <c r="C5549" s="7" t="s">
        <v>27</v>
      </c>
      <c r="D5549" s="7" t="s">
        <v>28</v>
      </c>
      <c r="E5549" s="7" t="s">
        <v>29</v>
      </c>
      <c r="F5549" s="7" t="s">
        <v>340</v>
      </c>
      <c r="G5549" s="7">
        <v>104.0933</v>
      </c>
      <c r="H5549" s="7"/>
    </row>
    <row r="5550" spans="1:8" x14ac:dyDescent="0.35">
      <c r="A5550" s="7" t="s">
        <v>364</v>
      </c>
      <c r="B5550" s="7" t="s">
        <v>26</v>
      </c>
      <c r="C5550" s="7" t="s">
        <v>27</v>
      </c>
      <c r="D5550" s="7" t="s">
        <v>28</v>
      </c>
      <c r="E5550" s="7" t="s">
        <v>29</v>
      </c>
      <c r="F5550" s="7" t="s">
        <v>341</v>
      </c>
      <c r="G5550" s="7">
        <v>104.3686</v>
      </c>
      <c r="H5550" s="7"/>
    </row>
    <row r="5551" spans="1:8" x14ac:dyDescent="0.35">
      <c r="A5551" s="7" t="s">
        <v>364</v>
      </c>
      <c r="B5551" s="7" t="s">
        <v>26</v>
      </c>
      <c r="C5551" s="7" t="s">
        <v>27</v>
      </c>
      <c r="D5551" s="7" t="s">
        <v>28</v>
      </c>
      <c r="E5551" s="7" t="s">
        <v>29</v>
      </c>
      <c r="F5551" s="7" t="s">
        <v>342</v>
      </c>
      <c r="G5551" s="7">
        <v>104.47280000000001</v>
      </c>
      <c r="H5551" s="7"/>
    </row>
    <row r="5552" spans="1:8" x14ac:dyDescent="0.35">
      <c r="A5552" s="7" t="s">
        <v>364</v>
      </c>
      <c r="B5552" s="7" t="s">
        <v>26</v>
      </c>
      <c r="C5552" s="7" t="s">
        <v>27</v>
      </c>
      <c r="D5552" s="7" t="s">
        <v>28</v>
      </c>
      <c r="E5552" s="7" t="s">
        <v>29</v>
      </c>
      <c r="F5552" s="7" t="s">
        <v>343</v>
      </c>
      <c r="G5552" s="7">
        <v>104.46680000000001</v>
      </c>
      <c r="H5552" s="7"/>
    </row>
    <row r="5553" spans="1:8" x14ac:dyDescent="0.35">
      <c r="A5553" s="7" t="s">
        <v>364</v>
      </c>
      <c r="B5553" s="7" t="s">
        <v>26</v>
      </c>
      <c r="C5553" s="7" t="s">
        <v>27</v>
      </c>
      <c r="D5553" s="7" t="s">
        <v>28</v>
      </c>
      <c r="E5553" s="7" t="s">
        <v>29</v>
      </c>
      <c r="F5553" s="7" t="s">
        <v>344</v>
      </c>
      <c r="G5553" s="7">
        <v>104.6161</v>
      </c>
      <c r="H5553" s="7"/>
    </row>
    <row r="5554" spans="1:8" x14ac:dyDescent="0.35">
      <c r="A5554" s="7" t="s">
        <v>364</v>
      </c>
      <c r="B5554" s="7" t="s">
        <v>26</v>
      </c>
      <c r="C5554" s="7" t="s">
        <v>27</v>
      </c>
      <c r="D5554" s="7" t="s">
        <v>28</v>
      </c>
      <c r="E5554" s="7" t="s">
        <v>29</v>
      </c>
      <c r="F5554" s="7" t="s">
        <v>345</v>
      </c>
      <c r="G5554" s="7">
        <v>104.4372</v>
      </c>
      <c r="H5554" s="7"/>
    </row>
    <row r="5555" spans="1:8" x14ac:dyDescent="0.35">
      <c r="A5555" s="7" t="s">
        <v>364</v>
      </c>
      <c r="B5555" s="7" t="s">
        <v>26</v>
      </c>
      <c r="C5555" s="7" t="s">
        <v>27</v>
      </c>
      <c r="D5555" s="7" t="s">
        <v>28</v>
      </c>
      <c r="E5555" s="7" t="s">
        <v>29</v>
      </c>
      <c r="F5555" s="7" t="s">
        <v>346</v>
      </c>
      <c r="G5555" s="7">
        <v>103.9879</v>
      </c>
      <c r="H5555" s="7"/>
    </row>
    <row r="5556" spans="1:8" x14ac:dyDescent="0.35">
      <c r="A5556" s="7" t="s">
        <v>365</v>
      </c>
      <c r="B5556" s="7" t="s">
        <v>26</v>
      </c>
      <c r="C5556" s="7" t="s">
        <v>27</v>
      </c>
      <c r="D5556" s="7" t="s">
        <v>28</v>
      </c>
      <c r="E5556" s="7" t="s">
        <v>29</v>
      </c>
      <c r="F5556" s="7" t="s">
        <v>30</v>
      </c>
      <c r="G5556" s="7">
        <v>100.3387</v>
      </c>
      <c r="H5556" s="7"/>
    </row>
    <row r="5557" spans="1:8" x14ac:dyDescent="0.35">
      <c r="A5557" s="7" t="s">
        <v>365</v>
      </c>
      <c r="B5557" s="7" t="s">
        <v>26</v>
      </c>
      <c r="C5557" s="7" t="s">
        <v>27</v>
      </c>
      <c r="D5557" s="7" t="s">
        <v>28</v>
      </c>
      <c r="E5557" s="7" t="s">
        <v>29</v>
      </c>
      <c r="F5557" s="7" t="s">
        <v>31</v>
      </c>
      <c r="G5557" s="7">
        <v>100.44450000000001</v>
      </c>
      <c r="H5557" s="7"/>
    </row>
    <row r="5558" spans="1:8" x14ac:dyDescent="0.35">
      <c r="A5558" s="7" t="s">
        <v>365</v>
      </c>
      <c r="B5558" s="7" t="s">
        <v>26</v>
      </c>
      <c r="C5558" s="7" t="s">
        <v>27</v>
      </c>
      <c r="D5558" s="7" t="s">
        <v>28</v>
      </c>
      <c r="E5558" s="7" t="s">
        <v>29</v>
      </c>
      <c r="F5558" s="7" t="s">
        <v>32</v>
      </c>
      <c r="G5558" s="7">
        <v>100.47369999999999</v>
      </c>
      <c r="H5558" s="7"/>
    </row>
    <row r="5559" spans="1:8" x14ac:dyDescent="0.35">
      <c r="A5559" s="7" t="s">
        <v>365</v>
      </c>
      <c r="B5559" s="7" t="s">
        <v>26</v>
      </c>
      <c r="C5559" s="7" t="s">
        <v>27</v>
      </c>
      <c r="D5559" s="7" t="s">
        <v>28</v>
      </c>
      <c r="E5559" s="7" t="s">
        <v>29</v>
      </c>
      <c r="F5559" s="7" t="s">
        <v>33</v>
      </c>
      <c r="G5559" s="7">
        <v>100.4378</v>
      </c>
      <c r="H5559" s="7"/>
    </row>
    <row r="5560" spans="1:8" x14ac:dyDescent="0.35">
      <c r="A5560" s="7" t="s">
        <v>365</v>
      </c>
      <c r="B5560" s="7" t="s">
        <v>26</v>
      </c>
      <c r="C5560" s="7" t="s">
        <v>27</v>
      </c>
      <c r="D5560" s="7" t="s">
        <v>28</v>
      </c>
      <c r="E5560" s="7" t="s">
        <v>29</v>
      </c>
      <c r="F5560" s="7" t="s">
        <v>34</v>
      </c>
      <c r="G5560" s="7">
        <v>100.3438</v>
      </c>
      <c r="H5560" s="7"/>
    </row>
    <row r="5561" spans="1:8" x14ac:dyDescent="0.35">
      <c r="A5561" s="7" t="s">
        <v>365</v>
      </c>
      <c r="B5561" s="7" t="s">
        <v>26</v>
      </c>
      <c r="C5561" s="7" t="s">
        <v>27</v>
      </c>
      <c r="D5561" s="7" t="s">
        <v>28</v>
      </c>
      <c r="E5561" s="7" t="s">
        <v>29</v>
      </c>
      <c r="F5561" s="7" t="s">
        <v>35</v>
      </c>
      <c r="G5561" s="7">
        <v>100.3028</v>
      </c>
      <c r="H5561" s="7"/>
    </row>
    <row r="5562" spans="1:8" x14ac:dyDescent="0.35">
      <c r="A5562" s="7" t="s">
        <v>365</v>
      </c>
      <c r="B5562" s="7" t="s">
        <v>26</v>
      </c>
      <c r="C5562" s="7" t="s">
        <v>27</v>
      </c>
      <c r="D5562" s="7" t="s">
        <v>28</v>
      </c>
      <c r="E5562" s="7" t="s">
        <v>29</v>
      </c>
      <c r="F5562" s="7" t="s">
        <v>36</v>
      </c>
      <c r="G5562" s="7">
        <v>100.3026</v>
      </c>
      <c r="H5562" s="7"/>
    </row>
    <row r="5563" spans="1:8" x14ac:dyDescent="0.35">
      <c r="A5563" s="7" t="s">
        <v>365</v>
      </c>
      <c r="B5563" s="7" t="s">
        <v>26</v>
      </c>
      <c r="C5563" s="7" t="s">
        <v>27</v>
      </c>
      <c r="D5563" s="7" t="s">
        <v>28</v>
      </c>
      <c r="E5563" s="7" t="s">
        <v>29</v>
      </c>
      <c r="F5563" s="7" t="s">
        <v>37</v>
      </c>
      <c r="G5563" s="7">
        <v>100.2383</v>
      </c>
      <c r="H5563" s="7"/>
    </row>
    <row r="5564" spans="1:8" x14ac:dyDescent="0.35">
      <c r="A5564" s="7" t="s">
        <v>365</v>
      </c>
      <c r="B5564" s="7" t="s">
        <v>26</v>
      </c>
      <c r="C5564" s="7" t="s">
        <v>27</v>
      </c>
      <c r="D5564" s="7" t="s">
        <v>28</v>
      </c>
      <c r="E5564" s="7" t="s">
        <v>29</v>
      </c>
      <c r="F5564" s="7" t="s">
        <v>38</v>
      </c>
      <c r="G5564" s="7">
        <v>100.068</v>
      </c>
      <c r="H5564" s="7"/>
    </row>
    <row r="5565" spans="1:8" x14ac:dyDescent="0.35">
      <c r="A5565" s="7" t="s">
        <v>365</v>
      </c>
      <c r="B5565" s="7" t="s">
        <v>26</v>
      </c>
      <c r="C5565" s="7" t="s">
        <v>27</v>
      </c>
      <c r="D5565" s="7" t="s">
        <v>28</v>
      </c>
      <c r="E5565" s="7" t="s">
        <v>29</v>
      </c>
      <c r="F5565" s="7" t="s">
        <v>39</v>
      </c>
      <c r="G5565" s="7">
        <v>99.835840000000005</v>
      </c>
      <c r="H5565" s="7"/>
    </row>
    <row r="5566" spans="1:8" x14ac:dyDescent="0.35">
      <c r="A5566" s="7" t="s">
        <v>365</v>
      </c>
      <c r="B5566" s="7" t="s">
        <v>26</v>
      </c>
      <c r="C5566" s="7" t="s">
        <v>27</v>
      </c>
      <c r="D5566" s="7" t="s">
        <v>28</v>
      </c>
      <c r="E5566" s="7" t="s">
        <v>29</v>
      </c>
      <c r="F5566" s="7" t="s">
        <v>40</v>
      </c>
      <c r="G5566" s="7">
        <v>99.779700000000005</v>
      </c>
      <c r="H5566" s="7"/>
    </row>
    <row r="5567" spans="1:8" x14ac:dyDescent="0.35">
      <c r="A5567" s="7" t="s">
        <v>365</v>
      </c>
      <c r="B5567" s="7" t="s">
        <v>26</v>
      </c>
      <c r="C5567" s="7" t="s">
        <v>27</v>
      </c>
      <c r="D5567" s="7" t="s">
        <v>28</v>
      </c>
      <c r="E5567" s="7" t="s">
        <v>29</v>
      </c>
      <c r="F5567" s="7" t="s">
        <v>41</v>
      </c>
      <c r="G5567" s="7">
        <v>99.848460000000003</v>
      </c>
      <c r="H5567" s="7"/>
    </row>
    <row r="5568" spans="1:8" x14ac:dyDescent="0.35">
      <c r="A5568" s="7" t="s">
        <v>365</v>
      </c>
      <c r="B5568" s="7" t="s">
        <v>26</v>
      </c>
      <c r="C5568" s="7" t="s">
        <v>27</v>
      </c>
      <c r="D5568" s="7" t="s">
        <v>28</v>
      </c>
      <c r="E5568" s="7" t="s">
        <v>29</v>
      </c>
      <c r="F5568" s="7" t="s">
        <v>42</v>
      </c>
      <c r="G5568" s="7">
        <v>99.923810000000003</v>
      </c>
      <c r="H5568" s="7"/>
    </row>
    <row r="5569" spans="1:8" x14ac:dyDescent="0.35">
      <c r="A5569" s="7" t="s">
        <v>365</v>
      </c>
      <c r="B5569" s="7" t="s">
        <v>26</v>
      </c>
      <c r="C5569" s="7" t="s">
        <v>27</v>
      </c>
      <c r="D5569" s="7" t="s">
        <v>28</v>
      </c>
      <c r="E5569" s="7" t="s">
        <v>29</v>
      </c>
      <c r="F5569" s="7" t="s">
        <v>43</v>
      </c>
      <c r="G5569" s="7">
        <v>100.0004</v>
      </c>
      <c r="H5569" s="7"/>
    </row>
    <row r="5570" spans="1:8" x14ac:dyDescent="0.35">
      <c r="A5570" s="7" t="s">
        <v>365</v>
      </c>
      <c r="B5570" s="7" t="s">
        <v>26</v>
      </c>
      <c r="C5570" s="7" t="s">
        <v>27</v>
      </c>
      <c r="D5570" s="7" t="s">
        <v>28</v>
      </c>
      <c r="E5570" s="7" t="s">
        <v>29</v>
      </c>
      <c r="F5570" s="7" t="s">
        <v>44</v>
      </c>
      <c r="G5570" s="7">
        <v>100.0377</v>
      </c>
      <c r="H5570" s="7"/>
    </row>
    <row r="5571" spans="1:8" x14ac:dyDescent="0.35">
      <c r="A5571" s="7" t="s">
        <v>365</v>
      </c>
      <c r="B5571" s="7" t="s">
        <v>26</v>
      </c>
      <c r="C5571" s="7" t="s">
        <v>27</v>
      </c>
      <c r="D5571" s="7" t="s">
        <v>28</v>
      </c>
      <c r="E5571" s="7" t="s">
        <v>29</v>
      </c>
      <c r="F5571" s="7" t="s">
        <v>45</v>
      </c>
      <c r="G5571" s="7">
        <v>100.0911</v>
      </c>
      <c r="H5571" s="7"/>
    </row>
    <row r="5572" spans="1:8" x14ac:dyDescent="0.35">
      <c r="A5572" s="7" t="s">
        <v>365</v>
      </c>
      <c r="B5572" s="7" t="s">
        <v>26</v>
      </c>
      <c r="C5572" s="7" t="s">
        <v>27</v>
      </c>
      <c r="D5572" s="7" t="s">
        <v>28</v>
      </c>
      <c r="E5572" s="7" t="s">
        <v>29</v>
      </c>
      <c r="F5572" s="7" t="s">
        <v>46</v>
      </c>
      <c r="G5572" s="7">
        <v>100.12949999999999</v>
      </c>
      <c r="H5572" s="7"/>
    </row>
    <row r="5573" spans="1:8" x14ac:dyDescent="0.35">
      <c r="A5573" s="7" t="s">
        <v>365</v>
      </c>
      <c r="B5573" s="7" t="s">
        <v>26</v>
      </c>
      <c r="C5573" s="7" t="s">
        <v>27</v>
      </c>
      <c r="D5573" s="7" t="s">
        <v>28</v>
      </c>
      <c r="E5573" s="7" t="s">
        <v>29</v>
      </c>
      <c r="F5573" s="7" t="s">
        <v>47</v>
      </c>
      <c r="G5573" s="7">
        <v>100.1678</v>
      </c>
      <c r="H5573" s="7"/>
    </row>
    <row r="5574" spans="1:8" x14ac:dyDescent="0.35">
      <c r="A5574" s="7" t="s">
        <v>365</v>
      </c>
      <c r="B5574" s="7" t="s">
        <v>26</v>
      </c>
      <c r="C5574" s="7" t="s">
        <v>27</v>
      </c>
      <c r="D5574" s="7" t="s">
        <v>28</v>
      </c>
      <c r="E5574" s="7" t="s">
        <v>29</v>
      </c>
      <c r="F5574" s="7" t="s">
        <v>48</v>
      </c>
      <c r="G5574" s="7">
        <v>100.1879</v>
      </c>
      <c r="H5574" s="7"/>
    </row>
    <row r="5575" spans="1:8" x14ac:dyDescent="0.35">
      <c r="A5575" s="7" t="s">
        <v>365</v>
      </c>
      <c r="B5575" s="7" t="s">
        <v>26</v>
      </c>
      <c r="C5575" s="7" t="s">
        <v>27</v>
      </c>
      <c r="D5575" s="7" t="s">
        <v>28</v>
      </c>
      <c r="E5575" s="7" t="s">
        <v>29</v>
      </c>
      <c r="F5575" s="7" t="s">
        <v>49</v>
      </c>
      <c r="G5575" s="7">
        <v>100.2555</v>
      </c>
      <c r="H5575" s="7"/>
    </row>
    <row r="5576" spans="1:8" x14ac:dyDescent="0.35">
      <c r="A5576" s="7" t="s">
        <v>365</v>
      </c>
      <c r="B5576" s="7" t="s">
        <v>26</v>
      </c>
      <c r="C5576" s="7" t="s">
        <v>27</v>
      </c>
      <c r="D5576" s="7" t="s">
        <v>28</v>
      </c>
      <c r="E5576" s="7" t="s">
        <v>29</v>
      </c>
      <c r="F5576" s="7" t="s">
        <v>50</v>
      </c>
      <c r="G5576" s="7">
        <v>100.4584</v>
      </c>
      <c r="H5576" s="7"/>
    </row>
    <row r="5577" spans="1:8" x14ac:dyDescent="0.35">
      <c r="A5577" s="7" t="s">
        <v>365</v>
      </c>
      <c r="B5577" s="7" t="s">
        <v>26</v>
      </c>
      <c r="C5577" s="7" t="s">
        <v>27</v>
      </c>
      <c r="D5577" s="7" t="s">
        <v>28</v>
      </c>
      <c r="E5577" s="7" t="s">
        <v>29</v>
      </c>
      <c r="F5577" s="7" t="s">
        <v>51</v>
      </c>
      <c r="G5577" s="7">
        <v>100.81870000000001</v>
      </c>
      <c r="H5577" s="7"/>
    </row>
    <row r="5578" spans="1:8" x14ac:dyDescent="0.35">
      <c r="A5578" s="7" t="s">
        <v>365</v>
      </c>
      <c r="B5578" s="7" t="s">
        <v>26</v>
      </c>
      <c r="C5578" s="7" t="s">
        <v>27</v>
      </c>
      <c r="D5578" s="7" t="s">
        <v>28</v>
      </c>
      <c r="E5578" s="7" t="s">
        <v>29</v>
      </c>
      <c r="F5578" s="7" t="s">
        <v>52</v>
      </c>
      <c r="G5578" s="7">
        <v>101.2861</v>
      </c>
      <c r="H5578" s="7"/>
    </row>
    <row r="5579" spans="1:8" x14ac:dyDescent="0.35">
      <c r="A5579" s="7" t="s">
        <v>365</v>
      </c>
      <c r="B5579" s="7" t="s">
        <v>26</v>
      </c>
      <c r="C5579" s="7" t="s">
        <v>27</v>
      </c>
      <c r="D5579" s="7" t="s">
        <v>28</v>
      </c>
      <c r="E5579" s="7" t="s">
        <v>29</v>
      </c>
      <c r="F5579" s="7" t="s">
        <v>53</v>
      </c>
      <c r="G5579" s="7">
        <v>101.7101</v>
      </c>
      <c r="H5579" s="7"/>
    </row>
    <row r="5580" spans="1:8" x14ac:dyDescent="0.35">
      <c r="A5580" s="7" t="s">
        <v>365</v>
      </c>
      <c r="B5580" s="7" t="s">
        <v>26</v>
      </c>
      <c r="C5580" s="7" t="s">
        <v>27</v>
      </c>
      <c r="D5580" s="7" t="s">
        <v>28</v>
      </c>
      <c r="E5580" s="7" t="s">
        <v>29</v>
      </c>
      <c r="F5580" s="7" t="s">
        <v>54</v>
      </c>
      <c r="G5580" s="7">
        <v>101.8901</v>
      </c>
      <c r="H5580" s="7"/>
    </row>
    <row r="5581" spans="1:8" x14ac:dyDescent="0.35">
      <c r="A5581" s="7" t="s">
        <v>365</v>
      </c>
      <c r="B5581" s="7" t="s">
        <v>26</v>
      </c>
      <c r="C5581" s="7" t="s">
        <v>27</v>
      </c>
      <c r="D5581" s="7" t="s">
        <v>28</v>
      </c>
      <c r="E5581" s="7" t="s">
        <v>29</v>
      </c>
      <c r="F5581" s="7" t="s">
        <v>55</v>
      </c>
      <c r="G5581" s="7">
        <v>101.8677</v>
      </c>
      <c r="H5581" s="7"/>
    </row>
    <row r="5582" spans="1:8" x14ac:dyDescent="0.35">
      <c r="A5582" s="7" t="s">
        <v>365</v>
      </c>
      <c r="B5582" s="7" t="s">
        <v>26</v>
      </c>
      <c r="C5582" s="7" t="s">
        <v>27</v>
      </c>
      <c r="D5582" s="7" t="s">
        <v>28</v>
      </c>
      <c r="E5582" s="7" t="s">
        <v>29</v>
      </c>
      <c r="F5582" s="7" t="s">
        <v>56</v>
      </c>
      <c r="G5582" s="7">
        <v>101.7667</v>
      </c>
      <c r="H5582" s="7"/>
    </row>
    <row r="5583" spans="1:8" x14ac:dyDescent="0.35">
      <c r="A5583" s="7" t="s">
        <v>365</v>
      </c>
      <c r="B5583" s="7" t="s">
        <v>26</v>
      </c>
      <c r="C5583" s="7" t="s">
        <v>27</v>
      </c>
      <c r="D5583" s="7" t="s">
        <v>28</v>
      </c>
      <c r="E5583" s="7" t="s">
        <v>29</v>
      </c>
      <c r="F5583" s="7" t="s">
        <v>57</v>
      </c>
      <c r="G5583" s="7">
        <v>101.65</v>
      </c>
      <c r="H5583" s="7"/>
    </row>
    <row r="5584" spans="1:8" x14ac:dyDescent="0.35">
      <c r="A5584" s="7" t="s">
        <v>365</v>
      </c>
      <c r="B5584" s="7" t="s">
        <v>26</v>
      </c>
      <c r="C5584" s="7" t="s">
        <v>27</v>
      </c>
      <c r="D5584" s="7" t="s">
        <v>28</v>
      </c>
      <c r="E5584" s="7" t="s">
        <v>29</v>
      </c>
      <c r="F5584" s="7" t="s">
        <v>58</v>
      </c>
      <c r="G5584" s="7">
        <v>101.48569999999999</v>
      </c>
      <c r="H5584" s="7"/>
    </row>
    <row r="5585" spans="1:8" x14ac:dyDescent="0.35">
      <c r="A5585" s="7" t="s">
        <v>365</v>
      </c>
      <c r="B5585" s="7" t="s">
        <v>26</v>
      </c>
      <c r="C5585" s="7" t="s">
        <v>27</v>
      </c>
      <c r="D5585" s="7" t="s">
        <v>28</v>
      </c>
      <c r="E5585" s="7" t="s">
        <v>29</v>
      </c>
      <c r="F5585" s="7" t="s">
        <v>59</v>
      </c>
      <c r="G5585" s="7">
        <v>101.2221</v>
      </c>
      <c r="H5585" s="7"/>
    </row>
    <row r="5586" spans="1:8" x14ac:dyDescent="0.35">
      <c r="A5586" s="7" t="s">
        <v>365</v>
      </c>
      <c r="B5586" s="7" t="s">
        <v>26</v>
      </c>
      <c r="C5586" s="7" t="s">
        <v>27</v>
      </c>
      <c r="D5586" s="7" t="s">
        <v>28</v>
      </c>
      <c r="E5586" s="7" t="s">
        <v>29</v>
      </c>
      <c r="F5586" s="7" t="s">
        <v>60</v>
      </c>
      <c r="G5586" s="7">
        <v>100.9734</v>
      </c>
      <c r="H5586" s="7"/>
    </row>
    <row r="5587" spans="1:8" x14ac:dyDescent="0.35">
      <c r="A5587" s="7" t="s">
        <v>365</v>
      </c>
      <c r="B5587" s="7" t="s">
        <v>26</v>
      </c>
      <c r="C5587" s="7" t="s">
        <v>27</v>
      </c>
      <c r="D5587" s="7" t="s">
        <v>28</v>
      </c>
      <c r="E5587" s="7" t="s">
        <v>29</v>
      </c>
      <c r="F5587" s="7" t="s">
        <v>61</v>
      </c>
      <c r="G5587" s="7">
        <v>100.7745</v>
      </c>
      <c r="H5587" s="7"/>
    </row>
    <row r="5588" spans="1:8" x14ac:dyDescent="0.35">
      <c r="A5588" s="7" t="s">
        <v>365</v>
      </c>
      <c r="B5588" s="7" t="s">
        <v>26</v>
      </c>
      <c r="C5588" s="7" t="s">
        <v>27</v>
      </c>
      <c r="D5588" s="7" t="s">
        <v>28</v>
      </c>
      <c r="E5588" s="7" t="s">
        <v>29</v>
      </c>
      <c r="F5588" s="7" t="s">
        <v>62</v>
      </c>
      <c r="G5588" s="7">
        <v>100.6645</v>
      </c>
      <c r="H5588" s="7"/>
    </row>
    <row r="5589" spans="1:8" x14ac:dyDescent="0.35">
      <c r="A5589" s="7" t="s">
        <v>365</v>
      </c>
      <c r="B5589" s="7" t="s">
        <v>26</v>
      </c>
      <c r="C5589" s="7" t="s">
        <v>27</v>
      </c>
      <c r="D5589" s="7" t="s">
        <v>28</v>
      </c>
      <c r="E5589" s="7" t="s">
        <v>29</v>
      </c>
      <c r="F5589" s="7" t="s">
        <v>63</v>
      </c>
      <c r="G5589" s="7">
        <v>100.6362</v>
      </c>
      <c r="H5589" s="7"/>
    </row>
    <row r="5590" spans="1:8" x14ac:dyDescent="0.35">
      <c r="A5590" s="7" t="s">
        <v>365</v>
      </c>
      <c r="B5590" s="7" t="s">
        <v>26</v>
      </c>
      <c r="C5590" s="7" t="s">
        <v>27</v>
      </c>
      <c r="D5590" s="7" t="s">
        <v>28</v>
      </c>
      <c r="E5590" s="7" t="s">
        <v>29</v>
      </c>
      <c r="F5590" s="7" t="s">
        <v>64</v>
      </c>
      <c r="G5590" s="7">
        <v>100.6121</v>
      </c>
      <c r="H5590" s="7"/>
    </row>
    <row r="5591" spans="1:8" x14ac:dyDescent="0.35">
      <c r="A5591" s="7" t="s">
        <v>365</v>
      </c>
      <c r="B5591" s="7" t="s">
        <v>26</v>
      </c>
      <c r="C5591" s="7" t="s">
        <v>27</v>
      </c>
      <c r="D5591" s="7" t="s">
        <v>28</v>
      </c>
      <c r="E5591" s="7" t="s">
        <v>29</v>
      </c>
      <c r="F5591" s="7" t="s">
        <v>65</v>
      </c>
      <c r="G5591" s="7">
        <v>100.4718</v>
      </c>
      <c r="H5591" s="7"/>
    </row>
    <row r="5592" spans="1:8" x14ac:dyDescent="0.35">
      <c r="A5592" s="7" t="s">
        <v>365</v>
      </c>
      <c r="B5592" s="7" t="s">
        <v>26</v>
      </c>
      <c r="C5592" s="7" t="s">
        <v>27</v>
      </c>
      <c r="D5592" s="7" t="s">
        <v>28</v>
      </c>
      <c r="E5592" s="7" t="s">
        <v>29</v>
      </c>
      <c r="F5592" s="7" t="s">
        <v>66</v>
      </c>
      <c r="G5592" s="7">
        <v>100.32559999999999</v>
      </c>
      <c r="H5592" s="7"/>
    </row>
    <row r="5593" spans="1:8" x14ac:dyDescent="0.35">
      <c r="A5593" s="7" t="s">
        <v>365</v>
      </c>
      <c r="B5593" s="7" t="s">
        <v>26</v>
      </c>
      <c r="C5593" s="7" t="s">
        <v>27</v>
      </c>
      <c r="D5593" s="7" t="s">
        <v>28</v>
      </c>
      <c r="E5593" s="7" t="s">
        <v>29</v>
      </c>
      <c r="F5593" s="7" t="s">
        <v>67</v>
      </c>
      <c r="G5593" s="7">
        <v>100.188</v>
      </c>
      <c r="H5593" s="7"/>
    </row>
    <row r="5594" spans="1:8" x14ac:dyDescent="0.35">
      <c r="A5594" s="7" t="s">
        <v>365</v>
      </c>
      <c r="B5594" s="7" t="s">
        <v>26</v>
      </c>
      <c r="C5594" s="7" t="s">
        <v>27</v>
      </c>
      <c r="D5594" s="7" t="s">
        <v>28</v>
      </c>
      <c r="E5594" s="7" t="s">
        <v>29</v>
      </c>
      <c r="F5594" s="7" t="s">
        <v>68</v>
      </c>
      <c r="G5594" s="7">
        <v>100.0827</v>
      </c>
      <c r="H5594" s="7"/>
    </row>
    <row r="5595" spans="1:8" x14ac:dyDescent="0.35">
      <c r="A5595" s="7" t="s">
        <v>365</v>
      </c>
      <c r="B5595" s="7" t="s">
        <v>26</v>
      </c>
      <c r="C5595" s="7" t="s">
        <v>27</v>
      </c>
      <c r="D5595" s="7" t="s">
        <v>28</v>
      </c>
      <c r="E5595" s="7" t="s">
        <v>29</v>
      </c>
      <c r="F5595" s="7" t="s">
        <v>69</v>
      </c>
      <c r="G5595" s="7">
        <v>100.0137</v>
      </c>
      <c r="H5595" s="7"/>
    </row>
    <row r="5596" spans="1:8" x14ac:dyDescent="0.35">
      <c r="A5596" s="7" t="s">
        <v>365</v>
      </c>
      <c r="B5596" s="7" t="s">
        <v>26</v>
      </c>
      <c r="C5596" s="7" t="s">
        <v>27</v>
      </c>
      <c r="D5596" s="7" t="s">
        <v>28</v>
      </c>
      <c r="E5596" s="7" t="s">
        <v>29</v>
      </c>
      <c r="F5596" s="7" t="s">
        <v>70</v>
      </c>
      <c r="G5596" s="7">
        <v>99.977900000000005</v>
      </c>
      <c r="H5596" s="7"/>
    </row>
    <row r="5597" spans="1:8" x14ac:dyDescent="0.35">
      <c r="A5597" s="7" t="s">
        <v>365</v>
      </c>
      <c r="B5597" s="7" t="s">
        <v>26</v>
      </c>
      <c r="C5597" s="7" t="s">
        <v>27</v>
      </c>
      <c r="D5597" s="7" t="s">
        <v>28</v>
      </c>
      <c r="E5597" s="7" t="s">
        <v>29</v>
      </c>
      <c r="F5597" s="7" t="s">
        <v>71</v>
      </c>
      <c r="G5597" s="7">
        <v>100.0133</v>
      </c>
      <c r="H5597" s="7"/>
    </row>
    <row r="5598" spans="1:8" x14ac:dyDescent="0.35">
      <c r="A5598" s="7" t="s">
        <v>365</v>
      </c>
      <c r="B5598" s="7" t="s">
        <v>26</v>
      </c>
      <c r="C5598" s="7" t="s">
        <v>27</v>
      </c>
      <c r="D5598" s="7" t="s">
        <v>28</v>
      </c>
      <c r="E5598" s="7" t="s">
        <v>29</v>
      </c>
      <c r="F5598" s="7" t="s">
        <v>72</v>
      </c>
      <c r="G5598" s="7">
        <v>100.0376</v>
      </c>
      <c r="H5598" s="7"/>
    </row>
    <row r="5599" spans="1:8" x14ac:dyDescent="0.35">
      <c r="A5599" s="7" t="s">
        <v>365</v>
      </c>
      <c r="B5599" s="7" t="s">
        <v>26</v>
      </c>
      <c r="C5599" s="7" t="s">
        <v>27</v>
      </c>
      <c r="D5599" s="7" t="s">
        <v>28</v>
      </c>
      <c r="E5599" s="7" t="s">
        <v>29</v>
      </c>
      <c r="F5599" s="7" t="s">
        <v>73</v>
      </c>
      <c r="G5599" s="7">
        <v>100.0098</v>
      </c>
      <c r="H5599" s="7"/>
    </row>
    <row r="5600" spans="1:8" x14ac:dyDescent="0.35">
      <c r="A5600" s="7" t="s">
        <v>365</v>
      </c>
      <c r="B5600" s="7" t="s">
        <v>26</v>
      </c>
      <c r="C5600" s="7" t="s">
        <v>27</v>
      </c>
      <c r="D5600" s="7" t="s">
        <v>28</v>
      </c>
      <c r="E5600" s="7" t="s">
        <v>29</v>
      </c>
      <c r="F5600" s="7" t="s">
        <v>74</v>
      </c>
      <c r="G5600" s="7">
        <v>99.885440000000003</v>
      </c>
      <c r="H5600" s="7"/>
    </row>
    <row r="5601" spans="1:8" x14ac:dyDescent="0.35">
      <c r="A5601" s="7" t="s">
        <v>365</v>
      </c>
      <c r="B5601" s="7" t="s">
        <v>26</v>
      </c>
      <c r="C5601" s="7" t="s">
        <v>27</v>
      </c>
      <c r="D5601" s="7" t="s">
        <v>28</v>
      </c>
      <c r="E5601" s="7" t="s">
        <v>29</v>
      </c>
      <c r="F5601" s="7" t="s">
        <v>75</v>
      </c>
      <c r="G5601" s="7">
        <v>99.861760000000004</v>
      </c>
      <c r="H5601" s="7"/>
    </row>
    <row r="5602" spans="1:8" x14ac:dyDescent="0.35">
      <c r="A5602" s="7" t="s">
        <v>365</v>
      </c>
      <c r="B5602" s="7" t="s">
        <v>26</v>
      </c>
      <c r="C5602" s="7" t="s">
        <v>27</v>
      </c>
      <c r="D5602" s="7" t="s">
        <v>28</v>
      </c>
      <c r="E5602" s="7" t="s">
        <v>29</v>
      </c>
      <c r="F5602" s="7" t="s">
        <v>76</v>
      </c>
      <c r="G5602" s="7">
        <v>99.973560000000006</v>
      </c>
      <c r="H5602" s="7"/>
    </row>
    <row r="5603" spans="1:8" x14ac:dyDescent="0.35">
      <c r="A5603" s="7" t="s">
        <v>365</v>
      </c>
      <c r="B5603" s="7" t="s">
        <v>26</v>
      </c>
      <c r="C5603" s="7" t="s">
        <v>27</v>
      </c>
      <c r="D5603" s="7" t="s">
        <v>28</v>
      </c>
      <c r="E5603" s="7" t="s">
        <v>29</v>
      </c>
      <c r="F5603" s="7" t="s">
        <v>77</v>
      </c>
      <c r="G5603" s="7">
        <v>100.2308</v>
      </c>
      <c r="H5603" s="7"/>
    </row>
    <row r="5604" spans="1:8" x14ac:dyDescent="0.35">
      <c r="A5604" s="7" t="s">
        <v>365</v>
      </c>
      <c r="B5604" s="7" t="s">
        <v>26</v>
      </c>
      <c r="C5604" s="7" t="s">
        <v>27</v>
      </c>
      <c r="D5604" s="7" t="s">
        <v>28</v>
      </c>
      <c r="E5604" s="7" t="s">
        <v>29</v>
      </c>
      <c r="F5604" s="7" t="s">
        <v>78</v>
      </c>
      <c r="G5604" s="7">
        <v>100.5172</v>
      </c>
      <c r="H5604" s="7"/>
    </row>
    <row r="5605" spans="1:8" x14ac:dyDescent="0.35">
      <c r="A5605" s="7" t="s">
        <v>365</v>
      </c>
      <c r="B5605" s="7" t="s">
        <v>26</v>
      </c>
      <c r="C5605" s="7" t="s">
        <v>27</v>
      </c>
      <c r="D5605" s="7" t="s">
        <v>28</v>
      </c>
      <c r="E5605" s="7" t="s">
        <v>29</v>
      </c>
      <c r="F5605" s="7" t="s">
        <v>79</v>
      </c>
      <c r="G5605" s="7">
        <v>100.8099</v>
      </c>
      <c r="H5605" s="7"/>
    </row>
    <row r="5606" spans="1:8" x14ac:dyDescent="0.35">
      <c r="A5606" s="7" t="s">
        <v>365</v>
      </c>
      <c r="B5606" s="7" t="s">
        <v>26</v>
      </c>
      <c r="C5606" s="7" t="s">
        <v>27</v>
      </c>
      <c r="D5606" s="7" t="s">
        <v>28</v>
      </c>
      <c r="E5606" s="7" t="s">
        <v>29</v>
      </c>
      <c r="F5606" s="7" t="s">
        <v>80</v>
      </c>
      <c r="G5606" s="7">
        <v>101.03830000000001</v>
      </c>
      <c r="H5606" s="7"/>
    </row>
    <row r="5607" spans="1:8" x14ac:dyDescent="0.35">
      <c r="A5607" s="7" t="s">
        <v>365</v>
      </c>
      <c r="B5607" s="7" t="s">
        <v>26</v>
      </c>
      <c r="C5607" s="7" t="s">
        <v>27</v>
      </c>
      <c r="D5607" s="7" t="s">
        <v>28</v>
      </c>
      <c r="E5607" s="7" t="s">
        <v>29</v>
      </c>
      <c r="F5607" s="7" t="s">
        <v>81</v>
      </c>
      <c r="G5607" s="7">
        <v>101.2059</v>
      </c>
      <c r="H5607" s="7"/>
    </row>
    <row r="5608" spans="1:8" x14ac:dyDescent="0.35">
      <c r="A5608" s="7" t="s">
        <v>365</v>
      </c>
      <c r="B5608" s="7" t="s">
        <v>26</v>
      </c>
      <c r="C5608" s="7" t="s">
        <v>27</v>
      </c>
      <c r="D5608" s="7" t="s">
        <v>28</v>
      </c>
      <c r="E5608" s="7" t="s">
        <v>29</v>
      </c>
      <c r="F5608" s="7" t="s">
        <v>82</v>
      </c>
      <c r="G5608" s="7">
        <v>101.1206</v>
      </c>
      <c r="H5608" s="7"/>
    </row>
    <row r="5609" spans="1:8" x14ac:dyDescent="0.35">
      <c r="A5609" s="7" t="s">
        <v>365</v>
      </c>
      <c r="B5609" s="7" t="s">
        <v>26</v>
      </c>
      <c r="C5609" s="7" t="s">
        <v>27</v>
      </c>
      <c r="D5609" s="7" t="s">
        <v>28</v>
      </c>
      <c r="E5609" s="7" t="s">
        <v>29</v>
      </c>
      <c r="F5609" s="7" t="s">
        <v>83</v>
      </c>
      <c r="G5609" s="7">
        <v>100.98350000000001</v>
      </c>
      <c r="H5609" s="7"/>
    </row>
    <row r="5610" spans="1:8" x14ac:dyDescent="0.35">
      <c r="A5610" s="7" t="s">
        <v>365</v>
      </c>
      <c r="B5610" s="7" t="s">
        <v>26</v>
      </c>
      <c r="C5610" s="7" t="s">
        <v>27</v>
      </c>
      <c r="D5610" s="7" t="s">
        <v>28</v>
      </c>
      <c r="E5610" s="7" t="s">
        <v>29</v>
      </c>
      <c r="F5610" s="7" t="s">
        <v>84</v>
      </c>
      <c r="G5610" s="7">
        <v>100.9461</v>
      </c>
      <c r="H5610" s="7"/>
    </row>
    <row r="5611" spans="1:8" x14ac:dyDescent="0.35">
      <c r="A5611" s="7" t="s">
        <v>365</v>
      </c>
      <c r="B5611" s="7" t="s">
        <v>26</v>
      </c>
      <c r="C5611" s="7" t="s">
        <v>27</v>
      </c>
      <c r="D5611" s="7" t="s">
        <v>28</v>
      </c>
      <c r="E5611" s="7" t="s">
        <v>29</v>
      </c>
      <c r="F5611" s="7" t="s">
        <v>85</v>
      </c>
      <c r="G5611" s="7">
        <v>100.96680000000001</v>
      </c>
      <c r="H5611" s="7"/>
    </row>
    <row r="5612" spans="1:8" x14ac:dyDescent="0.35">
      <c r="A5612" s="7" t="s">
        <v>365</v>
      </c>
      <c r="B5612" s="7" t="s">
        <v>26</v>
      </c>
      <c r="C5612" s="7" t="s">
        <v>27</v>
      </c>
      <c r="D5612" s="7" t="s">
        <v>28</v>
      </c>
      <c r="E5612" s="7" t="s">
        <v>29</v>
      </c>
      <c r="F5612" s="7" t="s">
        <v>86</v>
      </c>
      <c r="G5612" s="7">
        <v>101.056</v>
      </c>
      <c r="H5612" s="7"/>
    </row>
    <row r="5613" spans="1:8" x14ac:dyDescent="0.35">
      <c r="A5613" s="7" t="s">
        <v>365</v>
      </c>
      <c r="B5613" s="7" t="s">
        <v>26</v>
      </c>
      <c r="C5613" s="7" t="s">
        <v>27</v>
      </c>
      <c r="D5613" s="7" t="s">
        <v>28</v>
      </c>
      <c r="E5613" s="7" t="s">
        <v>29</v>
      </c>
      <c r="F5613" s="7" t="s">
        <v>87</v>
      </c>
      <c r="G5613" s="7">
        <v>101.28660000000001</v>
      </c>
      <c r="H5613" s="7"/>
    </row>
    <row r="5614" spans="1:8" x14ac:dyDescent="0.35">
      <c r="A5614" s="7" t="s">
        <v>365</v>
      </c>
      <c r="B5614" s="7" t="s">
        <v>26</v>
      </c>
      <c r="C5614" s="7" t="s">
        <v>27</v>
      </c>
      <c r="D5614" s="7" t="s">
        <v>28</v>
      </c>
      <c r="E5614" s="7" t="s">
        <v>29</v>
      </c>
      <c r="F5614" s="7" t="s">
        <v>88</v>
      </c>
      <c r="G5614" s="7">
        <v>101.5076</v>
      </c>
      <c r="H5614" s="7"/>
    </row>
    <row r="5615" spans="1:8" x14ac:dyDescent="0.35">
      <c r="A5615" s="7" t="s">
        <v>365</v>
      </c>
      <c r="B5615" s="7" t="s">
        <v>26</v>
      </c>
      <c r="C5615" s="7" t="s">
        <v>27</v>
      </c>
      <c r="D5615" s="7" t="s">
        <v>28</v>
      </c>
      <c r="E5615" s="7" t="s">
        <v>29</v>
      </c>
      <c r="F5615" s="7" t="s">
        <v>89</v>
      </c>
      <c r="G5615" s="7">
        <v>101.52809999999999</v>
      </c>
      <c r="H5615" s="7"/>
    </row>
    <row r="5616" spans="1:8" x14ac:dyDescent="0.35">
      <c r="A5616" s="7" t="s">
        <v>365</v>
      </c>
      <c r="B5616" s="7" t="s">
        <v>26</v>
      </c>
      <c r="C5616" s="7" t="s">
        <v>27</v>
      </c>
      <c r="D5616" s="7" t="s">
        <v>28</v>
      </c>
      <c r="E5616" s="7" t="s">
        <v>29</v>
      </c>
      <c r="F5616" s="7" t="s">
        <v>90</v>
      </c>
      <c r="G5616" s="7">
        <v>101.2907</v>
      </c>
      <c r="H5616" s="7"/>
    </row>
    <row r="5617" spans="1:8" x14ac:dyDescent="0.35">
      <c r="A5617" s="7" t="s">
        <v>365</v>
      </c>
      <c r="B5617" s="7" t="s">
        <v>26</v>
      </c>
      <c r="C5617" s="7" t="s">
        <v>27</v>
      </c>
      <c r="D5617" s="7" t="s">
        <v>28</v>
      </c>
      <c r="E5617" s="7" t="s">
        <v>29</v>
      </c>
      <c r="F5617" s="7" t="s">
        <v>91</v>
      </c>
      <c r="G5617" s="7">
        <v>100.9853</v>
      </c>
      <c r="H5617" s="7"/>
    </row>
    <row r="5618" spans="1:8" x14ac:dyDescent="0.35">
      <c r="A5618" s="7" t="s">
        <v>365</v>
      </c>
      <c r="B5618" s="7" t="s">
        <v>26</v>
      </c>
      <c r="C5618" s="7" t="s">
        <v>27</v>
      </c>
      <c r="D5618" s="7" t="s">
        <v>28</v>
      </c>
      <c r="E5618" s="7" t="s">
        <v>29</v>
      </c>
      <c r="F5618" s="7" t="s">
        <v>92</v>
      </c>
      <c r="G5618" s="7">
        <v>100.779</v>
      </c>
      <c r="H5618" s="7"/>
    </row>
    <row r="5619" spans="1:8" x14ac:dyDescent="0.35">
      <c r="A5619" s="7" t="s">
        <v>365</v>
      </c>
      <c r="B5619" s="7" t="s">
        <v>26</v>
      </c>
      <c r="C5619" s="7" t="s">
        <v>27</v>
      </c>
      <c r="D5619" s="7" t="s">
        <v>28</v>
      </c>
      <c r="E5619" s="7" t="s">
        <v>29</v>
      </c>
      <c r="F5619" s="7" t="s">
        <v>93</v>
      </c>
      <c r="G5619" s="7">
        <v>100.7063</v>
      </c>
      <c r="H5619" s="7"/>
    </row>
    <row r="5620" spans="1:8" x14ac:dyDescent="0.35">
      <c r="A5620" s="7" t="s">
        <v>365</v>
      </c>
      <c r="B5620" s="7" t="s">
        <v>26</v>
      </c>
      <c r="C5620" s="7" t="s">
        <v>27</v>
      </c>
      <c r="D5620" s="7" t="s">
        <v>28</v>
      </c>
      <c r="E5620" s="7" t="s">
        <v>29</v>
      </c>
      <c r="F5620" s="7" t="s">
        <v>94</v>
      </c>
      <c r="G5620" s="7">
        <v>100.78230000000001</v>
      </c>
      <c r="H5620" s="7"/>
    </row>
    <row r="5621" spans="1:8" x14ac:dyDescent="0.35">
      <c r="A5621" s="7" t="s">
        <v>365</v>
      </c>
      <c r="B5621" s="7" t="s">
        <v>26</v>
      </c>
      <c r="C5621" s="7" t="s">
        <v>27</v>
      </c>
      <c r="D5621" s="7" t="s">
        <v>28</v>
      </c>
      <c r="E5621" s="7" t="s">
        <v>29</v>
      </c>
      <c r="F5621" s="7" t="s">
        <v>95</v>
      </c>
      <c r="G5621" s="7">
        <v>100.8369</v>
      </c>
      <c r="H5621" s="7"/>
    </row>
    <row r="5622" spans="1:8" x14ac:dyDescent="0.35">
      <c r="A5622" s="7" t="s">
        <v>365</v>
      </c>
      <c r="B5622" s="7" t="s">
        <v>26</v>
      </c>
      <c r="C5622" s="7" t="s">
        <v>27</v>
      </c>
      <c r="D5622" s="7" t="s">
        <v>28</v>
      </c>
      <c r="E5622" s="7" t="s">
        <v>29</v>
      </c>
      <c r="F5622" s="7" t="s">
        <v>96</v>
      </c>
      <c r="G5622" s="7">
        <v>100.9161</v>
      </c>
      <c r="H5622" s="7"/>
    </row>
    <row r="5623" spans="1:8" x14ac:dyDescent="0.35">
      <c r="A5623" s="7" t="s">
        <v>365</v>
      </c>
      <c r="B5623" s="7" t="s">
        <v>26</v>
      </c>
      <c r="C5623" s="7" t="s">
        <v>27</v>
      </c>
      <c r="D5623" s="7" t="s">
        <v>28</v>
      </c>
      <c r="E5623" s="7" t="s">
        <v>29</v>
      </c>
      <c r="F5623" s="7" t="s">
        <v>97</v>
      </c>
      <c r="G5623" s="7">
        <v>100.9986</v>
      </c>
      <c r="H5623" s="7"/>
    </row>
    <row r="5624" spans="1:8" x14ac:dyDescent="0.35">
      <c r="A5624" s="7" t="s">
        <v>365</v>
      </c>
      <c r="B5624" s="7" t="s">
        <v>26</v>
      </c>
      <c r="C5624" s="7" t="s">
        <v>27</v>
      </c>
      <c r="D5624" s="7" t="s">
        <v>28</v>
      </c>
      <c r="E5624" s="7" t="s">
        <v>29</v>
      </c>
      <c r="F5624" s="7" t="s">
        <v>98</v>
      </c>
      <c r="G5624" s="7">
        <v>101.0521</v>
      </c>
      <c r="H5624" s="7"/>
    </row>
    <row r="5625" spans="1:8" x14ac:dyDescent="0.35">
      <c r="A5625" s="7" t="s">
        <v>365</v>
      </c>
      <c r="B5625" s="7" t="s">
        <v>26</v>
      </c>
      <c r="C5625" s="7" t="s">
        <v>27</v>
      </c>
      <c r="D5625" s="7" t="s">
        <v>28</v>
      </c>
      <c r="E5625" s="7" t="s">
        <v>29</v>
      </c>
      <c r="F5625" s="7" t="s">
        <v>99</v>
      </c>
      <c r="G5625" s="7">
        <v>100.93989999999999</v>
      </c>
      <c r="H5625" s="7"/>
    </row>
    <row r="5626" spans="1:8" x14ac:dyDescent="0.35">
      <c r="A5626" s="7" t="s">
        <v>365</v>
      </c>
      <c r="B5626" s="7" t="s">
        <v>26</v>
      </c>
      <c r="C5626" s="7" t="s">
        <v>27</v>
      </c>
      <c r="D5626" s="7" t="s">
        <v>28</v>
      </c>
      <c r="E5626" s="7" t="s">
        <v>29</v>
      </c>
      <c r="F5626" s="7" t="s">
        <v>100</v>
      </c>
      <c r="G5626" s="7">
        <v>100.8653</v>
      </c>
      <c r="H5626" s="7"/>
    </row>
    <row r="5627" spans="1:8" x14ac:dyDescent="0.35">
      <c r="A5627" s="7" t="s">
        <v>365</v>
      </c>
      <c r="B5627" s="7" t="s">
        <v>26</v>
      </c>
      <c r="C5627" s="7" t="s">
        <v>27</v>
      </c>
      <c r="D5627" s="7" t="s">
        <v>28</v>
      </c>
      <c r="E5627" s="7" t="s">
        <v>29</v>
      </c>
      <c r="F5627" s="7" t="s">
        <v>101</v>
      </c>
      <c r="G5627" s="7">
        <v>100.85129999999999</v>
      </c>
      <c r="H5627" s="7"/>
    </row>
    <row r="5628" spans="1:8" x14ac:dyDescent="0.35">
      <c r="A5628" s="7" t="s">
        <v>365</v>
      </c>
      <c r="B5628" s="7" t="s">
        <v>26</v>
      </c>
      <c r="C5628" s="7" t="s">
        <v>27</v>
      </c>
      <c r="D5628" s="7" t="s">
        <v>28</v>
      </c>
      <c r="E5628" s="7" t="s">
        <v>29</v>
      </c>
      <c r="F5628" s="7" t="s">
        <v>102</v>
      </c>
      <c r="G5628" s="7">
        <v>100.7942</v>
      </c>
      <c r="H5628" s="7"/>
    </row>
    <row r="5629" spans="1:8" x14ac:dyDescent="0.35">
      <c r="A5629" s="7" t="s">
        <v>365</v>
      </c>
      <c r="B5629" s="7" t="s">
        <v>26</v>
      </c>
      <c r="C5629" s="7" t="s">
        <v>27</v>
      </c>
      <c r="D5629" s="7" t="s">
        <v>28</v>
      </c>
      <c r="E5629" s="7" t="s">
        <v>29</v>
      </c>
      <c r="F5629" s="7" t="s">
        <v>103</v>
      </c>
      <c r="G5629" s="7">
        <v>100.6442</v>
      </c>
      <c r="H5629" s="7"/>
    </row>
    <row r="5630" spans="1:8" x14ac:dyDescent="0.35">
      <c r="A5630" s="7" t="s">
        <v>365</v>
      </c>
      <c r="B5630" s="7" t="s">
        <v>26</v>
      </c>
      <c r="C5630" s="7" t="s">
        <v>27</v>
      </c>
      <c r="D5630" s="7" t="s">
        <v>28</v>
      </c>
      <c r="E5630" s="7" t="s">
        <v>29</v>
      </c>
      <c r="F5630" s="7" t="s">
        <v>104</v>
      </c>
      <c r="G5630" s="7">
        <v>100.4408</v>
      </c>
      <c r="H5630" s="7"/>
    </row>
    <row r="5631" spans="1:8" x14ac:dyDescent="0.35">
      <c r="A5631" s="7" t="s">
        <v>365</v>
      </c>
      <c r="B5631" s="7" t="s">
        <v>26</v>
      </c>
      <c r="C5631" s="7" t="s">
        <v>27</v>
      </c>
      <c r="D5631" s="7" t="s">
        <v>28</v>
      </c>
      <c r="E5631" s="7" t="s">
        <v>29</v>
      </c>
      <c r="F5631" s="7" t="s">
        <v>105</v>
      </c>
      <c r="G5631" s="7">
        <v>100.23569999999999</v>
      </c>
      <c r="H5631" s="7"/>
    </row>
    <row r="5632" spans="1:8" x14ac:dyDescent="0.35">
      <c r="A5632" s="7" t="s">
        <v>365</v>
      </c>
      <c r="B5632" s="7" t="s">
        <v>26</v>
      </c>
      <c r="C5632" s="7" t="s">
        <v>27</v>
      </c>
      <c r="D5632" s="7" t="s">
        <v>28</v>
      </c>
      <c r="E5632" s="7" t="s">
        <v>29</v>
      </c>
      <c r="F5632" s="7" t="s">
        <v>106</v>
      </c>
      <c r="G5632" s="7">
        <v>100.0157</v>
      </c>
      <c r="H5632" s="7"/>
    </row>
    <row r="5633" spans="1:8" x14ac:dyDescent="0.35">
      <c r="A5633" s="7" t="s">
        <v>365</v>
      </c>
      <c r="B5633" s="7" t="s">
        <v>26</v>
      </c>
      <c r="C5633" s="7" t="s">
        <v>27</v>
      </c>
      <c r="D5633" s="7" t="s">
        <v>28</v>
      </c>
      <c r="E5633" s="7" t="s">
        <v>29</v>
      </c>
      <c r="F5633" s="7" t="s">
        <v>107</v>
      </c>
      <c r="G5633" s="7">
        <v>99.980189999999993</v>
      </c>
      <c r="H5633" s="7"/>
    </row>
    <row r="5634" spans="1:8" x14ac:dyDescent="0.35">
      <c r="A5634" s="7" t="s">
        <v>365</v>
      </c>
      <c r="B5634" s="7" t="s">
        <v>26</v>
      </c>
      <c r="C5634" s="7" t="s">
        <v>27</v>
      </c>
      <c r="D5634" s="7" t="s">
        <v>28</v>
      </c>
      <c r="E5634" s="7" t="s">
        <v>29</v>
      </c>
      <c r="F5634" s="7" t="s">
        <v>108</v>
      </c>
      <c r="G5634" s="7">
        <v>100.1709</v>
      </c>
      <c r="H5634" s="7"/>
    </row>
    <row r="5635" spans="1:8" x14ac:dyDescent="0.35">
      <c r="A5635" s="7" t="s">
        <v>365</v>
      </c>
      <c r="B5635" s="7" t="s">
        <v>26</v>
      </c>
      <c r="C5635" s="7" t="s">
        <v>27</v>
      </c>
      <c r="D5635" s="7" t="s">
        <v>28</v>
      </c>
      <c r="E5635" s="7" t="s">
        <v>29</v>
      </c>
      <c r="F5635" s="7" t="s">
        <v>109</v>
      </c>
      <c r="G5635" s="7">
        <v>100.41379999999999</v>
      </c>
      <c r="H5635" s="7"/>
    </row>
    <row r="5636" spans="1:8" x14ac:dyDescent="0.35">
      <c r="A5636" s="7" t="s">
        <v>365</v>
      </c>
      <c r="B5636" s="7" t="s">
        <v>26</v>
      </c>
      <c r="C5636" s="7" t="s">
        <v>27</v>
      </c>
      <c r="D5636" s="7" t="s">
        <v>28</v>
      </c>
      <c r="E5636" s="7" t="s">
        <v>29</v>
      </c>
      <c r="F5636" s="7" t="s">
        <v>110</v>
      </c>
      <c r="G5636" s="7">
        <v>100.63590000000001</v>
      </c>
      <c r="H5636" s="7"/>
    </row>
    <row r="5637" spans="1:8" x14ac:dyDescent="0.35">
      <c r="A5637" s="7" t="s">
        <v>365</v>
      </c>
      <c r="B5637" s="7" t="s">
        <v>26</v>
      </c>
      <c r="C5637" s="7" t="s">
        <v>27</v>
      </c>
      <c r="D5637" s="7" t="s">
        <v>28</v>
      </c>
      <c r="E5637" s="7" t="s">
        <v>29</v>
      </c>
      <c r="F5637" s="7" t="s">
        <v>111</v>
      </c>
      <c r="G5637" s="7">
        <v>100.6855</v>
      </c>
      <c r="H5637" s="7"/>
    </row>
    <row r="5638" spans="1:8" x14ac:dyDescent="0.35">
      <c r="A5638" s="7" t="s">
        <v>365</v>
      </c>
      <c r="B5638" s="7" t="s">
        <v>26</v>
      </c>
      <c r="C5638" s="7" t="s">
        <v>27</v>
      </c>
      <c r="D5638" s="7" t="s">
        <v>28</v>
      </c>
      <c r="E5638" s="7" t="s">
        <v>29</v>
      </c>
      <c r="F5638" s="7" t="s">
        <v>112</v>
      </c>
      <c r="G5638" s="7">
        <v>100.58620000000001</v>
      </c>
      <c r="H5638" s="7"/>
    </row>
    <row r="5639" spans="1:8" x14ac:dyDescent="0.35">
      <c r="A5639" s="7" t="s">
        <v>365</v>
      </c>
      <c r="B5639" s="7" t="s">
        <v>26</v>
      </c>
      <c r="C5639" s="7" t="s">
        <v>27</v>
      </c>
      <c r="D5639" s="7" t="s">
        <v>28</v>
      </c>
      <c r="E5639" s="7" t="s">
        <v>29</v>
      </c>
      <c r="F5639" s="7" t="s">
        <v>113</v>
      </c>
      <c r="G5639" s="7">
        <v>100.446</v>
      </c>
      <c r="H5639" s="7"/>
    </row>
    <row r="5640" spans="1:8" x14ac:dyDescent="0.35">
      <c r="A5640" s="7" t="s">
        <v>365</v>
      </c>
      <c r="B5640" s="7" t="s">
        <v>26</v>
      </c>
      <c r="C5640" s="7" t="s">
        <v>27</v>
      </c>
      <c r="D5640" s="7" t="s">
        <v>28</v>
      </c>
      <c r="E5640" s="7" t="s">
        <v>29</v>
      </c>
      <c r="F5640" s="7" t="s">
        <v>114</v>
      </c>
      <c r="G5640" s="7">
        <v>100.39100000000001</v>
      </c>
      <c r="H5640" s="7"/>
    </row>
    <row r="5641" spans="1:8" x14ac:dyDescent="0.35">
      <c r="A5641" s="7" t="s">
        <v>365</v>
      </c>
      <c r="B5641" s="7" t="s">
        <v>26</v>
      </c>
      <c r="C5641" s="7" t="s">
        <v>27</v>
      </c>
      <c r="D5641" s="7" t="s">
        <v>28</v>
      </c>
      <c r="E5641" s="7" t="s">
        <v>29</v>
      </c>
      <c r="F5641" s="7" t="s">
        <v>115</v>
      </c>
      <c r="G5641" s="7">
        <v>100.4255</v>
      </c>
      <c r="H5641" s="7"/>
    </row>
    <row r="5642" spans="1:8" x14ac:dyDescent="0.35">
      <c r="A5642" s="7" t="s">
        <v>365</v>
      </c>
      <c r="B5642" s="7" t="s">
        <v>26</v>
      </c>
      <c r="C5642" s="7" t="s">
        <v>27</v>
      </c>
      <c r="D5642" s="7" t="s">
        <v>28</v>
      </c>
      <c r="E5642" s="7" t="s">
        <v>29</v>
      </c>
      <c r="F5642" s="7" t="s">
        <v>116</v>
      </c>
      <c r="G5642" s="7">
        <v>100.55929999999999</v>
      </c>
      <c r="H5642" s="7"/>
    </row>
    <row r="5643" spans="1:8" x14ac:dyDescent="0.35">
      <c r="A5643" s="7" t="s">
        <v>365</v>
      </c>
      <c r="B5643" s="7" t="s">
        <v>26</v>
      </c>
      <c r="C5643" s="7" t="s">
        <v>27</v>
      </c>
      <c r="D5643" s="7" t="s">
        <v>28</v>
      </c>
      <c r="E5643" s="7" t="s">
        <v>29</v>
      </c>
      <c r="F5643" s="7" t="s">
        <v>117</v>
      </c>
      <c r="G5643" s="7">
        <v>100.60809999999999</v>
      </c>
      <c r="H5643" s="7"/>
    </row>
    <row r="5644" spans="1:8" x14ac:dyDescent="0.35">
      <c r="A5644" s="7" t="s">
        <v>365</v>
      </c>
      <c r="B5644" s="7" t="s">
        <v>26</v>
      </c>
      <c r="C5644" s="7" t="s">
        <v>27</v>
      </c>
      <c r="D5644" s="7" t="s">
        <v>28</v>
      </c>
      <c r="E5644" s="7" t="s">
        <v>29</v>
      </c>
      <c r="F5644" s="7" t="s">
        <v>118</v>
      </c>
      <c r="G5644" s="7">
        <v>100.691</v>
      </c>
      <c r="H5644" s="7"/>
    </row>
    <row r="5645" spans="1:8" x14ac:dyDescent="0.35">
      <c r="A5645" s="7" t="s">
        <v>365</v>
      </c>
      <c r="B5645" s="7" t="s">
        <v>26</v>
      </c>
      <c r="C5645" s="7" t="s">
        <v>27</v>
      </c>
      <c r="D5645" s="7" t="s">
        <v>28</v>
      </c>
      <c r="E5645" s="7" t="s">
        <v>29</v>
      </c>
      <c r="F5645" s="7" t="s">
        <v>119</v>
      </c>
      <c r="G5645" s="7">
        <v>100.8304</v>
      </c>
      <c r="H5645" s="7"/>
    </row>
    <row r="5646" spans="1:8" x14ac:dyDescent="0.35">
      <c r="A5646" s="7" t="s">
        <v>365</v>
      </c>
      <c r="B5646" s="7" t="s">
        <v>26</v>
      </c>
      <c r="C5646" s="7" t="s">
        <v>27</v>
      </c>
      <c r="D5646" s="7" t="s">
        <v>28</v>
      </c>
      <c r="E5646" s="7" t="s">
        <v>29</v>
      </c>
      <c r="F5646" s="7" t="s">
        <v>120</v>
      </c>
      <c r="G5646" s="7">
        <v>100.9405</v>
      </c>
      <c r="H5646" s="7"/>
    </row>
    <row r="5647" spans="1:8" x14ac:dyDescent="0.35">
      <c r="A5647" s="7" t="s">
        <v>365</v>
      </c>
      <c r="B5647" s="7" t="s">
        <v>26</v>
      </c>
      <c r="C5647" s="7" t="s">
        <v>27</v>
      </c>
      <c r="D5647" s="7" t="s">
        <v>28</v>
      </c>
      <c r="E5647" s="7" t="s">
        <v>29</v>
      </c>
      <c r="F5647" s="7" t="s">
        <v>121</v>
      </c>
      <c r="G5647" s="7">
        <v>101.0311</v>
      </c>
      <c r="H5647" s="7"/>
    </row>
    <row r="5648" spans="1:8" x14ac:dyDescent="0.35">
      <c r="A5648" s="7" t="s">
        <v>365</v>
      </c>
      <c r="B5648" s="7" t="s">
        <v>26</v>
      </c>
      <c r="C5648" s="7" t="s">
        <v>27</v>
      </c>
      <c r="D5648" s="7" t="s">
        <v>28</v>
      </c>
      <c r="E5648" s="7" t="s">
        <v>29</v>
      </c>
      <c r="F5648" s="7" t="s">
        <v>122</v>
      </c>
      <c r="G5648" s="7">
        <v>101.0759</v>
      </c>
      <c r="H5648" s="7"/>
    </row>
    <row r="5649" spans="1:8" x14ac:dyDescent="0.35">
      <c r="A5649" s="7" t="s">
        <v>365</v>
      </c>
      <c r="B5649" s="7" t="s">
        <v>26</v>
      </c>
      <c r="C5649" s="7" t="s">
        <v>27</v>
      </c>
      <c r="D5649" s="7" t="s">
        <v>28</v>
      </c>
      <c r="E5649" s="7" t="s">
        <v>29</v>
      </c>
      <c r="F5649" s="7" t="s">
        <v>123</v>
      </c>
      <c r="G5649" s="7">
        <v>101.19199999999999</v>
      </c>
      <c r="H5649" s="7"/>
    </row>
    <row r="5650" spans="1:8" x14ac:dyDescent="0.35">
      <c r="A5650" s="7" t="s">
        <v>365</v>
      </c>
      <c r="B5650" s="7" t="s">
        <v>26</v>
      </c>
      <c r="C5650" s="7" t="s">
        <v>27</v>
      </c>
      <c r="D5650" s="7" t="s">
        <v>28</v>
      </c>
      <c r="E5650" s="7" t="s">
        <v>29</v>
      </c>
      <c r="F5650" s="7" t="s">
        <v>124</v>
      </c>
      <c r="G5650" s="7">
        <v>101.3976</v>
      </c>
      <c r="H5650" s="7"/>
    </row>
    <row r="5651" spans="1:8" x14ac:dyDescent="0.35">
      <c r="A5651" s="7" t="s">
        <v>365</v>
      </c>
      <c r="B5651" s="7" t="s">
        <v>26</v>
      </c>
      <c r="C5651" s="7" t="s">
        <v>27</v>
      </c>
      <c r="D5651" s="7" t="s">
        <v>28</v>
      </c>
      <c r="E5651" s="7" t="s">
        <v>29</v>
      </c>
      <c r="F5651" s="7" t="s">
        <v>125</v>
      </c>
      <c r="G5651" s="7">
        <v>101.6728</v>
      </c>
      <c r="H5651" s="7"/>
    </row>
    <row r="5652" spans="1:8" x14ac:dyDescent="0.35">
      <c r="A5652" s="7" t="s">
        <v>365</v>
      </c>
      <c r="B5652" s="7" t="s">
        <v>26</v>
      </c>
      <c r="C5652" s="7" t="s">
        <v>27</v>
      </c>
      <c r="D5652" s="7" t="s">
        <v>28</v>
      </c>
      <c r="E5652" s="7" t="s">
        <v>29</v>
      </c>
      <c r="F5652" s="7" t="s">
        <v>126</v>
      </c>
      <c r="G5652" s="7">
        <v>101.9712</v>
      </c>
      <c r="H5652" s="7"/>
    </row>
    <row r="5653" spans="1:8" x14ac:dyDescent="0.35">
      <c r="A5653" s="7" t="s">
        <v>365</v>
      </c>
      <c r="B5653" s="7" t="s">
        <v>26</v>
      </c>
      <c r="C5653" s="7" t="s">
        <v>27</v>
      </c>
      <c r="D5653" s="7" t="s">
        <v>28</v>
      </c>
      <c r="E5653" s="7" t="s">
        <v>29</v>
      </c>
      <c r="F5653" s="7" t="s">
        <v>127</v>
      </c>
      <c r="G5653" s="7">
        <v>102.27670000000001</v>
      </c>
      <c r="H5653" s="7"/>
    </row>
    <row r="5654" spans="1:8" x14ac:dyDescent="0.35">
      <c r="A5654" s="7" t="s">
        <v>365</v>
      </c>
      <c r="B5654" s="7" t="s">
        <v>26</v>
      </c>
      <c r="C5654" s="7" t="s">
        <v>27</v>
      </c>
      <c r="D5654" s="7" t="s">
        <v>28</v>
      </c>
      <c r="E5654" s="7" t="s">
        <v>29</v>
      </c>
      <c r="F5654" s="7" t="s">
        <v>128</v>
      </c>
      <c r="G5654" s="7">
        <v>102.5227</v>
      </c>
      <c r="H5654" s="7"/>
    </row>
    <row r="5655" spans="1:8" x14ac:dyDescent="0.35">
      <c r="A5655" s="7" t="s">
        <v>365</v>
      </c>
      <c r="B5655" s="7" t="s">
        <v>26</v>
      </c>
      <c r="C5655" s="7" t="s">
        <v>27</v>
      </c>
      <c r="D5655" s="7" t="s">
        <v>28</v>
      </c>
      <c r="E5655" s="7" t="s">
        <v>29</v>
      </c>
      <c r="F5655" s="7" t="s">
        <v>129</v>
      </c>
      <c r="G5655" s="7">
        <v>102.5976</v>
      </c>
      <c r="H5655" s="7"/>
    </row>
    <row r="5656" spans="1:8" x14ac:dyDescent="0.35">
      <c r="A5656" s="7" t="s">
        <v>365</v>
      </c>
      <c r="B5656" s="7" t="s">
        <v>26</v>
      </c>
      <c r="C5656" s="7" t="s">
        <v>27</v>
      </c>
      <c r="D5656" s="7" t="s">
        <v>28</v>
      </c>
      <c r="E5656" s="7" t="s">
        <v>29</v>
      </c>
      <c r="F5656" s="7" t="s">
        <v>130</v>
      </c>
      <c r="G5656" s="7">
        <v>102.75190000000001</v>
      </c>
      <c r="H5656" s="7"/>
    </row>
    <row r="5657" spans="1:8" x14ac:dyDescent="0.35">
      <c r="A5657" s="7" t="s">
        <v>365</v>
      </c>
      <c r="B5657" s="7" t="s">
        <v>26</v>
      </c>
      <c r="C5657" s="7" t="s">
        <v>27</v>
      </c>
      <c r="D5657" s="7" t="s">
        <v>28</v>
      </c>
      <c r="E5657" s="7" t="s">
        <v>29</v>
      </c>
      <c r="F5657" s="7" t="s">
        <v>131</v>
      </c>
      <c r="G5657" s="7">
        <v>102.9742</v>
      </c>
      <c r="H5657" s="7"/>
    </row>
    <row r="5658" spans="1:8" x14ac:dyDescent="0.35">
      <c r="A5658" s="7" t="s">
        <v>365</v>
      </c>
      <c r="B5658" s="7" t="s">
        <v>26</v>
      </c>
      <c r="C5658" s="7" t="s">
        <v>27</v>
      </c>
      <c r="D5658" s="7" t="s">
        <v>28</v>
      </c>
      <c r="E5658" s="7" t="s">
        <v>29</v>
      </c>
      <c r="F5658" s="7" t="s">
        <v>132</v>
      </c>
      <c r="G5658" s="7">
        <v>102.9503</v>
      </c>
      <c r="H5658" s="7"/>
    </row>
    <row r="5659" spans="1:8" x14ac:dyDescent="0.35">
      <c r="A5659" s="7" t="s">
        <v>365</v>
      </c>
      <c r="B5659" s="7" t="s">
        <v>26</v>
      </c>
      <c r="C5659" s="7" t="s">
        <v>27</v>
      </c>
      <c r="D5659" s="7" t="s">
        <v>28</v>
      </c>
      <c r="E5659" s="7" t="s">
        <v>29</v>
      </c>
      <c r="F5659" s="7" t="s">
        <v>133</v>
      </c>
      <c r="G5659" s="7">
        <v>102.7435</v>
      </c>
      <c r="H5659" s="7"/>
    </row>
    <row r="5660" spans="1:8" x14ac:dyDescent="0.35">
      <c r="A5660" s="7" t="s">
        <v>365</v>
      </c>
      <c r="B5660" s="7" t="s">
        <v>26</v>
      </c>
      <c r="C5660" s="7" t="s">
        <v>27</v>
      </c>
      <c r="D5660" s="7" t="s">
        <v>28</v>
      </c>
      <c r="E5660" s="7" t="s">
        <v>29</v>
      </c>
      <c r="F5660" s="7" t="s">
        <v>134</v>
      </c>
      <c r="G5660" s="7">
        <v>102.538</v>
      </c>
      <c r="H5660" s="7"/>
    </row>
    <row r="5661" spans="1:8" x14ac:dyDescent="0.35">
      <c r="A5661" s="7" t="s">
        <v>365</v>
      </c>
      <c r="B5661" s="7" t="s">
        <v>26</v>
      </c>
      <c r="C5661" s="7" t="s">
        <v>27</v>
      </c>
      <c r="D5661" s="7" t="s">
        <v>28</v>
      </c>
      <c r="E5661" s="7" t="s">
        <v>29</v>
      </c>
      <c r="F5661" s="7" t="s">
        <v>135</v>
      </c>
      <c r="G5661" s="7">
        <v>102.29689999999999</v>
      </c>
      <c r="H5661" s="7"/>
    </row>
    <row r="5662" spans="1:8" x14ac:dyDescent="0.35">
      <c r="A5662" s="7" t="s">
        <v>365</v>
      </c>
      <c r="B5662" s="7" t="s">
        <v>26</v>
      </c>
      <c r="C5662" s="7" t="s">
        <v>27</v>
      </c>
      <c r="D5662" s="7" t="s">
        <v>28</v>
      </c>
      <c r="E5662" s="7" t="s">
        <v>29</v>
      </c>
      <c r="F5662" s="7" t="s">
        <v>136</v>
      </c>
      <c r="G5662" s="7">
        <v>102.04989999999999</v>
      </c>
      <c r="H5662" s="7"/>
    </row>
    <row r="5663" spans="1:8" x14ac:dyDescent="0.35">
      <c r="A5663" s="7" t="s">
        <v>365</v>
      </c>
      <c r="B5663" s="7" t="s">
        <v>26</v>
      </c>
      <c r="C5663" s="7" t="s">
        <v>27</v>
      </c>
      <c r="D5663" s="7" t="s">
        <v>28</v>
      </c>
      <c r="E5663" s="7" t="s">
        <v>29</v>
      </c>
      <c r="F5663" s="7" t="s">
        <v>137</v>
      </c>
      <c r="G5663" s="7">
        <v>101.7098</v>
      </c>
      <c r="H5663" s="7"/>
    </row>
    <row r="5664" spans="1:8" x14ac:dyDescent="0.35">
      <c r="A5664" s="7" t="s">
        <v>365</v>
      </c>
      <c r="B5664" s="7" t="s">
        <v>26</v>
      </c>
      <c r="C5664" s="7" t="s">
        <v>27</v>
      </c>
      <c r="D5664" s="7" t="s">
        <v>28</v>
      </c>
      <c r="E5664" s="7" t="s">
        <v>29</v>
      </c>
      <c r="F5664" s="7" t="s">
        <v>138</v>
      </c>
      <c r="G5664" s="7">
        <v>101.4957</v>
      </c>
      <c r="H5664" s="7"/>
    </row>
    <row r="5665" spans="1:8" x14ac:dyDescent="0.35">
      <c r="A5665" s="7" t="s">
        <v>365</v>
      </c>
      <c r="B5665" s="7" t="s">
        <v>26</v>
      </c>
      <c r="C5665" s="7" t="s">
        <v>27</v>
      </c>
      <c r="D5665" s="7" t="s">
        <v>28</v>
      </c>
      <c r="E5665" s="7" t="s">
        <v>29</v>
      </c>
      <c r="F5665" s="7" t="s">
        <v>139</v>
      </c>
      <c r="G5665" s="7">
        <v>101.4436</v>
      </c>
      <c r="H5665" s="7"/>
    </row>
    <row r="5666" spans="1:8" x14ac:dyDescent="0.35">
      <c r="A5666" s="7" t="s">
        <v>365</v>
      </c>
      <c r="B5666" s="7" t="s">
        <v>26</v>
      </c>
      <c r="C5666" s="7" t="s">
        <v>27</v>
      </c>
      <c r="D5666" s="7" t="s">
        <v>28</v>
      </c>
      <c r="E5666" s="7" t="s">
        <v>29</v>
      </c>
      <c r="F5666" s="7" t="s">
        <v>140</v>
      </c>
      <c r="G5666" s="7">
        <v>101.413</v>
      </c>
      <c r="H5666" s="7"/>
    </row>
    <row r="5667" spans="1:8" x14ac:dyDescent="0.35">
      <c r="A5667" s="7" t="s">
        <v>365</v>
      </c>
      <c r="B5667" s="7" t="s">
        <v>26</v>
      </c>
      <c r="C5667" s="7" t="s">
        <v>27</v>
      </c>
      <c r="D5667" s="7" t="s">
        <v>28</v>
      </c>
      <c r="E5667" s="7" t="s">
        <v>29</v>
      </c>
      <c r="F5667" s="7" t="s">
        <v>141</v>
      </c>
      <c r="G5667" s="7">
        <v>101.35720000000001</v>
      </c>
      <c r="H5667" s="7"/>
    </row>
    <row r="5668" spans="1:8" x14ac:dyDescent="0.35">
      <c r="A5668" s="7" t="s">
        <v>365</v>
      </c>
      <c r="B5668" s="7" t="s">
        <v>26</v>
      </c>
      <c r="C5668" s="7" t="s">
        <v>27</v>
      </c>
      <c r="D5668" s="7" t="s">
        <v>28</v>
      </c>
      <c r="E5668" s="7" t="s">
        <v>29</v>
      </c>
      <c r="F5668" s="7" t="s">
        <v>142</v>
      </c>
      <c r="G5668" s="7">
        <v>101.32259999999999</v>
      </c>
      <c r="H5668" s="7"/>
    </row>
    <row r="5669" spans="1:8" x14ac:dyDescent="0.35">
      <c r="A5669" s="7" t="s">
        <v>365</v>
      </c>
      <c r="B5669" s="7" t="s">
        <v>26</v>
      </c>
      <c r="C5669" s="7" t="s">
        <v>27</v>
      </c>
      <c r="D5669" s="7" t="s">
        <v>28</v>
      </c>
      <c r="E5669" s="7" t="s">
        <v>29</v>
      </c>
      <c r="F5669" s="7" t="s">
        <v>143</v>
      </c>
      <c r="G5669" s="7">
        <v>101.297</v>
      </c>
      <c r="H5669" s="7"/>
    </row>
    <row r="5670" spans="1:8" x14ac:dyDescent="0.35">
      <c r="A5670" s="7" t="s">
        <v>365</v>
      </c>
      <c r="B5670" s="7" t="s">
        <v>26</v>
      </c>
      <c r="C5670" s="7" t="s">
        <v>27</v>
      </c>
      <c r="D5670" s="7" t="s">
        <v>28</v>
      </c>
      <c r="E5670" s="7" t="s">
        <v>29</v>
      </c>
      <c r="F5670" s="7" t="s">
        <v>144</v>
      </c>
      <c r="G5670" s="7">
        <v>101.1927</v>
      </c>
      <c r="H5670" s="7"/>
    </row>
    <row r="5671" spans="1:8" x14ac:dyDescent="0.35">
      <c r="A5671" s="7" t="s">
        <v>365</v>
      </c>
      <c r="B5671" s="7" t="s">
        <v>26</v>
      </c>
      <c r="C5671" s="7" t="s">
        <v>27</v>
      </c>
      <c r="D5671" s="7" t="s">
        <v>28</v>
      </c>
      <c r="E5671" s="7" t="s">
        <v>29</v>
      </c>
      <c r="F5671" s="7" t="s">
        <v>145</v>
      </c>
      <c r="G5671" s="7">
        <v>101.1409</v>
      </c>
      <c r="H5671" s="7"/>
    </row>
    <row r="5672" spans="1:8" x14ac:dyDescent="0.35">
      <c r="A5672" s="7" t="s">
        <v>365</v>
      </c>
      <c r="B5672" s="7" t="s">
        <v>26</v>
      </c>
      <c r="C5672" s="7" t="s">
        <v>27</v>
      </c>
      <c r="D5672" s="7" t="s">
        <v>28</v>
      </c>
      <c r="E5672" s="7" t="s">
        <v>29</v>
      </c>
      <c r="F5672" s="7" t="s">
        <v>146</v>
      </c>
      <c r="G5672" s="7">
        <v>101.1099</v>
      </c>
      <c r="H5672" s="7"/>
    </row>
    <row r="5673" spans="1:8" x14ac:dyDescent="0.35">
      <c r="A5673" s="7" t="s">
        <v>365</v>
      </c>
      <c r="B5673" s="7" t="s">
        <v>26</v>
      </c>
      <c r="C5673" s="7" t="s">
        <v>27</v>
      </c>
      <c r="D5673" s="7" t="s">
        <v>28</v>
      </c>
      <c r="E5673" s="7" t="s">
        <v>29</v>
      </c>
      <c r="F5673" s="7" t="s">
        <v>147</v>
      </c>
      <c r="G5673" s="7">
        <v>101.10080000000001</v>
      </c>
      <c r="H5673" s="7"/>
    </row>
    <row r="5674" spans="1:8" x14ac:dyDescent="0.35">
      <c r="A5674" s="7" t="s">
        <v>365</v>
      </c>
      <c r="B5674" s="7" t="s">
        <v>26</v>
      </c>
      <c r="C5674" s="7" t="s">
        <v>27</v>
      </c>
      <c r="D5674" s="7" t="s">
        <v>28</v>
      </c>
      <c r="E5674" s="7" t="s">
        <v>29</v>
      </c>
      <c r="F5674" s="7" t="s">
        <v>148</v>
      </c>
      <c r="G5674" s="7">
        <v>101.07599999999999</v>
      </c>
      <c r="H5674" s="7"/>
    </row>
    <row r="5675" spans="1:8" x14ac:dyDescent="0.35">
      <c r="A5675" s="7" t="s">
        <v>365</v>
      </c>
      <c r="B5675" s="7" t="s">
        <v>26</v>
      </c>
      <c r="C5675" s="7" t="s">
        <v>27</v>
      </c>
      <c r="D5675" s="7" t="s">
        <v>28</v>
      </c>
      <c r="E5675" s="7" t="s">
        <v>29</v>
      </c>
      <c r="F5675" s="7" t="s">
        <v>149</v>
      </c>
      <c r="G5675" s="7">
        <v>101.0295</v>
      </c>
      <c r="H5675" s="7"/>
    </row>
    <row r="5676" spans="1:8" x14ac:dyDescent="0.35">
      <c r="A5676" s="7" t="s">
        <v>365</v>
      </c>
      <c r="B5676" s="7" t="s">
        <v>26</v>
      </c>
      <c r="C5676" s="7" t="s">
        <v>27</v>
      </c>
      <c r="D5676" s="7" t="s">
        <v>28</v>
      </c>
      <c r="E5676" s="7" t="s">
        <v>29</v>
      </c>
      <c r="F5676" s="7" t="s">
        <v>150</v>
      </c>
      <c r="G5676" s="7">
        <v>101.19889999999999</v>
      </c>
      <c r="H5676" s="7"/>
    </row>
    <row r="5677" spans="1:8" x14ac:dyDescent="0.35">
      <c r="A5677" s="7" t="s">
        <v>365</v>
      </c>
      <c r="B5677" s="7" t="s">
        <v>26</v>
      </c>
      <c r="C5677" s="7" t="s">
        <v>27</v>
      </c>
      <c r="D5677" s="7" t="s">
        <v>28</v>
      </c>
      <c r="E5677" s="7" t="s">
        <v>29</v>
      </c>
      <c r="F5677" s="7" t="s">
        <v>151</v>
      </c>
      <c r="G5677" s="7">
        <v>101.3342</v>
      </c>
      <c r="H5677" s="7"/>
    </row>
    <row r="5678" spans="1:8" x14ac:dyDescent="0.35">
      <c r="A5678" s="7" t="s">
        <v>365</v>
      </c>
      <c r="B5678" s="7" t="s">
        <v>26</v>
      </c>
      <c r="C5678" s="7" t="s">
        <v>27</v>
      </c>
      <c r="D5678" s="7" t="s">
        <v>28</v>
      </c>
      <c r="E5678" s="7" t="s">
        <v>29</v>
      </c>
      <c r="F5678" s="7" t="s">
        <v>152</v>
      </c>
      <c r="G5678" s="7">
        <v>101.37860000000001</v>
      </c>
      <c r="H5678" s="7"/>
    </row>
    <row r="5679" spans="1:8" x14ac:dyDescent="0.35">
      <c r="A5679" s="7" t="s">
        <v>365</v>
      </c>
      <c r="B5679" s="7" t="s">
        <v>26</v>
      </c>
      <c r="C5679" s="7" t="s">
        <v>27</v>
      </c>
      <c r="D5679" s="7" t="s">
        <v>28</v>
      </c>
      <c r="E5679" s="7" t="s">
        <v>29</v>
      </c>
      <c r="F5679" s="7" t="s">
        <v>153</v>
      </c>
      <c r="G5679" s="7">
        <v>101.37430000000001</v>
      </c>
      <c r="H5679" s="7"/>
    </row>
    <row r="5680" spans="1:8" x14ac:dyDescent="0.35">
      <c r="A5680" s="7" t="s">
        <v>365</v>
      </c>
      <c r="B5680" s="7" t="s">
        <v>26</v>
      </c>
      <c r="C5680" s="7" t="s">
        <v>27</v>
      </c>
      <c r="D5680" s="7" t="s">
        <v>28</v>
      </c>
      <c r="E5680" s="7" t="s">
        <v>29</v>
      </c>
      <c r="F5680" s="7" t="s">
        <v>154</v>
      </c>
      <c r="G5680" s="7">
        <v>101.2944</v>
      </c>
      <c r="H5680" s="7"/>
    </row>
    <row r="5681" spans="1:8" x14ac:dyDescent="0.35">
      <c r="A5681" s="7" t="s">
        <v>365</v>
      </c>
      <c r="B5681" s="7" t="s">
        <v>26</v>
      </c>
      <c r="C5681" s="7" t="s">
        <v>27</v>
      </c>
      <c r="D5681" s="7" t="s">
        <v>28</v>
      </c>
      <c r="E5681" s="7" t="s">
        <v>29</v>
      </c>
      <c r="F5681" s="7" t="s">
        <v>155</v>
      </c>
      <c r="G5681" s="7">
        <v>101.16030000000001</v>
      </c>
      <c r="H5681" s="7"/>
    </row>
    <row r="5682" spans="1:8" x14ac:dyDescent="0.35">
      <c r="A5682" s="7" t="s">
        <v>365</v>
      </c>
      <c r="B5682" s="7" t="s">
        <v>26</v>
      </c>
      <c r="C5682" s="7" t="s">
        <v>27</v>
      </c>
      <c r="D5682" s="7" t="s">
        <v>28</v>
      </c>
      <c r="E5682" s="7" t="s">
        <v>29</v>
      </c>
      <c r="F5682" s="7" t="s">
        <v>156</v>
      </c>
      <c r="G5682" s="7">
        <v>101.1846</v>
      </c>
      <c r="H5682" s="7"/>
    </row>
    <row r="5683" spans="1:8" x14ac:dyDescent="0.35">
      <c r="A5683" s="7" t="s">
        <v>365</v>
      </c>
      <c r="B5683" s="7" t="s">
        <v>26</v>
      </c>
      <c r="C5683" s="7" t="s">
        <v>27</v>
      </c>
      <c r="D5683" s="7" t="s">
        <v>28</v>
      </c>
      <c r="E5683" s="7" t="s">
        <v>29</v>
      </c>
      <c r="F5683" s="7" t="s">
        <v>157</v>
      </c>
      <c r="G5683" s="7">
        <v>101.2311</v>
      </c>
      <c r="H5683" s="7"/>
    </row>
    <row r="5684" spans="1:8" x14ac:dyDescent="0.35">
      <c r="A5684" s="7" t="s">
        <v>365</v>
      </c>
      <c r="B5684" s="7" t="s">
        <v>26</v>
      </c>
      <c r="C5684" s="7" t="s">
        <v>27</v>
      </c>
      <c r="D5684" s="7" t="s">
        <v>28</v>
      </c>
      <c r="E5684" s="7" t="s">
        <v>29</v>
      </c>
      <c r="F5684" s="7" t="s">
        <v>158</v>
      </c>
      <c r="G5684" s="7">
        <v>101.26730000000001</v>
      </c>
      <c r="H5684" s="7"/>
    </row>
    <row r="5685" spans="1:8" x14ac:dyDescent="0.35">
      <c r="A5685" s="7" t="s">
        <v>365</v>
      </c>
      <c r="B5685" s="7" t="s">
        <v>26</v>
      </c>
      <c r="C5685" s="7" t="s">
        <v>27</v>
      </c>
      <c r="D5685" s="7" t="s">
        <v>28</v>
      </c>
      <c r="E5685" s="7" t="s">
        <v>29</v>
      </c>
      <c r="F5685" s="7" t="s">
        <v>159</v>
      </c>
      <c r="G5685" s="7">
        <v>101.2141</v>
      </c>
      <c r="H5685" s="7"/>
    </row>
    <row r="5686" spans="1:8" x14ac:dyDescent="0.35">
      <c r="A5686" s="7" t="s">
        <v>365</v>
      </c>
      <c r="B5686" s="7" t="s">
        <v>26</v>
      </c>
      <c r="C5686" s="7" t="s">
        <v>27</v>
      </c>
      <c r="D5686" s="7" t="s">
        <v>28</v>
      </c>
      <c r="E5686" s="7" t="s">
        <v>29</v>
      </c>
      <c r="F5686" s="7" t="s">
        <v>160</v>
      </c>
      <c r="G5686" s="7">
        <v>101.0343</v>
      </c>
      <c r="H5686" s="7"/>
    </row>
    <row r="5687" spans="1:8" x14ac:dyDescent="0.35">
      <c r="A5687" s="7" t="s">
        <v>365</v>
      </c>
      <c r="B5687" s="7" t="s">
        <v>26</v>
      </c>
      <c r="C5687" s="7" t="s">
        <v>27</v>
      </c>
      <c r="D5687" s="7" t="s">
        <v>28</v>
      </c>
      <c r="E5687" s="7" t="s">
        <v>29</v>
      </c>
      <c r="F5687" s="7" t="s">
        <v>161</v>
      </c>
      <c r="G5687" s="7">
        <v>100.86839999999999</v>
      </c>
      <c r="H5687" s="7"/>
    </row>
    <row r="5688" spans="1:8" x14ac:dyDescent="0.35">
      <c r="A5688" s="7" t="s">
        <v>365</v>
      </c>
      <c r="B5688" s="7" t="s">
        <v>26</v>
      </c>
      <c r="C5688" s="7" t="s">
        <v>27</v>
      </c>
      <c r="D5688" s="7" t="s">
        <v>28</v>
      </c>
      <c r="E5688" s="7" t="s">
        <v>29</v>
      </c>
      <c r="F5688" s="7" t="s">
        <v>162</v>
      </c>
      <c r="G5688" s="7">
        <v>100.7069</v>
      </c>
      <c r="H5688" s="7"/>
    </row>
    <row r="5689" spans="1:8" x14ac:dyDescent="0.35">
      <c r="A5689" s="7" t="s">
        <v>365</v>
      </c>
      <c r="B5689" s="7" t="s">
        <v>26</v>
      </c>
      <c r="C5689" s="7" t="s">
        <v>27</v>
      </c>
      <c r="D5689" s="7" t="s">
        <v>28</v>
      </c>
      <c r="E5689" s="7" t="s">
        <v>29</v>
      </c>
      <c r="F5689" s="7" t="s">
        <v>163</v>
      </c>
      <c r="G5689" s="7">
        <v>100.4832</v>
      </c>
      <c r="H5689" s="7"/>
    </row>
    <row r="5690" spans="1:8" x14ac:dyDescent="0.35">
      <c r="A5690" s="7" t="s">
        <v>365</v>
      </c>
      <c r="B5690" s="7" t="s">
        <v>26</v>
      </c>
      <c r="C5690" s="7" t="s">
        <v>27</v>
      </c>
      <c r="D5690" s="7" t="s">
        <v>28</v>
      </c>
      <c r="E5690" s="7" t="s">
        <v>29</v>
      </c>
      <c r="F5690" s="7" t="s">
        <v>164</v>
      </c>
      <c r="G5690" s="7">
        <v>100.2145</v>
      </c>
      <c r="H5690" s="7"/>
    </row>
    <row r="5691" spans="1:8" x14ac:dyDescent="0.35">
      <c r="A5691" s="7" t="s">
        <v>365</v>
      </c>
      <c r="B5691" s="7" t="s">
        <v>26</v>
      </c>
      <c r="C5691" s="7" t="s">
        <v>27</v>
      </c>
      <c r="D5691" s="7" t="s">
        <v>28</v>
      </c>
      <c r="E5691" s="7" t="s">
        <v>29</v>
      </c>
      <c r="F5691" s="7" t="s">
        <v>165</v>
      </c>
      <c r="G5691" s="7">
        <v>100.0076</v>
      </c>
      <c r="H5691" s="7"/>
    </row>
    <row r="5692" spans="1:8" x14ac:dyDescent="0.35">
      <c r="A5692" s="7" t="s">
        <v>365</v>
      </c>
      <c r="B5692" s="7" t="s">
        <v>26</v>
      </c>
      <c r="C5692" s="7" t="s">
        <v>27</v>
      </c>
      <c r="D5692" s="7" t="s">
        <v>28</v>
      </c>
      <c r="E5692" s="7" t="s">
        <v>29</v>
      </c>
      <c r="F5692" s="7" t="s">
        <v>166</v>
      </c>
      <c r="G5692" s="7">
        <v>99.892759999999996</v>
      </c>
      <c r="H5692" s="7"/>
    </row>
    <row r="5693" spans="1:8" x14ac:dyDescent="0.35">
      <c r="A5693" s="7" t="s">
        <v>365</v>
      </c>
      <c r="B5693" s="7" t="s">
        <v>26</v>
      </c>
      <c r="C5693" s="7" t="s">
        <v>27</v>
      </c>
      <c r="D5693" s="7" t="s">
        <v>28</v>
      </c>
      <c r="E5693" s="7" t="s">
        <v>29</v>
      </c>
      <c r="F5693" s="7" t="s">
        <v>167</v>
      </c>
      <c r="G5693" s="7">
        <v>99.853679999999997</v>
      </c>
      <c r="H5693" s="7"/>
    </row>
    <row r="5694" spans="1:8" x14ac:dyDescent="0.35">
      <c r="A5694" s="7" t="s">
        <v>365</v>
      </c>
      <c r="B5694" s="7" t="s">
        <v>26</v>
      </c>
      <c r="C5694" s="7" t="s">
        <v>27</v>
      </c>
      <c r="D5694" s="7" t="s">
        <v>28</v>
      </c>
      <c r="E5694" s="7" t="s">
        <v>29</v>
      </c>
      <c r="F5694" s="7" t="s">
        <v>168</v>
      </c>
      <c r="G5694" s="7">
        <v>99.735439999999997</v>
      </c>
      <c r="H5694" s="7"/>
    </row>
    <row r="5695" spans="1:8" x14ac:dyDescent="0.35">
      <c r="A5695" s="7" t="s">
        <v>365</v>
      </c>
      <c r="B5695" s="7" t="s">
        <v>26</v>
      </c>
      <c r="C5695" s="7" t="s">
        <v>27</v>
      </c>
      <c r="D5695" s="7" t="s">
        <v>28</v>
      </c>
      <c r="E5695" s="7" t="s">
        <v>29</v>
      </c>
      <c r="F5695" s="7" t="s">
        <v>169</v>
      </c>
      <c r="G5695" s="7">
        <v>99.604849999999999</v>
      </c>
      <c r="H5695" s="7"/>
    </row>
    <row r="5696" spans="1:8" x14ac:dyDescent="0.35">
      <c r="A5696" s="7" t="s">
        <v>365</v>
      </c>
      <c r="B5696" s="7" t="s">
        <v>26</v>
      </c>
      <c r="C5696" s="7" t="s">
        <v>27</v>
      </c>
      <c r="D5696" s="7" t="s">
        <v>28</v>
      </c>
      <c r="E5696" s="7" t="s">
        <v>29</v>
      </c>
      <c r="F5696" s="7" t="s">
        <v>170</v>
      </c>
      <c r="G5696" s="7">
        <v>99.619839999999996</v>
      </c>
      <c r="H5696" s="7"/>
    </row>
    <row r="5697" spans="1:8" x14ac:dyDescent="0.35">
      <c r="A5697" s="7" t="s">
        <v>365</v>
      </c>
      <c r="B5697" s="7" t="s">
        <v>26</v>
      </c>
      <c r="C5697" s="7" t="s">
        <v>27</v>
      </c>
      <c r="D5697" s="7" t="s">
        <v>28</v>
      </c>
      <c r="E5697" s="7" t="s">
        <v>29</v>
      </c>
      <c r="F5697" s="7" t="s">
        <v>171</v>
      </c>
      <c r="G5697" s="7">
        <v>99.776510000000002</v>
      </c>
      <c r="H5697" s="7"/>
    </row>
    <row r="5698" spans="1:8" x14ac:dyDescent="0.35">
      <c r="A5698" s="7" t="s">
        <v>365</v>
      </c>
      <c r="B5698" s="7" t="s">
        <v>26</v>
      </c>
      <c r="C5698" s="7" t="s">
        <v>27</v>
      </c>
      <c r="D5698" s="7" t="s">
        <v>28</v>
      </c>
      <c r="E5698" s="7" t="s">
        <v>29</v>
      </c>
      <c r="F5698" s="7" t="s">
        <v>172</v>
      </c>
      <c r="G5698" s="7">
        <v>99.894139999999993</v>
      </c>
      <c r="H5698" s="7"/>
    </row>
    <row r="5699" spans="1:8" x14ac:dyDescent="0.35">
      <c r="A5699" s="7" t="s">
        <v>365</v>
      </c>
      <c r="B5699" s="7" t="s">
        <v>26</v>
      </c>
      <c r="C5699" s="7" t="s">
        <v>27</v>
      </c>
      <c r="D5699" s="7" t="s">
        <v>28</v>
      </c>
      <c r="E5699" s="7" t="s">
        <v>29</v>
      </c>
      <c r="F5699" s="7" t="s">
        <v>173</v>
      </c>
      <c r="G5699" s="7">
        <v>99.945769999999996</v>
      </c>
      <c r="H5699" s="7"/>
    </row>
    <row r="5700" spans="1:8" x14ac:dyDescent="0.35">
      <c r="A5700" s="7" t="s">
        <v>365</v>
      </c>
      <c r="B5700" s="7" t="s">
        <v>26</v>
      </c>
      <c r="C5700" s="7" t="s">
        <v>27</v>
      </c>
      <c r="D5700" s="7" t="s">
        <v>28</v>
      </c>
      <c r="E5700" s="7" t="s">
        <v>29</v>
      </c>
      <c r="F5700" s="7" t="s">
        <v>174</v>
      </c>
      <c r="G5700" s="7">
        <v>99.982029999999995</v>
      </c>
      <c r="H5700" s="7"/>
    </row>
    <row r="5701" spans="1:8" x14ac:dyDescent="0.35">
      <c r="A5701" s="7" t="s">
        <v>365</v>
      </c>
      <c r="B5701" s="7" t="s">
        <v>26</v>
      </c>
      <c r="C5701" s="7" t="s">
        <v>27</v>
      </c>
      <c r="D5701" s="7" t="s">
        <v>28</v>
      </c>
      <c r="E5701" s="7" t="s">
        <v>29</v>
      </c>
      <c r="F5701" s="7" t="s">
        <v>175</v>
      </c>
      <c r="G5701" s="7">
        <v>100.0484</v>
      </c>
      <c r="H5701" s="7"/>
    </row>
    <row r="5702" spans="1:8" x14ac:dyDescent="0.35">
      <c r="A5702" s="7" t="s">
        <v>365</v>
      </c>
      <c r="B5702" s="7" t="s">
        <v>26</v>
      </c>
      <c r="C5702" s="7" t="s">
        <v>27</v>
      </c>
      <c r="D5702" s="7" t="s">
        <v>28</v>
      </c>
      <c r="E5702" s="7" t="s">
        <v>29</v>
      </c>
      <c r="F5702" s="7" t="s">
        <v>176</v>
      </c>
      <c r="G5702" s="7">
        <v>100.4081</v>
      </c>
      <c r="H5702" s="7"/>
    </row>
    <row r="5703" spans="1:8" x14ac:dyDescent="0.35">
      <c r="A5703" s="7" t="s">
        <v>365</v>
      </c>
      <c r="B5703" s="7" t="s">
        <v>26</v>
      </c>
      <c r="C5703" s="7" t="s">
        <v>27</v>
      </c>
      <c r="D5703" s="7" t="s">
        <v>28</v>
      </c>
      <c r="E5703" s="7" t="s">
        <v>29</v>
      </c>
      <c r="F5703" s="7" t="s">
        <v>177</v>
      </c>
      <c r="G5703" s="7">
        <v>100.9575</v>
      </c>
      <c r="H5703" s="7"/>
    </row>
    <row r="5704" spans="1:8" x14ac:dyDescent="0.35">
      <c r="A5704" s="7" t="s">
        <v>365</v>
      </c>
      <c r="B5704" s="7" t="s">
        <v>26</v>
      </c>
      <c r="C5704" s="7" t="s">
        <v>27</v>
      </c>
      <c r="D5704" s="7" t="s">
        <v>28</v>
      </c>
      <c r="E5704" s="7" t="s">
        <v>29</v>
      </c>
      <c r="F5704" s="7" t="s">
        <v>178</v>
      </c>
      <c r="G5704" s="7">
        <v>101.6024</v>
      </c>
      <c r="H5704" s="7"/>
    </row>
    <row r="5705" spans="1:8" x14ac:dyDescent="0.35">
      <c r="A5705" s="7" t="s">
        <v>365</v>
      </c>
      <c r="B5705" s="7" t="s">
        <v>26</v>
      </c>
      <c r="C5705" s="7" t="s">
        <v>27</v>
      </c>
      <c r="D5705" s="7" t="s">
        <v>28</v>
      </c>
      <c r="E5705" s="7" t="s">
        <v>29</v>
      </c>
      <c r="F5705" s="7" t="s">
        <v>179</v>
      </c>
      <c r="G5705" s="7">
        <v>101.8848</v>
      </c>
      <c r="H5705" s="7"/>
    </row>
    <row r="5706" spans="1:8" x14ac:dyDescent="0.35">
      <c r="A5706" s="7" t="s">
        <v>365</v>
      </c>
      <c r="B5706" s="7" t="s">
        <v>26</v>
      </c>
      <c r="C5706" s="7" t="s">
        <v>27</v>
      </c>
      <c r="D5706" s="7" t="s">
        <v>28</v>
      </c>
      <c r="E5706" s="7" t="s">
        <v>29</v>
      </c>
      <c r="F5706" s="7" t="s">
        <v>180</v>
      </c>
      <c r="G5706" s="7">
        <v>101.76860000000001</v>
      </c>
      <c r="H5706" s="7"/>
    </row>
    <row r="5707" spans="1:8" x14ac:dyDescent="0.35">
      <c r="A5707" s="7" t="s">
        <v>365</v>
      </c>
      <c r="B5707" s="7" t="s">
        <v>26</v>
      </c>
      <c r="C5707" s="7" t="s">
        <v>27</v>
      </c>
      <c r="D5707" s="7" t="s">
        <v>28</v>
      </c>
      <c r="E5707" s="7" t="s">
        <v>29</v>
      </c>
      <c r="F5707" s="7" t="s">
        <v>181</v>
      </c>
      <c r="G5707" s="7">
        <v>101.5337</v>
      </c>
      <c r="H5707" s="7"/>
    </row>
    <row r="5708" spans="1:8" x14ac:dyDescent="0.35">
      <c r="A5708" s="7" t="s">
        <v>365</v>
      </c>
      <c r="B5708" s="7" t="s">
        <v>26</v>
      </c>
      <c r="C5708" s="7" t="s">
        <v>27</v>
      </c>
      <c r="D5708" s="7" t="s">
        <v>28</v>
      </c>
      <c r="E5708" s="7" t="s">
        <v>29</v>
      </c>
      <c r="F5708" s="7" t="s">
        <v>182</v>
      </c>
      <c r="G5708" s="7">
        <v>101.301</v>
      </c>
      <c r="H5708" s="7"/>
    </row>
    <row r="5709" spans="1:8" x14ac:dyDescent="0.35">
      <c r="A5709" s="7" t="s">
        <v>365</v>
      </c>
      <c r="B5709" s="7" t="s">
        <v>26</v>
      </c>
      <c r="C5709" s="7" t="s">
        <v>27</v>
      </c>
      <c r="D5709" s="7" t="s">
        <v>28</v>
      </c>
      <c r="E5709" s="7" t="s">
        <v>29</v>
      </c>
      <c r="F5709" s="7" t="s">
        <v>183</v>
      </c>
      <c r="G5709" s="7">
        <v>101.19499999999999</v>
      </c>
      <c r="H5709" s="7"/>
    </row>
    <row r="5710" spans="1:8" x14ac:dyDescent="0.35">
      <c r="A5710" s="7" t="s">
        <v>365</v>
      </c>
      <c r="B5710" s="7" t="s">
        <v>26</v>
      </c>
      <c r="C5710" s="7" t="s">
        <v>27</v>
      </c>
      <c r="D5710" s="7" t="s">
        <v>28</v>
      </c>
      <c r="E5710" s="7" t="s">
        <v>29</v>
      </c>
      <c r="F5710" s="7" t="s">
        <v>184</v>
      </c>
      <c r="G5710" s="7">
        <v>101.21339999999999</v>
      </c>
      <c r="H5710" s="7"/>
    </row>
    <row r="5711" spans="1:8" x14ac:dyDescent="0.35">
      <c r="A5711" s="7" t="s">
        <v>365</v>
      </c>
      <c r="B5711" s="7" t="s">
        <v>26</v>
      </c>
      <c r="C5711" s="7" t="s">
        <v>27</v>
      </c>
      <c r="D5711" s="7" t="s">
        <v>28</v>
      </c>
      <c r="E5711" s="7" t="s">
        <v>29</v>
      </c>
      <c r="F5711" s="7" t="s">
        <v>185</v>
      </c>
      <c r="G5711" s="7">
        <v>101.19840000000001</v>
      </c>
      <c r="H5711" s="7"/>
    </row>
    <row r="5712" spans="1:8" x14ac:dyDescent="0.35">
      <c r="A5712" s="7" t="s">
        <v>365</v>
      </c>
      <c r="B5712" s="7" t="s">
        <v>26</v>
      </c>
      <c r="C5712" s="7" t="s">
        <v>27</v>
      </c>
      <c r="D5712" s="7" t="s">
        <v>28</v>
      </c>
      <c r="E5712" s="7" t="s">
        <v>29</v>
      </c>
      <c r="F5712" s="7" t="s">
        <v>186</v>
      </c>
      <c r="G5712" s="7">
        <v>101.0985</v>
      </c>
      <c r="H5712" s="7"/>
    </row>
    <row r="5713" spans="1:8" x14ac:dyDescent="0.35">
      <c r="A5713" s="7" t="s">
        <v>365</v>
      </c>
      <c r="B5713" s="7" t="s">
        <v>26</v>
      </c>
      <c r="C5713" s="7" t="s">
        <v>27</v>
      </c>
      <c r="D5713" s="7" t="s">
        <v>28</v>
      </c>
      <c r="E5713" s="7" t="s">
        <v>29</v>
      </c>
      <c r="F5713" s="7" t="s">
        <v>187</v>
      </c>
      <c r="G5713" s="7">
        <v>100.93089999999999</v>
      </c>
      <c r="H5713" s="7"/>
    </row>
    <row r="5714" spans="1:8" x14ac:dyDescent="0.35">
      <c r="A5714" s="7" t="s">
        <v>365</v>
      </c>
      <c r="B5714" s="7" t="s">
        <v>26</v>
      </c>
      <c r="C5714" s="7" t="s">
        <v>27</v>
      </c>
      <c r="D5714" s="7" t="s">
        <v>28</v>
      </c>
      <c r="E5714" s="7" t="s">
        <v>29</v>
      </c>
      <c r="F5714" s="7" t="s">
        <v>188</v>
      </c>
      <c r="G5714" s="7">
        <v>100.7269</v>
      </c>
      <c r="H5714" s="7"/>
    </row>
    <row r="5715" spans="1:8" x14ac:dyDescent="0.35">
      <c r="A5715" s="7" t="s">
        <v>365</v>
      </c>
      <c r="B5715" s="7" t="s">
        <v>26</v>
      </c>
      <c r="C5715" s="7" t="s">
        <v>27</v>
      </c>
      <c r="D5715" s="7" t="s">
        <v>28</v>
      </c>
      <c r="E5715" s="7" t="s">
        <v>29</v>
      </c>
      <c r="F5715" s="7" t="s">
        <v>189</v>
      </c>
      <c r="G5715" s="7">
        <v>100.6054</v>
      </c>
      <c r="H5715" s="7"/>
    </row>
    <row r="5716" spans="1:8" x14ac:dyDescent="0.35">
      <c r="A5716" s="7" t="s">
        <v>365</v>
      </c>
      <c r="B5716" s="7" t="s">
        <v>26</v>
      </c>
      <c r="C5716" s="7" t="s">
        <v>27</v>
      </c>
      <c r="D5716" s="7" t="s">
        <v>28</v>
      </c>
      <c r="E5716" s="7" t="s">
        <v>29</v>
      </c>
      <c r="F5716" s="7" t="s">
        <v>190</v>
      </c>
      <c r="G5716" s="7">
        <v>100.5523</v>
      </c>
      <c r="H5716" s="7"/>
    </row>
    <row r="5717" spans="1:8" x14ac:dyDescent="0.35">
      <c r="A5717" s="7" t="s">
        <v>365</v>
      </c>
      <c r="B5717" s="7" t="s">
        <v>26</v>
      </c>
      <c r="C5717" s="7" t="s">
        <v>27</v>
      </c>
      <c r="D5717" s="7" t="s">
        <v>28</v>
      </c>
      <c r="E5717" s="7" t="s">
        <v>29</v>
      </c>
      <c r="F5717" s="7" t="s">
        <v>191</v>
      </c>
      <c r="G5717" s="7">
        <v>100.521</v>
      </c>
      <c r="H5717" s="7"/>
    </row>
    <row r="5718" spans="1:8" x14ac:dyDescent="0.35">
      <c r="A5718" s="7" t="s">
        <v>365</v>
      </c>
      <c r="B5718" s="7" t="s">
        <v>26</v>
      </c>
      <c r="C5718" s="7" t="s">
        <v>27</v>
      </c>
      <c r="D5718" s="7" t="s">
        <v>28</v>
      </c>
      <c r="E5718" s="7" t="s">
        <v>29</v>
      </c>
      <c r="F5718" s="7" t="s">
        <v>192</v>
      </c>
      <c r="G5718" s="7">
        <v>100.5063</v>
      </c>
      <c r="H5718" s="7"/>
    </row>
    <row r="5719" spans="1:8" x14ac:dyDescent="0.35">
      <c r="A5719" s="7" t="s">
        <v>365</v>
      </c>
      <c r="B5719" s="7" t="s">
        <v>26</v>
      </c>
      <c r="C5719" s="7" t="s">
        <v>27</v>
      </c>
      <c r="D5719" s="7" t="s">
        <v>28</v>
      </c>
      <c r="E5719" s="7" t="s">
        <v>29</v>
      </c>
      <c r="F5719" s="7" t="s">
        <v>193</v>
      </c>
      <c r="G5719" s="7">
        <v>100.4515</v>
      </c>
      <c r="H5719" s="7"/>
    </row>
    <row r="5720" spans="1:8" x14ac:dyDescent="0.35">
      <c r="A5720" s="7" t="s">
        <v>365</v>
      </c>
      <c r="B5720" s="7" t="s">
        <v>26</v>
      </c>
      <c r="C5720" s="7" t="s">
        <v>27</v>
      </c>
      <c r="D5720" s="7" t="s">
        <v>28</v>
      </c>
      <c r="E5720" s="7" t="s">
        <v>29</v>
      </c>
      <c r="F5720" s="7" t="s">
        <v>194</v>
      </c>
      <c r="G5720" s="7">
        <v>100.4909</v>
      </c>
      <c r="H5720" s="7"/>
    </row>
    <row r="5721" spans="1:8" x14ac:dyDescent="0.35">
      <c r="A5721" s="7" t="s">
        <v>365</v>
      </c>
      <c r="B5721" s="7" t="s">
        <v>26</v>
      </c>
      <c r="C5721" s="7" t="s">
        <v>27</v>
      </c>
      <c r="D5721" s="7" t="s">
        <v>28</v>
      </c>
      <c r="E5721" s="7" t="s">
        <v>29</v>
      </c>
      <c r="F5721" s="7" t="s">
        <v>195</v>
      </c>
      <c r="G5721" s="7">
        <v>100.4761</v>
      </c>
      <c r="H5721" s="7"/>
    </row>
    <row r="5722" spans="1:8" x14ac:dyDescent="0.35">
      <c r="A5722" s="7" t="s">
        <v>365</v>
      </c>
      <c r="B5722" s="7" t="s">
        <v>26</v>
      </c>
      <c r="C5722" s="7" t="s">
        <v>27</v>
      </c>
      <c r="D5722" s="7" t="s">
        <v>28</v>
      </c>
      <c r="E5722" s="7" t="s">
        <v>29</v>
      </c>
      <c r="F5722" s="7" t="s">
        <v>196</v>
      </c>
      <c r="G5722" s="7">
        <v>100.38209999999999</v>
      </c>
      <c r="H5722" s="7"/>
    </row>
    <row r="5723" spans="1:8" x14ac:dyDescent="0.35">
      <c r="A5723" s="7" t="s">
        <v>365</v>
      </c>
      <c r="B5723" s="7" t="s">
        <v>26</v>
      </c>
      <c r="C5723" s="7" t="s">
        <v>27</v>
      </c>
      <c r="D5723" s="7" t="s">
        <v>28</v>
      </c>
      <c r="E5723" s="7" t="s">
        <v>29</v>
      </c>
      <c r="F5723" s="7" t="s">
        <v>197</v>
      </c>
      <c r="G5723" s="7">
        <v>100.2808</v>
      </c>
      <c r="H5723" s="7"/>
    </row>
    <row r="5724" spans="1:8" x14ac:dyDescent="0.35">
      <c r="A5724" s="7" t="s">
        <v>365</v>
      </c>
      <c r="B5724" s="7" t="s">
        <v>26</v>
      </c>
      <c r="C5724" s="7" t="s">
        <v>27</v>
      </c>
      <c r="D5724" s="7" t="s">
        <v>28</v>
      </c>
      <c r="E5724" s="7" t="s">
        <v>29</v>
      </c>
      <c r="F5724" s="7" t="s">
        <v>198</v>
      </c>
      <c r="G5724" s="7">
        <v>100.2902</v>
      </c>
      <c r="H5724" s="7"/>
    </row>
    <row r="5725" spans="1:8" x14ac:dyDescent="0.35">
      <c r="A5725" s="7" t="s">
        <v>365</v>
      </c>
      <c r="B5725" s="7" t="s">
        <v>26</v>
      </c>
      <c r="C5725" s="7" t="s">
        <v>27</v>
      </c>
      <c r="D5725" s="7" t="s">
        <v>28</v>
      </c>
      <c r="E5725" s="7" t="s">
        <v>29</v>
      </c>
      <c r="F5725" s="7" t="s">
        <v>199</v>
      </c>
      <c r="G5725" s="7">
        <v>100.3535</v>
      </c>
      <c r="H5725" s="7"/>
    </row>
    <row r="5726" spans="1:8" x14ac:dyDescent="0.35">
      <c r="A5726" s="7" t="s">
        <v>365</v>
      </c>
      <c r="B5726" s="7" t="s">
        <v>26</v>
      </c>
      <c r="C5726" s="7" t="s">
        <v>27</v>
      </c>
      <c r="D5726" s="7" t="s">
        <v>28</v>
      </c>
      <c r="E5726" s="7" t="s">
        <v>29</v>
      </c>
      <c r="F5726" s="7" t="s">
        <v>200</v>
      </c>
      <c r="G5726" s="7">
        <v>100.39660000000001</v>
      </c>
      <c r="H5726" s="7"/>
    </row>
    <row r="5727" spans="1:8" x14ac:dyDescent="0.35">
      <c r="A5727" s="7" t="s">
        <v>365</v>
      </c>
      <c r="B5727" s="7" t="s">
        <v>26</v>
      </c>
      <c r="C5727" s="7" t="s">
        <v>27</v>
      </c>
      <c r="D5727" s="7" t="s">
        <v>28</v>
      </c>
      <c r="E5727" s="7" t="s">
        <v>29</v>
      </c>
      <c r="F5727" s="7" t="s">
        <v>201</v>
      </c>
      <c r="G5727" s="7">
        <v>100.2743</v>
      </c>
      <c r="H5727" s="7"/>
    </row>
    <row r="5728" spans="1:8" x14ac:dyDescent="0.35">
      <c r="A5728" s="7" t="s">
        <v>365</v>
      </c>
      <c r="B5728" s="7" t="s">
        <v>26</v>
      </c>
      <c r="C5728" s="7" t="s">
        <v>27</v>
      </c>
      <c r="D5728" s="7" t="s">
        <v>28</v>
      </c>
      <c r="E5728" s="7" t="s">
        <v>29</v>
      </c>
      <c r="F5728" s="7" t="s">
        <v>202</v>
      </c>
      <c r="G5728" s="7">
        <v>100.14239999999999</v>
      </c>
      <c r="H5728" s="7"/>
    </row>
    <row r="5729" spans="1:8" x14ac:dyDescent="0.35">
      <c r="A5729" s="7" t="s">
        <v>365</v>
      </c>
      <c r="B5729" s="7" t="s">
        <v>26</v>
      </c>
      <c r="C5729" s="7" t="s">
        <v>27</v>
      </c>
      <c r="D5729" s="7" t="s">
        <v>28</v>
      </c>
      <c r="E5729" s="7" t="s">
        <v>29</v>
      </c>
      <c r="F5729" s="7" t="s">
        <v>203</v>
      </c>
      <c r="G5729" s="7">
        <v>100.1234</v>
      </c>
      <c r="H5729" s="7"/>
    </row>
    <row r="5730" spans="1:8" x14ac:dyDescent="0.35">
      <c r="A5730" s="7" t="s">
        <v>365</v>
      </c>
      <c r="B5730" s="7" t="s">
        <v>26</v>
      </c>
      <c r="C5730" s="7" t="s">
        <v>27</v>
      </c>
      <c r="D5730" s="7" t="s">
        <v>28</v>
      </c>
      <c r="E5730" s="7" t="s">
        <v>29</v>
      </c>
      <c r="F5730" s="7" t="s">
        <v>204</v>
      </c>
      <c r="G5730" s="7">
        <v>100.273</v>
      </c>
      <c r="H5730" s="7"/>
    </row>
    <row r="5731" spans="1:8" x14ac:dyDescent="0.35">
      <c r="A5731" s="7" t="s">
        <v>365</v>
      </c>
      <c r="B5731" s="7" t="s">
        <v>26</v>
      </c>
      <c r="C5731" s="7" t="s">
        <v>27</v>
      </c>
      <c r="D5731" s="7" t="s">
        <v>28</v>
      </c>
      <c r="E5731" s="7" t="s">
        <v>29</v>
      </c>
      <c r="F5731" s="7" t="s">
        <v>205</v>
      </c>
      <c r="G5731" s="7">
        <v>100.4746</v>
      </c>
      <c r="H5731" s="7"/>
    </row>
    <row r="5732" spans="1:8" x14ac:dyDescent="0.35">
      <c r="A5732" s="7" t="s">
        <v>365</v>
      </c>
      <c r="B5732" s="7" t="s">
        <v>26</v>
      </c>
      <c r="C5732" s="7" t="s">
        <v>27</v>
      </c>
      <c r="D5732" s="7" t="s">
        <v>28</v>
      </c>
      <c r="E5732" s="7" t="s">
        <v>29</v>
      </c>
      <c r="F5732" s="7" t="s">
        <v>206</v>
      </c>
      <c r="G5732" s="7">
        <v>100.559</v>
      </c>
      <c r="H5732" s="7"/>
    </row>
    <row r="5733" spans="1:8" x14ac:dyDescent="0.35">
      <c r="A5733" s="7" t="s">
        <v>365</v>
      </c>
      <c r="B5733" s="7" t="s">
        <v>26</v>
      </c>
      <c r="C5733" s="7" t="s">
        <v>27</v>
      </c>
      <c r="D5733" s="7" t="s">
        <v>28</v>
      </c>
      <c r="E5733" s="7" t="s">
        <v>29</v>
      </c>
      <c r="F5733" s="7" t="s">
        <v>207</v>
      </c>
      <c r="G5733" s="7">
        <v>100.5903</v>
      </c>
      <c r="H5733" s="7"/>
    </row>
    <row r="5734" spans="1:8" x14ac:dyDescent="0.35">
      <c r="A5734" s="7" t="s">
        <v>365</v>
      </c>
      <c r="B5734" s="7" t="s">
        <v>26</v>
      </c>
      <c r="C5734" s="7" t="s">
        <v>27</v>
      </c>
      <c r="D5734" s="7" t="s">
        <v>28</v>
      </c>
      <c r="E5734" s="7" t="s">
        <v>29</v>
      </c>
      <c r="F5734" s="7" t="s">
        <v>208</v>
      </c>
      <c r="G5734" s="7">
        <v>100.64660000000001</v>
      </c>
      <c r="H5734" s="7"/>
    </row>
    <row r="5735" spans="1:8" x14ac:dyDescent="0.35">
      <c r="A5735" s="7" t="s">
        <v>365</v>
      </c>
      <c r="B5735" s="7" t="s">
        <v>26</v>
      </c>
      <c r="C5735" s="7" t="s">
        <v>27</v>
      </c>
      <c r="D5735" s="7" t="s">
        <v>28</v>
      </c>
      <c r="E5735" s="7" t="s">
        <v>29</v>
      </c>
      <c r="F5735" s="7" t="s">
        <v>209</v>
      </c>
      <c r="G5735" s="7">
        <v>100.70569999999999</v>
      </c>
      <c r="H5735" s="7"/>
    </row>
    <row r="5736" spans="1:8" x14ac:dyDescent="0.35">
      <c r="A5736" s="7" t="s">
        <v>365</v>
      </c>
      <c r="B5736" s="7" t="s">
        <v>26</v>
      </c>
      <c r="C5736" s="7" t="s">
        <v>27</v>
      </c>
      <c r="D5736" s="7" t="s">
        <v>28</v>
      </c>
      <c r="E5736" s="7" t="s">
        <v>29</v>
      </c>
      <c r="F5736" s="7" t="s">
        <v>210</v>
      </c>
      <c r="G5736" s="7">
        <v>100.73390000000001</v>
      </c>
      <c r="H5736" s="7"/>
    </row>
    <row r="5737" spans="1:8" x14ac:dyDescent="0.35">
      <c r="A5737" s="7" t="s">
        <v>365</v>
      </c>
      <c r="B5737" s="7" t="s">
        <v>26</v>
      </c>
      <c r="C5737" s="7" t="s">
        <v>27</v>
      </c>
      <c r="D5737" s="7" t="s">
        <v>28</v>
      </c>
      <c r="E5737" s="7" t="s">
        <v>29</v>
      </c>
      <c r="F5737" s="7" t="s">
        <v>211</v>
      </c>
      <c r="G5737" s="7">
        <v>100.8034</v>
      </c>
      <c r="H5737" s="7"/>
    </row>
    <row r="5738" spans="1:8" x14ac:dyDescent="0.35">
      <c r="A5738" s="7" t="s">
        <v>365</v>
      </c>
      <c r="B5738" s="7" t="s">
        <v>26</v>
      </c>
      <c r="C5738" s="7" t="s">
        <v>27</v>
      </c>
      <c r="D5738" s="7" t="s">
        <v>28</v>
      </c>
      <c r="E5738" s="7" t="s">
        <v>29</v>
      </c>
      <c r="F5738" s="7" t="s">
        <v>212</v>
      </c>
      <c r="G5738" s="7">
        <v>100.8047</v>
      </c>
      <c r="H5738" s="7"/>
    </row>
    <row r="5739" spans="1:8" x14ac:dyDescent="0.35">
      <c r="A5739" s="7" t="s">
        <v>365</v>
      </c>
      <c r="B5739" s="7" t="s">
        <v>26</v>
      </c>
      <c r="C5739" s="7" t="s">
        <v>27</v>
      </c>
      <c r="D5739" s="7" t="s">
        <v>28</v>
      </c>
      <c r="E5739" s="7" t="s">
        <v>29</v>
      </c>
      <c r="F5739" s="7" t="s">
        <v>213</v>
      </c>
      <c r="G5739" s="7">
        <v>100.8229</v>
      </c>
      <c r="H5739" s="7"/>
    </row>
    <row r="5740" spans="1:8" x14ac:dyDescent="0.35">
      <c r="A5740" s="7" t="s">
        <v>365</v>
      </c>
      <c r="B5740" s="7" t="s">
        <v>26</v>
      </c>
      <c r="C5740" s="7" t="s">
        <v>27</v>
      </c>
      <c r="D5740" s="7" t="s">
        <v>28</v>
      </c>
      <c r="E5740" s="7" t="s">
        <v>29</v>
      </c>
      <c r="F5740" s="7" t="s">
        <v>214</v>
      </c>
      <c r="G5740" s="7">
        <v>100.867</v>
      </c>
      <c r="H5740" s="7"/>
    </row>
    <row r="5741" spans="1:8" x14ac:dyDescent="0.35">
      <c r="A5741" s="7" t="s">
        <v>365</v>
      </c>
      <c r="B5741" s="7" t="s">
        <v>26</v>
      </c>
      <c r="C5741" s="7" t="s">
        <v>27</v>
      </c>
      <c r="D5741" s="7" t="s">
        <v>28</v>
      </c>
      <c r="E5741" s="7" t="s">
        <v>29</v>
      </c>
      <c r="F5741" s="7" t="s">
        <v>215</v>
      </c>
      <c r="G5741" s="7">
        <v>100.8824</v>
      </c>
      <c r="H5741" s="7"/>
    </row>
    <row r="5742" spans="1:8" x14ac:dyDescent="0.35">
      <c r="A5742" s="7" t="s">
        <v>365</v>
      </c>
      <c r="B5742" s="7" t="s">
        <v>26</v>
      </c>
      <c r="C5742" s="7" t="s">
        <v>27</v>
      </c>
      <c r="D5742" s="7" t="s">
        <v>28</v>
      </c>
      <c r="E5742" s="7" t="s">
        <v>29</v>
      </c>
      <c r="F5742" s="7" t="s">
        <v>216</v>
      </c>
      <c r="G5742" s="7">
        <v>100.94589999999999</v>
      </c>
      <c r="H5742" s="7"/>
    </row>
    <row r="5743" spans="1:8" x14ac:dyDescent="0.35">
      <c r="A5743" s="7" t="s">
        <v>365</v>
      </c>
      <c r="B5743" s="7" t="s">
        <v>26</v>
      </c>
      <c r="C5743" s="7" t="s">
        <v>27</v>
      </c>
      <c r="D5743" s="7" t="s">
        <v>28</v>
      </c>
      <c r="E5743" s="7" t="s">
        <v>29</v>
      </c>
      <c r="F5743" s="7" t="s">
        <v>217</v>
      </c>
      <c r="G5743" s="7">
        <v>100.9804</v>
      </c>
      <c r="H5743" s="7"/>
    </row>
    <row r="5744" spans="1:8" x14ac:dyDescent="0.35">
      <c r="A5744" s="7" t="s">
        <v>365</v>
      </c>
      <c r="B5744" s="7" t="s">
        <v>26</v>
      </c>
      <c r="C5744" s="7" t="s">
        <v>27</v>
      </c>
      <c r="D5744" s="7" t="s">
        <v>28</v>
      </c>
      <c r="E5744" s="7" t="s">
        <v>29</v>
      </c>
      <c r="F5744" s="7" t="s">
        <v>218</v>
      </c>
      <c r="G5744" s="7">
        <v>101.0127</v>
      </c>
      <c r="H5744" s="7"/>
    </row>
    <row r="5745" spans="1:8" x14ac:dyDescent="0.35">
      <c r="A5745" s="7" t="s">
        <v>365</v>
      </c>
      <c r="B5745" s="7" t="s">
        <v>26</v>
      </c>
      <c r="C5745" s="7" t="s">
        <v>27</v>
      </c>
      <c r="D5745" s="7" t="s">
        <v>28</v>
      </c>
      <c r="E5745" s="7" t="s">
        <v>29</v>
      </c>
      <c r="F5745" s="7" t="s">
        <v>219</v>
      </c>
      <c r="G5745" s="7">
        <v>101.1082</v>
      </c>
      <c r="H5745" s="7"/>
    </row>
    <row r="5746" spans="1:8" x14ac:dyDescent="0.35">
      <c r="A5746" s="7" t="s">
        <v>365</v>
      </c>
      <c r="B5746" s="7" t="s">
        <v>26</v>
      </c>
      <c r="C5746" s="7" t="s">
        <v>27</v>
      </c>
      <c r="D5746" s="7" t="s">
        <v>28</v>
      </c>
      <c r="E5746" s="7" t="s">
        <v>29</v>
      </c>
      <c r="F5746" s="7" t="s">
        <v>220</v>
      </c>
      <c r="G5746" s="7">
        <v>101.2967</v>
      </c>
      <c r="H5746" s="7"/>
    </row>
    <row r="5747" spans="1:8" x14ac:dyDescent="0.35">
      <c r="A5747" s="7" t="s">
        <v>365</v>
      </c>
      <c r="B5747" s="7" t="s">
        <v>26</v>
      </c>
      <c r="C5747" s="7" t="s">
        <v>27</v>
      </c>
      <c r="D5747" s="7" t="s">
        <v>28</v>
      </c>
      <c r="E5747" s="7" t="s">
        <v>29</v>
      </c>
      <c r="F5747" s="7" t="s">
        <v>221</v>
      </c>
      <c r="G5747" s="7">
        <v>101.3322</v>
      </c>
      <c r="H5747" s="7"/>
    </row>
    <row r="5748" spans="1:8" x14ac:dyDescent="0.35">
      <c r="A5748" s="7" t="s">
        <v>365</v>
      </c>
      <c r="B5748" s="7" t="s">
        <v>26</v>
      </c>
      <c r="C5748" s="7" t="s">
        <v>27</v>
      </c>
      <c r="D5748" s="7" t="s">
        <v>28</v>
      </c>
      <c r="E5748" s="7" t="s">
        <v>29</v>
      </c>
      <c r="F5748" s="7" t="s">
        <v>222</v>
      </c>
      <c r="G5748" s="7">
        <v>101.0638</v>
      </c>
      <c r="H5748" s="7"/>
    </row>
    <row r="5749" spans="1:8" x14ac:dyDescent="0.35">
      <c r="A5749" s="7" t="s">
        <v>365</v>
      </c>
      <c r="B5749" s="7" t="s">
        <v>26</v>
      </c>
      <c r="C5749" s="7" t="s">
        <v>27</v>
      </c>
      <c r="D5749" s="7" t="s">
        <v>28</v>
      </c>
      <c r="E5749" s="7" t="s">
        <v>29</v>
      </c>
      <c r="F5749" s="7" t="s">
        <v>223</v>
      </c>
      <c r="G5749" s="7">
        <v>100.7115</v>
      </c>
      <c r="H5749" s="7"/>
    </row>
    <row r="5750" spans="1:8" x14ac:dyDescent="0.35">
      <c r="A5750" s="7" t="s">
        <v>365</v>
      </c>
      <c r="B5750" s="7" t="s">
        <v>26</v>
      </c>
      <c r="C5750" s="7" t="s">
        <v>27</v>
      </c>
      <c r="D5750" s="7" t="s">
        <v>28</v>
      </c>
      <c r="E5750" s="7" t="s">
        <v>29</v>
      </c>
      <c r="F5750" s="7" t="s">
        <v>224</v>
      </c>
      <c r="G5750" s="7">
        <v>100.3158</v>
      </c>
      <c r="H5750" s="7"/>
    </row>
    <row r="5751" spans="1:8" x14ac:dyDescent="0.35">
      <c r="A5751" s="7" t="s">
        <v>365</v>
      </c>
      <c r="B5751" s="7" t="s">
        <v>26</v>
      </c>
      <c r="C5751" s="7" t="s">
        <v>27</v>
      </c>
      <c r="D5751" s="7" t="s">
        <v>28</v>
      </c>
      <c r="E5751" s="7" t="s">
        <v>29</v>
      </c>
      <c r="F5751" s="7" t="s">
        <v>225</v>
      </c>
      <c r="G5751" s="7">
        <v>100.14109999999999</v>
      </c>
      <c r="H5751" s="7"/>
    </row>
    <row r="5752" spans="1:8" x14ac:dyDescent="0.35">
      <c r="A5752" s="7" t="s">
        <v>365</v>
      </c>
      <c r="B5752" s="7" t="s">
        <v>26</v>
      </c>
      <c r="C5752" s="7" t="s">
        <v>27</v>
      </c>
      <c r="D5752" s="7" t="s">
        <v>28</v>
      </c>
      <c r="E5752" s="7" t="s">
        <v>29</v>
      </c>
      <c r="F5752" s="7" t="s">
        <v>226</v>
      </c>
      <c r="G5752" s="7">
        <v>99.952669999999998</v>
      </c>
      <c r="H5752" s="7"/>
    </row>
    <row r="5753" spans="1:8" x14ac:dyDescent="0.35">
      <c r="A5753" s="7" t="s">
        <v>365</v>
      </c>
      <c r="B5753" s="7" t="s">
        <v>26</v>
      </c>
      <c r="C5753" s="7" t="s">
        <v>27</v>
      </c>
      <c r="D5753" s="7" t="s">
        <v>28</v>
      </c>
      <c r="E5753" s="7" t="s">
        <v>29</v>
      </c>
      <c r="F5753" s="7" t="s">
        <v>227</v>
      </c>
      <c r="G5753" s="7">
        <v>99.78152</v>
      </c>
      <c r="H5753" s="7"/>
    </row>
    <row r="5754" spans="1:8" x14ac:dyDescent="0.35">
      <c r="A5754" s="7" t="s">
        <v>365</v>
      </c>
      <c r="B5754" s="7" t="s">
        <v>26</v>
      </c>
      <c r="C5754" s="7" t="s">
        <v>27</v>
      </c>
      <c r="D5754" s="7" t="s">
        <v>28</v>
      </c>
      <c r="E5754" s="7" t="s">
        <v>29</v>
      </c>
      <c r="F5754" s="7" t="s">
        <v>228</v>
      </c>
      <c r="G5754" s="7">
        <v>99.553470000000004</v>
      </c>
      <c r="H5754" s="7"/>
    </row>
    <row r="5755" spans="1:8" x14ac:dyDescent="0.35">
      <c r="A5755" s="7" t="s">
        <v>365</v>
      </c>
      <c r="B5755" s="7" t="s">
        <v>26</v>
      </c>
      <c r="C5755" s="7" t="s">
        <v>27</v>
      </c>
      <c r="D5755" s="7" t="s">
        <v>28</v>
      </c>
      <c r="E5755" s="7" t="s">
        <v>29</v>
      </c>
      <c r="F5755" s="7" t="s">
        <v>229</v>
      </c>
      <c r="G5755" s="7">
        <v>99.353380000000001</v>
      </c>
      <c r="H5755" s="7"/>
    </row>
    <row r="5756" spans="1:8" x14ac:dyDescent="0.35">
      <c r="A5756" s="7" t="s">
        <v>365</v>
      </c>
      <c r="B5756" s="7" t="s">
        <v>26</v>
      </c>
      <c r="C5756" s="7" t="s">
        <v>27</v>
      </c>
      <c r="D5756" s="7" t="s">
        <v>28</v>
      </c>
      <c r="E5756" s="7" t="s">
        <v>29</v>
      </c>
      <c r="F5756" s="7" t="s">
        <v>230</v>
      </c>
      <c r="G5756" s="7">
        <v>99.186790000000002</v>
      </c>
      <c r="H5756" s="7"/>
    </row>
    <row r="5757" spans="1:8" x14ac:dyDescent="0.35">
      <c r="A5757" s="7" t="s">
        <v>365</v>
      </c>
      <c r="B5757" s="7" t="s">
        <v>26</v>
      </c>
      <c r="C5757" s="7" t="s">
        <v>27</v>
      </c>
      <c r="D5757" s="7" t="s">
        <v>28</v>
      </c>
      <c r="E5757" s="7" t="s">
        <v>29</v>
      </c>
      <c r="F5757" s="7" t="s">
        <v>231</v>
      </c>
      <c r="G5757" s="7">
        <v>98.993369999999999</v>
      </c>
      <c r="H5757" s="7"/>
    </row>
    <row r="5758" spans="1:8" x14ac:dyDescent="0.35">
      <c r="A5758" s="7" t="s">
        <v>365</v>
      </c>
      <c r="B5758" s="7" t="s">
        <v>26</v>
      </c>
      <c r="C5758" s="7" t="s">
        <v>27</v>
      </c>
      <c r="D5758" s="7" t="s">
        <v>28</v>
      </c>
      <c r="E5758" s="7" t="s">
        <v>29</v>
      </c>
      <c r="F5758" s="7" t="s">
        <v>232</v>
      </c>
      <c r="G5758" s="7">
        <v>98.678740000000005</v>
      </c>
      <c r="H5758" s="7"/>
    </row>
    <row r="5759" spans="1:8" x14ac:dyDescent="0.35">
      <c r="A5759" s="7" t="s">
        <v>365</v>
      </c>
      <c r="B5759" s="7" t="s">
        <v>26</v>
      </c>
      <c r="C5759" s="7" t="s">
        <v>27</v>
      </c>
      <c r="D5759" s="7" t="s">
        <v>28</v>
      </c>
      <c r="E5759" s="7" t="s">
        <v>29</v>
      </c>
      <c r="F5759" s="7" t="s">
        <v>233</v>
      </c>
      <c r="G5759" s="7">
        <v>98.338980000000006</v>
      </c>
      <c r="H5759" s="7"/>
    </row>
    <row r="5760" spans="1:8" x14ac:dyDescent="0.35">
      <c r="A5760" s="7" t="s">
        <v>365</v>
      </c>
      <c r="B5760" s="7" t="s">
        <v>26</v>
      </c>
      <c r="C5760" s="7" t="s">
        <v>27</v>
      </c>
      <c r="D5760" s="7" t="s">
        <v>28</v>
      </c>
      <c r="E5760" s="7" t="s">
        <v>29</v>
      </c>
      <c r="F5760" s="7" t="s">
        <v>234</v>
      </c>
      <c r="G5760" s="7">
        <v>98.222790000000003</v>
      </c>
      <c r="H5760" s="7"/>
    </row>
    <row r="5761" spans="1:8" x14ac:dyDescent="0.35">
      <c r="A5761" s="7" t="s">
        <v>365</v>
      </c>
      <c r="B5761" s="7" t="s">
        <v>26</v>
      </c>
      <c r="C5761" s="7" t="s">
        <v>27</v>
      </c>
      <c r="D5761" s="7" t="s">
        <v>28</v>
      </c>
      <c r="E5761" s="7" t="s">
        <v>29</v>
      </c>
      <c r="F5761" s="7" t="s">
        <v>235</v>
      </c>
      <c r="G5761" s="7">
        <v>98.293760000000006</v>
      </c>
      <c r="H5761" s="7"/>
    </row>
    <row r="5762" spans="1:8" x14ac:dyDescent="0.35">
      <c r="A5762" s="7" t="s">
        <v>365</v>
      </c>
      <c r="B5762" s="7" t="s">
        <v>26</v>
      </c>
      <c r="C5762" s="7" t="s">
        <v>27</v>
      </c>
      <c r="D5762" s="7" t="s">
        <v>28</v>
      </c>
      <c r="E5762" s="7" t="s">
        <v>29</v>
      </c>
      <c r="F5762" s="7" t="s">
        <v>236</v>
      </c>
      <c r="G5762" s="7">
        <v>98.42944</v>
      </c>
      <c r="H5762" s="7"/>
    </row>
    <row r="5763" spans="1:8" x14ac:dyDescent="0.35">
      <c r="A5763" s="7" t="s">
        <v>365</v>
      </c>
      <c r="B5763" s="7" t="s">
        <v>26</v>
      </c>
      <c r="C5763" s="7" t="s">
        <v>27</v>
      </c>
      <c r="D5763" s="7" t="s">
        <v>28</v>
      </c>
      <c r="E5763" s="7" t="s">
        <v>29</v>
      </c>
      <c r="F5763" s="7" t="s">
        <v>237</v>
      </c>
      <c r="G5763" s="7">
        <v>98.350369999999998</v>
      </c>
      <c r="H5763" s="7"/>
    </row>
    <row r="5764" spans="1:8" x14ac:dyDescent="0.35">
      <c r="A5764" s="7" t="s">
        <v>365</v>
      </c>
      <c r="B5764" s="7" t="s">
        <v>26</v>
      </c>
      <c r="C5764" s="7" t="s">
        <v>27</v>
      </c>
      <c r="D5764" s="7" t="s">
        <v>28</v>
      </c>
      <c r="E5764" s="7" t="s">
        <v>29</v>
      </c>
      <c r="F5764" s="7" t="s">
        <v>238</v>
      </c>
      <c r="G5764" s="7">
        <v>98.365679999999998</v>
      </c>
      <c r="H5764" s="7"/>
    </row>
    <row r="5765" spans="1:8" x14ac:dyDescent="0.35">
      <c r="A5765" s="7" t="s">
        <v>365</v>
      </c>
      <c r="B5765" s="7" t="s">
        <v>26</v>
      </c>
      <c r="C5765" s="7" t="s">
        <v>27</v>
      </c>
      <c r="D5765" s="7" t="s">
        <v>28</v>
      </c>
      <c r="E5765" s="7" t="s">
        <v>29</v>
      </c>
      <c r="F5765" s="7" t="s">
        <v>239</v>
      </c>
      <c r="G5765" s="7">
        <v>98.560479999999998</v>
      </c>
      <c r="H5765" s="7"/>
    </row>
    <row r="5766" spans="1:8" x14ac:dyDescent="0.35">
      <c r="A5766" s="7" t="s">
        <v>365</v>
      </c>
      <c r="B5766" s="7" t="s">
        <v>26</v>
      </c>
      <c r="C5766" s="7" t="s">
        <v>27</v>
      </c>
      <c r="D5766" s="7" t="s">
        <v>28</v>
      </c>
      <c r="E5766" s="7" t="s">
        <v>29</v>
      </c>
      <c r="F5766" s="7" t="s">
        <v>240</v>
      </c>
      <c r="G5766" s="7">
        <v>98.780640000000005</v>
      </c>
      <c r="H5766" s="7"/>
    </row>
    <row r="5767" spans="1:8" x14ac:dyDescent="0.35">
      <c r="A5767" s="7" t="s">
        <v>365</v>
      </c>
      <c r="B5767" s="7" t="s">
        <v>26</v>
      </c>
      <c r="C5767" s="7" t="s">
        <v>27</v>
      </c>
      <c r="D5767" s="7" t="s">
        <v>28</v>
      </c>
      <c r="E5767" s="7" t="s">
        <v>29</v>
      </c>
      <c r="F5767" s="7" t="s">
        <v>241</v>
      </c>
      <c r="G5767" s="7">
        <v>98.997770000000003</v>
      </c>
      <c r="H5767" s="7"/>
    </row>
    <row r="5768" spans="1:8" x14ac:dyDescent="0.35">
      <c r="A5768" s="7" t="s">
        <v>365</v>
      </c>
      <c r="B5768" s="7" t="s">
        <v>26</v>
      </c>
      <c r="C5768" s="7" t="s">
        <v>27</v>
      </c>
      <c r="D5768" s="7" t="s">
        <v>28</v>
      </c>
      <c r="E5768" s="7" t="s">
        <v>29</v>
      </c>
      <c r="F5768" s="7" t="s">
        <v>242</v>
      </c>
      <c r="G5768" s="7">
        <v>99.171989999999994</v>
      </c>
      <c r="H5768" s="7"/>
    </row>
    <row r="5769" spans="1:8" x14ac:dyDescent="0.35">
      <c r="A5769" s="7" t="s">
        <v>365</v>
      </c>
      <c r="B5769" s="7" t="s">
        <v>26</v>
      </c>
      <c r="C5769" s="7" t="s">
        <v>27</v>
      </c>
      <c r="D5769" s="7" t="s">
        <v>28</v>
      </c>
      <c r="E5769" s="7" t="s">
        <v>29</v>
      </c>
      <c r="F5769" s="7" t="s">
        <v>243</v>
      </c>
      <c r="G5769" s="7">
        <v>99.522069999999999</v>
      </c>
      <c r="H5769" s="7"/>
    </row>
    <row r="5770" spans="1:8" x14ac:dyDescent="0.35">
      <c r="A5770" s="7" t="s">
        <v>365</v>
      </c>
      <c r="B5770" s="7" t="s">
        <v>26</v>
      </c>
      <c r="C5770" s="7" t="s">
        <v>27</v>
      </c>
      <c r="D5770" s="7" t="s">
        <v>28</v>
      </c>
      <c r="E5770" s="7" t="s">
        <v>29</v>
      </c>
      <c r="F5770" s="7" t="s">
        <v>244</v>
      </c>
      <c r="G5770" s="7">
        <v>100.01949999999999</v>
      </c>
      <c r="H5770" s="7"/>
    </row>
    <row r="5771" spans="1:8" x14ac:dyDescent="0.35">
      <c r="A5771" s="7" t="s">
        <v>365</v>
      </c>
      <c r="B5771" s="7" t="s">
        <v>26</v>
      </c>
      <c r="C5771" s="7" t="s">
        <v>27</v>
      </c>
      <c r="D5771" s="7" t="s">
        <v>28</v>
      </c>
      <c r="E5771" s="7" t="s">
        <v>29</v>
      </c>
      <c r="F5771" s="7" t="s">
        <v>245</v>
      </c>
      <c r="G5771" s="7">
        <v>100.3699</v>
      </c>
      <c r="H5771" s="7"/>
    </row>
    <row r="5772" spans="1:8" x14ac:dyDescent="0.35">
      <c r="A5772" s="7" t="s">
        <v>365</v>
      </c>
      <c r="B5772" s="7" t="s">
        <v>26</v>
      </c>
      <c r="C5772" s="7" t="s">
        <v>27</v>
      </c>
      <c r="D5772" s="7" t="s">
        <v>28</v>
      </c>
      <c r="E5772" s="7" t="s">
        <v>29</v>
      </c>
      <c r="F5772" s="7" t="s">
        <v>246</v>
      </c>
      <c r="G5772" s="7">
        <v>100.1279</v>
      </c>
      <c r="H5772" s="7"/>
    </row>
    <row r="5773" spans="1:8" x14ac:dyDescent="0.35">
      <c r="A5773" s="7" t="s">
        <v>365</v>
      </c>
      <c r="B5773" s="7" t="s">
        <v>26</v>
      </c>
      <c r="C5773" s="7" t="s">
        <v>27</v>
      </c>
      <c r="D5773" s="7" t="s">
        <v>28</v>
      </c>
      <c r="E5773" s="7" t="s">
        <v>29</v>
      </c>
      <c r="F5773" s="7" t="s">
        <v>247</v>
      </c>
      <c r="G5773" s="7">
        <v>99.62097</v>
      </c>
      <c r="H5773" s="7"/>
    </row>
    <row r="5774" spans="1:8" x14ac:dyDescent="0.35">
      <c r="A5774" s="7" t="s">
        <v>365</v>
      </c>
      <c r="B5774" s="7" t="s">
        <v>26</v>
      </c>
      <c r="C5774" s="7" t="s">
        <v>27</v>
      </c>
      <c r="D5774" s="7" t="s">
        <v>28</v>
      </c>
      <c r="E5774" s="7" t="s">
        <v>29</v>
      </c>
      <c r="F5774" s="7" t="s">
        <v>248</v>
      </c>
      <c r="G5774" s="7">
        <v>99.103530000000006</v>
      </c>
      <c r="H5774" s="7"/>
    </row>
    <row r="5775" spans="1:8" x14ac:dyDescent="0.35">
      <c r="A5775" s="7" t="s">
        <v>365</v>
      </c>
      <c r="B5775" s="7" t="s">
        <v>26</v>
      </c>
      <c r="C5775" s="7" t="s">
        <v>27</v>
      </c>
      <c r="D5775" s="7" t="s">
        <v>28</v>
      </c>
      <c r="E5775" s="7" t="s">
        <v>29</v>
      </c>
      <c r="F5775" s="7" t="s">
        <v>249</v>
      </c>
      <c r="G5775" s="7">
        <v>98.58981</v>
      </c>
      <c r="H5775" s="7"/>
    </row>
    <row r="5776" spans="1:8" x14ac:dyDescent="0.35">
      <c r="A5776" s="7" t="s">
        <v>365</v>
      </c>
      <c r="B5776" s="7" t="s">
        <v>26</v>
      </c>
      <c r="C5776" s="7" t="s">
        <v>27</v>
      </c>
      <c r="D5776" s="7" t="s">
        <v>28</v>
      </c>
      <c r="E5776" s="7" t="s">
        <v>29</v>
      </c>
      <c r="F5776" s="7" t="s">
        <v>250</v>
      </c>
      <c r="G5776" s="7">
        <v>98.049970000000002</v>
      </c>
      <c r="H5776" s="7"/>
    </row>
    <row r="5777" spans="1:8" x14ac:dyDescent="0.35">
      <c r="A5777" s="7" t="s">
        <v>365</v>
      </c>
      <c r="B5777" s="7" t="s">
        <v>26</v>
      </c>
      <c r="C5777" s="7" t="s">
        <v>27</v>
      </c>
      <c r="D5777" s="7" t="s">
        <v>28</v>
      </c>
      <c r="E5777" s="7" t="s">
        <v>29</v>
      </c>
      <c r="F5777" s="7" t="s">
        <v>251</v>
      </c>
      <c r="G5777" s="7">
        <v>97.581670000000003</v>
      </c>
      <c r="H5777" s="7"/>
    </row>
    <row r="5778" spans="1:8" x14ac:dyDescent="0.35">
      <c r="A5778" s="7" t="s">
        <v>365</v>
      </c>
      <c r="B5778" s="7" t="s">
        <v>26</v>
      </c>
      <c r="C5778" s="7" t="s">
        <v>27</v>
      </c>
      <c r="D5778" s="7" t="s">
        <v>28</v>
      </c>
      <c r="E5778" s="7" t="s">
        <v>29</v>
      </c>
      <c r="F5778" s="7" t="s">
        <v>252</v>
      </c>
      <c r="G5778" s="7">
        <v>97.224199999999996</v>
      </c>
      <c r="H5778" s="7"/>
    </row>
    <row r="5779" spans="1:8" x14ac:dyDescent="0.35">
      <c r="A5779" s="7" t="s">
        <v>365</v>
      </c>
      <c r="B5779" s="7" t="s">
        <v>26</v>
      </c>
      <c r="C5779" s="7" t="s">
        <v>27</v>
      </c>
      <c r="D5779" s="7" t="s">
        <v>28</v>
      </c>
      <c r="E5779" s="7" t="s">
        <v>29</v>
      </c>
      <c r="F5779" s="7" t="s">
        <v>253</v>
      </c>
      <c r="G5779" s="7">
        <v>97.105509999999995</v>
      </c>
      <c r="H5779" s="7"/>
    </row>
    <row r="5780" spans="1:8" x14ac:dyDescent="0.35">
      <c r="A5780" s="7" t="s">
        <v>365</v>
      </c>
      <c r="B5780" s="7" t="s">
        <v>26</v>
      </c>
      <c r="C5780" s="7" t="s">
        <v>27</v>
      </c>
      <c r="D5780" s="7" t="s">
        <v>28</v>
      </c>
      <c r="E5780" s="7" t="s">
        <v>29</v>
      </c>
      <c r="F5780" s="7" t="s">
        <v>254</v>
      </c>
      <c r="G5780" s="7">
        <v>97.146450000000002</v>
      </c>
      <c r="H5780" s="7"/>
    </row>
    <row r="5781" spans="1:8" x14ac:dyDescent="0.35">
      <c r="A5781" s="7" t="s">
        <v>365</v>
      </c>
      <c r="B5781" s="7" t="s">
        <v>26</v>
      </c>
      <c r="C5781" s="7" t="s">
        <v>27</v>
      </c>
      <c r="D5781" s="7" t="s">
        <v>28</v>
      </c>
      <c r="E5781" s="7" t="s">
        <v>29</v>
      </c>
      <c r="F5781" s="7" t="s">
        <v>255</v>
      </c>
      <c r="G5781" s="7">
        <v>97.189909999999998</v>
      </c>
      <c r="H5781" s="7"/>
    </row>
    <row r="5782" spans="1:8" x14ac:dyDescent="0.35">
      <c r="A5782" s="7" t="s">
        <v>365</v>
      </c>
      <c r="B5782" s="7" t="s">
        <v>26</v>
      </c>
      <c r="C5782" s="7" t="s">
        <v>27</v>
      </c>
      <c r="D5782" s="7" t="s">
        <v>28</v>
      </c>
      <c r="E5782" s="7" t="s">
        <v>29</v>
      </c>
      <c r="F5782" s="7" t="s">
        <v>256</v>
      </c>
      <c r="G5782" s="7">
        <v>96.99091</v>
      </c>
      <c r="H5782" s="7"/>
    </row>
    <row r="5783" spans="1:8" x14ac:dyDescent="0.35">
      <c r="A5783" s="7" t="s">
        <v>365</v>
      </c>
      <c r="B5783" s="7" t="s">
        <v>26</v>
      </c>
      <c r="C5783" s="7" t="s">
        <v>27</v>
      </c>
      <c r="D5783" s="7" t="s">
        <v>28</v>
      </c>
      <c r="E5783" s="7" t="s">
        <v>29</v>
      </c>
      <c r="F5783" s="7" t="s">
        <v>257</v>
      </c>
      <c r="G5783" s="7">
        <v>96.712270000000004</v>
      </c>
      <c r="H5783" s="7"/>
    </row>
    <row r="5784" spans="1:8" x14ac:dyDescent="0.35">
      <c r="A5784" s="7" t="s">
        <v>365</v>
      </c>
      <c r="B5784" s="7" t="s">
        <v>26</v>
      </c>
      <c r="C5784" s="7" t="s">
        <v>27</v>
      </c>
      <c r="D5784" s="7" t="s">
        <v>28</v>
      </c>
      <c r="E5784" s="7" t="s">
        <v>29</v>
      </c>
      <c r="F5784" s="7" t="s">
        <v>258</v>
      </c>
      <c r="G5784" s="7">
        <v>96.553380000000004</v>
      </c>
      <c r="H5784" s="7"/>
    </row>
    <row r="5785" spans="1:8" x14ac:dyDescent="0.35">
      <c r="A5785" s="7" t="s">
        <v>365</v>
      </c>
      <c r="B5785" s="7" t="s">
        <v>26</v>
      </c>
      <c r="C5785" s="7" t="s">
        <v>27</v>
      </c>
      <c r="D5785" s="7" t="s">
        <v>28</v>
      </c>
      <c r="E5785" s="7" t="s">
        <v>29</v>
      </c>
      <c r="F5785" s="7" t="s">
        <v>259</v>
      </c>
      <c r="G5785" s="7">
        <v>96.448359999999994</v>
      </c>
      <c r="H5785" s="7"/>
    </row>
    <row r="5786" spans="1:8" x14ac:dyDescent="0.35">
      <c r="A5786" s="7" t="s">
        <v>365</v>
      </c>
      <c r="B5786" s="7" t="s">
        <v>26</v>
      </c>
      <c r="C5786" s="7" t="s">
        <v>27</v>
      </c>
      <c r="D5786" s="7" t="s">
        <v>28</v>
      </c>
      <c r="E5786" s="7" t="s">
        <v>29</v>
      </c>
      <c r="F5786" s="7" t="s">
        <v>260</v>
      </c>
      <c r="G5786" s="7">
        <v>96.577330000000003</v>
      </c>
      <c r="H5786" s="7"/>
    </row>
    <row r="5787" spans="1:8" x14ac:dyDescent="0.35">
      <c r="A5787" s="7" t="s">
        <v>365</v>
      </c>
      <c r="B5787" s="7" t="s">
        <v>26</v>
      </c>
      <c r="C5787" s="7" t="s">
        <v>27</v>
      </c>
      <c r="D5787" s="7" t="s">
        <v>28</v>
      </c>
      <c r="E5787" s="7" t="s">
        <v>29</v>
      </c>
      <c r="F5787" s="7" t="s">
        <v>261</v>
      </c>
      <c r="G5787" s="7">
        <v>96.808059999999998</v>
      </c>
      <c r="H5787" s="7"/>
    </row>
    <row r="5788" spans="1:8" x14ac:dyDescent="0.35">
      <c r="A5788" s="7" t="s">
        <v>365</v>
      </c>
      <c r="B5788" s="7" t="s">
        <v>26</v>
      </c>
      <c r="C5788" s="7" t="s">
        <v>27</v>
      </c>
      <c r="D5788" s="7" t="s">
        <v>28</v>
      </c>
      <c r="E5788" s="7" t="s">
        <v>29</v>
      </c>
      <c r="F5788" s="7" t="s">
        <v>262</v>
      </c>
      <c r="G5788" s="7">
        <v>96.909009999999995</v>
      </c>
      <c r="H5788" s="7"/>
    </row>
    <row r="5789" spans="1:8" x14ac:dyDescent="0.35">
      <c r="A5789" s="7" t="s">
        <v>365</v>
      </c>
      <c r="B5789" s="7" t="s">
        <v>26</v>
      </c>
      <c r="C5789" s="7" t="s">
        <v>27</v>
      </c>
      <c r="D5789" s="7" t="s">
        <v>28</v>
      </c>
      <c r="E5789" s="7" t="s">
        <v>29</v>
      </c>
      <c r="F5789" s="7" t="s">
        <v>263</v>
      </c>
      <c r="G5789" s="7">
        <v>96.816270000000003</v>
      </c>
      <c r="H5789" s="7"/>
    </row>
    <row r="5790" spans="1:8" x14ac:dyDescent="0.35">
      <c r="A5790" s="7" t="s">
        <v>365</v>
      </c>
      <c r="B5790" s="7" t="s">
        <v>26</v>
      </c>
      <c r="C5790" s="7" t="s">
        <v>27</v>
      </c>
      <c r="D5790" s="7" t="s">
        <v>28</v>
      </c>
      <c r="E5790" s="7" t="s">
        <v>29</v>
      </c>
      <c r="F5790" s="7" t="s">
        <v>264</v>
      </c>
      <c r="G5790" s="7">
        <v>96.646619999999999</v>
      </c>
      <c r="H5790" s="7"/>
    </row>
    <row r="5791" spans="1:8" x14ac:dyDescent="0.35">
      <c r="A5791" s="7" t="s">
        <v>365</v>
      </c>
      <c r="B5791" s="7" t="s">
        <v>26</v>
      </c>
      <c r="C5791" s="7" t="s">
        <v>27</v>
      </c>
      <c r="D5791" s="7" t="s">
        <v>28</v>
      </c>
      <c r="E5791" s="7" t="s">
        <v>29</v>
      </c>
      <c r="F5791" s="7" t="s">
        <v>265</v>
      </c>
      <c r="G5791" s="7">
        <v>96.396360000000001</v>
      </c>
      <c r="H5791" s="7"/>
    </row>
    <row r="5792" spans="1:8" x14ac:dyDescent="0.35">
      <c r="A5792" s="7" t="s">
        <v>365</v>
      </c>
      <c r="B5792" s="7" t="s">
        <v>26</v>
      </c>
      <c r="C5792" s="7" t="s">
        <v>27</v>
      </c>
      <c r="D5792" s="7" t="s">
        <v>28</v>
      </c>
      <c r="E5792" s="7" t="s">
        <v>29</v>
      </c>
      <c r="F5792" s="7" t="s">
        <v>266</v>
      </c>
      <c r="G5792" s="7">
        <v>96.266419999999997</v>
      </c>
      <c r="H5792" s="7"/>
    </row>
    <row r="5793" spans="1:8" x14ac:dyDescent="0.35">
      <c r="A5793" s="7" t="s">
        <v>365</v>
      </c>
      <c r="B5793" s="7" t="s">
        <v>26</v>
      </c>
      <c r="C5793" s="7" t="s">
        <v>27</v>
      </c>
      <c r="D5793" s="7" t="s">
        <v>28</v>
      </c>
      <c r="E5793" s="7" t="s">
        <v>29</v>
      </c>
      <c r="F5793" s="7" t="s">
        <v>267</v>
      </c>
      <c r="G5793" s="7">
        <v>96.238799999999998</v>
      </c>
      <c r="H5793" s="7"/>
    </row>
    <row r="5794" spans="1:8" x14ac:dyDescent="0.35">
      <c r="A5794" s="7" t="s">
        <v>365</v>
      </c>
      <c r="B5794" s="7" t="s">
        <v>26</v>
      </c>
      <c r="C5794" s="7" t="s">
        <v>27</v>
      </c>
      <c r="D5794" s="7" t="s">
        <v>28</v>
      </c>
      <c r="E5794" s="7" t="s">
        <v>29</v>
      </c>
      <c r="F5794" s="7" t="s">
        <v>268</v>
      </c>
      <c r="G5794" s="7">
        <v>96.019909999999996</v>
      </c>
      <c r="H5794" s="7"/>
    </row>
    <row r="5795" spans="1:8" x14ac:dyDescent="0.35">
      <c r="A5795" s="7" t="s">
        <v>365</v>
      </c>
      <c r="B5795" s="7" t="s">
        <v>26</v>
      </c>
      <c r="C5795" s="7" t="s">
        <v>27</v>
      </c>
      <c r="D5795" s="7" t="s">
        <v>28</v>
      </c>
      <c r="E5795" s="7" t="s">
        <v>29</v>
      </c>
      <c r="F5795" s="7" t="s">
        <v>269</v>
      </c>
      <c r="G5795" s="7">
        <v>95.648679999999999</v>
      </c>
      <c r="H5795" s="7"/>
    </row>
    <row r="5796" spans="1:8" x14ac:dyDescent="0.35">
      <c r="A5796" s="7" t="s">
        <v>365</v>
      </c>
      <c r="B5796" s="7" t="s">
        <v>26</v>
      </c>
      <c r="C5796" s="7" t="s">
        <v>27</v>
      </c>
      <c r="D5796" s="7" t="s">
        <v>28</v>
      </c>
      <c r="E5796" s="7" t="s">
        <v>29</v>
      </c>
      <c r="F5796" s="7" t="s">
        <v>270</v>
      </c>
      <c r="G5796" s="7">
        <v>95.466740000000001</v>
      </c>
      <c r="H5796" s="7"/>
    </row>
    <row r="5797" spans="1:8" x14ac:dyDescent="0.35">
      <c r="A5797" s="7" t="s">
        <v>365</v>
      </c>
      <c r="B5797" s="7" t="s">
        <v>26</v>
      </c>
      <c r="C5797" s="7" t="s">
        <v>27</v>
      </c>
      <c r="D5797" s="7" t="s">
        <v>28</v>
      </c>
      <c r="E5797" s="7" t="s">
        <v>29</v>
      </c>
      <c r="F5797" s="7" t="s">
        <v>271</v>
      </c>
      <c r="G5797" s="7">
        <v>95.432140000000004</v>
      </c>
      <c r="H5797" s="7"/>
    </row>
    <row r="5798" spans="1:8" x14ac:dyDescent="0.35">
      <c r="A5798" s="7" t="s">
        <v>365</v>
      </c>
      <c r="B5798" s="7" t="s">
        <v>26</v>
      </c>
      <c r="C5798" s="7" t="s">
        <v>27</v>
      </c>
      <c r="D5798" s="7" t="s">
        <v>28</v>
      </c>
      <c r="E5798" s="7" t="s">
        <v>29</v>
      </c>
      <c r="F5798" s="7" t="s">
        <v>272</v>
      </c>
      <c r="G5798" s="7">
        <v>95.456850000000003</v>
      </c>
      <c r="H5798" s="7"/>
    </row>
    <row r="5799" spans="1:8" x14ac:dyDescent="0.35">
      <c r="A5799" s="7" t="s">
        <v>365</v>
      </c>
      <c r="B5799" s="7" t="s">
        <v>26</v>
      </c>
      <c r="C5799" s="7" t="s">
        <v>27</v>
      </c>
      <c r="D5799" s="7" t="s">
        <v>28</v>
      </c>
      <c r="E5799" s="7" t="s">
        <v>29</v>
      </c>
      <c r="F5799" s="7" t="s">
        <v>273</v>
      </c>
      <c r="G5799" s="7">
        <v>95.482740000000007</v>
      </c>
      <c r="H5799" s="7"/>
    </row>
    <row r="5800" spans="1:8" x14ac:dyDescent="0.35">
      <c r="A5800" s="7" t="s">
        <v>365</v>
      </c>
      <c r="B5800" s="7" t="s">
        <v>26</v>
      </c>
      <c r="C5800" s="7" t="s">
        <v>27</v>
      </c>
      <c r="D5800" s="7" t="s">
        <v>28</v>
      </c>
      <c r="E5800" s="7" t="s">
        <v>29</v>
      </c>
      <c r="F5800" s="7" t="s">
        <v>274</v>
      </c>
      <c r="G5800" s="7">
        <v>95.643590000000003</v>
      </c>
      <c r="H5800" s="7"/>
    </row>
    <row r="5801" spans="1:8" x14ac:dyDescent="0.35">
      <c r="A5801" s="7" t="s">
        <v>365</v>
      </c>
      <c r="B5801" s="7" t="s">
        <v>26</v>
      </c>
      <c r="C5801" s="7" t="s">
        <v>27</v>
      </c>
      <c r="D5801" s="7" t="s">
        <v>28</v>
      </c>
      <c r="E5801" s="7" t="s">
        <v>29</v>
      </c>
      <c r="F5801" s="7" t="s">
        <v>275</v>
      </c>
      <c r="G5801" s="7">
        <v>95.886619999999994</v>
      </c>
      <c r="H5801" s="7"/>
    </row>
    <row r="5802" spans="1:8" x14ac:dyDescent="0.35">
      <c r="A5802" s="7" t="s">
        <v>365</v>
      </c>
      <c r="B5802" s="7" t="s">
        <v>26</v>
      </c>
      <c r="C5802" s="7" t="s">
        <v>27</v>
      </c>
      <c r="D5802" s="7" t="s">
        <v>28</v>
      </c>
      <c r="E5802" s="7" t="s">
        <v>29</v>
      </c>
      <c r="F5802" s="7" t="s">
        <v>276</v>
      </c>
      <c r="G5802" s="7">
        <v>96.247140000000002</v>
      </c>
      <c r="H5802" s="7"/>
    </row>
    <row r="5803" spans="1:8" x14ac:dyDescent="0.35">
      <c r="A5803" s="7" t="s">
        <v>365</v>
      </c>
      <c r="B5803" s="7" t="s">
        <v>26</v>
      </c>
      <c r="C5803" s="7" t="s">
        <v>27</v>
      </c>
      <c r="D5803" s="7" t="s">
        <v>28</v>
      </c>
      <c r="E5803" s="7" t="s">
        <v>29</v>
      </c>
      <c r="F5803" s="7" t="s">
        <v>277</v>
      </c>
      <c r="G5803" s="7">
        <v>96.667670000000001</v>
      </c>
      <c r="H5803" s="7"/>
    </row>
    <row r="5804" spans="1:8" x14ac:dyDescent="0.35">
      <c r="A5804" s="7" t="s">
        <v>365</v>
      </c>
      <c r="B5804" s="7" t="s">
        <v>26</v>
      </c>
      <c r="C5804" s="7" t="s">
        <v>27</v>
      </c>
      <c r="D5804" s="7" t="s">
        <v>28</v>
      </c>
      <c r="E5804" s="7" t="s">
        <v>29</v>
      </c>
      <c r="F5804" s="7" t="s">
        <v>278</v>
      </c>
      <c r="G5804" s="7">
        <v>96.938079999999999</v>
      </c>
      <c r="H5804" s="7"/>
    </row>
    <row r="5805" spans="1:8" x14ac:dyDescent="0.35">
      <c r="A5805" s="7" t="s">
        <v>365</v>
      </c>
      <c r="B5805" s="7" t="s">
        <v>26</v>
      </c>
      <c r="C5805" s="7" t="s">
        <v>27</v>
      </c>
      <c r="D5805" s="7" t="s">
        <v>28</v>
      </c>
      <c r="E5805" s="7" t="s">
        <v>29</v>
      </c>
      <c r="F5805" s="7" t="s">
        <v>279</v>
      </c>
      <c r="G5805" s="7">
        <v>96.834860000000006</v>
      </c>
      <c r="H5805" s="7"/>
    </row>
    <row r="5806" spans="1:8" x14ac:dyDescent="0.35">
      <c r="A5806" s="7" t="s">
        <v>365</v>
      </c>
      <c r="B5806" s="7" t="s">
        <v>26</v>
      </c>
      <c r="C5806" s="7" t="s">
        <v>27</v>
      </c>
      <c r="D5806" s="7" t="s">
        <v>28</v>
      </c>
      <c r="E5806" s="7" t="s">
        <v>29</v>
      </c>
      <c r="F5806" s="7" t="s">
        <v>280</v>
      </c>
      <c r="G5806" s="7">
        <v>96.441670000000002</v>
      </c>
      <c r="H5806" s="7"/>
    </row>
    <row r="5807" spans="1:8" x14ac:dyDescent="0.35">
      <c r="A5807" s="7" t="s">
        <v>365</v>
      </c>
      <c r="B5807" s="7" t="s">
        <v>26</v>
      </c>
      <c r="C5807" s="7" t="s">
        <v>27</v>
      </c>
      <c r="D5807" s="7" t="s">
        <v>28</v>
      </c>
      <c r="E5807" s="7" t="s">
        <v>29</v>
      </c>
      <c r="F5807" s="7" t="s">
        <v>281</v>
      </c>
      <c r="G5807" s="7">
        <v>96.200659999999999</v>
      </c>
      <c r="H5807" s="7"/>
    </row>
    <row r="5808" spans="1:8" x14ac:dyDescent="0.35">
      <c r="A5808" s="7" t="s">
        <v>365</v>
      </c>
      <c r="B5808" s="7" t="s">
        <v>26</v>
      </c>
      <c r="C5808" s="7" t="s">
        <v>27</v>
      </c>
      <c r="D5808" s="7" t="s">
        <v>28</v>
      </c>
      <c r="E5808" s="7" t="s">
        <v>29</v>
      </c>
      <c r="F5808" s="7" t="s">
        <v>282</v>
      </c>
      <c r="G5808" s="7">
        <v>96.227540000000005</v>
      </c>
      <c r="H5808" s="7"/>
    </row>
    <row r="5809" spans="1:8" x14ac:dyDescent="0.35">
      <c r="A5809" s="7" t="s">
        <v>365</v>
      </c>
      <c r="B5809" s="7" t="s">
        <v>26</v>
      </c>
      <c r="C5809" s="7" t="s">
        <v>27</v>
      </c>
      <c r="D5809" s="7" t="s">
        <v>28</v>
      </c>
      <c r="E5809" s="7" t="s">
        <v>29</v>
      </c>
      <c r="F5809" s="7" t="s">
        <v>283</v>
      </c>
      <c r="G5809" s="7">
        <v>96.355599999999995</v>
      </c>
      <c r="H5809" s="7"/>
    </row>
    <row r="5810" spans="1:8" x14ac:dyDescent="0.35">
      <c r="A5810" s="7" t="s">
        <v>365</v>
      </c>
      <c r="B5810" s="7" t="s">
        <v>26</v>
      </c>
      <c r="C5810" s="7" t="s">
        <v>27</v>
      </c>
      <c r="D5810" s="7" t="s">
        <v>28</v>
      </c>
      <c r="E5810" s="7" t="s">
        <v>29</v>
      </c>
      <c r="F5810" s="7" t="s">
        <v>284</v>
      </c>
      <c r="G5810" s="7">
        <v>96.461330000000004</v>
      </c>
      <c r="H5810" s="7"/>
    </row>
    <row r="5811" spans="1:8" x14ac:dyDescent="0.35">
      <c r="A5811" s="7" t="s">
        <v>365</v>
      </c>
      <c r="B5811" s="7" t="s">
        <v>26</v>
      </c>
      <c r="C5811" s="7" t="s">
        <v>27</v>
      </c>
      <c r="D5811" s="7" t="s">
        <v>28</v>
      </c>
      <c r="E5811" s="7" t="s">
        <v>29</v>
      </c>
      <c r="F5811" s="7" t="s">
        <v>285</v>
      </c>
      <c r="G5811" s="7">
        <v>96.543689999999998</v>
      </c>
      <c r="H5811" s="7"/>
    </row>
    <row r="5812" spans="1:8" x14ac:dyDescent="0.35">
      <c r="A5812" s="7" t="s">
        <v>365</v>
      </c>
      <c r="B5812" s="7" t="s">
        <v>26</v>
      </c>
      <c r="C5812" s="7" t="s">
        <v>27</v>
      </c>
      <c r="D5812" s="7" t="s">
        <v>28</v>
      </c>
      <c r="E5812" s="7" t="s">
        <v>29</v>
      </c>
      <c r="F5812" s="7" t="s">
        <v>286</v>
      </c>
      <c r="G5812" s="7">
        <v>96.639049999999997</v>
      </c>
      <c r="H5812" s="7"/>
    </row>
    <row r="5813" spans="1:8" x14ac:dyDescent="0.35">
      <c r="A5813" s="7" t="s">
        <v>365</v>
      </c>
      <c r="B5813" s="7" t="s">
        <v>26</v>
      </c>
      <c r="C5813" s="7" t="s">
        <v>27</v>
      </c>
      <c r="D5813" s="7" t="s">
        <v>28</v>
      </c>
      <c r="E5813" s="7" t="s">
        <v>29</v>
      </c>
      <c r="F5813" s="7" t="s">
        <v>287</v>
      </c>
      <c r="G5813" s="7">
        <v>96.790790000000001</v>
      </c>
      <c r="H5813" s="7"/>
    </row>
    <row r="5814" spans="1:8" x14ac:dyDescent="0.35">
      <c r="A5814" s="7" t="s">
        <v>365</v>
      </c>
      <c r="B5814" s="7" t="s">
        <v>26</v>
      </c>
      <c r="C5814" s="7" t="s">
        <v>27</v>
      </c>
      <c r="D5814" s="7" t="s">
        <v>28</v>
      </c>
      <c r="E5814" s="7" t="s">
        <v>29</v>
      </c>
      <c r="F5814" s="7" t="s">
        <v>288</v>
      </c>
      <c r="G5814" s="7">
        <v>96.974559999999997</v>
      </c>
      <c r="H5814" s="7"/>
    </row>
    <row r="5815" spans="1:8" x14ac:dyDescent="0.35">
      <c r="A5815" s="7" t="s">
        <v>365</v>
      </c>
      <c r="B5815" s="7" t="s">
        <v>26</v>
      </c>
      <c r="C5815" s="7" t="s">
        <v>27</v>
      </c>
      <c r="D5815" s="7" t="s">
        <v>28</v>
      </c>
      <c r="E5815" s="7" t="s">
        <v>29</v>
      </c>
      <c r="F5815" s="7" t="s">
        <v>289</v>
      </c>
      <c r="G5815" s="7">
        <v>96.884379999999993</v>
      </c>
      <c r="H5815" s="7"/>
    </row>
    <row r="5816" spans="1:8" x14ac:dyDescent="0.35">
      <c r="A5816" s="7" t="s">
        <v>365</v>
      </c>
      <c r="B5816" s="7" t="s">
        <v>26</v>
      </c>
      <c r="C5816" s="7" t="s">
        <v>27</v>
      </c>
      <c r="D5816" s="7" t="s">
        <v>28</v>
      </c>
      <c r="E5816" s="7" t="s">
        <v>29</v>
      </c>
      <c r="F5816" s="7" t="s">
        <v>290</v>
      </c>
      <c r="G5816" s="7">
        <v>96.609350000000006</v>
      </c>
      <c r="H5816" s="7"/>
    </row>
    <row r="5817" spans="1:8" x14ac:dyDescent="0.35">
      <c r="A5817" s="7" t="s">
        <v>365</v>
      </c>
      <c r="B5817" s="7" t="s">
        <v>26</v>
      </c>
      <c r="C5817" s="7" t="s">
        <v>27</v>
      </c>
      <c r="D5817" s="7" t="s">
        <v>28</v>
      </c>
      <c r="E5817" s="7" t="s">
        <v>29</v>
      </c>
      <c r="F5817" s="7" t="s">
        <v>291</v>
      </c>
      <c r="G5817" s="7">
        <v>96.412760000000006</v>
      </c>
      <c r="H5817" s="7"/>
    </row>
    <row r="5818" spans="1:8" x14ac:dyDescent="0.35">
      <c r="A5818" s="7" t="s">
        <v>365</v>
      </c>
      <c r="B5818" s="7" t="s">
        <v>26</v>
      </c>
      <c r="C5818" s="7" t="s">
        <v>27</v>
      </c>
      <c r="D5818" s="7" t="s">
        <v>28</v>
      </c>
      <c r="E5818" s="7" t="s">
        <v>29</v>
      </c>
      <c r="F5818" s="7" t="s">
        <v>292</v>
      </c>
      <c r="G5818" s="7">
        <v>96.540670000000006</v>
      </c>
      <c r="H5818" s="7"/>
    </row>
    <row r="5819" spans="1:8" x14ac:dyDescent="0.35">
      <c r="A5819" s="7" t="s">
        <v>365</v>
      </c>
      <c r="B5819" s="7" t="s">
        <v>26</v>
      </c>
      <c r="C5819" s="7" t="s">
        <v>27</v>
      </c>
      <c r="D5819" s="7" t="s">
        <v>28</v>
      </c>
      <c r="E5819" s="7" t="s">
        <v>29</v>
      </c>
      <c r="F5819" s="7" t="s">
        <v>293</v>
      </c>
      <c r="G5819" s="7">
        <v>96.837940000000003</v>
      </c>
      <c r="H5819" s="7"/>
    </row>
    <row r="5820" spans="1:8" x14ac:dyDescent="0.35">
      <c r="A5820" s="7" t="s">
        <v>365</v>
      </c>
      <c r="B5820" s="7" t="s">
        <v>26</v>
      </c>
      <c r="C5820" s="7" t="s">
        <v>27</v>
      </c>
      <c r="D5820" s="7" t="s">
        <v>28</v>
      </c>
      <c r="E5820" s="7" t="s">
        <v>29</v>
      </c>
      <c r="F5820" s="7" t="s">
        <v>294</v>
      </c>
      <c r="G5820" s="7">
        <v>97.076419999999999</v>
      </c>
      <c r="H5820" s="7"/>
    </row>
    <row r="5821" spans="1:8" x14ac:dyDescent="0.35">
      <c r="A5821" s="7" t="s">
        <v>365</v>
      </c>
      <c r="B5821" s="7" t="s">
        <v>26</v>
      </c>
      <c r="C5821" s="7" t="s">
        <v>27</v>
      </c>
      <c r="D5821" s="7" t="s">
        <v>28</v>
      </c>
      <c r="E5821" s="7" t="s">
        <v>29</v>
      </c>
      <c r="F5821" s="7" t="s">
        <v>295</v>
      </c>
      <c r="G5821" s="7">
        <v>97.279769999999999</v>
      </c>
      <c r="H5821" s="7"/>
    </row>
    <row r="5822" spans="1:8" x14ac:dyDescent="0.35">
      <c r="A5822" s="7" t="s">
        <v>365</v>
      </c>
      <c r="B5822" s="7" t="s">
        <v>26</v>
      </c>
      <c r="C5822" s="7" t="s">
        <v>27</v>
      </c>
      <c r="D5822" s="7" t="s">
        <v>28</v>
      </c>
      <c r="E5822" s="7" t="s">
        <v>29</v>
      </c>
      <c r="F5822" s="7" t="s">
        <v>296</v>
      </c>
      <c r="G5822" s="7">
        <v>97.433090000000007</v>
      </c>
      <c r="H5822" s="7"/>
    </row>
    <row r="5823" spans="1:8" x14ac:dyDescent="0.35">
      <c r="A5823" s="7" t="s">
        <v>365</v>
      </c>
      <c r="B5823" s="7" t="s">
        <v>26</v>
      </c>
      <c r="C5823" s="7" t="s">
        <v>27</v>
      </c>
      <c r="D5823" s="7" t="s">
        <v>28</v>
      </c>
      <c r="E5823" s="7" t="s">
        <v>29</v>
      </c>
      <c r="F5823" s="7" t="s">
        <v>297</v>
      </c>
      <c r="G5823" s="7">
        <v>97.632080000000002</v>
      </c>
      <c r="H5823" s="7"/>
    </row>
    <row r="5824" spans="1:8" x14ac:dyDescent="0.35">
      <c r="A5824" s="7" t="s">
        <v>365</v>
      </c>
      <c r="B5824" s="7" t="s">
        <v>26</v>
      </c>
      <c r="C5824" s="7" t="s">
        <v>27</v>
      </c>
      <c r="D5824" s="7" t="s">
        <v>28</v>
      </c>
      <c r="E5824" s="7" t="s">
        <v>29</v>
      </c>
      <c r="F5824" s="7" t="s">
        <v>298</v>
      </c>
      <c r="G5824" s="7">
        <v>97.991879999999995</v>
      </c>
      <c r="H5824" s="7"/>
    </row>
    <row r="5825" spans="1:8" x14ac:dyDescent="0.35">
      <c r="A5825" s="7" t="s">
        <v>365</v>
      </c>
      <c r="B5825" s="7" t="s">
        <v>26</v>
      </c>
      <c r="C5825" s="7" t="s">
        <v>27</v>
      </c>
      <c r="D5825" s="7" t="s">
        <v>28</v>
      </c>
      <c r="E5825" s="7" t="s">
        <v>29</v>
      </c>
      <c r="F5825" s="7" t="s">
        <v>299</v>
      </c>
      <c r="G5825" s="7">
        <v>98.406679999999994</v>
      </c>
      <c r="H5825" s="7"/>
    </row>
    <row r="5826" spans="1:8" x14ac:dyDescent="0.35">
      <c r="A5826" s="7" t="s">
        <v>365</v>
      </c>
      <c r="B5826" s="7" t="s">
        <v>26</v>
      </c>
      <c r="C5826" s="7" t="s">
        <v>27</v>
      </c>
      <c r="D5826" s="7" t="s">
        <v>28</v>
      </c>
      <c r="E5826" s="7" t="s">
        <v>29</v>
      </c>
      <c r="F5826" s="7" t="s">
        <v>300</v>
      </c>
      <c r="G5826" s="7">
        <v>98.718549999999993</v>
      </c>
      <c r="H5826" s="7"/>
    </row>
    <row r="5827" spans="1:8" x14ac:dyDescent="0.35">
      <c r="A5827" s="7" t="s">
        <v>365</v>
      </c>
      <c r="B5827" s="7" t="s">
        <v>26</v>
      </c>
      <c r="C5827" s="7" t="s">
        <v>27</v>
      </c>
      <c r="D5827" s="7" t="s">
        <v>28</v>
      </c>
      <c r="E5827" s="7" t="s">
        <v>29</v>
      </c>
      <c r="F5827" s="7" t="s">
        <v>301</v>
      </c>
      <c r="G5827" s="7">
        <v>98.862530000000007</v>
      </c>
      <c r="H5827" s="7"/>
    </row>
    <row r="5828" spans="1:8" x14ac:dyDescent="0.35">
      <c r="A5828" s="7" t="s">
        <v>365</v>
      </c>
      <c r="B5828" s="7" t="s">
        <v>26</v>
      </c>
      <c r="C5828" s="7" t="s">
        <v>27</v>
      </c>
      <c r="D5828" s="7" t="s">
        <v>28</v>
      </c>
      <c r="E5828" s="7" t="s">
        <v>29</v>
      </c>
      <c r="F5828" s="7" t="s">
        <v>302</v>
      </c>
      <c r="G5828" s="7">
        <v>98.772419999999997</v>
      </c>
      <c r="H5828" s="7"/>
    </row>
    <row r="5829" spans="1:8" x14ac:dyDescent="0.35">
      <c r="A5829" s="7" t="s">
        <v>365</v>
      </c>
      <c r="B5829" s="7" t="s">
        <v>26</v>
      </c>
      <c r="C5829" s="7" t="s">
        <v>27</v>
      </c>
      <c r="D5829" s="7" t="s">
        <v>28</v>
      </c>
      <c r="E5829" s="7" t="s">
        <v>29</v>
      </c>
      <c r="F5829" s="7" t="s">
        <v>303</v>
      </c>
      <c r="G5829" s="7">
        <v>98.527109999999993</v>
      </c>
      <c r="H5829" s="7"/>
    </row>
    <row r="5830" spans="1:8" x14ac:dyDescent="0.35">
      <c r="A5830" s="7" t="s">
        <v>365</v>
      </c>
      <c r="B5830" s="7" t="s">
        <v>26</v>
      </c>
      <c r="C5830" s="7" t="s">
        <v>27</v>
      </c>
      <c r="D5830" s="7" t="s">
        <v>28</v>
      </c>
      <c r="E5830" s="7" t="s">
        <v>29</v>
      </c>
      <c r="F5830" s="7" t="s">
        <v>304</v>
      </c>
      <c r="G5830" s="7">
        <v>98.399159999999995</v>
      </c>
      <c r="H5830" s="7"/>
    </row>
    <row r="5831" spans="1:8" x14ac:dyDescent="0.35">
      <c r="A5831" s="7" t="s">
        <v>365</v>
      </c>
      <c r="B5831" s="7" t="s">
        <v>26</v>
      </c>
      <c r="C5831" s="7" t="s">
        <v>27</v>
      </c>
      <c r="D5831" s="7" t="s">
        <v>28</v>
      </c>
      <c r="E5831" s="7" t="s">
        <v>29</v>
      </c>
      <c r="F5831" s="7" t="s">
        <v>305</v>
      </c>
      <c r="G5831" s="7">
        <v>98.467830000000006</v>
      </c>
      <c r="H5831" s="7"/>
    </row>
    <row r="5832" spans="1:8" x14ac:dyDescent="0.35">
      <c r="A5832" s="7" t="s">
        <v>365</v>
      </c>
      <c r="B5832" s="7" t="s">
        <v>26</v>
      </c>
      <c r="C5832" s="7" t="s">
        <v>27</v>
      </c>
      <c r="D5832" s="7" t="s">
        <v>28</v>
      </c>
      <c r="E5832" s="7" t="s">
        <v>29</v>
      </c>
      <c r="F5832" s="7" t="s">
        <v>306</v>
      </c>
      <c r="G5832" s="7">
        <v>98.581050000000005</v>
      </c>
      <c r="H5832" s="7"/>
    </row>
    <row r="5833" spans="1:8" x14ac:dyDescent="0.35">
      <c r="A5833" s="7" t="s">
        <v>365</v>
      </c>
      <c r="B5833" s="7" t="s">
        <v>26</v>
      </c>
      <c r="C5833" s="7" t="s">
        <v>27</v>
      </c>
      <c r="D5833" s="7" t="s">
        <v>28</v>
      </c>
      <c r="E5833" s="7" t="s">
        <v>29</v>
      </c>
      <c r="F5833" s="7" t="s">
        <v>307</v>
      </c>
      <c r="G5833" s="7">
        <v>98.794790000000006</v>
      </c>
      <c r="H5833" s="7"/>
    </row>
    <row r="5834" spans="1:8" x14ac:dyDescent="0.35">
      <c r="A5834" s="7" t="s">
        <v>365</v>
      </c>
      <c r="B5834" s="7" t="s">
        <v>26</v>
      </c>
      <c r="C5834" s="7" t="s">
        <v>27</v>
      </c>
      <c r="D5834" s="7" t="s">
        <v>28</v>
      </c>
      <c r="E5834" s="7" t="s">
        <v>29</v>
      </c>
      <c r="F5834" s="7" t="s">
        <v>308</v>
      </c>
      <c r="G5834" s="7">
        <v>99.363529999999997</v>
      </c>
      <c r="H5834" s="7"/>
    </row>
    <row r="5835" spans="1:8" x14ac:dyDescent="0.35">
      <c r="A5835" s="7" t="s">
        <v>365</v>
      </c>
      <c r="B5835" s="7" t="s">
        <v>26</v>
      </c>
      <c r="C5835" s="7" t="s">
        <v>27</v>
      </c>
      <c r="D5835" s="7" t="s">
        <v>28</v>
      </c>
      <c r="E5835" s="7" t="s">
        <v>29</v>
      </c>
      <c r="F5835" s="7" t="s">
        <v>309</v>
      </c>
      <c r="G5835" s="7">
        <v>100.1118</v>
      </c>
      <c r="H5835" s="7"/>
    </row>
    <row r="5836" spans="1:8" x14ac:dyDescent="0.35">
      <c r="A5836" s="7" t="s">
        <v>365</v>
      </c>
      <c r="B5836" s="7" t="s">
        <v>26</v>
      </c>
      <c r="C5836" s="7" t="s">
        <v>27</v>
      </c>
      <c r="D5836" s="7" t="s">
        <v>28</v>
      </c>
      <c r="E5836" s="7" t="s">
        <v>29</v>
      </c>
      <c r="F5836" s="7" t="s">
        <v>310</v>
      </c>
      <c r="G5836" s="7">
        <v>100.34229999999999</v>
      </c>
      <c r="H5836" s="7"/>
    </row>
    <row r="5837" spans="1:8" x14ac:dyDescent="0.35">
      <c r="A5837" s="7" t="s">
        <v>365</v>
      </c>
      <c r="B5837" s="7" t="s">
        <v>26</v>
      </c>
      <c r="C5837" s="7" t="s">
        <v>27</v>
      </c>
      <c r="D5837" s="7" t="s">
        <v>28</v>
      </c>
      <c r="E5837" s="7" t="s">
        <v>29</v>
      </c>
      <c r="F5837" s="7" t="s">
        <v>311</v>
      </c>
      <c r="G5837" s="7">
        <v>100.02630000000001</v>
      </c>
      <c r="H5837" s="7"/>
    </row>
    <row r="5838" spans="1:8" x14ac:dyDescent="0.35">
      <c r="A5838" s="7" t="s">
        <v>365</v>
      </c>
      <c r="B5838" s="7" t="s">
        <v>26</v>
      </c>
      <c r="C5838" s="7" t="s">
        <v>27</v>
      </c>
      <c r="D5838" s="7" t="s">
        <v>28</v>
      </c>
      <c r="E5838" s="7" t="s">
        <v>29</v>
      </c>
      <c r="F5838" s="7" t="s">
        <v>312</v>
      </c>
      <c r="G5838" s="7">
        <v>99.531779999999998</v>
      </c>
      <c r="H5838" s="7"/>
    </row>
    <row r="5839" spans="1:8" x14ac:dyDescent="0.35">
      <c r="A5839" s="7" t="s">
        <v>365</v>
      </c>
      <c r="B5839" s="7" t="s">
        <v>26</v>
      </c>
      <c r="C5839" s="7" t="s">
        <v>27</v>
      </c>
      <c r="D5839" s="7" t="s">
        <v>28</v>
      </c>
      <c r="E5839" s="7" t="s">
        <v>29</v>
      </c>
      <c r="F5839" s="7" t="s">
        <v>313</v>
      </c>
      <c r="G5839" s="7">
        <v>98.954269999999994</v>
      </c>
      <c r="H5839" s="7"/>
    </row>
    <row r="5840" spans="1:8" x14ac:dyDescent="0.35">
      <c r="A5840" s="7" t="s">
        <v>365</v>
      </c>
      <c r="B5840" s="7" t="s">
        <v>26</v>
      </c>
      <c r="C5840" s="7" t="s">
        <v>27</v>
      </c>
      <c r="D5840" s="7" t="s">
        <v>28</v>
      </c>
      <c r="E5840" s="7" t="s">
        <v>29</v>
      </c>
      <c r="F5840" s="7" t="s">
        <v>314</v>
      </c>
      <c r="G5840" s="7">
        <v>98.29025</v>
      </c>
      <c r="H5840" s="7"/>
    </row>
    <row r="5841" spans="1:8" x14ac:dyDescent="0.35">
      <c r="A5841" s="7" t="s">
        <v>365</v>
      </c>
      <c r="B5841" s="7" t="s">
        <v>26</v>
      </c>
      <c r="C5841" s="7" t="s">
        <v>27</v>
      </c>
      <c r="D5841" s="7" t="s">
        <v>28</v>
      </c>
      <c r="E5841" s="7" t="s">
        <v>29</v>
      </c>
      <c r="F5841" s="7" t="s">
        <v>315</v>
      </c>
      <c r="G5841" s="7">
        <v>97.682789999999997</v>
      </c>
      <c r="H5841" s="7"/>
    </row>
    <row r="5842" spans="1:8" x14ac:dyDescent="0.35">
      <c r="A5842" s="7" t="s">
        <v>365</v>
      </c>
      <c r="B5842" s="7" t="s">
        <v>26</v>
      </c>
      <c r="C5842" s="7" t="s">
        <v>27</v>
      </c>
      <c r="D5842" s="7" t="s">
        <v>28</v>
      </c>
      <c r="E5842" s="7" t="s">
        <v>29</v>
      </c>
      <c r="F5842" s="7" t="s">
        <v>316</v>
      </c>
      <c r="G5842" s="7">
        <v>97.453289999999996</v>
      </c>
      <c r="H5842" s="7"/>
    </row>
    <row r="5843" spans="1:8" x14ac:dyDescent="0.35">
      <c r="A5843" s="7" t="s">
        <v>365</v>
      </c>
      <c r="B5843" s="7" t="s">
        <v>26</v>
      </c>
      <c r="C5843" s="7" t="s">
        <v>27</v>
      </c>
      <c r="D5843" s="7" t="s">
        <v>28</v>
      </c>
      <c r="E5843" s="7" t="s">
        <v>29</v>
      </c>
      <c r="F5843" s="7" t="s">
        <v>317</v>
      </c>
      <c r="G5843" s="7">
        <v>97.475170000000006</v>
      </c>
      <c r="H5843" s="7"/>
    </row>
    <row r="5844" spans="1:8" x14ac:dyDescent="0.35">
      <c r="A5844" s="7" t="s">
        <v>365</v>
      </c>
      <c r="B5844" s="7" t="s">
        <v>26</v>
      </c>
      <c r="C5844" s="7" t="s">
        <v>27</v>
      </c>
      <c r="D5844" s="7" t="s">
        <v>28</v>
      </c>
      <c r="E5844" s="7" t="s">
        <v>29</v>
      </c>
      <c r="F5844" s="7" t="s">
        <v>318</v>
      </c>
      <c r="G5844" s="7">
        <v>97.465580000000003</v>
      </c>
      <c r="H5844" s="7"/>
    </row>
    <row r="5845" spans="1:8" x14ac:dyDescent="0.35">
      <c r="A5845" s="7" t="s">
        <v>365</v>
      </c>
      <c r="B5845" s="7" t="s">
        <v>26</v>
      </c>
      <c r="C5845" s="7" t="s">
        <v>27</v>
      </c>
      <c r="D5845" s="7" t="s">
        <v>28</v>
      </c>
      <c r="E5845" s="7" t="s">
        <v>29</v>
      </c>
      <c r="F5845" s="7" t="s">
        <v>319</v>
      </c>
      <c r="G5845" s="7">
        <v>97.440510000000003</v>
      </c>
      <c r="H5845" s="7"/>
    </row>
    <row r="5846" spans="1:8" x14ac:dyDescent="0.35">
      <c r="A5846" s="7" t="s">
        <v>365</v>
      </c>
      <c r="B5846" s="7" t="s">
        <v>26</v>
      </c>
      <c r="C5846" s="7" t="s">
        <v>27</v>
      </c>
      <c r="D5846" s="7" t="s">
        <v>28</v>
      </c>
      <c r="E5846" s="7" t="s">
        <v>29</v>
      </c>
      <c r="F5846" s="7" t="s">
        <v>320</v>
      </c>
      <c r="G5846" s="7">
        <v>97.257710000000003</v>
      </c>
      <c r="H5846" s="7"/>
    </row>
    <row r="5847" spans="1:8" x14ac:dyDescent="0.35">
      <c r="A5847" s="7" t="s">
        <v>365</v>
      </c>
      <c r="B5847" s="7" t="s">
        <v>26</v>
      </c>
      <c r="C5847" s="7" t="s">
        <v>27</v>
      </c>
      <c r="D5847" s="7" t="s">
        <v>28</v>
      </c>
      <c r="E5847" s="7" t="s">
        <v>29</v>
      </c>
      <c r="F5847" s="7" t="s">
        <v>321</v>
      </c>
      <c r="G5847" s="7">
        <v>96.9529</v>
      </c>
      <c r="H5847" s="7"/>
    </row>
    <row r="5848" spans="1:8" x14ac:dyDescent="0.35">
      <c r="A5848" s="7" t="s">
        <v>365</v>
      </c>
      <c r="B5848" s="7" t="s">
        <v>26</v>
      </c>
      <c r="C5848" s="7" t="s">
        <v>27</v>
      </c>
      <c r="D5848" s="7" t="s">
        <v>28</v>
      </c>
      <c r="E5848" s="7" t="s">
        <v>29</v>
      </c>
      <c r="F5848" s="7" t="s">
        <v>322</v>
      </c>
      <c r="G5848" s="7">
        <v>96.632239999999996</v>
      </c>
      <c r="H5848" s="7"/>
    </row>
    <row r="5849" spans="1:8" x14ac:dyDescent="0.35">
      <c r="A5849" s="7" t="s">
        <v>365</v>
      </c>
      <c r="B5849" s="7" t="s">
        <v>26</v>
      </c>
      <c r="C5849" s="7" t="s">
        <v>27</v>
      </c>
      <c r="D5849" s="7" t="s">
        <v>28</v>
      </c>
      <c r="E5849" s="7" t="s">
        <v>29</v>
      </c>
      <c r="F5849" s="7" t="s">
        <v>323</v>
      </c>
      <c r="G5849" s="7">
        <v>96.476470000000006</v>
      </c>
      <c r="H5849" s="7"/>
    </row>
    <row r="5850" spans="1:8" x14ac:dyDescent="0.35">
      <c r="A5850" s="7" t="s">
        <v>365</v>
      </c>
      <c r="B5850" s="7" t="s">
        <v>26</v>
      </c>
      <c r="C5850" s="7" t="s">
        <v>27</v>
      </c>
      <c r="D5850" s="7" t="s">
        <v>28</v>
      </c>
      <c r="E5850" s="7" t="s">
        <v>29</v>
      </c>
      <c r="F5850" s="7" t="s">
        <v>324</v>
      </c>
      <c r="G5850" s="7">
        <v>96.532910000000001</v>
      </c>
      <c r="H5850" s="7"/>
    </row>
    <row r="5851" spans="1:8" x14ac:dyDescent="0.35">
      <c r="A5851" s="7" t="s">
        <v>365</v>
      </c>
      <c r="B5851" s="7" t="s">
        <v>26</v>
      </c>
      <c r="C5851" s="7" t="s">
        <v>27</v>
      </c>
      <c r="D5851" s="7" t="s">
        <v>28</v>
      </c>
      <c r="E5851" s="7" t="s">
        <v>29</v>
      </c>
      <c r="F5851" s="7" t="s">
        <v>325</v>
      </c>
      <c r="G5851" s="7">
        <v>96.684560000000005</v>
      </c>
      <c r="H5851" s="7"/>
    </row>
    <row r="5852" spans="1:8" x14ac:dyDescent="0.35">
      <c r="A5852" s="7" t="s">
        <v>365</v>
      </c>
      <c r="B5852" s="7" t="s">
        <v>26</v>
      </c>
      <c r="C5852" s="7" t="s">
        <v>27</v>
      </c>
      <c r="D5852" s="7" t="s">
        <v>28</v>
      </c>
      <c r="E5852" s="7" t="s">
        <v>29</v>
      </c>
      <c r="F5852" s="7" t="s">
        <v>326</v>
      </c>
      <c r="G5852" s="7">
        <v>96.780379999999994</v>
      </c>
      <c r="H5852" s="7"/>
    </row>
    <row r="5853" spans="1:8" x14ac:dyDescent="0.35">
      <c r="A5853" s="7" t="s">
        <v>365</v>
      </c>
      <c r="B5853" s="7" t="s">
        <v>26</v>
      </c>
      <c r="C5853" s="7" t="s">
        <v>27</v>
      </c>
      <c r="D5853" s="7" t="s">
        <v>28</v>
      </c>
      <c r="E5853" s="7" t="s">
        <v>29</v>
      </c>
      <c r="F5853" s="7" t="s">
        <v>327</v>
      </c>
      <c r="G5853" s="7">
        <v>96.887810000000002</v>
      </c>
      <c r="H5853" s="7"/>
    </row>
    <row r="5854" spans="1:8" x14ac:dyDescent="0.35">
      <c r="A5854" s="7" t="s">
        <v>365</v>
      </c>
      <c r="B5854" s="7" t="s">
        <v>26</v>
      </c>
      <c r="C5854" s="7" t="s">
        <v>27</v>
      </c>
      <c r="D5854" s="7" t="s">
        <v>28</v>
      </c>
      <c r="E5854" s="7" t="s">
        <v>29</v>
      </c>
      <c r="F5854" s="7" t="s">
        <v>328</v>
      </c>
      <c r="G5854" s="7">
        <v>97.072649999999996</v>
      </c>
      <c r="H5854" s="7"/>
    </row>
    <row r="5855" spans="1:8" x14ac:dyDescent="0.35">
      <c r="A5855" s="7" t="s">
        <v>365</v>
      </c>
      <c r="B5855" s="7" t="s">
        <v>26</v>
      </c>
      <c r="C5855" s="7" t="s">
        <v>27</v>
      </c>
      <c r="D5855" s="7" t="s">
        <v>28</v>
      </c>
      <c r="E5855" s="7" t="s">
        <v>29</v>
      </c>
      <c r="F5855" s="7" t="s">
        <v>329</v>
      </c>
      <c r="G5855" s="7">
        <v>97.198279999999997</v>
      </c>
      <c r="H5855" s="7"/>
    </row>
    <row r="5856" spans="1:8" x14ac:dyDescent="0.35">
      <c r="A5856" s="7" t="s">
        <v>365</v>
      </c>
      <c r="B5856" s="7" t="s">
        <v>26</v>
      </c>
      <c r="C5856" s="7" t="s">
        <v>27</v>
      </c>
      <c r="D5856" s="7" t="s">
        <v>28</v>
      </c>
      <c r="E5856" s="7" t="s">
        <v>29</v>
      </c>
      <c r="F5856" s="7" t="s">
        <v>330</v>
      </c>
      <c r="G5856" s="7">
        <v>97.176230000000004</v>
      </c>
      <c r="H5856" s="7"/>
    </row>
    <row r="5857" spans="1:8" x14ac:dyDescent="0.35">
      <c r="A5857" s="7" t="s">
        <v>365</v>
      </c>
      <c r="B5857" s="7" t="s">
        <v>26</v>
      </c>
      <c r="C5857" s="7" t="s">
        <v>27</v>
      </c>
      <c r="D5857" s="7" t="s">
        <v>28</v>
      </c>
      <c r="E5857" s="7" t="s">
        <v>29</v>
      </c>
      <c r="F5857" s="7" t="s">
        <v>331</v>
      </c>
      <c r="G5857" s="7">
        <v>97.079030000000003</v>
      </c>
      <c r="H5857" s="7"/>
    </row>
    <row r="5858" spans="1:8" x14ac:dyDescent="0.35">
      <c r="A5858" s="7" t="s">
        <v>365</v>
      </c>
      <c r="B5858" s="7" t="s">
        <v>26</v>
      </c>
      <c r="C5858" s="7" t="s">
        <v>27</v>
      </c>
      <c r="D5858" s="7" t="s">
        <v>28</v>
      </c>
      <c r="E5858" s="7" t="s">
        <v>29</v>
      </c>
      <c r="F5858" s="7" t="s">
        <v>332</v>
      </c>
      <c r="G5858" s="7">
        <v>96.820099999999996</v>
      </c>
      <c r="H5858" s="7"/>
    </row>
    <row r="5859" spans="1:8" x14ac:dyDescent="0.35">
      <c r="A5859" s="7" t="s">
        <v>365</v>
      </c>
      <c r="B5859" s="7" t="s">
        <v>26</v>
      </c>
      <c r="C5859" s="7" t="s">
        <v>27</v>
      </c>
      <c r="D5859" s="7" t="s">
        <v>28</v>
      </c>
      <c r="E5859" s="7" t="s">
        <v>29</v>
      </c>
      <c r="F5859" s="7" t="s">
        <v>333</v>
      </c>
      <c r="G5859" s="7">
        <v>96.510170000000002</v>
      </c>
      <c r="H5859" s="7"/>
    </row>
    <row r="5860" spans="1:8" x14ac:dyDescent="0.35">
      <c r="A5860" s="7" t="s">
        <v>365</v>
      </c>
      <c r="B5860" s="7" t="s">
        <v>26</v>
      </c>
      <c r="C5860" s="7" t="s">
        <v>27</v>
      </c>
      <c r="D5860" s="7" t="s">
        <v>28</v>
      </c>
      <c r="E5860" s="7" t="s">
        <v>29</v>
      </c>
      <c r="F5860" s="7" t="s">
        <v>334</v>
      </c>
      <c r="G5860" s="7">
        <v>96.363720000000001</v>
      </c>
      <c r="H5860" s="7"/>
    </row>
    <row r="5861" spans="1:8" x14ac:dyDescent="0.35">
      <c r="A5861" s="7" t="s">
        <v>365</v>
      </c>
      <c r="B5861" s="7" t="s">
        <v>26</v>
      </c>
      <c r="C5861" s="7" t="s">
        <v>27</v>
      </c>
      <c r="D5861" s="7" t="s">
        <v>28</v>
      </c>
      <c r="E5861" s="7" t="s">
        <v>29</v>
      </c>
      <c r="F5861" s="7" t="s">
        <v>335</v>
      </c>
      <c r="G5861" s="7">
        <v>96.438670000000002</v>
      </c>
      <c r="H5861" s="7"/>
    </row>
    <row r="5862" spans="1:8" x14ac:dyDescent="0.35">
      <c r="A5862" s="7" t="s">
        <v>365</v>
      </c>
      <c r="B5862" s="7" t="s">
        <v>26</v>
      </c>
      <c r="C5862" s="7" t="s">
        <v>27</v>
      </c>
      <c r="D5862" s="7" t="s">
        <v>28</v>
      </c>
      <c r="E5862" s="7" t="s">
        <v>29</v>
      </c>
      <c r="F5862" s="7" t="s">
        <v>336</v>
      </c>
      <c r="G5862" s="7">
        <v>96.66892</v>
      </c>
      <c r="H5862" s="7"/>
    </row>
    <row r="5863" spans="1:8" x14ac:dyDescent="0.35">
      <c r="A5863" s="7" t="s">
        <v>365</v>
      </c>
      <c r="B5863" s="7" t="s">
        <v>26</v>
      </c>
      <c r="C5863" s="7" t="s">
        <v>27</v>
      </c>
      <c r="D5863" s="7" t="s">
        <v>28</v>
      </c>
      <c r="E5863" s="7" t="s">
        <v>29</v>
      </c>
      <c r="F5863" s="7" t="s">
        <v>337</v>
      </c>
      <c r="G5863" s="7">
        <v>97.017330000000001</v>
      </c>
      <c r="H5863" s="7"/>
    </row>
    <row r="5864" spans="1:8" x14ac:dyDescent="0.35">
      <c r="A5864" s="7" t="s">
        <v>365</v>
      </c>
      <c r="B5864" s="7" t="s">
        <v>26</v>
      </c>
      <c r="C5864" s="7" t="s">
        <v>27</v>
      </c>
      <c r="D5864" s="7" t="s">
        <v>28</v>
      </c>
      <c r="E5864" s="7" t="s">
        <v>29</v>
      </c>
      <c r="F5864" s="7" t="s">
        <v>338</v>
      </c>
      <c r="G5864" s="7">
        <v>97.504710000000003</v>
      </c>
      <c r="H5864" s="7"/>
    </row>
    <row r="5865" spans="1:8" x14ac:dyDescent="0.35">
      <c r="A5865" s="7" t="s">
        <v>365</v>
      </c>
      <c r="B5865" s="7" t="s">
        <v>26</v>
      </c>
      <c r="C5865" s="7" t="s">
        <v>27</v>
      </c>
      <c r="D5865" s="7" t="s">
        <v>28</v>
      </c>
      <c r="E5865" s="7" t="s">
        <v>29</v>
      </c>
      <c r="F5865" s="7" t="s">
        <v>339</v>
      </c>
      <c r="G5865" s="7">
        <v>97.954729999999998</v>
      </c>
      <c r="H5865" s="7"/>
    </row>
    <row r="5866" spans="1:8" x14ac:dyDescent="0.35">
      <c r="A5866" s="7" t="s">
        <v>365</v>
      </c>
      <c r="B5866" s="7" t="s">
        <v>26</v>
      </c>
      <c r="C5866" s="7" t="s">
        <v>27</v>
      </c>
      <c r="D5866" s="7" t="s">
        <v>28</v>
      </c>
      <c r="E5866" s="7" t="s">
        <v>29</v>
      </c>
      <c r="F5866" s="7" t="s">
        <v>340</v>
      </c>
      <c r="G5866" s="7">
        <v>98.263329999999996</v>
      </c>
      <c r="H5866" s="7"/>
    </row>
    <row r="5867" spans="1:8" x14ac:dyDescent="0.35">
      <c r="A5867" s="7" t="s">
        <v>365</v>
      </c>
      <c r="B5867" s="7" t="s">
        <v>26</v>
      </c>
      <c r="C5867" s="7" t="s">
        <v>27</v>
      </c>
      <c r="D5867" s="7" t="s">
        <v>28</v>
      </c>
      <c r="E5867" s="7" t="s">
        <v>29</v>
      </c>
      <c r="F5867" s="7" t="s">
        <v>341</v>
      </c>
      <c r="G5867" s="7">
        <v>98.415149999999997</v>
      </c>
      <c r="H5867" s="7"/>
    </row>
    <row r="5868" spans="1:8" x14ac:dyDescent="0.35">
      <c r="A5868" s="7" t="s">
        <v>365</v>
      </c>
      <c r="B5868" s="7" t="s">
        <v>26</v>
      </c>
      <c r="C5868" s="7" t="s">
        <v>27</v>
      </c>
      <c r="D5868" s="7" t="s">
        <v>28</v>
      </c>
      <c r="E5868" s="7" t="s">
        <v>29</v>
      </c>
      <c r="F5868" s="7" t="s">
        <v>342</v>
      </c>
      <c r="G5868" s="7">
        <v>98.517129999999995</v>
      </c>
      <c r="H5868" s="7"/>
    </row>
    <row r="5869" spans="1:8" x14ac:dyDescent="0.35">
      <c r="A5869" s="7" t="s">
        <v>365</v>
      </c>
      <c r="B5869" s="7" t="s">
        <v>26</v>
      </c>
      <c r="C5869" s="7" t="s">
        <v>27</v>
      </c>
      <c r="D5869" s="7" t="s">
        <v>28</v>
      </c>
      <c r="E5869" s="7" t="s">
        <v>29</v>
      </c>
      <c r="F5869" s="7" t="s">
        <v>343</v>
      </c>
      <c r="G5869" s="7">
        <v>98.615499999999997</v>
      </c>
      <c r="H5869" s="7"/>
    </row>
    <row r="5870" spans="1:8" x14ac:dyDescent="0.35">
      <c r="A5870" s="7" t="s">
        <v>365</v>
      </c>
      <c r="B5870" s="7" t="s">
        <v>26</v>
      </c>
      <c r="C5870" s="7" t="s">
        <v>27</v>
      </c>
      <c r="D5870" s="7" t="s">
        <v>28</v>
      </c>
      <c r="E5870" s="7" t="s">
        <v>29</v>
      </c>
      <c r="F5870" s="7" t="s">
        <v>344</v>
      </c>
      <c r="G5870" s="7">
        <v>98.614609999999999</v>
      </c>
      <c r="H5870" s="7"/>
    </row>
    <row r="5871" spans="1:8" x14ac:dyDescent="0.35">
      <c r="A5871" s="7" t="s">
        <v>365</v>
      </c>
      <c r="B5871" s="7" t="s">
        <v>26</v>
      </c>
      <c r="C5871" s="7" t="s">
        <v>27</v>
      </c>
      <c r="D5871" s="7" t="s">
        <v>28</v>
      </c>
      <c r="E5871" s="7" t="s">
        <v>29</v>
      </c>
      <c r="F5871" s="7" t="s">
        <v>345</v>
      </c>
      <c r="G5871" s="7">
        <v>98.541340000000005</v>
      </c>
      <c r="H5871" s="7"/>
    </row>
    <row r="5872" spans="1:8" x14ac:dyDescent="0.35">
      <c r="A5872" s="7" t="s">
        <v>365</v>
      </c>
      <c r="B5872" s="7" t="s">
        <v>26</v>
      </c>
      <c r="C5872" s="7" t="s">
        <v>27</v>
      </c>
      <c r="D5872" s="7" t="s">
        <v>28</v>
      </c>
      <c r="E5872" s="7" t="s">
        <v>29</v>
      </c>
      <c r="F5872" s="7" t="s">
        <v>346</v>
      </c>
      <c r="G5872" s="7">
        <v>98.473479999999995</v>
      </c>
      <c r="H5872" s="7"/>
    </row>
    <row r="5873" spans="1:8" x14ac:dyDescent="0.35">
      <c r="A5873" s="7" t="s">
        <v>366</v>
      </c>
      <c r="B5873" s="7" t="s">
        <v>26</v>
      </c>
      <c r="C5873" s="7" t="s">
        <v>27</v>
      </c>
      <c r="D5873" s="7" t="s">
        <v>28</v>
      </c>
      <c r="E5873" s="7" t="s">
        <v>29</v>
      </c>
      <c r="F5873" s="7" t="s">
        <v>61</v>
      </c>
      <c r="G5873" s="7">
        <v>98.420580000000001</v>
      </c>
      <c r="H5873" s="7"/>
    </row>
    <row r="5874" spans="1:8" x14ac:dyDescent="0.35">
      <c r="A5874" s="7" t="s">
        <v>366</v>
      </c>
      <c r="B5874" s="7" t="s">
        <v>26</v>
      </c>
      <c r="C5874" s="7" t="s">
        <v>27</v>
      </c>
      <c r="D5874" s="7" t="s">
        <v>28</v>
      </c>
      <c r="E5874" s="7" t="s">
        <v>29</v>
      </c>
      <c r="F5874" s="7" t="s">
        <v>62</v>
      </c>
      <c r="G5874" s="7">
        <v>98.939850000000007</v>
      </c>
      <c r="H5874" s="7"/>
    </row>
    <row r="5875" spans="1:8" x14ac:dyDescent="0.35">
      <c r="A5875" s="7" t="s">
        <v>366</v>
      </c>
      <c r="B5875" s="7" t="s">
        <v>26</v>
      </c>
      <c r="C5875" s="7" t="s">
        <v>27</v>
      </c>
      <c r="D5875" s="7" t="s">
        <v>28</v>
      </c>
      <c r="E5875" s="7" t="s">
        <v>29</v>
      </c>
      <c r="F5875" s="7" t="s">
        <v>63</v>
      </c>
      <c r="G5875" s="7">
        <v>99.57938</v>
      </c>
      <c r="H5875" s="7"/>
    </row>
    <row r="5876" spans="1:8" x14ac:dyDescent="0.35">
      <c r="A5876" s="7" t="s">
        <v>366</v>
      </c>
      <c r="B5876" s="7" t="s">
        <v>26</v>
      </c>
      <c r="C5876" s="7" t="s">
        <v>27</v>
      </c>
      <c r="D5876" s="7" t="s">
        <v>28</v>
      </c>
      <c r="E5876" s="7" t="s">
        <v>29</v>
      </c>
      <c r="F5876" s="7" t="s">
        <v>64</v>
      </c>
      <c r="G5876" s="7">
        <v>100.0604</v>
      </c>
      <c r="H5876" s="7"/>
    </row>
    <row r="5877" spans="1:8" x14ac:dyDescent="0.35">
      <c r="A5877" s="7" t="s">
        <v>366</v>
      </c>
      <c r="B5877" s="7" t="s">
        <v>26</v>
      </c>
      <c r="C5877" s="7" t="s">
        <v>27</v>
      </c>
      <c r="D5877" s="7" t="s">
        <v>28</v>
      </c>
      <c r="E5877" s="7" t="s">
        <v>29</v>
      </c>
      <c r="F5877" s="7" t="s">
        <v>65</v>
      </c>
      <c r="G5877" s="7">
        <v>100.4348</v>
      </c>
      <c r="H5877" s="7"/>
    </row>
    <row r="5878" spans="1:8" x14ac:dyDescent="0.35">
      <c r="A5878" s="7" t="s">
        <v>366</v>
      </c>
      <c r="B5878" s="7" t="s">
        <v>26</v>
      </c>
      <c r="C5878" s="7" t="s">
        <v>27</v>
      </c>
      <c r="D5878" s="7" t="s">
        <v>28</v>
      </c>
      <c r="E5878" s="7" t="s">
        <v>29</v>
      </c>
      <c r="F5878" s="7" t="s">
        <v>66</v>
      </c>
      <c r="G5878" s="7">
        <v>100.73860000000001</v>
      </c>
      <c r="H5878" s="7"/>
    </row>
    <row r="5879" spans="1:8" x14ac:dyDescent="0.35">
      <c r="A5879" s="7" t="s">
        <v>366</v>
      </c>
      <c r="B5879" s="7" t="s">
        <v>26</v>
      </c>
      <c r="C5879" s="7" t="s">
        <v>27</v>
      </c>
      <c r="D5879" s="7" t="s">
        <v>28</v>
      </c>
      <c r="E5879" s="7" t="s">
        <v>29</v>
      </c>
      <c r="F5879" s="7" t="s">
        <v>67</v>
      </c>
      <c r="G5879" s="7">
        <v>100.9481</v>
      </c>
      <c r="H5879" s="7"/>
    </row>
    <row r="5880" spans="1:8" x14ac:dyDescent="0.35">
      <c r="A5880" s="7" t="s">
        <v>366</v>
      </c>
      <c r="B5880" s="7" t="s">
        <v>26</v>
      </c>
      <c r="C5880" s="7" t="s">
        <v>27</v>
      </c>
      <c r="D5880" s="7" t="s">
        <v>28</v>
      </c>
      <c r="E5880" s="7" t="s">
        <v>29</v>
      </c>
      <c r="F5880" s="7" t="s">
        <v>68</v>
      </c>
      <c r="G5880" s="7">
        <v>101.0078</v>
      </c>
      <c r="H5880" s="7"/>
    </row>
    <row r="5881" spans="1:8" x14ac:dyDescent="0.35">
      <c r="A5881" s="7" t="s">
        <v>366</v>
      </c>
      <c r="B5881" s="7" t="s">
        <v>26</v>
      </c>
      <c r="C5881" s="7" t="s">
        <v>27</v>
      </c>
      <c r="D5881" s="7" t="s">
        <v>28</v>
      </c>
      <c r="E5881" s="7" t="s">
        <v>29</v>
      </c>
      <c r="F5881" s="7" t="s">
        <v>69</v>
      </c>
      <c r="G5881" s="7">
        <v>100.7907</v>
      </c>
      <c r="H5881" s="7"/>
    </row>
    <row r="5882" spans="1:8" x14ac:dyDescent="0.35">
      <c r="A5882" s="7" t="s">
        <v>366</v>
      </c>
      <c r="B5882" s="7" t="s">
        <v>26</v>
      </c>
      <c r="C5882" s="7" t="s">
        <v>27</v>
      </c>
      <c r="D5882" s="7" t="s">
        <v>28</v>
      </c>
      <c r="E5882" s="7" t="s">
        <v>29</v>
      </c>
      <c r="F5882" s="7" t="s">
        <v>70</v>
      </c>
      <c r="G5882" s="7">
        <v>100.2803</v>
      </c>
      <c r="H5882" s="7"/>
    </row>
    <row r="5883" spans="1:8" x14ac:dyDescent="0.35">
      <c r="A5883" s="7" t="s">
        <v>366</v>
      </c>
      <c r="B5883" s="7" t="s">
        <v>26</v>
      </c>
      <c r="C5883" s="7" t="s">
        <v>27</v>
      </c>
      <c r="D5883" s="7" t="s">
        <v>28</v>
      </c>
      <c r="E5883" s="7" t="s">
        <v>29</v>
      </c>
      <c r="F5883" s="7" t="s">
        <v>71</v>
      </c>
      <c r="G5883" s="7">
        <v>99.742590000000007</v>
      </c>
      <c r="H5883" s="7"/>
    </row>
    <row r="5884" spans="1:8" x14ac:dyDescent="0.35">
      <c r="A5884" s="7" t="s">
        <v>366</v>
      </c>
      <c r="B5884" s="7" t="s">
        <v>26</v>
      </c>
      <c r="C5884" s="7" t="s">
        <v>27</v>
      </c>
      <c r="D5884" s="7" t="s">
        <v>28</v>
      </c>
      <c r="E5884" s="7" t="s">
        <v>29</v>
      </c>
      <c r="F5884" s="7" t="s">
        <v>72</v>
      </c>
      <c r="G5884" s="7">
        <v>99.359930000000006</v>
      </c>
      <c r="H5884" s="7"/>
    </row>
    <row r="5885" spans="1:8" x14ac:dyDescent="0.35">
      <c r="A5885" s="7" t="s">
        <v>366</v>
      </c>
      <c r="B5885" s="7" t="s">
        <v>26</v>
      </c>
      <c r="C5885" s="7" t="s">
        <v>27</v>
      </c>
      <c r="D5885" s="7" t="s">
        <v>28</v>
      </c>
      <c r="E5885" s="7" t="s">
        <v>29</v>
      </c>
      <c r="F5885" s="7" t="s">
        <v>73</v>
      </c>
      <c r="G5885" s="7">
        <v>99.061490000000006</v>
      </c>
      <c r="H5885" s="7"/>
    </row>
    <row r="5886" spans="1:8" x14ac:dyDescent="0.35">
      <c r="A5886" s="7" t="s">
        <v>366</v>
      </c>
      <c r="B5886" s="7" t="s">
        <v>26</v>
      </c>
      <c r="C5886" s="7" t="s">
        <v>27</v>
      </c>
      <c r="D5886" s="7" t="s">
        <v>28</v>
      </c>
      <c r="E5886" s="7" t="s">
        <v>29</v>
      </c>
      <c r="F5886" s="7" t="s">
        <v>74</v>
      </c>
      <c r="G5886" s="7">
        <v>98.825419999999994</v>
      </c>
      <c r="H5886" s="7"/>
    </row>
    <row r="5887" spans="1:8" x14ac:dyDescent="0.35">
      <c r="A5887" s="7" t="s">
        <v>366</v>
      </c>
      <c r="B5887" s="7" t="s">
        <v>26</v>
      </c>
      <c r="C5887" s="7" t="s">
        <v>27</v>
      </c>
      <c r="D5887" s="7" t="s">
        <v>28</v>
      </c>
      <c r="E5887" s="7" t="s">
        <v>29</v>
      </c>
      <c r="F5887" s="7" t="s">
        <v>75</v>
      </c>
      <c r="G5887" s="7">
        <v>98.699870000000004</v>
      </c>
      <c r="H5887" s="7"/>
    </row>
    <row r="5888" spans="1:8" x14ac:dyDescent="0.35">
      <c r="A5888" s="7" t="s">
        <v>366</v>
      </c>
      <c r="B5888" s="7" t="s">
        <v>26</v>
      </c>
      <c r="C5888" s="7" t="s">
        <v>27</v>
      </c>
      <c r="D5888" s="7" t="s">
        <v>28</v>
      </c>
      <c r="E5888" s="7" t="s">
        <v>29</v>
      </c>
      <c r="F5888" s="7" t="s">
        <v>76</v>
      </c>
      <c r="G5888" s="7">
        <v>98.663160000000005</v>
      </c>
      <c r="H5888" s="7"/>
    </row>
    <row r="5889" spans="1:8" x14ac:dyDescent="0.35">
      <c r="A5889" s="7" t="s">
        <v>366</v>
      </c>
      <c r="B5889" s="7" t="s">
        <v>26</v>
      </c>
      <c r="C5889" s="7" t="s">
        <v>27</v>
      </c>
      <c r="D5889" s="7" t="s">
        <v>28</v>
      </c>
      <c r="E5889" s="7" t="s">
        <v>29</v>
      </c>
      <c r="F5889" s="7" t="s">
        <v>77</v>
      </c>
      <c r="G5889" s="7">
        <v>98.668840000000003</v>
      </c>
      <c r="H5889" s="7"/>
    </row>
    <row r="5890" spans="1:8" x14ac:dyDescent="0.35">
      <c r="A5890" s="7" t="s">
        <v>366</v>
      </c>
      <c r="B5890" s="7" t="s">
        <v>26</v>
      </c>
      <c r="C5890" s="7" t="s">
        <v>27</v>
      </c>
      <c r="D5890" s="7" t="s">
        <v>28</v>
      </c>
      <c r="E5890" s="7" t="s">
        <v>29</v>
      </c>
      <c r="F5890" s="7" t="s">
        <v>78</v>
      </c>
      <c r="G5890" s="7">
        <v>98.718119999999999</v>
      </c>
      <c r="H5890" s="7"/>
    </row>
    <row r="5891" spans="1:8" x14ac:dyDescent="0.35">
      <c r="A5891" s="7" t="s">
        <v>366</v>
      </c>
      <c r="B5891" s="7" t="s">
        <v>26</v>
      </c>
      <c r="C5891" s="7" t="s">
        <v>27</v>
      </c>
      <c r="D5891" s="7" t="s">
        <v>28</v>
      </c>
      <c r="E5891" s="7" t="s">
        <v>29</v>
      </c>
      <c r="F5891" s="7" t="s">
        <v>79</v>
      </c>
      <c r="G5891" s="7">
        <v>98.845339999999993</v>
      </c>
      <c r="H5891" s="7"/>
    </row>
    <row r="5892" spans="1:8" x14ac:dyDescent="0.35">
      <c r="A5892" s="7" t="s">
        <v>366</v>
      </c>
      <c r="B5892" s="7" t="s">
        <v>26</v>
      </c>
      <c r="C5892" s="7" t="s">
        <v>27</v>
      </c>
      <c r="D5892" s="7" t="s">
        <v>28</v>
      </c>
      <c r="E5892" s="7" t="s">
        <v>29</v>
      </c>
      <c r="F5892" s="7" t="s">
        <v>80</v>
      </c>
      <c r="G5892" s="7">
        <v>99.06859</v>
      </c>
      <c r="H5892" s="7"/>
    </row>
    <row r="5893" spans="1:8" x14ac:dyDescent="0.35">
      <c r="A5893" s="7" t="s">
        <v>366</v>
      </c>
      <c r="B5893" s="7" t="s">
        <v>26</v>
      </c>
      <c r="C5893" s="7" t="s">
        <v>27</v>
      </c>
      <c r="D5893" s="7" t="s">
        <v>28</v>
      </c>
      <c r="E5893" s="7" t="s">
        <v>29</v>
      </c>
      <c r="F5893" s="7" t="s">
        <v>81</v>
      </c>
      <c r="G5893" s="7">
        <v>99.316249999999997</v>
      </c>
      <c r="H5893" s="7"/>
    </row>
    <row r="5894" spans="1:8" x14ac:dyDescent="0.35">
      <c r="A5894" s="7" t="s">
        <v>366</v>
      </c>
      <c r="B5894" s="7" t="s">
        <v>26</v>
      </c>
      <c r="C5894" s="7" t="s">
        <v>27</v>
      </c>
      <c r="D5894" s="7" t="s">
        <v>28</v>
      </c>
      <c r="E5894" s="7" t="s">
        <v>29</v>
      </c>
      <c r="F5894" s="7" t="s">
        <v>82</v>
      </c>
      <c r="G5894" s="7">
        <v>99.50797</v>
      </c>
      <c r="H5894" s="7"/>
    </row>
    <row r="5895" spans="1:8" x14ac:dyDescent="0.35">
      <c r="A5895" s="7" t="s">
        <v>366</v>
      </c>
      <c r="B5895" s="7" t="s">
        <v>26</v>
      </c>
      <c r="C5895" s="7" t="s">
        <v>27</v>
      </c>
      <c r="D5895" s="7" t="s">
        <v>28</v>
      </c>
      <c r="E5895" s="7" t="s">
        <v>29</v>
      </c>
      <c r="F5895" s="7" t="s">
        <v>83</v>
      </c>
      <c r="G5895" s="7">
        <v>99.539779999999993</v>
      </c>
      <c r="H5895" s="7"/>
    </row>
    <row r="5896" spans="1:8" x14ac:dyDescent="0.35">
      <c r="A5896" s="7" t="s">
        <v>366</v>
      </c>
      <c r="B5896" s="7" t="s">
        <v>26</v>
      </c>
      <c r="C5896" s="7" t="s">
        <v>27</v>
      </c>
      <c r="D5896" s="7" t="s">
        <v>28</v>
      </c>
      <c r="E5896" s="7" t="s">
        <v>29</v>
      </c>
      <c r="F5896" s="7" t="s">
        <v>84</v>
      </c>
      <c r="G5896" s="7">
        <v>99.468130000000002</v>
      </c>
      <c r="H5896" s="7"/>
    </row>
    <row r="5897" spans="1:8" x14ac:dyDescent="0.35">
      <c r="A5897" s="7" t="s">
        <v>366</v>
      </c>
      <c r="B5897" s="7" t="s">
        <v>26</v>
      </c>
      <c r="C5897" s="7" t="s">
        <v>27</v>
      </c>
      <c r="D5897" s="7" t="s">
        <v>28</v>
      </c>
      <c r="E5897" s="7" t="s">
        <v>29</v>
      </c>
      <c r="F5897" s="7" t="s">
        <v>85</v>
      </c>
      <c r="G5897" s="7">
        <v>99.433409999999995</v>
      </c>
      <c r="H5897" s="7"/>
    </row>
    <row r="5898" spans="1:8" x14ac:dyDescent="0.35">
      <c r="A5898" s="7" t="s">
        <v>366</v>
      </c>
      <c r="B5898" s="7" t="s">
        <v>26</v>
      </c>
      <c r="C5898" s="7" t="s">
        <v>27</v>
      </c>
      <c r="D5898" s="7" t="s">
        <v>28</v>
      </c>
      <c r="E5898" s="7" t="s">
        <v>29</v>
      </c>
      <c r="F5898" s="7" t="s">
        <v>86</v>
      </c>
      <c r="G5898" s="7">
        <v>99.454149999999998</v>
      </c>
      <c r="H5898" s="7"/>
    </row>
    <row r="5899" spans="1:8" x14ac:dyDescent="0.35">
      <c r="A5899" s="7" t="s">
        <v>366</v>
      </c>
      <c r="B5899" s="7" t="s">
        <v>26</v>
      </c>
      <c r="C5899" s="7" t="s">
        <v>27</v>
      </c>
      <c r="D5899" s="7" t="s">
        <v>28</v>
      </c>
      <c r="E5899" s="7" t="s">
        <v>29</v>
      </c>
      <c r="F5899" s="7" t="s">
        <v>87</v>
      </c>
      <c r="G5899" s="7">
        <v>99.524349999999998</v>
      </c>
      <c r="H5899" s="7"/>
    </row>
    <row r="5900" spans="1:8" x14ac:dyDescent="0.35">
      <c r="A5900" s="7" t="s">
        <v>366</v>
      </c>
      <c r="B5900" s="7" t="s">
        <v>26</v>
      </c>
      <c r="C5900" s="7" t="s">
        <v>27</v>
      </c>
      <c r="D5900" s="7" t="s">
        <v>28</v>
      </c>
      <c r="E5900" s="7" t="s">
        <v>29</v>
      </c>
      <c r="F5900" s="7" t="s">
        <v>88</v>
      </c>
      <c r="G5900" s="7">
        <v>99.619669999999999</v>
      </c>
      <c r="H5900" s="7"/>
    </row>
    <row r="5901" spans="1:8" x14ac:dyDescent="0.35">
      <c r="A5901" s="7" t="s">
        <v>366</v>
      </c>
      <c r="B5901" s="7" t="s">
        <v>26</v>
      </c>
      <c r="C5901" s="7" t="s">
        <v>27</v>
      </c>
      <c r="D5901" s="7" t="s">
        <v>28</v>
      </c>
      <c r="E5901" s="7" t="s">
        <v>29</v>
      </c>
      <c r="F5901" s="7" t="s">
        <v>89</v>
      </c>
      <c r="G5901" s="7">
        <v>99.770319999999998</v>
      </c>
      <c r="H5901" s="7"/>
    </row>
    <row r="5902" spans="1:8" x14ac:dyDescent="0.35">
      <c r="A5902" s="7" t="s">
        <v>366</v>
      </c>
      <c r="B5902" s="7" t="s">
        <v>26</v>
      </c>
      <c r="C5902" s="7" t="s">
        <v>27</v>
      </c>
      <c r="D5902" s="7" t="s">
        <v>28</v>
      </c>
      <c r="E5902" s="7" t="s">
        <v>29</v>
      </c>
      <c r="F5902" s="7" t="s">
        <v>90</v>
      </c>
      <c r="G5902" s="7">
        <v>99.930049999999994</v>
      </c>
      <c r="H5902" s="7"/>
    </row>
    <row r="5903" spans="1:8" x14ac:dyDescent="0.35">
      <c r="A5903" s="7" t="s">
        <v>366</v>
      </c>
      <c r="B5903" s="7" t="s">
        <v>26</v>
      </c>
      <c r="C5903" s="7" t="s">
        <v>27</v>
      </c>
      <c r="D5903" s="7" t="s">
        <v>28</v>
      </c>
      <c r="E5903" s="7" t="s">
        <v>29</v>
      </c>
      <c r="F5903" s="7" t="s">
        <v>91</v>
      </c>
      <c r="G5903" s="7">
        <v>100.0581</v>
      </c>
      <c r="H5903" s="7"/>
    </row>
    <row r="5904" spans="1:8" x14ac:dyDescent="0.35">
      <c r="A5904" s="7" t="s">
        <v>366</v>
      </c>
      <c r="B5904" s="7" t="s">
        <v>26</v>
      </c>
      <c r="C5904" s="7" t="s">
        <v>27</v>
      </c>
      <c r="D5904" s="7" t="s">
        <v>28</v>
      </c>
      <c r="E5904" s="7" t="s">
        <v>29</v>
      </c>
      <c r="F5904" s="7" t="s">
        <v>92</v>
      </c>
      <c r="G5904" s="7">
        <v>100.1653</v>
      </c>
      <c r="H5904" s="7"/>
    </row>
    <row r="5905" spans="1:8" x14ac:dyDescent="0.35">
      <c r="A5905" s="7" t="s">
        <v>366</v>
      </c>
      <c r="B5905" s="7" t="s">
        <v>26</v>
      </c>
      <c r="C5905" s="7" t="s">
        <v>27</v>
      </c>
      <c r="D5905" s="7" t="s">
        <v>28</v>
      </c>
      <c r="E5905" s="7" t="s">
        <v>29</v>
      </c>
      <c r="F5905" s="7" t="s">
        <v>93</v>
      </c>
      <c r="G5905" s="7">
        <v>100.2308</v>
      </c>
      <c r="H5905" s="7"/>
    </row>
    <row r="5906" spans="1:8" x14ac:dyDescent="0.35">
      <c r="A5906" s="7" t="s">
        <v>366</v>
      </c>
      <c r="B5906" s="7" t="s">
        <v>26</v>
      </c>
      <c r="C5906" s="7" t="s">
        <v>27</v>
      </c>
      <c r="D5906" s="7" t="s">
        <v>28</v>
      </c>
      <c r="E5906" s="7" t="s">
        <v>29</v>
      </c>
      <c r="F5906" s="7" t="s">
        <v>94</v>
      </c>
      <c r="G5906" s="7">
        <v>100.283</v>
      </c>
      <c r="H5906" s="7"/>
    </row>
    <row r="5907" spans="1:8" x14ac:dyDescent="0.35">
      <c r="A5907" s="7" t="s">
        <v>366</v>
      </c>
      <c r="B5907" s="7" t="s">
        <v>26</v>
      </c>
      <c r="C5907" s="7" t="s">
        <v>27</v>
      </c>
      <c r="D5907" s="7" t="s">
        <v>28</v>
      </c>
      <c r="E5907" s="7" t="s">
        <v>29</v>
      </c>
      <c r="F5907" s="7" t="s">
        <v>95</v>
      </c>
      <c r="G5907" s="7">
        <v>100.1994</v>
      </c>
      <c r="H5907" s="7"/>
    </row>
    <row r="5908" spans="1:8" x14ac:dyDescent="0.35">
      <c r="A5908" s="7" t="s">
        <v>366</v>
      </c>
      <c r="B5908" s="7" t="s">
        <v>26</v>
      </c>
      <c r="C5908" s="7" t="s">
        <v>27</v>
      </c>
      <c r="D5908" s="7" t="s">
        <v>28</v>
      </c>
      <c r="E5908" s="7" t="s">
        <v>29</v>
      </c>
      <c r="F5908" s="7" t="s">
        <v>96</v>
      </c>
      <c r="G5908" s="7">
        <v>99.932199999999995</v>
      </c>
      <c r="H5908" s="7"/>
    </row>
    <row r="5909" spans="1:8" x14ac:dyDescent="0.35">
      <c r="A5909" s="7" t="s">
        <v>366</v>
      </c>
      <c r="B5909" s="7" t="s">
        <v>26</v>
      </c>
      <c r="C5909" s="7" t="s">
        <v>27</v>
      </c>
      <c r="D5909" s="7" t="s">
        <v>28</v>
      </c>
      <c r="E5909" s="7" t="s">
        <v>29</v>
      </c>
      <c r="F5909" s="7" t="s">
        <v>97</v>
      </c>
      <c r="G5909" s="7">
        <v>99.690209999999993</v>
      </c>
      <c r="H5909" s="7"/>
    </row>
    <row r="5910" spans="1:8" x14ac:dyDescent="0.35">
      <c r="A5910" s="7" t="s">
        <v>366</v>
      </c>
      <c r="B5910" s="7" t="s">
        <v>26</v>
      </c>
      <c r="C5910" s="7" t="s">
        <v>27</v>
      </c>
      <c r="D5910" s="7" t="s">
        <v>28</v>
      </c>
      <c r="E5910" s="7" t="s">
        <v>29</v>
      </c>
      <c r="F5910" s="7" t="s">
        <v>98</v>
      </c>
      <c r="G5910" s="7">
        <v>99.525819999999996</v>
      </c>
      <c r="H5910" s="7"/>
    </row>
    <row r="5911" spans="1:8" x14ac:dyDescent="0.35">
      <c r="A5911" s="7" t="s">
        <v>366</v>
      </c>
      <c r="B5911" s="7" t="s">
        <v>26</v>
      </c>
      <c r="C5911" s="7" t="s">
        <v>27</v>
      </c>
      <c r="D5911" s="7" t="s">
        <v>28</v>
      </c>
      <c r="E5911" s="7" t="s">
        <v>29</v>
      </c>
      <c r="F5911" s="7" t="s">
        <v>99</v>
      </c>
      <c r="G5911" s="7">
        <v>99.281760000000006</v>
      </c>
      <c r="H5911" s="7"/>
    </row>
    <row r="5912" spans="1:8" x14ac:dyDescent="0.35">
      <c r="A5912" s="7" t="s">
        <v>366</v>
      </c>
      <c r="B5912" s="7" t="s">
        <v>26</v>
      </c>
      <c r="C5912" s="7" t="s">
        <v>27</v>
      </c>
      <c r="D5912" s="7" t="s">
        <v>28</v>
      </c>
      <c r="E5912" s="7" t="s">
        <v>29</v>
      </c>
      <c r="F5912" s="7" t="s">
        <v>100</v>
      </c>
      <c r="G5912" s="7">
        <v>98.961269999999999</v>
      </c>
      <c r="H5912" s="7"/>
    </row>
    <row r="5913" spans="1:8" x14ac:dyDescent="0.35">
      <c r="A5913" s="7" t="s">
        <v>366</v>
      </c>
      <c r="B5913" s="7" t="s">
        <v>26</v>
      </c>
      <c r="C5913" s="7" t="s">
        <v>27</v>
      </c>
      <c r="D5913" s="7" t="s">
        <v>28</v>
      </c>
      <c r="E5913" s="7" t="s">
        <v>29</v>
      </c>
      <c r="F5913" s="7" t="s">
        <v>101</v>
      </c>
      <c r="G5913" s="7">
        <v>98.730549999999994</v>
      </c>
      <c r="H5913" s="7"/>
    </row>
    <row r="5914" spans="1:8" x14ac:dyDescent="0.35">
      <c r="A5914" s="7" t="s">
        <v>366</v>
      </c>
      <c r="B5914" s="7" t="s">
        <v>26</v>
      </c>
      <c r="C5914" s="7" t="s">
        <v>27</v>
      </c>
      <c r="D5914" s="7" t="s">
        <v>28</v>
      </c>
      <c r="E5914" s="7" t="s">
        <v>29</v>
      </c>
      <c r="F5914" s="7" t="s">
        <v>102</v>
      </c>
      <c r="G5914" s="7">
        <v>98.612790000000004</v>
      </c>
      <c r="H5914" s="7"/>
    </row>
    <row r="5915" spans="1:8" x14ac:dyDescent="0.35">
      <c r="A5915" s="7" t="s">
        <v>366</v>
      </c>
      <c r="B5915" s="7" t="s">
        <v>26</v>
      </c>
      <c r="C5915" s="7" t="s">
        <v>27</v>
      </c>
      <c r="D5915" s="7" t="s">
        <v>28</v>
      </c>
      <c r="E5915" s="7" t="s">
        <v>29</v>
      </c>
      <c r="F5915" s="7" t="s">
        <v>103</v>
      </c>
      <c r="G5915" s="7">
        <v>98.557770000000005</v>
      </c>
      <c r="H5915" s="7"/>
    </row>
    <row r="5916" spans="1:8" x14ac:dyDescent="0.35">
      <c r="A5916" s="7" t="s">
        <v>366</v>
      </c>
      <c r="B5916" s="7" t="s">
        <v>26</v>
      </c>
      <c r="C5916" s="7" t="s">
        <v>27</v>
      </c>
      <c r="D5916" s="7" t="s">
        <v>28</v>
      </c>
      <c r="E5916" s="7" t="s">
        <v>29</v>
      </c>
      <c r="F5916" s="7" t="s">
        <v>104</v>
      </c>
      <c r="G5916" s="7">
        <v>98.658150000000006</v>
      </c>
      <c r="H5916" s="7"/>
    </row>
    <row r="5917" spans="1:8" x14ac:dyDescent="0.35">
      <c r="A5917" s="7" t="s">
        <v>366</v>
      </c>
      <c r="B5917" s="7" t="s">
        <v>26</v>
      </c>
      <c r="C5917" s="7" t="s">
        <v>27</v>
      </c>
      <c r="D5917" s="7" t="s">
        <v>28</v>
      </c>
      <c r="E5917" s="7" t="s">
        <v>29</v>
      </c>
      <c r="F5917" s="7" t="s">
        <v>105</v>
      </c>
      <c r="G5917" s="7">
        <v>98.801659999999998</v>
      </c>
      <c r="H5917" s="7"/>
    </row>
    <row r="5918" spans="1:8" x14ac:dyDescent="0.35">
      <c r="A5918" s="7" t="s">
        <v>366</v>
      </c>
      <c r="B5918" s="7" t="s">
        <v>26</v>
      </c>
      <c r="C5918" s="7" t="s">
        <v>27</v>
      </c>
      <c r="D5918" s="7" t="s">
        <v>28</v>
      </c>
      <c r="E5918" s="7" t="s">
        <v>29</v>
      </c>
      <c r="F5918" s="7" t="s">
        <v>106</v>
      </c>
      <c r="G5918" s="7">
        <v>98.660300000000007</v>
      </c>
      <c r="H5918" s="7"/>
    </row>
    <row r="5919" spans="1:8" x14ac:dyDescent="0.35">
      <c r="A5919" s="7" t="s">
        <v>366</v>
      </c>
      <c r="B5919" s="7" t="s">
        <v>26</v>
      </c>
      <c r="C5919" s="7" t="s">
        <v>27</v>
      </c>
      <c r="D5919" s="7" t="s">
        <v>28</v>
      </c>
      <c r="E5919" s="7" t="s">
        <v>29</v>
      </c>
      <c r="F5919" s="7" t="s">
        <v>107</v>
      </c>
      <c r="G5919" s="7">
        <v>98.325379999999996</v>
      </c>
      <c r="H5919" s="7"/>
    </row>
    <row r="5920" spans="1:8" x14ac:dyDescent="0.35">
      <c r="A5920" s="7" t="s">
        <v>366</v>
      </c>
      <c r="B5920" s="7" t="s">
        <v>26</v>
      </c>
      <c r="C5920" s="7" t="s">
        <v>27</v>
      </c>
      <c r="D5920" s="7" t="s">
        <v>28</v>
      </c>
      <c r="E5920" s="7" t="s">
        <v>29</v>
      </c>
      <c r="F5920" s="7" t="s">
        <v>108</v>
      </c>
      <c r="G5920" s="7">
        <v>98.207239999999999</v>
      </c>
      <c r="H5920" s="7"/>
    </row>
    <row r="5921" spans="1:8" x14ac:dyDescent="0.35">
      <c r="A5921" s="7" t="s">
        <v>366</v>
      </c>
      <c r="B5921" s="7" t="s">
        <v>26</v>
      </c>
      <c r="C5921" s="7" t="s">
        <v>27</v>
      </c>
      <c r="D5921" s="7" t="s">
        <v>28</v>
      </c>
      <c r="E5921" s="7" t="s">
        <v>29</v>
      </c>
      <c r="F5921" s="7" t="s">
        <v>109</v>
      </c>
      <c r="G5921" s="7">
        <v>98.520030000000006</v>
      </c>
      <c r="H5921" s="7"/>
    </row>
    <row r="5922" spans="1:8" x14ac:dyDescent="0.35">
      <c r="A5922" s="7" t="s">
        <v>366</v>
      </c>
      <c r="B5922" s="7" t="s">
        <v>26</v>
      </c>
      <c r="C5922" s="7" t="s">
        <v>27</v>
      </c>
      <c r="D5922" s="7" t="s">
        <v>28</v>
      </c>
      <c r="E5922" s="7" t="s">
        <v>29</v>
      </c>
      <c r="F5922" s="7" t="s">
        <v>110</v>
      </c>
      <c r="G5922" s="7">
        <v>99.104429999999994</v>
      </c>
      <c r="H5922" s="7"/>
    </row>
    <row r="5923" spans="1:8" x14ac:dyDescent="0.35">
      <c r="A5923" s="7" t="s">
        <v>366</v>
      </c>
      <c r="B5923" s="7" t="s">
        <v>26</v>
      </c>
      <c r="C5923" s="7" t="s">
        <v>27</v>
      </c>
      <c r="D5923" s="7" t="s">
        <v>28</v>
      </c>
      <c r="E5923" s="7" t="s">
        <v>29</v>
      </c>
      <c r="F5923" s="7" t="s">
        <v>111</v>
      </c>
      <c r="G5923" s="7">
        <v>99.660899999999998</v>
      </c>
      <c r="H5923" s="7"/>
    </row>
    <row r="5924" spans="1:8" x14ac:dyDescent="0.35">
      <c r="A5924" s="7" t="s">
        <v>366</v>
      </c>
      <c r="B5924" s="7" t="s">
        <v>26</v>
      </c>
      <c r="C5924" s="7" t="s">
        <v>27</v>
      </c>
      <c r="D5924" s="7" t="s">
        <v>28</v>
      </c>
      <c r="E5924" s="7" t="s">
        <v>29</v>
      </c>
      <c r="F5924" s="7" t="s">
        <v>112</v>
      </c>
      <c r="G5924" s="7">
        <v>99.961650000000006</v>
      </c>
      <c r="H5924" s="7"/>
    </row>
    <row r="5925" spans="1:8" x14ac:dyDescent="0.35">
      <c r="A5925" s="7" t="s">
        <v>366</v>
      </c>
      <c r="B5925" s="7" t="s">
        <v>26</v>
      </c>
      <c r="C5925" s="7" t="s">
        <v>27</v>
      </c>
      <c r="D5925" s="7" t="s">
        <v>28</v>
      </c>
      <c r="E5925" s="7" t="s">
        <v>29</v>
      </c>
      <c r="F5925" s="7" t="s">
        <v>113</v>
      </c>
      <c r="G5925" s="7">
        <v>99.893879999999996</v>
      </c>
      <c r="H5925" s="7"/>
    </row>
    <row r="5926" spans="1:8" x14ac:dyDescent="0.35">
      <c r="A5926" s="7" t="s">
        <v>366</v>
      </c>
      <c r="B5926" s="7" t="s">
        <v>26</v>
      </c>
      <c r="C5926" s="7" t="s">
        <v>27</v>
      </c>
      <c r="D5926" s="7" t="s">
        <v>28</v>
      </c>
      <c r="E5926" s="7" t="s">
        <v>29</v>
      </c>
      <c r="F5926" s="7" t="s">
        <v>114</v>
      </c>
      <c r="G5926" s="7">
        <v>99.427390000000003</v>
      </c>
      <c r="H5926" s="7"/>
    </row>
    <row r="5927" spans="1:8" x14ac:dyDescent="0.35">
      <c r="A5927" s="7" t="s">
        <v>366</v>
      </c>
      <c r="B5927" s="7" t="s">
        <v>26</v>
      </c>
      <c r="C5927" s="7" t="s">
        <v>27</v>
      </c>
      <c r="D5927" s="7" t="s">
        <v>28</v>
      </c>
      <c r="E5927" s="7" t="s">
        <v>29</v>
      </c>
      <c r="F5927" s="7" t="s">
        <v>115</v>
      </c>
      <c r="G5927" s="7">
        <v>98.763009999999994</v>
      </c>
      <c r="H5927" s="7"/>
    </row>
    <row r="5928" spans="1:8" x14ac:dyDescent="0.35">
      <c r="A5928" s="7" t="s">
        <v>366</v>
      </c>
      <c r="B5928" s="7" t="s">
        <v>26</v>
      </c>
      <c r="C5928" s="7" t="s">
        <v>27</v>
      </c>
      <c r="D5928" s="7" t="s">
        <v>28</v>
      </c>
      <c r="E5928" s="7" t="s">
        <v>29</v>
      </c>
      <c r="F5928" s="7" t="s">
        <v>116</v>
      </c>
      <c r="G5928" s="7">
        <v>98.226259999999996</v>
      </c>
      <c r="H5928" s="7"/>
    </row>
    <row r="5929" spans="1:8" x14ac:dyDescent="0.35">
      <c r="A5929" s="7" t="s">
        <v>366</v>
      </c>
      <c r="B5929" s="7" t="s">
        <v>26</v>
      </c>
      <c r="C5929" s="7" t="s">
        <v>27</v>
      </c>
      <c r="D5929" s="7" t="s">
        <v>28</v>
      </c>
      <c r="E5929" s="7" t="s">
        <v>29</v>
      </c>
      <c r="F5929" s="7" t="s">
        <v>117</v>
      </c>
      <c r="G5929" s="7">
        <v>97.66095</v>
      </c>
      <c r="H5929" s="7"/>
    </row>
    <row r="5930" spans="1:8" x14ac:dyDescent="0.35">
      <c r="A5930" s="7" t="s">
        <v>366</v>
      </c>
      <c r="B5930" s="7" t="s">
        <v>26</v>
      </c>
      <c r="C5930" s="7" t="s">
        <v>27</v>
      </c>
      <c r="D5930" s="7" t="s">
        <v>28</v>
      </c>
      <c r="E5930" s="7" t="s">
        <v>29</v>
      </c>
      <c r="F5930" s="7" t="s">
        <v>118</v>
      </c>
      <c r="G5930" s="7">
        <v>97.100179999999995</v>
      </c>
      <c r="H5930" s="7"/>
    </row>
    <row r="5931" spans="1:8" x14ac:dyDescent="0.35">
      <c r="A5931" s="7" t="s">
        <v>366</v>
      </c>
      <c r="B5931" s="7" t="s">
        <v>26</v>
      </c>
      <c r="C5931" s="7" t="s">
        <v>27</v>
      </c>
      <c r="D5931" s="7" t="s">
        <v>28</v>
      </c>
      <c r="E5931" s="7" t="s">
        <v>29</v>
      </c>
      <c r="F5931" s="7" t="s">
        <v>119</v>
      </c>
      <c r="G5931" s="7">
        <v>96.946820000000002</v>
      </c>
      <c r="H5931" s="7"/>
    </row>
    <row r="5932" spans="1:8" x14ac:dyDescent="0.35">
      <c r="A5932" s="7" t="s">
        <v>366</v>
      </c>
      <c r="B5932" s="7" t="s">
        <v>26</v>
      </c>
      <c r="C5932" s="7" t="s">
        <v>27</v>
      </c>
      <c r="D5932" s="7" t="s">
        <v>28</v>
      </c>
      <c r="E5932" s="7" t="s">
        <v>29</v>
      </c>
      <c r="F5932" s="7" t="s">
        <v>120</v>
      </c>
      <c r="G5932" s="7">
        <v>97.263450000000006</v>
      </c>
      <c r="H5932" s="7"/>
    </row>
    <row r="5933" spans="1:8" x14ac:dyDescent="0.35">
      <c r="A5933" s="7" t="s">
        <v>366</v>
      </c>
      <c r="B5933" s="7" t="s">
        <v>26</v>
      </c>
      <c r="C5933" s="7" t="s">
        <v>27</v>
      </c>
      <c r="D5933" s="7" t="s">
        <v>28</v>
      </c>
      <c r="E5933" s="7" t="s">
        <v>29</v>
      </c>
      <c r="F5933" s="7" t="s">
        <v>121</v>
      </c>
      <c r="G5933" s="7">
        <v>97.943669999999997</v>
      </c>
      <c r="H5933" s="7"/>
    </row>
    <row r="5934" spans="1:8" x14ac:dyDescent="0.35">
      <c r="A5934" s="7" t="s">
        <v>366</v>
      </c>
      <c r="B5934" s="7" t="s">
        <v>26</v>
      </c>
      <c r="C5934" s="7" t="s">
        <v>27</v>
      </c>
      <c r="D5934" s="7" t="s">
        <v>28</v>
      </c>
      <c r="E5934" s="7" t="s">
        <v>29</v>
      </c>
      <c r="F5934" s="7" t="s">
        <v>122</v>
      </c>
      <c r="G5934" s="7">
        <v>98.520709999999994</v>
      </c>
      <c r="H5934" s="7"/>
    </row>
    <row r="5935" spans="1:8" x14ac:dyDescent="0.35">
      <c r="A5935" s="7" t="s">
        <v>366</v>
      </c>
      <c r="B5935" s="7" t="s">
        <v>26</v>
      </c>
      <c r="C5935" s="7" t="s">
        <v>27</v>
      </c>
      <c r="D5935" s="7" t="s">
        <v>28</v>
      </c>
      <c r="E5935" s="7" t="s">
        <v>29</v>
      </c>
      <c r="F5935" s="7" t="s">
        <v>123</v>
      </c>
      <c r="G5935" s="7">
        <v>98.758030000000005</v>
      </c>
      <c r="H5935" s="7"/>
    </row>
    <row r="5936" spans="1:8" x14ac:dyDescent="0.35">
      <c r="A5936" s="7" t="s">
        <v>366</v>
      </c>
      <c r="B5936" s="7" t="s">
        <v>26</v>
      </c>
      <c r="C5936" s="7" t="s">
        <v>27</v>
      </c>
      <c r="D5936" s="7" t="s">
        <v>28</v>
      </c>
      <c r="E5936" s="7" t="s">
        <v>29</v>
      </c>
      <c r="F5936" s="7" t="s">
        <v>124</v>
      </c>
      <c r="G5936" s="7">
        <v>98.752470000000002</v>
      </c>
      <c r="H5936" s="7"/>
    </row>
    <row r="5937" spans="1:8" x14ac:dyDescent="0.35">
      <c r="A5937" s="7" t="s">
        <v>366</v>
      </c>
      <c r="B5937" s="7" t="s">
        <v>26</v>
      </c>
      <c r="C5937" s="7" t="s">
        <v>27</v>
      </c>
      <c r="D5937" s="7" t="s">
        <v>28</v>
      </c>
      <c r="E5937" s="7" t="s">
        <v>29</v>
      </c>
      <c r="F5937" s="7" t="s">
        <v>125</v>
      </c>
      <c r="G5937" s="7">
        <v>98.616330000000005</v>
      </c>
      <c r="H5937" s="7"/>
    </row>
    <row r="5938" spans="1:8" x14ac:dyDescent="0.35">
      <c r="A5938" s="7" t="s">
        <v>366</v>
      </c>
      <c r="B5938" s="7" t="s">
        <v>26</v>
      </c>
      <c r="C5938" s="7" t="s">
        <v>27</v>
      </c>
      <c r="D5938" s="7" t="s">
        <v>28</v>
      </c>
      <c r="E5938" s="7" t="s">
        <v>29</v>
      </c>
      <c r="F5938" s="7" t="s">
        <v>126</v>
      </c>
      <c r="G5938" s="7">
        <v>98.554509999999993</v>
      </c>
      <c r="H5938" s="7"/>
    </row>
    <row r="5939" spans="1:8" x14ac:dyDescent="0.35">
      <c r="A5939" s="7" t="s">
        <v>366</v>
      </c>
      <c r="B5939" s="7" t="s">
        <v>26</v>
      </c>
      <c r="C5939" s="7" t="s">
        <v>27</v>
      </c>
      <c r="D5939" s="7" t="s">
        <v>28</v>
      </c>
      <c r="E5939" s="7" t="s">
        <v>29</v>
      </c>
      <c r="F5939" s="7" t="s">
        <v>127</v>
      </c>
      <c r="G5939" s="7">
        <v>98.687529999999995</v>
      </c>
      <c r="H5939" s="7"/>
    </row>
    <row r="5940" spans="1:8" x14ac:dyDescent="0.35">
      <c r="A5940" s="7" t="s">
        <v>366</v>
      </c>
      <c r="B5940" s="7" t="s">
        <v>26</v>
      </c>
      <c r="C5940" s="7" t="s">
        <v>27</v>
      </c>
      <c r="D5940" s="7" t="s">
        <v>28</v>
      </c>
      <c r="E5940" s="7" t="s">
        <v>29</v>
      </c>
      <c r="F5940" s="7" t="s">
        <v>128</v>
      </c>
      <c r="G5940" s="7">
        <v>98.970039999999997</v>
      </c>
      <c r="H5940" s="7"/>
    </row>
    <row r="5941" spans="1:8" x14ac:dyDescent="0.35">
      <c r="A5941" s="7" t="s">
        <v>366</v>
      </c>
      <c r="B5941" s="7" t="s">
        <v>26</v>
      </c>
      <c r="C5941" s="7" t="s">
        <v>27</v>
      </c>
      <c r="D5941" s="7" t="s">
        <v>28</v>
      </c>
      <c r="E5941" s="7" t="s">
        <v>29</v>
      </c>
      <c r="F5941" s="7" t="s">
        <v>129</v>
      </c>
      <c r="G5941" s="7">
        <v>99.120490000000004</v>
      </c>
      <c r="H5941" s="7"/>
    </row>
    <row r="5942" spans="1:8" x14ac:dyDescent="0.35">
      <c r="A5942" s="7" t="s">
        <v>366</v>
      </c>
      <c r="B5942" s="7" t="s">
        <v>26</v>
      </c>
      <c r="C5942" s="7" t="s">
        <v>27</v>
      </c>
      <c r="D5942" s="7" t="s">
        <v>28</v>
      </c>
      <c r="E5942" s="7" t="s">
        <v>29</v>
      </c>
      <c r="F5942" s="7" t="s">
        <v>130</v>
      </c>
      <c r="G5942" s="7">
        <v>98.902469999999994</v>
      </c>
      <c r="H5942" s="7"/>
    </row>
    <row r="5943" spans="1:8" x14ac:dyDescent="0.35">
      <c r="A5943" s="7" t="s">
        <v>366</v>
      </c>
      <c r="B5943" s="7" t="s">
        <v>26</v>
      </c>
      <c r="C5943" s="7" t="s">
        <v>27</v>
      </c>
      <c r="D5943" s="7" t="s">
        <v>28</v>
      </c>
      <c r="E5943" s="7" t="s">
        <v>29</v>
      </c>
      <c r="F5943" s="7" t="s">
        <v>131</v>
      </c>
      <c r="G5943" s="7">
        <v>98.546940000000006</v>
      </c>
      <c r="H5943" s="7"/>
    </row>
    <row r="5944" spans="1:8" x14ac:dyDescent="0.35">
      <c r="A5944" s="7" t="s">
        <v>366</v>
      </c>
      <c r="B5944" s="7" t="s">
        <v>26</v>
      </c>
      <c r="C5944" s="7" t="s">
        <v>27</v>
      </c>
      <c r="D5944" s="7" t="s">
        <v>28</v>
      </c>
      <c r="E5944" s="7" t="s">
        <v>29</v>
      </c>
      <c r="F5944" s="7" t="s">
        <v>132</v>
      </c>
      <c r="G5944" s="7">
        <v>98.325999999999993</v>
      </c>
      <c r="H5944" s="7"/>
    </row>
    <row r="5945" spans="1:8" x14ac:dyDescent="0.35">
      <c r="A5945" s="7" t="s">
        <v>366</v>
      </c>
      <c r="B5945" s="7" t="s">
        <v>26</v>
      </c>
      <c r="C5945" s="7" t="s">
        <v>27</v>
      </c>
      <c r="D5945" s="7" t="s">
        <v>28</v>
      </c>
      <c r="E5945" s="7" t="s">
        <v>29</v>
      </c>
      <c r="F5945" s="7" t="s">
        <v>133</v>
      </c>
      <c r="G5945" s="7">
        <v>98.35342</v>
      </c>
      <c r="H5945" s="7"/>
    </row>
    <row r="5946" spans="1:8" x14ac:dyDescent="0.35">
      <c r="A5946" s="7" t="s">
        <v>366</v>
      </c>
      <c r="B5946" s="7" t="s">
        <v>26</v>
      </c>
      <c r="C5946" s="7" t="s">
        <v>27</v>
      </c>
      <c r="D5946" s="7" t="s">
        <v>28</v>
      </c>
      <c r="E5946" s="7" t="s">
        <v>29</v>
      </c>
      <c r="F5946" s="7" t="s">
        <v>134</v>
      </c>
      <c r="G5946" s="7">
        <v>98.403000000000006</v>
      </c>
      <c r="H5946" s="7"/>
    </row>
    <row r="5947" spans="1:8" x14ac:dyDescent="0.35">
      <c r="A5947" s="7" t="s">
        <v>366</v>
      </c>
      <c r="B5947" s="7" t="s">
        <v>26</v>
      </c>
      <c r="C5947" s="7" t="s">
        <v>27</v>
      </c>
      <c r="D5947" s="7" t="s">
        <v>28</v>
      </c>
      <c r="E5947" s="7" t="s">
        <v>29</v>
      </c>
      <c r="F5947" s="7" t="s">
        <v>135</v>
      </c>
      <c r="G5947" s="7">
        <v>98.337500000000006</v>
      </c>
      <c r="H5947" s="7"/>
    </row>
    <row r="5948" spans="1:8" x14ac:dyDescent="0.35">
      <c r="A5948" s="7" t="s">
        <v>366</v>
      </c>
      <c r="B5948" s="7" t="s">
        <v>26</v>
      </c>
      <c r="C5948" s="7" t="s">
        <v>27</v>
      </c>
      <c r="D5948" s="7" t="s">
        <v>28</v>
      </c>
      <c r="E5948" s="7" t="s">
        <v>29</v>
      </c>
      <c r="F5948" s="7" t="s">
        <v>136</v>
      </c>
      <c r="G5948" s="7">
        <v>98.399140000000003</v>
      </c>
      <c r="H5948" s="7"/>
    </row>
    <row r="5949" spans="1:8" x14ac:dyDescent="0.35">
      <c r="A5949" s="7" t="s">
        <v>366</v>
      </c>
      <c r="B5949" s="7" t="s">
        <v>26</v>
      </c>
      <c r="C5949" s="7" t="s">
        <v>27</v>
      </c>
      <c r="D5949" s="7" t="s">
        <v>28</v>
      </c>
      <c r="E5949" s="7" t="s">
        <v>29</v>
      </c>
      <c r="F5949" s="7" t="s">
        <v>137</v>
      </c>
      <c r="G5949" s="7">
        <v>98.639700000000005</v>
      </c>
      <c r="H5949" s="7"/>
    </row>
    <row r="5950" spans="1:8" x14ac:dyDescent="0.35">
      <c r="A5950" s="7" t="s">
        <v>366</v>
      </c>
      <c r="B5950" s="7" t="s">
        <v>26</v>
      </c>
      <c r="C5950" s="7" t="s">
        <v>27</v>
      </c>
      <c r="D5950" s="7" t="s">
        <v>28</v>
      </c>
      <c r="E5950" s="7" t="s">
        <v>29</v>
      </c>
      <c r="F5950" s="7" t="s">
        <v>138</v>
      </c>
      <c r="G5950" s="7">
        <v>98.93047</v>
      </c>
      <c r="H5950" s="7"/>
    </row>
    <row r="5951" spans="1:8" x14ac:dyDescent="0.35">
      <c r="A5951" s="7" t="s">
        <v>366</v>
      </c>
      <c r="B5951" s="7" t="s">
        <v>26</v>
      </c>
      <c r="C5951" s="7" t="s">
        <v>27</v>
      </c>
      <c r="D5951" s="7" t="s">
        <v>28</v>
      </c>
      <c r="E5951" s="7" t="s">
        <v>29</v>
      </c>
      <c r="F5951" s="7" t="s">
        <v>139</v>
      </c>
      <c r="G5951" s="7">
        <v>99.303420000000003</v>
      </c>
      <c r="H5951" s="7"/>
    </row>
    <row r="5952" spans="1:8" x14ac:dyDescent="0.35">
      <c r="A5952" s="7" t="s">
        <v>366</v>
      </c>
      <c r="B5952" s="7" t="s">
        <v>26</v>
      </c>
      <c r="C5952" s="7" t="s">
        <v>27</v>
      </c>
      <c r="D5952" s="7" t="s">
        <v>28</v>
      </c>
      <c r="E5952" s="7" t="s">
        <v>29</v>
      </c>
      <c r="F5952" s="7" t="s">
        <v>140</v>
      </c>
      <c r="G5952" s="7">
        <v>99.740920000000003</v>
      </c>
      <c r="H5952" s="7"/>
    </row>
    <row r="5953" spans="1:8" x14ac:dyDescent="0.35">
      <c r="A5953" s="7" t="s">
        <v>366</v>
      </c>
      <c r="B5953" s="7" t="s">
        <v>26</v>
      </c>
      <c r="C5953" s="7" t="s">
        <v>27</v>
      </c>
      <c r="D5953" s="7" t="s">
        <v>28</v>
      </c>
      <c r="E5953" s="7" t="s">
        <v>29</v>
      </c>
      <c r="F5953" s="7" t="s">
        <v>141</v>
      </c>
      <c r="G5953" s="7">
        <v>99.928120000000007</v>
      </c>
      <c r="H5953" s="7"/>
    </row>
    <row r="5954" spans="1:8" x14ac:dyDescent="0.35">
      <c r="A5954" s="7" t="s">
        <v>366</v>
      </c>
      <c r="B5954" s="7" t="s">
        <v>26</v>
      </c>
      <c r="C5954" s="7" t="s">
        <v>27</v>
      </c>
      <c r="D5954" s="7" t="s">
        <v>28</v>
      </c>
      <c r="E5954" s="7" t="s">
        <v>29</v>
      </c>
      <c r="F5954" s="7" t="s">
        <v>142</v>
      </c>
      <c r="G5954" s="7">
        <v>99.755129999999994</v>
      </c>
      <c r="H5954" s="7"/>
    </row>
    <row r="5955" spans="1:8" x14ac:dyDescent="0.35">
      <c r="A5955" s="7" t="s">
        <v>366</v>
      </c>
      <c r="B5955" s="7" t="s">
        <v>26</v>
      </c>
      <c r="C5955" s="7" t="s">
        <v>27</v>
      </c>
      <c r="D5955" s="7" t="s">
        <v>28</v>
      </c>
      <c r="E5955" s="7" t="s">
        <v>29</v>
      </c>
      <c r="F5955" s="7" t="s">
        <v>143</v>
      </c>
      <c r="G5955" s="7">
        <v>99.326700000000002</v>
      </c>
      <c r="H5955" s="7"/>
    </row>
    <row r="5956" spans="1:8" x14ac:dyDescent="0.35">
      <c r="A5956" s="7" t="s">
        <v>366</v>
      </c>
      <c r="B5956" s="7" t="s">
        <v>26</v>
      </c>
      <c r="C5956" s="7" t="s">
        <v>27</v>
      </c>
      <c r="D5956" s="7" t="s">
        <v>28</v>
      </c>
      <c r="E5956" s="7" t="s">
        <v>29</v>
      </c>
      <c r="F5956" s="7" t="s">
        <v>144</v>
      </c>
      <c r="G5956" s="7">
        <v>98.687740000000005</v>
      </c>
      <c r="H5956" s="7"/>
    </row>
    <row r="5957" spans="1:8" x14ac:dyDescent="0.35">
      <c r="A5957" s="7" t="s">
        <v>366</v>
      </c>
      <c r="B5957" s="7" t="s">
        <v>26</v>
      </c>
      <c r="C5957" s="7" t="s">
        <v>27</v>
      </c>
      <c r="D5957" s="7" t="s">
        <v>28</v>
      </c>
      <c r="E5957" s="7" t="s">
        <v>29</v>
      </c>
      <c r="F5957" s="7" t="s">
        <v>145</v>
      </c>
      <c r="G5957" s="7">
        <v>97.956419999999994</v>
      </c>
      <c r="H5957" s="7"/>
    </row>
    <row r="5958" spans="1:8" x14ac:dyDescent="0.35">
      <c r="A5958" s="7" t="s">
        <v>366</v>
      </c>
      <c r="B5958" s="7" t="s">
        <v>26</v>
      </c>
      <c r="C5958" s="7" t="s">
        <v>27</v>
      </c>
      <c r="D5958" s="7" t="s">
        <v>28</v>
      </c>
      <c r="E5958" s="7" t="s">
        <v>29</v>
      </c>
      <c r="F5958" s="7" t="s">
        <v>146</v>
      </c>
      <c r="G5958" s="7">
        <v>97.712580000000003</v>
      </c>
      <c r="H5958" s="7"/>
    </row>
    <row r="5959" spans="1:8" x14ac:dyDescent="0.35">
      <c r="A5959" s="7" t="s">
        <v>366</v>
      </c>
      <c r="B5959" s="7" t="s">
        <v>26</v>
      </c>
      <c r="C5959" s="7" t="s">
        <v>27</v>
      </c>
      <c r="D5959" s="7" t="s">
        <v>28</v>
      </c>
      <c r="E5959" s="7" t="s">
        <v>29</v>
      </c>
      <c r="F5959" s="7" t="s">
        <v>147</v>
      </c>
      <c r="G5959" s="7">
        <v>97.670649999999995</v>
      </c>
      <c r="H5959" s="7"/>
    </row>
    <row r="5960" spans="1:8" x14ac:dyDescent="0.35">
      <c r="A5960" s="7" t="s">
        <v>366</v>
      </c>
      <c r="B5960" s="7" t="s">
        <v>26</v>
      </c>
      <c r="C5960" s="7" t="s">
        <v>27</v>
      </c>
      <c r="D5960" s="7" t="s">
        <v>28</v>
      </c>
      <c r="E5960" s="7" t="s">
        <v>29</v>
      </c>
      <c r="F5960" s="7" t="s">
        <v>148</v>
      </c>
      <c r="G5960" s="7">
        <v>97.621600000000001</v>
      </c>
      <c r="H5960" s="7"/>
    </row>
    <row r="5961" spans="1:8" x14ac:dyDescent="0.35">
      <c r="A5961" s="7" t="s">
        <v>366</v>
      </c>
      <c r="B5961" s="7" t="s">
        <v>26</v>
      </c>
      <c r="C5961" s="7" t="s">
        <v>27</v>
      </c>
      <c r="D5961" s="7" t="s">
        <v>28</v>
      </c>
      <c r="E5961" s="7" t="s">
        <v>29</v>
      </c>
      <c r="F5961" s="7" t="s">
        <v>149</v>
      </c>
      <c r="G5961" s="7">
        <v>97.403199999999998</v>
      </c>
      <c r="H5961" s="7"/>
    </row>
    <row r="5962" spans="1:8" x14ac:dyDescent="0.35">
      <c r="A5962" s="7" t="s">
        <v>366</v>
      </c>
      <c r="B5962" s="7" t="s">
        <v>26</v>
      </c>
      <c r="C5962" s="7" t="s">
        <v>27</v>
      </c>
      <c r="D5962" s="7" t="s">
        <v>28</v>
      </c>
      <c r="E5962" s="7" t="s">
        <v>29</v>
      </c>
      <c r="F5962" s="7" t="s">
        <v>150</v>
      </c>
      <c r="G5962" s="7">
        <v>97.333950000000002</v>
      </c>
      <c r="H5962" s="7"/>
    </row>
    <row r="5963" spans="1:8" x14ac:dyDescent="0.35">
      <c r="A5963" s="7" t="s">
        <v>366</v>
      </c>
      <c r="B5963" s="7" t="s">
        <v>26</v>
      </c>
      <c r="C5963" s="7" t="s">
        <v>27</v>
      </c>
      <c r="D5963" s="7" t="s">
        <v>28</v>
      </c>
      <c r="E5963" s="7" t="s">
        <v>29</v>
      </c>
      <c r="F5963" s="7" t="s">
        <v>151</v>
      </c>
      <c r="G5963" s="7">
        <v>97.536519999999996</v>
      </c>
      <c r="H5963" s="7"/>
    </row>
    <row r="5964" spans="1:8" x14ac:dyDescent="0.35">
      <c r="A5964" s="7" t="s">
        <v>366</v>
      </c>
      <c r="B5964" s="7" t="s">
        <v>26</v>
      </c>
      <c r="C5964" s="7" t="s">
        <v>27</v>
      </c>
      <c r="D5964" s="7" t="s">
        <v>28</v>
      </c>
      <c r="E5964" s="7" t="s">
        <v>29</v>
      </c>
      <c r="F5964" s="7" t="s">
        <v>152</v>
      </c>
      <c r="G5964" s="7">
        <v>97.792259999999999</v>
      </c>
      <c r="H5964" s="7"/>
    </row>
    <row r="5965" spans="1:8" x14ac:dyDescent="0.35">
      <c r="A5965" s="7" t="s">
        <v>366</v>
      </c>
      <c r="B5965" s="7" t="s">
        <v>26</v>
      </c>
      <c r="C5965" s="7" t="s">
        <v>27</v>
      </c>
      <c r="D5965" s="7" t="s">
        <v>28</v>
      </c>
      <c r="E5965" s="7" t="s">
        <v>29</v>
      </c>
      <c r="F5965" s="7" t="s">
        <v>153</v>
      </c>
      <c r="G5965" s="7">
        <v>98.054490000000001</v>
      </c>
      <c r="H5965" s="7"/>
    </row>
    <row r="5966" spans="1:8" x14ac:dyDescent="0.35">
      <c r="A5966" s="7" t="s">
        <v>366</v>
      </c>
      <c r="B5966" s="7" t="s">
        <v>26</v>
      </c>
      <c r="C5966" s="7" t="s">
        <v>27</v>
      </c>
      <c r="D5966" s="7" t="s">
        <v>28</v>
      </c>
      <c r="E5966" s="7" t="s">
        <v>29</v>
      </c>
      <c r="F5966" s="7" t="s">
        <v>154</v>
      </c>
      <c r="G5966" s="7">
        <v>98.255489999999995</v>
      </c>
      <c r="H5966" s="7"/>
    </row>
    <row r="5967" spans="1:8" x14ac:dyDescent="0.35">
      <c r="A5967" s="7" t="s">
        <v>366</v>
      </c>
      <c r="B5967" s="7" t="s">
        <v>26</v>
      </c>
      <c r="C5967" s="7" t="s">
        <v>27</v>
      </c>
      <c r="D5967" s="7" t="s">
        <v>28</v>
      </c>
      <c r="E5967" s="7" t="s">
        <v>29</v>
      </c>
      <c r="F5967" s="7" t="s">
        <v>155</v>
      </c>
      <c r="G5967" s="7">
        <v>98.375339999999994</v>
      </c>
      <c r="H5967" s="7"/>
    </row>
    <row r="5968" spans="1:8" x14ac:dyDescent="0.35">
      <c r="A5968" s="7" t="s">
        <v>366</v>
      </c>
      <c r="B5968" s="7" t="s">
        <v>26</v>
      </c>
      <c r="C5968" s="7" t="s">
        <v>27</v>
      </c>
      <c r="D5968" s="7" t="s">
        <v>28</v>
      </c>
      <c r="E5968" s="7" t="s">
        <v>29</v>
      </c>
      <c r="F5968" s="7" t="s">
        <v>156</v>
      </c>
      <c r="G5968" s="7">
        <v>98.294659999999993</v>
      </c>
      <c r="H5968" s="7"/>
    </row>
    <row r="5969" spans="1:8" x14ac:dyDescent="0.35">
      <c r="A5969" s="7" t="s">
        <v>366</v>
      </c>
      <c r="B5969" s="7" t="s">
        <v>26</v>
      </c>
      <c r="C5969" s="7" t="s">
        <v>27</v>
      </c>
      <c r="D5969" s="7" t="s">
        <v>28</v>
      </c>
      <c r="E5969" s="7" t="s">
        <v>29</v>
      </c>
      <c r="F5969" s="7" t="s">
        <v>157</v>
      </c>
      <c r="G5969" s="7">
        <v>98.095339999999993</v>
      </c>
      <c r="H5969" s="7"/>
    </row>
    <row r="5970" spans="1:8" x14ac:dyDescent="0.35">
      <c r="A5970" s="7" t="s">
        <v>366</v>
      </c>
      <c r="B5970" s="7" t="s">
        <v>26</v>
      </c>
      <c r="C5970" s="7" t="s">
        <v>27</v>
      </c>
      <c r="D5970" s="7" t="s">
        <v>28</v>
      </c>
      <c r="E5970" s="7" t="s">
        <v>29</v>
      </c>
      <c r="F5970" s="7" t="s">
        <v>158</v>
      </c>
      <c r="G5970" s="7">
        <v>98.150220000000004</v>
      </c>
      <c r="H5970" s="7"/>
    </row>
    <row r="5971" spans="1:8" x14ac:dyDescent="0.35">
      <c r="A5971" s="7" t="s">
        <v>366</v>
      </c>
      <c r="B5971" s="7" t="s">
        <v>26</v>
      </c>
      <c r="C5971" s="7" t="s">
        <v>27</v>
      </c>
      <c r="D5971" s="7" t="s">
        <v>28</v>
      </c>
      <c r="E5971" s="7" t="s">
        <v>29</v>
      </c>
      <c r="F5971" s="7" t="s">
        <v>159</v>
      </c>
      <c r="G5971" s="7">
        <v>98.275229999999993</v>
      </c>
      <c r="H5971" s="7"/>
    </row>
    <row r="5972" spans="1:8" x14ac:dyDescent="0.35">
      <c r="A5972" s="7" t="s">
        <v>366</v>
      </c>
      <c r="B5972" s="7" t="s">
        <v>26</v>
      </c>
      <c r="C5972" s="7" t="s">
        <v>27</v>
      </c>
      <c r="D5972" s="7" t="s">
        <v>28</v>
      </c>
      <c r="E5972" s="7" t="s">
        <v>29</v>
      </c>
      <c r="F5972" s="7" t="s">
        <v>160</v>
      </c>
      <c r="G5972" s="7">
        <v>98.515889999999999</v>
      </c>
      <c r="H5972" s="7"/>
    </row>
    <row r="5973" spans="1:8" x14ac:dyDescent="0.35">
      <c r="A5973" s="7" t="s">
        <v>366</v>
      </c>
      <c r="B5973" s="7" t="s">
        <v>26</v>
      </c>
      <c r="C5973" s="7" t="s">
        <v>27</v>
      </c>
      <c r="D5973" s="7" t="s">
        <v>28</v>
      </c>
      <c r="E5973" s="7" t="s">
        <v>29</v>
      </c>
      <c r="F5973" s="7" t="s">
        <v>161</v>
      </c>
      <c r="G5973" s="7">
        <v>98.66422</v>
      </c>
      <c r="H5973" s="7"/>
    </row>
    <row r="5974" spans="1:8" x14ac:dyDescent="0.35">
      <c r="A5974" s="7" t="s">
        <v>366</v>
      </c>
      <c r="B5974" s="7" t="s">
        <v>26</v>
      </c>
      <c r="C5974" s="7" t="s">
        <v>27</v>
      </c>
      <c r="D5974" s="7" t="s">
        <v>28</v>
      </c>
      <c r="E5974" s="7" t="s">
        <v>29</v>
      </c>
      <c r="F5974" s="7" t="s">
        <v>162</v>
      </c>
      <c r="G5974" s="7">
        <v>98.859380000000002</v>
      </c>
      <c r="H5974" s="7"/>
    </row>
    <row r="5975" spans="1:8" x14ac:dyDescent="0.35">
      <c r="A5975" s="7" t="s">
        <v>366</v>
      </c>
      <c r="B5975" s="7" t="s">
        <v>26</v>
      </c>
      <c r="C5975" s="7" t="s">
        <v>27</v>
      </c>
      <c r="D5975" s="7" t="s">
        <v>28</v>
      </c>
      <c r="E5975" s="7" t="s">
        <v>29</v>
      </c>
      <c r="F5975" s="7" t="s">
        <v>163</v>
      </c>
      <c r="G5975" s="7">
        <v>99.054469999999995</v>
      </c>
      <c r="H5975" s="7"/>
    </row>
    <row r="5976" spans="1:8" x14ac:dyDescent="0.35">
      <c r="A5976" s="7" t="s">
        <v>366</v>
      </c>
      <c r="B5976" s="7" t="s">
        <v>26</v>
      </c>
      <c r="C5976" s="7" t="s">
        <v>27</v>
      </c>
      <c r="D5976" s="7" t="s">
        <v>28</v>
      </c>
      <c r="E5976" s="7" t="s">
        <v>29</v>
      </c>
      <c r="F5976" s="7" t="s">
        <v>164</v>
      </c>
      <c r="G5976" s="7">
        <v>99.161450000000002</v>
      </c>
      <c r="H5976" s="7"/>
    </row>
    <row r="5977" spans="1:8" x14ac:dyDescent="0.35">
      <c r="A5977" s="7" t="s">
        <v>366</v>
      </c>
      <c r="B5977" s="7" t="s">
        <v>26</v>
      </c>
      <c r="C5977" s="7" t="s">
        <v>27</v>
      </c>
      <c r="D5977" s="7" t="s">
        <v>28</v>
      </c>
      <c r="E5977" s="7" t="s">
        <v>29</v>
      </c>
      <c r="F5977" s="7" t="s">
        <v>165</v>
      </c>
      <c r="G5977" s="7">
        <v>99.231989999999996</v>
      </c>
      <c r="H5977" s="7"/>
    </row>
    <row r="5978" spans="1:8" x14ac:dyDescent="0.35">
      <c r="A5978" s="7" t="s">
        <v>366</v>
      </c>
      <c r="B5978" s="7" t="s">
        <v>26</v>
      </c>
      <c r="C5978" s="7" t="s">
        <v>27</v>
      </c>
      <c r="D5978" s="7" t="s">
        <v>28</v>
      </c>
      <c r="E5978" s="7" t="s">
        <v>29</v>
      </c>
      <c r="F5978" s="7" t="s">
        <v>166</v>
      </c>
      <c r="G5978" s="7">
        <v>99.359380000000002</v>
      </c>
      <c r="H5978" s="7"/>
    </row>
    <row r="5979" spans="1:8" x14ac:dyDescent="0.35">
      <c r="A5979" s="7" t="s">
        <v>366</v>
      </c>
      <c r="B5979" s="7" t="s">
        <v>26</v>
      </c>
      <c r="C5979" s="7" t="s">
        <v>27</v>
      </c>
      <c r="D5979" s="7" t="s">
        <v>28</v>
      </c>
      <c r="E5979" s="7" t="s">
        <v>29</v>
      </c>
      <c r="F5979" s="7" t="s">
        <v>167</v>
      </c>
      <c r="G5979" s="7">
        <v>99.652690000000007</v>
      </c>
      <c r="H5979" s="7"/>
    </row>
    <row r="5980" spans="1:8" x14ac:dyDescent="0.35">
      <c r="A5980" s="7" t="s">
        <v>366</v>
      </c>
      <c r="B5980" s="7" t="s">
        <v>26</v>
      </c>
      <c r="C5980" s="7" t="s">
        <v>27</v>
      </c>
      <c r="D5980" s="7" t="s">
        <v>28</v>
      </c>
      <c r="E5980" s="7" t="s">
        <v>29</v>
      </c>
      <c r="F5980" s="7" t="s">
        <v>168</v>
      </c>
      <c r="G5980" s="7">
        <v>99.966329999999999</v>
      </c>
      <c r="H5980" s="7"/>
    </row>
    <row r="5981" spans="1:8" x14ac:dyDescent="0.35">
      <c r="A5981" s="7" t="s">
        <v>366</v>
      </c>
      <c r="B5981" s="7" t="s">
        <v>26</v>
      </c>
      <c r="C5981" s="7" t="s">
        <v>27</v>
      </c>
      <c r="D5981" s="7" t="s">
        <v>28</v>
      </c>
      <c r="E5981" s="7" t="s">
        <v>29</v>
      </c>
      <c r="F5981" s="7" t="s">
        <v>169</v>
      </c>
      <c r="G5981" s="7">
        <v>100.12569999999999</v>
      </c>
      <c r="H5981" s="7"/>
    </row>
    <row r="5982" spans="1:8" x14ac:dyDescent="0.35">
      <c r="A5982" s="7" t="s">
        <v>366</v>
      </c>
      <c r="B5982" s="7" t="s">
        <v>26</v>
      </c>
      <c r="C5982" s="7" t="s">
        <v>27</v>
      </c>
      <c r="D5982" s="7" t="s">
        <v>28</v>
      </c>
      <c r="E5982" s="7" t="s">
        <v>29</v>
      </c>
      <c r="F5982" s="7" t="s">
        <v>170</v>
      </c>
      <c r="G5982" s="7">
        <v>99.998220000000003</v>
      </c>
      <c r="H5982" s="7"/>
    </row>
    <row r="5983" spans="1:8" x14ac:dyDescent="0.35">
      <c r="A5983" s="7" t="s">
        <v>366</v>
      </c>
      <c r="B5983" s="7" t="s">
        <v>26</v>
      </c>
      <c r="C5983" s="7" t="s">
        <v>27</v>
      </c>
      <c r="D5983" s="7" t="s">
        <v>28</v>
      </c>
      <c r="E5983" s="7" t="s">
        <v>29</v>
      </c>
      <c r="F5983" s="7" t="s">
        <v>171</v>
      </c>
      <c r="G5983" s="7">
        <v>99.764030000000005</v>
      </c>
      <c r="H5983" s="7"/>
    </row>
    <row r="5984" spans="1:8" x14ac:dyDescent="0.35">
      <c r="A5984" s="7" t="s">
        <v>366</v>
      </c>
      <c r="B5984" s="7" t="s">
        <v>26</v>
      </c>
      <c r="C5984" s="7" t="s">
        <v>27</v>
      </c>
      <c r="D5984" s="7" t="s">
        <v>28</v>
      </c>
      <c r="E5984" s="7" t="s">
        <v>29</v>
      </c>
      <c r="F5984" s="7" t="s">
        <v>172</v>
      </c>
      <c r="G5984" s="7">
        <v>99.568629999999999</v>
      </c>
      <c r="H5984" s="7"/>
    </row>
    <row r="5985" spans="1:8" x14ac:dyDescent="0.35">
      <c r="A5985" s="7" t="s">
        <v>366</v>
      </c>
      <c r="B5985" s="7" t="s">
        <v>26</v>
      </c>
      <c r="C5985" s="7" t="s">
        <v>27</v>
      </c>
      <c r="D5985" s="7" t="s">
        <v>28</v>
      </c>
      <c r="E5985" s="7" t="s">
        <v>29</v>
      </c>
      <c r="F5985" s="7" t="s">
        <v>173</v>
      </c>
      <c r="G5985" s="7">
        <v>99.56935</v>
      </c>
      <c r="H5985" s="7"/>
    </row>
    <row r="5986" spans="1:8" x14ac:dyDescent="0.35">
      <c r="A5986" s="7" t="s">
        <v>366</v>
      </c>
      <c r="B5986" s="7" t="s">
        <v>26</v>
      </c>
      <c r="C5986" s="7" t="s">
        <v>27</v>
      </c>
      <c r="D5986" s="7" t="s">
        <v>28</v>
      </c>
      <c r="E5986" s="7" t="s">
        <v>29</v>
      </c>
      <c r="F5986" s="7" t="s">
        <v>174</v>
      </c>
      <c r="G5986" s="7">
        <v>99.862300000000005</v>
      </c>
      <c r="H5986" s="7"/>
    </row>
    <row r="5987" spans="1:8" x14ac:dyDescent="0.35">
      <c r="A5987" s="7" t="s">
        <v>366</v>
      </c>
      <c r="B5987" s="7" t="s">
        <v>26</v>
      </c>
      <c r="C5987" s="7" t="s">
        <v>27</v>
      </c>
      <c r="D5987" s="7" t="s">
        <v>28</v>
      </c>
      <c r="E5987" s="7" t="s">
        <v>29</v>
      </c>
      <c r="F5987" s="7" t="s">
        <v>175</v>
      </c>
      <c r="G5987" s="7">
        <v>100.32940000000001</v>
      </c>
      <c r="H5987" s="7"/>
    </row>
    <row r="5988" spans="1:8" x14ac:dyDescent="0.35">
      <c r="A5988" s="7" t="s">
        <v>366</v>
      </c>
      <c r="B5988" s="7" t="s">
        <v>26</v>
      </c>
      <c r="C5988" s="7" t="s">
        <v>27</v>
      </c>
      <c r="D5988" s="7" t="s">
        <v>28</v>
      </c>
      <c r="E5988" s="7" t="s">
        <v>29</v>
      </c>
      <c r="F5988" s="7" t="s">
        <v>176</v>
      </c>
      <c r="G5988" s="7">
        <v>100.70359999999999</v>
      </c>
      <c r="H5988" s="7"/>
    </row>
    <row r="5989" spans="1:8" x14ac:dyDescent="0.35">
      <c r="A5989" s="7" t="s">
        <v>366</v>
      </c>
      <c r="B5989" s="7" t="s">
        <v>26</v>
      </c>
      <c r="C5989" s="7" t="s">
        <v>27</v>
      </c>
      <c r="D5989" s="7" t="s">
        <v>28</v>
      </c>
      <c r="E5989" s="7" t="s">
        <v>29</v>
      </c>
      <c r="F5989" s="7" t="s">
        <v>177</v>
      </c>
      <c r="G5989" s="7">
        <v>100.69199999999999</v>
      </c>
      <c r="H5989" s="7"/>
    </row>
    <row r="5990" spans="1:8" x14ac:dyDescent="0.35">
      <c r="A5990" s="7" t="s">
        <v>366</v>
      </c>
      <c r="B5990" s="7" t="s">
        <v>26</v>
      </c>
      <c r="C5990" s="7" t="s">
        <v>27</v>
      </c>
      <c r="D5990" s="7" t="s">
        <v>28</v>
      </c>
      <c r="E5990" s="7" t="s">
        <v>29</v>
      </c>
      <c r="F5990" s="7" t="s">
        <v>178</v>
      </c>
      <c r="G5990" s="7">
        <v>100.39879999999999</v>
      </c>
      <c r="H5990" s="7"/>
    </row>
    <row r="5991" spans="1:8" x14ac:dyDescent="0.35">
      <c r="A5991" s="7" t="s">
        <v>366</v>
      </c>
      <c r="B5991" s="7" t="s">
        <v>26</v>
      </c>
      <c r="C5991" s="7" t="s">
        <v>27</v>
      </c>
      <c r="D5991" s="7" t="s">
        <v>28</v>
      </c>
      <c r="E5991" s="7" t="s">
        <v>29</v>
      </c>
      <c r="F5991" s="7" t="s">
        <v>179</v>
      </c>
      <c r="G5991" s="7">
        <v>100.26479999999999</v>
      </c>
      <c r="H5991" s="7"/>
    </row>
    <row r="5992" spans="1:8" x14ac:dyDescent="0.35">
      <c r="A5992" s="7" t="s">
        <v>366</v>
      </c>
      <c r="B5992" s="7" t="s">
        <v>26</v>
      </c>
      <c r="C5992" s="7" t="s">
        <v>27</v>
      </c>
      <c r="D5992" s="7" t="s">
        <v>28</v>
      </c>
      <c r="E5992" s="7" t="s">
        <v>29</v>
      </c>
      <c r="F5992" s="7" t="s">
        <v>180</v>
      </c>
      <c r="G5992" s="7">
        <v>100.4569</v>
      </c>
      <c r="H5992" s="7"/>
    </row>
    <row r="5993" spans="1:8" x14ac:dyDescent="0.35">
      <c r="A5993" s="7" t="s">
        <v>366</v>
      </c>
      <c r="B5993" s="7" t="s">
        <v>26</v>
      </c>
      <c r="C5993" s="7" t="s">
        <v>27</v>
      </c>
      <c r="D5993" s="7" t="s">
        <v>28</v>
      </c>
      <c r="E5993" s="7" t="s">
        <v>29</v>
      </c>
      <c r="F5993" s="7" t="s">
        <v>181</v>
      </c>
      <c r="G5993" s="7">
        <v>100.5275</v>
      </c>
      <c r="H5993" s="7"/>
    </row>
    <row r="5994" spans="1:8" x14ac:dyDescent="0.35">
      <c r="A5994" s="7" t="s">
        <v>366</v>
      </c>
      <c r="B5994" s="7" t="s">
        <v>26</v>
      </c>
      <c r="C5994" s="7" t="s">
        <v>27</v>
      </c>
      <c r="D5994" s="7" t="s">
        <v>28</v>
      </c>
      <c r="E5994" s="7" t="s">
        <v>29</v>
      </c>
      <c r="F5994" s="7" t="s">
        <v>182</v>
      </c>
      <c r="G5994" s="7">
        <v>100.6728</v>
      </c>
      <c r="H5994" s="7"/>
    </row>
    <row r="5995" spans="1:8" x14ac:dyDescent="0.35">
      <c r="A5995" s="7" t="s">
        <v>366</v>
      </c>
      <c r="B5995" s="7" t="s">
        <v>26</v>
      </c>
      <c r="C5995" s="7" t="s">
        <v>27</v>
      </c>
      <c r="D5995" s="7" t="s">
        <v>28</v>
      </c>
      <c r="E5995" s="7" t="s">
        <v>29</v>
      </c>
      <c r="F5995" s="7" t="s">
        <v>183</v>
      </c>
      <c r="G5995" s="7">
        <v>101.0262</v>
      </c>
      <c r="H5995" s="7"/>
    </row>
    <row r="5996" spans="1:8" x14ac:dyDescent="0.35">
      <c r="A5996" s="7" t="s">
        <v>366</v>
      </c>
      <c r="B5996" s="7" t="s">
        <v>26</v>
      </c>
      <c r="C5996" s="7" t="s">
        <v>27</v>
      </c>
      <c r="D5996" s="7" t="s">
        <v>28</v>
      </c>
      <c r="E5996" s="7" t="s">
        <v>29</v>
      </c>
      <c r="F5996" s="7" t="s">
        <v>184</v>
      </c>
      <c r="G5996" s="7">
        <v>101.6386</v>
      </c>
      <c r="H5996" s="7"/>
    </row>
    <row r="5997" spans="1:8" x14ac:dyDescent="0.35">
      <c r="A5997" s="7" t="s">
        <v>366</v>
      </c>
      <c r="B5997" s="7" t="s">
        <v>26</v>
      </c>
      <c r="C5997" s="7" t="s">
        <v>27</v>
      </c>
      <c r="D5997" s="7" t="s">
        <v>28</v>
      </c>
      <c r="E5997" s="7" t="s">
        <v>29</v>
      </c>
      <c r="F5997" s="7" t="s">
        <v>185</v>
      </c>
      <c r="G5997" s="7">
        <v>102.3219</v>
      </c>
      <c r="H5997" s="7"/>
    </row>
    <row r="5998" spans="1:8" x14ac:dyDescent="0.35">
      <c r="A5998" s="7" t="s">
        <v>366</v>
      </c>
      <c r="B5998" s="7" t="s">
        <v>26</v>
      </c>
      <c r="C5998" s="7" t="s">
        <v>27</v>
      </c>
      <c r="D5998" s="7" t="s">
        <v>28</v>
      </c>
      <c r="E5998" s="7" t="s">
        <v>29</v>
      </c>
      <c r="F5998" s="7" t="s">
        <v>186</v>
      </c>
      <c r="G5998" s="7">
        <v>102.7256</v>
      </c>
      <c r="H5998" s="7"/>
    </row>
    <row r="5999" spans="1:8" x14ac:dyDescent="0.35">
      <c r="A5999" s="7" t="s">
        <v>366</v>
      </c>
      <c r="B5999" s="7" t="s">
        <v>26</v>
      </c>
      <c r="C5999" s="7" t="s">
        <v>27</v>
      </c>
      <c r="D5999" s="7" t="s">
        <v>28</v>
      </c>
      <c r="E5999" s="7" t="s">
        <v>29</v>
      </c>
      <c r="F5999" s="7" t="s">
        <v>187</v>
      </c>
      <c r="G5999" s="7">
        <v>102.8618</v>
      </c>
      <c r="H5999" s="7"/>
    </row>
    <row r="6000" spans="1:8" x14ac:dyDescent="0.35">
      <c r="A6000" s="7" t="s">
        <v>366</v>
      </c>
      <c r="B6000" s="7" t="s">
        <v>26</v>
      </c>
      <c r="C6000" s="7" t="s">
        <v>27</v>
      </c>
      <c r="D6000" s="7" t="s">
        <v>28</v>
      </c>
      <c r="E6000" s="7" t="s">
        <v>29</v>
      </c>
      <c r="F6000" s="7" t="s">
        <v>188</v>
      </c>
      <c r="G6000" s="7">
        <v>102.9785</v>
      </c>
      <c r="H6000" s="7"/>
    </row>
    <row r="6001" spans="1:8" x14ac:dyDescent="0.35">
      <c r="A6001" s="7" t="s">
        <v>366</v>
      </c>
      <c r="B6001" s="7" t="s">
        <v>26</v>
      </c>
      <c r="C6001" s="7" t="s">
        <v>27</v>
      </c>
      <c r="D6001" s="7" t="s">
        <v>28</v>
      </c>
      <c r="E6001" s="7" t="s">
        <v>29</v>
      </c>
      <c r="F6001" s="7" t="s">
        <v>189</v>
      </c>
      <c r="G6001" s="7">
        <v>103.0123</v>
      </c>
      <c r="H6001" s="7"/>
    </row>
    <row r="6002" spans="1:8" x14ac:dyDescent="0.35">
      <c r="A6002" s="7" t="s">
        <v>366</v>
      </c>
      <c r="B6002" s="7" t="s">
        <v>26</v>
      </c>
      <c r="C6002" s="7" t="s">
        <v>27</v>
      </c>
      <c r="D6002" s="7" t="s">
        <v>28</v>
      </c>
      <c r="E6002" s="7" t="s">
        <v>29</v>
      </c>
      <c r="F6002" s="7" t="s">
        <v>190</v>
      </c>
      <c r="G6002" s="7">
        <v>102.883</v>
      </c>
      <c r="H6002" s="7"/>
    </row>
    <row r="6003" spans="1:8" x14ac:dyDescent="0.35">
      <c r="A6003" s="7" t="s">
        <v>366</v>
      </c>
      <c r="B6003" s="7" t="s">
        <v>26</v>
      </c>
      <c r="C6003" s="7" t="s">
        <v>27</v>
      </c>
      <c r="D6003" s="7" t="s">
        <v>28</v>
      </c>
      <c r="E6003" s="7" t="s">
        <v>29</v>
      </c>
      <c r="F6003" s="7" t="s">
        <v>191</v>
      </c>
      <c r="G6003" s="7">
        <v>102.59399999999999</v>
      </c>
      <c r="H6003" s="7"/>
    </row>
    <row r="6004" spans="1:8" x14ac:dyDescent="0.35">
      <c r="A6004" s="7" t="s">
        <v>366</v>
      </c>
      <c r="B6004" s="7" t="s">
        <v>26</v>
      </c>
      <c r="C6004" s="7" t="s">
        <v>27</v>
      </c>
      <c r="D6004" s="7" t="s">
        <v>28</v>
      </c>
      <c r="E6004" s="7" t="s">
        <v>29</v>
      </c>
      <c r="F6004" s="7" t="s">
        <v>192</v>
      </c>
      <c r="G6004" s="7">
        <v>102.2187</v>
      </c>
      <c r="H6004" s="7"/>
    </row>
    <row r="6005" spans="1:8" x14ac:dyDescent="0.35">
      <c r="A6005" s="7" t="s">
        <v>366</v>
      </c>
      <c r="B6005" s="7" t="s">
        <v>26</v>
      </c>
      <c r="C6005" s="7" t="s">
        <v>27</v>
      </c>
      <c r="D6005" s="7" t="s">
        <v>28</v>
      </c>
      <c r="E6005" s="7" t="s">
        <v>29</v>
      </c>
      <c r="F6005" s="7" t="s">
        <v>193</v>
      </c>
      <c r="G6005" s="7">
        <v>101.91160000000001</v>
      </c>
      <c r="H6005" s="7"/>
    </row>
    <row r="6006" spans="1:8" x14ac:dyDescent="0.35">
      <c r="A6006" s="7" t="s">
        <v>366</v>
      </c>
      <c r="B6006" s="7" t="s">
        <v>26</v>
      </c>
      <c r="C6006" s="7" t="s">
        <v>27</v>
      </c>
      <c r="D6006" s="7" t="s">
        <v>28</v>
      </c>
      <c r="E6006" s="7" t="s">
        <v>29</v>
      </c>
      <c r="F6006" s="7" t="s">
        <v>194</v>
      </c>
      <c r="G6006" s="7">
        <v>101.5504</v>
      </c>
      <c r="H6006" s="7"/>
    </row>
    <row r="6007" spans="1:8" x14ac:dyDescent="0.35">
      <c r="A6007" s="7" t="s">
        <v>366</v>
      </c>
      <c r="B6007" s="7" t="s">
        <v>26</v>
      </c>
      <c r="C6007" s="7" t="s">
        <v>27</v>
      </c>
      <c r="D6007" s="7" t="s">
        <v>28</v>
      </c>
      <c r="E6007" s="7" t="s">
        <v>29</v>
      </c>
      <c r="F6007" s="7" t="s">
        <v>195</v>
      </c>
      <c r="G6007" s="7">
        <v>100.962</v>
      </c>
      <c r="H6007" s="7"/>
    </row>
    <row r="6008" spans="1:8" x14ac:dyDescent="0.35">
      <c r="A6008" s="7" t="s">
        <v>366</v>
      </c>
      <c r="B6008" s="7" t="s">
        <v>26</v>
      </c>
      <c r="C6008" s="7" t="s">
        <v>27</v>
      </c>
      <c r="D6008" s="7" t="s">
        <v>28</v>
      </c>
      <c r="E6008" s="7" t="s">
        <v>29</v>
      </c>
      <c r="F6008" s="7" t="s">
        <v>196</v>
      </c>
      <c r="G6008" s="7">
        <v>100.3288</v>
      </c>
      <c r="H6008" s="7"/>
    </row>
    <row r="6009" spans="1:8" x14ac:dyDescent="0.35">
      <c r="A6009" s="7" t="s">
        <v>366</v>
      </c>
      <c r="B6009" s="7" t="s">
        <v>26</v>
      </c>
      <c r="C6009" s="7" t="s">
        <v>27</v>
      </c>
      <c r="D6009" s="7" t="s">
        <v>28</v>
      </c>
      <c r="E6009" s="7" t="s">
        <v>29</v>
      </c>
      <c r="F6009" s="7" t="s">
        <v>197</v>
      </c>
      <c r="G6009" s="7">
        <v>100.03440000000001</v>
      </c>
      <c r="H6009" s="7"/>
    </row>
    <row r="6010" spans="1:8" x14ac:dyDescent="0.35">
      <c r="A6010" s="7" t="s">
        <v>366</v>
      </c>
      <c r="B6010" s="7" t="s">
        <v>26</v>
      </c>
      <c r="C6010" s="7" t="s">
        <v>27</v>
      </c>
      <c r="D6010" s="7" t="s">
        <v>28</v>
      </c>
      <c r="E6010" s="7" t="s">
        <v>29</v>
      </c>
      <c r="F6010" s="7" t="s">
        <v>198</v>
      </c>
      <c r="G6010" s="7">
        <v>99.992789999999999</v>
      </c>
      <c r="H6010" s="7"/>
    </row>
    <row r="6011" spans="1:8" x14ac:dyDescent="0.35">
      <c r="A6011" s="7" t="s">
        <v>366</v>
      </c>
      <c r="B6011" s="7" t="s">
        <v>26</v>
      </c>
      <c r="C6011" s="7" t="s">
        <v>27</v>
      </c>
      <c r="D6011" s="7" t="s">
        <v>28</v>
      </c>
      <c r="E6011" s="7" t="s">
        <v>29</v>
      </c>
      <c r="F6011" s="7" t="s">
        <v>199</v>
      </c>
      <c r="G6011" s="7">
        <v>100.15779999999999</v>
      </c>
      <c r="H6011" s="7"/>
    </row>
    <row r="6012" spans="1:8" x14ac:dyDescent="0.35">
      <c r="A6012" s="7" t="s">
        <v>366</v>
      </c>
      <c r="B6012" s="7" t="s">
        <v>26</v>
      </c>
      <c r="C6012" s="7" t="s">
        <v>27</v>
      </c>
      <c r="D6012" s="7" t="s">
        <v>28</v>
      </c>
      <c r="E6012" s="7" t="s">
        <v>29</v>
      </c>
      <c r="F6012" s="7" t="s">
        <v>200</v>
      </c>
      <c r="G6012" s="7">
        <v>100.39490000000001</v>
      </c>
      <c r="H6012" s="7"/>
    </row>
    <row r="6013" spans="1:8" x14ac:dyDescent="0.35">
      <c r="A6013" s="7" t="s">
        <v>366</v>
      </c>
      <c r="B6013" s="7" t="s">
        <v>26</v>
      </c>
      <c r="C6013" s="7" t="s">
        <v>27</v>
      </c>
      <c r="D6013" s="7" t="s">
        <v>28</v>
      </c>
      <c r="E6013" s="7" t="s">
        <v>29</v>
      </c>
      <c r="F6013" s="7" t="s">
        <v>201</v>
      </c>
      <c r="G6013" s="7">
        <v>100.49720000000001</v>
      </c>
      <c r="H6013" s="7"/>
    </row>
    <row r="6014" spans="1:8" x14ac:dyDescent="0.35">
      <c r="A6014" s="7" t="s">
        <v>366</v>
      </c>
      <c r="B6014" s="7" t="s">
        <v>26</v>
      </c>
      <c r="C6014" s="7" t="s">
        <v>27</v>
      </c>
      <c r="D6014" s="7" t="s">
        <v>28</v>
      </c>
      <c r="E6014" s="7" t="s">
        <v>29</v>
      </c>
      <c r="F6014" s="7" t="s">
        <v>202</v>
      </c>
      <c r="G6014" s="7">
        <v>100.4669</v>
      </c>
      <c r="H6014" s="7"/>
    </row>
    <row r="6015" spans="1:8" x14ac:dyDescent="0.35">
      <c r="A6015" s="7" t="s">
        <v>366</v>
      </c>
      <c r="B6015" s="7" t="s">
        <v>26</v>
      </c>
      <c r="C6015" s="7" t="s">
        <v>27</v>
      </c>
      <c r="D6015" s="7" t="s">
        <v>28</v>
      </c>
      <c r="E6015" s="7" t="s">
        <v>29</v>
      </c>
      <c r="F6015" s="7" t="s">
        <v>203</v>
      </c>
      <c r="G6015" s="7">
        <v>100.34569999999999</v>
      </c>
      <c r="H6015" s="7"/>
    </row>
    <row r="6016" spans="1:8" x14ac:dyDescent="0.35">
      <c r="A6016" s="7" t="s">
        <v>366</v>
      </c>
      <c r="B6016" s="7" t="s">
        <v>26</v>
      </c>
      <c r="C6016" s="7" t="s">
        <v>27</v>
      </c>
      <c r="D6016" s="7" t="s">
        <v>28</v>
      </c>
      <c r="E6016" s="7" t="s">
        <v>29</v>
      </c>
      <c r="F6016" s="7" t="s">
        <v>204</v>
      </c>
      <c r="G6016" s="7">
        <v>100.21129999999999</v>
      </c>
      <c r="H6016" s="7"/>
    </row>
    <row r="6017" spans="1:8" x14ac:dyDescent="0.35">
      <c r="A6017" s="7" t="s">
        <v>366</v>
      </c>
      <c r="B6017" s="7" t="s">
        <v>26</v>
      </c>
      <c r="C6017" s="7" t="s">
        <v>27</v>
      </c>
      <c r="D6017" s="7" t="s">
        <v>28</v>
      </c>
      <c r="E6017" s="7" t="s">
        <v>29</v>
      </c>
      <c r="F6017" s="7" t="s">
        <v>205</v>
      </c>
      <c r="G6017" s="7">
        <v>100.15170000000001</v>
      </c>
      <c r="H6017" s="7"/>
    </row>
    <row r="6018" spans="1:8" x14ac:dyDescent="0.35">
      <c r="A6018" s="7" t="s">
        <v>366</v>
      </c>
      <c r="B6018" s="7" t="s">
        <v>26</v>
      </c>
      <c r="C6018" s="7" t="s">
        <v>27</v>
      </c>
      <c r="D6018" s="7" t="s">
        <v>28</v>
      </c>
      <c r="E6018" s="7" t="s">
        <v>29</v>
      </c>
      <c r="F6018" s="7" t="s">
        <v>206</v>
      </c>
      <c r="G6018" s="7">
        <v>100.1738</v>
      </c>
      <c r="H6018" s="7"/>
    </row>
    <row r="6019" spans="1:8" x14ac:dyDescent="0.35">
      <c r="A6019" s="7" t="s">
        <v>366</v>
      </c>
      <c r="B6019" s="7" t="s">
        <v>26</v>
      </c>
      <c r="C6019" s="7" t="s">
        <v>27</v>
      </c>
      <c r="D6019" s="7" t="s">
        <v>28</v>
      </c>
      <c r="E6019" s="7" t="s">
        <v>29</v>
      </c>
      <c r="F6019" s="7" t="s">
        <v>207</v>
      </c>
      <c r="G6019" s="7">
        <v>100.26300000000001</v>
      </c>
      <c r="H6019" s="7"/>
    </row>
    <row r="6020" spans="1:8" x14ac:dyDescent="0.35">
      <c r="A6020" s="7" t="s">
        <v>366</v>
      </c>
      <c r="B6020" s="7" t="s">
        <v>26</v>
      </c>
      <c r="C6020" s="7" t="s">
        <v>27</v>
      </c>
      <c r="D6020" s="7" t="s">
        <v>28</v>
      </c>
      <c r="E6020" s="7" t="s">
        <v>29</v>
      </c>
      <c r="F6020" s="7" t="s">
        <v>208</v>
      </c>
      <c r="G6020" s="7">
        <v>100.3954</v>
      </c>
      <c r="H6020" s="7"/>
    </row>
    <row r="6021" spans="1:8" x14ac:dyDescent="0.35">
      <c r="A6021" s="7" t="s">
        <v>366</v>
      </c>
      <c r="B6021" s="7" t="s">
        <v>26</v>
      </c>
      <c r="C6021" s="7" t="s">
        <v>27</v>
      </c>
      <c r="D6021" s="7" t="s">
        <v>28</v>
      </c>
      <c r="E6021" s="7" t="s">
        <v>29</v>
      </c>
      <c r="F6021" s="7" t="s">
        <v>209</v>
      </c>
      <c r="G6021" s="7">
        <v>100.6174</v>
      </c>
      <c r="H6021" s="7"/>
    </row>
    <row r="6022" spans="1:8" x14ac:dyDescent="0.35">
      <c r="A6022" s="7" t="s">
        <v>366</v>
      </c>
      <c r="B6022" s="7" t="s">
        <v>26</v>
      </c>
      <c r="C6022" s="7" t="s">
        <v>27</v>
      </c>
      <c r="D6022" s="7" t="s">
        <v>28</v>
      </c>
      <c r="E6022" s="7" t="s">
        <v>29</v>
      </c>
      <c r="F6022" s="7" t="s">
        <v>210</v>
      </c>
      <c r="G6022" s="7">
        <v>100.8573</v>
      </c>
      <c r="H6022" s="7"/>
    </row>
    <row r="6023" spans="1:8" x14ac:dyDescent="0.35">
      <c r="A6023" s="7" t="s">
        <v>366</v>
      </c>
      <c r="B6023" s="7" t="s">
        <v>26</v>
      </c>
      <c r="C6023" s="7" t="s">
        <v>27</v>
      </c>
      <c r="D6023" s="7" t="s">
        <v>28</v>
      </c>
      <c r="E6023" s="7" t="s">
        <v>29</v>
      </c>
      <c r="F6023" s="7" t="s">
        <v>211</v>
      </c>
      <c r="G6023" s="7">
        <v>101.0412</v>
      </c>
      <c r="H6023" s="7"/>
    </row>
    <row r="6024" spans="1:8" x14ac:dyDescent="0.35">
      <c r="A6024" s="7" t="s">
        <v>366</v>
      </c>
      <c r="B6024" s="7" t="s">
        <v>26</v>
      </c>
      <c r="C6024" s="7" t="s">
        <v>27</v>
      </c>
      <c r="D6024" s="7" t="s">
        <v>28</v>
      </c>
      <c r="E6024" s="7" t="s">
        <v>29</v>
      </c>
      <c r="F6024" s="7" t="s">
        <v>212</v>
      </c>
      <c r="G6024" s="7">
        <v>101.10209999999999</v>
      </c>
      <c r="H6024" s="7"/>
    </row>
    <row r="6025" spans="1:8" x14ac:dyDescent="0.35">
      <c r="A6025" s="7" t="s">
        <v>366</v>
      </c>
      <c r="B6025" s="7" t="s">
        <v>26</v>
      </c>
      <c r="C6025" s="7" t="s">
        <v>27</v>
      </c>
      <c r="D6025" s="7" t="s">
        <v>28</v>
      </c>
      <c r="E6025" s="7" t="s">
        <v>29</v>
      </c>
      <c r="F6025" s="7" t="s">
        <v>213</v>
      </c>
      <c r="G6025" s="7">
        <v>101.0665</v>
      </c>
      <c r="H6025" s="7"/>
    </row>
    <row r="6026" spans="1:8" x14ac:dyDescent="0.35">
      <c r="A6026" s="7" t="s">
        <v>366</v>
      </c>
      <c r="B6026" s="7" t="s">
        <v>26</v>
      </c>
      <c r="C6026" s="7" t="s">
        <v>27</v>
      </c>
      <c r="D6026" s="7" t="s">
        <v>28</v>
      </c>
      <c r="E6026" s="7" t="s">
        <v>29</v>
      </c>
      <c r="F6026" s="7" t="s">
        <v>214</v>
      </c>
      <c r="G6026" s="7">
        <v>100.982</v>
      </c>
      <c r="H6026" s="7"/>
    </row>
    <row r="6027" spans="1:8" x14ac:dyDescent="0.35">
      <c r="A6027" s="7" t="s">
        <v>366</v>
      </c>
      <c r="B6027" s="7" t="s">
        <v>26</v>
      </c>
      <c r="C6027" s="7" t="s">
        <v>27</v>
      </c>
      <c r="D6027" s="7" t="s">
        <v>28</v>
      </c>
      <c r="E6027" s="7" t="s">
        <v>29</v>
      </c>
      <c r="F6027" s="7" t="s">
        <v>215</v>
      </c>
      <c r="G6027" s="7">
        <v>100.96429999999999</v>
      </c>
      <c r="H6027" s="7"/>
    </row>
    <row r="6028" spans="1:8" x14ac:dyDescent="0.35">
      <c r="A6028" s="7" t="s">
        <v>366</v>
      </c>
      <c r="B6028" s="7" t="s">
        <v>26</v>
      </c>
      <c r="C6028" s="7" t="s">
        <v>27</v>
      </c>
      <c r="D6028" s="7" t="s">
        <v>28</v>
      </c>
      <c r="E6028" s="7" t="s">
        <v>29</v>
      </c>
      <c r="F6028" s="7" t="s">
        <v>216</v>
      </c>
      <c r="G6028" s="7">
        <v>101.0338</v>
      </c>
      <c r="H6028" s="7"/>
    </row>
    <row r="6029" spans="1:8" x14ac:dyDescent="0.35">
      <c r="A6029" s="7" t="s">
        <v>366</v>
      </c>
      <c r="B6029" s="7" t="s">
        <v>26</v>
      </c>
      <c r="C6029" s="7" t="s">
        <v>27</v>
      </c>
      <c r="D6029" s="7" t="s">
        <v>28</v>
      </c>
      <c r="E6029" s="7" t="s">
        <v>29</v>
      </c>
      <c r="F6029" s="7" t="s">
        <v>217</v>
      </c>
      <c r="G6029" s="7">
        <v>101.099</v>
      </c>
      <c r="H6029" s="7"/>
    </row>
    <row r="6030" spans="1:8" x14ac:dyDescent="0.35">
      <c r="A6030" s="7" t="s">
        <v>366</v>
      </c>
      <c r="B6030" s="7" t="s">
        <v>26</v>
      </c>
      <c r="C6030" s="7" t="s">
        <v>27</v>
      </c>
      <c r="D6030" s="7" t="s">
        <v>28</v>
      </c>
      <c r="E6030" s="7" t="s">
        <v>29</v>
      </c>
      <c r="F6030" s="7" t="s">
        <v>218</v>
      </c>
      <c r="G6030" s="7">
        <v>101.113</v>
      </c>
      <c r="H6030" s="7"/>
    </row>
    <row r="6031" spans="1:8" x14ac:dyDescent="0.35">
      <c r="A6031" s="7" t="s">
        <v>366</v>
      </c>
      <c r="B6031" s="7" t="s">
        <v>26</v>
      </c>
      <c r="C6031" s="7" t="s">
        <v>27</v>
      </c>
      <c r="D6031" s="7" t="s">
        <v>28</v>
      </c>
      <c r="E6031" s="7" t="s">
        <v>29</v>
      </c>
      <c r="F6031" s="7" t="s">
        <v>219</v>
      </c>
      <c r="G6031" s="7">
        <v>101.1545</v>
      </c>
      <c r="H6031" s="7"/>
    </row>
    <row r="6032" spans="1:8" x14ac:dyDescent="0.35">
      <c r="A6032" s="7" t="s">
        <v>366</v>
      </c>
      <c r="B6032" s="7" t="s">
        <v>26</v>
      </c>
      <c r="C6032" s="7" t="s">
        <v>27</v>
      </c>
      <c r="D6032" s="7" t="s">
        <v>28</v>
      </c>
      <c r="E6032" s="7" t="s">
        <v>29</v>
      </c>
      <c r="F6032" s="7" t="s">
        <v>220</v>
      </c>
      <c r="G6032" s="7">
        <v>101.25660000000001</v>
      </c>
      <c r="H6032" s="7"/>
    </row>
    <row r="6033" spans="1:8" x14ac:dyDescent="0.35">
      <c r="A6033" s="7" t="s">
        <v>366</v>
      </c>
      <c r="B6033" s="7" t="s">
        <v>26</v>
      </c>
      <c r="C6033" s="7" t="s">
        <v>27</v>
      </c>
      <c r="D6033" s="7" t="s">
        <v>28</v>
      </c>
      <c r="E6033" s="7" t="s">
        <v>29</v>
      </c>
      <c r="F6033" s="7" t="s">
        <v>221</v>
      </c>
      <c r="G6033" s="7">
        <v>101.4436</v>
      </c>
      <c r="H6033" s="7"/>
    </row>
    <row r="6034" spans="1:8" x14ac:dyDescent="0.35">
      <c r="A6034" s="7" t="s">
        <v>366</v>
      </c>
      <c r="B6034" s="7" t="s">
        <v>26</v>
      </c>
      <c r="C6034" s="7" t="s">
        <v>27</v>
      </c>
      <c r="D6034" s="7" t="s">
        <v>28</v>
      </c>
      <c r="E6034" s="7" t="s">
        <v>29</v>
      </c>
      <c r="F6034" s="7" t="s">
        <v>222</v>
      </c>
      <c r="G6034" s="7">
        <v>101.67449999999999</v>
      </c>
      <c r="H6034" s="7"/>
    </row>
    <row r="6035" spans="1:8" x14ac:dyDescent="0.35">
      <c r="A6035" s="7" t="s">
        <v>366</v>
      </c>
      <c r="B6035" s="7" t="s">
        <v>26</v>
      </c>
      <c r="C6035" s="7" t="s">
        <v>27</v>
      </c>
      <c r="D6035" s="7" t="s">
        <v>28</v>
      </c>
      <c r="E6035" s="7" t="s">
        <v>29</v>
      </c>
      <c r="F6035" s="7" t="s">
        <v>223</v>
      </c>
      <c r="G6035" s="7">
        <v>101.8704</v>
      </c>
      <c r="H6035" s="7"/>
    </row>
    <row r="6036" spans="1:8" x14ac:dyDescent="0.35">
      <c r="A6036" s="7" t="s">
        <v>366</v>
      </c>
      <c r="B6036" s="7" t="s">
        <v>26</v>
      </c>
      <c r="C6036" s="7" t="s">
        <v>27</v>
      </c>
      <c r="D6036" s="7" t="s">
        <v>28</v>
      </c>
      <c r="E6036" s="7" t="s">
        <v>29</v>
      </c>
      <c r="F6036" s="7" t="s">
        <v>224</v>
      </c>
      <c r="G6036" s="7">
        <v>101.8974</v>
      </c>
      <c r="H6036" s="7"/>
    </row>
    <row r="6037" spans="1:8" x14ac:dyDescent="0.35">
      <c r="A6037" s="7" t="s">
        <v>366</v>
      </c>
      <c r="B6037" s="7" t="s">
        <v>26</v>
      </c>
      <c r="C6037" s="7" t="s">
        <v>27</v>
      </c>
      <c r="D6037" s="7" t="s">
        <v>28</v>
      </c>
      <c r="E6037" s="7" t="s">
        <v>29</v>
      </c>
      <c r="F6037" s="7" t="s">
        <v>225</v>
      </c>
      <c r="G6037" s="7">
        <v>101.92449999999999</v>
      </c>
      <c r="H6037" s="7"/>
    </row>
    <row r="6038" spans="1:8" x14ac:dyDescent="0.35">
      <c r="A6038" s="7" t="s">
        <v>366</v>
      </c>
      <c r="B6038" s="7" t="s">
        <v>26</v>
      </c>
      <c r="C6038" s="7" t="s">
        <v>27</v>
      </c>
      <c r="D6038" s="7" t="s">
        <v>28</v>
      </c>
      <c r="E6038" s="7" t="s">
        <v>29</v>
      </c>
      <c r="F6038" s="7" t="s">
        <v>226</v>
      </c>
      <c r="G6038" s="7">
        <v>101.91079999999999</v>
      </c>
      <c r="H6038" s="7"/>
    </row>
    <row r="6039" spans="1:8" x14ac:dyDescent="0.35">
      <c r="A6039" s="7" t="s">
        <v>366</v>
      </c>
      <c r="B6039" s="7" t="s">
        <v>26</v>
      </c>
      <c r="C6039" s="7" t="s">
        <v>27</v>
      </c>
      <c r="D6039" s="7" t="s">
        <v>28</v>
      </c>
      <c r="E6039" s="7" t="s">
        <v>29</v>
      </c>
      <c r="F6039" s="7" t="s">
        <v>227</v>
      </c>
      <c r="G6039" s="7">
        <v>101.7252</v>
      </c>
      <c r="H6039" s="7"/>
    </row>
    <row r="6040" spans="1:8" x14ac:dyDescent="0.35">
      <c r="A6040" s="7" t="s">
        <v>366</v>
      </c>
      <c r="B6040" s="7" t="s">
        <v>26</v>
      </c>
      <c r="C6040" s="7" t="s">
        <v>27</v>
      </c>
      <c r="D6040" s="7" t="s">
        <v>28</v>
      </c>
      <c r="E6040" s="7" t="s">
        <v>29</v>
      </c>
      <c r="F6040" s="7" t="s">
        <v>228</v>
      </c>
      <c r="G6040" s="7">
        <v>101.476</v>
      </c>
      <c r="H6040" s="7"/>
    </row>
    <row r="6041" spans="1:8" x14ac:dyDescent="0.35">
      <c r="A6041" s="7" t="s">
        <v>366</v>
      </c>
      <c r="B6041" s="7" t="s">
        <v>26</v>
      </c>
      <c r="C6041" s="7" t="s">
        <v>27</v>
      </c>
      <c r="D6041" s="7" t="s">
        <v>28</v>
      </c>
      <c r="E6041" s="7" t="s">
        <v>29</v>
      </c>
      <c r="F6041" s="7" t="s">
        <v>229</v>
      </c>
      <c r="G6041" s="7">
        <v>101.1438</v>
      </c>
      <c r="H6041" s="7"/>
    </row>
    <row r="6042" spans="1:8" x14ac:dyDescent="0.35">
      <c r="A6042" s="7" t="s">
        <v>366</v>
      </c>
      <c r="B6042" s="7" t="s">
        <v>26</v>
      </c>
      <c r="C6042" s="7" t="s">
        <v>27</v>
      </c>
      <c r="D6042" s="7" t="s">
        <v>28</v>
      </c>
      <c r="E6042" s="7" t="s">
        <v>29</v>
      </c>
      <c r="F6042" s="7" t="s">
        <v>230</v>
      </c>
      <c r="G6042" s="7">
        <v>100.9208</v>
      </c>
      <c r="H6042" s="7"/>
    </row>
    <row r="6043" spans="1:8" x14ac:dyDescent="0.35">
      <c r="A6043" s="7" t="s">
        <v>366</v>
      </c>
      <c r="B6043" s="7" t="s">
        <v>26</v>
      </c>
      <c r="C6043" s="7" t="s">
        <v>27</v>
      </c>
      <c r="D6043" s="7" t="s">
        <v>28</v>
      </c>
      <c r="E6043" s="7" t="s">
        <v>29</v>
      </c>
      <c r="F6043" s="7" t="s">
        <v>231</v>
      </c>
      <c r="G6043" s="7">
        <v>100.8548</v>
      </c>
      <c r="H6043" s="7"/>
    </row>
    <row r="6044" spans="1:8" x14ac:dyDescent="0.35">
      <c r="A6044" s="7" t="s">
        <v>366</v>
      </c>
      <c r="B6044" s="7" t="s">
        <v>26</v>
      </c>
      <c r="C6044" s="7" t="s">
        <v>27</v>
      </c>
      <c r="D6044" s="7" t="s">
        <v>28</v>
      </c>
      <c r="E6044" s="7" t="s">
        <v>29</v>
      </c>
      <c r="F6044" s="7" t="s">
        <v>232</v>
      </c>
      <c r="G6044" s="7">
        <v>100.68810000000001</v>
      </c>
      <c r="H6044" s="7"/>
    </row>
    <row r="6045" spans="1:8" x14ac:dyDescent="0.35">
      <c r="A6045" s="7" t="s">
        <v>366</v>
      </c>
      <c r="B6045" s="7" t="s">
        <v>26</v>
      </c>
      <c r="C6045" s="7" t="s">
        <v>27</v>
      </c>
      <c r="D6045" s="7" t="s">
        <v>28</v>
      </c>
      <c r="E6045" s="7" t="s">
        <v>29</v>
      </c>
      <c r="F6045" s="7" t="s">
        <v>233</v>
      </c>
      <c r="G6045" s="7">
        <v>100.2513</v>
      </c>
      <c r="H6045" s="7"/>
    </row>
    <row r="6046" spans="1:8" x14ac:dyDescent="0.35">
      <c r="A6046" s="7" t="s">
        <v>366</v>
      </c>
      <c r="B6046" s="7" t="s">
        <v>26</v>
      </c>
      <c r="C6046" s="7" t="s">
        <v>27</v>
      </c>
      <c r="D6046" s="7" t="s">
        <v>28</v>
      </c>
      <c r="E6046" s="7" t="s">
        <v>29</v>
      </c>
      <c r="F6046" s="7" t="s">
        <v>234</v>
      </c>
      <c r="G6046" s="7">
        <v>99.866500000000002</v>
      </c>
      <c r="H6046" s="7"/>
    </row>
    <row r="6047" spans="1:8" x14ac:dyDescent="0.35">
      <c r="A6047" s="7" t="s">
        <v>366</v>
      </c>
      <c r="B6047" s="7" t="s">
        <v>26</v>
      </c>
      <c r="C6047" s="7" t="s">
        <v>27</v>
      </c>
      <c r="D6047" s="7" t="s">
        <v>28</v>
      </c>
      <c r="E6047" s="7" t="s">
        <v>29</v>
      </c>
      <c r="F6047" s="7" t="s">
        <v>235</v>
      </c>
      <c r="G6047" s="7">
        <v>99.689989999999995</v>
      </c>
      <c r="H6047" s="7"/>
    </row>
    <row r="6048" spans="1:8" x14ac:dyDescent="0.35">
      <c r="A6048" s="7" t="s">
        <v>366</v>
      </c>
      <c r="B6048" s="7" t="s">
        <v>26</v>
      </c>
      <c r="C6048" s="7" t="s">
        <v>27</v>
      </c>
      <c r="D6048" s="7" t="s">
        <v>28</v>
      </c>
      <c r="E6048" s="7" t="s">
        <v>29</v>
      </c>
      <c r="F6048" s="7" t="s">
        <v>236</v>
      </c>
      <c r="G6048" s="7">
        <v>99.667779999999993</v>
      </c>
      <c r="H6048" s="7"/>
    </row>
    <row r="6049" spans="1:8" x14ac:dyDescent="0.35">
      <c r="A6049" s="7" t="s">
        <v>366</v>
      </c>
      <c r="B6049" s="7" t="s">
        <v>26</v>
      </c>
      <c r="C6049" s="7" t="s">
        <v>27</v>
      </c>
      <c r="D6049" s="7" t="s">
        <v>28</v>
      </c>
      <c r="E6049" s="7" t="s">
        <v>29</v>
      </c>
      <c r="F6049" s="7" t="s">
        <v>237</v>
      </c>
      <c r="G6049" s="7">
        <v>99.689710000000005</v>
      </c>
      <c r="H6049" s="7"/>
    </row>
    <row r="6050" spans="1:8" x14ac:dyDescent="0.35">
      <c r="A6050" s="7" t="s">
        <v>366</v>
      </c>
      <c r="B6050" s="7" t="s">
        <v>26</v>
      </c>
      <c r="C6050" s="7" t="s">
        <v>27</v>
      </c>
      <c r="D6050" s="7" t="s">
        <v>28</v>
      </c>
      <c r="E6050" s="7" t="s">
        <v>29</v>
      </c>
      <c r="F6050" s="7" t="s">
        <v>238</v>
      </c>
      <c r="G6050" s="7">
        <v>99.803520000000006</v>
      </c>
      <c r="H6050" s="7"/>
    </row>
    <row r="6051" spans="1:8" x14ac:dyDescent="0.35">
      <c r="A6051" s="7" t="s">
        <v>366</v>
      </c>
      <c r="B6051" s="7" t="s">
        <v>26</v>
      </c>
      <c r="C6051" s="7" t="s">
        <v>27</v>
      </c>
      <c r="D6051" s="7" t="s">
        <v>28</v>
      </c>
      <c r="E6051" s="7" t="s">
        <v>29</v>
      </c>
      <c r="F6051" s="7" t="s">
        <v>239</v>
      </c>
      <c r="G6051" s="7">
        <v>99.967160000000007</v>
      </c>
      <c r="H6051" s="7"/>
    </row>
    <row r="6052" spans="1:8" x14ac:dyDescent="0.35">
      <c r="A6052" s="7" t="s">
        <v>366</v>
      </c>
      <c r="B6052" s="7" t="s">
        <v>26</v>
      </c>
      <c r="C6052" s="7" t="s">
        <v>27</v>
      </c>
      <c r="D6052" s="7" t="s">
        <v>28</v>
      </c>
      <c r="E6052" s="7" t="s">
        <v>29</v>
      </c>
      <c r="F6052" s="7" t="s">
        <v>240</v>
      </c>
      <c r="G6052" s="7">
        <v>100.19459999999999</v>
      </c>
      <c r="H6052" s="7"/>
    </row>
    <row r="6053" spans="1:8" x14ac:dyDescent="0.35">
      <c r="A6053" s="7" t="s">
        <v>366</v>
      </c>
      <c r="B6053" s="7" t="s">
        <v>26</v>
      </c>
      <c r="C6053" s="7" t="s">
        <v>27</v>
      </c>
      <c r="D6053" s="7" t="s">
        <v>28</v>
      </c>
      <c r="E6053" s="7" t="s">
        <v>29</v>
      </c>
      <c r="F6053" s="7" t="s">
        <v>241</v>
      </c>
      <c r="G6053" s="7">
        <v>100.4824</v>
      </c>
      <c r="H6053" s="7"/>
    </row>
    <row r="6054" spans="1:8" x14ac:dyDescent="0.35">
      <c r="A6054" s="7" t="s">
        <v>366</v>
      </c>
      <c r="B6054" s="7" t="s">
        <v>26</v>
      </c>
      <c r="C6054" s="7" t="s">
        <v>27</v>
      </c>
      <c r="D6054" s="7" t="s">
        <v>28</v>
      </c>
      <c r="E6054" s="7" t="s">
        <v>29</v>
      </c>
      <c r="F6054" s="7" t="s">
        <v>242</v>
      </c>
      <c r="G6054" s="7">
        <v>100.729</v>
      </c>
      <c r="H6054" s="7"/>
    </row>
    <row r="6055" spans="1:8" x14ac:dyDescent="0.35">
      <c r="A6055" s="7" t="s">
        <v>366</v>
      </c>
      <c r="B6055" s="7" t="s">
        <v>26</v>
      </c>
      <c r="C6055" s="7" t="s">
        <v>27</v>
      </c>
      <c r="D6055" s="7" t="s">
        <v>28</v>
      </c>
      <c r="E6055" s="7" t="s">
        <v>29</v>
      </c>
      <c r="F6055" s="7" t="s">
        <v>243</v>
      </c>
      <c r="G6055" s="7">
        <v>100.86450000000001</v>
      </c>
      <c r="H6055" s="7"/>
    </row>
    <row r="6056" spans="1:8" x14ac:dyDescent="0.35">
      <c r="A6056" s="7" t="s">
        <v>366</v>
      </c>
      <c r="B6056" s="7" t="s">
        <v>26</v>
      </c>
      <c r="C6056" s="7" t="s">
        <v>27</v>
      </c>
      <c r="D6056" s="7" t="s">
        <v>28</v>
      </c>
      <c r="E6056" s="7" t="s">
        <v>29</v>
      </c>
      <c r="F6056" s="7" t="s">
        <v>244</v>
      </c>
      <c r="G6056" s="7">
        <v>100.9649</v>
      </c>
      <c r="H6056" s="7"/>
    </row>
    <row r="6057" spans="1:8" x14ac:dyDescent="0.35">
      <c r="A6057" s="7" t="s">
        <v>366</v>
      </c>
      <c r="B6057" s="7" t="s">
        <v>26</v>
      </c>
      <c r="C6057" s="7" t="s">
        <v>27</v>
      </c>
      <c r="D6057" s="7" t="s">
        <v>28</v>
      </c>
      <c r="E6057" s="7" t="s">
        <v>29</v>
      </c>
      <c r="F6057" s="7" t="s">
        <v>245</v>
      </c>
      <c r="G6057" s="7">
        <v>101.04949999999999</v>
      </c>
      <c r="H6057" s="7"/>
    </row>
    <row r="6058" spans="1:8" x14ac:dyDescent="0.35">
      <c r="A6058" s="7" t="s">
        <v>366</v>
      </c>
      <c r="B6058" s="7" t="s">
        <v>26</v>
      </c>
      <c r="C6058" s="7" t="s">
        <v>27</v>
      </c>
      <c r="D6058" s="7" t="s">
        <v>28</v>
      </c>
      <c r="E6058" s="7" t="s">
        <v>29</v>
      </c>
      <c r="F6058" s="7" t="s">
        <v>246</v>
      </c>
      <c r="G6058" s="7">
        <v>101.12649999999999</v>
      </c>
      <c r="H6058" s="7"/>
    </row>
    <row r="6059" spans="1:8" x14ac:dyDescent="0.35">
      <c r="A6059" s="7" t="s">
        <v>366</v>
      </c>
      <c r="B6059" s="7" t="s">
        <v>26</v>
      </c>
      <c r="C6059" s="7" t="s">
        <v>27</v>
      </c>
      <c r="D6059" s="7" t="s">
        <v>28</v>
      </c>
      <c r="E6059" s="7" t="s">
        <v>29</v>
      </c>
      <c r="F6059" s="7" t="s">
        <v>247</v>
      </c>
      <c r="G6059" s="7">
        <v>101.1426</v>
      </c>
      <c r="H6059" s="7"/>
    </row>
    <row r="6060" spans="1:8" x14ac:dyDescent="0.35">
      <c r="A6060" s="7" t="s">
        <v>366</v>
      </c>
      <c r="B6060" s="7" t="s">
        <v>26</v>
      </c>
      <c r="C6060" s="7" t="s">
        <v>27</v>
      </c>
      <c r="D6060" s="7" t="s">
        <v>28</v>
      </c>
      <c r="E6060" s="7" t="s">
        <v>29</v>
      </c>
      <c r="F6060" s="7" t="s">
        <v>248</v>
      </c>
      <c r="G6060" s="7">
        <v>101.13200000000001</v>
      </c>
      <c r="H6060" s="7"/>
    </row>
    <row r="6061" spans="1:8" x14ac:dyDescent="0.35">
      <c r="A6061" s="7" t="s">
        <v>366</v>
      </c>
      <c r="B6061" s="7" t="s">
        <v>26</v>
      </c>
      <c r="C6061" s="7" t="s">
        <v>27</v>
      </c>
      <c r="D6061" s="7" t="s">
        <v>28</v>
      </c>
      <c r="E6061" s="7" t="s">
        <v>29</v>
      </c>
      <c r="F6061" s="7" t="s">
        <v>249</v>
      </c>
      <c r="G6061" s="7">
        <v>101.10939999999999</v>
      </c>
      <c r="H6061" s="7"/>
    </row>
    <row r="6062" spans="1:8" x14ac:dyDescent="0.35">
      <c r="A6062" s="7" t="s">
        <v>366</v>
      </c>
      <c r="B6062" s="7" t="s">
        <v>26</v>
      </c>
      <c r="C6062" s="7" t="s">
        <v>27</v>
      </c>
      <c r="D6062" s="7" t="s">
        <v>28</v>
      </c>
      <c r="E6062" s="7" t="s">
        <v>29</v>
      </c>
      <c r="F6062" s="7" t="s">
        <v>250</v>
      </c>
      <c r="G6062" s="7">
        <v>101.2162</v>
      </c>
      <c r="H6062" s="7"/>
    </row>
    <row r="6063" spans="1:8" x14ac:dyDescent="0.35">
      <c r="A6063" s="7" t="s">
        <v>366</v>
      </c>
      <c r="B6063" s="7" t="s">
        <v>26</v>
      </c>
      <c r="C6063" s="7" t="s">
        <v>27</v>
      </c>
      <c r="D6063" s="7" t="s">
        <v>28</v>
      </c>
      <c r="E6063" s="7" t="s">
        <v>29</v>
      </c>
      <c r="F6063" s="7" t="s">
        <v>251</v>
      </c>
      <c r="G6063" s="7">
        <v>101.3824</v>
      </c>
      <c r="H6063" s="7"/>
    </row>
    <row r="6064" spans="1:8" x14ac:dyDescent="0.35">
      <c r="A6064" s="7" t="s">
        <v>366</v>
      </c>
      <c r="B6064" s="7" t="s">
        <v>26</v>
      </c>
      <c r="C6064" s="7" t="s">
        <v>27</v>
      </c>
      <c r="D6064" s="7" t="s">
        <v>28</v>
      </c>
      <c r="E6064" s="7" t="s">
        <v>29</v>
      </c>
      <c r="F6064" s="7" t="s">
        <v>252</v>
      </c>
      <c r="G6064" s="7">
        <v>101.5467</v>
      </c>
      <c r="H6064" s="7"/>
    </row>
    <row r="6065" spans="1:8" x14ac:dyDescent="0.35">
      <c r="A6065" s="7" t="s">
        <v>366</v>
      </c>
      <c r="B6065" s="7" t="s">
        <v>26</v>
      </c>
      <c r="C6065" s="7" t="s">
        <v>27</v>
      </c>
      <c r="D6065" s="7" t="s">
        <v>28</v>
      </c>
      <c r="E6065" s="7" t="s">
        <v>29</v>
      </c>
      <c r="F6065" s="7" t="s">
        <v>253</v>
      </c>
      <c r="G6065" s="7">
        <v>101.68219999999999</v>
      </c>
      <c r="H6065" s="7"/>
    </row>
    <row r="6066" spans="1:8" x14ac:dyDescent="0.35">
      <c r="A6066" s="7" t="s">
        <v>366</v>
      </c>
      <c r="B6066" s="7" t="s">
        <v>26</v>
      </c>
      <c r="C6066" s="7" t="s">
        <v>27</v>
      </c>
      <c r="D6066" s="7" t="s">
        <v>28</v>
      </c>
      <c r="E6066" s="7" t="s">
        <v>29</v>
      </c>
      <c r="F6066" s="7" t="s">
        <v>254</v>
      </c>
      <c r="G6066" s="7">
        <v>101.77849999999999</v>
      </c>
      <c r="H6066" s="7"/>
    </row>
    <row r="6067" spans="1:8" x14ac:dyDescent="0.35">
      <c r="A6067" s="7" t="s">
        <v>366</v>
      </c>
      <c r="B6067" s="7" t="s">
        <v>26</v>
      </c>
      <c r="C6067" s="7" t="s">
        <v>27</v>
      </c>
      <c r="D6067" s="7" t="s">
        <v>28</v>
      </c>
      <c r="E6067" s="7" t="s">
        <v>29</v>
      </c>
      <c r="F6067" s="7" t="s">
        <v>255</v>
      </c>
      <c r="G6067" s="7">
        <v>101.8875</v>
      </c>
      <c r="H6067" s="7"/>
    </row>
    <row r="6068" spans="1:8" x14ac:dyDescent="0.35">
      <c r="A6068" s="7" t="s">
        <v>366</v>
      </c>
      <c r="B6068" s="7" t="s">
        <v>26</v>
      </c>
      <c r="C6068" s="7" t="s">
        <v>27</v>
      </c>
      <c r="D6068" s="7" t="s">
        <v>28</v>
      </c>
      <c r="E6068" s="7" t="s">
        <v>29</v>
      </c>
      <c r="F6068" s="7" t="s">
        <v>256</v>
      </c>
      <c r="G6068" s="7">
        <v>101.9813</v>
      </c>
      <c r="H6068" s="7"/>
    </row>
    <row r="6069" spans="1:8" x14ac:dyDescent="0.35">
      <c r="A6069" s="7" t="s">
        <v>366</v>
      </c>
      <c r="B6069" s="7" t="s">
        <v>26</v>
      </c>
      <c r="C6069" s="7" t="s">
        <v>27</v>
      </c>
      <c r="D6069" s="7" t="s">
        <v>28</v>
      </c>
      <c r="E6069" s="7" t="s">
        <v>29</v>
      </c>
      <c r="F6069" s="7" t="s">
        <v>257</v>
      </c>
      <c r="G6069" s="7">
        <v>102.0692</v>
      </c>
      <c r="H6069" s="7"/>
    </row>
    <row r="6070" spans="1:8" x14ac:dyDescent="0.35">
      <c r="A6070" s="7" t="s">
        <v>366</v>
      </c>
      <c r="B6070" s="7" t="s">
        <v>26</v>
      </c>
      <c r="C6070" s="7" t="s">
        <v>27</v>
      </c>
      <c r="D6070" s="7" t="s">
        <v>28</v>
      </c>
      <c r="E6070" s="7" t="s">
        <v>29</v>
      </c>
      <c r="F6070" s="7" t="s">
        <v>258</v>
      </c>
      <c r="G6070" s="7">
        <v>102.1828</v>
      </c>
      <c r="H6070" s="7"/>
    </row>
    <row r="6071" spans="1:8" x14ac:dyDescent="0.35">
      <c r="A6071" s="7" t="s">
        <v>366</v>
      </c>
      <c r="B6071" s="7" t="s">
        <v>26</v>
      </c>
      <c r="C6071" s="7" t="s">
        <v>27</v>
      </c>
      <c r="D6071" s="7" t="s">
        <v>28</v>
      </c>
      <c r="E6071" s="7" t="s">
        <v>29</v>
      </c>
      <c r="F6071" s="7" t="s">
        <v>259</v>
      </c>
      <c r="G6071" s="7">
        <v>102.23139999999999</v>
      </c>
      <c r="H6071" s="7"/>
    </row>
    <row r="6072" spans="1:8" x14ac:dyDescent="0.35">
      <c r="A6072" s="7" t="s">
        <v>366</v>
      </c>
      <c r="B6072" s="7" t="s">
        <v>26</v>
      </c>
      <c r="C6072" s="7" t="s">
        <v>27</v>
      </c>
      <c r="D6072" s="7" t="s">
        <v>28</v>
      </c>
      <c r="E6072" s="7" t="s">
        <v>29</v>
      </c>
      <c r="F6072" s="7" t="s">
        <v>260</v>
      </c>
      <c r="G6072" s="7">
        <v>102.239</v>
      </c>
      <c r="H6072" s="7"/>
    </row>
    <row r="6073" spans="1:8" x14ac:dyDescent="0.35">
      <c r="A6073" s="7" t="s">
        <v>366</v>
      </c>
      <c r="B6073" s="7" t="s">
        <v>26</v>
      </c>
      <c r="C6073" s="7" t="s">
        <v>27</v>
      </c>
      <c r="D6073" s="7" t="s">
        <v>28</v>
      </c>
      <c r="E6073" s="7" t="s">
        <v>29</v>
      </c>
      <c r="F6073" s="7" t="s">
        <v>261</v>
      </c>
      <c r="G6073" s="7">
        <v>102.1482</v>
      </c>
      <c r="H6073" s="7"/>
    </row>
    <row r="6074" spans="1:8" x14ac:dyDescent="0.35">
      <c r="A6074" s="7" t="s">
        <v>366</v>
      </c>
      <c r="B6074" s="7" t="s">
        <v>26</v>
      </c>
      <c r="C6074" s="7" t="s">
        <v>27</v>
      </c>
      <c r="D6074" s="7" t="s">
        <v>28</v>
      </c>
      <c r="E6074" s="7" t="s">
        <v>29</v>
      </c>
      <c r="F6074" s="7" t="s">
        <v>262</v>
      </c>
      <c r="G6074" s="7">
        <v>101.9372</v>
      </c>
      <c r="H6074" s="7"/>
    </row>
    <row r="6075" spans="1:8" x14ac:dyDescent="0.35">
      <c r="A6075" s="7" t="s">
        <v>366</v>
      </c>
      <c r="B6075" s="7" t="s">
        <v>26</v>
      </c>
      <c r="C6075" s="7" t="s">
        <v>27</v>
      </c>
      <c r="D6075" s="7" t="s">
        <v>28</v>
      </c>
      <c r="E6075" s="7" t="s">
        <v>29</v>
      </c>
      <c r="F6075" s="7" t="s">
        <v>263</v>
      </c>
      <c r="G6075" s="7">
        <v>101.7329</v>
      </c>
      <c r="H6075" s="7"/>
    </row>
    <row r="6076" spans="1:8" x14ac:dyDescent="0.35">
      <c r="A6076" s="7" t="s">
        <v>366</v>
      </c>
      <c r="B6076" s="7" t="s">
        <v>26</v>
      </c>
      <c r="C6076" s="7" t="s">
        <v>27</v>
      </c>
      <c r="D6076" s="7" t="s">
        <v>28</v>
      </c>
      <c r="E6076" s="7" t="s">
        <v>29</v>
      </c>
      <c r="F6076" s="7" t="s">
        <v>264</v>
      </c>
      <c r="G6076" s="7">
        <v>101.66119999999999</v>
      </c>
      <c r="H6076" s="7"/>
    </row>
    <row r="6077" spans="1:8" x14ac:dyDescent="0.35">
      <c r="A6077" s="7" t="s">
        <v>366</v>
      </c>
      <c r="B6077" s="7" t="s">
        <v>26</v>
      </c>
      <c r="C6077" s="7" t="s">
        <v>27</v>
      </c>
      <c r="D6077" s="7" t="s">
        <v>28</v>
      </c>
      <c r="E6077" s="7" t="s">
        <v>29</v>
      </c>
      <c r="F6077" s="7" t="s">
        <v>265</v>
      </c>
      <c r="G6077" s="7">
        <v>101.7347</v>
      </c>
      <c r="H6077" s="7"/>
    </row>
    <row r="6078" spans="1:8" x14ac:dyDescent="0.35">
      <c r="A6078" s="7" t="s">
        <v>366</v>
      </c>
      <c r="B6078" s="7" t="s">
        <v>26</v>
      </c>
      <c r="C6078" s="7" t="s">
        <v>27</v>
      </c>
      <c r="D6078" s="7" t="s">
        <v>28</v>
      </c>
      <c r="E6078" s="7" t="s">
        <v>29</v>
      </c>
      <c r="F6078" s="7" t="s">
        <v>266</v>
      </c>
      <c r="G6078" s="7">
        <v>101.8124</v>
      </c>
      <c r="H6078" s="7"/>
    </row>
    <row r="6079" spans="1:8" x14ac:dyDescent="0.35">
      <c r="A6079" s="7" t="s">
        <v>366</v>
      </c>
      <c r="B6079" s="7" t="s">
        <v>26</v>
      </c>
      <c r="C6079" s="7" t="s">
        <v>27</v>
      </c>
      <c r="D6079" s="7" t="s">
        <v>28</v>
      </c>
      <c r="E6079" s="7" t="s">
        <v>29</v>
      </c>
      <c r="F6079" s="7" t="s">
        <v>267</v>
      </c>
      <c r="G6079" s="7">
        <v>101.7171</v>
      </c>
      <c r="H6079" s="7"/>
    </row>
    <row r="6080" spans="1:8" x14ac:dyDescent="0.35">
      <c r="A6080" s="7" t="s">
        <v>366</v>
      </c>
      <c r="B6080" s="7" t="s">
        <v>26</v>
      </c>
      <c r="C6080" s="7" t="s">
        <v>27</v>
      </c>
      <c r="D6080" s="7" t="s">
        <v>28</v>
      </c>
      <c r="E6080" s="7" t="s">
        <v>29</v>
      </c>
      <c r="F6080" s="7" t="s">
        <v>268</v>
      </c>
      <c r="G6080" s="7">
        <v>101.6095</v>
      </c>
      <c r="H6080" s="7"/>
    </row>
    <row r="6081" spans="1:8" x14ac:dyDescent="0.35">
      <c r="A6081" s="7" t="s">
        <v>366</v>
      </c>
      <c r="B6081" s="7" t="s">
        <v>26</v>
      </c>
      <c r="C6081" s="7" t="s">
        <v>27</v>
      </c>
      <c r="D6081" s="7" t="s">
        <v>28</v>
      </c>
      <c r="E6081" s="7" t="s">
        <v>29</v>
      </c>
      <c r="F6081" s="7" t="s">
        <v>269</v>
      </c>
      <c r="G6081" s="7">
        <v>101.6777</v>
      </c>
      <c r="H6081" s="7"/>
    </row>
    <row r="6082" spans="1:8" x14ac:dyDescent="0.35">
      <c r="A6082" s="7" t="s">
        <v>366</v>
      </c>
      <c r="B6082" s="7" t="s">
        <v>26</v>
      </c>
      <c r="C6082" s="7" t="s">
        <v>27</v>
      </c>
      <c r="D6082" s="7" t="s">
        <v>28</v>
      </c>
      <c r="E6082" s="7" t="s">
        <v>29</v>
      </c>
      <c r="F6082" s="7" t="s">
        <v>270</v>
      </c>
      <c r="G6082" s="7">
        <v>101.8262</v>
      </c>
      <c r="H6082" s="7"/>
    </row>
    <row r="6083" spans="1:8" x14ac:dyDescent="0.35">
      <c r="A6083" s="7" t="s">
        <v>366</v>
      </c>
      <c r="B6083" s="7" t="s">
        <v>26</v>
      </c>
      <c r="C6083" s="7" t="s">
        <v>27</v>
      </c>
      <c r="D6083" s="7" t="s">
        <v>28</v>
      </c>
      <c r="E6083" s="7" t="s">
        <v>29</v>
      </c>
      <c r="F6083" s="7" t="s">
        <v>271</v>
      </c>
      <c r="G6083" s="7">
        <v>101.9363</v>
      </c>
      <c r="H6083" s="7"/>
    </row>
    <row r="6084" spans="1:8" x14ac:dyDescent="0.35">
      <c r="A6084" s="7" t="s">
        <v>366</v>
      </c>
      <c r="B6084" s="7" t="s">
        <v>26</v>
      </c>
      <c r="C6084" s="7" t="s">
        <v>27</v>
      </c>
      <c r="D6084" s="7" t="s">
        <v>28</v>
      </c>
      <c r="E6084" s="7" t="s">
        <v>29</v>
      </c>
      <c r="F6084" s="7" t="s">
        <v>272</v>
      </c>
      <c r="G6084" s="7">
        <v>101.9871</v>
      </c>
      <c r="H6084" s="7"/>
    </row>
    <row r="6085" spans="1:8" x14ac:dyDescent="0.35">
      <c r="A6085" s="7" t="s">
        <v>366</v>
      </c>
      <c r="B6085" s="7" t="s">
        <v>26</v>
      </c>
      <c r="C6085" s="7" t="s">
        <v>27</v>
      </c>
      <c r="D6085" s="7" t="s">
        <v>28</v>
      </c>
      <c r="E6085" s="7" t="s">
        <v>29</v>
      </c>
      <c r="F6085" s="7" t="s">
        <v>273</v>
      </c>
      <c r="G6085" s="7">
        <v>102.1382</v>
      </c>
      <c r="H6085" s="7"/>
    </row>
    <row r="6086" spans="1:8" x14ac:dyDescent="0.35">
      <c r="A6086" s="7" t="s">
        <v>366</v>
      </c>
      <c r="B6086" s="7" t="s">
        <v>26</v>
      </c>
      <c r="C6086" s="7" t="s">
        <v>27</v>
      </c>
      <c r="D6086" s="7" t="s">
        <v>28</v>
      </c>
      <c r="E6086" s="7" t="s">
        <v>29</v>
      </c>
      <c r="F6086" s="7" t="s">
        <v>274</v>
      </c>
      <c r="G6086" s="7">
        <v>102.37390000000001</v>
      </c>
      <c r="H6086" s="7"/>
    </row>
    <row r="6087" spans="1:8" x14ac:dyDescent="0.35">
      <c r="A6087" s="7" t="s">
        <v>366</v>
      </c>
      <c r="B6087" s="7" t="s">
        <v>26</v>
      </c>
      <c r="C6087" s="7" t="s">
        <v>27</v>
      </c>
      <c r="D6087" s="7" t="s">
        <v>28</v>
      </c>
      <c r="E6087" s="7" t="s">
        <v>29</v>
      </c>
      <c r="F6087" s="7" t="s">
        <v>275</v>
      </c>
      <c r="G6087" s="7">
        <v>102.53270000000001</v>
      </c>
      <c r="H6087" s="7"/>
    </row>
    <row r="6088" spans="1:8" x14ac:dyDescent="0.35">
      <c r="A6088" s="7" t="s">
        <v>366</v>
      </c>
      <c r="B6088" s="7" t="s">
        <v>26</v>
      </c>
      <c r="C6088" s="7" t="s">
        <v>27</v>
      </c>
      <c r="D6088" s="7" t="s">
        <v>28</v>
      </c>
      <c r="E6088" s="7" t="s">
        <v>29</v>
      </c>
      <c r="F6088" s="7" t="s">
        <v>276</v>
      </c>
      <c r="G6088" s="7">
        <v>102.5001</v>
      </c>
      <c r="H6088" s="7"/>
    </row>
    <row r="6089" spans="1:8" x14ac:dyDescent="0.35">
      <c r="A6089" s="7" t="s">
        <v>366</v>
      </c>
      <c r="B6089" s="7" t="s">
        <v>26</v>
      </c>
      <c r="C6089" s="7" t="s">
        <v>27</v>
      </c>
      <c r="D6089" s="7" t="s">
        <v>28</v>
      </c>
      <c r="E6089" s="7" t="s">
        <v>29</v>
      </c>
      <c r="F6089" s="7" t="s">
        <v>277</v>
      </c>
      <c r="G6089" s="7">
        <v>102.3439</v>
      </c>
      <c r="H6089" s="7"/>
    </row>
    <row r="6090" spans="1:8" x14ac:dyDescent="0.35">
      <c r="A6090" s="7" t="s">
        <v>366</v>
      </c>
      <c r="B6090" s="7" t="s">
        <v>26</v>
      </c>
      <c r="C6090" s="7" t="s">
        <v>27</v>
      </c>
      <c r="D6090" s="7" t="s">
        <v>28</v>
      </c>
      <c r="E6090" s="7" t="s">
        <v>29</v>
      </c>
      <c r="F6090" s="7" t="s">
        <v>278</v>
      </c>
      <c r="G6090" s="7">
        <v>102.1879</v>
      </c>
      <c r="H6090" s="7"/>
    </row>
    <row r="6091" spans="1:8" x14ac:dyDescent="0.35">
      <c r="A6091" s="7" t="s">
        <v>366</v>
      </c>
      <c r="B6091" s="7" t="s">
        <v>26</v>
      </c>
      <c r="C6091" s="7" t="s">
        <v>27</v>
      </c>
      <c r="D6091" s="7" t="s">
        <v>28</v>
      </c>
      <c r="E6091" s="7" t="s">
        <v>29</v>
      </c>
      <c r="F6091" s="7" t="s">
        <v>279</v>
      </c>
      <c r="G6091" s="7">
        <v>102.0981</v>
      </c>
      <c r="H6091" s="7"/>
    </row>
    <row r="6092" spans="1:8" x14ac:dyDescent="0.35">
      <c r="A6092" s="7" t="s">
        <v>366</v>
      </c>
      <c r="B6092" s="7" t="s">
        <v>26</v>
      </c>
      <c r="C6092" s="7" t="s">
        <v>27</v>
      </c>
      <c r="D6092" s="7" t="s">
        <v>28</v>
      </c>
      <c r="E6092" s="7" t="s">
        <v>29</v>
      </c>
      <c r="F6092" s="7" t="s">
        <v>280</v>
      </c>
      <c r="G6092" s="7">
        <v>102.0802</v>
      </c>
      <c r="H6092" s="7"/>
    </row>
    <row r="6093" spans="1:8" x14ac:dyDescent="0.35">
      <c r="A6093" s="7" t="s">
        <v>366</v>
      </c>
      <c r="B6093" s="7" t="s">
        <v>26</v>
      </c>
      <c r="C6093" s="7" t="s">
        <v>27</v>
      </c>
      <c r="D6093" s="7" t="s">
        <v>28</v>
      </c>
      <c r="E6093" s="7" t="s">
        <v>29</v>
      </c>
      <c r="F6093" s="7" t="s">
        <v>281</v>
      </c>
      <c r="G6093" s="7">
        <v>102.07940000000001</v>
      </c>
      <c r="H6093" s="7"/>
    </row>
    <row r="6094" spans="1:8" x14ac:dyDescent="0.35">
      <c r="A6094" s="7" t="s">
        <v>366</v>
      </c>
      <c r="B6094" s="7" t="s">
        <v>26</v>
      </c>
      <c r="C6094" s="7" t="s">
        <v>27</v>
      </c>
      <c r="D6094" s="7" t="s">
        <v>28</v>
      </c>
      <c r="E6094" s="7" t="s">
        <v>29</v>
      </c>
      <c r="F6094" s="7" t="s">
        <v>282</v>
      </c>
      <c r="G6094" s="7">
        <v>102.0543</v>
      </c>
      <c r="H6094" s="7"/>
    </row>
    <row r="6095" spans="1:8" x14ac:dyDescent="0.35">
      <c r="A6095" s="7" t="s">
        <v>366</v>
      </c>
      <c r="B6095" s="7" t="s">
        <v>26</v>
      </c>
      <c r="C6095" s="7" t="s">
        <v>27</v>
      </c>
      <c r="D6095" s="7" t="s">
        <v>28</v>
      </c>
      <c r="E6095" s="7" t="s">
        <v>29</v>
      </c>
      <c r="F6095" s="7" t="s">
        <v>283</v>
      </c>
      <c r="G6095" s="7">
        <v>102.0234</v>
      </c>
      <c r="H6095" s="7"/>
    </row>
    <row r="6096" spans="1:8" x14ac:dyDescent="0.35">
      <c r="A6096" s="7" t="s">
        <v>366</v>
      </c>
      <c r="B6096" s="7" t="s">
        <v>26</v>
      </c>
      <c r="C6096" s="7" t="s">
        <v>27</v>
      </c>
      <c r="D6096" s="7" t="s">
        <v>28</v>
      </c>
      <c r="E6096" s="7" t="s">
        <v>29</v>
      </c>
      <c r="F6096" s="7" t="s">
        <v>284</v>
      </c>
      <c r="G6096" s="7">
        <v>101.9658</v>
      </c>
      <c r="H6096" s="7"/>
    </row>
    <row r="6097" spans="1:8" x14ac:dyDescent="0.35">
      <c r="A6097" s="7" t="s">
        <v>366</v>
      </c>
      <c r="B6097" s="7" t="s">
        <v>26</v>
      </c>
      <c r="C6097" s="7" t="s">
        <v>27</v>
      </c>
      <c r="D6097" s="7" t="s">
        <v>28</v>
      </c>
      <c r="E6097" s="7" t="s">
        <v>29</v>
      </c>
      <c r="F6097" s="7" t="s">
        <v>285</v>
      </c>
      <c r="G6097" s="7">
        <v>101.8407</v>
      </c>
      <c r="H6097" s="7"/>
    </row>
    <row r="6098" spans="1:8" x14ac:dyDescent="0.35">
      <c r="A6098" s="7" t="s">
        <v>366</v>
      </c>
      <c r="B6098" s="7" t="s">
        <v>26</v>
      </c>
      <c r="C6098" s="7" t="s">
        <v>27</v>
      </c>
      <c r="D6098" s="7" t="s">
        <v>28</v>
      </c>
      <c r="E6098" s="7" t="s">
        <v>29</v>
      </c>
      <c r="F6098" s="7" t="s">
        <v>286</v>
      </c>
      <c r="G6098" s="7">
        <v>101.6906</v>
      </c>
      <c r="H6098" s="7"/>
    </row>
    <row r="6099" spans="1:8" x14ac:dyDescent="0.35">
      <c r="A6099" s="7" t="s">
        <v>366</v>
      </c>
      <c r="B6099" s="7" t="s">
        <v>26</v>
      </c>
      <c r="C6099" s="7" t="s">
        <v>27</v>
      </c>
      <c r="D6099" s="7" t="s">
        <v>28</v>
      </c>
      <c r="E6099" s="7" t="s">
        <v>29</v>
      </c>
      <c r="F6099" s="7" t="s">
        <v>287</v>
      </c>
      <c r="G6099" s="7">
        <v>101.57380000000001</v>
      </c>
      <c r="H6099" s="7"/>
    </row>
    <row r="6100" spans="1:8" x14ac:dyDescent="0.35">
      <c r="A6100" s="7" t="s">
        <v>366</v>
      </c>
      <c r="B6100" s="7" t="s">
        <v>26</v>
      </c>
      <c r="C6100" s="7" t="s">
        <v>27</v>
      </c>
      <c r="D6100" s="7" t="s">
        <v>28</v>
      </c>
      <c r="E6100" s="7" t="s">
        <v>29</v>
      </c>
      <c r="F6100" s="7" t="s">
        <v>288</v>
      </c>
      <c r="G6100" s="7">
        <v>101.46680000000001</v>
      </c>
      <c r="H6100" s="7"/>
    </row>
    <row r="6101" spans="1:8" x14ac:dyDescent="0.35">
      <c r="A6101" s="7" t="s">
        <v>366</v>
      </c>
      <c r="B6101" s="7" t="s">
        <v>26</v>
      </c>
      <c r="C6101" s="7" t="s">
        <v>27</v>
      </c>
      <c r="D6101" s="7" t="s">
        <v>28</v>
      </c>
      <c r="E6101" s="7" t="s">
        <v>29</v>
      </c>
      <c r="F6101" s="7" t="s">
        <v>289</v>
      </c>
      <c r="G6101" s="7">
        <v>101.3811</v>
      </c>
      <c r="H6101" s="7"/>
    </row>
    <row r="6102" spans="1:8" x14ac:dyDescent="0.35">
      <c r="A6102" s="7" t="s">
        <v>366</v>
      </c>
      <c r="B6102" s="7" t="s">
        <v>26</v>
      </c>
      <c r="C6102" s="7" t="s">
        <v>27</v>
      </c>
      <c r="D6102" s="7" t="s">
        <v>28</v>
      </c>
      <c r="E6102" s="7" t="s">
        <v>29</v>
      </c>
      <c r="F6102" s="7" t="s">
        <v>290</v>
      </c>
      <c r="G6102" s="7">
        <v>101.33459999999999</v>
      </c>
      <c r="H6102" s="7"/>
    </row>
    <row r="6103" spans="1:8" x14ac:dyDescent="0.35">
      <c r="A6103" s="7" t="s">
        <v>366</v>
      </c>
      <c r="B6103" s="7" t="s">
        <v>26</v>
      </c>
      <c r="C6103" s="7" t="s">
        <v>27</v>
      </c>
      <c r="D6103" s="7" t="s">
        <v>28</v>
      </c>
      <c r="E6103" s="7" t="s">
        <v>29</v>
      </c>
      <c r="F6103" s="7" t="s">
        <v>291</v>
      </c>
      <c r="G6103" s="7">
        <v>101.3921</v>
      </c>
      <c r="H6103" s="7"/>
    </row>
    <row r="6104" spans="1:8" x14ac:dyDescent="0.35">
      <c r="A6104" s="7" t="s">
        <v>366</v>
      </c>
      <c r="B6104" s="7" t="s">
        <v>26</v>
      </c>
      <c r="C6104" s="7" t="s">
        <v>27</v>
      </c>
      <c r="D6104" s="7" t="s">
        <v>28</v>
      </c>
      <c r="E6104" s="7" t="s">
        <v>29</v>
      </c>
      <c r="F6104" s="7" t="s">
        <v>292</v>
      </c>
      <c r="G6104" s="7">
        <v>101.44119999999999</v>
      </c>
      <c r="H6104" s="7"/>
    </row>
    <row r="6105" spans="1:8" x14ac:dyDescent="0.35">
      <c r="A6105" s="7" t="s">
        <v>366</v>
      </c>
      <c r="B6105" s="7" t="s">
        <v>26</v>
      </c>
      <c r="C6105" s="7" t="s">
        <v>27</v>
      </c>
      <c r="D6105" s="7" t="s">
        <v>28</v>
      </c>
      <c r="E6105" s="7" t="s">
        <v>29</v>
      </c>
      <c r="F6105" s="7" t="s">
        <v>293</v>
      </c>
      <c r="G6105" s="7">
        <v>101.45059999999999</v>
      </c>
      <c r="H6105" s="7"/>
    </row>
    <row r="6106" spans="1:8" x14ac:dyDescent="0.35">
      <c r="A6106" s="7" t="s">
        <v>366</v>
      </c>
      <c r="B6106" s="7" t="s">
        <v>26</v>
      </c>
      <c r="C6106" s="7" t="s">
        <v>27</v>
      </c>
      <c r="D6106" s="7" t="s">
        <v>28</v>
      </c>
      <c r="E6106" s="7" t="s">
        <v>29</v>
      </c>
      <c r="F6106" s="7" t="s">
        <v>294</v>
      </c>
      <c r="G6106" s="7">
        <v>101.45480000000001</v>
      </c>
      <c r="H6106" s="7"/>
    </row>
    <row r="6107" spans="1:8" x14ac:dyDescent="0.35">
      <c r="A6107" s="7" t="s">
        <v>366</v>
      </c>
      <c r="B6107" s="7" t="s">
        <v>26</v>
      </c>
      <c r="C6107" s="7" t="s">
        <v>27</v>
      </c>
      <c r="D6107" s="7" t="s">
        <v>28</v>
      </c>
      <c r="E6107" s="7" t="s">
        <v>29</v>
      </c>
      <c r="F6107" s="7" t="s">
        <v>295</v>
      </c>
      <c r="G6107" s="7">
        <v>101.38679999999999</v>
      </c>
      <c r="H6107" s="7"/>
    </row>
    <row r="6108" spans="1:8" x14ac:dyDescent="0.35">
      <c r="A6108" s="7" t="s">
        <v>366</v>
      </c>
      <c r="B6108" s="7" t="s">
        <v>26</v>
      </c>
      <c r="C6108" s="7" t="s">
        <v>27</v>
      </c>
      <c r="D6108" s="7" t="s">
        <v>28</v>
      </c>
      <c r="E6108" s="7" t="s">
        <v>29</v>
      </c>
      <c r="F6108" s="7" t="s">
        <v>296</v>
      </c>
      <c r="G6108" s="7">
        <v>101.2431</v>
      </c>
      <c r="H6108" s="7"/>
    </row>
    <row r="6109" spans="1:8" x14ac:dyDescent="0.35">
      <c r="A6109" s="7" t="s">
        <v>366</v>
      </c>
      <c r="B6109" s="7" t="s">
        <v>26</v>
      </c>
      <c r="C6109" s="7" t="s">
        <v>27</v>
      </c>
      <c r="D6109" s="7" t="s">
        <v>28</v>
      </c>
      <c r="E6109" s="7" t="s">
        <v>29</v>
      </c>
      <c r="F6109" s="7" t="s">
        <v>297</v>
      </c>
      <c r="G6109" s="7">
        <v>101.07299999999999</v>
      </c>
      <c r="H6109" s="7"/>
    </row>
    <row r="6110" spans="1:8" x14ac:dyDescent="0.35">
      <c r="A6110" s="7" t="s">
        <v>366</v>
      </c>
      <c r="B6110" s="7" t="s">
        <v>26</v>
      </c>
      <c r="C6110" s="7" t="s">
        <v>27</v>
      </c>
      <c r="D6110" s="7" t="s">
        <v>28</v>
      </c>
      <c r="E6110" s="7" t="s">
        <v>29</v>
      </c>
      <c r="F6110" s="7" t="s">
        <v>298</v>
      </c>
      <c r="G6110" s="7">
        <v>100.9074</v>
      </c>
      <c r="H6110" s="7"/>
    </row>
    <row r="6111" spans="1:8" x14ac:dyDescent="0.35">
      <c r="A6111" s="7" t="s">
        <v>366</v>
      </c>
      <c r="B6111" s="7" t="s">
        <v>26</v>
      </c>
      <c r="C6111" s="7" t="s">
        <v>27</v>
      </c>
      <c r="D6111" s="7" t="s">
        <v>28</v>
      </c>
      <c r="E6111" s="7" t="s">
        <v>29</v>
      </c>
      <c r="F6111" s="7" t="s">
        <v>299</v>
      </c>
      <c r="G6111" s="7">
        <v>100.7264</v>
      </c>
      <c r="H6111" s="7"/>
    </row>
    <row r="6112" spans="1:8" x14ac:dyDescent="0.35">
      <c r="A6112" s="7" t="s">
        <v>366</v>
      </c>
      <c r="B6112" s="7" t="s">
        <v>26</v>
      </c>
      <c r="C6112" s="7" t="s">
        <v>27</v>
      </c>
      <c r="D6112" s="7" t="s">
        <v>28</v>
      </c>
      <c r="E6112" s="7" t="s">
        <v>29</v>
      </c>
      <c r="F6112" s="7" t="s">
        <v>300</v>
      </c>
      <c r="G6112" s="7">
        <v>100.54510000000001</v>
      </c>
      <c r="H6112" s="7"/>
    </row>
    <row r="6113" spans="1:8" x14ac:dyDescent="0.35">
      <c r="A6113" s="7" t="s">
        <v>366</v>
      </c>
      <c r="B6113" s="7" t="s">
        <v>26</v>
      </c>
      <c r="C6113" s="7" t="s">
        <v>27</v>
      </c>
      <c r="D6113" s="7" t="s">
        <v>28</v>
      </c>
      <c r="E6113" s="7" t="s">
        <v>29</v>
      </c>
      <c r="F6113" s="7" t="s">
        <v>301</v>
      </c>
      <c r="G6113" s="7">
        <v>100.4712</v>
      </c>
      <c r="H6113" s="7"/>
    </row>
    <row r="6114" spans="1:8" x14ac:dyDescent="0.35">
      <c r="A6114" s="7" t="s">
        <v>366</v>
      </c>
      <c r="B6114" s="7" t="s">
        <v>26</v>
      </c>
      <c r="C6114" s="7" t="s">
        <v>27</v>
      </c>
      <c r="D6114" s="7" t="s">
        <v>28</v>
      </c>
      <c r="E6114" s="7" t="s">
        <v>29</v>
      </c>
      <c r="F6114" s="7" t="s">
        <v>302</v>
      </c>
      <c r="G6114" s="7">
        <v>100.4572</v>
      </c>
      <c r="H6114" s="7"/>
    </row>
    <row r="6115" spans="1:8" x14ac:dyDescent="0.35">
      <c r="A6115" s="7" t="s">
        <v>366</v>
      </c>
      <c r="B6115" s="7" t="s">
        <v>26</v>
      </c>
      <c r="C6115" s="7" t="s">
        <v>27</v>
      </c>
      <c r="D6115" s="7" t="s">
        <v>28</v>
      </c>
      <c r="E6115" s="7" t="s">
        <v>29</v>
      </c>
      <c r="F6115" s="7" t="s">
        <v>303</v>
      </c>
      <c r="G6115" s="7">
        <v>100.40779999999999</v>
      </c>
      <c r="H6115" s="7"/>
    </row>
    <row r="6116" spans="1:8" x14ac:dyDescent="0.35">
      <c r="A6116" s="7" t="s">
        <v>366</v>
      </c>
      <c r="B6116" s="7" t="s">
        <v>26</v>
      </c>
      <c r="C6116" s="7" t="s">
        <v>27</v>
      </c>
      <c r="D6116" s="7" t="s">
        <v>28</v>
      </c>
      <c r="E6116" s="7" t="s">
        <v>29</v>
      </c>
      <c r="F6116" s="7" t="s">
        <v>304</v>
      </c>
      <c r="G6116" s="7">
        <v>100.34139999999999</v>
      </c>
      <c r="H6116" s="7"/>
    </row>
    <row r="6117" spans="1:8" x14ac:dyDescent="0.35">
      <c r="A6117" s="7" t="s">
        <v>366</v>
      </c>
      <c r="B6117" s="7" t="s">
        <v>26</v>
      </c>
      <c r="C6117" s="7" t="s">
        <v>27</v>
      </c>
      <c r="D6117" s="7" t="s">
        <v>28</v>
      </c>
      <c r="E6117" s="7" t="s">
        <v>29</v>
      </c>
      <c r="F6117" s="7" t="s">
        <v>305</v>
      </c>
      <c r="G6117" s="7">
        <v>100.17919999999999</v>
      </c>
      <c r="H6117" s="7"/>
    </row>
    <row r="6118" spans="1:8" x14ac:dyDescent="0.35">
      <c r="A6118" s="7" t="s">
        <v>366</v>
      </c>
      <c r="B6118" s="7" t="s">
        <v>26</v>
      </c>
      <c r="C6118" s="7" t="s">
        <v>27</v>
      </c>
      <c r="D6118" s="7" t="s">
        <v>28</v>
      </c>
      <c r="E6118" s="7" t="s">
        <v>29</v>
      </c>
      <c r="F6118" s="7" t="s">
        <v>306</v>
      </c>
      <c r="G6118" s="7">
        <v>99.902330000000006</v>
      </c>
      <c r="H6118" s="7"/>
    </row>
    <row r="6119" spans="1:8" x14ac:dyDescent="0.35">
      <c r="A6119" s="7" t="s">
        <v>366</v>
      </c>
      <c r="B6119" s="7" t="s">
        <v>26</v>
      </c>
      <c r="C6119" s="7" t="s">
        <v>27</v>
      </c>
      <c r="D6119" s="7" t="s">
        <v>28</v>
      </c>
      <c r="E6119" s="7" t="s">
        <v>29</v>
      </c>
      <c r="F6119" s="7" t="s">
        <v>307</v>
      </c>
      <c r="G6119" s="7">
        <v>99.601190000000003</v>
      </c>
      <c r="H6119" s="7"/>
    </row>
    <row r="6120" spans="1:8" x14ac:dyDescent="0.35">
      <c r="A6120" s="7" t="s">
        <v>366</v>
      </c>
      <c r="B6120" s="7" t="s">
        <v>26</v>
      </c>
      <c r="C6120" s="7" t="s">
        <v>27</v>
      </c>
      <c r="D6120" s="7" t="s">
        <v>28</v>
      </c>
      <c r="E6120" s="7" t="s">
        <v>29</v>
      </c>
      <c r="F6120" s="7" t="s">
        <v>308</v>
      </c>
      <c r="G6120" s="7">
        <v>99.187809999999999</v>
      </c>
      <c r="H6120" s="7"/>
    </row>
    <row r="6121" spans="1:8" x14ac:dyDescent="0.35">
      <c r="A6121" s="7" t="s">
        <v>366</v>
      </c>
      <c r="B6121" s="7" t="s">
        <v>26</v>
      </c>
      <c r="C6121" s="7" t="s">
        <v>27</v>
      </c>
      <c r="D6121" s="7" t="s">
        <v>28</v>
      </c>
      <c r="E6121" s="7" t="s">
        <v>29</v>
      </c>
      <c r="F6121" s="7" t="s">
        <v>309</v>
      </c>
      <c r="G6121" s="7">
        <v>98.787450000000007</v>
      </c>
      <c r="H6121" s="7"/>
    </row>
    <row r="6122" spans="1:8" x14ac:dyDescent="0.35">
      <c r="A6122" s="7" t="s">
        <v>366</v>
      </c>
      <c r="B6122" s="7" t="s">
        <v>26</v>
      </c>
      <c r="C6122" s="7" t="s">
        <v>27</v>
      </c>
      <c r="D6122" s="7" t="s">
        <v>28</v>
      </c>
      <c r="E6122" s="7" t="s">
        <v>29</v>
      </c>
      <c r="F6122" s="7" t="s">
        <v>310</v>
      </c>
      <c r="G6122" s="7">
        <v>98.531210000000002</v>
      </c>
      <c r="H6122" s="7"/>
    </row>
    <row r="6123" spans="1:8" x14ac:dyDescent="0.35">
      <c r="A6123" s="7" t="s">
        <v>366</v>
      </c>
      <c r="B6123" s="7" t="s">
        <v>26</v>
      </c>
      <c r="C6123" s="7" t="s">
        <v>27</v>
      </c>
      <c r="D6123" s="7" t="s">
        <v>28</v>
      </c>
      <c r="E6123" s="7" t="s">
        <v>29</v>
      </c>
      <c r="F6123" s="7" t="s">
        <v>311</v>
      </c>
      <c r="G6123" s="7">
        <v>98.414820000000006</v>
      </c>
      <c r="H6123" s="7"/>
    </row>
    <row r="6124" spans="1:8" x14ac:dyDescent="0.35">
      <c r="A6124" s="7" t="s">
        <v>366</v>
      </c>
      <c r="B6124" s="7" t="s">
        <v>26</v>
      </c>
      <c r="C6124" s="7" t="s">
        <v>27</v>
      </c>
      <c r="D6124" s="7" t="s">
        <v>28</v>
      </c>
      <c r="E6124" s="7" t="s">
        <v>29</v>
      </c>
      <c r="F6124" s="7" t="s">
        <v>312</v>
      </c>
      <c r="G6124" s="7">
        <v>98.317809999999994</v>
      </c>
      <c r="H6124" s="7"/>
    </row>
    <row r="6125" spans="1:8" x14ac:dyDescent="0.35">
      <c r="A6125" s="7" t="s">
        <v>366</v>
      </c>
      <c r="B6125" s="7" t="s">
        <v>26</v>
      </c>
      <c r="C6125" s="7" t="s">
        <v>27</v>
      </c>
      <c r="D6125" s="7" t="s">
        <v>28</v>
      </c>
      <c r="E6125" s="7" t="s">
        <v>29</v>
      </c>
      <c r="F6125" s="7" t="s">
        <v>313</v>
      </c>
      <c r="G6125" s="7">
        <v>98.165080000000003</v>
      </c>
      <c r="H6125" s="7"/>
    </row>
    <row r="6126" spans="1:8" x14ac:dyDescent="0.35">
      <c r="A6126" s="7" t="s">
        <v>366</v>
      </c>
      <c r="B6126" s="7" t="s">
        <v>26</v>
      </c>
      <c r="C6126" s="7" t="s">
        <v>27</v>
      </c>
      <c r="D6126" s="7" t="s">
        <v>28</v>
      </c>
      <c r="E6126" s="7" t="s">
        <v>29</v>
      </c>
      <c r="F6126" s="7" t="s">
        <v>314</v>
      </c>
      <c r="G6126" s="7">
        <v>97.944900000000004</v>
      </c>
      <c r="H6126" s="7"/>
    </row>
    <row r="6127" spans="1:8" x14ac:dyDescent="0.35">
      <c r="A6127" s="7" t="s">
        <v>366</v>
      </c>
      <c r="B6127" s="7" t="s">
        <v>26</v>
      </c>
      <c r="C6127" s="7" t="s">
        <v>27</v>
      </c>
      <c r="D6127" s="7" t="s">
        <v>28</v>
      </c>
      <c r="E6127" s="7" t="s">
        <v>29</v>
      </c>
      <c r="F6127" s="7" t="s">
        <v>315</v>
      </c>
      <c r="G6127" s="7">
        <v>97.703699999999998</v>
      </c>
      <c r="H6127" s="7"/>
    </row>
    <row r="6128" spans="1:8" x14ac:dyDescent="0.35">
      <c r="A6128" s="7" t="s">
        <v>366</v>
      </c>
      <c r="B6128" s="7" t="s">
        <v>26</v>
      </c>
      <c r="C6128" s="7" t="s">
        <v>27</v>
      </c>
      <c r="D6128" s="7" t="s">
        <v>28</v>
      </c>
      <c r="E6128" s="7" t="s">
        <v>29</v>
      </c>
      <c r="F6128" s="7" t="s">
        <v>316</v>
      </c>
      <c r="G6128" s="7">
        <v>97.472759999999994</v>
      </c>
      <c r="H6128" s="7"/>
    </row>
    <row r="6129" spans="1:8" x14ac:dyDescent="0.35">
      <c r="A6129" s="7" t="s">
        <v>366</v>
      </c>
      <c r="B6129" s="7" t="s">
        <v>26</v>
      </c>
      <c r="C6129" s="7" t="s">
        <v>27</v>
      </c>
      <c r="D6129" s="7" t="s">
        <v>28</v>
      </c>
      <c r="E6129" s="7" t="s">
        <v>29</v>
      </c>
      <c r="F6129" s="7" t="s">
        <v>317</v>
      </c>
      <c r="G6129" s="7">
        <v>97.385350000000003</v>
      </c>
      <c r="H6129" s="7"/>
    </row>
    <row r="6130" spans="1:8" x14ac:dyDescent="0.35">
      <c r="A6130" s="7" t="s">
        <v>366</v>
      </c>
      <c r="B6130" s="7" t="s">
        <v>26</v>
      </c>
      <c r="C6130" s="7" t="s">
        <v>27</v>
      </c>
      <c r="D6130" s="7" t="s">
        <v>28</v>
      </c>
      <c r="E6130" s="7" t="s">
        <v>29</v>
      </c>
      <c r="F6130" s="7" t="s">
        <v>318</v>
      </c>
      <c r="G6130" s="7">
        <v>97.399829999999994</v>
      </c>
      <c r="H6130" s="7"/>
    </row>
    <row r="6131" spans="1:8" x14ac:dyDescent="0.35">
      <c r="A6131" s="7" t="s">
        <v>366</v>
      </c>
      <c r="B6131" s="7" t="s">
        <v>26</v>
      </c>
      <c r="C6131" s="7" t="s">
        <v>27</v>
      </c>
      <c r="D6131" s="7" t="s">
        <v>28</v>
      </c>
      <c r="E6131" s="7" t="s">
        <v>29</v>
      </c>
      <c r="F6131" s="7" t="s">
        <v>319</v>
      </c>
      <c r="G6131" s="7">
        <v>97.432199999999995</v>
      </c>
      <c r="H6131" s="7"/>
    </row>
    <row r="6132" spans="1:8" x14ac:dyDescent="0.35">
      <c r="A6132" s="7" t="s">
        <v>366</v>
      </c>
      <c r="B6132" s="7" t="s">
        <v>26</v>
      </c>
      <c r="C6132" s="7" t="s">
        <v>27</v>
      </c>
      <c r="D6132" s="7" t="s">
        <v>28</v>
      </c>
      <c r="E6132" s="7" t="s">
        <v>29</v>
      </c>
      <c r="F6132" s="7" t="s">
        <v>320</v>
      </c>
      <c r="G6132" s="7">
        <v>97.477010000000007</v>
      </c>
      <c r="H6132" s="7"/>
    </row>
    <row r="6133" spans="1:8" x14ac:dyDescent="0.35">
      <c r="A6133" s="7" t="s">
        <v>366</v>
      </c>
      <c r="B6133" s="7" t="s">
        <v>26</v>
      </c>
      <c r="C6133" s="7" t="s">
        <v>27</v>
      </c>
      <c r="D6133" s="7" t="s">
        <v>28</v>
      </c>
      <c r="E6133" s="7" t="s">
        <v>29</v>
      </c>
      <c r="F6133" s="7" t="s">
        <v>321</v>
      </c>
      <c r="G6133" s="7">
        <v>97.518590000000003</v>
      </c>
      <c r="H6133" s="7"/>
    </row>
    <row r="6134" spans="1:8" x14ac:dyDescent="0.35">
      <c r="A6134" s="7" t="s">
        <v>366</v>
      </c>
      <c r="B6134" s="7" t="s">
        <v>26</v>
      </c>
      <c r="C6134" s="7" t="s">
        <v>27</v>
      </c>
      <c r="D6134" s="7" t="s">
        <v>28</v>
      </c>
      <c r="E6134" s="7" t="s">
        <v>29</v>
      </c>
      <c r="F6134" s="7" t="s">
        <v>322</v>
      </c>
      <c r="G6134" s="7">
        <v>97.520120000000006</v>
      </c>
      <c r="H6134" s="7"/>
    </row>
    <row r="6135" spans="1:8" x14ac:dyDescent="0.35">
      <c r="A6135" s="7" t="s">
        <v>366</v>
      </c>
      <c r="B6135" s="7" t="s">
        <v>26</v>
      </c>
      <c r="C6135" s="7" t="s">
        <v>27</v>
      </c>
      <c r="D6135" s="7" t="s">
        <v>28</v>
      </c>
      <c r="E6135" s="7" t="s">
        <v>29</v>
      </c>
      <c r="F6135" s="7" t="s">
        <v>323</v>
      </c>
      <c r="G6135" s="7">
        <v>97.596379999999996</v>
      </c>
      <c r="H6135" s="7"/>
    </row>
    <row r="6136" spans="1:8" x14ac:dyDescent="0.35">
      <c r="A6136" s="7" t="s">
        <v>366</v>
      </c>
      <c r="B6136" s="7" t="s">
        <v>26</v>
      </c>
      <c r="C6136" s="7" t="s">
        <v>27</v>
      </c>
      <c r="D6136" s="7" t="s">
        <v>28</v>
      </c>
      <c r="E6136" s="7" t="s">
        <v>29</v>
      </c>
      <c r="F6136" s="7" t="s">
        <v>324</v>
      </c>
      <c r="G6136" s="7">
        <v>97.843059999999994</v>
      </c>
      <c r="H6136" s="7"/>
    </row>
    <row r="6137" spans="1:8" x14ac:dyDescent="0.35">
      <c r="A6137" s="7" t="s">
        <v>366</v>
      </c>
      <c r="B6137" s="7" t="s">
        <v>26</v>
      </c>
      <c r="C6137" s="7" t="s">
        <v>27</v>
      </c>
      <c r="D6137" s="7" t="s">
        <v>28</v>
      </c>
      <c r="E6137" s="7" t="s">
        <v>29</v>
      </c>
      <c r="F6137" s="7" t="s">
        <v>325</v>
      </c>
      <c r="G6137" s="7">
        <v>98.181389999999993</v>
      </c>
      <c r="H6137" s="7"/>
    </row>
    <row r="6138" spans="1:8" x14ac:dyDescent="0.35">
      <c r="A6138" s="7" t="s">
        <v>366</v>
      </c>
      <c r="B6138" s="7" t="s">
        <v>26</v>
      </c>
      <c r="C6138" s="7" t="s">
        <v>27</v>
      </c>
      <c r="D6138" s="7" t="s">
        <v>28</v>
      </c>
      <c r="E6138" s="7" t="s">
        <v>29</v>
      </c>
      <c r="F6138" s="7" t="s">
        <v>326</v>
      </c>
      <c r="G6138" s="7">
        <v>98.529120000000006</v>
      </c>
      <c r="H6138" s="7"/>
    </row>
    <row r="6139" spans="1:8" x14ac:dyDescent="0.35">
      <c r="A6139" s="7" t="s">
        <v>366</v>
      </c>
      <c r="B6139" s="7" t="s">
        <v>26</v>
      </c>
      <c r="C6139" s="7" t="s">
        <v>27</v>
      </c>
      <c r="D6139" s="7" t="s">
        <v>28</v>
      </c>
      <c r="E6139" s="7" t="s">
        <v>29</v>
      </c>
      <c r="F6139" s="7" t="s">
        <v>327</v>
      </c>
      <c r="G6139" s="7">
        <v>98.789339999999996</v>
      </c>
      <c r="H6139" s="7"/>
    </row>
    <row r="6140" spans="1:8" x14ac:dyDescent="0.35">
      <c r="A6140" s="7" t="s">
        <v>366</v>
      </c>
      <c r="B6140" s="7" t="s">
        <v>26</v>
      </c>
      <c r="C6140" s="7" t="s">
        <v>27</v>
      </c>
      <c r="D6140" s="7" t="s">
        <v>28</v>
      </c>
      <c r="E6140" s="7" t="s">
        <v>29</v>
      </c>
      <c r="F6140" s="7" t="s">
        <v>328</v>
      </c>
      <c r="G6140" s="7">
        <v>98.920349999999999</v>
      </c>
      <c r="H6140" s="7"/>
    </row>
    <row r="6141" spans="1:8" x14ac:dyDescent="0.35">
      <c r="A6141" s="7" t="s">
        <v>366</v>
      </c>
      <c r="B6141" s="7" t="s">
        <v>26</v>
      </c>
      <c r="C6141" s="7" t="s">
        <v>27</v>
      </c>
      <c r="D6141" s="7" t="s">
        <v>28</v>
      </c>
      <c r="E6141" s="7" t="s">
        <v>29</v>
      </c>
      <c r="F6141" s="7" t="s">
        <v>329</v>
      </c>
      <c r="G6141" s="7">
        <v>98.92371</v>
      </c>
      <c r="H6141" s="7"/>
    </row>
    <row r="6142" spans="1:8" x14ac:dyDescent="0.35">
      <c r="A6142" s="7" t="s">
        <v>366</v>
      </c>
      <c r="B6142" s="7" t="s">
        <v>26</v>
      </c>
      <c r="C6142" s="7" t="s">
        <v>27</v>
      </c>
      <c r="D6142" s="7" t="s">
        <v>28</v>
      </c>
      <c r="E6142" s="7" t="s">
        <v>29</v>
      </c>
      <c r="F6142" s="7" t="s">
        <v>330</v>
      </c>
      <c r="G6142" s="7">
        <v>98.82602</v>
      </c>
      <c r="H6142" s="7"/>
    </row>
    <row r="6143" spans="1:8" x14ac:dyDescent="0.35">
      <c r="A6143" s="7" t="s">
        <v>366</v>
      </c>
      <c r="B6143" s="7" t="s">
        <v>26</v>
      </c>
      <c r="C6143" s="7" t="s">
        <v>27</v>
      </c>
      <c r="D6143" s="7" t="s">
        <v>28</v>
      </c>
      <c r="E6143" s="7" t="s">
        <v>29</v>
      </c>
      <c r="F6143" s="7" t="s">
        <v>331</v>
      </c>
      <c r="G6143" s="7">
        <v>98.765910000000005</v>
      </c>
      <c r="H6143" s="7"/>
    </row>
    <row r="6144" spans="1:8" x14ac:dyDescent="0.35">
      <c r="A6144" s="7" t="s">
        <v>366</v>
      </c>
      <c r="B6144" s="7" t="s">
        <v>26</v>
      </c>
      <c r="C6144" s="7" t="s">
        <v>27</v>
      </c>
      <c r="D6144" s="7" t="s">
        <v>28</v>
      </c>
      <c r="E6144" s="7" t="s">
        <v>29</v>
      </c>
      <c r="F6144" s="7" t="s">
        <v>332</v>
      </c>
      <c r="G6144" s="7">
        <v>98.899879999999996</v>
      </c>
      <c r="H6144" s="7"/>
    </row>
    <row r="6145" spans="1:8" x14ac:dyDescent="0.35">
      <c r="A6145" s="7" t="s">
        <v>366</v>
      </c>
      <c r="B6145" s="7" t="s">
        <v>26</v>
      </c>
      <c r="C6145" s="7" t="s">
        <v>27</v>
      </c>
      <c r="D6145" s="7" t="s">
        <v>28</v>
      </c>
      <c r="E6145" s="7" t="s">
        <v>29</v>
      </c>
      <c r="F6145" s="7" t="s">
        <v>333</v>
      </c>
      <c r="G6145" s="7">
        <v>99.101209999999995</v>
      </c>
      <c r="H6145" s="7"/>
    </row>
    <row r="6146" spans="1:8" x14ac:dyDescent="0.35">
      <c r="A6146" s="7" t="s">
        <v>366</v>
      </c>
      <c r="B6146" s="7" t="s">
        <v>26</v>
      </c>
      <c r="C6146" s="7" t="s">
        <v>27</v>
      </c>
      <c r="D6146" s="7" t="s">
        <v>28</v>
      </c>
      <c r="E6146" s="7" t="s">
        <v>29</v>
      </c>
      <c r="F6146" s="7" t="s">
        <v>334</v>
      </c>
      <c r="G6146" s="7">
        <v>99.27749</v>
      </c>
      <c r="H6146" s="7"/>
    </row>
    <row r="6147" spans="1:8" x14ac:dyDescent="0.35">
      <c r="A6147" s="7" t="s">
        <v>366</v>
      </c>
      <c r="B6147" s="7" t="s">
        <v>26</v>
      </c>
      <c r="C6147" s="7" t="s">
        <v>27</v>
      </c>
      <c r="D6147" s="7" t="s">
        <v>28</v>
      </c>
      <c r="E6147" s="7" t="s">
        <v>29</v>
      </c>
      <c r="F6147" s="7" t="s">
        <v>335</v>
      </c>
      <c r="G6147" s="7">
        <v>99.327209999999994</v>
      </c>
      <c r="H6147" s="7"/>
    </row>
    <row r="6148" spans="1:8" x14ac:dyDescent="0.35">
      <c r="A6148" s="7" t="s">
        <v>366</v>
      </c>
      <c r="B6148" s="7" t="s">
        <v>26</v>
      </c>
      <c r="C6148" s="7" t="s">
        <v>27</v>
      </c>
      <c r="D6148" s="7" t="s">
        <v>28</v>
      </c>
      <c r="E6148" s="7" t="s">
        <v>29</v>
      </c>
      <c r="F6148" s="7" t="s">
        <v>336</v>
      </c>
      <c r="G6148" s="7">
        <v>99.324619999999996</v>
      </c>
      <c r="H6148" s="7"/>
    </row>
    <row r="6149" spans="1:8" x14ac:dyDescent="0.35">
      <c r="A6149" s="7" t="s">
        <v>366</v>
      </c>
      <c r="B6149" s="7" t="s">
        <v>26</v>
      </c>
      <c r="C6149" s="7" t="s">
        <v>27</v>
      </c>
      <c r="D6149" s="7" t="s">
        <v>28</v>
      </c>
      <c r="E6149" s="7" t="s">
        <v>29</v>
      </c>
      <c r="F6149" s="7" t="s">
        <v>337</v>
      </c>
      <c r="G6149" s="7">
        <v>99.278199999999998</v>
      </c>
      <c r="H6149" s="7"/>
    </row>
    <row r="6150" spans="1:8" x14ac:dyDescent="0.35">
      <c r="A6150" s="7" t="s">
        <v>366</v>
      </c>
      <c r="B6150" s="7" t="s">
        <v>26</v>
      </c>
      <c r="C6150" s="7" t="s">
        <v>27</v>
      </c>
      <c r="D6150" s="7" t="s">
        <v>28</v>
      </c>
      <c r="E6150" s="7" t="s">
        <v>29</v>
      </c>
      <c r="F6150" s="7" t="s">
        <v>338</v>
      </c>
      <c r="G6150" s="7">
        <v>99.257289999999998</v>
      </c>
      <c r="H6150" s="7"/>
    </row>
    <row r="6151" spans="1:8" x14ac:dyDescent="0.35">
      <c r="A6151" s="7" t="s">
        <v>366</v>
      </c>
      <c r="B6151" s="7" t="s">
        <v>26</v>
      </c>
      <c r="C6151" s="7" t="s">
        <v>27</v>
      </c>
      <c r="D6151" s="7" t="s">
        <v>28</v>
      </c>
      <c r="E6151" s="7" t="s">
        <v>29</v>
      </c>
      <c r="F6151" s="7" t="s">
        <v>339</v>
      </c>
      <c r="G6151" s="7">
        <v>99.291920000000005</v>
      </c>
      <c r="H6151" s="7"/>
    </row>
    <row r="6152" spans="1:8" x14ac:dyDescent="0.35">
      <c r="A6152" s="7" t="s">
        <v>366</v>
      </c>
      <c r="B6152" s="7" t="s">
        <v>26</v>
      </c>
      <c r="C6152" s="7" t="s">
        <v>27</v>
      </c>
      <c r="D6152" s="7" t="s">
        <v>28</v>
      </c>
      <c r="E6152" s="7" t="s">
        <v>29</v>
      </c>
      <c r="F6152" s="7" t="s">
        <v>340</v>
      </c>
      <c r="G6152" s="7">
        <v>99.438770000000005</v>
      </c>
      <c r="H6152" s="7"/>
    </row>
    <row r="6153" spans="1:8" x14ac:dyDescent="0.35">
      <c r="A6153" s="7" t="s">
        <v>366</v>
      </c>
      <c r="B6153" s="7" t="s">
        <v>26</v>
      </c>
      <c r="C6153" s="7" t="s">
        <v>27</v>
      </c>
      <c r="D6153" s="7" t="s">
        <v>28</v>
      </c>
      <c r="E6153" s="7" t="s">
        <v>29</v>
      </c>
      <c r="F6153" s="7" t="s">
        <v>341</v>
      </c>
      <c r="G6153" s="7">
        <v>99.63373</v>
      </c>
      <c r="H6153" s="7"/>
    </row>
    <row r="6154" spans="1:8" x14ac:dyDescent="0.35">
      <c r="A6154" s="7" t="s">
        <v>366</v>
      </c>
      <c r="B6154" s="7" t="s">
        <v>26</v>
      </c>
      <c r="C6154" s="7" t="s">
        <v>27</v>
      </c>
      <c r="D6154" s="7" t="s">
        <v>28</v>
      </c>
      <c r="E6154" s="7" t="s">
        <v>29</v>
      </c>
      <c r="F6154" s="7" t="s">
        <v>342</v>
      </c>
      <c r="G6154" s="7">
        <v>99.804569999999998</v>
      </c>
      <c r="H6154" s="7"/>
    </row>
    <row r="6155" spans="1:8" x14ac:dyDescent="0.35">
      <c r="A6155" s="7" t="s">
        <v>366</v>
      </c>
      <c r="B6155" s="7" t="s">
        <v>26</v>
      </c>
      <c r="C6155" s="7" t="s">
        <v>27</v>
      </c>
      <c r="D6155" s="7" t="s">
        <v>28</v>
      </c>
      <c r="E6155" s="7" t="s">
        <v>29</v>
      </c>
      <c r="F6155" s="7" t="s">
        <v>343</v>
      </c>
      <c r="G6155" s="7">
        <v>99.913030000000006</v>
      </c>
      <c r="H6155" s="7"/>
    </row>
    <row r="6156" spans="1:8" x14ac:dyDescent="0.35">
      <c r="A6156" s="7" t="s">
        <v>366</v>
      </c>
      <c r="B6156" s="7" t="s">
        <v>26</v>
      </c>
      <c r="C6156" s="7" t="s">
        <v>27</v>
      </c>
      <c r="D6156" s="7" t="s">
        <v>28</v>
      </c>
      <c r="E6156" s="7" t="s">
        <v>29</v>
      </c>
      <c r="F6156" s="7" t="s">
        <v>344</v>
      </c>
      <c r="G6156" s="7">
        <v>99.975759999999994</v>
      </c>
      <c r="H6156" s="7"/>
    </row>
    <row r="6157" spans="1:8" x14ac:dyDescent="0.35">
      <c r="A6157" s="7" t="s">
        <v>366</v>
      </c>
      <c r="B6157" s="7" t="s">
        <v>26</v>
      </c>
      <c r="C6157" s="7" t="s">
        <v>27</v>
      </c>
      <c r="D6157" s="7" t="s">
        <v>28</v>
      </c>
      <c r="E6157" s="7" t="s">
        <v>29</v>
      </c>
      <c r="F6157" s="7" t="s">
        <v>345</v>
      </c>
      <c r="G6157" s="7">
        <v>100.0574</v>
      </c>
      <c r="H6157" s="7"/>
    </row>
    <row r="6158" spans="1:8" x14ac:dyDescent="0.35">
      <c r="A6158" s="7" t="s">
        <v>366</v>
      </c>
      <c r="B6158" s="7" t="s">
        <v>26</v>
      </c>
      <c r="C6158" s="7" t="s">
        <v>27</v>
      </c>
      <c r="D6158" s="7" t="s">
        <v>28</v>
      </c>
      <c r="E6158" s="7" t="s">
        <v>29</v>
      </c>
      <c r="F6158" s="7" t="s">
        <v>346</v>
      </c>
      <c r="G6158" s="7">
        <v>100.25320000000001</v>
      </c>
      <c r="H6158" s="7"/>
    </row>
    <row r="6159" spans="1:8" x14ac:dyDescent="0.35">
      <c r="A6159" s="7" t="s">
        <v>367</v>
      </c>
      <c r="B6159" s="7" t="s">
        <v>26</v>
      </c>
      <c r="C6159" s="7" t="s">
        <v>27</v>
      </c>
      <c r="D6159" s="7" t="s">
        <v>28</v>
      </c>
      <c r="E6159" s="7" t="s">
        <v>29</v>
      </c>
      <c r="F6159" s="7" t="s">
        <v>119</v>
      </c>
      <c r="G6159" s="7">
        <v>96.876329999999996</v>
      </c>
      <c r="H6159" s="7"/>
    </row>
    <row r="6160" spans="1:8" x14ac:dyDescent="0.35">
      <c r="A6160" s="7" t="s">
        <v>367</v>
      </c>
      <c r="B6160" s="7" t="s">
        <v>26</v>
      </c>
      <c r="C6160" s="7" t="s">
        <v>27</v>
      </c>
      <c r="D6160" s="7" t="s">
        <v>28</v>
      </c>
      <c r="E6160" s="7" t="s">
        <v>29</v>
      </c>
      <c r="F6160" s="7" t="s">
        <v>120</v>
      </c>
      <c r="G6160" s="7">
        <v>96.644729999999996</v>
      </c>
      <c r="H6160" s="7"/>
    </row>
    <row r="6161" spans="1:8" x14ac:dyDescent="0.35">
      <c r="A6161" s="7" t="s">
        <v>367</v>
      </c>
      <c r="B6161" s="7" t="s">
        <v>26</v>
      </c>
      <c r="C6161" s="7" t="s">
        <v>27</v>
      </c>
      <c r="D6161" s="7" t="s">
        <v>28</v>
      </c>
      <c r="E6161" s="7" t="s">
        <v>29</v>
      </c>
      <c r="F6161" s="7" t="s">
        <v>121</v>
      </c>
      <c r="G6161" s="7">
        <v>96.363230000000001</v>
      </c>
      <c r="H6161" s="7"/>
    </row>
    <row r="6162" spans="1:8" x14ac:dyDescent="0.35">
      <c r="A6162" s="7" t="s">
        <v>367</v>
      </c>
      <c r="B6162" s="7" t="s">
        <v>26</v>
      </c>
      <c r="C6162" s="7" t="s">
        <v>27</v>
      </c>
      <c r="D6162" s="7" t="s">
        <v>28</v>
      </c>
      <c r="E6162" s="7" t="s">
        <v>29</v>
      </c>
      <c r="F6162" s="7" t="s">
        <v>122</v>
      </c>
      <c r="G6162" s="7">
        <v>95.949680000000001</v>
      </c>
      <c r="H6162" s="7"/>
    </row>
    <row r="6163" spans="1:8" x14ac:dyDescent="0.35">
      <c r="A6163" s="7" t="s">
        <v>367</v>
      </c>
      <c r="B6163" s="7" t="s">
        <v>26</v>
      </c>
      <c r="C6163" s="7" t="s">
        <v>27</v>
      </c>
      <c r="D6163" s="7" t="s">
        <v>28</v>
      </c>
      <c r="E6163" s="7" t="s">
        <v>29</v>
      </c>
      <c r="F6163" s="7" t="s">
        <v>123</v>
      </c>
      <c r="G6163" s="7">
        <v>95.735720000000001</v>
      </c>
      <c r="H6163" s="7"/>
    </row>
    <row r="6164" spans="1:8" x14ac:dyDescent="0.35">
      <c r="A6164" s="7" t="s">
        <v>367</v>
      </c>
      <c r="B6164" s="7" t="s">
        <v>26</v>
      </c>
      <c r="C6164" s="7" t="s">
        <v>27</v>
      </c>
      <c r="D6164" s="7" t="s">
        <v>28</v>
      </c>
      <c r="E6164" s="7" t="s">
        <v>29</v>
      </c>
      <c r="F6164" s="7" t="s">
        <v>124</v>
      </c>
      <c r="G6164" s="7">
        <v>95.744770000000003</v>
      </c>
      <c r="H6164" s="7"/>
    </row>
    <row r="6165" spans="1:8" x14ac:dyDescent="0.35">
      <c r="A6165" s="7" t="s">
        <v>367</v>
      </c>
      <c r="B6165" s="7" t="s">
        <v>26</v>
      </c>
      <c r="C6165" s="7" t="s">
        <v>27</v>
      </c>
      <c r="D6165" s="7" t="s">
        <v>28</v>
      </c>
      <c r="E6165" s="7" t="s">
        <v>29</v>
      </c>
      <c r="F6165" s="7" t="s">
        <v>125</v>
      </c>
      <c r="G6165" s="7">
        <v>96.08699</v>
      </c>
      <c r="H6165" s="7"/>
    </row>
    <row r="6166" spans="1:8" x14ac:dyDescent="0.35">
      <c r="A6166" s="7" t="s">
        <v>367</v>
      </c>
      <c r="B6166" s="7" t="s">
        <v>26</v>
      </c>
      <c r="C6166" s="7" t="s">
        <v>27</v>
      </c>
      <c r="D6166" s="7" t="s">
        <v>28</v>
      </c>
      <c r="E6166" s="7" t="s">
        <v>29</v>
      </c>
      <c r="F6166" s="7" t="s">
        <v>126</v>
      </c>
      <c r="G6166" s="7">
        <v>96.555239999999998</v>
      </c>
      <c r="H6166" s="7"/>
    </row>
    <row r="6167" spans="1:8" x14ac:dyDescent="0.35">
      <c r="A6167" s="7" t="s">
        <v>367</v>
      </c>
      <c r="B6167" s="7" t="s">
        <v>26</v>
      </c>
      <c r="C6167" s="7" t="s">
        <v>27</v>
      </c>
      <c r="D6167" s="7" t="s">
        <v>28</v>
      </c>
      <c r="E6167" s="7" t="s">
        <v>29</v>
      </c>
      <c r="F6167" s="7" t="s">
        <v>127</v>
      </c>
      <c r="G6167" s="7">
        <v>96.990570000000005</v>
      </c>
      <c r="H6167" s="7"/>
    </row>
    <row r="6168" spans="1:8" x14ac:dyDescent="0.35">
      <c r="A6168" s="7" t="s">
        <v>367</v>
      </c>
      <c r="B6168" s="7" t="s">
        <v>26</v>
      </c>
      <c r="C6168" s="7" t="s">
        <v>27</v>
      </c>
      <c r="D6168" s="7" t="s">
        <v>28</v>
      </c>
      <c r="E6168" s="7" t="s">
        <v>29</v>
      </c>
      <c r="F6168" s="7" t="s">
        <v>128</v>
      </c>
      <c r="G6168" s="7">
        <v>97.274799999999999</v>
      </c>
      <c r="H6168" s="7"/>
    </row>
    <row r="6169" spans="1:8" x14ac:dyDescent="0.35">
      <c r="A6169" s="7" t="s">
        <v>367</v>
      </c>
      <c r="B6169" s="7" t="s">
        <v>26</v>
      </c>
      <c r="C6169" s="7" t="s">
        <v>27</v>
      </c>
      <c r="D6169" s="7" t="s">
        <v>28</v>
      </c>
      <c r="E6169" s="7" t="s">
        <v>29</v>
      </c>
      <c r="F6169" s="7" t="s">
        <v>129</v>
      </c>
      <c r="G6169" s="7">
        <v>97.388919999999999</v>
      </c>
      <c r="H6169" s="7"/>
    </row>
    <row r="6170" spans="1:8" x14ac:dyDescent="0.35">
      <c r="A6170" s="7" t="s">
        <v>367</v>
      </c>
      <c r="B6170" s="7" t="s">
        <v>26</v>
      </c>
      <c r="C6170" s="7" t="s">
        <v>27</v>
      </c>
      <c r="D6170" s="7" t="s">
        <v>28</v>
      </c>
      <c r="E6170" s="7" t="s">
        <v>29</v>
      </c>
      <c r="F6170" s="7" t="s">
        <v>130</v>
      </c>
      <c r="G6170" s="7">
        <v>97.375770000000003</v>
      </c>
      <c r="H6170" s="7"/>
    </row>
    <row r="6171" spans="1:8" x14ac:dyDescent="0.35">
      <c r="A6171" s="7" t="s">
        <v>367</v>
      </c>
      <c r="B6171" s="7" t="s">
        <v>26</v>
      </c>
      <c r="C6171" s="7" t="s">
        <v>27</v>
      </c>
      <c r="D6171" s="7" t="s">
        <v>28</v>
      </c>
      <c r="E6171" s="7" t="s">
        <v>29</v>
      </c>
      <c r="F6171" s="7" t="s">
        <v>131</v>
      </c>
      <c r="G6171" s="7">
        <v>97.357569999999996</v>
      </c>
      <c r="H6171" s="7"/>
    </row>
    <row r="6172" spans="1:8" x14ac:dyDescent="0.35">
      <c r="A6172" s="7" t="s">
        <v>367</v>
      </c>
      <c r="B6172" s="7" t="s">
        <v>26</v>
      </c>
      <c r="C6172" s="7" t="s">
        <v>27</v>
      </c>
      <c r="D6172" s="7" t="s">
        <v>28</v>
      </c>
      <c r="E6172" s="7" t="s">
        <v>29</v>
      </c>
      <c r="F6172" s="7" t="s">
        <v>132</v>
      </c>
      <c r="G6172" s="7">
        <v>97.581990000000005</v>
      </c>
      <c r="H6172" s="7"/>
    </row>
    <row r="6173" spans="1:8" x14ac:dyDescent="0.35">
      <c r="A6173" s="7" t="s">
        <v>367</v>
      </c>
      <c r="B6173" s="7" t="s">
        <v>26</v>
      </c>
      <c r="C6173" s="7" t="s">
        <v>27</v>
      </c>
      <c r="D6173" s="7" t="s">
        <v>28</v>
      </c>
      <c r="E6173" s="7" t="s">
        <v>29</v>
      </c>
      <c r="F6173" s="7" t="s">
        <v>133</v>
      </c>
      <c r="G6173" s="7">
        <v>97.946560000000005</v>
      </c>
      <c r="H6173" s="7"/>
    </row>
    <row r="6174" spans="1:8" x14ac:dyDescent="0.35">
      <c r="A6174" s="7" t="s">
        <v>367</v>
      </c>
      <c r="B6174" s="7" t="s">
        <v>26</v>
      </c>
      <c r="C6174" s="7" t="s">
        <v>27</v>
      </c>
      <c r="D6174" s="7" t="s">
        <v>28</v>
      </c>
      <c r="E6174" s="7" t="s">
        <v>29</v>
      </c>
      <c r="F6174" s="7" t="s">
        <v>134</v>
      </c>
      <c r="G6174" s="7">
        <v>98.383319999999998</v>
      </c>
      <c r="H6174" s="7"/>
    </row>
    <row r="6175" spans="1:8" x14ac:dyDescent="0.35">
      <c r="A6175" s="7" t="s">
        <v>367</v>
      </c>
      <c r="B6175" s="7" t="s">
        <v>26</v>
      </c>
      <c r="C6175" s="7" t="s">
        <v>27</v>
      </c>
      <c r="D6175" s="7" t="s">
        <v>28</v>
      </c>
      <c r="E6175" s="7" t="s">
        <v>29</v>
      </c>
      <c r="F6175" s="7" t="s">
        <v>135</v>
      </c>
      <c r="G6175" s="7">
        <v>98.724519999999998</v>
      </c>
      <c r="H6175" s="7"/>
    </row>
    <row r="6176" spans="1:8" x14ac:dyDescent="0.35">
      <c r="A6176" s="7" t="s">
        <v>367</v>
      </c>
      <c r="B6176" s="7" t="s">
        <v>26</v>
      </c>
      <c r="C6176" s="7" t="s">
        <v>27</v>
      </c>
      <c r="D6176" s="7" t="s">
        <v>28</v>
      </c>
      <c r="E6176" s="7" t="s">
        <v>29</v>
      </c>
      <c r="F6176" s="7" t="s">
        <v>136</v>
      </c>
      <c r="G6176" s="7">
        <v>98.776169999999993</v>
      </c>
      <c r="H6176" s="7"/>
    </row>
    <row r="6177" spans="1:8" x14ac:dyDescent="0.35">
      <c r="A6177" s="7" t="s">
        <v>367</v>
      </c>
      <c r="B6177" s="7" t="s">
        <v>26</v>
      </c>
      <c r="C6177" s="7" t="s">
        <v>27</v>
      </c>
      <c r="D6177" s="7" t="s">
        <v>28</v>
      </c>
      <c r="E6177" s="7" t="s">
        <v>29</v>
      </c>
      <c r="F6177" s="7" t="s">
        <v>137</v>
      </c>
      <c r="G6177" s="7">
        <v>98.668080000000003</v>
      </c>
      <c r="H6177" s="7"/>
    </row>
    <row r="6178" spans="1:8" x14ac:dyDescent="0.35">
      <c r="A6178" s="7" t="s">
        <v>367</v>
      </c>
      <c r="B6178" s="7" t="s">
        <v>26</v>
      </c>
      <c r="C6178" s="7" t="s">
        <v>27</v>
      </c>
      <c r="D6178" s="7" t="s">
        <v>28</v>
      </c>
      <c r="E6178" s="7" t="s">
        <v>29</v>
      </c>
      <c r="F6178" s="7" t="s">
        <v>138</v>
      </c>
      <c r="G6178" s="7">
        <v>98.275509999999997</v>
      </c>
      <c r="H6178" s="7"/>
    </row>
    <row r="6179" spans="1:8" x14ac:dyDescent="0.35">
      <c r="A6179" s="7" t="s">
        <v>367</v>
      </c>
      <c r="B6179" s="7" t="s">
        <v>26</v>
      </c>
      <c r="C6179" s="7" t="s">
        <v>27</v>
      </c>
      <c r="D6179" s="7" t="s">
        <v>28</v>
      </c>
      <c r="E6179" s="7" t="s">
        <v>29</v>
      </c>
      <c r="F6179" s="7" t="s">
        <v>139</v>
      </c>
      <c r="G6179" s="7">
        <v>97.738730000000004</v>
      </c>
      <c r="H6179" s="7"/>
    </row>
    <row r="6180" spans="1:8" x14ac:dyDescent="0.35">
      <c r="A6180" s="7" t="s">
        <v>367</v>
      </c>
      <c r="B6180" s="7" t="s">
        <v>26</v>
      </c>
      <c r="C6180" s="7" t="s">
        <v>27</v>
      </c>
      <c r="D6180" s="7" t="s">
        <v>28</v>
      </c>
      <c r="E6180" s="7" t="s">
        <v>29</v>
      </c>
      <c r="F6180" s="7" t="s">
        <v>140</v>
      </c>
      <c r="G6180" s="7">
        <v>97.460620000000006</v>
      </c>
      <c r="H6180" s="7"/>
    </row>
    <row r="6181" spans="1:8" x14ac:dyDescent="0.35">
      <c r="A6181" s="7" t="s">
        <v>367</v>
      </c>
      <c r="B6181" s="7" t="s">
        <v>26</v>
      </c>
      <c r="C6181" s="7" t="s">
        <v>27</v>
      </c>
      <c r="D6181" s="7" t="s">
        <v>28</v>
      </c>
      <c r="E6181" s="7" t="s">
        <v>29</v>
      </c>
      <c r="F6181" s="7" t="s">
        <v>141</v>
      </c>
      <c r="G6181" s="7">
        <v>97.227969999999999</v>
      </c>
      <c r="H6181" s="7"/>
    </row>
    <row r="6182" spans="1:8" x14ac:dyDescent="0.35">
      <c r="A6182" s="7" t="s">
        <v>367</v>
      </c>
      <c r="B6182" s="7" t="s">
        <v>26</v>
      </c>
      <c r="C6182" s="7" t="s">
        <v>27</v>
      </c>
      <c r="D6182" s="7" t="s">
        <v>28</v>
      </c>
      <c r="E6182" s="7" t="s">
        <v>29</v>
      </c>
      <c r="F6182" s="7" t="s">
        <v>142</v>
      </c>
      <c r="G6182" s="7">
        <v>97.09863</v>
      </c>
      <c r="H6182" s="7"/>
    </row>
    <row r="6183" spans="1:8" x14ac:dyDescent="0.35">
      <c r="A6183" s="7" t="s">
        <v>367</v>
      </c>
      <c r="B6183" s="7" t="s">
        <v>26</v>
      </c>
      <c r="C6183" s="7" t="s">
        <v>27</v>
      </c>
      <c r="D6183" s="7" t="s">
        <v>28</v>
      </c>
      <c r="E6183" s="7" t="s">
        <v>29</v>
      </c>
      <c r="F6183" s="7" t="s">
        <v>143</v>
      </c>
      <c r="G6183" s="7">
        <v>97.304910000000007</v>
      </c>
      <c r="H6183" s="7"/>
    </row>
    <row r="6184" spans="1:8" x14ac:dyDescent="0.35">
      <c r="A6184" s="7" t="s">
        <v>367</v>
      </c>
      <c r="B6184" s="7" t="s">
        <v>26</v>
      </c>
      <c r="C6184" s="7" t="s">
        <v>27</v>
      </c>
      <c r="D6184" s="7" t="s">
        <v>28</v>
      </c>
      <c r="E6184" s="7" t="s">
        <v>29</v>
      </c>
      <c r="F6184" s="7" t="s">
        <v>144</v>
      </c>
      <c r="G6184" s="7">
        <v>97.642380000000003</v>
      </c>
      <c r="H6184" s="7"/>
    </row>
    <row r="6185" spans="1:8" x14ac:dyDescent="0.35">
      <c r="A6185" s="7" t="s">
        <v>367</v>
      </c>
      <c r="B6185" s="7" t="s">
        <v>26</v>
      </c>
      <c r="C6185" s="7" t="s">
        <v>27</v>
      </c>
      <c r="D6185" s="7" t="s">
        <v>28</v>
      </c>
      <c r="E6185" s="7" t="s">
        <v>29</v>
      </c>
      <c r="F6185" s="7" t="s">
        <v>145</v>
      </c>
      <c r="G6185" s="7">
        <v>98.004130000000004</v>
      </c>
      <c r="H6185" s="7"/>
    </row>
    <row r="6186" spans="1:8" x14ac:dyDescent="0.35">
      <c r="A6186" s="7" t="s">
        <v>367</v>
      </c>
      <c r="B6186" s="7" t="s">
        <v>26</v>
      </c>
      <c r="C6186" s="7" t="s">
        <v>27</v>
      </c>
      <c r="D6186" s="7" t="s">
        <v>28</v>
      </c>
      <c r="E6186" s="7" t="s">
        <v>29</v>
      </c>
      <c r="F6186" s="7" t="s">
        <v>146</v>
      </c>
      <c r="G6186" s="7">
        <v>98.372529999999998</v>
      </c>
      <c r="H6186" s="7"/>
    </row>
    <row r="6187" spans="1:8" x14ac:dyDescent="0.35">
      <c r="A6187" s="7" t="s">
        <v>367</v>
      </c>
      <c r="B6187" s="7" t="s">
        <v>26</v>
      </c>
      <c r="C6187" s="7" t="s">
        <v>27</v>
      </c>
      <c r="D6187" s="7" t="s">
        <v>28</v>
      </c>
      <c r="E6187" s="7" t="s">
        <v>29</v>
      </c>
      <c r="F6187" s="7" t="s">
        <v>147</v>
      </c>
      <c r="G6187" s="7">
        <v>98.638480000000001</v>
      </c>
      <c r="H6187" s="7"/>
    </row>
    <row r="6188" spans="1:8" x14ac:dyDescent="0.35">
      <c r="A6188" s="7" t="s">
        <v>367</v>
      </c>
      <c r="B6188" s="7" t="s">
        <v>26</v>
      </c>
      <c r="C6188" s="7" t="s">
        <v>27</v>
      </c>
      <c r="D6188" s="7" t="s">
        <v>28</v>
      </c>
      <c r="E6188" s="7" t="s">
        <v>29</v>
      </c>
      <c r="F6188" s="7" t="s">
        <v>148</v>
      </c>
      <c r="G6188" s="7">
        <v>98.611580000000004</v>
      </c>
      <c r="H6188" s="7"/>
    </row>
    <row r="6189" spans="1:8" x14ac:dyDescent="0.35">
      <c r="A6189" s="7" t="s">
        <v>367</v>
      </c>
      <c r="B6189" s="7" t="s">
        <v>26</v>
      </c>
      <c r="C6189" s="7" t="s">
        <v>27</v>
      </c>
      <c r="D6189" s="7" t="s">
        <v>28</v>
      </c>
      <c r="E6189" s="7" t="s">
        <v>29</v>
      </c>
      <c r="F6189" s="7" t="s">
        <v>149</v>
      </c>
      <c r="G6189" s="7">
        <v>98.593549999999993</v>
      </c>
      <c r="H6189" s="7"/>
    </row>
    <row r="6190" spans="1:8" x14ac:dyDescent="0.35">
      <c r="A6190" s="7" t="s">
        <v>367</v>
      </c>
      <c r="B6190" s="7" t="s">
        <v>26</v>
      </c>
      <c r="C6190" s="7" t="s">
        <v>27</v>
      </c>
      <c r="D6190" s="7" t="s">
        <v>28</v>
      </c>
      <c r="E6190" s="7" t="s">
        <v>29</v>
      </c>
      <c r="F6190" s="7" t="s">
        <v>150</v>
      </c>
      <c r="G6190" s="7">
        <v>98.878439999999998</v>
      </c>
      <c r="H6190" s="7"/>
    </row>
    <row r="6191" spans="1:8" x14ac:dyDescent="0.35">
      <c r="A6191" s="7" t="s">
        <v>367</v>
      </c>
      <c r="B6191" s="7" t="s">
        <v>26</v>
      </c>
      <c r="C6191" s="7" t="s">
        <v>27</v>
      </c>
      <c r="D6191" s="7" t="s">
        <v>28</v>
      </c>
      <c r="E6191" s="7" t="s">
        <v>29</v>
      </c>
      <c r="F6191" s="7" t="s">
        <v>151</v>
      </c>
      <c r="G6191" s="7">
        <v>99.128820000000005</v>
      </c>
      <c r="H6191" s="7"/>
    </row>
    <row r="6192" spans="1:8" x14ac:dyDescent="0.35">
      <c r="A6192" s="7" t="s">
        <v>367</v>
      </c>
      <c r="B6192" s="7" t="s">
        <v>26</v>
      </c>
      <c r="C6192" s="7" t="s">
        <v>27</v>
      </c>
      <c r="D6192" s="7" t="s">
        <v>28</v>
      </c>
      <c r="E6192" s="7" t="s">
        <v>29</v>
      </c>
      <c r="F6192" s="7" t="s">
        <v>152</v>
      </c>
      <c r="G6192" s="7">
        <v>99.177120000000002</v>
      </c>
      <c r="H6192" s="7"/>
    </row>
    <row r="6193" spans="1:8" x14ac:dyDescent="0.35">
      <c r="A6193" s="7" t="s">
        <v>367</v>
      </c>
      <c r="B6193" s="7" t="s">
        <v>26</v>
      </c>
      <c r="C6193" s="7" t="s">
        <v>27</v>
      </c>
      <c r="D6193" s="7" t="s">
        <v>28</v>
      </c>
      <c r="E6193" s="7" t="s">
        <v>29</v>
      </c>
      <c r="F6193" s="7" t="s">
        <v>153</v>
      </c>
      <c r="G6193" s="7">
        <v>99.170230000000004</v>
      </c>
      <c r="H6193" s="7"/>
    </row>
    <row r="6194" spans="1:8" x14ac:dyDescent="0.35">
      <c r="A6194" s="7" t="s">
        <v>367</v>
      </c>
      <c r="B6194" s="7" t="s">
        <v>26</v>
      </c>
      <c r="C6194" s="7" t="s">
        <v>27</v>
      </c>
      <c r="D6194" s="7" t="s">
        <v>28</v>
      </c>
      <c r="E6194" s="7" t="s">
        <v>29</v>
      </c>
      <c r="F6194" s="7" t="s">
        <v>154</v>
      </c>
      <c r="G6194" s="7">
        <v>99.043980000000005</v>
      </c>
      <c r="H6194" s="7"/>
    </row>
    <row r="6195" spans="1:8" x14ac:dyDescent="0.35">
      <c r="A6195" s="7" t="s">
        <v>367</v>
      </c>
      <c r="B6195" s="7" t="s">
        <v>26</v>
      </c>
      <c r="C6195" s="7" t="s">
        <v>27</v>
      </c>
      <c r="D6195" s="7" t="s">
        <v>28</v>
      </c>
      <c r="E6195" s="7" t="s">
        <v>29</v>
      </c>
      <c r="F6195" s="7" t="s">
        <v>155</v>
      </c>
      <c r="G6195" s="7">
        <v>98.743899999999996</v>
      </c>
      <c r="H6195" s="7"/>
    </row>
    <row r="6196" spans="1:8" x14ac:dyDescent="0.35">
      <c r="A6196" s="7" t="s">
        <v>367</v>
      </c>
      <c r="B6196" s="7" t="s">
        <v>26</v>
      </c>
      <c r="C6196" s="7" t="s">
        <v>27</v>
      </c>
      <c r="D6196" s="7" t="s">
        <v>28</v>
      </c>
      <c r="E6196" s="7" t="s">
        <v>29</v>
      </c>
      <c r="F6196" s="7" t="s">
        <v>156</v>
      </c>
      <c r="G6196" s="7">
        <v>98.499629999999996</v>
      </c>
      <c r="H6196" s="7"/>
    </row>
    <row r="6197" spans="1:8" x14ac:dyDescent="0.35">
      <c r="A6197" s="7" t="s">
        <v>367</v>
      </c>
      <c r="B6197" s="7" t="s">
        <v>26</v>
      </c>
      <c r="C6197" s="7" t="s">
        <v>27</v>
      </c>
      <c r="D6197" s="7" t="s">
        <v>28</v>
      </c>
      <c r="E6197" s="7" t="s">
        <v>29</v>
      </c>
      <c r="F6197" s="7" t="s">
        <v>157</v>
      </c>
      <c r="G6197" s="7">
        <v>98.433800000000005</v>
      </c>
      <c r="H6197" s="7"/>
    </row>
    <row r="6198" spans="1:8" x14ac:dyDescent="0.35">
      <c r="A6198" s="7" t="s">
        <v>367</v>
      </c>
      <c r="B6198" s="7" t="s">
        <v>26</v>
      </c>
      <c r="C6198" s="7" t="s">
        <v>27</v>
      </c>
      <c r="D6198" s="7" t="s">
        <v>28</v>
      </c>
      <c r="E6198" s="7" t="s">
        <v>29</v>
      </c>
      <c r="F6198" s="7" t="s">
        <v>158</v>
      </c>
      <c r="G6198" s="7">
        <v>98.641639999999995</v>
      </c>
      <c r="H6198" s="7"/>
    </row>
    <row r="6199" spans="1:8" x14ac:dyDescent="0.35">
      <c r="A6199" s="7" t="s">
        <v>367</v>
      </c>
      <c r="B6199" s="7" t="s">
        <v>26</v>
      </c>
      <c r="C6199" s="7" t="s">
        <v>27</v>
      </c>
      <c r="D6199" s="7" t="s">
        <v>28</v>
      </c>
      <c r="E6199" s="7" t="s">
        <v>29</v>
      </c>
      <c r="F6199" s="7" t="s">
        <v>159</v>
      </c>
      <c r="G6199" s="7">
        <v>98.91122</v>
      </c>
      <c r="H6199" s="7"/>
    </row>
    <row r="6200" spans="1:8" x14ac:dyDescent="0.35">
      <c r="A6200" s="7" t="s">
        <v>367</v>
      </c>
      <c r="B6200" s="7" t="s">
        <v>26</v>
      </c>
      <c r="C6200" s="7" t="s">
        <v>27</v>
      </c>
      <c r="D6200" s="7" t="s">
        <v>28</v>
      </c>
      <c r="E6200" s="7" t="s">
        <v>29</v>
      </c>
      <c r="F6200" s="7" t="s">
        <v>160</v>
      </c>
      <c r="G6200" s="7">
        <v>98.910619999999994</v>
      </c>
      <c r="H6200" s="7"/>
    </row>
    <row r="6201" spans="1:8" x14ac:dyDescent="0.35">
      <c r="A6201" s="7" t="s">
        <v>367</v>
      </c>
      <c r="B6201" s="7" t="s">
        <v>26</v>
      </c>
      <c r="C6201" s="7" t="s">
        <v>27</v>
      </c>
      <c r="D6201" s="7" t="s">
        <v>28</v>
      </c>
      <c r="E6201" s="7" t="s">
        <v>29</v>
      </c>
      <c r="F6201" s="7" t="s">
        <v>161</v>
      </c>
      <c r="G6201" s="7">
        <v>98.412059999999997</v>
      </c>
      <c r="H6201" s="7"/>
    </row>
    <row r="6202" spans="1:8" x14ac:dyDescent="0.35">
      <c r="A6202" s="7" t="s">
        <v>367</v>
      </c>
      <c r="B6202" s="7" t="s">
        <v>26</v>
      </c>
      <c r="C6202" s="7" t="s">
        <v>27</v>
      </c>
      <c r="D6202" s="7" t="s">
        <v>28</v>
      </c>
      <c r="E6202" s="7" t="s">
        <v>29</v>
      </c>
      <c r="F6202" s="7" t="s">
        <v>162</v>
      </c>
      <c r="G6202" s="7">
        <v>97.621709999999993</v>
      </c>
      <c r="H6202" s="7"/>
    </row>
    <row r="6203" spans="1:8" x14ac:dyDescent="0.35">
      <c r="A6203" s="7" t="s">
        <v>367</v>
      </c>
      <c r="B6203" s="7" t="s">
        <v>26</v>
      </c>
      <c r="C6203" s="7" t="s">
        <v>27</v>
      </c>
      <c r="D6203" s="7" t="s">
        <v>28</v>
      </c>
      <c r="E6203" s="7" t="s">
        <v>29</v>
      </c>
      <c r="F6203" s="7" t="s">
        <v>163</v>
      </c>
      <c r="G6203" s="7">
        <v>97.233860000000007</v>
      </c>
      <c r="H6203" s="7"/>
    </row>
    <row r="6204" spans="1:8" x14ac:dyDescent="0.35">
      <c r="A6204" s="7" t="s">
        <v>367</v>
      </c>
      <c r="B6204" s="7" t="s">
        <v>26</v>
      </c>
      <c r="C6204" s="7" t="s">
        <v>27</v>
      </c>
      <c r="D6204" s="7" t="s">
        <v>28</v>
      </c>
      <c r="E6204" s="7" t="s">
        <v>29</v>
      </c>
      <c r="F6204" s="7" t="s">
        <v>164</v>
      </c>
      <c r="G6204" s="7">
        <v>97.147480000000002</v>
      </c>
      <c r="H6204" s="7"/>
    </row>
    <row r="6205" spans="1:8" x14ac:dyDescent="0.35">
      <c r="A6205" s="7" t="s">
        <v>367</v>
      </c>
      <c r="B6205" s="7" t="s">
        <v>26</v>
      </c>
      <c r="C6205" s="7" t="s">
        <v>27</v>
      </c>
      <c r="D6205" s="7" t="s">
        <v>28</v>
      </c>
      <c r="E6205" s="7" t="s">
        <v>29</v>
      </c>
      <c r="F6205" s="7" t="s">
        <v>165</v>
      </c>
      <c r="G6205" s="7">
        <v>97.315010000000001</v>
      </c>
      <c r="H6205" s="7"/>
    </row>
    <row r="6206" spans="1:8" x14ac:dyDescent="0.35">
      <c r="A6206" s="7" t="s">
        <v>367</v>
      </c>
      <c r="B6206" s="7" t="s">
        <v>26</v>
      </c>
      <c r="C6206" s="7" t="s">
        <v>27</v>
      </c>
      <c r="D6206" s="7" t="s">
        <v>28</v>
      </c>
      <c r="E6206" s="7" t="s">
        <v>29</v>
      </c>
      <c r="F6206" s="7" t="s">
        <v>166</v>
      </c>
      <c r="G6206" s="7">
        <v>97.499440000000007</v>
      </c>
      <c r="H6206" s="7"/>
    </row>
    <row r="6207" spans="1:8" x14ac:dyDescent="0.35">
      <c r="A6207" s="7" t="s">
        <v>367</v>
      </c>
      <c r="B6207" s="7" t="s">
        <v>26</v>
      </c>
      <c r="C6207" s="7" t="s">
        <v>27</v>
      </c>
      <c r="D6207" s="7" t="s">
        <v>28</v>
      </c>
      <c r="E6207" s="7" t="s">
        <v>29</v>
      </c>
      <c r="F6207" s="7" t="s">
        <v>167</v>
      </c>
      <c r="G6207" s="7">
        <v>97.715810000000005</v>
      </c>
      <c r="H6207" s="7"/>
    </row>
    <row r="6208" spans="1:8" x14ac:dyDescent="0.35">
      <c r="A6208" s="7" t="s">
        <v>367</v>
      </c>
      <c r="B6208" s="7" t="s">
        <v>26</v>
      </c>
      <c r="C6208" s="7" t="s">
        <v>27</v>
      </c>
      <c r="D6208" s="7" t="s">
        <v>28</v>
      </c>
      <c r="E6208" s="7" t="s">
        <v>29</v>
      </c>
      <c r="F6208" s="7" t="s">
        <v>168</v>
      </c>
      <c r="G6208" s="7">
        <v>97.915139999999994</v>
      </c>
      <c r="H6208" s="7"/>
    </row>
    <row r="6209" spans="1:8" x14ac:dyDescent="0.35">
      <c r="A6209" s="7" t="s">
        <v>367</v>
      </c>
      <c r="B6209" s="7" t="s">
        <v>26</v>
      </c>
      <c r="C6209" s="7" t="s">
        <v>27</v>
      </c>
      <c r="D6209" s="7" t="s">
        <v>28</v>
      </c>
      <c r="E6209" s="7" t="s">
        <v>29</v>
      </c>
      <c r="F6209" s="7" t="s">
        <v>169</v>
      </c>
      <c r="G6209" s="7">
        <v>97.949029999999993</v>
      </c>
      <c r="H6209" s="7"/>
    </row>
    <row r="6210" spans="1:8" x14ac:dyDescent="0.35">
      <c r="A6210" s="7" t="s">
        <v>367</v>
      </c>
      <c r="B6210" s="7" t="s">
        <v>26</v>
      </c>
      <c r="C6210" s="7" t="s">
        <v>27</v>
      </c>
      <c r="D6210" s="7" t="s">
        <v>28</v>
      </c>
      <c r="E6210" s="7" t="s">
        <v>29</v>
      </c>
      <c r="F6210" s="7" t="s">
        <v>170</v>
      </c>
      <c r="G6210" s="7">
        <v>97.929969999999997</v>
      </c>
      <c r="H6210" s="7"/>
    </row>
    <row r="6211" spans="1:8" x14ac:dyDescent="0.35">
      <c r="A6211" s="7" t="s">
        <v>367</v>
      </c>
      <c r="B6211" s="7" t="s">
        <v>26</v>
      </c>
      <c r="C6211" s="7" t="s">
        <v>27</v>
      </c>
      <c r="D6211" s="7" t="s">
        <v>28</v>
      </c>
      <c r="E6211" s="7" t="s">
        <v>29</v>
      </c>
      <c r="F6211" s="7" t="s">
        <v>171</v>
      </c>
      <c r="G6211" s="7">
        <v>97.868279999999999</v>
      </c>
      <c r="H6211" s="7"/>
    </row>
    <row r="6212" spans="1:8" x14ac:dyDescent="0.35">
      <c r="A6212" s="7" t="s">
        <v>367</v>
      </c>
      <c r="B6212" s="7" t="s">
        <v>26</v>
      </c>
      <c r="C6212" s="7" t="s">
        <v>27</v>
      </c>
      <c r="D6212" s="7" t="s">
        <v>28</v>
      </c>
      <c r="E6212" s="7" t="s">
        <v>29</v>
      </c>
      <c r="F6212" s="7" t="s">
        <v>172</v>
      </c>
      <c r="G6212" s="7">
        <v>97.839230000000001</v>
      </c>
      <c r="H6212" s="7"/>
    </row>
    <row r="6213" spans="1:8" x14ac:dyDescent="0.35">
      <c r="A6213" s="7" t="s">
        <v>367</v>
      </c>
      <c r="B6213" s="7" t="s">
        <v>26</v>
      </c>
      <c r="C6213" s="7" t="s">
        <v>27</v>
      </c>
      <c r="D6213" s="7" t="s">
        <v>28</v>
      </c>
      <c r="E6213" s="7" t="s">
        <v>29</v>
      </c>
      <c r="F6213" s="7" t="s">
        <v>173</v>
      </c>
      <c r="G6213" s="7">
        <v>97.797970000000007</v>
      </c>
      <c r="H6213" s="7"/>
    </row>
    <row r="6214" spans="1:8" x14ac:dyDescent="0.35">
      <c r="A6214" s="7" t="s">
        <v>367</v>
      </c>
      <c r="B6214" s="7" t="s">
        <v>26</v>
      </c>
      <c r="C6214" s="7" t="s">
        <v>27</v>
      </c>
      <c r="D6214" s="7" t="s">
        <v>28</v>
      </c>
      <c r="E6214" s="7" t="s">
        <v>29</v>
      </c>
      <c r="F6214" s="7" t="s">
        <v>174</v>
      </c>
      <c r="G6214" s="7">
        <v>97.756590000000003</v>
      </c>
      <c r="H6214" s="7"/>
    </row>
    <row r="6215" spans="1:8" x14ac:dyDescent="0.35">
      <c r="A6215" s="7" t="s">
        <v>367</v>
      </c>
      <c r="B6215" s="7" t="s">
        <v>26</v>
      </c>
      <c r="C6215" s="7" t="s">
        <v>27</v>
      </c>
      <c r="D6215" s="7" t="s">
        <v>28</v>
      </c>
      <c r="E6215" s="7" t="s">
        <v>29</v>
      </c>
      <c r="F6215" s="7" t="s">
        <v>175</v>
      </c>
      <c r="G6215" s="7">
        <v>97.776060000000001</v>
      </c>
      <c r="H6215" s="7"/>
    </row>
    <row r="6216" spans="1:8" x14ac:dyDescent="0.35">
      <c r="A6216" s="7" t="s">
        <v>367</v>
      </c>
      <c r="B6216" s="7" t="s">
        <v>26</v>
      </c>
      <c r="C6216" s="7" t="s">
        <v>27</v>
      </c>
      <c r="D6216" s="7" t="s">
        <v>28</v>
      </c>
      <c r="E6216" s="7" t="s">
        <v>29</v>
      </c>
      <c r="F6216" s="7" t="s">
        <v>176</v>
      </c>
      <c r="G6216" s="7">
        <v>97.908850000000001</v>
      </c>
      <c r="H6216" s="7"/>
    </row>
    <row r="6217" spans="1:8" x14ac:dyDescent="0.35">
      <c r="A6217" s="7" t="s">
        <v>367</v>
      </c>
      <c r="B6217" s="7" t="s">
        <v>26</v>
      </c>
      <c r="C6217" s="7" t="s">
        <v>27</v>
      </c>
      <c r="D6217" s="7" t="s">
        <v>28</v>
      </c>
      <c r="E6217" s="7" t="s">
        <v>29</v>
      </c>
      <c r="F6217" s="7" t="s">
        <v>177</v>
      </c>
      <c r="G6217" s="7">
        <v>98.146550000000005</v>
      </c>
      <c r="H6217" s="7"/>
    </row>
    <row r="6218" spans="1:8" x14ac:dyDescent="0.35">
      <c r="A6218" s="7" t="s">
        <v>367</v>
      </c>
      <c r="B6218" s="7" t="s">
        <v>26</v>
      </c>
      <c r="C6218" s="7" t="s">
        <v>27</v>
      </c>
      <c r="D6218" s="7" t="s">
        <v>28</v>
      </c>
      <c r="E6218" s="7" t="s">
        <v>29</v>
      </c>
      <c r="F6218" s="7" t="s">
        <v>178</v>
      </c>
      <c r="G6218" s="7">
        <v>98.649159999999995</v>
      </c>
      <c r="H6218" s="7"/>
    </row>
    <row r="6219" spans="1:8" x14ac:dyDescent="0.35">
      <c r="A6219" s="7" t="s">
        <v>367</v>
      </c>
      <c r="B6219" s="7" t="s">
        <v>26</v>
      </c>
      <c r="C6219" s="7" t="s">
        <v>27</v>
      </c>
      <c r="D6219" s="7" t="s">
        <v>28</v>
      </c>
      <c r="E6219" s="7" t="s">
        <v>29</v>
      </c>
      <c r="F6219" s="7" t="s">
        <v>179</v>
      </c>
      <c r="G6219" s="7">
        <v>99.095950000000002</v>
      </c>
      <c r="H6219" s="7"/>
    </row>
    <row r="6220" spans="1:8" x14ac:dyDescent="0.35">
      <c r="A6220" s="7" t="s">
        <v>367</v>
      </c>
      <c r="B6220" s="7" t="s">
        <v>26</v>
      </c>
      <c r="C6220" s="7" t="s">
        <v>27</v>
      </c>
      <c r="D6220" s="7" t="s">
        <v>28</v>
      </c>
      <c r="E6220" s="7" t="s">
        <v>29</v>
      </c>
      <c r="F6220" s="7" t="s">
        <v>180</v>
      </c>
      <c r="G6220" s="7">
        <v>99.450069999999997</v>
      </c>
      <c r="H6220" s="7"/>
    </row>
    <row r="6221" spans="1:8" x14ac:dyDescent="0.35">
      <c r="A6221" s="7" t="s">
        <v>367</v>
      </c>
      <c r="B6221" s="7" t="s">
        <v>26</v>
      </c>
      <c r="C6221" s="7" t="s">
        <v>27</v>
      </c>
      <c r="D6221" s="7" t="s">
        <v>28</v>
      </c>
      <c r="E6221" s="7" t="s">
        <v>29</v>
      </c>
      <c r="F6221" s="7" t="s">
        <v>181</v>
      </c>
      <c r="G6221" s="7">
        <v>99.742310000000003</v>
      </c>
      <c r="H6221" s="7"/>
    </row>
    <row r="6222" spans="1:8" x14ac:dyDescent="0.35">
      <c r="A6222" s="7" t="s">
        <v>367</v>
      </c>
      <c r="B6222" s="7" t="s">
        <v>26</v>
      </c>
      <c r="C6222" s="7" t="s">
        <v>27</v>
      </c>
      <c r="D6222" s="7" t="s">
        <v>28</v>
      </c>
      <c r="E6222" s="7" t="s">
        <v>29</v>
      </c>
      <c r="F6222" s="7" t="s">
        <v>182</v>
      </c>
      <c r="G6222" s="7">
        <v>99.848500000000001</v>
      </c>
      <c r="H6222" s="7"/>
    </row>
    <row r="6223" spans="1:8" x14ac:dyDescent="0.35">
      <c r="A6223" s="7" t="s">
        <v>367</v>
      </c>
      <c r="B6223" s="7" t="s">
        <v>26</v>
      </c>
      <c r="C6223" s="7" t="s">
        <v>27</v>
      </c>
      <c r="D6223" s="7" t="s">
        <v>28</v>
      </c>
      <c r="E6223" s="7" t="s">
        <v>29</v>
      </c>
      <c r="F6223" s="7" t="s">
        <v>183</v>
      </c>
      <c r="G6223" s="7">
        <v>99.822779999999995</v>
      </c>
      <c r="H6223" s="7"/>
    </row>
    <row r="6224" spans="1:8" x14ac:dyDescent="0.35">
      <c r="A6224" s="7" t="s">
        <v>367</v>
      </c>
      <c r="B6224" s="7" t="s">
        <v>26</v>
      </c>
      <c r="C6224" s="7" t="s">
        <v>27</v>
      </c>
      <c r="D6224" s="7" t="s">
        <v>28</v>
      </c>
      <c r="E6224" s="7" t="s">
        <v>29</v>
      </c>
      <c r="F6224" s="7" t="s">
        <v>184</v>
      </c>
      <c r="G6224" s="7">
        <v>99.725560000000002</v>
      </c>
      <c r="H6224" s="7"/>
    </row>
    <row r="6225" spans="1:8" x14ac:dyDescent="0.35">
      <c r="A6225" s="7" t="s">
        <v>367</v>
      </c>
      <c r="B6225" s="7" t="s">
        <v>26</v>
      </c>
      <c r="C6225" s="7" t="s">
        <v>27</v>
      </c>
      <c r="D6225" s="7" t="s">
        <v>28</v>
      </c>
      <c r="E6225" s="7" t="s">
        <v>29</v>
      </c>
      <c r="F6225" s="7" t="s">
        <v>185</v>
      </c>
      <c r="G6225" s="7">
        <v>99.929029999999997</v>
      </c>
      <c r="H6225" s="7"/>
    </row>
    <row r="6226" spans="1:8" x14ac:dyDescent="0.35">
      <c r="A6226" s="7" t="s">
        <v>367</v>
      </c>
      <c r="B6226" s="7" t="s">
        <v>26</v>
      </c>
      <c r="C6226" s="7" t="s">
        <v>27</v>
      </c>
      <c r="D6226" s="7" t="s">
        <v>28</v>
      </c>
      <c r="E6226" s="7" t="s">
        <v>29</v>
      </c>
      <c r="F6226" s="7" t="s">
        <v>186</v>
      </c>
      <c r="G6226" s="7">
        <v>100.5067</v>
      </c>
      <c r="H6226" s="7"/>
    </row>
    <row r="6227" spans="1:8" x14ac:dyDescent="0.35">
      <c r="A6227" s="7" t="s">
        <v>367</v>
      </c>
      <c r="B6227" s="7" t="s">
        <v>26</v>
      </c>
      <c r="C6227" s="7" t="s">
        <v>27</v>
      </c>
      <c r="D6227" s="7" t="s">
        <v>28</v>
      </c>
      <c r="E6227" s="7" t="s">
        <v>29</v>
      </c>
      <c r="F6227" s="7" t="s">
        <v>187</v>
      </c>
      <c r="G6227" s="7">
        <v>101.0133</v>
      </c>
      <c r="H6227" s="7"/>
    </row>
    <row r="6228" spans="1:8" x14ac:dyDescent="0.35">
      <c r="A6228" s="7" t="s">
        <v>367</v>
      </c>
      <c r="B6228" s="7" t="s">
        <v>26</v>
      </c>
      <c r="C6228" s="7" t="s">
        <v>27</v>
      </c>
      <c r="D6228" s="7" t="s">
        <v>28</v>
      </c>
      <c r="E6228" s="7" t="s">
        <v>29</v>
      </c>
      <c r="F6228" s="7" t="s">
        <v>188</v>
      </c>
      <c r="G6228" s="7">
        <v>101.2406</v>
      </c>
      <c r="H6228" s="7"/>
    </row>
    <row r="6229" spans="1:8" x14ac:dyDescent="0.35">
      <c r="A6229" s="7" t="s">
        <v>367</v>
      </c>
      <c r="B6229" s="7" t="s">
        <v>26</v>
      </c>
      <c r="C6229" s="7" t="s">
        <v>27</v>
      </c>
      <c r="D6229" s="7" t="s">
        <v>28</v>
      </c>
      <c r="E6229" s="7" t="s">
        <v>29</v>
      </c>
      <c r="F6229" s="7" t="s">
        <v>189</v>
      </c>
      <c r="G6229" s="7">
        <v>101.33580000000001</v>
      </c>
      <c r="H6229" s="7"/>
    </row>
    <row r="6230" spans="1:8" x14ac:dyDescent="0.35">
      <c r="A6230" s="7" t="s">
        <v>367</v>
      </c>
      <c r="B6230" s="7" t="s">
        <v>26</v>
      </c>
      <c r="C6230" s="7" t="s">
        <v>27</v>
      </c>
      <c r="D6230" s="7" t="s">
        <v>28</v>
      </c>
      <c r="E6230" s="7" t="s">
        <v>29</v>
      </c>
      <c r="F6230" s="7" t="s">
        <v>190</v>
      </c>
      <c r="G6230" s="7">
        <v>101.45959999999999</v>
      </c>
      <c r="H6230" s="7"/>
    </row>
    <row r="6231" spans="1:8" x14ac:dyDescent="0.35">
      <c r="A6231" s="7" t="s">
        <v>367</v>
      </c>
      <c r="B6231" s="7" t="s">
        <v>26</v>
      </c>
      <c r="C6231" s="7" t="s">
        <v>27</v>
      </c>
      <c r="D6231" s="7" t="s">
        <v>28</v>
      </c>
      <c r="E6231" s="7" t="s">
        <v>29</v>
      </c>
      <c r="F6231" s="7" t="s">
        <v>191</v>
      </c>
      <c r="G6231" s="7">
        <v>101.6574</v>
      </c>
      <c r="H6231" s="7"/>
    </row>
    <row r="6232" spans="1:8" x14ac:dyDescent="0.35">
      <c r="A6232" s="7" t="s">
        <v>367</v>
      </c>
      <c r="B6232" s="7" t="s">
        <v>26</v>
      </c>
      <c r="C6232" s="7" t="s">
        <v>27</v>
      </c>
      <c r="D6232" s="7" t="s">
        <v>28</v>
      </c>
      <c r="E6232" s="7" t="s">
        <v>29</v>
      </c>
      <c r="F6232" s="7" t="s">
        <v>192</v>
      </c>
      <c r="G6232" s="7">
        <v>101.76860000000001</v>
      </c>
      <c r="H6232" s="7"/>
    </row>
    <row r="6233" spans="1:8" x14ac:dyDescent="0.35">
      <c r="A6233" s="7" t="s">
        <v>367</v>
      </c>
      <c r="B6233" s="7" t="s">
        <v>26</v>
      </c>
      <c r="C6233" s="7" t="s">
        <v>27</v>
      </c>
      <c r="D6233" s="7" t="s">
        <v>28</v>
      </c>
      <c r="E6233" s="7" t="s">
        <v>29</v>
      </c>
      <c r="F6233" s="7" t="s">
        <v>193</v>
      </c>
      <c r="G6233" s="7">
        <v>101.73950000000001</v>
      </c>
      <c r="H6233" s="7"/>
    </row>
    <row r="6234" spans="1:8" x14ac:dyDescent="0.35">
      <c r="A6234" s="7" t="s">
        <v>367</v>
      </c>
      <c r="B6234" s="7" t="s">
        <v>26</v>
      </c>
      <c r="C6234" s="7" t="s">
        <v>27</v>
      </c>
      <c r="D6234" s="7" t="s">
        <v>28</v>
      </c>
      <c r="E6234" s="7" t="s">
        <v>29</v>
      </c>
      <c r="F6234" s="7" t="s">
        <v>194</v>
      </c>
      <c r="G6234" s="7">
        <v>101.42919999999999</v>
      </c>
      <c r="H6234" s="7"/>
    </row>
    <row r="6235" spans="1:8" x14ac:dyDescent="0.35">
      <c r="A6235" s="7" t="s">
        <v>367</v>
      </c>
      <c r="B6235" s="7" t="s">
        <v>26</v>
      </c>
      <c r="C6235" s="7" t="s">
        <v>27</v>
      </c>
      <c r="D6235" s="7" t="s">
        <v>28</v>
      </c>
      <c r="E6235" s="7" t="s">
        <v>29</v>
      </c>
      <c r="F6235" s="7" t="s">
        <v>195</v>
      </c>
      <c r="G6235" s="7">
        <v>100.9517</v>
      </c>
      <c r="H6235" s="7"/>
    </row>
    <row r="6236" spans="1:8" x14ac:dyDescent="0.35">
      <c r="A6236" s="7" t="s">
        <v>367</v>
      </c>
      <c r="B6236" s="7" t="s">
        <v>26</v>
      </c>
      <c r="C6236" s="7" t="s">
        <v>27</v>
      </c>
      <c r="D6236" s="7" t="s">
        <v>28</v>
      </c>
      <c r="E6236" s="7" t="s">
        <v>29</v>
      </c>
      <c r="F6236" s="7" t="s">
        <v>196</v>
      </c>
      <c r="G6236" s="7">
        <v>100.5087</v>
      </c>
      <c r="H6236" s="7"/>
    </row>
    <row r="6237" spans="1:8" x14ac:dyDescent="0.35">
      <c r="A6237" s="7" t="s">
        <v>367</v>
      </c>
      <c r="B6237" s="7" t="s">
        <v>26</v>
      </c>
      <c r="C6237" s="7" t="s">
        <v>27</v>
      </c>
      <c r="D6237" s="7" t="s">
        <v>28</v>
      </c>
      <c r="E6237" s="7" t="s">
        <v>29</v>
      </c>
      <c r="F6237" s="7" t="s">
        <v>197</v>
      </c>
      <c r="G6237" s="7">
        <v>100.637</v>
      </c>
      <c r="H6237" s="7"/>
    </row>
    <row r="6238" spans="1:8" x14ac:dyDescent="0.35">
      <c r="A6238" s="7" t="s">
        <v>367</v>
      </c>
      <c r="B6238" s="7" t="s">
        <v>26</v>
      </c>
      <c r="C6238" s="7" t="s">
        <v>27</v>
      </c>
      <c r="D6238" s="7" t="s">
        <v>28</v>
      </c>
      <c r="E6238" s="7" t="s">
        <v>29</v>
      </c>
      <c r="F6238" s="7" t="s">
        <v>198</v>
      </c>
      <c r="G6238" s="7">
        <v>100.9889</v>
      </c>
      <c r="H6238" s="7"/>
    </row>
    <row r="6239" spans="1:8" x14ac:dyDescent="0.35">
      <c r="A6239" s="7" t="s">
        <v>367</v>
      </c>
      <c r="B6239" s="7" t="s">
        <v>26</v>
      </c>
      <c r="C6239" s="7" t="s">
        <v>27</v>
      </c>
      <c r="D6239" s="7" t="s">
        <v>28</v>
      </c>
      <c r="E6239" s="7" t="s">
        <v>29</v>
      </c>
      <c r="F6239" s="7" t="s">
        <v>199</v>
      </c>
      <c r="G6239" s="7">
        <v>101.15900000000001</v>
      </c>
      <c r="H6239" s="7"/>
    </row>
    <row r="6240" spans="1:8" x14ac:dyDescent="0.35">
      <c r="A6240" s="7" t="s">
        <v>367</v>
      </c>
      <c r="B6240" s="7" t="s">
        <v>26</v>
      </c>
      <c r="C6240" s="7" t="s">
        <v>27</v>
      </c>
      <c r="D6240" s="7" t="s">
        <v>28</v>
      </c>
      <c r="E6240" s="7" t="s">
        <v>29</v>
      </c>
      <c r="F6240" s="7" t="s">
        <v>200</v>
      </c>
      <c r="G6240" s="7">
        <v>101.1874</v>
      </c>
      <c r="H6240" s="7"/>
    </row>
    <row r="6241" spans="1:8" x14ac:dyDescent="0.35">
      <c r="A6241" s="7" t="s">
        <v>367</v>
      </c>
      <c r="B6241" s="7" t="s">
        <v>26</v>
      </c>
      <c r="C6241" s="7" t="s">
        <v>27</v>
      </c>
      <c r="D6241" s="7" t="s">
        <v>28</v>
      </c>
      <c r="E6241" s="7" t="s">
        <v>29</v>
      </c>
      <c r="F6241" s="7" t="s">
        <v>201</v>
      </c>
      <c r="G6241" s="7">
        <v>101.14319999999999</v>
      </c>
      <c r="H6241" s="7"/>
    </row>
    <row r="6242" spans="1:8" x14ac:dyDescent="0.35">
      <c r="A6242" s="7" t="s">
        <v>367</v>
      </c>
      <c r="B6242" s="7" t="s">
        <v>26</v>
      </c>
      <c r="C6242" s="7" t="s">
        <v>27</v>
      </c>
      <c r="D6242" s="7" t="s">
        <v>28</v>
      </c>
      <c r="E6242" s="7" t="s">
        <v>29</v>
      </c>
      <c r="F6242" s="7" t="s">
        <v>202</v>
      </c>
      <c r="G6242" s="7">
        <v>101.11239999999999</v>
      </c>
      <c r="H6242" s="7"/>
    </row>
    <row r="6243" spans="1:8" x14ac:dyDescent="0.35">
      <c r="A6243" s="7" t="s">
        <v>367</v>
      </c>
      <c r="B6243" s="7" t="s">
        <v>26</v>
      </c>
      <c r="C6243" s="7" t="s">
        <v>27</v>
      </c>
      <c r="D6243" s="7" t="s">
        <v>28</v>
      </c>
      <c r="E6243" s="7" t="s">
        <v>29</v>
      </c>
      <c r="F6243" s="7" t="s">
        <v>203</v>
      </c>
      <c r="G6243" s="7">
        <v>101.02849999999999</v>
      </c>
      <c r="H6243" s="7"/>
    </row>
    <row r="6244" spans="1:8" x14ac:dyDescent="0.35">
      <c r="A6244" s="7" t="s">
        <v>367</v>
      </c>
      <c r="B6244" s="7" t="s">
        <v>26</v>
      </c>
      <c r="C6244" s="7" t="s">
        <v>27</v>
      </c>
      <c r="D6244" s="7" t="s">
        <v>28</v>
      </c>
      <c r="E6244" s="7" t="s">
        <v>29</v>
      </c>
      <c r="F6244" s="7" t="s">
        <v>204</v>
      </c>
      <c r="G6244" s="7">
        <v>101.0647</v>
      </c>
      <c r="H6244" s="7"/>
    </row>
    <row r="6245" spans="1:8" x14ac:dyDescent="0.35">
      <c r="A6245" s="7" t="s">
        <v>367</v>
      </c>
      <c r="B6245" s="7" t="s">
        <v>26</v>
      </c>
      <c r="C6245" s="7" t="s">
        <v>27</v>
      </c>
      <c r="D6245" s="7" t="s">
        <v>28</v>
      </c>
      <c r="E6245" s="7" t="s">
        <v>29</v>
      </c>
      <c r="F6245" s="7" t="s">
        <v>205</v>
      </c>
      <c r="G6245" s="7">
        <v>101.2906</v>
      </c>
      <c r="H6245" s="7"/>
    </row>
    <row r="6246" spans="1:8" x14ac:dyDescent="0.35">
      <c r="A6246" s="7" t="s">
        <v>367</v>
      </c>
      <c r="B6246" s="7" t="s">
        <v>26</v>
      </c>
      <c r="C6246" s="7" t="s">
        <v>27</v>
      </c>
      <c r="D6246" s="7" t="s">
        <v>28</v>
      </c>
      <c r="E6246" s="7" t="s">
        <v>29</v>
      </c>
      <c r="F6246" s="7" t="s">
        <v>206</v>
      </c>
      <c r="G6246" s="7">
        <v>101.6189</v>
      </c>
      <c r="H6246" s="7"/>
    </row>
    <row r="6247" spans="1:8" x14ac:dyDescent="0.35">
      <c r="A6247" s="7" t="s">
        <v>367</v>
      </c>
      <c r="B6247" s="7" t="s">
        <v>26</v>
      </c>
      <c r="C6247" s="7" t="s">
        <v>27</v>
      </c>
      <c r="D6247" s="7" t="s">
        <v>28</v>
      </c>
      <c r="E6247" s="7" t="s">
        <v>29</v>
      </c>
      <c r="F6247" s="7" t="s">
        <v>207</v>
      </c>
      <c r="G6247" s="7">
        <v>101.9422</v>
      </c>
      <c r="H6247" s="7"/>
    </row>
    <row r="6248" spans="1:8" x14ac:dyDescent="0.35">
      <c r="A6248" s="7" t="s">
        <v>367</v>
      </c>
      <c r="B6248" s="7" t="s">
        <v>26</v>
      </c>
      <c r="C6248" s="7" t="s">
        <v>27</v>
      </c>
      <c r="D6248" s="7" t="s">
        <v>28</v>
      </c>
      <c r="E6248" s="7" t="s">
        <v>29</v>
      </c>
      <c r="F6248" s="7" t="s">
        <v>208</v>
      </c>
      <c r="G6248" s="7">
        <v>102.3635</v>
      </c>
      <c r="H6248" s="7"/>
    </row>
    <row r="6249" spans="1:8" x14ac:dyDescent="0.35">
      <c r="A6249" s="7" t="s">
        <v>367</v>
      </c>
      <c r="B6249" s="7" t="s">
        <v>26</v>
      </c>
      <c r="C6249" s="7" t="s">
        <v>27</v>
      </c>
      <c r="D6249" s="7" t="s">
        <v>28</v>
      </c>
      <c r="E6249" s="7" t="s">
        <v>29</v>
      </c>
      <c r="F6249" s="7" t="s">
        <v>209</v>
      </c>
      <c r="G6249" s="7">
        <v>102.8246</v>
      </c>
      <c r="H6249" s="7"/>
    </row>
    <row r="6250" spans="1:8" x14ac:dyDescent="0.35">
      <c r="A6250" s="7" t="s">
        <v>367</v>
      </c>
      <c r="B6250" s="7" t="s">
        <v>26</v>
      </c>
      <c r="C6250" s="7" t="s">
        <v>27</v>
      </c>
      <c r="D6250" s="7" t="s">
        <v>28</v>
      </c>
      <c r="E6250" s="7" t="s">
        <v>29</v>
      </c>
      <c r="F6250" s="7" t="s">
        <v>210</v>
      </c>
      <c r="G6250" s="7">
        <v>103.40779999999999</v>
      </c>
      <c r="H6250" s="7"/>
    </row>
    <row r="6251" spans="1:8" x14ac:dyDescent="0.35">
      <c r="A6251" s="7" t="s">
        <v>367</v>
      </c>
      <c r="B6251" s="7" t="s">
        <v>26</v>
      </c>
      <c r="C6251" s="7" t="s">
        <v>27</v>
      </c>
      <c r="D6251" s="7" t="s">
        <v>28</v>
      </c>
      <c r="E6251" s="7" t="s">
        <v>29</v>
      </c>
      <c r="F6251" s="7" t="s">
        <v>211</v>
      </c>
      <c r="G6251" s="7">
        <v>104.0402</v>
      </c>
      <c r="H6251" s="7"/>
    </row>
    <row r="6252" spans="1:8" x14ac:dyDescent="0.35">
      <c r="A6252" s="7" t="s">
        <v>367</v>
      </c>
      <c r="B6252" s="7" t="s">
        <v>26</v>
      </c>
      <c r="C6252" s="7" t="s">
        <v>27</v>
      </c>
      <c r="D6252" s="7" t="s">
        <v>28</v>
      </c>
      <c r="E6252" s="7" t="s">
        <v>29</v>
      </c>
      <c r="F6252" s="7" t="s">
        <v>212</v>
      </c>
      <c r="G6252" s="7">
        <v>104.2559</v>
      </c>
      <c r="H6252" s="7"/>
    </row>
    <row r="6253" spans="1:8" x14ac:dyDescent="0.35">
      <c r="A6253" s="7" t="s">
        <v>367</v>
      </c>
      <c r="B6253" s="7" t="s">
        <v>26</v>
      </c>
      <c r="C6253" s="7" t="s">
        <v>27</v>
      </c>
      <c r="D6253" s="7" t="s">
        <v>28</v>
      </c>
      <c r="E6253" s="7" t="s">
        <v>29</v>
      </c>
      <c r="F6253" s="7" t="s">
        <v>213</v>
      </c>
      <c r="G6253" s="7">
        <v>104.1271</v>
      </c>
      <c r="H6253" s="7"/>
    </row>
    <row r="6254" spans="1:8" x14ac:dyDescent="0.35">
      <c r="A6254" s="7" t="s">
        <v>367</v>
      </c>
      <c r="B6254" s="7" t="s">
        <v>26</v>
      </c>
      <c r="C6254" s="7" t="s">
        <v>27</v>
      </c>
      <c r="D6254" s="7" t="s">
        <v>28</v>
      </c>
      <c r="E6254" s="7" t="s">
        <v>29</v>
      </c>
      <c r="F6254" s="7" t="s">
        <v>214</v>
      </c>
      <c r="G6254" s="7">
        <v>103.9659</v>
      </c>
      <c r="H6254" s="7"/>
    </row>
    <row r="6255" spans="1:8" x14ac:dyDescent="0.35">
      <c r="A6255" s="7" t="s">
        <v>367</v>
      </c>
      <c r="B6255" s="7" t="s">
        <v>26</v>
      </c>
      <c r="C6255" s="7" t="s">
        <v>27</v>
      </c>
      <c r="D6255" s="7" t="s">
        <v>28</v>
      </c>
      <c r="E6255" s="7" t="s">
        <v>29</v>
      </c>
      <c r="F6255" s="7" t="s">
        <v>215</v>
      </c>
      <c r="G6255" s="7">
        <v>103.9105</v>
      </c>
      <c r="H6255" s="7"/>
    </row>
    <row r="6256" spans="1:8" x14ac:dyDescent="0.35">
      <c r="A6256" s="7" t="s">
        <v>367</v>
      </c>
      <c r="B6256" s="7" t="s">
        <v>26</v>
      </c>
      <c r="C6256" s="7" t="s">
        <v>27</v>
      </c>
      <c r="D6256" s="7" t="s">
        <v>28</v>
      </c>
      <c r="E6256" s="7" t="s">
        <v>29</v>
      </c>
      <c r="F6256" s="7" t="s">
        <v>216</v>
      </c>
      <c r="G6256" s="7">
        <v>103.77330000000001</v>
      </c>
      <c r="H6256" s="7"/>
    </row>
    <row r="6257" spans="1:8" x14ac:dyDescent="0.35">
      <c r="A6257" s="7" t="s">
        <v>367</v>
      </c>
      <c r="B6257" s="7" t="s">
        <v>26</v>
      </c>
      <c r="C6257" s="7" t="s">
        <v>27</v>
      </c>
      <c r="D6257" s="7" t="s">
        <v>28</v>
      </c>
      <c r="E6257" s="7" t="s">
        <v>29</v>
      </c>
      <c r="F6257" s="7" t="s">
        <v>217</v>
      </c>
      <c r="G6257" s="7">
        <v>103.7052</v>
      </c>
      <c r="H6257" s="7"/>
    </row>
    <row r="6258" spans="1:8" x14ac:dyDescent="0.35">
      <c r="A6258" s="7" t="s">
        <v>367</v>
      </c>
      <c r="B6258" s="7" t="s">
        <v>26</v>
      </c>
      <c r="C6258" s="7" t="s">
        <v>27</v>
      </c>
      <c r="D6258" s="7" t="s">
        <v>28</v>
      </c>
      <c r="E6258" s="7" t="s">
        <v>29</v>
      </c>
      <c r="F6258" s="7" t="s">
        <v>218</v>
      </c>
      <c r="G6258" s="7">
        <v>103.6417</v>
      </c>
      <c r="H6258" s="7"/>
    </row>
    <row r="6259" spans="1:8" x14ac:dyDescent="0.35">
      <c r="A6259" s="7" t="s">
        <v>367</v>
      </c>
      <c r="B6259" s="7" t="s">
        <v>26</v>
      </c>
      <c r="C6259" s="7" t="s">
        <v>27</v>
      </c>
      <c r="D6259" s="7" t="s">
        <v>28</v>
      </c>
      <c r="E6259" s="7" t="s">
        <v>29</v>
      </c>
      <c r="F6259" s="7" t="s">
        <v>219</v>
      </c>
      <c r="G6259" s="7">
        <v>103.404</v>
      </c>
      <c r="H6259" s="7"/>
    </row>
    <row r="6260" spans="1:8" x14ac:dyDescent="0.35">
      <c r="A6260" s="7" t="s">
        <v>367</v>
      </c>
      <c r="B6260" s="7" t="s">
        <v>26</v>
      </c>
      <c r="C6260" s="7" t="s">
        <v>27</v>
      </c>
      <c r="D6260" s="7" t="s">
        <v>28</v>
      </c>
      <c r="E6260" s="7" t="s">
        <v>29</v>
      </c>
      <c r="F6260" s="7" t="s">
        <v>220</v>
      </c>
      <c r="G6260" s="7">
        <v>103.02549999999999</v>
      </c>
      <c r="H6260" s="7"/>
    </row>
    <row r="6261" spans="1:8" x14ac:dyDescent="0.35">
      <c r="A6261" s="7" t="s">
        <v>367</v>
      </c>
      <c r="B6261" s="7" t="s">
        <v>26</v>
      </c>
      <c r="C6261" s="7" t="s">
        <v>27</v>
      </c>
      <c r="D6261" s="7" t="s">
        <v>28</v>
      </c>
      <c r="E6261" s="7" t="s">
        <v>29</v>
      </c>
      <c r="F6261" s="7" t="s">
        <v>221</v>
      </c>
      <c r="G6261" s="7">
        <v>102.6443</v>
      </c>
      <c r="H6261" s="7"/>
    </row>
    <row r="6262" spans="1:8" x14ac:dyDescent="0.35">
      <c r="A6262" s="7" t="s">
        <v>367</v>
      </c>
      <c r="B6262" s="7" t="s">
        <v>26</v>
      </c>
      <c r="C6262" s="7" t="s">
        <v>27</v>
      </c>
      <c r="D6262" s="7" t="s">
        <v>28</v>
      </c>
      <c r="E6262" s="7" t="s">
        <v>29</v>
      </c>
      <c r="F6262" s="7" t="s">
        <v>222</v>
      </c>
      <c r="G6262" s="7">
        <v>102.47</v>
      </c>
      <c r="H6262" s="7"/>
    </row>
    <row r="6263" spans="1:8" x14ac:dyDescent="0.35">
      <c r="A6263" s="7" t="s">
        <v>367</v>
      </c>
      <c r="B6263" s="7" t="s">
        <v>26</v>
      </c>
      <c r="C6263" s="7" t="s">
        <v>27</v>
      </c>
      <c r="D6263" s="7" t="s">
        <v>28</v>
      </c>
      <c r="E6263" s="7" t="s">
        <v>29</v>
      </c>
      <c r="F6263" s="7" t="s">
        <v>223</v>
      </c>
      <c r="G6263" s="7">
        <v>102.5395</v>
      </c>
      <c r="H6263" s="7"/>
    </row>
    <row r="6264" spans="1:8" x14ac:dyDescent="0.35">
      <c r="A6264" s="7" t="s">
        <v>367</v>
      </c>
      <c r="B6264" s="7" t="s">
        <v>26</v>
      </c>
      <c r="C6264" s="7" t="s">
        <v>27</v>
      </c>
      <c r="D6264" s="7" t="s">
        <v>28</v>
      </c>
      <c r="E6264" s="7" t="s">
        <v>29</v>
      </c>
      <c r="F6264" s="7" t="s">
        <v>224</v>
      </c>
      <c r="G6264" s="7">
        <v>102.5127</v>
      </c>
      <c r="H6264" s="7"/>
    </row>
    <row r="6265" spans="1:8" x14ac:dyDescent="0.35">
      <c r="A6265" s="7" t="s">
        <v>367</v>
      </c>
      <c r="B6265" s="7" t="s">
        <v>26</v>
      </c>
      <c r="C6265" s="7" t="s">
        <v>27</v>
      </c>
      <c r="D6265" s="7" t="s">
        <v>28</v>
      </c>
      <c r="E6265" s="7" t="s">
        <v>29</v>
      </c>
      <c r="F6265" s="7" t="s">
        <v>225</v>
      </c>
      <c r="G6265" s="7">
        <v>102.2287</v>
      </c>
      <c r="H6265" s="7"/>
    </row>
    <row r="6266" spans="1:8" x14ac:dyDescent="0.35">
      <c r="A6266" s="7" t="s">
        <v>367</v>
      </c>
      <c r="B6266" s="7" t="s">
        <v>26</v>
      </c>
      <c r="C6266" s="7" t="s">
        <v>27</v>
      </c>
      <c r="D6266" s="7" t="s">
        <v>28</v>
      </c>
      <c r="E6266" s="7" t="s">
        <v>29</v>
      </c>
      <c r="F6266" s="7" t="s">
        <v>226</v>
      </c>
      <c r="G6266" s="7">
        <v>101.94629999999999</v>
      </c>
      <c r="H6266" s="7"/>
    </row>
    <row r="6267" spans="1:8" x14ac:dyDescent="0.35">
      <c r="A6267" s="7" t="s">
        <v>367</v>
      </c>
      <c r="B6267" s="7" t="s">
        <v>26</v>
      </c>
      <c r="C6267" s="7" t="s">
        <v>27</v>
      </c>
      <c r="D6267" s="7" t="s">
        <v>28</v>
      </c>
      <c r="E6267" s="7" t="s">
        <v>29</v>
      </c>
      <c r="F6267" s="7" t="s">
        <v>227</v>
      </c>
      <c r="G6267" s="7">
        <v>101.7227</v>
      </c>
      <c r="H6267" s="7"/>
    </row>
    <row r="6268" spans="1:8" x14ac:dyDescent="0.35">
      <c r="A6268" s="7" t="s">
        <v>367</v>
      </c>
      <c r="B6268" s="7" t="s">
        <v>26</v>
      </c>
      <c r="C6268" s="7" t="s">
        <v>27</v>
      </c>
      <c r="D6268" s="7" t="s">
        <v>28</v>
      </c>
      <c r="E6268" s="7" t="s">
        <v>29</v>
      </c>
      <c r="F6268" s="7" t="s">
        <v>228</v>
      </c>
      <c r="G6268" s="7">
        <v>101.63039999999999</v>
      </c>
      <c r="H6268" s="7"/>
    </row>
    <row r="6269" spans="1:8" x14ac:dyDescent="0.35">
      <c r="A6269" s="7" t="s">
        <v>367</v>
      </c>
      <c r="B6269" s="7" t="s">
        <v>26</v>
      </c>
      <c r="C6269" s="7" t="s">
        <v>27</v>
      </c>
      <c r="D6269" s="7" t="s">
        <v>28</v>
      </c>
      <c r="E6269" s="7" t="s">
        <v>29</v>
      </c>
      <c r="F6269" s="7" t="s">
        <v>229</v>
      </c>
      <c r="G6269" s="7">
        <v>101.76649999999999</v>
      </c>
      <c r="H6269" s="7"/>
    </row>
    <row r="6270" spans="1:8" x14ac:dyDescent="0.35">
      <c r="A6270" s="7" t="s">
        <v>367</v>
      </c>
      <c r="B6270" s="7" t="s">
        <v>26</v>
      </c>
      <c r="C6270" s="7" t="s">
        <v>27</v>
      </c>
      <c r="D6270" s="7" t="s">
        <v>28</v>
      </c>
      <c r="E6270" s="7" t="s">
        <v>29</v>
      </c>
      <c r="F6270" s="7" t="s">
        <v>230</v>
      </c>
      <c r="G6270" s="7">
        <v>101.8516</v>
      </c>
      <c r="H6270" s="7"/>
    </row>
    <row r="6271" spans="1:8" x14ac:dyDescent="0.35">
      <c r="A6271" s="7" t="s">
        <v>367</v>
      </c>
      <c r="B6271" s="7" t="s">
        <v>26</v>
      </c>
      <c r="C6271" s="7" t="s">
        <v>27</v>
      </c>
      <c r="D6271" s="7" t="s">
        <v>28</v>
      </c>
      <c r="E6271" s="7" t="s">
        <v>29</v>
      </c>
      <c r="F6271" s="7" t="s">
        <v>231</v>
      </c>
      <c r="G6271" s="7">
        <v>101.867</v>
      </c>
      <c r="H6271" s="7"/>
    </row>
    <row r="6272" spans="1:8" x14ac:dyDescent="0.35">
      <c r="A6272" s="7" t="s">
        <v>367</v>
      </c>
      <c r="B6272" s="7" t="s">
        <v>26</v>
      </c>
      <c r="C6272" s="7" t="s">
        <v>27</v>
      </c>
      <c r="D6272" s="7" t="s">
        <v>28</v>
      </c>
      <c r="E6272" s="7" t="s">
        <v>29</v>
      </c>
      <c r="F6272" s="7" t="s">
        <v>232</v>
      </c>
      <c r="G6272" s="7">
        <v>101.65689999999999</v>
      </c>
      <c r="H6272" s="7"/>
    </row>
    <row r="6273" spans="1:8" x14ac:dyDescent="0.35">
      <c r="A6273" s="7" t="s">
        <v>367</v>
      </c>
      <c r="B6273" s="7" t="s">
        <v>26</v>
      </c>
      <c r="C6273" s="7" t="s">
        <v>27</v>
      </c>
      <c r="D6273" s="7" t="s">
        <v>28</v>
      </c>
      <c r="E6273" s="7" t="s">
        <v>29</v>
      </c>
      <c r="F6273" s="7" t="s">
        <v>233</v>
      </c>
      <c r="G6273" s="7">
        <v>100.8802</v>
      </c>
      <c r="H6273" s="7"/>
    </row>
    <row r="6274" spans="1:8" x14ac:dyDescent="0.35">
      <c r="A6274" s="7" t="s">
        <v>367</v>
      </c>
      <c r="B6274" s="7" t="s">
        <v>26</v>
      </c>
      <c r="C6274" s="7" t="s">
        <v>27</v>
      </c>
      <c r="D6274" s="7" t="s">
        <v>28</v>
      </c>
      <c r="E6274" s="7" t="s">
        <v>29</v>
      </c>
      <c r="F6274" s="7" t="s">
        <v>234</v>
      </c>
      <c r="G6274" s="7">
        <v>99.54974</v>
      </c>
      <c r="H6274" s="7"/>
    </row>
    <row r="6275" spans="1:8" x14ac:dyDescent="0.35">
      <c r="A6275" s="7" t="s">
        <v>367</v>
      </c>
      <c r="B6275" s="7" t="s">
        <v>26</v>
      </c>
      <c r="C6275" s="7" t="s">
        <v>27</v>
      </c>
      <c r="D6275" s="7" t="s">
        <v>28</v>
      </c>
      <c r="E6275" s="7" t="s">
        <v>29</v>
      </c>
      <c r="F6275" s="7" t="s">
        <v>235</v>
      </c>
      <c r="G6275" s="7">
        <v>98.463359999999994</v>
      </c>
      <c r="H6275" s="7"/>
    </row>
    <row r="6276" spans="1:8" x14ac:dyDescent="0.35">
      <c r="A6276" s="7" t="s">
        <v>367</v>
      </c>
      <c r="B6276" s="7" t="s">
        <v>26</v>
      </c>
      <c r="C6276" s="7" t="s">
        <v>27</v>
      </c>
      <c r="D6276" s="7" t="s">
        <v>28</v>
      </c>
      <c r="E6276" s="7" t="s">
        <v>29</v>
      </c>
      <c r="F6276" s="7" t="s">
        <v>236</v>
      </c>
      <c r="G6276" s="7">
        <v>97.522450000000006</v>
      </c>
      <c r="H6276" s="7"/>
    </row>
    <row r="6277" spans="1:8" x14ac:dyDescent="0.35">
      <c r="A6277" s="7" t="s">
        <v>367</v>
      </c>
      <c r="B6277" s="7" t="s">
        <v>26</v>
      </c>
      <c r="C6277" s="7" t="s">
        <v>27</v>
      </c>
      <c r="D6277" s="7" t="s">
        <v>28</v>
      </c>
      <c r="E6277" s="7" t="s">
        <v>29</v>
      </c>
      <c r="F6277" s="7" t="s">
        <v>237</v>
      </c>
      <c r="G6277" s="7">
        <v>96.604349999999997</v>
      </c>
      <c r="H6277" s="7"/>
    </row>
    <row r="6278" spans="1:8" x14ac:dyDescent="0.35">
      <c r="A6278" s="7" t="s">
        <v>367</v>
      </c>
      <c r="B6278" s="7" t="s">
        <v>26</v>
      </c>
      <c r="C6278" s="7" t="s">
        <v>27</v>
      </c>
      <c r="D6278" s="7" t="s">
        <v>28</v>
      </c>
      <c r="E6278" s="7" t="s">
        <v>29</v>
      </c>
      <c r="F6278" s="7" t="s">
        <v>238</v>
      </c>
      <c r="G6278" s="7">
        <v>96.240009999999998</v>
      </c>
      <c r="H6278" s="7"/>
    </row>
    <row r="6279" spans="1:8" x14ac:dyDescent="0.35">
      <c r="A6279" s="7" t="s">
        <v>367</v>
      </c>
      <c r="B6279" s="7" t="s">
        <v>26</v>
      </c>
      <c r="C6279" s="7" t="s">
        <v>27</v>
      </c>
      <c r="D6279" s="7" t="s">
        <v>28</v>
      </c>
      <c r="E6279" s="7" t="s">
        <v>29</v>
      </c>
      <c r="F6279" s="7" t="s">
        <v>239</v>
      </c>
      <c r="G6279" s="7">
        <v>96.441829999999996</v>
      </c>
      <c r="H6279" s="7"/>
    </row>
    <row r="6280" spans="1:8" x14ac:dyDescent="0.35">
      <c r="A6280" s="7" t="s">
        <v>367</v>
      </c>
      <c r="B6280" s="7" t="s">
        <v>26</v>
      </c>
      <c r="C6280" s="7" t="s">
        <v>27</v>
      </c>
      <c r="D6280" s="7" t="s">
        <v>28</v>
      </c>
      <c r="E6280" s="7" t="s">
        <v>29</v>
      </c>
      <c r="F6280" s="7" t="s">
        <v>240</v>
      </c>
      <c r="G6280" s="7">
        <v>97.00215</v>
      </c>
      <c r="H6280" s="7"/>
    </row>
    <row r="6281" spans="1:8" x14ac:dyDescent="0.35">
      <c r="A6281" s="7" t="s">
        <v>367</v>
      </c>
      <c r="B6281" s="7" t="s">
        <v>26</v>
      </c>
      <c r="C6281" s="7" t="s">
        <v>27</v>
      </c>
      <c r="D6281" s="7" t="s">
        <v>28</v>
      </c>
      <c r="E6281" s="7" t="s">
        <v>29</v>
      </c>
      <c r="F6281" s="7" t="s">
        <v>241</v>
      </c>
      <c r="G6281" s="7">
        <v>97.472480000000004</v>
      </c>
      <c r="H6281" s="7"/>
    </row>
    <row r="6282" spans="1:8" x14ac:dyDescent="0.35">
      <c r="A6282" s="7" t="s">
        <v>367</v>
      </c>
      <c r="B6282" s="7" t="s">
        <v>26</v>
      </c>
      <c r="C6282" s="7" t="s">
        <v>27</v>
      </c>
      <c r="D6282" s="7" t="s">
        <v>28</v>
      </c>
      <c r="E6282" s="7" t="s">
        <v>29</v>
      </c>
      <c r="F6282" s="7" t="s">
        <v>242</v>
      </c>
      <c r="G6282" s="7">
        <v>97.837549999999993</v>
      </c>
      <c r="H6282" s="7"/>
    </row>
    <row r="6283" spans="1:8" x14ac:dyDescent="0.35">
      <c r="A6283" s="7" t="s">
        <v>367</v>
      </c>
      <c r="B6283" s="7" t="s">
        <v>26</v>
      </c>
      <c r="C6283" s="7" t="s">
        <v>27</v>
      </c>
      <c r="D6283" s="7" t="s">
        <v>28</v>
      </c>
      <c r="E6283" s="7" t="s">
        <v>29</v>
      </c>
      <c r="F6283" s="7" t="s">
        <v>243</v>
      </c>
      <c r="G6283" s="7">
        <v>98.176699999999997</v>
      </c>
      <c r="H6283" s="7"/>
    </row>
    <row r="6284" spans="1:8" x14ac:dyDescent="0.35">
      <c r="A6284" s="7" t="s">
        <v>367</v>
      </c>
      <c r="B6284" s="7" t="s">
        <v>26</v>
      </c>
      <c r="C6284" s="7" t="s">
        <v>27</v>
      </c>
      <c r="D6284" s="7" t="s">
        <v>28</v>
      </c>
      <c r="E6284" s="7" t="s">
        <v>29</v>
      </c>
      <c r="F6284" s="7" t="s">
        <v>244</v>
      </c>
      <c r="G6284" s="7">
        <v>98.512690000000006</v>
      </c>
      <c r="H6284" s="7"/>
    </row>
    <row r="6285" spans="1:8" x14ac:dyDescent="0.35">
      <c r="A6285" s="7" t="s">
        <v>367</v>
      </c>
      <c r="B6285" s="7" t="s">
        <v>26</v>
      </c>
      <c r="C6285" s="7" t="s">
        <v>27</v>
      </c>
      <c r="D6285" s="7" t="s">
        <v>28</v>
      </c>
      <c r="E6285" s="7" t="s">
        <v>29</v>
      </c>
      <c r="F6285" s="7" t="s">
        <v>245</v>
      </c>
      <c r="G6285" s="7">
        <v>98.538439999999994</v>
      </c>
      <c r="H6285" s="7"/>
    </row>
    <row r="6286" spans="1:8" x14ac:dyDescent="0.35">
      <c r="A6286" s="7" t="s">
        <v>367</v>
      </c>
      <c r="B6286" s="7" t="s">
        <v>26</v>
      </c>
      <c r="C6286" s="7" t="s">
        <v>27</v>
      </c>
      <c r="D6286" s="7" t="s">
        <v>28</v>
      </c>
      <c r="E6286" s="7" t="s">
        <v>29</v>
      </c>
      <c r="F6286" s="7" t="s">
        <v>246</v>
      </c>
      <c r="G6286" s="7">
        <v>98.614170000000001</v>
      </c>
      <c r="H6286" s="7"/>
    </row>
    <row r="6287" spans="1:8" x14ac:dyDescent="0.35">
      <c r="A6287" s="7" t="s">
        <v>367</v>
      </c>
      <c r="B6287" s="7" t="s">
        <v>26</v>
      </c>
      <c r="C6287" s="7" t="s">
        <v>27</v>
      </c>
      <c r="D6287" s="7" t="s">
        <v>28</v>
      </c>
      <c r="E6287" s="7" t="s">
        <v>29</v>
      </c>
      <c r="F6287" s="7" t="s">
        <v>247</v>
      </c>
      <c r="G6287" s="7">
        <v>98.968069999999997</v>
      </c>
      <c r="H6287" s="7"/>
    </row>
    <row r="6288" spans="1:8" x14ac:dyDescent="0.35">
      <c r="A6288" s="7" t="s">
        <v>367</v>
      </c>
      <c r="B6288" s="7" t="s">
        <v>26</v>
      </c>
      <c r="C6288" s="7" t="s">
        <v>27</v>
      </c>
      <c r="D6288" s="7" t="s">
        <v>28</v>
      </c>
      <c r="E6288" s="7" t="s">
        <v>29</v>
      </c>
      <c r="F6288" s="7" t="s">
        <v>248</v>
      </c>
      <c r="G6288" s="7">
        <v>99.521850000000001</v>
      </c>
      <c r="H6288" s="7"/>
    </row>
    <row r="6289" spans="1:8" x14ac:dyDescent="0.35">
      <c r="A6289" s="7" t="s">
        <v>367</v>
      </c>
      <c r="B6289" s="7" t="s">
        <v>26</v>
      </c>
      <c r="C6289" s="7" t="s">
        <v>27</v>
      </c>
      <c r="D6289" s="7" t="s">
        <v>28</v>
      </c>
      <c r="E6289" s="7" t="s">
        <v>29</v>
      </c>
      <c r="F6289" s="7" t="s">
        <v>249</v>
      </c>
      <c r="G6289" s="7">
        <v>100.1622</v>
      </c>
      <c r="H6289" s="7"/>
    </row>
    <row r="6290" spans="1:8" x14ac:dyDescent="0.35">
      <c r="A6290" s="7" t="s">
        <v>367</v>
      </c>
      <c r="B6290" s="7" t="s">
        <v>26</v>
      </c>
      <c r="C6290" s="7" t="s">
        <v>27</v>
      </c>
      <c r="D6290" s="7" t="s">
        <v>28</v>
      </c>
      <c r="E6290" s="7" t="s">
        <v>29</v>
      </c>
      <c r="F6290" s="7" t="s">
        <v>250</v>
      </c>
      <c r="G6290" s="7">
        <v>100.5822</v>
      </c>
      <c r="H6290" s="7"/>
    </row>
    <row r="6291" spans="1:8" x14ac:dyDescent="0.35">
      <c r="A6291" s="7" t="s">
        <v>367</v>
      </c>
      <c r="B6291" s="7" t="s">
        <v>26</v>
      </c>
      <c r="C6291" s="7" t="s">
        <v>27</v>
      </c>
      <c r="D6291" s="7" t="s">
        <v>28</v>
      </c>
      <c r="E6291" s="7" t="s">
        <v>29</v>
      </c>
      <c r="F6291" s="7" t="s">
        <v>251</v>
      </c>
      <c r="G6291" s="7">
        <v>100.7269</v>
      </c>
      <c r="H6291" s="7"/>
    </row>
    <row r="6292" spans="1:8" x14ac:dyDescent="0.35">
      <c r="A6292" s="7" t="s">
        <v>367</v>
      </c>
      <c r="B6292" s="7" t="s">
        <v>26</v>
      </c>
      <c r="C6292" s="7" t="s">
        <v>27</v>
      </c>
      <c r="D6292" s="7" t="s">
        <v>28</v>
      </c>
      <c r="E6292" s="7" t="s">
        <v>29</v>
      </c>
      <c r="F6292" s="7" t="s">
        <v>252</v>
      </c>
      <c r="G6292" s="7">
        <v>100.6367</v>
      </c>
      <c r="H6292" s="7"/>
    </row>
    <row r="6293" spans="1:8" x14ac:dyDescent="0.35">
      <c r="A6293" s="7" t="s">
        <v>367</v>
      </c>
      <c r="B6293" s="7" t="s">
        <v>26</v>
      </c>
      <c r="C6293" s="7" t="s">
        <v>27</v>
      </c>
      <c r="D6293" s="7" t="s">
        <v>28</v>
      </c>
      <c r="E6293" s="7" t="s">
        <v>29</v>
      </c>
      <c r="F6293" s="7" t="s">
        <v>253</v>
      </c>
      <c r="G6293" s="7">
        <v>100.50060000000001</v>
      </c>
      <c r="H6293" s="7"/>
    </row>
    <row r="6294" spans="1:8" x14ac:dyDescent="0.35">
      <c r="A6294" s="7" t="s">
        <v>367</v>
      </c>
      <c r="B6294" s="7" t="s">
        <v>26</v>
      </c>
      <c r="C6294" s="7" t="s">
        <v>27</v>
      </c>
      <c r="D6294" s="7" t="s">
        <v>28</v>
      </c>
      <c r="E6294" s="7" t="s">
        <v>29</v>
      </c>
      <c r="F6294" s="7" t="s">
        <v>254</v>
      </c>
      <c r="G6294" s="7">
        <v>100.3014</v>
      </c>
      <c r="H6294" s="7"/>
    </row>
    <row r="6295" spans="1:8" x14ac:dyDescent="0.35">
      <c r="A6295" s="7" t="s">
        <v>367</v>
      </c>
      <c r="B6295" s="7" t="s">
        <v>26</v>
      </c>
      <c r="C6295" s="7" t="s">
        <v>27</v>
      </c>
      <c r="D6295" s="7" t="s">
        <v>28</v>
      </c>
      <c r="E6295" s="7" t="s">
        <v>29</v>
      </c>
      <c r="F6295" s="7" t="s">
        <v>255</v>
      </c>
      <c r="G6295" s="7">
        <v>100.0183</v>
      </c>
      <c r="H6295" s="7"/>
    </row>
    <row r="6296" spans="1:8" x14ac:dyDescent="0.35">
      <c r="A6296" s="7" t="s">
        <v>367</v>
      </c>
      <c r="B6296" s="7" t="s">
        <v>26</v>
      </c>
      <c r="C6296" s="7" t="s">
        <v>27</v>
      </c>
      <c r="D6296" s="7" t="s">
        <v>28</v>
      </c>
      <c r="E6296" s="7" t="s">
        <v>29</v>
      </c>
      <c r="F6296" s="7" t="s">
        <v>256</v>
      </c>
      <c r="G6296" s="7">
        <v>99.7761</v>
      </c>
      <c r="H6296" s="7"/>
    </row>
    <row r="6297" spans="1:8" x14ac:dyDescent="0.35">
      <c r="A6297" s="7" t="s">
        <v>367</v>
      </c>
      <c r="B6297" s="7" t="s">
        <v>26</v>
      </c>
      <c r="C6297" s="7" t="s">
        <v>27</v>
      </c>
      <c r="D6297" s="7" t="s">
        <v>28</v>
      </c>
      <c r="E6297" s="7" t="s">
        <v>29</v>
      </c>
      <c r="F6297" s="7" t="s">
        <v>257</v>
      </c>
      <c r="G6297" s="7">
        <v>99.667789999999997</v>
      </c>
      <c r="H6297" s="7"/>
    </row>
    <row r="6298" spans="1:8" x14ac:dyDescent="0.35">
      <c r="A6298" s="7" t="s">
        <v>367</v>
      </c>
      <c r="B6298" s="7" t="s">
        <v>26</v>
      </c>
      <c r="C6298" s="7" t="s">
        <v>27</v>
      </c>
      <c r="D6298" s="7" t="s">
        <v>28</v>
      </c>
      <c r="E6298" s="7" t="s">
        <v>29</v>
      </c>
      <c r="F6298" s="7" t="s">
        <v>258</v>
      </c>
      <c r="G6298" s="7">
        <v>99.782749999999993</v>
      </c>
      <c r="H6298" s="7"/>
    </row>
    <row r="6299" spans="1:8" x14ac:dyDescent="0.35">
      <c r="A6299" s="7" t="s">
        <v>367</v>
      </c>
      <c r="B6299" s="7" t="s">
        <v>26</v>
      </c>
      <c r="C6299" s="7" t="s">
        <v>27</v>
      </c>
      <c r="D6299" s="7" t="s">
        <v>28</v>
      </c>
      <c r="E6299" s="7" t="s">
        <v>29</v>
      </c>
      <c r="F6299" s="7" t="s">
        <v>259</v>
      </c>
      <c r="G6299" s="7">
        <v>99.623739999999998</v>
      </c>
      <c r="H6299" s="7"/>
    </row>
    <row r="6300" spans="1:8" x14ac:dyDescent="0.35">
      <c r="A6300" s="7" t="s">
        <v>367</v>
      </c>
      <c r="B6300" s="7" t="s">
        <v>26</v>
      </c>
      <c r="C6300" s="7" t="s">
        <v>27</v>
      </c>
      <c r="D6300" s="7" t="s">
        <v>28</v>
      </c>
      <c r="E6300" s="7" t="s">
        <v>29</v>
      </c>
      <c r="F6300" s="7" t="s">
        <v>260</v>
      </c>
      <c r="G6300" s="7">
        <v>99.341639999999998</v>
      </c>
      <c r="H6300" s="7"/>
    </row>
    <row r="6301" spans="1:8" x14ac:dyDescent="0.35">
      <c r="A6301" s="7" t="s">
        <v>367</v>
      </c>
      <c r="B6301" s="7" t="s">
        <v>26</v>
      </c>
      <c r="C6301" s="7" t="s">
        <v>27</v>
      </c>
      <c r="D6301" s="7" t="s">
        <v>28</v>
      </c>
      <c r="E6301" s="7" t="s">
        <v>29</v>
      </c>
      <c r="F6301" s="7" t="s">
        <v>261</v>
      </c>
      <c r="G6301" s="7">
        <v>99.170199999999994</v>
      </c>
      <c r="H6301" s="7"/>
    </row>
    <row r="6302" spans="1:8" x14ac:dyDescent="0.35">
      <c r="A6302" s="7" t="s">
        <v>367</v>
      </c>
      <c r="B6302" s="7" t="s">
        <v>26</v>
      </c>
      <c r="C6302" s="7" t="s">
        <v>27</v>
      </c>
      <c r="D6302" s="7" t="s">
        <v>28</v>
      </c>
      <c r="E6302" s="7" t="s">
        <v>29</v>
      </c>
      <c r="F6302" s="7" t="s">
        <v>262</v>
      </c>
      <c r="G6302" s="7">
        <v>98.967500000000001</v>
      </c>
      <c r="H6302" s="7"/>
    </row>
    <row r="6303" spans="1:8" x14ac:dyDescent="0.35">
      <c r="A6303" s="7" t="s">
        <v>367</v>
      </c>
      <c r="B6303" s="7" t="s">
        <v>26</v>
      </c>
      <c r="C6303" s="7" t="s">
        <v>27</v>
      </c>
      <c r="D6303" s="7" t="s">
        <v>28</v>
      </c>
      <c r="E6303" s="7" t="s">
        <v>29</v>
      </c>
      <c r="F6303" s="7" t="s">
        <v>263</v>
      </c>
      <c r="G6303" s="7">
        <v>99.045810000000003</v>
      </c>
      <c r="H6303" s="7"/>
    </row>
    <row r="6304" spans="1:8" x14ac:dyDescent="0.35">
      <c r="A6304" s="7" t="s">
        <v>367</v>
      </c>
      <c r="B6304" s="7" t="s">
        <v>26</v>
      </c>
      <c r="C6304" s="7" t="s">
        <v>27</v>
      </c>
      <c r="D6304" s="7" t="s">
        <v>28</v>
      </c>
      <c r="E6304" s="7" t="s">
        <v>29</v>
      </c>
      <c r="F6304" s="7" t="s">
        <v>264</v>
      </c>
      <c r="G6304" s="7">
        <v>99.320920000000001</v>
      </c>
      <c r="H6304" s="7"/>
    </row>
    <row r="6305" spans="1:8" x14ac:dyDescent="0.35">
      <c r="A6305" s="7" t="s">
        <v>367</v>
      </c>
      <c r="B6305" s="7" t="s">
        <v>26</v>
      </c>
      <c r="C6305" s="7" t="s">
        <v>27</v>
      </c>
      <c r="D6305" s="7" t="s">
        <v>28</v>
      </c>
      <c r="E6305" s="7" t="s">
        <v>29</v>
      </c>
      <c r="F6305" s="7" t="s">
        <v>265</v>
      </c>
      <c r="G6305" s="7">
        <v>99.480649999999997</v>
      </c>
      <c r="H6305" s="7"/>
    </row>
    <row r="6306" spans="1:8" x14ac:dyDescent="0.35">
      <c r="A6306" s="7" t="s">
        <v>367</v>
      </c>
      <c r="B6306" s="7" t="s">
        <v>26</v>
      </c>
      <c r="C6306" s="7" t="s">
        <v>27</v>
      </c>
      <c r="D6306" s="7" t="s">
        <v>28</v>
      </c>
      <c r="E6306" s="7" t="s">
        <v>29</v>
      </c>
      <c r="F6306" s="7" t="s">
        <v>266</v>
      </c>
      <c r="G6306" s="7">
        <v>99.582120000000003</v>
      </c>
      <c r="H6306" s="7"/>
    </row>
    <row r="6307" spans="1:8" x14ac:dyDescent="0.35">
      <c r="A6307" s="7" t="s">
        <v>367</v>
      </c>
      <c r="B6307" s="7" t="s">
        <v>26</v>
      </c>
      <c r="C6307" s="7" t="s">
        <v>27</v>
      </c>
      <c r="D6307" s="7" t="s">
        <v>28</v>
      </c>
      <c r="E6307" s="7" t="s">
        <v>29</v>
      </c>
      <c r="F6307" s="7" t="s">
        <v>267</v>
      </c>
      <c r="G6307" s="7">
        <v>99.463999999999999</v>
      </c>
      <c r="H6307" s="7"/>
    </row>
    <row r="6308" spans="1:8" x14ac:dyDescent="0.35">
      <c r="A6308" s="7" t="s">
        <v>367</v>
      </c>
      <c r="B6308" s="7" t="s">
        <v>26</v>
      </c>
      <c r="C6308" s="7" t="s">
        <v>27</v>
      </c>
      <c r="D6308" s="7" t="s">
        <v>28</v>
      </c>
      <c r="E6308" s="7" t="s">
        <v>29</v>
      </c>
      <c r="F6308" s="7" t="s">
        <v>268</v>
      </c>
      <c r="G6308" s="7">
        <v>99.040180000000007</v>
      </c>
      <c r="H6308" s="7"/>
    </row>
    <row r="6309" spans="1:8" x14ac:dyDescent="0.35">
      <c r="A6309" s="7" t="s">
        <v>367</v>
      </c>
      <c r="B6309" s="7" t="s">
        <v>26</v>
      </c>
      <c r="C6309" s="7" t="s">
        <v>27</v>
      </c>
      <c r="D6309" s="7" t="s">
        <v>28</v>
      </c>
      <c r="E6309" s="7" t="s">
        <v>29</v>
      </c>
      <c r="F6309" s="7" t="s">
        <v>269</v>
      </c>
      <c r="G6309" s="7">
        <v>98.384820000000005</v>
      </c>
      <c r="H6309" s="7"/>
    </row>
    <row r="6310" spans="1:8" x14ac:dyDescent="0.35">
      <c r="A6310" s="7" t="s">
        <v>367</v>
      </c>
      <c r="B6310" s="7" t="s">
        <v>26</v>
      </c>
      <c r="C6310" s="7" t="s">
        <v>27</v>
      </c>
      <c r="D6310" s="7" t="s">
        <v>28</v>
      </c>
      <c r="E6310" s="7" t="s">
        <v>29</v>
      </c>
      <c r="F6310" s="7" t="s">
        <v>270</v>
      </c>
      <c r="G6310" s="7">
        <v>97.662570000000002</v>
      </c>
      <c r="H6310" s="7"/>
    </row>
    <row r="6311" spans="1:8" x14ac:dyDescent="0.35">
      <c r="A6311" s="7" t="s">
        <v>367</v>
      </c>
      <c r="B6311" s="7" t="s">
        <v>26</v>
      </c>
      <c r="C6311" s="7" t="s">
        <v>27</v>
      </c>
      <c r="D6311" s="7" t="s">
        <v>28</v>
      </c>
      <c r="E6311" s="7" t="s">
        <v>29</v>
      </c>
      <c r="F6311" s="7" t="s">
        <v>271</v>
      </c>
      <c r="G6311" s="7">
        <v>97.273570000000007</v>
      </c>
      <c r="H6311" s="7"/>
    </row>
    <row r="6312" spans="1:8" x14ac:dyDescent="0.35">
      <c r="A6312" s="7" t="s">
        <v>367</v>
      </c>
      <c r="B6312" s="7" t="s">
        <v>26</v>
      </c>
      <c r="C6312" s="7" t="s">
        <v>27</v>
      </c>
      <c r="D6312" s="7" t="s">
        <v>28</v>
      </c>
      <c r="E6312" s="7" t="s">
        <v>29</v>
      </c>
      <c r="F6312" s="7" t="s">
        <v>272</v>
      </c>
      <c r="G6312" s="7">
        <v>97.456699999999998</v>
      </c>
      <c r="H6312" s="7"/>
    </row>
    <row r="6313" spans="1:8" x14ac:dyDescent="0.35">
      <c r="A6313" s="7" t="s">
        <v>367</v>
      </c>
      <c r="B6313" s="7" t="s">
        <v>26</v>
      </c>
      <c r="C6313" s="7" t="s">
        <v>27</v>
      </c>
      <c r="D6313" s="7" t="s">
        <v>28</v>
      </c>
      <c r="E6313" s="7" t="s">
        <v>29</v>
      </c>
      <c r="F6313" s="7" t="s">
        <v>273</v>
      </c>
      <c r="G6313" s="7">
        <v>98.036510000000007</v>
      </c>
      <c r="H6313" s="7"/>
    </row>
    <row r="6314" spans="1:8" x14ac:dyDescent="0.35">
      <c r="A6314" s="7" t="s">
        <v>367</v>
      </c>
      <c r="B6314" s="7" t="s">
        <v>26</v>
      </c>
      <c r="C6314" s="7" t="s">
        <v>27</v>
      </c>
      <c r="D6314" s="7" t="s">
        <v>28</v>
      </c>
      <c r="E6314" s="7" t="s">
        <v>29</v>
      </c>
      <c r="F6314" s="7" t="s">
        <v>274</v>
      </c>
      <c r="G6314" s="7">
        <v>98.70111</v>
      </c>
      <c r="H6314" s="7"/>
    </row>
    <row r="6315" spans="1:8" x14ac:dyDescent="0.35">
      <c r="A6315" s="7" t="s">
        <v>367</v>
      </c>
      <c r="B6315" s="7" t="s">
        <v>26</v>
      </c>
      <c r="C6315" s="7" t="s">
        <v>27</v>
      </c>
      <c r="D6315" s="7" t="s">
        <v>28</v>
      </c>
      <c r="E6315" s="7" t="s">
        <v>29</v>
      </c>
      <c r="F6315" s="7" t="s">
        <v>275</v>
      </c>
      <c r="G6315" s="7">
        <v>99.376829999999998</v>
      </c>
      <c r="H6315" s="7"/>
    </row>
    <row r="6316" spans="1:8" x14ac:dyDescent="0.35">
      <c r="A6316" s="7" t="s">
        <v>367</v>
      </c>
      <c r="B6316" s="7" t="s">
        <v>26</v>
      </c>
      <c r="C6316" s="7" t="s">
        <v>27</v>
      </c>
      <c r="D6316" s="7" t="s">
        <v>28</v>
      </c>
      <c r="E6316" s="7" t="s">
        <v>29</v>
      </c>
      <c r="F6316" s="7" t="s">
        <v>276</v>
      </c>
      <c r="G6316" s="7">
        <v>99.613020000000006</v>
      </c>
      <c r="H6316" s="7"/>
    </row>
    <row r="6317" spans="1:8" x14ac:dyDescent="0.35">
      <c r="A6317" s="7" t="s">
        <v>367</v>
      </c>
      <c r="B6317" s="7" t="s">
        <v>26</v>
      </c>
      <c r="C6317" s="7" t="s">
        <v>27</v>
      </c>
      <c r="D6317" s="7" t="s">
        <v>28</v>
      </c>
      <c r="E6317" s="7" t="s">
        <v>29</v>
      </c>
      <c r="F6317" s="7" t="s">
        <v>277</v>
      </c>
      <c r="G6317" s="7">
        <v>99.519270000000006</v>
      </c>
      <c r="H6317" s="7"/>
    </row>
    <row r="6318" spans="1:8" x14ac:dyDescent="0.35">
      <c r="A6318" s="7" t="s">
        <v>367</v>
      </c>
      <c r="B6318" s="7" t="s">
        <v>26</v>
      </c>
      <c r="C6318" s="7" t="s">
        <v>27</v>
      </c>
      <c r="D6318" s="7" t="s">
        <v>28</v>
      </c>
      <c r="E6318" s="7" t="s">
        <v>29</v>
      </c>
      <c r="F6318" s="7" t="s">
        <v>278</v>
      </c>
      <c r="G6318" s="7">
        <v>99.249399999999994</v>
      </c>
      <c r="H6318" s="7"/>
    </row>
    <row r="6319" spans="1:8" x14ac:dyDescent="0.35">
      <c r="A6319" s="7" t="s">
        <v>367</v>
      </c>
      <c r="B6319" s="7" t="s">
        <v>26</v>
      </c>
      <c r="C6319" s="7" t="s">
        <v>27</v>
      </c>
      <c r="D6319" s="7" t="s">
        <v>28</v>
      </c>
      <c r="E6319" s="7" t="s">
        <v>29</v>
      </c>
      <c r="F6319" s="7" t="s">
        <v>279</v>
      </c>
      <c r="G6319" s="7">
        <v>98.815460000000002</v>
      </c>
      <c r="H6319" s="7"/>
    </row>
    <row r="6320" spans="1:8" x14ac:dyDescent="0.35">
      <c r="A6320" s="7" t="s">
        <v>367</v>
      </c>
      <c r="B6320" s="7" t="s">
        <v>26</v>
      </c>
      <c r="C6320" s="7" t="s">
        <v>27</v>
      </c>
      <c r="D6320" s="7" t="s">
        <v>28</v>
      </c>
      <c r="E6320" s="7" t="s">
        <v>29</v>
      </c>
      <c r="F6320" s="7" t="s">
        <v>280</v>
      </c>
      <c r="G6320" s="7">
        <v>98.291690000000003</v>
      </c>
      <c r="H6320" s="7"/>
    </row>
    <row r="6321" spans="1:8" x14ac:dyDescent="0.35">
      <c r="A6321" s="7" t="s">
        <v>367</v>
      </c>
      <c r="B6321" s="7" t="s">
        <v>26</v>
      </c>
      <c r="C6321" s="7" t="s">
        <v>27</v>
      </c>
      <c r="D6321" s="7" t="s">
        <v>28</v>
      </c>
      <c r="E6321" s="7" t="s">
        <v>29</v>
      </c>
      <c r="F6321" s="7" t="s">
        <v>281</v>
      </c>
      <c r="G6321" s="7">
        <v>97.935829999999996</v>
      </c>
      <c r="H6321" s="7"/>
    </row>
    <row r="6322" spans="1:8" x14ac:dyDescent="0.35">
      <c r="A6322" s="7" t="s">
        <v>367</v>
      </c>
      <c r="B6322" s="7" t="s">
        <v>26</v>
      </c>
      <c r="C6322" s="7" t="s">
        <v>27</v>
      </c>
      <c r="D6322" s="7" t="s">
        <v>28</v>
      </c>
      <c r="E6322" s="7" t="s">
        <v>29</v>
      </c>
      <c r="F6322" s="7" t="s">
        <v>282</v>
      </c>
      <c r="G6322" s="7">
        <v>97.84057</v>
      </c>
      <c r="H6322" s="7"/>
    </row>
    <row r="6323" spans="1:8" x14ac:dyDescent="0.35">
      <c r="A6323" s="7" t="s">
        <v>367</v>
      </c>
      <c r="B6323" s="7" t="s">
        <v>26</v>
      </c>
      <c r="C6323" s="7" t="s">
        <v>27</v>
      </c>
      <c r="D6323" s="7" t="s">
        <v>28</v>
      </c>
      <c r="E6323" s="7" t="s">
        <v>29</v>
      </c>
      <c r="F6323" s="7" t="s">
        <v>283</v>
      </c>
      <c r="G6323" s="7">
        <v>97.713340000000002</v>
      </c>
      <c r="H6323" s="7"/>
    </row>
    <row r="6324" spans="1:8" x14ac:dyDescent="0.35">
      <c r="A6324" s="7" t="s">
        <v>367</v>
      </c>
      <c r="B6324" s="7" t="s">
        <v>26</v>
      </c>
      <c r="C6324" s="7" t="s">
        <v>27</v>
      </c>
      <c r="D6324" s="7" t="s">
        <v>28</v>
      </c>
      <c r="E6324" s="7" t="s">
        <v>29</v>
      </c>
      <c r="F6324" s="7" t="s">
        <v>284</v>
      </c>
      <c r="G6324" s="7">
        <v>97.794529999999995</v>
      </c>
      <c r="H6324" s="7"/>
    </row>
    <row r="6325" spans="1:8" x14ac:dyDescent="0.35">
      <c r="A6325" s="7" t="s">
        <v>367</v>
      </c>
      <c r="B6325" s="7" t="s">
        <v>26</v>
      </c>
      <c r="C6325" s="7" t="s">
        <v>27</v>
      </c>
      <c r="D6325" s="7" t="s">
        <v>28</v>
      </c>
      <c r="E6325" s="7" t="s">
        <v>29</v>
      </c>
      <c r="F6325" s="7" t="s">
        <v>285</v>
      </c>
      <c r="G6325" s="7">
        <v>98.128879999999995</v>
      </c>
      <c r="H6325" s="7"/>
    </row>
    <row r="6326" spans="1:8" x14ac:dyDescent="0.35">
      <c r="A6326" s="7" t="s">
        <v>367</v>
      </c>
      <c r="B6326" s="7" t="s">
        <v>26</v>
      </c>
      <c r="C6326" s="7" t="s">
        <v>27</v>
      </c>
      <c r="D6326" s="7" t="s">
        <v>28</v>
      </c>
      <c r="E6326" s="7" t="s">
        <v>29</v>
      </c>
      <c r="F6326" s="7" t="s">
        <v>286</v>
      </c>
      <c r="G6326" s="7">
        <v>98.451310000000007</v>
      </c>
      <c r="H6326" s="7"/>
    </row>
    <row r="6327" spans="1:8" x14ac:dyDescent="0.35">
      <c r="A6327" s="7" t="s">
        <v>367</v>
      </c>
      <c r="B6327" s="7" t="s">
        <v>26</v>
      </c>
      <c r="C6327" s="7" t="s">
        <v>27</v>
      </c>
      <c r="D6327" s="7" t="s">
        <v>28</v>
      </c>
      <c r="E6327" s="7" t="s">
        <v>29</v>
      </c>
      <c r="F6327" s="7" t="s">
        <v>287</v>
      </c>
      <c r="G6327" s="7">
        <v>98.62621</v>
      </c>
      <c r="H6327" s="7"/>
    </row>
    <row r="6328" spans="1:8" x14ac:dyDescent="0.35">
      <c r="A6328" s="7" t="s">
        <v>367</v>
      </c>
      <c r="B6328" s="7" t="s">
        <v>26</v>
      </c>
      <c r="C6328" s="7" t="s">
        <v>27</v>
      </c>
      <c r="D6328" s="7" t="s">
        <v>28</v>
      </c>
      <c r="E6328" s="7" t="s">
        <v>29</v>
      </c>
      <c r="F6328" s="7" t="s">
        <v>288</v>
      </c>
      <c r="G6328" s="7">
        <v>98.835149999999999</v>
      </c>
      <c r="H6328" s="7"/>
    </row>
    <row r="6329" spans="1:8" x14ac:dyDescent="0.35">
      <c r="A6329" s="7" t="s">
        <v>367</v>
      </c>
      <c r="B6329" s="7" t="s">
        <v>26</v>
      </c>
      <c r="C6329" s="7" t="s">
        <v>27</v>
      </c>
      <c r="D6329" s="7" t="s">
        <v>28</v>
      </c>
      <c r="E6329" s="7" t="s">
        <v>29</v>
      </c>
      <c r="F6329" s="7" t="s">
        <v>289</v>
      </c>
      <c r="G6329" s="7">
        <v>99.039959999999994</v>
      </c>
      <c r="H6329" s="7"/>
    </row>
    <row r="6330" spans="1:8" x14ac:dyDescent="0.35">
      <c r="A6330" s="7" t="s">
        <v>367</v>
      </c>
      <c r="B6330" s="7" t="s">
        <v>26</v>
      </c>
      <c r="C6330" s="7" t="s">
        <v>27</v>
      </c>
      <c r="D6330" s="7" t="s">
        <v>28</v>
      </c>
      <c r="E6330" s="7" t="s">
        <v>29</v>
      </c>
      <c r="F6330" s="7" t="s">
        <v>290</v>
      </c>
      <c r="G6330" s="7">
        <v>99.300349999999995</v>
      </c>
      <c r="H6330" s="7"/>
    </row>
    <row r="6331" spans="1:8" x14ac:dyDescent="0.35">
      <c r="A6331" s="7" t="s">
        <v>367</v>
      </c>
      <c r="B6331" s="7" t="s">
        <v>26</v>
      </c>
      <c r="C6331" s="7" t="s">
        <v>27</v>
      </c>
      <c r="D6331" s="7" t="s">
        <v>28</v>
      </c>
      <c r="E6331" s="7" t="s">
        <v>29</v>
      </c>
      <c r="F6331" s="7" t="s">
        <v>291</v>
      </c>
      <c r="G6331" s="7">
        <v>99.486949999999993</v>
      </c>
      <c r="H6331" s="7"/>
    </row>
    <row r="6332" spans="1:8" x14ac:dyDescent="0.35">
      <c r="A6332" s="7" t="s">
        <v>367</v>
      </c>
      <c r="B6332" s="7" t="s">
        <v>26</v>
      </c>
      <c r="C6332" s="7" t="s">
        <v>27</v>
      </c>
      <c r="D6332" s="7" t="s">
        <v>28</v>
      </c>
      <c r="E6332" s="7" t="s">
        <v>29</v>
      </c>
      <c r="F6332" s="7" t="s">
        <v>292</v>
      </c>
      <c r="G6332" s="7">
        <v>99.744950000000003</v>
      </c>
      <c r="H6332" s="7"/>
    </row>
    <row r="6333" spans="1:8" x14ac:dyDescent="0.35">
      <c r="A6333" s="7" t="s">
        <v>367</v>
      </c>
      <c r="B6333" s="7" t="s">
        <v>26</v>
      </c>
      <c r="C6333" s="7" t="s">
        <v>27</v>
      </c>
      <c r="D6333" s="7" t="s">
        <v>28</v>
      </c>
      <c r="E6333" s="7" t="s">
        <v>29</v>
      </c>
      <c r="F6333" s="7" t="s">
        <v>293</v>
      </c>
      <c r="G6333" s="7">
        <v>100.143</v>
      </c>
      <c r="H6333" s="7"/>
    </row>
    <row r="6334" spans="1:8" x14ac:dyDescent="0.35">
      <c r="A6334" s="7" t="s">
        <v>367</v>
      </c>
      <c r="B6334" s="7" t="s">
        <v>26</v>
      </c>
      <c r="C6334" s="7" t="s">
        <v>27</v>
      </c>
      <c r="D6334" s="7" t="s">
        <v>28</v>
      </c>
      <c r="E6334" s="7" t="s">
        <v>29</v>
      </c>
      <c r="F6334" s="7" t="s">
        <v>294</v>
      </c>
      <c r="G6334" s="7">
        <v>100.54689999999999</v>
      </c>
      <c r="H6334" s="7"/>
    </row>
    <row r="6335" spans="1:8" x14ac:dyDescent="0.35">
      <c r="A6335" s="7" t="s">
        <v>367</v>
      </c>
      <c r="B6335" s="7" t="s">
        <v>26</v>
      </c>
      <c r="C6335" s="7" t="s">
        <v>27</v>
      </c>
      <c r="D6335" s="7" t="s">
        <v>28</v>
      </c>
      <c r="E6335" s="7" t="s">
        <v>29</v>
      </c>
      <c r="F6335" s="7" t="s">
        <v>295</v>
      </c>
      <c r="G6335" s="7">
        <v>100.8633</v>
      </c>
      <c r="H6335" s="7"/>
    </row>
    <row r="6336" spans="1:8" x14ac:dyDescent="0.35">
      <c r="A6336" s="7" t="s">
        <v>367</v>
      </c>
      <c r="B6336" s="7" t="s">
        <v>26</v>
      </c>
      <c r="C6336" s="7" t="s">
        <v>27</v>
      </c>
      <c r="D6336" s="7" t="s">
        <v>28</v>
      </c>
      <c r="E6336" s="7" t="s">
        <v>29</v>
      </c>
      <c r="F6336" s="7" t="s">
        <v>296</v>
      </c>
      <c r="G6336" s="7">
        <v>101.0802</v>
      </c>
      <c r="H6336" s="7"/>
    </row>
    <row r="6337" spans="1:8" x14ac:dyDescent="0.35">
      <c r="A6337" s="7" t="s">
        <v>367</v>
      </c>
      <c r="B6337" s="7" t="s">
        <v>26</v>
      </c>
      <c r="C6337" s="7" t="s">
        <v>27</v>
      </c>
      <c r="D6337" s="7" t="s">
        <v>28</v>
      </c>
      <c r="E6337" s="7" t="s">
        <v>29</v>
      </c>
      <c r="F6337" s="7" t="s">
        <v>297</v>
      </c>
      <c r="G6337" s="7">
        <v>101.1153</v>
      </c>
      <c r="H6337" s="7"/>
    </row>
    <row r="6338" spans="1:8" x14ac:dyDescent="0.35">
      <c r="A6338" s="7" t="s">
        <v>367</v>
      </c>
      <c r="B6338" s="7" t="s">
        <v>26</v>
      </c>
      <c r="C6338" s="7" t="s">
        <v>27</v>
      </c>
      <c r="D6338" s="7" t="s">
        <v>28</v>
      </c>
      <c r="E6338" s="7" t="s">
        <v>29</v>
      </c>
      <c r="F6338" s="7" t="s">
        <v>298</v>
      </c>
      <c r="G6338" s="7">
        <v>101.2244</v>
      </c>
      <c r="H6338" s="7"/>
    </row>
    <row r="6339" spans="1:8" x14ac:dyDescent="0.35">
      <c r="A6339" s="7" t="s">
        <v>367</v>
      </c>
      <c r="B6339" s="7" t="s">
        <v>26</v>
      </c>
      <c r="C6339" s="7" t="s">
        <v>27</v>
      </c>
      <c r="D6339" s="7" t="s">
        <v>28</v>
      </c>
      <c r="E6339" s="7" t="s">
        <v>29</v>
      </c>
      <c r="F6339" s="7" t="s">
        <v>299</v>
      </c>
      <c r="G6339" s="7">
        <v>101.32429999999999</v>
      </c>
      <c r="H6339" s="7"/>
    </row>
    <row r="6340" spans="1:8" x14ac:dyDescent="0.35">
      <c r="A6340" s="7" t="s">
        <v>367</v>
      </c>
      <c r="B6340" s="7" t="s">
        <v>26</v>
      </c>
      <c r="C6340" s="7" t="s">
        <v>27</v>
      </c>
      <c r="D6340" s="7" t="s">
        <v>28</v>
      </c>
      <c r="E6340" s="7" t="s">
        <v>29</v>
      </c>
      <c r="F6340" s="7" t="s">
        <v>300</v>
      </c>
      <c r="G6340" s="7">
        <v>101.41079999999999</v>
      </c>
      <c r="H6340" s="7"/>
    </row>
    <row r="6341" spans="1:8" x14ac:dyDescent="0.35">
      <c r="A6341" s="7" t="s">
        <v>367</v>
      </c>
      <c r="B6341" s="7" t="s">
        <v>26</v>
      </c>
      <c r="C6341" s="7" t="s">
        <v>27</v>
      </c>
      <c r="D6341" s="7" t="s">
        <v>28</v>
      </c>
      <c r="E6341" s="7" t="s">
        <v>29</v>
      </c>
      <c r="F6341" s="7" t="s">
        <v>301</v>
      </c>
      <c r="G6341" s="7">
        <v>101.4417</v>
      </c>
      <c r="H6341" s="7"/>
    </row>
    <row r="6342" spans="1:8" x14ac:dyDescent="0.35">
      <c r="A6342" s="7" t="s">
        <v>367</v>
      </c>
      <c r="B6342" s="7" t="s">
        <v>26</v>
      </c>
      <c r="C6342" s="7" t="s">
        <v>27</v>
      </c>
      <c r="D6342" s="7" t="s">
        <v>28</v>
      </c>
      <c r="E6342" s="7" t="s">
        <v>29</v>
      </c>
      <c r="F6342" s="7" t="s">
        <v>302</v>
      </c>
      <c r="G6342" s="7">
        <v>101.432</v>
      </c>
      <c r="H6342" s="7"/>
    </row>
    <row r="6343" spans="1:8" x14ac:dyDescent="0.35">
      <c r="A6343" s="7" t="s">
        <v>367</v>
      </c>
      <c r="B6343" s="7" t="s">
        <v>26</v>
      </c>
      <c r="C6343" s="7" t="s">
        <v>27</v>
      </c>
      <c r="D6343" s="7" t="s">
        <v>28</v>
      </c>
      <c r="E6343" s="7" t="s">
        <v>29</v>
      </c>
      <c r="F6343" s="7" t="s">
        <v>303</v>
      </c>
      <c r="G6343" s="7">
        <v>101.37309999999999</v>
      </c>
      <c r="H6343" s="7"/>
    </row>
    <row r="6344" spans="1:8" x14ac:dyDescent="0.35">
      <c r="A6344" s="7" t="s">
        <v>367</v>
      </c>
      <c r="B6344" s="7" t="s">
        <v>26</v>
      </c>
      <c r="C6344" s="7" t="s">
        <v>27</v>
      </c>
      <c r="D6344" s="7" t="s">
        <v>28</v>
      </c>
      <c r="E6344" s="7" t="s">
        <v>29</v>
      </c>
      <c r="F6344" s="7" t="s">
        <v>304</v>
      </c>
      <c r="G6344" s="7">
        <v>101.3085</v>
      </c>
      <c r="H6344" s="7"/>
    </row>
    <row r="6345" spans="1:8" x14ac:dyDescent="0.35">
      <c r="A6345" s="7" t="s">
        <v>367</v>
      </c>
      <c r="B6345" s="7" t="s">
        <v>26</v>
      </c>
      <c r="C6345" s="7" t="s">
        <v>27</v>
      </c>
      <c r="D6345" s="7" t="s">
        <v>28</v>
      </c>
      <c r="E6345" s="7" t="s">
        <v>29</v>
      </c>
      <c r="F6345" s="7" t="s">
        <v>305</v>
      </c>
      <c r="G6345" s="7">
        <v>101.4751</v>
      </c>
      <c r="H6345" s="7"/>
    </row>
    <row r="6346" spans="1:8" x14ac:dyDescent="0.35">
      <c r="A6346" s="7" t="s">
        <v>367</v>
      </c>
      <c r="B6346" s="7" t="s">
        <v>26</v>
      </c>
      <c r="C6346" s="7" t="s">
        <v>27</v>
      </c>
      <c r="D6346" s="7" t="s">
        <v>28</v>
      </c>
      <c r="E6346" s="7" t="s">
        <v>29</v>
      </c>
      <c r="F6346" s="7" t="s">
        <v>306</v>
      </c>
      <c r="G6346" s="7">
        <v>101.7422</v>
      </c>
      <c r="H6346" s="7"/>
    </row>
    <row r="6347" spans="1:8" x14ac:dyDescent="0.35">
      <c r="A6347" s="7" t="s">
        <v>367</v>
      </c>
      <c r="B6347" s="7" t="s">
        <v>26</v>
      </c>
      <c r="C6347" s="7" t="s">
        <v>27</v>
      </c>
      <c r="D6347" s="7" t="s">
        <v>28</v>
      </c>
      <c r="E6347" s="7" t="s">
        <v>29</v>
      </c>
      <c r="F6347" s="7" t="s">
        <v>307</v>
      </c>
      <c r="G6347" s="7">
        <v>102.054</v>
      </c>
      <c r="H6347" s="7"/>
    </row>
    <row r="6348" spans="1:8" x14ac:dyDescent="0.35">
      <c r="A6348" s="7" t="s">
        <v>367</v>
      </c>
      <c r="B6348" s="7" t="s">
        <v>26</v>
      </c>
      <c r="C6348" s="7" t="s">
        <v>27</v>
      </c>
      <c r="D6348" s="7" t="s">
        <v>28</v>
      </c>
      <c r="E6348" s="7" t="s">
        <v>29</v>
      </c>
      <c r="F6348" s="7" t="s">
        <v>308</v>
      </c>
      <c r="G6348" s="7">
        <v>102.2119</v>
      </c>
      <c r="H6348" s="7"/>
    </row>
    <row r="6349" spans="1:8" x14ac:dyDescent="0.35">
      <c r="A6349" s="7" t="s">
        <v>367</v>
      </c>
      <c r="B6349" s="7" t="s">
        <v>26</v>
      </c>
      <c r="C6349" s="7" t="s">
        <v>27</v>
      </c>
      <c r="D6349" s="7" t="s">
        <v>28</v>
      </c>
      <c r="E6349" s="7" t="s">
        <v>29</v>
      </c>
      <c r="F6349" s="7" t="s">
        <v>309</v>
      </c>
      <c r="G6349" s="7">
        <v>102.2869</v>
      </c>
      <c r="H6349" s="7"/>
    </row>
    <row r="6350" spans="1:8" x14ac:dyDescent="0.35">
      <c r="A6350" s="7" t="s">
        <v>367</v>
      </c>
      <c r="B6350" s="7" t="s">
        <v>26</v>
      </c>
      <c r="C6350" s="7" t="s">
        <v>27</v>
      </c>
      <c r="D6350" s="7" t="s">
        <v>28</v>
      </c>
      <c r="E6350" s="7" t="s">
        <v>29</v>
      </c>
      <c r="F6350" s="7" t="s">
        <v>310</v>
      </c>
      <c r="G6350" s="7">
        <v>102.1653</v>
      </c>
      <c r="H6350" s="7"/>
    </row>
    <row r="6351" spans="1:8" x14ac:dyDescent="0.35">
      <c r="A6351" s="7" t="s">
        <v>367</v>
      </c>
      <c r="B6351" s="7" t="s">
        <v>26</v>
      </c>
      <c r="C6351" s="7" t="s">
        <v>27</v>
      </c>
      <c r="D6351" s="7" t="s">
        <v>28</v>
      </c>
      <c r="E6351" s="7" t="s">
        <v>29</v>
      </c>
      <c r="F6351" s="7" t="s">
        <v>311</v>
      </c>
      <c r="G6351" s="7">
        <v>101.803</v>
      </c>
      <c r="H6351" s="7"/>
    </row>
    <row r="6352" spans="1:8" x14ac:dyDescent="0.35">
      <c r="A6352" s="7" t="s">
        <v>367</v>
      </c>
      <c r="B6352" s="7" t="s">
        <v>26</v>
      </c>
      <c r="C6352" s="7" t="s">
        <v>27</v>
      </c>
      <c r="D6352" s="7" t="s">
        <v>28</v>
      </c>
      <c r="E6352" s="7" t="s">
        <v>29</v>
      </c>
      <c r="F6352" s="7" t="s">
        <v>312</v>
      </c>
      <c r="G6352" s="7">
        <v>101.2484</v>
      </c>
      <c r="H6352" s="7"/>
    </row>
    <row r="6353" spans="1:8" x14ac:dyDescent="0.35">
      <c r="A6353" s="7" t="s">
        <v>367</v>
      </c>
      <c r="B6353" s="7" t="s">
        <v>26</v>
      </c>
      <c r="C6353" s="7" t="s">
        <v>27</v>
      </c>
      <c r="D6353" s="7" t="s">
        <v>28</v>
      </c>
      <c r="E6353" s="7" t="s">
        <v>29</v>
      </c>
      <c r="F6353" s="7" t="s">
        <v>313</v>
      </c>
      <c r="G6353" s="7">
        <v>100.9714</v>
      </c>
      <c r="H6353" s="7"/>
    </row>
    <row r="6354" spans="1:8" x14ac:dyDescent="0.35">
      <c r="A6354" s="7" t="s">
        <v>367</v>
      </c>
      <c r="B6354" s="7" t="s">
        <v>26</v>
      </c>
      <c r="C6354" s="7" t="s">
        <v>27</v>
      </c>
      <c r="D6354" s="7" t="s">
        <v>28</v>
      </c>
      <c r="E6354" s="7" t="s">
        <v>29</v>
      </c>
      <c r="F6354" s="7" t="s">
        <v>314</v>
      </c>
      <c r="G6354" s="7">
        <v>100.855</v>
      </c>
      <c r="H6354" s="7"/>
    </row>
    <row r="6355" spans="1:8" x14ac:dyDescent="0.35">
      <c r="A6355" s="7" t="s">
        <v>367</v>
      </c>
      <c r="B6355" s="7" t="s">
        <v>26</v>
      </c>
      <c r="C6355" s="7" t="s">
        <v>27</v>
      </c>
      <c r="D6355" s="7" t="s">
        <v>28</v>
      </c>
      <c r="E6355" s="7" t="s">
        <v>29</v>
      </c>
      <c r="F6355" s="7" t="s">
        <v>315</v>
      </c>
      <c r="G6355" s="7">
        <v>100.949</v>
      </c>
      <c r="H6355" s="7"/>
    </row>
    <row r="6356" spans="1:8" x14ac:dyDescent="0.35">
      <c r="A6356" s="7" t="s">
        <v>367</v>
      </c>
      <c r="B6356" s="7" t="s">
        <v>26</v>
      </c>
      <c r="C6356" s="7" t="s">
        <v>27</v>
      </c>
      <c r="D6356" s="7" t="s">
        <v>28</v>
      </c>
      <c r="E6356" s="7" t="s">
        <v>29</v>
      </c>
      <c r="F6356" s="7" t="s">
        <v>316</v>
      </c>
      <c r="G6356" s="7">
        <v>101.1426</v>
      </c>
      <c r="H6356" s="7"/>
    </row>
    <row r="6357" spans="1:8" x14ac:dyDescent="0.35">
      <c r="A6357" s="7" t="s">
        <v>367</v>
      </c>
      <c r="B6357" s="7" t="s">
        <v>26</v>
      </c>
      <c r="C6357" s="7" t="s">
        <v>27</v>
      </c>
      <c r="D6357" s="7" t="s">
        <v>28</v>
      </c>
      <c r="E6357" s="7" t="s">
        <v>29</v>
      </c>
      <c r="F6357" s="7" t="s">
        <v>317</v>
      </c>
      <c r="G6357" s="7">
        <v>101.43210000000001</v>
      </c>
      <c r="H6357" s="7"/>
    </row>
    <row r="6358" spans="1:8" x14ac:dyDescent="0.35">
      <c r="A6358" s="7" t="s">
        <v>367</v>
      </c>
      <c r="B6358" s="7" t="s">
        <v>26</v>
      </c>
      <c r="C6358" s="7" t="s">
        <v>27</v>
      </c>
      <c r="D6358" s="7" t="s">
        <v>28</v>
      </c>
      <c r="E6358" s="7" t="s">
        <v>29</v>
      </c>
      <c r="F6358" s="7" t="s">
        <v>318</v>
      </c>
      <c r="G6358" s="7">
        <v>101.6451</v>
      </c>
      <c r="H6358" s="7"/>
    </row>
    <row r="6359" spans="1:8" x14ac:dyDescent="0.35">
      <c r="A6359" s="7" t="s">
        <v>367</v>
      </c>
      <c r="B6359" s="7" t="s">
        <v>26</v>
      </c>
      <c r="C6359" s="7" t="s">
        <v>27</v>
      </c>
      <c r="D6359" s="7" t="s">
        <v>28</v>
      </c>
      <c r="E6359" s="7" t="s">
        <v>29</v>
      </c>
      <c r="F6359" s="7" t="s">
        <v>319</v>
      </c>
      <c r="G6359" s="7">
        <v>101.92449999999999</v>
      </c>
      <c r="H6359" s="7"/>
    </row>
    <row r="6360" spans="1:8" x14ac:dyDescent="0.35">
      <c r="A6360" s="7" t="s">
        <v>367</v>
      </c>
      <c r="B6360" s="7" t="s">
        <v>26</v>
      </c>
      <c r="C6360" s="7" t="s">
        <v>27</v>
      </c>
      <c r="D6360" s="7" t="s">
        <v>28</v>
      </c>
      <c r="E6360" s="7" t="s">
        <v>29</v>
      </c>
      <c r="F6360" s="7" t="s">
        <v>320</v>
      </c>
      <c r="G6360" s="7">
        <v>102.203</v>
      </c>
      <c r="H6360" s="7"/>
    </row>
    <row r="6361" spans="1:8" x14ac:dyDescent="0.35">
      <c r="A6361" s="7" t="s">
        <v>367</v>
      </c>
      <c r="B6361" s="7" t="s">
        <v>26</v>
      </c>
      <c r="C6361" s="7" t="s">
        <v>27</v>
      </c>
      <c r="D6361" s="7" t="s">
        <v>28</v>
      </c>
      <c r="E6361" s="7" t="s">
        <v>29</v>
      </c>
      <c r="F6361" s="7" t="s">
        <v>321</v>
      </c>
      <c r="G6361" s="7">
        <v>102.22</v>
      </c>
      <c r="H6361" s="7"/>
    </row>
    <row r="6362" spans="1:8" x14ac:dyDescent="0.35">
      <c r="A6362" s="7" t="s">
        <v>367</v>
      </c>
      <c r="B6362" s="7" t="s">
        <v>26</v>
      </c>
      <c r="C6362" s="7" t="s">
        <v>27</v>
      </c>
      <c r="D6362" s="7" t="s">
        <v>28</v>
      </c>
      <c r="E6362" s="7" t="s">
        <v>29</v>
      </c>
      <c r="F6362" s="7" t="s">
        <v>322</v>
      </c>
      <c r="G6362" s="7">
        <v>102.1148</v>
      </c>
      <c r="H6362" s="7"/>
    </row>
    <row r="6363" spans="1:8" x14ac:dyDescent="0.35">
      <c r="A6363" s="7" t="s">
        <v>367</v>
      </c>
      <c r="B6363" s="7" t="s">
        <v>26</v>
      </c>
      <c r="C6363" s="7" t="s">
        <v>27</v>
      </c>
      <c r="D6363" s="7" t="s">
        <v>28</v>
      </c>
      <c r="E6363" s="7" t="s">
        <v>29</v>
      </c>
      <c r="F6363" s="7" t="s">
        <v>323</v>
      </c>
      <c r="G6363" s="7">
        <v>102.114</v>
      </c>
      <c r="H6363" s="7"/>
    </row>
    <row r="6364" spans="1:8" x14ac:dyDescent="0.35">
      <c r="A6364" s="7" t="s">
        <v>367</v>
      </c>
      <c r="B6364" s="7" t="s">
        <v>26</v>
      </c>
      <c r="C6364" s="7" t="s">
        <v>27</v>
      </c>
      <c r="D6364" s="7" t="s">
        <v>28</v>
      </c>
      <c r="E6364" s="7" t="s">
        <v>29</v>
      </c>
      <c r="F6364" s="7" t="s">
        <v>324</v>
      </c>
      <c r="G6364" s="7">
        <v>102.17570000000001</v>
      </c>
      <c r="H6364" s="7"/>
    </row>
    <row r="6365" spans="1:8" x14ac:dyDescent="0.35">
      <c r="A6365" s="7" t="s">
        <v>367</v>
      </c>
      <c r="B6365" s="7" t="s">
        <v>26</v>
      </c>
      <c r="C6365" s="7" t="s">
        <v>27</v>
      </c>
      <c r="D6365" s="7" t="s">
        <v>28</v>
      </c>
      <c r="E6365" s="7" t="s">
        <v>29</v>
      </c>
      <c r="F6365" s="7" t="s">
        <v>325</v>
      </c>
      <c r="G6365" s="7">
        <v>102.1712</v>
      </c>
      <c r="H6365" s="7"/>
    </row>
    <row r="6366" spans="1:8" x14ac:dyDescent="0.35">
      <c r="A6366" s="7" t="s">
        <v>367</v>
      </c>
      <c r="B6366" s="7" t="s">
        <v>26</v>
      </c>
      <c r="C6366" s="7" t="s">
        <v>27</v>
      </c>
      <c r="D6366" s="7" t="s">
        <v>28</v>
      </c>
      <c r="E6366" s="7" t="s">
        <v>29</v>
      </c>
      <c r="F6366" s="7" t="s">
        <v>326</v>
      </c>
      <c r="G6366" s="7">
        <v>102.13590000000001</v>
      </c>
      <c r="H6366" s="7"/>
    </row>
    <row r="6367" spans="1:8" x14ac:dyDescent="0.35">
      <c r="A6367" s="7" t="s">
        <v>367</v>
      </c>
      <c r="B6367" s="7" t="s">
        <v>26</v>
      </c>
      <c r="C6367" s="7" t="s">
        <v>27</v>
      </c>
      <c r="D6367" s="7" t="s">
        <v>28</v>
      </c>
      <c r="E6367" s="7" t="s">
        <v>29</v>
      </c>
      <c r="F6367" s="7" t="s">
        <v>327</v>
      </c>
      <c r="G6367" s="7">
        <v>102.19199999999999</v>
      </c>
      <c r="H6367" s="7"/>
    </row>
    <row r="6368" spans="1:8" x14ac:dyDescent="0.35">
      <c r="A6368" s="7" t="s">
        <v>367</v>
      </c>
      <c r="B6368" s="7" t="s">
        <v>26</v>
      </c>
      <c r="C6368" s="7" t="s">
        <v>27</v>
      </c>
      <c r="D6368" s="7" t="s">
        <v>28</v>
      </c>
      <c r="E6368" s="7" t="s">
        <v>29</v>
      </c>
      <c r="F6368" s="7" t="s">
        <v>328</v>
      </c>
      <c r="G6368" s="7">
        <v>102.3527</v>
      </c>
      <c r="H6368" s="7"/>
    </row>
    <row r="6369" spans="1:8" x14ac:dyDescent="0.35">
      <c r="A6369" s="7" t="s">
        <v>367</v>
      </c>
      <c r="B6369" s="7" t="s">
        <v>26</v>
      </c>
      <c r="C6369" s="7" t="s">
        <v>27</v>
      </c>
      <c r="D6369" s="7" t="s">
        <v>28</v>
      </c>
      <c r="E6369" s="7" t="s">
        <v>29</v>
      </c>
      <c r="F6369" s="7" t="s">
        <v>329</v>
      </c>
      <c r="G6369" s="7">
        <v>102.4503</v>
      </c>
      <c r="H6369" s="7"/>
    </row>
    <row r="6370" spans="1:8" x14ac:dyDescent="0.35">
      <c r="A6370" s="7" t="s">
        <v>367</v>
      </c>
      <c r="B6370" s="7" t="s">
        <v>26</v>
      </c>
      <c r="C6370" s="7" t="s">
        <v>27</v>
      </c>
      <c r="D6370" s="7" t="s">
        <v>28</v>
      </c>
      <c r="E6370" s="7" t="s">
        <v>29</v>
      </c>
      <c r="F6370" s="7" t="s">
        <v>330</v>
      </c>
      <c r="G6370" s="7">
        <v>102.45229999999999</v>
      </c>
      <c r="H6370" s="7"/>
    </row>
    <row r="6371" spans="1:8" x14ac:dyDescent="0.35">
      <c r="A6371" s="7" t="s">
        <v>367</v>
      </c>
      <c r="B6371" s="7" t="s">
        <v>26</v>
      </c>
      <c r="C6371" s="7" t="s">
        <v>27</v>
      </c>
      <c r="D6371" s="7" t="s">
        <v>28</v>
      </c>
      <c r="E6371" s="7" t="s">
        <v>29</v>
      </c>
      <c r="F6371" s="7" t="s">
        <v>331</v>
      </c>
      <c r="G6371" s="7">
        <v>102.4629</v>
      </c>
      <c r="H6371" s="7"/>
    </row>
    <row r="6372" spans="1:8" x14ac:dyDescent="0.35">
      <c r="A6372" s="7" t="s">
        <v>367</v>
      </c>
      <c r="B6372" s="7" t="s">
        <v>26</v>
      </c>
      <c r="C6372" s="7" t="s">
        <v>27</v>
      </c>
      <c r="D6372" s="7" t="s">
        <v>28</v>
      </c>
      <c r="E6372" s="7" t="s">
        <v>29</v>
      </c>
      <c r="F6372" s="7" t="s">
        <v>332</v>
      </c>
      <c r="G6372" s="7">
        <v>102.42449999999999</v>
      </c>
      <c r="H6372" s="7"/>
    </row>
    <row r="6373" spans="1:8" x14ac:dyDescent="0.35">
      <c r="A6373" s="7" t="s">
        <v>367</v>
      </c>
      <c r="B6373" s="7" t="s">
        <v>26</v>
      </c>
      <c r="C6373" s="7" t="s">
        <v>27</v>
      </c>
      <c r="D6373" s="7" t="s">
        <v>28</v>
      </c>
      <c r="E6373" s="7" t="s">
        <v>29</v>
      </c>
      <c r="F6373" s="7" t="s">
        <v>333</v>
      </c>
      <c r="G6373" s="7">
        <v>102.4033</v>
      </c>
      <c r="H6373" s="7"/>
    </row>
    <row r="6374" spans="1:8" x14ac:dyDescent="0.35">
      <c r="A6374" s="7" t="s">
        <v>367</v>
      </c>
      <c r="B6374" s="7" t="s">
        <v>26</v>
      </c>
      <c r="C6374" s="7" t="s">
        <v>27</v>
      </c>
      <c r="D6374" s="7" t="s">
        <v>28</v>
      </c>
      <c r="E6374" s="7" t="s">
        <v>29</v>
      </c>
      <c r="F6374" s="7" t="s">
        <v>334</v>
      </c>
      <c r="G6374" s="7">
        <v>102.4306</v>
      </c>
      <c r="H6374" s="7"/>
    </row>
    <row r="6375" spans="1:8" x14ac:dyDescent="0.35">
      <c r="A6375" s="7" t="s">
        <v>367</v>
      </c>
      <c r="B6375" s="7" t="s">
        <v>26</v>
      </c>
      <c r="C6375" s="7" t="s">
        <v>27</v>
      </c>
      <c r="D6375" s="7" t="s">
        <v>28</v>
      </c>
      <c r="E6375" s="7" t="s">
        <v>29</v>
      </c>
      <c r="F6375" s="7" t="s">
        <v>335</v>
      </c>
      <c r="G6375" s="7">
        <v>102.5399</v>
      </c>
      <c r="H6375" s="7"/>
    </row>
    <row r="6376" spans="1:8" x14ac:dyDescent="0.35">
      <c r="A6376" s="7" t="s">
        <v>367</v>
      </c>
      <c r="B6376" s="7" t="s">
        <v>26</v>
      </c>
      <c r="C6376" s="7" t="s">
        <v>27</v>
      </c>
      <c r="D6376" s="7" t="s">
        <v>28</v>
      </c>
      <c r="E6376" s="7" t="s">
        <v>29</v>
      </c>
      <c r="F6376" s="7" t="s">
        <v>336</v>
      </c>
      <c r="G6376" s="7">
        <v>102.6742</v>
      </c>
      <c r="H6376" s="7"/>
    </row>
    <row r="6377" spans="1:8" x14ac:dyDescent="0.35">
      <c r="A6377" s="7" t="s">
        <v>367</v>
      </c>
      <c r="B6377" s="7" t="s">
        <v>26</v>
      </c>
      <c r="C6377" s="7" t="s">
        <v>27</v>
      </c>
      <c r="D6377" s="7" t="s">
        <v>28</v>
      </c>
      <c r="E6377" s="7" t="s">
        <v>29</v>
      </c>
      <c r="F6377" s="7" t="s">
        <v>337</v>
      </c>
      <c r="G6377" s="7">
        <v>102.6918</v>
      </c>
      <c r="H6377" s="7"/>
    </row>
    <row r="6378" spans="1:8" x14ac:dyDescent="0.35">
      <c r="A6378" s="7" t="s">
        <v>367</v>
      </c>
      <c r="B6378" s="7" t="s">
        <v>26</v>
      </c>
      <c r="C6378" s="7" t="s">
        <v>27</v>
      </c>
      <c r="D6378" s="7" t="s">
        <v>28</v>
      </c>
      <c r="E6378" s="7" t="s">
        <v>29</v>
      </c>
      <c r="F6378" s="7" t="s">
        <v>338</v>
      </c>
      <c r="G6378" s="7">
        <v>102.70910000000001</v>
      </c>
      <c r="H6378" s="7"/>
    </row>
    <row r="6379" spans="1:8" x14ac:dyDescent="0.35">
      <c r="A6379" s="7" t="s">
        <v>367</v>
      </c>
      <c r="B6379" s="7" t="s">
        <v>26</v>
      </c>
      <c r="C6379" s="7" t="s">
        <v>27</v>
      </c>
      <c r="D6379" s="7" t="s">
        <v>28</v>
      </c>
      <c r="E6379" s="7" t="s">
        <v>29</v>
      </c>
      <c r="F6379" s="7" t="s">
        <v>339</v>
      </c>
      <c r="G6379" s="7">
        <v>102.7214</v>
      </c>
      <c r="H6379" s="7"/>
    </row>
    <row r="6380" spans="1:8" x14ac:dyDescent="0.35">
      <c r="A6380" s="7" t="s">
        <v>367</v>
      </c>
      <c r="B6380" s="7" t="s">
        <v>26</v>
      </c>
      <c r="C6380" s="7" t="s">
        <v>27</v>
      </c>
      <c r="D6380" s="7" t="s">
        <v>28</v>
      </c>
      <c r="E6380" s="7" t="s">
        <v>29</v>
      </c>
      <c r="F6380" s="7" t="s">
        <v>340</v>
      </c>
      <c r="G6380" s="7">
        <v>102.76600000000001</v>
      </c>
      <c r="H6380" s="7"/>
    </row>
    <row r="6381" spans="1:8" x14ac:dyDescent="0.35">
      <c r="A6381" s="7" t="s">
        <v>367</v>
      </c>
      <c r="B6381" s="7" t="s">
        <v>26</v>
      </c>
      <c r="C6381" s="7" t="s">
        <v>27</v>
      </c>
      <c r="D6381" s="7" t="s">
        <v>28</v>
      </c>
      <c r="E6381" s="7" t="s">
        <v>29</v>
      </c>
      <c r="F6381" s="7" t="s">
        <v>341</v>
      </c>
      <c r="G6381" s="7">
        <v>102.7461</v>
      </c>
      <c r="H6381" s="7"/>
    </row>
    <row r="6382" spans="1:8" x14ac:dyDescent="0.35">
      <c r="A6382" s="7" t="s">
        <v>367</v>
      </c>
      <c r="B6382" s="7" t="s">
        <v>26</v>
      </c>
      <c r="C6382" s="7" t="s">
        <v>27</v>
      </c>
      <c r="D6382" s="7" t="s">
        <v>28</v>
      </c>
      <c r="E6382" s="7" t="s">
        <v>29</v>
      </c>
      <c r="F6382" s="7" t="s">
        <v>342</v>
      </c>
      <c r="G6382" s="7">
        <v>102.73099999999999</v>
      </c>
      <c r="H6382" s="7"/>
    </row>
    <row r="6383" spans="1:8" x14ac:dyDescent="0.35">
      <c r="A6383" s="7" t="s">
        <v>367</v>
      </c>
      <c r="B6383" s="7" t="s">
        <v>26</v>
      </c>
      <c r="C6383" s="7" t="s">
        <v>27</v>
      </c>
      <c r="D6383" s="7" t="s">
        <v>28</v>
      </c>
      <c r="E6383" s="7" t="s">
        <v>29</v>
      </c>
      <c r="F6383" s="7" t="s">
        <v>343</v>
      </c>
      <c r="G6383" s="7">
        <v>102.7461</v>
      </c>
      <c r="H6383" s="7"/>
    </row>
    <row r="6384" spans="1:8" x14ac:dyDescent="0.35">
      <c r="A6384" s="7" t="s">
        <v>367</v>
      </c>
      <c r="B6384" s="7" t="s">
        <v>26</v>
      </c>
      <c r="C6384" s="7" t="s">
        <v>27</v>
      </c>
      <c r="D6384" s="7" t="s">
        <v>28</v>
      </c>
      <c r="E6384" s="7" t="s">
        <v>29</v>
      </c>
      <c r="F6384" s="7" t="s">
        <v>344</v>
      </c>
      <c r="G6384" s="7">
        <v>102.82089999999999</v>
      </c>
      <c r="H6384" s="7"/>
    </row>
    <row r="6385" spans="1:8" x14ac:dyDescent="0.35">
      <c r="A6385" s="7" t="s">
        <v>367</v>
      </c>
      <c r="B6385" s="7" t="s">
        <v>26</v>
      </c>
      <c r="C6385" s="7" t="s">
        <v>27</v>
      </c>
      <c r="D6385" s="7" t="s">
        <v>28</v>
      </c>
      <c r="E6385" s="7" t="s">
        <v>29</v>
      </c>
      <c r="F6385" s="7" t="s">
        <v>345</v>
      </c>
      <c r="G6385" s="7">
        <v>102.7925</v>
      </c>
      <c r="H6385" s="7"/>
    </row>
    <row r="6386" spans="1:8" x14ac:dyDescent="0.35">
      <c r="A6386" s="7" t="s">
        <v>367</v>
      </c>
      <c r="B6386" s="7" t="s">
        <v>26</v>
      </c>
      <c r="C6386" s="7" t="s">
        <v>27</v>
      </c>
      <c r="D6386" s="7" t="s">
        <v>28</v>
      </c>
      <c r="E6386" s="7" t="s">
        <v>29</v>
      </c>
      <c r="F6386" s="7" t="s">
        <v>346</v>
      </c>
      <c r="G6386" s="7">
        <v>102.6755</v>
      </c>
      <c r="H6386" s="7"/>
    </row>
    <row r="6387" spans="1:8" x14ac:dyDescent="0.35">
      <c r="A6387" s="7" t="s">
        <v>368</v>
      </c>
      <c r="B6387" s="7" t="s">
        <v>26</v>
      </c>
      <c r="C6387" s="7" t="s">
        <v>27</v>
      </c>
      <c r="D6387" s="7" t="s">
        <v>28</v>
      </c>
      <c r="E6387" s="7" t="s">
        <v>29</v>
      </c>
      <c r="F6387" s="7" t="s">
        <v>30</v>
      </c>
      <c r="G6387" s="7">
        <v>99.670869999999994</v>
      </c>
      <c r="H6387" s="7"/>
    </row>
    <row r="6388" spans="1:8" x14ac:dyDescent="0.35">
      <c r="A6388" s="7" t="s">
        <v>368</v>
      </c>
      <c r="B6388" s="7" t="s">
        <v>26</v>
      </c>
      <c r="C6388" s="7" t="s">
        <v>27</v>
      </c>
      <c r="D6388" s="7" t="s">
        <v>28</v>
      </c>
      <c r="E6388" s="7" t="s">
        <v>29</v>
      </c>
      <c r="F6388" s="7" t="s">
        <v>31</v>
      </c>
      <c r="G6388" s="7">
        <v>99.73657</v>
      </c>
      <c r="H6388" s="7"/>
    </row>
    <row r="6389" spans="1:8" x14ac:dyDescent="0.35">
      <c r="A6389" s="7" t="s">
        <v>368</v>
      </c>
      <c r="B6389" s="7" t="s">
        <v>26</v>
      </c>
      <c r="C6389" s="7" t="s">
        <v>27</v>
      </c>
      <c r="D6389" s="7" t="s">
        <v>28</v>
      </c>
      <c r="E6389" s="7" t="s">
        <v>29</v>
      </c>
      <c r="F6389" s="7" t="s">
        <v>32</v>
      </c>
      <c r="G6389" s="7">
        <v>99.850070000000002</v>
      </c>
      <c r="H6389" s="7"/>
    </row>
    <row r="6390" spans="1:8" x14ac:dyDescent="0.35">
      <c r="A6390" s="7" t="s">
        <v>368</v>
      </c>
      <c r="B6390" s="7" t="s">
        <v>26</v>
      </c>
      <c r="C6390" s="7" t="s">
        <v>27</v>
      </c>
      <c r="D6390" s="7" t="s">
        <v>28</v>
      </c>
      <c r="E6390" s="7" t="s">
        <v>29</v>
      </c>
      <c r="F6390" s="7" t="s">
        <v>33</v>
      </c>
      <c r="G6390" s="7">
        <v>100.05200000000001</v>
      </c>
      <c r="H6390" s="7"/>
    </row>
    <row r="6391" spans="1:8" x14ac:dyDescent="0.35">
      <c r="A6391" s="7" t="s">
        <v>368</v>
      </c>
      <c r="B6391" s="7" t="s">
        <v>26</v>
      </c>
      <c r="C6391" s="7" t="s">
        <v>27</v>
      </c>
      <c r="D6391" s="7" t="s">
        <v>28</v>
      </c>
      <c r="E6391" s="7" t="s">
        <v>29</v>
      </c>
      <c r="F6391" s="7" t="s">
        <v>34</v>
      </c>
      <c r="G6391" s="7">
        <v>100.39830000000001</v>
      </c>
      <c r="H6391" s="7"/>
    </row>
    <row r="6392" spans="1:8" x14ac:dyDescent="0.35">
      <c r="A6392" s="7" t="s">
        <v>368</v>
      </c>
      <c r="B6392" s="7" t="s">
        <v>26</v>
      </c>
      <c r="C6392" s="7" t="s">
        <v>27</v>
      </c>
      <c r="D6392" s="7" t="s">
        <v>28</v>
      </c>
      <c r="E6392" s="7" t="s">
        <v>29</v>
      </c>
      <c r="F6392" s="7" t="s">
        <v>35</v>
      </c>
      <c r="G6392" s="7">
        <v>100.92570000000001</v>
      </c>
      <c r="H6392" s="7"/>
    </row>
    <row r="6393" spans="1:8" x14ac:dyDescent="0.35">
      <c r="A6393" s="7" t="s">
        <v>368</v>
      </c>
      <c r="B6393" s="7" t="s">
        <v>26</v>
      </c>
      <c r="C6393" s="7" t="s">
        <v>27</v>
      </c>
      <c r="D6393" s="7" t="s">
        <v>28</v>
      </c>
      <c r="E6393" s="7" t="s">
        <v>29</v>
      </c>
      <c r="F6393" s="7" t="s">
        <v>36</v>
      </c>
      <c r="G6393" s="7">
        <v>101.5959</v>
      </c>
      <c r="H6393" s="7"/>
    </row>
    <row r="6394" spans="1:8" x14ac:dyDescent="0.35">
      <c r="A6394" s="7" t="s">
        <v>368</v>
      </c>
      <c r="B6394" s="7" t="s">
        <v>26</v>
      </c>
      <c r="C6394" s="7" t="s">
        <v>27</v>
      </c>
      <c r="D6394" s="7" t="s">
        <v>28</v>
      </c>
      <c r="E6394" s="7" t="s">
        <v>29</v>
      </c>
      <c r="F6394" s="7" t="s">
        <v>37</v>
      </c>
      <c r="G6394" s="7">
        <v>102.3108</v>
      </c>
      <c r="H6394" s="7"/>
    </row>
    <row r="6395" spans="1:8" x14ac:dyDescent="0.35">
      <c r="A6395" s="7" t="s">
        <v>368</v>
      </c>
      <c r="B6395" s="7" t="s">
        <v>26</v>
      </c>
      <c r="C6395" s="7" t="s">
        <v>27</v>
      </c>
      <c r="D6395" s="7" t="s">
        <v>28</v>
      </c>
      <c r="E6395" s="7" t="s">
        <v>29</v>
      </c>
      <c r="F6395" s="7" t="s">
        <v>38</v>
      </c>
      <c r="G6395" s="7">
        <v>102.95010000000001</v>
      </c>
      <c r="H6395" s="7"/>
    </row>
    <row r="6396" spans="1:8" x14ac:dyDescent="0.35">
      <c r="A6396" s="7" t="s">
        <v>368</v>
      </c>
      <c r="B6396" s="7" t="s">
        <v>26</v>
      </c>
      <c r="C6396" s="7" t="s">
        <v>27</v>
      </c>
      <c r="D6396" s="7" t="s">
        <v>28</v>
      </c>
      <c r="E6396" s="7" t="s">
        <v>29</v>
      </c>
      <c r="F6396" s="7" t="s">
        <v>39</v>
      </c>
      <c r="G6396" s="7">
        <v>103.4481</v>
      </c>
      <c r="H6396" s="7"/>
    </row>
    <row r="6397" spans="1:8" x14ac:dyDescent="0.35">
      <c r="A6397" s="7" t="s">
        <v>368</v>
      </c>
      <c r="B6397" s="7" t="s">
        <v>26</v>
      </c>
      <c r="C6397" s="7" t="s">
        <v>27</v>
      </c>
      <c r="D6397" s="7" t="s">
        <v>28</v>
      </c>
      <c r="E6397" s="7" t="s">
        <v>29</v>
      </c>
      <c r="F6397" s="7" t="s">
        <v>40</v>
      </c>
      <c r="G6397" s="7">
        <v>103.7791</v>
      </c>
      <c r="H6397" s="7"/>
    </row>
    <row r="6398" spans="1:8" x14ac:dyDescent="0.35">
      <c r="A6398" s="7" t="s">
        <v>368</v>
      </c>
      <c r="B6398" s="7" t="s">
        <v>26</v>
      </c>
      <c r="C6398" s="7" t="s">
        <v>27</v>
      </c>
      <c r="D6398" s="7" t="s">
        <v>28</v>
      </c>
      <c r="E6398" s="7" t="s">
        <v>29</v>
      </c>
      <c r="F6398" s="7" t="s">
        <v>41</v>
      </c>
      <c r="G6398" s="7">
        <v>103.95959999999999</v>
      </c>
      <c r="H6398" s="7"/>
    </row>
    <row r="6399" spans="1:8" x14ac:dyDescent="0.35">
      <c r="A6399" s="7" t="s">
        <v>368</v>
      </c>
      <c r="B6399" s="7" t="s">
        <v>26</v>
      </c>
      <c r="C6399" s="7" t="s">
        <v>27</v>
      </c>
      <c r="D6399" s="7" t="s">
        <v>28</v>
      </c>
      <c r="E6399" s="7" t="s">
        <v>29</v>
      </c>
      <c r="F6399" s="7" t="s">
        <v>42</v>
      </c>
      <c r="G6399" s="7">
        <v>104.0505</v>
      </c>
      <c r="H6399" s="7"/>
    </row>
    <row r="6400" spans="1:8" x14ac:dyDescent="0.35">
      <c r="A6400" s="7" t="s">
        <v>368</v>
      </c>
      <c r="B6400" s="7" t="s">
        <v>26</v>
      </c>
      <c r="C6400" s="7" t="s">
        <v>27</v>
      </c>
      <c r="D6400" s="7" t="s">
        <v>28</v>
      </c>
      <c r="E6400" s="7" t="s">
        <v>29</v>
      </c>
      <c r="F6400" s="7" t="s">
        <v>43</v>
      </c>
      <c r="G6400" s="7">
        <v>104.1016</v>
      </c>
      <c r="H6400" s="7"/>
    </row>
    <row r="6401" spans="1:8" x14ac:dyDescent="0.35">
      <c r="A6401" s="7" t="s">
        <v>368</v>
      </c>
      <c r="B6401" s="7" t="s">
        <v>26</v>
      </c>
      <c r="C6401" s="7" t="s">
        <v>27</v>
      </c>
      <c r="D6401" s="7" t="s">
        <v>28</v>
      </c>
      <c r="E6401" s="7" t="s">
        <v>29</v>
      </c>
      <c r="F6401" s="7" t="s">
        <v>44</v>
      </c>
      <c r="G6401" s="7">
        <v>104.14400000000001</v>
      </c>
      <c r="H6401" s="7"/>
    </row>
    <row r="6402" spans="1:8" x14ac:dyDescent="0.35">
      <c r="A6402" s="7" t="s">
        <v>368</v>
      </c>
      <c r="B6402" s="7" t="s">
        <v>26</v>
      </c>
      <c r="C6402" s="7" t="s">
        <v>27</v>
      </c>
      <c r="D6402" s="7" t="s">
        <v>28</v>
      </c>
      <c r="E6402" s="7" t="s">
        <v>29</v>
      </c>
      <c r="F6402" s="7" t="s">
        <v>45</v>
      </c>
      <c r="G6402" s="7">
        <v>104.18040000000001</v>
      </c>
      <c r="H6402" s="7"/>
    </row>
    <row r="6403" spans="1:8" x14ac:dyDescent="0.35">
      <c r="A6403" s="7" t="s">
        <v>368</v>
      </c>
      <c r="B6403" s="7" t="s">
        <v>26</v>
      </c>
      <c r="C6403" s="7" t="s">
        <v>27</v>
      </c>
      <c r="D6403" s="7" t="s">
        <v>28</v>
      </c>
      <c r="E6403" s="7" t="s">
        <v>29</v>
      </c>
      <c r="F6403" s="7" t="s">
        <v>46</v>
      </c>
      <c r="G6403" s="7">
        <v>104.22669999999999</v>
      </c>
      <c r="H6403" s="7"/>
    </row>
    <row r="6404" spans="1:8" x14ac:dyDescent="0.35">
      <c r="A6404" s="7" t="s">
        <v>368</v>
      </c>
      <c r="B6404" s="7" t="s">
        <v>26</v>
      </c>
      <c r="C6404" s="7" t="s">
        <v>27</v>
      </c>
      <c r="D6404" s="7" t="s">
        <v>28</v>
      </c>
      <c r="E6404" s="7" t="s">
        <v>29</v>
      </c>
      <c r="F6404" s="7" t="s">
        <v>47</v>
      </c>
      <c r="G6404" s="7">
        <v>104.3167</v>
      </c>
      <c r="H6404" s="7"/>
    </row>
    <row r="6405" spans="1:8" x14ac:dyDescent="0.35">
      <c r="A6405" s="7" t="s">
        <v>368</v>
      </c>
      <c r="B6405" s="7" t="s">
        <v>26</v>
      </c>
      <c r="C6405" s="7" t="s">
        <v>27</v>
      </c>
      <c r="D6405" s="7" t="s">
        <v>28</v>
      </c>
      <c r="E6405" s="7" t="s">
        <v>29</v>
      </c>
      <c r="F6405" s="7" t="s">
        <v>48</v>
      </c>
      <c r="G6405" s="7">
        <v>104.4979</v>
      </c>
      <c r="H6405" s="7"/>
    </row>
    <row r="6406" spans="1:8" x14ac:dyDescent="0.35">
      <c r="A6406" s="7" t="s">
        <v>368</v>
      </c>
      <c r="B6406" s="7" t="s">
        <v>26</v>
      </c>
      <c r="C6406" s="7" t="s">
        <v>27</v>
      </c>
      <c r="D6406" s="7" t="s">
        <v>28</v>
      </c>
      <c r="E6406" s="7" t="s">
        <v>29</v>
      </c>
      <c r="F6406" s="7" t="s">
        <v>49</v>
      </c>
      <c r="G6406" s="7">
        <v>104.7824</v>
      </c>
      <c r="H6406" s="7"/>
    </row>
    <row r="6407" spans="1:8" x14ac:dyDescent="0.35">
      <c r="A6407" s="7" t="s">
        <v>368</v>
      </c>
      <c r="B6407" s="7" t="s">
        <v>26</v>
      </c>
      <c r="C6407" s="7" t="s">
        <v>27</v>
      </c>
      <c r="D6407" s="7" t="s">
        <v>28</v>
      </c>
      <c r="E6407" s="7" t="s">
        <v>29</v>
      </c>
      <c r="F6407" s="7" t="s">
        <v>50</v>
      </c>
      <c r="G6407" s="7">
        <v>105.0916</v>
      </c>
      <c r="H6407" s="7"/>
    </row>
    <row r="6408" spans="1:8" x14ac:dyDescent="0.35">
      <c r="A6408" s="7" t="s">
        <v>368</v>
      </c>
      <c r="B6408" s="7" t="s">
        <v>26</v>
      </c>
      <c r="C6408" s="7" t="s">
        <v>27</v>
      </c>
      <c r="D6408" s="7" t="s">
        <v>28</v>
      </c>
      <c r="E6408" s="7" t="s">
        <v>29</v>
      </c>
      <c r="F6408" s="7" t="s">
        <v>51</v>
      </c>
      <c r="G6408" s="7">
        <v>105.30459999999999</v>
      </c>
      <c r="H6408" s="7"/>
    </row>
    <row r="6409" spans="1:8" x14ac:dyDescent="0.35">
      <c r="A6409" s="7" t="s">
        <v>368</v>
      </c>
      <c r="B6409" s="7" t="s">
        <v>26</v>
      </c>
      <c r="C6409" s="7" t="s">
        <v>27</v>
      </c>
      <c r="D6409" s="7" t="s">
        <v>28</v>
      </c>
      <c r="E6409" s="7" t="s">
        <v>29</v>
      </c>
      <c r="F6409" s="7" t="s">
        <v>52</v>
      </c>
      <c r="G6409" s="7">
        <v>105.282</v>
      </c>
      <c r="H6409" s="7"/>
    </row>
    <row r="6410" spans="1:8" x14ac:dyDescent="0.35">
      <c r="A6410" s="7" t="s">
        <v>368</v>
      </c>
      <c r="B6410" s="7" t="s">
        <v>26</v>
      </c>
      <c r="C6410" s="7" t="s">
        <v>27</v>
      </c>
      <c r="D6410" s="7" t="s">
        <v>28</v>
      </c>
      <c r="E6410" s="7" t="s">
        <v>29</v>
      </c>
      <c r="F6410" s="7" t="s">
        <v>53</v>
      </c>
      <c r="G6410" s="7">
        <v>104.9452</v>
      </c>
      <c r="H6410" s="7"/>
    </row>
    <row r="6411" spans="1:8" x14ac:dyDescent="0.35">
      <c r="A6411" s="7" t="s">
        <v>368</v>
      </c>
      <c r="B6411" s="7" t="s">
        <v>26</v>
      </c>
      <c r="C6411" s="7" t="s">
        <v>27</v>
      </c>
      <c r="D6411" s="7" t="s">
        <v>28</v>
      </c>
      <c r="E6411" s="7" t="s">
        <v>29</v>
      </c>
      <c r="F6411" s="7" t="s">
        <v>54</v>
      </c>
      <c r="G6411" s="7">
        <v>104.29819999999999</v>
      </c>
      <c r="H6411" s="7"/>
    </row>
    <row r="6412" spans="1:8" x14ac:dyDescent="0.35">
      <c r="A6412" s="7" t="s">
        <v>368</v>
      </c>
      <c r="B6412" s="7" t="s">
        <v>26</v>
      </c>
      <c r="C6412" s="7" t="s">
        <v>27</v>
      </c>
      <c r="D6412" s="7" t="s">
        <v>28</v>
      </c>
      <c r="E6412" s="7" t="s">
        <v>29</v>
      </c>
      <c r="F6412" s="7" t="s">
        <v>55</v>
      </c>
      <c r="G6412" s="7">
        <v>103.43170000000001</v>
      </c>
      <c r="H6412" s="7"/>
    </row>
    <row r="6413" spans="1:8" x14ac:dyDescent="0.35">
      <c r="A6413" s="7" t="s">
        <v>368</v>
      </c>
      <c r="B6413" s="7" t="s">
        <v>26</v>
      </c>
      <c r="C6413" s="7" t="s">
        <v>27</v>
      </c>
      <c r="D6413" s="7" t="s">
        <v>28</v>
      </c>
      <c r="E6413" s="7" t="s">
        <v>29</v>
      </c>
      <c r="F6413" s="7" t="s">
        <v>56</v>
      </c>
      <c r="G6413" s="7">
        <v>102.5035</v>
      </c>
      <c r="H6413" s="7"/>
    </row>
    <row r="6414" spans="1:8" x14ac:dyDescent="0.35">
      <c r="A6414" s="7" t="s">
        <v>368</v>
      </c>
      <c r="B6414" s="7" t="s">
        <v>26</v>
      </c>
      <c r="C6414" s="7" t="s">
        <v>27</v>
      </c>
      <c r="D6414" s="7" t="s">
        <v>28</v>
      </c>
      <c r="E6414" s="7" t="s">
        <v>29</v>
      </c>
      <c r="F6414" s="7" t="s">
        <v>57</v>
      </c>
      <c r="G6414" s="7">
        <v>101.6464</v>
      </c>
      <c r="H6414" s="7"/>
    </row>
    <row r="6415" spans="1:8" x14ac:dyDescent="0.35">
      <c r="A6415" s="7" t="s">
        <v>368</v>
      </c>
      <c r="B6415" s="7" t="s">
        <v>26</v>
      </c>
      <c r="C6415" s="7" t="s">
        <v>27</v>
      </c>
      <c r="D6415" s="7" t="s">
        <v>28</v>
      </c>
      <c r="E6415" s="7" t="s">
        <v>29</v>
      </c>
      <c r="F6415" s="7" t="s">
        <v>58</v>
      </c>
      <c r="G6415" s="7">
        <v>100.9385</v>
      </c>
      <c r="H6415" s="7"/>
    </row>
    <row r="6416" spans="1:8" x14ac:dyDescent="0.35">
      <c r="A6416" s="7" t="s">
        <v>368</v>
      </c>
      <c r="B6416" s="7" t="s">
        <v>26</v>
      </c>
      <c r="C6416" s="7" t="s">
        <v>27</v>
      </c>
      <c r="D6416" s="7" t="s">
        <v>28</v>
      </c>
      <c r="E6416" s="7" t="s">
        <v>29</v>
      </c>
      <c r="F6416" s="7" t="s">
        <v>59</v>
      </c>
      <c r="G6416" s="7">
        <v>100.38509999999999</v>
      </c>
      <c r="H6416" s="7"/>
    </row>
    <row r="6417" spans="1:8" x14ac:dyDescent="0.35">
      <c r="A6417" s="7" t="s">
        <v>368</v>
      </c>
      <c r="B6417" s="7" t="s">
        <v>26</v>
      </c>
      <c r="C6417" s="7" t="s">
        <v>27</v>
      </c>
      <c r="D6417" s="7" t="s">
        <v>28</v>
      </c>
      <c r="E6417" s="7" t="s">
        <v>29</v>
      </c>
      <c r="F6417" s="7" t="s">
        <v>60</v>
      </c>
      <c r="G6417" s="7">
        <v>99.960149999999999</v>
      </c>
      <c r="H6417" s="7"/>
    </row>
    <row r="6418" spans="1:8" x14ac:dyDescent="0.35">
      <c r="A6418" s="7" t="s">
        <v>368</v>
      </c>
      <c r="B6418" s="7" t="s">
        <v>26</v>
      </c>
      <c r="C6418" s="7" t="s">
        <v>27</v>
      </c>
      <c r="D6418" s="7" t="s">
        <v>28</v>
      </c>
      <c r="E6418" s="7" t="s">
        <v>29</v>
      </c>
      <c r="F6418" s="7" t="s">
        <v>61</v>
      </c>
      <c r="G6418" s="7">
        <v>99.659909999999996</v>
      </c>
      <c r="H6418" s="7"/>
    </row>
    <row r="6419" spans="1:8" x14ac:dyDescent="0.35">
      <c r="A6419" s="7" t="s">
        <v>368</v>
      </c>
      <c r="B6419" s="7" t="s">
        <v>26</v>
      </c>
      <c r="C6419" s="7" t="s">
        <v>27</v>
      </c>
      <c r="D6419" s="7" t="s">
        <v>28</v>
      </c>
      <c r="E6419" s="7" t="s">
        <v>29</v>
      </c>
      <c r="F6419" s="7" t="s">
        <v>62</v>
      </c>
      <c r="G6419" s="7">
        <v>99.510959999999997</v>
      </c>
      <c r="H6419" s="7"/>
    </row>
    <row r="6420" spans="1:8" x14ac:dyDescent="0.35">
      <c r="A6420" s="7" t="s">
        <v>368</v>
      </c>
      <c r="B6420" s="7" t="s">
        <v>26</v>
      </c>
      <c r="C6420" s="7" t="s">
        <v>27</v>
      </c>
      <c r="D6420" s="7" t="s">
        <v>28</v>
      </c>
      <c r="E6420" s="7" t="s">
        <v>29</v>
      </c>
      <c r="F6420" s="7" t="s">
        <v>63</v>
      </c>
      <c r="G6420" s="7">
        <v>99.537289999999999</v>
      </c>
      <c r="H6420" s="7"/>
    </row>
    <row r="6421" spans="1:8" x14ac:dyDescent="0.35">
      <c r="A6421" s="7" t="s">
        <v>368</v>
      </c>
      <c r="B6421" s="7" t="s">
        <v>26</v>
      </c>
      <c r="C6421" s="7" t="s">
        <v>27</v>
      </c>
      <c r="D6421" s="7" t="s">
        <v>28</v>
      </c>
      <c r="E6421" s="7" t="s">
        <v>29</v>
      </c>
      <c r="F6421" s="7" t="s">
        <v>64</v>
      </c>
      <c r="G6421" s="7">
        <v>99.742559999999997</v>
      </c>
      <c r="H6421" s="7"/>
    </row>
    <row r="6422" spans="1:8" x14ac:dyDescent="0.35">
      <c r="A6422" s="7" t="s">
        <v>368</v>
      </c>
      <c r="B6422" s="7" t="s">
        <v>26</v>
      </c>
      <c r="C6422" s="7" t="s">
        <v>27</v>
      </c>
      <c r="D6422" s="7" t="s">
        <v>28</v>
      </c>
      <c r="E6422" s="7" t="s">
        <v>29</v>
      </c>
      <c r="F6422" s="7" t="s">
        <v>65</v>
      </c>
      <c r="G6422" s="7">
        <v>100.1255</v>
      </c>
      <c r="H6422" s="7"/>
    </row>
    <row r="6423" spans="1:8" x14ac:dyDescent="0.35">
      <c r="A6423" s="7" t="s">
        <v>368</v>
      </c>
      <c r="B6423" s="7" t="s">
        <v>26</v>
      </c>
      <c r="C6423" s="7" t="s">
        <v>27</v>
      </c>
      <c r="D6423" s="7" t="s">
        <v>28</v>
      </c>
      <c r="E6423" s="7" t="s">
        <v>29</v>
      </c>
      <c r="F6423" s="7" t="s">
        <v>66</v>
      </c>
      <c r="G6423" s="7">
        <v>100.64109999999999</v>
      </c>
      <c r="H6423" s="7"/>
    </row>
    <row r="6424" spans="1:8" x14ac:dyDescent="0.35">
      <c r="A6424" s="7" t="s">
        <v>368</v>
      </c>
      <c r="B6424" s="7" t="s">
        <v>26</v>
      </c>
      <c r="C6424" s="7" t="s">
        <v>27</v>
      </c>
      <c r="D6424" s="7" t="s">
        <v>28</v>
      </c>
      <c r="E6424" s="7" t="s">
        <v>29</v>
      </c>
      <c r="F6424" s="7" t="s">
        <v>67</v>
      </c>
      <c r="G6424" s="7">
        <v>101.2346</v>
      </c>
      <c r="H6424" s="7"/>
    </row>
    <row r="6425" spans="1:8" x14ac:dyDescent="0.35">
      <c r="A6425" s="7" t="s">
        <v>368</v>
      </c>
      <c r="B6425" s="7" t="s">
        <v>26</v>
      </c>
      <c r="C6425" s="7" t="s">
        <v>27</v>
      </c>
      <c r="D6425" s="7" t="s">
        <v>28</v>
      </c>
      <c r="E6425" s="7" t="s">
        <v>29</v>
      </c>
      <c r="F6425" s="7" t="s">
        <v>68</v>
      </c>
      <c r="G6425" s="7">
        <v>101.8673</v>
      </c>
      <c r="H6425" s="7"/>
    </row>
    <row r="6426" spans="1:8" x14ac:dyDescent="0.35">
      <c r="A6426" s="7" t="s">
        <v>368</v>
      </c>
      <c r="B6426" s="7" t="s">
        <v>26</v>
      </c>
      <c r="C6426" s="7" t="s">
        <v>27</v>
      </c>
      <c r="D6426" s="7" t="s">
        <v>28</v>
      </c>
      <c r="E6426" s="7" t="s">
        <v>29</v>
      </c>
      <c r="F6426" s="7" t="s">
        <v>69</v>
      </c>
      <c r="G6426" s="7">
        <v>102.4648</v>
      </c>
      <c r="H6426" s="7"/>
    </row>
    <row r="6427" spans="1:8" x14ac:dyDescent="0.35">
      <c r="A6427" s="7" t="s">
        <v>368</v>
      </c>
      <c r="B6427" s="7" t="s">
        <v>26</v>
      </c>
      <c r="C6427" s="7" t="s">
        <v>27</v>
      </c>
      <c r="D6427" s="7" t="s">
        <v>28</v>
      </c>
      <c r="E6427" s="7" t="s">
        <v>29</v>
      </c>
      <c r="F6427" s="7" t="s">
        <v>70</v>
      </c>
      <c r="G6427" s="7">
        <v>102.9507</v>
      </c>
      <c r="H6427" s="7"/>
    </row>
    <row r="6428" spans="1:8" x14ac:dyDescent="0.35">
      <c r="A6428" s="7" t="s">
        <v>368</v>
      </c>
      <c r="B6428" s="7" t="s">
        <v>26</v>
      </c>
      <c r="C6428" s="7" t="s">
        <v>27</v>
      </c>
      <c r="D6428" s="7" t="s">
        <v>28</v>
      </c>
      <c r="E6428" s="7" t="s">
        <v>29</v>
      </c>
      <c r="F6428" s="7" t="s">
        <v>71</v>
      </c>
      <c r="G6428" s="7">
        <v>103.2743</v>
      </c>
      <c r="H6428" s="7"/>
    </row>
    <row r="6429" spans="1:8" x14ac:dyDescent="0.35">
      <c r="A6429" s="7" t="s">
        <v>368</v>
      </c>
      <c r="B6429" s="7" t="s">
        <v>26</v>
      </c>
      <c r="C6429" s="7" t="s">
        <v>27</v>
      </c>
      <c r="D6429" s="7" t="s">
        <v>28</v>
      </c>
      <c r="E6429" s="7" t="s">
        <v>29</v>
      </c>
      <c r="F6429" s="7" t="s">
        <v>72</v>
      </c>
      <c r="G6429" s="7">
        <v>103.3827</v>
      </c>
      <c r="H6429" s="7"/>
    </row>
    <row r="6430" spans="1:8" x14ac:dyDescent="0.35">
      <c r="A6430" s="7" t="s">
        <v>368</v>
      </c>
      <c r="B6430" s="7" t="s">
        <v>26</v>
      </c>
      <c r="C6430" s="7" t="s">
        <v>27</v>
      </c>
      <c r="D6430" s="7" t="s">
        <v>28</v>
      </c>
      <c r="E6430" s="7" t="s">
        <v>29</v>
      </c>
      <c r="F6430" s="7" t="s">
        <v>73</v>
      </c>
      <c r="G6430" s="7">
        <v>103.2722</v>
      </c>
      <c r="H6430" s="7"/>
    </row>
    <row r="6431" spans="1:8" x14ac:dyDescent="0.35">
      <c r="A6431" s="7" t="s">
        <v>368</v>
      </c>
      <c r="B6431" s="7" t="s">
        <v>26</v>
      </c>
      <c r="C6431" s="7" t="s">
        <v>27</v>
      </c>
      <c r="D6431" s="7" t="s">
        <v>28</v>
      </c>
      <c r="E6431" s="7" t="s">
        <v>29</v>
      </c>
      <c r="F6431" s="7" t="s">
        <v>74</v>
      </c>
      <c r="G6431" s="7">
        <v>103.005</v>
      </c>
      <c r="H6431" s="7"/>
    </row>
    <row r="6432" spans="1:8" x14ac:dyDescent="0.35">
      <c r="A6432" s="7" t="s">
        <v>368</v>
      </c>
      <c r="B6432" s="7" t="s">
        <v>26</v>
      </c>
      <c r="C6432" s="7" t="s">
        <v>27</v>
      </c>
      <c r="D6432" s="7" t="s">
        <v>28</v>
      </c>
      <c r="E6432" s="7" t="s">
        <v>29</v>
      </c>
      <c r="F6432" s="7" t="s">
        <v>75</v>
      </c>
      <c r="G6432" s="7">
        <v>102.6949</v>
      </c>
      <c r="H6432" s="7"/>
    </row>
    <row r="6433" spans="1:8" x14ac:dyDescent="0.35">
      <c r="A6433" s="7" t="s">
        <v>368</v>
      </c>
      <c r="B6433" s="7" t="s">
        <v>26</v>
      </c>
      <c r="C6433" s="7" t="s">
        <v>27</v>
      </c>
      <c r="D6433" s="7" t="s">
        <v>28</v>
      </c>
      <c r="E6433" s="7" t="s">
        <v>29</v>
      </c>
      <c r="F6433" s="7" t="s">
        <v>76</v>
      </c>
      <c r="G6433" s="7">
        <v>102.4405</v>
      </c>
      <c r="H6433" s="7"/>
    </row>
    <row r="6434" spans="1:8" x14ac:dyDescent="0.35">
      <c r="A6434" s="7" t="s">
        <v>368</v>
      </c>
      <c r="B6434" s="7" t="s">
        <v>26</v>
      </c>
      <c r="C6434" s="7" t="s">
        <v>27</v>
      </c>
      <c r="D6434" s="7" t="s">
        <v>28</v>
      </c>
      <c r="E6434" s="7" t="s">
        <v>29</v>
      </c>
      <c r="F6434" s="7" t="s">
        <v>77</v>
      </c>
      <c r="G6434" s="7">
        <v>102.303</v>
      </c>
      <c r="H6434" s="7"/>
    </row>
    <row r="6435" spans="1:8" x14ac:dyDescent="0.35">
      <c r="A6435" s="7" t="s">
        <v>368</v>
      </c>
      <c r="B6435" s="7" t="s">
        <v>26</v>
      </c>
      <c r="C6435" s="7" t="s">
        <v>27</v>
      </c>
      <c r="D6435" s="7" t="s">
        <v>28</v>
      </c>
      <c r="E6435" s="7" t="s">
        <v>29</v>
      </c>
      <c r="F6435" s="7" t="s">
        <v>78</v>
      </c>
      <c r="G6435" s="7">
        <v>102.3096</v>
      </c>
      <c r="H6435" s="7"/>
    </row>
    <row r="6436" spans="1:8" x14ac:dyDescent="0.35">
      <c r="A6436" s="7" t="s">
        <v>368</v>
      </c>
      <c r="B6436" s="7" t="s">
        <v>26</v>
      </c>
      <c r="C6436" s="7" t="s">
        <v>27</v>
      </c>
      <c r="D6436" s="7" t="s">
        <v>28</v>
      </c>
      <c r="E6436" s="7" t="s">
        <v>29</v>
      </c>
      <c r="F6436" s="7" t="s">
        <v>79</v>
      </c>
      <c r="G6436" s="7">
        <v>102.4254</v>
      </c>
      <c r="H6436" s="7"/>
    </row>
    <row r="6437" spans="1:8" x14ac:dyDescent="0.35">
      <c r="A6437" s="7" t="s">
        <v>368</v>
      </c>
      <c r="B6437" s="7" t="s">
        <v>26</v>
      </c>
      <c r="C6437" s="7" t="s">
        <v>27</v>
      </c>
      <c r="D6437" s="7" t="s">
        <v>28</v>
      </c>
      <c r="E6437" s="7" t="s">
        <v>29</v>
      </c>
      <c r="F6437" s="7" t="s">
        <v>80</v>
      </c>
      <c r="G6437" s="7">
        <v>102.5873</v>
      </c>
      <c r="H6437" s="7"/>
    </row>
    <row r="6438" spans="1:8" x14ac:dyDescent="0.35">
      <c r="A6438" s="7" t="s">
        <v>368</v>
      </c>
      <c r="B6438" s="7" t="s">
        <v>26</v>
      </c>
      <c r="C6438" s="7" t="s">
        <v>27</v>
      </c>
      <c r="D6438" s="7" t="s">
        <v>28</v>
      </c>
      <c r="E6438" s="7" t="s">
        <v>29</v>
      </c>
      <c r="F6438" s="7" t="s">
        <v>81</v>
      </c>
      <c r="G6438" s="7">
        <v>102.71429999999999</v>
      </c>
      <c r="H6438" s="7"/>
    </row>
    <row r="6439" spans="1:8" x14ac:dyDescent="0.35">
      <c r="A6439" s="7" t="s">
        <v>368</v>
      </c>
      <c r="B6439" s="7" t="s">
        <v>26</v>
      </c>
      <c r="C6439" s="7" t="s">
        <v>27</v>
      </c>
      <c r="D6439" s="7" t="s">
        <v>28</v>
      </c>
      <c r="E6439" s="7" t="s">
        <v>29</v>
      </c>
      <c r="F6439" s="7" t="s">
        <v>82</v>
      </c>
      <c r="G6439" s="7">
        <v>102.7533</v>
      </c>
      <c r="H6439" s="7"/>
    </row>
    <row r="6440" spans="1:8" x14ac:dyDescent="0.35">
      <c r="A6440" s="7" t="s">
        <v>368</v>
      </c>
      <c r="B6440" s="7" t="s">
        <v>26</v>
      </c>
      <c r="C6440" s="7" t="s">
        <v>27</v>
      </c>
      <c r="D6440" s="7" t="s">
        <v>28</v>
      </c>
      <c r="E6440" s="7" t="s">
        <v>29</v>
      </c>
      <c r="F6440" s="7" t="s">
        <v>83</v>
      </c>
      <c r="G6440" s="7">
        <v>102.71850000000001</v>
      </c>
      <c r="H6440" s="7"/>
    </row>
    <row r="6441" spans="1:8" x14ac:dyDescent="0.35">
      <c r="A6441" s="7" t="s">
        <v>368</v>
      </c>
      <c r="B6441" s="7" t="s">
        <v>26</v>
      </c>
      <c r="C6441" s="7" t="s">
        <v>27</v>
      </c>
      <c r="D6441" s="7" t="s">
        <v>28</v>
      </c>
      <c r="E6441" s="7" t="s">
        <v>29</v>
      </c>
      <c r="F6441" s="7" t="s">
        <v>84</v>
      </c>
      <c r="G6441" s="7">
        <v>102.6532</v>
      </c>
      <c r="H6441" s="7"/>
    </row>
    <row r="6442" spans="1:8" x14ac:dyDescent="0.35">
      <c r="A6442" s="7" t="s">
        <v>368</v>
      </c>
      <c r="B6442" s="7" t="s">
        <v>26</v>
      </c>
      <c r="C6442" s="7" t="s">
        <v>27</v>
      </c>
      <c r="D6442" s="7" t="s">
        <v>28</v>
      </c>
      <c r="E6442" s="7" t="s">
        <v>29</v>
      </c>
      <c r="F6442" s="7" t="s">
        <v>85</v>
      </c>
      <c r="G6442" s="7">
        <v>102.58069999999999</v>
      </c>
      <c r="H6442" s="7"/>
    </row>
    <row r="6443" spans="1:8" x14ac:dyDescent="0.35">
      <c r="A6443" s="7" t="s">
        <v>368</v>
      </c>
      <c r="B6443" s="7" t="s">
        <v>26</v>
      </c>
      <c r="C6443" s="7" t="s">
        <v>27</v>
      </c>
      <c r="D6443" s="7" t="s">
        <v>28</v>
      </c>
      <c r="E6443" s="7" t="s">
        <v>29</v>
      </c>
      <c r="F6443" s="7" t="s">
        <v>86</v>
      </c>
      <c r="G6443" s="7">
        <v>102.5278</v>
      </c>
      <c r="H6443" s="7"/>
    </row>
    <row r="6444" spans="1:8" x14ac:dyDescent="0.35">
      <c r="A6444" s="7" t="s">
        <v>368</v>
      </c>
      <c r="B6444" s="7" t="s">
        <v>26</v>
      </c>
      <c r="C6444" s="7" t="s">
        <v>27</v>
      </c>
      <c r="D6444" s="7" t="s">
        <v>28</v>
      </c>
      <c r="E6444" s="7" t="s">
        <v>29</v>
      </c>
      <c r="F6444" s="7" t="s">
        <v>87</v>
      </c>
      <c r="G6444" s="7">
        <v>102.4729</v>
      </c>
      <c r="H6444" s="7"/>
    </row>
    <row r="6445" spans="1:8" x14ac:dyDescent="0.35">
      <c r="A6445" s="7" t="s">
        <v>368</v>
      </c>
      <c r="B6445" s="7" t="s">
        <v>26</v>
      </c>
      <c r="C6445" s="7" t="s">
        <v>27</v>
      </c>
      <c r="D6445" s="7" t="s">
        <v>28</v>
      </c>
      <c r="E6445" s="7" t="s">
        <v>29</v>
      </c>
      <c r="F6445" s="7" t="s">
        <v>88</v>
      </c>
      <c r="G6445" s="7">
        <v>102.44029999999999</v>
      </c>
      <c r="H6445" s="7"/>
    </row>
    <row r="6446" spans="1:8" x14ac:dyDescent="0.35">
      <c r="A6446" s="7" t="s">
        <v>368</v>
      </c>
      <c r="B6446" s="7" t="s">
        <v>26</v>
      </c>
      <c r="C6446" s="7" t="s">
        <v>27</v>
      </c>
      <c r="D6446" s="7" t="s">
        <v>28</v>
      </c>
      <c r="E6446" s="7" t="s">
        <v>29</v>
      </c>
      <c r="F6446" s="7" t="s">
        <v>89</v>
      </c>
      <c r="G6446" s="7">
        <v>102.38800000000001</v>
      </c>
      <c r="H6446" s="7"/>
    </row>
    <row r="6447" spans="1:8" x14ac:dyDescent="0.35">
      <c r="A6447" s="7" t="s">
        <v>368</v>
      </c>
      <c r="B6447" s="7" t="s">
        <v>26</v>
      </c>
      <c r="C6447" s="7" t="s">
        <v>27</v>
      </c>
      <c r="D6447" s="7" t="s">
        <v>28</v>
      </c>
      <c r="E6447" s="7" t="s">
        <v>29</v>
      </c>
      <c r="F6447" s="7" t="s">
        <v>90</v>
      </c>
      <c r="G6447" s="7">
        <v>102.1995</v>
      </c>
      <c r="H6447" s="7"/>
    </row>
    <row r="6448" spans="1:8" x14ac:dyDescent="0.35">
      <c r="A6448" s="7" t="s">
        <v>368</v>
      </c>
      <c r="B6448" s="7" t="s">
        <v>26</v>
      </c>
      <c r="C6448" s="7" t="s">
        <v>27</v>
      </c>
      <c r="D6448" s="7" t="s">
        <v>28</v>
      </c>
      <c r="E6448" s="7" t="s">
        <v>29</v>
      </c>
      <c r="F6448" s="7" t="s">
        <v>91</v>
      </c>
      <c r="G6448" s="7">
        <v>101.6936</v>
      </c>
      <c r="H6448" s="7"/>
    </row>
    <row r="6449" spans="1:8" x14ac:dyDescent="0.35">
      <c r="A6449" s="7" t="s">
        <v>368</v>
      </c>
      <c r="B6449" s="7" t="s">
        <v>26</v>
      </c>
      <c r="C6449" s="7" t="s">
        <v>27</v>
      </c>
      <c r="D6449" s="7" t="s">
        <v>28</v>
      </c>
      <c r="E6449" s="7" t="s">
        <v>29</v>
      </c>
      <c r="F6449" s="7" t="s">
        <v>92</v>
      </c>
      <c r="G6449" s="7">
        <v>100.855</v>
      </c>
      <c r="H6449" s="7"/>
    </row>
    <row r="6450" spans="1:8" x14ac:dyDescent="0.35">
      <c r="A6450" s="7" t="s">
        <v>368</v>
      </c>
      <c r="B6450" s="7" t="s">
        <v>26</v>
      </c>
      <c r="C6450" s="7" t="s">
        <v>27</v>
      </c>
      <c r="D6450" s="7" t="s">
        <v>28</v>
      </c>
      <c r="E6450" s="7" t="s">
        <v>29</v>
      </c>
      <c r="F6450" s="7" t="s">
        <v>93</v>
      </c>
      <c r="G6450" s="7">
        <v>100.2569</v>
      </c>
      <c r="H6450" s="7"/>
    </row>
    <row r="6451" spans="1:8" x14ac:dyDescent="0.35">
      <c r="A6451" s="7" t="s">
        <v>368</v>
      </c>
      <c r="B6451" s="7" t="s">
        <v>26</v>
      </c>
      <c r="C6451" s="7" t="s">
        <v>27</v>
      </c>
      <c r="D6451" s="7" t="s">
        <v>28</v>
      </c>
      <c r="E6451" s="7" t="s">
        <v>29</v>
      </c>
      <c r="F6451" s="7" t="s">
        <v>94</v>
      </c>
      <c r="G6451" s="7">
        <v>99.98312</v>
      </c>
      <c r="H6451" s="7"/>
    </row>
    <row r="6452" spans="1:8" x14ac:dyDescent="0.35">
      <c r="A6452" s="7" t="s">
        <v>368</v>
      </c>
      <c r="B6452" s="7" t="s">
        <v>26</v>
      </c>
      <c r="C6452" s="7" t="s">
        <v>27</v>
      </c>
      <c r="D6452" s="7" t="s">
        <v>28</v>
      </c>
      <c r="E6452" s="7" t="s">
        <v>29</v>
      </c>
      <c r="F6452" s="7" t="s">
        <v>95</v>
      </c>
      <c r="G6452" s="7">
        <v>99.976070000000007</v>
      </c>
      <c r="H6452" s="7"/>
    </row>
    <row r="6453" spans="1:8" x14ac:dyDescent="0.35">
      <c r="A6453" s="7" t="s">
        <v>368</v>
      </c>
      <c r="B6453" s="7" t="s">
        <v>26</v>
      </c>
      <c r="C6453" s="7" t="s">
        <v>27</v>
      </c>
      <c r="D6453" s="7" t="s">
        <v>28</v>
      </c>
      <c r="E6453" s="7" t="s">
        <v>29</v>
      </c>
      <c r="F6453" s="7" t="s">
        <v>96</v>
      </c>
      <c r="G6453" s="7">
        <v>100.14400000000001</v>
      </c>
      <c r="H6453" s="7"/>
    </row>
    <row r="6454" spans="1:8" x14ac:dyDescent="0.35">
      <c r="A6454" s="7" t="s">
        <v>368</v>
      </c>
      <c r="B6454" s="7" t="s">
        <v>26</v>
      </c>
      <c r="C6454" s="7" t="s">
        <v>27</v>
      </c>
      <c r="D6454" s="7" t="s">
        <v>28</v>
      </c>
      <c r="E6454" s="7" t="s">
        <v>29</v>
      </c>
      <c r="F6454" s="7" t="s">
        <v>97</v>
      </c>
      <c r="G6454" s="7">
        <v>100.36790000000001</v>
      </c>
      <c r="H6454" s="7"/>
    </row>
    <row r="6455" spans="1:8" x14ac:dyDescent="0.35">
      <c r="A6455" s="7" t="s">
        <v>368</v>
      </c>
      <c r="B6455" s="7" t="s">
        <v>26</v>
      </c>
      <c r="C6455" s="7" t="s">
        <v>27</v>
      </c>
      <c r="D6455" s="7" t="s">
        <v>28</v>
      </c>
      <c r="E6455" s="7" t="s">
        <v>29</v>
      </c>
      <c r="F6455" s="7" t="s">
        <v>98</v>
      </c>
      <c r="G6455" s="7">
        <v>100.5423</v>
      </c>
      <c r="H6455" s="7"/>
    </row>
    <row r="6456" spans="1:8" x14ac:dyDescent="0.35">
      <c r="A6456" s="7" t="s">
        <v>368</v>
      </c>
      <c r="B6456" s="7" t="s">
        <v>26</v>
      </c>
      <c r="C6456" s="7" t="s">
        <v>27</v>
      </c>
      <c r="D6456" s="7" t="s">
        <v>28</v>
      </c>
      <c r="E6456" s="7" t="s">
        <v>29</v>
      </c>
      <c r="F6456" s="7" t="s">
        <v>99</v>
      </c>
      <c r="G6456" s="7">
        <v>100.60080000000001</v>
      </c>
      <c r="H6456" s="7"/>
    </row>
    <row r="6457" spans="1:8" x14ac:dyDescent="0.35">
      <c r="A6457" s="7" t="s">
        <v>368</v>
      </c>
      <c r="B6457" s="7" t="s">
        <v>26</v>
      </c>
      <c r="C6457" s="7" t="s">
        <v>27</v>
      </c>
      <c r="D6457" s="7" t="s">
        <v>28</v>
      </c>
      <c r="E6457" s="7" t="s">
        <v>29</v>
      </c>
      <c r="F6457" s="7" t="s">
        <v>100</v>
      </c>
      <c r="G6457" s="7">
        <v>100.5505</v>
      </c>
      <c r="H6457" s="7"/>
    </row>
    <row r="6458" spans="1:8" x14ac:dyDescent="0.35">
      <c r="A6458" s="7" t="s">
        <v>368</v>
      </c>
      <c r="B6458" s="7" t="s">
        <v>26</v>
      </c>
      <c r="C6458" s="7" t="s">
        <v>27</v>
      </c>
      <c r="D6458" s="7" t="s">
        <v>28</v>
      </c>
      <c r="E6458" s="7" t="s">
        <v>29</v>
      </c>
      <c r="F6458" s="7" t="s">
        <v>101</v>
      </c>
      <c r="G6458" s="7">
        <v>100.4545</v>
      </c>
      <c r="H6458" s="7"/>
    </row>
    <row r="6459" spans="1:8" x14ac:dyDescent="0.35">
      <c r="A6459" s="7" t="s">
        <v>368</v>
      </c>
      <c r="B6459" s="7" t="s">
        <v>26</v>
      </c>
      <c r="C6459" s="7" t="s">
        <v>27</v>
      </c>
      <c r="D6459" s="7" t="s">
        <v>28</v>
      </c>
      <c r="E6459" s="7" t="s">
        <v>29</v>
      </c>
      <c r="F6459" s="7" t="s">
        <v>102</v>
      </c>
      <c r="G6459" s="7">
        <v>100.3995</v>
      </c>
      <c r="H6459" s="7"/>
    </row>
    <row r="6460" spans="1:8" x14ac:dyDescent="0.35">
      <c r="A6460" s="7" t="s">
        <v>368</v>
      </c>
      <c r="B6460" s="7" t="s">
        <v>26</v>
      </c>
      <c r="C6460" s="7" t="s">
        <v>27</v>
      </c>
      <c r="D6460" s="7" t="s">
        <v>28</v>
      </c>
      <c r="E6460" s="7" t="s">
        <v>29</v>
      </c>
      <c r="F6460" s="7" t="s">
        <v>103</v>
      </c>
      <c r="G6460" s="7">
        <v>100.425</v>
      </c>
      <c r="H6460" s="7"/>
    </row>
    <row r="6461" spans="1:8" x14ac:dyDescent="0.35">
      <c r="A6461" s="7" t="s">
        <v>368</v>
      </c>
      <c r="B6461" s="7" t="s">
        <v>26</v>
      </c>
      <c r="C6461" s="7" t="s">
        <v>27</v>
      </c>
      <c r="D6461" s="7" t="s">
        <v>28</v>
      </c>
      <c r="E6461" s="7" t="s">
        <v>29</v>
      </c>
      <c r="F6461" s="7" t="s">
        <v>104</v>
      </c>
      <c r="G6461" s="7">
        <v>100.41160000000001</v>
      </c>
      <c r="H6461" s="7"/>
    </row>
    <row r="6462" spans="1:8" x14ac:dyDescent="0.35">
      <c r="A6462" s="7" t="s">
        <v>368</v>
      </c>
      <c r="B6462" s="7" t="s">
        <v>26</v>
      </c>
      <c r="C6462" s="7" t="s">
        <v>27</v>
      </c>
      <c r="D6462" s="7" t="s">
        <v>28</v>
      </c>
      <c r="E6462" s="7" t="s">
        <v>29</v>
      </c>
      <c r="F6462" s="7" t="s">
        <v>105</v>
      </c>
      <c r="G6462" s="7">
        <v>100.01349999999999</v>
      </c>
      <c r="H6462" s="7"/>
    </row>
    <row r="6463" spans="1:8" x14ac:dyDescent="0.35">
      <c r="A6463" s="7" t="s">
        <v>368</v>
      </c>
      <c r="B6463" s="7" t="s">
        <v>26</v>
      </c>
      <c r="C6463" s="7" t="s">
        <v>27</v>
      </c>
      <c r="D6463" s="7" t="s">
        <v>28</v>
      </c>
      <c r="E6463" s="7" t="s">
        <v>29</v>
      </c>
      <c r="F6463" s="7" t="s">
        <v>106</v>
      </c>
      <c r="G6463" s="7">
        <v>99.380740000000003</v>
      </c>
      <c r="H6463" s="7"/>
    </row>
    <row r="6464" spans="1:8" x14ac:dyDescent="0.35">
      <c r="A6464" s="7" t="s">
        <v>368</v>
      </c>
      <c r="B6464" s="7" t="s">
        <v>26</v>
      </c>
      <c r="C6464" s="7" t="s">
        <v>27</v>
      </c>
      <c r="D6464" s="7" t="s">
        <v>28</v>
      </c>
      <c r="E6464" s="7" t="s">
        <v>29</v>
      </c>
      <c r="F6464" s="7" t="s">
        <v>107</v>
      </c>
      <c r="G6464" s="7">
        <v>98.848730000000003</v>
      </c>
      <c r="H6464" s="7"/>
    </row>
    <row r="6465" spans="1:8" x14ac:dyDescent="0.35">
      <c r="A6465" s="7" t="s">
        <v>368</v>
      </c>
      <c r="B6465" s="7" t="s">
        <v>26</v>
      </c>
      <c r="C6465" s="7" t="s">
        <v>27</v>
      </c>
      <c r="D6465" s="7" t="s">
        <v>28</v>
      </c>
      <c r="E6465" s="7" t="s">
        <v>29</v>
      </c>
      <c r="F6465" s="7" t="s">
        <v>108</v>
      </c>
      <c r="G6465" s="7">
        <v>98.321119999999993</v>
      </c>
      <c r="H6465" s="7"/>
    </row>
    <row r="6466" spans="1:8" x14ac:dyDescent="0.35">
      <c r="A6466" s="7" t="s">
        <v>368</v>
      </c>
      <c r="B6466" s="7" t="s">
        <v>26</v>
      </c>
      <c r="C6466" s="7" t="s">
        <v>27</v>
      </c>
      <c r="D6466" s="7" t="s">
        <v>28</v>
      </c>
      <c r="E6466" s="7" t="s">
        <v>29</v>
      </c>
      <c r="F6466" s="7" t="s">
        <v>109</v>
      </c>
      <c r="G6466" s="7">
        <v>97.801910000000007</v>
      </c>
      <c r="H6466" s="7"/>
    </row>
    <row r="6467" spans="1:8" x14ac:dyDescent="0.35">
      <c r="A6467" s="7" t="s">
        <v>368</v>
      </c>
      <c r="B6467" s="7" t="s">
        <v>26</v>
      </c>
      <c r="C6467" s="7" t="s">
        <v>27</v>
      </c>
      <c r="D6467" s="7" t="s">
        <v>28</v>
      </c>
      <c r="E6467" s="7" t="s">
        <v>29</v>
      </c>
      <c r="F6467" s="7" t="s">
        <v>110</v>
      </c>
      <c r="G6467" s="7">
        <v>97.464709999999997</v>
      </c>
      <c r="H6467" s="7"/>
    </row>
    <row r="6468" spans="1:8" x14ac:dyDescent="0.35">
      <c r="A6468" s="7" t="s">
        <v>368</v>
      </c>
      <c r="B6468" s="7" t="s">
        <v>26</v>
      </c>
      <c r="C6468" s="7" t="s">
        <v>27</v>
      </c>
      <c r="D6468" s="7" t="s">
        <v>28</v>
      </c>
      <c r="E6468" s="7" t="s">
        <v>29</v>
      </c>
      <c r="F6468" s="7" t="s">
        <v>111</v>
      </c>
      <c r="G6468" s="7">
        <v>97.547070000000005</v>
      </c>
      <c r="H6468" s="7"/>
    </row>
    <row r="6469" spans="1:8" x14ac:dyDescent="0.35">
      <c r="A6469" s="7" t="s">
        <v>368</v>
      </c>
      <c r="B6469" s="7" t="s">
        <v>26</v>
      </c>
      <c r="C6469" s="7" t="s">
        <v>27</v>
      </c>
      <c r="D6469" s="7" t="s">
        <v>28</v>
      </c>
      <c r="E6469" s="7" t="s">
        <v>29</v>
      </c>
      <c r="F6469" s="7" t="s">
        <v>112</v>
      </c>
      <c r="G6469" s="7">
        <v>97.771050000000002</v>
      </c>
      <c r="H6469" s="7"/>
    </row>
    <row r="6470" spans="1:8" x14ac:dyDescent="0.35">
      <c r="A6470" s="7" t="s">
        <v>368</v>
      </c>
      <c r="B6470" s="7" t="s">
        <v>26</v>
      </c>
      <c r="C6470" s="7" t="s">
        <v>27</v>
      </c>
      <c r="D6470" s="7" t="s">
        <v>28</v>
      </c>
      <c r="E6470" s="7" t="s">
        <v>29</v>
      </c>
      <c r="F6470" s="7" t="s">
        <v>113</v>
      </c>
      <c r="G6470" s="7">
        <v>98.010829999999999</v>
      </c>
      <c r="H6470" s="7"/>
    </row>
    <row r="6471" spans="1:8" x14ac:dyDescent="0.35">
      <c r="A6471" s="7" t="s">
        <v>368</v>
      </c>
      <c r="B6471" s="7" t="s">
        <v>26</v>
      </c>
      <c r="C6471" s="7" t="s">
        <v>27</v>
      </c>
      <c r="D6471" s="7" t="s">
        <v>28</v>
      </c>
      <c r="E6471" s="7" t="s">
        <v>29</v>
      </c>
      <c r="F6471" s="7" t="s">
        <v>114</v>
      </c>
      <c r="G6471" s="7">
        <v>98.152029999999996</v>
      </c>
      <c r="H6471" s="7"/>
    </row>
    <row r="6472" spans="1:8" x14ac:dyDescent="0.35">
      <c r="A6472" s="7" t="s">
        <v>368</v>
      </c>
      <c r="B6472" s="7" t="s">
        <v>26</v>
      </c>
      <c r="C6472" s="7" t="s">
        <v>27</v>
      </c>
      <c r="D6472" s="7" t="s">
        <v>28</v>
      </c>
      <c r="E6472" s="7" t="s">
        <v>29</v>
      </c>
      <c r="F6472" s="7" t="s">
        <v>115</v>
      </c>
      <c r="G6472" s="7">
        <v>98.351879999999994</v>
      </c>
      <c r="H6472" s="7"/>
    </row>
    <row r="6473" spans="1:8" x14ac:dyDescent="0.35">
      <c r="A6473" s="7" t="s">
        <v>368</v>
      </c>
      <c r="B6473" s="7" t="s">
        <v>26</v>
      </c>
      <c r="C6473" s="7" t="s">
        <v>27</v>
      </c>
      <c r="D6473" s="7" t="s">
        <v>28</v>
      </c>
      <c r="E6473" s="7" t="s">
        <v>29</v>
      </c>
      <c r="F6473" s="7" t="s">
        <v>116</v>
      </c>
      <c r="G6473" s="7">
        <v>98.564710000000005</v>
      </c>
      <c r="H6473" s="7"/>
    </row>
    <row r="6474" spans="1:8" x14ac:dyDescent="0.35">
      <c r="A6474" s="7" t="s">
        <v>368</v>
      </c>
      <c r="B6474" s="7" t="s">
        <v>26</v>
      </c>
      <c r="C6474" s="7" t="s">
        <v>27</v>
      </c>
      <c r="D6474" s="7" t="s">
        <v>28</v>
      </c>
      <c r="E6474" s="7" t="s">
        <v>29</v>
      </c>
      <c r="F6474" s="7" t="s">
        <v>117</v>
      </c>
      <c r="G6474" s="7">
        <v>98.675449999999998</v>
      </c>
      <c r="H6474" s="7"/>
    </row>
    <row r="6475" spans="1:8" x14ac:dyDescent="0.35">
      <c r="A6475" s="7" t="s">
        <v>368</v>
      </c>
      <c r="B6475" s="7" t="s">
        <v>26</v>
      </c>
      <c r="C6475" s="7" t="s">
        <v>27</v>
      </c>
      <c r="D6475" s="7" t="s">
        <v>28</v>
      </c>
      <c r="E6475" s="7" t="s">
        <v>29</v>
      </c>
      <c r="F6475" s="7" t="s">
        <v>118</v>
      </c>
      <c r="G6475" s="7">
        <v>98.70335</v>
      </c>
      <c r="H6475" s="7"/>
    </row>
    <row r="6476" spans="1:8" x14ac:dyDescent="0.35">
      <c r="A6476" s="7" t="s">
        <v>368</v>
      </c>
      <c r="B6476" s="7" t="s">
        <v>26</v>
      </c>
      <c r="C6476" s="7" t="s">
        <v>27</v>
      </c>
      <c r="D6476" s="7" t="s">
        <v>28</v>
      </c>
      <c r="E6476" s="7" t="s">
        <v>29</v>
      </c>
      <c r="F6476" s="7" t="s">
        <v>119</v>
      </c>
      <c r="G6476" s="7">
        <v>98.774600000000007</v>
      </c>
      <c r="H6476" s="7"/>
    </row>
    <row r="6477" spans="1:8" x14ac:dyDescent="0.35">
      <c r="A6477" s="7" t="s">
        <v>368</v>
      </c>
      <c r="B6477" s="7" t="s">
        <v>26</v>
      </c>
      <c r="C6477" s="7" t="s">
        <v>27</v>
      </c>
      <c r="D6477" s="7" t="s">
        <v>28</v>
      </c>
      <c r="E6477" s="7" t="s">
        <v>29</v>
      </c>
      <c r="F6477" s="7" t="s">
        <v>120</v>
      </c>
      <c r="G6477" s="7">
        <v>98.927790000000002</v>
      </c>
      <c r="H6477" s="7"/>
    </row>
    <row r="6478" spans="1:8" x14ac:dyDescent="0.35">
      <c r="A6478" s="7" t="s">
        <v>368</v>
      </c>
      <c r="B6478" s="7" t="s">
        <v>26</v>
      </c>
      <c r="C6478" s="7" t="s">
        <v>27</v>
      </c>
      <c r="D6478" s="7" t="s">
        <v>28</v>
      </c>
      <c r="E6478" s="7" t="s">
        <v>29</v>
      </c>
      <c r="F6478" s="7" t="s">
        <v>121</v>
      </c>
      <c r="G6478" s="7">
        <v>99.084289999999996</v>
      </c>
      <c r="H6478" s="7"/>
    </row>
    <row r="6479" spans="1:8" x14ac:dyDescent="0.35">
      <c r="A6479" s="7" t="s">
        <v>368</v>
      </c>
      <c r="B6479" s="7" t="s">
        <v>26</v>
      </c>
      <c r="C6479" s="7" t="s">
        <v>27</v>
      </c>
      <c r="D6479" s="7" t="s">
        <v>28</v>
      </c>
      <c r="E6479" s="7" t="s">
        <v>29</v>
      </c>
      <c r="F6479" s="7" t="s">
        <v>122</v>
      </c>
      <c r="G6479" s="7">
        <v>99.186729999999997</v>
      </c>
      <c r="H6479" s="7"/>
    </row>
    <row r="6480" spans="1:8" x14ac:dyDescent="0.35">
      <c r="A6480" s="7" t="s">
        <v>368</v>
      </c>
      <c r="B6480" s="7" t="s">
        <v>26</v>
      </c>
      <c r="C6480" s="7" t="s">
        <v>27</v>
      </c>
      <c r="D6480" s="7" t="s">
        <v>28</v>
      </c>
      <c r="E6480" s="7" t="s">
        <v>29</v>
      </c>
      <c r="F6480" s="7" t="s">
        <v>123</v>
      </c>
      <c r="G6480" s="7">
        <v>99.375780000000006</v>
      </c>
      <c r="H6480" s="7"/>
    </row>
    <row r="6481" spans="1:8" x14ac:dyDescent="0.35">
      <c r="A6481" s="7" t="s">
        <v>368</v>
      </c>
      <c r="B6481" s="7" t="s">
        <v>26</v>
      </c>
      <c r="C6481" s="7" t="s">
        <v>27</v>
      </c>
      <c r="D6481" s="7" t="s">
        <v>28</v>
      </c>
      <c r="E6481" s="7" t="s">
        <v>29</v>
      </c>
      <c r="F6481" s="7" t="s">
        <v>124</v>
      </c>
      <c r="G6481" s="7">
        <v>99.51276</v>
      </c>
      <c r="H6481" s="7"/>
    </row>
    <row r="6482" spans="1:8" x14ac:dyDescent="0.35">
      <c r="A6482" s="7" t="s">
        <v>368</v>
      </c>
      <c r="B6482" s="7" t="s">
        <v>26</v>
      </c>
      <c r="C6482" s="7" t="s">
        <v>27</v>
      </c>
      <c r="D6482" s="7" t="s">
        <v>28</v>
      </c>
      <c r="E6482" s="7" t="s">
        <v>29</v>
      </c>
      <c r="F6482" s="7" t="s">
        <v>125</v>
      </c>
      <c r="G6482" s="7">
        <v>99.615520000000004</v>
      </c>
      <c r="H6482" s="7"/>
    </row>
    <row r="6483" spans="1:8" x14ac:dyDescent="0.35">
      <c r="A6483" s="7" t="s">
        <v>368</v>
      </c>
      <c r="B6483" s="7" t="s">
        <v>26</v>
      </c>
      <c r="C6483" s="7" t="s">
        <v>27</v>
      </c>
      <c r="D6483" s="7" t="s">
        <v>28</v>
      </c>
      <c r="E6483" s="7" t="s">
        <v>29</v>
      </c>
      <c r="F6483" s="7" t="s">
        <v>126</v>
      </c>
      <c r="G6483" s="7">
        <v>99.763109999999998</v>
      </c>
      <c r="H6483" s="7"/>
    </row>
    <row r="6484" spans="1:8" x14ac:dyDescent="0.35">
      <c r="A6484" s="7" t="s">
        <v>368</v>
      </c>
      <c r="B6484" s="7" t="s">
        <v>26</v>
      </c>
      <c r="C6484" s="7" t="s">
        <v>27</v>
      </c>
      <c r="D6484" s="7" t="s">
        <v>28</v>
      </c>
      <c r="E6484" s="7" t="s">
        <v>29</v>
      </c>
      <c r="F6484" s="7" t="s">
        <v>127</v>
      </c>
      <c r="G6484" s="7">
        <v>99.951390000000004</v>
      </c>
      <c r="H6484" s="7"/>
    </row>
    <row r="6485" spans="1:8" x14ac:dyDescent="0.35">
      <c r="A6485" s="7" t="s">
        <v>368</v>
      </c>
      <c r="B6485" s="7" t="s">
        <v>26</v>
      </c>
      <c r="C6485" s="7" t="s">
        <v>27</v>
      </c>
      <c r="D6485" s="7" t="s">
        <v>28</v>
      </c>
      <c r="E6485" s="7" t="s">
        <v>29</v>
      </c>
      <c r="F6485" s="7" t="s">
        <v>128</v>
      </c>
      <c r="G6485" s="7">
        <v>100.07040000000001</v>
      </c>
      <c r="H6485" s="7"/>
    </row>
    <row r="6486" spans="1:8" x14ac:dyDescent="0.35">
      <c r="A6486" s="7" t="s">
        <v>368</v>
      </c>
      <c r="B6486" s="7" t="s">
        <v>26</v>
      </c>
      <c r="C6486" s="7" t="s">
        <v>27</v>
      </c>
      <c r="D6486" s="7" t="s">
        <v>28</v>
      </c>
      <c r="E6486" s="7" t="s">
        <v>29</v>
      </c>
      <c r="F6486" s="7" t="s">
        <v>129</v>
      </c>
      <c r="G6486" s="7">
        <v>100.1743</v>
      </c>
      <c r="H6486" s="7"/>
    </row>
    <row r="6487" spans="1:8" x14ac:dyDescent="0.35">
      <c r="A6487" s="7" t="s">
        <v>368</v>
      </c>
      <c r="B6487" s="7" t="s">
        <v>26</v>
      </c>
      <c r="C6487" s="7" t="s">
        <v>27</v>
      </c>
      <c r="D6487" s="7" t="s">
        <v>28</v>
      </c>
      <c r="E6487" s="7" t="s">
        <v>29</v>
      </c>
      <c r="F6487" s="7" t="s">
        <v>130</v>
      </c>
      <c r="G6487" s="7">
        <v>100.27930000000001</v>
      </c>
      <c r="H6487" s="7"/>
    </row>
    <row r="6488" spans="1:8" x14ac:dyDescent="0.35">
      <c r="A6488" s="7" t="s">
        <v>368</v>
      </c>
      <c r="B6488" s="7" t="s">
        <v>26</v>
      </c>
      <c r="C6488" s="7" t="s">
        <v>27</v>
      </c>
      <c r="D6488" s="7" t="s">
        <v>28</v>
      </c>
      <c r="E6488" s="7" t="s">
        <v>29</v>
      </c>
      <c r="F6488" s="7" t="s">
        <v>131</v>
      </c>
      <c r="G6488" s="7">
        <v>100.3845</v>
      </c>
      <c r="H6488" s="7"/>
    </row>
    <row r="6489" spans="1:8" x14ac:dyDescent="0.35">
      <c r="A6489" s="7" t="s">
        <v>368</v>
      </c>
      <c r="B6489" s="7" t="s">
        <v>26</v>
      </c>
      <c r="C6489" s="7" t="s">
        <v>27</v>
      </c>
      <c r="D6489" s="7" t="s">
        <v>28</v>
      </c>
      <c r="E6489" s="7" t="s">
        <v>29</v>
      </c>
      <c r="F6489" s="7" t="s">
        <v>132</v>
      </c>
      <c r="G6489" s="7">
        <v>100.49160000000001</v>
      </c>
      <c r="H6489" s="7"/>
    </row>
    <row r="6490" spans="1:8" x14ac:dyDescent="0.35">
      <c r="A6490" s="7" t="s">
        <v>368</v>
      </c>
      <c r="B6490" s="7" t="s">
        <v>26</v>
      </c>
      <c r="C6490" s="7" t="s">
        <v>27</v>
      </c>
      <c r="D6490" s="7" t="s">
        <v>28</v>
      </c>
      <c r="E6490" s="7" t="s">
        <v>29</v>
      </c>
      <c r="F6490" s="7" t="s">
        <v>133</v>
      </c>
      <c r="G6490" s="7">
        <v>100.5838</v>
      </c>
      <c r="H6490" s="7"/>
    </row>
    <row r="6491" spans="1:8" x14ac:dyDescent="0.35">
      <c r="A6491" s="7" t="s">
        <v>368</v>
      </c>
      <c r="B6491" s="7" t="s">
        <v>26</v>
      </c>
      <c r="C6491" s="7" t="s">
        <v>27</v>
      </c>
      <c r="D6491" s="7" t="s">
        <v>28</v>
      </c>
      <c r="E6491" s="7" t="s">
        <v>29</v>
      </c>
      <c r="F6491" s="7" t="s">
        <v>134</v>
      </c>
      <c r="G6491" s="7">
        <v>100.6846</v>
      </c>
      <c r="H6491" s="7"/>
    </row>
    <row r="6492" spans="1:8" x14ac:dyDescent="0.35">
      <c r="A6492" s="7" t="s">
        <v>368</v>
      </c>
      <c r="B6492" s="7" t="s">
        <v>26</v>
      </c>
      <c r="C6492" s="7" t="s">
        <v>27</v>
      </c>
      <c r="D6492" s="7" t="s">
        <v>28</v>
      </c>
      <c r="E6492" s="7" t="s">
        <v>29</v>
      </c>
      <c r="F6492" s="7" t="s">
        <v>135</v>
      </c>
      <c r="G6492" s="7">
        <v>100.8077</v>
      </c>
      <c r="H6492" s="7"/>
    </row>
    <row r="6493" spans="1:8" x14ac:dyDescent="0.35">
      <c r="A6493" s="7" t="s">
        <v>368</v>
      </c>
      <c r="B6493" s="7" t="s">
        <v>26</v>
      </c>
      <c r="C6493" s="7" t="s">
        <v>27</v>
      </c>
      <c r="D6493" s="7" t="s">
        <v>28</v>
      </c>
      <c r="E6493" s="7" t="s">
        <v>29</v>
      </c>
      <c r="F6493" s="7" t="s">
        <v>136</v>
      </c>
      <c r="G6493" s="7">
        <v>100.9397</v>
      </c>
      <c r="H6493" s="7"/>
    </row>
    <row r="6494" spans="1:8" x14ac:dyDescent="0.35">
      <c r="A6494" s="7" t="s">
        <v>368</v>
      </c>
      <c r="B6494" s="7" t="s">
        <v>26</v>
      </c>
      <c r="C6494" s="7" t="s">
        <v>27</v>
      </c>
      <c r="D6494" s="7" t="s">
        <v>28</v>
      </c>
      <c r="E6494" s="7" t="s">
        <v>29</v>
      </c>
      <c r="F6494" s="7" t="s">
        <v>137</v>
      </c>
      <c r="G6494" s="7">
        <v>101.0411</v>
      </c>
      <c r="H6494" s="7"/>
    </row>
    <row r="6495" spans="1:8" x14ac:dyDescent="0.35">
      <c r="A6495" s="7" t="s">
        <v>368</v>
      </c>
      <c r="B6495" s="7" t="s">
        <v>26</v>
      </c>
      <c r="C6495" s="7" t="s">
        <v>27</v>
      </c>
      <c r="D6495" s="7" t="s">
        <v>28</v>
      </c>
      <c r="E6495" s="7" t="s">
        <v>29</v>
      </c>
      <c r="F6495" s="7" t="s">
        <v>138</v>
      </c>
      <c r="G6495" s="7">
        <v>101.1237</v>
      </c>
      <c r="H6495" s="7"/>
    </row>
    <row r="6496" spans="1:8" x14ac:dyDescent="0.35">
      <c r="A6496" s="7" t="s">
        <v>368</v>
      </c>
      <c r="B6496" s="7" t="s">
        <v>26</v>
      </c>
      <c r="C6496" s="7" t="s">
        <v>27</v>
      </c>
      <c r="D6496" s="7" t="s">
        <v>28</v>
      </c>
      <c r="E6496" s="7" t="s">
        <v>29</v>
      </c>
      <c r="F6496" s="7" t="s">
        <v>139</v>
      </c>
      <c r="G6496" s="7">
        <v>101.1902</v>
      </c>
      <c r="H6496" s="7"/>
    </row>
    <row r="6497" spans="1:8" x14ac:dyDescent="0.35">
      <c r="A6497" s="7" t="s">
        <v>368</v>
      </c>
      <c r="B6497" s="7" t="s">
        <v>26</v>
      </c>
      <c r="C6497" s="7" t="s">
        <v>27</v>
      </c>
      <c r="D6497" s="7" t="s">
        <v>28</v>
      </c>
      <c r="E6497" s="7" t="s">
        <v>29</v>
      </c>
      <c r="F6497" s="7" t="s">
        <v>140</v>
      </c>
      <c r="G6497" s="7">
        <v>101.2349</v>
      </c>
      <c r="H6497" s="7"/>
    </row>
    <row r="6498" spans="1:8" x14ac:dyDescent="0.35">
      <c r="A6498" s="7" t="s">
        <v>368</v>
      </c>
      <c r="B6498" s="7" t="s">
        <v>26</v>
      </c>
      <c r="C6498" s="7" t="s">
        <v>27</v>
      </c>
      <c r="D6498" s="7" t="s">
        <v>28</v>
      </c>
      <c r="E6498" s="7" t="s">
        <v>29</v>
      </c>
      <c r="F6498" s="7" t="s">
        <v>141</v>
      </c>
      <c r="G6498" s="7">
        <v>101.2607</v>
      </c>
      <c r="H6498" s="7"/>
    </row>
    <row r="6499" spans="1:8" x14ac:dyDescent="0.35">
      <c r="A6499" s="7" t="s">
        <v>368</v>
      </c>
      <c r="B6499" s="7" t="s">
        <v>26</v>
      </c>
      <c r="C6499" s="7" t="s">
        <v>27</v>
      </c>
      <c r="D6499" s="7" t="s">
        <v>28</v>
      </c>
      <c r="E6499" s="7" t="s">
        <v>29</v>
      </c>
      <c r="F6499" s="7" t="s">
        <v>142</v>
      </c>
      <c r="G6499" s="7">
        <v>101.3181</v>
      </c>
      <c r="H6499" s="7"/>
    </row>
    <row r="6500" spans="1:8" x14ac:dyDescent="0.35">
      <c r="A6500" s="7" t="s">
        <v>368</v>
      </c>
      <c r="B6500" s="7" t="s">
        <v>26</v>
      </c>
      <c r="C6500" s="7" t="s">
        <v>27</v>
      </c>
      <c r="D6500" s="7" t="s">
        <v>28</v>
      </c>
      <c r="E6500" s="7" t="s">
        <v>29</v>
      </c>
      <c r="F6500" s="7" t="s">
        <v>143</v>
      </c>
      <c r="G6500" s="7">
        <v>101.3952</v>
      </c>
      <c r="H6500" s="7"/>
    </row>
    <row r="6501" spans="1:8" x14ac:dyDescent="0.35">
      <c r="A6501" s="7" t="s">
        <v>368</v>
      </c>
      <c r="B6501" s="7" t="s">
        <v>26</v>
      </c>
      <c r="C6501" s="7" t="s">
        <v>27</v>
      </c>
      <c r="D6501" s="7" t="s">
        <v>28</v>
      </c>
      <c r="E6501" s="7" t="s">
        <v>29</v>
      </c>
      <c r="F6501" s="7" t="s">
        <v>144</v>
      </c>
      <c r="G6501" s="7">
        <v>101.44459999999999</v>
      </c>
      <c r="H6501" s="7"/>
    </row>
    <row r="6502" spans="1:8" x14ac:dyDescent="0.35">
      <c r="A6502" s="7" t="s">
        <v>368</v>
      </c>
      <c r="B6502" s="7" t="s">
        <v>26</v>
      </c>
      <c r="C6502" s="7" t="s">
        <v>27</v>
      </c>
      <c r="D6502" s="7" t="s">
        <v>28</v>
      </c>
      <c r="E6502" s="7" t="s">
        <v>29</v>
      </c>
      <c r="F6502" s="7" t="s">
        <v>145</v>
      </c>
      <c r="G6502" s="7">
        <v>101.5138</v>
      </c>
      <c r="H6502" s="7"/>
    </row>
    <row r="6503" spans="1:8" x14ac:dyDescent="0.35">
      <c r="A6503" s="7" t="s">
        <v>368</v>
      </c>
      <c r="B6503" s="7" t="s">
        <v>26</v>
      </c>
      <c r="C6503" s="7" t="s">
        <v>27</v>
      </c>
      <c r="D6503" s="7" t="s">
        <v>28</v>
      </c>
      <c r="E6503" s="7" t="s">
        <v>29</v>
      </c>
      <c r="F6503" s="7" t="s">
        <v>146</v>
      </c>
      <c r="G6503" s="7">
        <v>101.5714</v>
      </c>
      <c r="H6503" s="7"/>
    </row>
    <row r="6504" spans="1:8" x14ac:dyDescent="0.35">
      <c r="A6504" s="7" t="s">
        <v>368</v>
      </c>
      <c r="B6504" s="7" t="s">
        <v>26</v>
      </c>
      <c r="C6504" s="7" t="s">
        <v>27</v>
      </c>
      <c r="D6504" s="7" t="s">
        <v>28</v>
      </c>
      <c r="E6504" s="7" t="s">
        <v>29</v>
      </c>
      <c r="F6504" s="7" t="s">
        <v>147</v>
      </c>
      <c r="G6504" s="7">
        <v>101.521</v>
      </c>
      <c r="H6504" s="7"/>
    </row>
    <row r="6505" spans="1:8" x14ac:dyDescent="0.35">
      <c r="A6505" s="7" t="s">
        <v>368</v>
      </c>
      <c r="B6505" s="7" t="s">
        <v>26</v>
      </c>
      <c r="C6505" s="7" t="s">
        <v>27</v>
      </c>
      <c r="D6505" s="7" t="s">
        <v>28</v>
      </c>
      <c r="E6505" s="7" t="s">
        <v>29</v>
      </c>
      <c r="F6505" s="7" t="s">
        <v>148</v>
      </c>
      <c r="G6505" s="7">
        <v>101.4349</v>
      </c>
      <c r="H6505" s="7"/>
    </row>
    <row r="6506" spans="1:8" x14ac:dyDescent="0.35">
      <c r="A6506" s="7" t="s">
        <v>368</v>
      </c>
      <c r="B6506" s="7" t="s">
        <v>26</v>
      </c>
      <c r="C6506" s="7" t="s">
        <v>27</v>
      </c>
      <c r="D6506" s="7" t="s">
        <v>28</v>
      </c>
      <c r="E6506" s="7" t="s">
        <v>29</v>
      </c>
      <c r="F6506" s="7" t="s">
        <v>149</v>
      </c>
      <c r="G6506" s="7">
        <v>101.355</v>
      </c>
      <c r="H6506" s="7"/>
    </row>
    <row r="6507" spans="1:8" x14ac:dyDescent="0.35">
      <c r="A6507" s="7" t="s">
        <v>368</v>
      </c>
      <c r="B6507" s="7" t="s">
        <v>26</v>
      </c>
      <c r="C6507" s="7" t="s">
        <v>27</v>
      </c>
      <c r="D6507" s="7" t="s">
        <v>28</v>
      </c>
      <c r="E6507" s="7" t="s">
        <v>29</v>
      </c>
      <c r="F6507" s="7" t="s">
        <v>150</v>
      </c>
      <c r="G6507" s="7">
        <v>101.2957</v>
      </c>
      <c r="H6507" s="7"/>
    </row>
    <row r="6508" spans="1:8" x14ac:dyDescent="0.35">
      <c r="A6508" s="7" t="s">
        <v>368</v>
      </c>
      <c r="B6508" s="7" t="s">
        <v>26</v>
      </c>
      <c r="C6508" s="7" t="s">
        <v>27</v>
      </c>
      <c r="D6508" s="7" t="s">
        <v>28</v>
      </c>
      <c r="E6508" s="7" t="s">
        <v>29</v>
      </c>
      <c r="F6508" s="7" t="s">
        <v>151</v>
      </c>
      <c r="G6508" s="7">
        <v>101.2813</v>
      </c>
      <c r="H6508" s="7"/>
    </row>
    <row r="6509" spans="1:8" x14ac:dyDescent="0.35">
      <c r="A6509" s="7" t="s">
        <v>368</v>
      </c>
      <c r="B6509" s="7" t="s">
        <v>26</v>
      </c>
      <c r="C6509" s="7" t="s">
        <v>27</v>
      </c>
      <c r="D6509" s="7" t="s">
        <v>28</v>
      </c>
      <c r="E6509" s="7" t="s">
        <v>29</v>
      </c>
      <c r="F6509" s="7" t="s">
        <v>152</v>
      </c>
      <c r="G6509" s="7">
        <v>101.2813</v>
      </c>
      <c r="H6509" s="7"/>
    </row>
    <row r="6510" spans="1:8" x14ac:dyDescent="0.35">
      <c r="A6510" s="7" t="s">
        <v>368</v>
      </c>
      <c r="B6510" s="7" t="s">
        <v>26</v>
      </c>
      <c r="C6510" s="7" t="s">
        <v>27</v>
      </c>
      <c r="D6510" s="7" t="s">
        <v>28</v>
      </c>
      <c r="E6510" s="7" t="s">
        <v>29</v>
      </c>
      <c r="F6510" s="7" t="s">
        <v>153</v>
      </c>
      <c r="G6510" s="7">
        <v>101.30759999999999</v>
      </c>
      <c r="H6510" s="7"/>
    </row>
    <row r="6511" spans="1:8" x14ac:dyDescent="0.35">
      <c r="A6511" s="7" t="s">
        <v>368</v>
      </c>
      <c r="B6511" s="7" t="s">
        <v>26</v>
      </c>
      <c r="C6511" s="7" t="s">
        <v>27</v>
      </c>
      <c r="D6511" s="7" t="s">
        <v>28</v>
      </c>
      <c r="E6511" s="7" t="s">
        <v>29</v>
      </c>
      <c r="F6511" s="7" t="s">
        <v>154</v>
      </c>
      <c r="G6511" s="7">
        <v>101.33110000000001</v>
      </c>
      <c r="H6511" s="7"/>
    </row>
    <row r="6512" spans="1:8" x14ac:dyDescent="0.35">
      <c r="A6512" s="7" t="s">
        <v>368</v>
      </c>
      <c r="B6512" s="7" t="s">
        <v>26</v>
      </c>
      <c r="C6512" s="7" t="s">
        <v>27</v>
      </c>
      <c r="D6512" s="7" t="s">
        <v>28</v>
      </c>
      <c r="E6512" s="7" t="s">
        <v>29</v>
      </c>
      <c r="F6512" s="7" t="s">
        <v>155</v>
      </c>
      <c r="G6512" s="7">
        <v>101.339</v>
      </c>
      <c r="H6512" s="7"/>
    </row>
    <row r="6513" spans="1:8" x14ac:dyDescent="0.35">
      <c r="A6513" s="7" t="s">
        <v>368</v>
      </c>
      <c r="B6513" s="7" t="s">
        <v>26</v>
      </c>
      <c r="C6513" s="7" t="s">
        <v>27</v>
      </c>
      <c r="D6513" s="7" t="s">
        <v>28</v>
      </c>
      <c r="E6513" s="7" t="s">
        <v>29</v>
      </c>
      <c r="F6513" s="7" t="s">
        <v>156</v>
      </c>
      <c r="G6513" s="7">
        <v>101.3528</v>
      </c>
      <c r="H6513" s="7"/>
    </row>
    <row r="6514" spans="1:8" x14ac:dyDescent="0.35">
      <c r="A6514" s="7" t="s">
        <v>368</v>
      </c>
      <c r="B6514" s="7" t="s">
        <v>26</v>
      </c>
      <c r="C6514" s="7" t="s">
        <v>27</v>
      </c>
      <c r="D6514" s="7" t="s">
        <v>28</v>
      </c>
      <c r="E6514" s="7" t="s">
        <v>29</v>
      </c>
      <c r="F6514" s="7" t="s">
        <v>157</v>
      </c>
      <c r="G6514" s="7">
        <v>101.3789</v>
      </c>
      <c r="H6514" s="7"/>
    </row>
    <row r="6515" spans="1:8" x14ac:dyDescent="0.35">
      <c r="A6515" s="7" t="s">
        <v>368</v>
      </c>
      <c r="B6515" s="7" t="s">
        <v>26</v>
      </c>
      <c r="C6515" s="7" t="s">
        <v>27</v>
      </c>
      <c r="D6515" s="7" t="s">
        <v>28</v>
      </c>
      <c r="E6515" s="7" t="s">
        <v>29</v>
      </c>
      <c r="F6515" s="7" t="s">
        <v>158</v>
      </c>
      <c r="G6515" s="7">
        <v>101.39449999999999</v>
      </c>
      <c r="H6515" s="7"/>
    </row>
    <row r="6516" spans="1:8" x14ac:dyDescent="0.35">
      <c r="A6516" s="7" t="s">
        <v>368</v>
      </c>
      <c r="B6516" s="7" t="s">
        <v>26</v>
      </c>
      <c r="C6516" s="7" t="s">
        <v>27</v>
      </c>
      <c r="D6516" s="7" t="s">
        <v>28</v>
      </c>
      <c r="E6516" s="7" t="s">
        <v>29</v>
      </c>
      <c r="F6516" s="7" t="s">
        <v>159</v>
      </c>
      <c r="G6516" s="7">
        <v>101.4053</v>
      </c>
      <c r="H6516" s="7"/>
    </row>
    <row r="6517" spans="1:8" x14ac:dyDescent="0.35">
      <c r="A6517" s="7" t="s">
        <v>368</v>
      </c>
      <c r="B6517" s="7" t="s">
        <v>26</v>
      </c>
      <c r="C6517" s="7" t="s">
        <v>27</v>
      </c>
      <c r="D6517" s="7" t="s">
        <v>28</v>
      </c>
      <c r="E6517" s="7" t="s">
        <v>29</v>
      </c>
      <c r="F6517" s="7" t="s">
        <v>160</v>
      </c>
      <c r="G6517" s="7">
        <v>101.42959999999999</v>
      </c>
      <c r="H6517" s="7"/>
    </row>
    <row r="6518" spans="1:8" x14ac:dyDescent="0.35">
      <c r="A6518" s="7" t="s">
        <v>368</v>
      </c>
      <c r="B6518" s="7" t="s">
        <v>26</v>
      </c>
      <c r="C6518" s="7" t="s">
        <v>27</v>
      </c>
      <c r="D6518" s="7" t="s">
        <v>28</v>
      </c>
      <c r="E6518" s="7" t="s">
        <v>29</v>
      </c>
      <c r="F6518" s="7" t="s">
        <v>161</v>
      </c>
      <c r="G6518" s="7">
        <v>101.4871</v>
      </c>
      <c r="H6518" s="7"/>
    </row>
    <row r="6519" spans="1:8" x14ac:dyDescent="0.35">
      <c r="A6519" s="7" t="s">
        <v>368</v>
      </c>
      <c r="B6519" s="7" t="s">
        <v>26</v>
      </c>
      <c r="C6519" s="7" t="s">
        <v>27</v>
      </c>
      <c r="D6519" s="7" t="s">
        <v>28</v>
      </c>
      <c r="E6519" s="7" t="s">
        <v>29</v>
      </c>
      <c r="F6519" s="7" t="s">
        <v>162</v>
      </c>
      <c r="G6519" s="7">
        <v>101.57550000000001</v>
      </c>
      <c r="H6519" s="7"/>
    </row>
    <row r="6520" spans="1:8" x14ac:dyDescent="0.35">
      <c r="A6520" s="7" t="s">
        <v>368</v>
      </c>
      <c r="B6520" s="7" t="s">
        <v>26</v>
      </c>
      <c r="C6520" s="7" t="s">
        <v>27</v>
      </c>
      <c r="D6520" s="7" t="s">
        <v>28</v>
      </c>
      <c r="E6520" s="7" t="s">
        <v>29</v>
      </c>
      <c r="F6520" s="7" t="s">
        <v>163</v>
      </c>
      <c r="G6520" s="7">
        <v>101.6541</v>
      </c>
      <c r="H6520" s="7"/>
    </row>
    <row r="6521" spans="1:8" x14ac:dyDescent="0.35">
      <c r="A6521" s="7" t="s">
        <v>368</v>
      </c>
      <c r="B6521" s="7" t="s">
        <v>26</v>
      </c>
      <c r="C6521" s="7" t="s">
        <v>27</v>
      </c>
      <c r="D6521" s="7" t="s">
        <v>28</v>
      </c>
      <c r="E6521" s="7" t="s">
        <v>29</v>
      </c>
      <c r="F6521" s="7" t="s">
        <v>164</v>
      </c>
      <c r="G6521" s="7">
        <v>101.6384</v>
      </c>
      <c r="H6521" s="7"/>
    </row>
    <row r="6522" spans="1:8" x14ac:dyDescent="0.35">
      <c r="A6522" s="7" t="s">
        <v>368</v>
      </c>
      <c r="B6522" s="7" t="s">
        <v>26</v>
      </c>
      <c r="C6522" s="7" t="s">
        <v>27</v>
      </c>
      <c r="D6522" s="7" t="s">
        <v>28</v>
      </c>
      <c r="E6522" s="7" t="s">
        <v>29</v>
      </c>
      <c r="F6522" s="7" t="s">
        <v>165</v>
      </c>
      <c r="G6522" s="7">
        <v>101.2807</v>
      </c>
      <c r="H6522" s="7"/>
    </row>
    <row r="6523" spans="1:8" x14ac:dyDescent="0.35">
      <c r="A6523" s="7" t="s">
        <v>368</v>
      </c>
      <c r="B6523" s="7" t="s">
        <v>26</v>
      </c>
      <c r="C6523" s="7" t="s">
        <v>27</v>
      </c>
      <c r="D6523" s="7" t="s">
        <v>28</v>
      </c>
      <c r="E6523" s="7" t="s">
        <v>29</v>
      </c>
      <c r="F6523" s="7" t="s">
        <v>166</v>
      </c>
      <c r="G6523" s="7">
        <v>100.2684</v>
      </c>
      <c r="H6523" s="7"/>
    </row>
    <row r="6524" spans="1:8" x14ac:dyDescent="0.35">
      <c r="A6524" s="7" t="s">
        <v>368</v>
      </c>
      <c r="B6524" s="7" t="s">
        <v>26</v>
      </c>
      <c r="C6524" s="7" t="s">
        <v>27</v>
      </c>
      <c r="D6524" s="7" t="s">
        <v>28</v>
      </c>
      <c r="E6524" s="7" t="s">
        <v>29</v>
      </c>
      <c r="F6524" s="7" t="s">
        <v>167</v>
      </c>
      <c r="G6524" s="7">
        <v>98.623890000000003</v>
      </c>
      <c r="H6524" s="7"/>
    </row>
    <row r="6525" spans="1:8" x14ac:dyDescent="0.35">
      <c r="A6525" s="7" t="s">
        <v>368</v>
      </c>
      <c r="B6525" s="7" t="s">
        <v>26</v>
      </c>
      <c r="C6525" s="7" t="s">
        <v>27</v>
      </c>
      <c r="D6525" s="7" t="s">
        <v>28</v>
      </c>
      <c r="E6525" s="7" t="s">
        <v>29</v>
      </c>
      <c r="F6525" s="7" t="s">
        <v>168</v>
      </c>
      <c r="G6525" s="7">
        <v>97.633009999999999</v>
      </c>
      <c r="H6525" s="7"/>
    </row>
    <row r="6526" spans="1:8" x14ac:dyDescent="0.35">
      <c r="A6526" s="7" t="s">
        <v>368</v>
      </c>
      <c r="B6526" s="7" t="s">
        <v>26</v>
      </c>
      <c r="C6526" s="7" t="s">
        <v>27</v>
      </c>
      <c r="D6526" s="7" t="s">
        <v>28</v>
      </c>
      <c r="E6526" s="7" t="s">
        <v>29</v>
      </c>
      <c r="F6526" s="7" t="s">
        <v>169</v>
      </c>
      <c r="G6526" s="7">
        <v>97.78201</v>
      </c>
      <c r="H6526" s="7"/>
    </row>
    <row r="6527" spans="1:8" x14ac:dyDescent="0.35">
      <c r="A6527" s="7" t="s">
        <v>368</v>
      </c>
      <c r="B6527" s="7" t="s">
        <v>26</v>
      </c>
      <c r="C6527" s="7" t="s">
        <v>27</v>
      </c>
      <c r="D6527" s="7" t="s">
        <v>28</v>
      </c>
      <c r="E6527" s="7" t="s">
        <v>29</v>
      </c>
      <c r="F6527" s="7" t="s">
        <v>170</v>
      </c>
      <c r="G6527" s="7">
        <v>98.498369999999994</v>
      </c>
      <c r="H6527" s="7"/>
    </row>
    <row r="6528" spans="1:8" x14ac:dyDescent="0.35">
      <c r="A6528" s="7" t="s">
        <v>368</v>
      </c>
      <c r="B6528" s="7" t="s">
        <v>26</v>
      </c>
      <c r="C6528" s="7" t="s">
        <v>27</v>
      </c>
      <c r="D6528" s="7" t="s">
        <v>28</v>
      </c>
      <c r="E6528" s="7" t="s">
        <v>29</v>
      </c>
      <c r="F6528" s="7" t="s">
        <v>171</v>
      </c>
      <c r="G6528" s="7">
        <v>99.210049999999995</v>
      </c>
      <c r="H6528" s="7"/>
    </row>
    <row r="6529" spans="1:8" x14ac:dyDescent="0.35">
      <c r="A6529" s="7" t="s">
        <v>368</v>
      </c>
      <c r="B6529" s="7" t="s">
        <v>26</v>
      </c>
      <c r="C6529" s="7" t="s">
        <v>27</v>
      </c>
      <c r="D6529" s="7" t="s">
        <v>28</v>
      </c>
      <c r="E6529" s="7" t="s">
        <v>29</v>
      </c>
      <c r="F6529" s="7" t="s">
        <v>172</v>
      </c>
      <c r="G6529" s="7">
        <v>99.712389999999999</v>
      </c>
      <c r="H6529" s="7"/>
    </row>
    <row r="6530" spans="1:8" x14ac:dyDescent="0.35">
      <c r="A6530" s="7" t="s">
        <v>368</v>
      </c>
      <c r="B6530" s="7" t="s">
        <v>26</v>
      </c>
      <c r="C6530" s="7" t="s">
        <v>27</v>
      </c>
      <c r="D6530" s="7" t="s">
        <v>28</v>
      </c>
      <c r="E6530" s="7" t="s">
        <v>29</v>
      </c>
      <c r="F6530" s="7" t="s">
        <v>173</v>
      </c>
      <c r="G6530" s="7">
        <v>100.0813</v>
      </c>
      <c r="H6530" s="7"/>
    </row>
    <row r="6531" spans="1:8" x14ac:dyDescent="0.35">
      <c r="A6531" s="7" t="s">
        <v>368</v>
      </c>
      <c r="B6531" s="7" t="s">
        <v>26</v>
      </c>
      <c r="C6531" s="7" t="s">
        <v>27</v>
      </c>
      <c r="D6531" s="7" t="s">
        <v>28</v>
      </c>
      <c r="E6531" s="7" t="s">
        <v>29</v>
      </c>
      <c r="F6531" s="7" t="s">
        <v>174</v>
      </c>
      <c r="G6531" s="7">
        <v>100.33759999999999</v>
      </c>
      <c r="H6531" s="7"/>
    </row>
    <row r="6532" spans="1:8" x14ac:dyDescent="0.35">
      <c r="A6532" s="7" t="s">
        <v>368</v>
      </c>
      <c r="B6532" s="7" t="s">
        <v>26</v>
      </c>
      <c r="C6532" s="7" t="s">
        <v>27</v>
      </c>
      <c r="D6532" s="7" t="s">
        <v>28</v>
      </c>
      <c r="E6532" s="7" t="s">
        <v>29</v>
      </c>
      <c r="F6532" s="7" t="s">
        <v>175</v>
      </c>
      <c r="G6532" s="7">
        <v>100.5364</v>
      </c>
      <c r="H6532" s="7"/>
    </row>
    <row r="6533" spans="1:8" x14ac:dyDescent="0.35">
      <c r="A6533" s="7" t="s">
        <v>368</v>
      </c>
      <c r="B6533" s="7" t="s">
        <v>26</v>
      </c>
      <c r="C6533" s="7" t="s">
        <v>27</v>
      </c>
      <c r="D6533" s="7" t="s">
        <v>28</v>
      </c>
      <c r="E6533" s="7" t="s">
        <v>29</v>
      </c>
      <c r="F6533" s="7" t="s">
        <v>176</v>
      </c>
      <c r="G6533" s="7">
        <v>100.6358</v>
      </c>
      <c r="H6533" s="7"/>
    </row>
    <row r="6534" spans="1:8" x14ac:dyDescent="0.35">
      <c r="A6534" s="7" t="s">
        <v>368</v>
      </c>
      <c r="B6534" s="7" t="s">
        <v>26</v>
      </c>
      <c r="C6534" s="7" t="s">
        <v>27</v>
      </c>
      <c r="D6534" s="7" t="s">
        <v>28</v>
      </c>
      <c r="E6534" s="7" t="s">
        <v>29</v>
      </c>
      <c r="F6534" s="7" t="s">
        <v>177</v>
      </c>
      <c r="G6534" s="7">
        <v>100.6313</v>
      </c>
      <c r="H6534" s="7"/>
    </row>
    <row r="6535" spans="1:8" x14ac:dyDescent="0.35">
      <c r="A6535" s="7" t="s">
        <v>368</v>
      </c>
      <c r="B6535" s="7" t="s">
        <v>26</v>
      </c>
      <c r="C6535" s="7" t="s">
        <v>27</v>
      </c>
      <c r="D6535" s="7" t="s">
        <v>28</v>
      </c>
      <c r="E6535" s="7" t="s">
        <v>29</v>
      </c>
      <c r="F6535" s="7" t="s">
        <v>178</v>
      </c>
      <c r="G6535" s="7">
        <v>100.49809999999999</v>
      </c>
      <c r="H6535" s="7"/>
    </row>
    <row r="6536" spans="1:8" x14ac:dyDescent="0.35">
      <c r="A6536" s="7" t="s">
        <v>368</v>
      </c>
      <c r="B6536" s="7" t="s">
        <v>26</v>
      </c>
      <c r="C6536" s="7" t="s">
        <v>27</v>
      </c>
      <c r="D6536" s="7" t="s">
        <v>28</v>
      </c>
      <c r="E6536" s="7" t="s">
        <v>29</v>
      </c>
      <c r="F6536" s="7" t="s">
        <v>179</v>
      </c>
      <c r="G6536" s="7">
        <v>100.11239999999999</v>
      </c>
      <c r="H6536" s="7"/>
    </row>
    <row r="6537" spans="1:8" x14ac:dyDescent="0.35">
      <c r="A6537" s="7" t="s">
        <v>368</v>
      </c>
      <c r="B6537" s="7" t="s">
        <v>26</v>
      </c>
      <c r="C6537" s="7" t="s">
        <v>27</v>
      </c>
      <c r="D6537" s="7" t="s">
        <v>28</v>
      </c>
      <c r="E6537" s="7" t="s">
        <v>29</v>
      </c>
      <c r="F6537" s="7" t="s">
        <v>180</v>
      </c>
      <c r="G6537" s="7">
        <v>99.467640000000003</v>
      </c>
      <c r="H6537" s="7"/>
    </row>
    <row r="6538" spans="1:8" x14ac:dyDescent="0.35">
      <c r="A6538" s="7" t="s">
        <v>368</v>
      </c>
      <c r="B6538" s="7" t="s">
        <v>26</v>
      </c>
      <c r="C6538" s="7" t="s">
        <v>27</v>
      </c>
      <c r="D6538" s="7" t="s">
        <v>28</v>
      </c>
      <c r="E6538" s="7" t="s">
        <v>29</v>
      </c>
      <c r="F6538" s="7" t="s">
        <v>181</v>
      </c>
      <c r="G6538" s="7">
        <v>98.893749999999997</v>
      </c>
      <c r="H6538" s="7"/>
    </row>
    <row r="6539" spans="1:8" x14ac:dyDescent="0.35">
      <c r="A6539" s="7" t="s">
        <v>368</v>
      </c>
      <c r="B6539" s="7" t="s">
        <v>26</v>
      </c>
      <c r="C6539" s="7" t="s">
        <v>27</v>
      </c>
      <c r="D6539" s="7" t="s">
        <v>28</v>
      </c>
      <c r="E6539" s="7" t="s">
        <v>29</v>
      </c>
      <c r="F6539" s="7" t="s">
        <v>182</v>
      </c>
      <c r="G6539" s="7">
        <v>98.702029999999993</v>
      </c>
      <c r="H6539" s="7"/>
    </row>
    <row r="6540" spans="1:8" x14ac:dyDescent="0.35">
      <c r="A6540" s="7" t="s">
        <v>368</v>
      </c>
      <c r="B6540" s="7" t="s">
        <v>26</v>
      </c>
      <c r="C6540" s="7" t="s">
        <v>27</v>
      </c>
      <c r="D6540" s="7" t="s">
        <v>28</v>
      </c>
      <c r="E6540" s="7" t="s">
        <v>29</v>
      </c>
      <c r="F6540" s="7" t="s">
        <v>183</v>
      </c>
      <c r="G6540" s="7">
        <v>98.717449999999999</v>
      </c>
      <c r="H6540" s="7"/>
    </row>
    <row r="6541" spans="1:8" x14ac:dyDescent="0.35">
      <c r="A6541" s="7" t="s">
        <v>368</v>
      </c>
      <c r="B6541" s="7" t="s">
        <v>26</v>
      </c>
      <c r="C6541" s="7" t="s">
        <v>27</v>
      </c>
      <c r="D6541" s="7" t="s">
        <v>28</v>
      </c>
      <c r="E6541" s="7" t="s">
        <v>29</v>
      </c>
      <c r="F6541" s="7" t="s">
        <v>184</v>
      </c>
      <c r="G6541" s="7">
        <v>98.886960000000002</v>
      </c>
      <c r="H6541" s="7"/>
    </row>
    <row r="6542" spans="1:8" x14ac:dyDescent="0.35">
      <c r="A6542" s="7" t="s">
        <v>368</v>
      </c>
      <c r="B6542" s="7" t="s">
        <v>26</v>
      </c>
      <c r="C6542" s="7" t="s">
        <v>27</v>
      </c>
      <c r="D6542" s="7" t="s">
        <v>28</v>
      </c>
      <c r="E6542" s="7" t="s">
        <v>29</v>
      </c>
      <c r="F6542" s="7" t="s">
        <v>185</v>
      </c>
      <c r="G6542" s="7">
        <v>99.139189999999999</v>
      </c>
      <c r="H6542" s="7"/>
    </row>
    <row r="6543" spans="1:8" x14ac:dyDescent="0.35">
      <c r="A6543" s="7" t="s">
        <v>368</v>
      </c>
      <c r="B6543" s="7" t="s">
        <v>26</v>
      </c>
      <c r="C6543" s="7" t="s">
        <v>27</v>
      </c>
      <c r="D6543" s="7" t="s">
        <v>28</v>
      </c>
      <c r="E6543" s="7" t="s">
        <v>29</v>
      </c>
      <c r="F6543" s="7" t="s">
        <v>186</v>
      </c>
      <c r="G6543" s="7">
        <v>99.423150000000007</v>
      </c>
      <c r="H6543" s="7"/>
    </row>
    <row r="6544" spans="1:8" x14ac:dyDescent="0.35">
      <c r="A6544" s="7" t="s">
        <v>368</v>
      </c>
      <c r="B6544" s="7" t="s">
        <v>26</v>
      </c>
      <c r="C6544" s="7" t="s">
        <v>27</v>
      </c>
      <c r="D6544" s="7" t="s">
        <v>28</v>
      </c>
      <c r="E6544" s="7" t="s">
        <v>29</v>
      </c>
      <c r="F6544" s="7" t="s">
        <v>187</v>
      </c>
      <c r="G6544" s="7">
        <v>99.664349999999999</v>
      </c>
      <c r="H6544" s="7"/>
    </row>
    <row r="6545" spans="1:8" x14ac:dyDescent="0.35">
      <c r="A6545" s="7" t="s">
        <v>368</v>
      </c>
      <c r="B6545" s="7" t="s">
        <v>26</v>
      </c>
      <c r="C6545" s="7" t="s">
        <v>27</v>
      </c>
      <c r="D6545" s="7" t="s">
        <v>28</v>
      </c>
      <c r="E6545" s="7" t="s">
        <v>29</v>
      </c>
      <c r="F6545" s="7" t="s">
        <v>188</v>
      </c>
      <c r="G6545" s="7">
        <v>99.855800000000002</v>
      </c>
      <c r="H6545" s="7"/>
    </row>
    <row r="6546" spans="1:8" x14ac:dyDescent="0.35">
      <c r="A6546" s="7" t="s">
        <v>368</v>
      </c>
      <c r="B6546" s="7" t="s">
        <v>26</v>
      </c>
      <c r="C6546" s="7" t="s">
        <v>27</v>
      </c>
      <c r="D6546" s="7" t="s">
        <v>28</v>
      </c>
      <c r="E6546" s="7" t="s">
        <v>29</v>
      </c>
      <c r="F6546" s="7" t="s">
        <v>189</v>
      </c>
      <c r="G6546" s="7">
        <v>100.02509999999999</v>
      </c>
      <c r="H6546" s="7"/>
    </row>
    <row r="6547" spans="1:8" x14ac:dyDescent="0.35">
      <c r="A6547" s="7" t="s">
        <v>368</v>
      </c>
      <c r="B6547" s="7" t="s">
        <v>26</v>
      </c>
      <c r="C6547" s="7" t="s">
        <v>27</v>
      </c>
      <c r="D6547" s="7" t="s">
        <v>28</v>
      </c>
      <c r="E6547" s="7" t="s">
        <v>29</v>
      </c>
      <c r="F6547" s="7" t="s">
        <v>190</v>
      </c>
      <c r="G6547" s="7">
        <v>100.1681</v>
      </c>
      <c r="H6547" s="7"/>
    </row>
    <row r="6548" spans="1:8" x14ac:dyDescent="0.35">
      <c r="A6548" s="7" t="s">
        <v>368</v>
      </c>
      <c r="B6548" s="7" t="s">
        <v>26</v>
      </c>
      <c r="C6548" s="7" t="s">
        <v>27</v>
      </c>
      <c r="D6548" s="7" t="s">
        <v>28</v>
      </c>
      <c r="E6548" s="7" t="s">
        <v>29</v>
      </c>
      <c r="F6548" s="7" t="s">
        <v>191</v>
      </c>
      <c r="G6548" s="7">
        <v>100.24590000000001</v>
      </c>
      <c r="H6548" s="7"/>
    </row>
    <row r="6549" spans="1:8" x14ac:dyDescent="0.35">
      <c r="A6549" s="7" t="s">
        <v>368</v>
      </c>
      <c r="B6549" s="7" t="s">
        <v>26</v>
      </c>
      <c r="C6549" s="7" t="s">
        <v>27</v>
      </c>
      <c r="D6549" s="7" t="s">
        <v>28</v>
      </c>
      <c r="E6549" s="7" t="s">
        <v>29</v>
      </c>
      <c r="F6549" s="7" t="s">
        <v>192</v>
      </c>
      <c r="G6549" s="7">
        <v>100.25060000000001</v>
      </c>
      <c r="H6549" s="7"/>
    </row>
    <row r="6550" spans="1:8" x14ac:dyDescent="0.35">
      <c r="A6550" s="7" t="s">
        <v>368</v>
      </c>
      <c r="B6550" s="7" t="s">
        <v>26</v>
      </c>
      <c r="C6550" s="7" t="s">
        <v>27</v>
      </c>
      <c r="D6550" s="7" t="s">
        <v>28</v>
      </c>
      <c r="E6550" s="7" t="s">
        <v>29</v>
      </c>
      <c r="F6550" s="7" t="s">
        <v>193</v>
      </c>
      <c r="G6550" s="7">
        <v>100.2525</v>
      </c>
      <c r="H6550" s="7"/>
    </row>
    <row r="6551" spans="1:8" x14ac:dyDescent="0.35">
      <c r="A6551" s="7" t="s">
        <v>368</v>
      </c>
      <c r="B6551" s="7" t="s">
        <v>26</v>
      </c>
      <c r="C6551" s="7" t="s">
        <v>27</v>
      </c>
      <c r="D6551" s="7" t="s">
        <v>28</v>
      </c>
      <c r="E6551" s="7" t="s">
        <v>29</v>
      </c>
      <c r="F6551" s="7" t="s">
        <v>194</v>
      </c>
      <c r="G6551" s="7">
        <v>100.2281</v>
      </c>
      <c r="H6551" s="7"/>
    </row>
    <row r="6552" spans="1:8" x14ac:dyDescent="0.35">
      <c r="A6552" s="7" t="s">
        <v>368</v>
      </c>
      <c r="B6552" s="7" t="s">
        <v>26</v>
      </c>
      <c r="C6552" s="7" t="s">
        <v>27</v>
      </c>
      <c r="D6552" s="7" t="s">
        <v>28</v>
      </c>
      <c r="E6552" s="7" t="s">
        <v>29</v>
      </c>
      <c r="F6552" s="7" t="s">
        <v>195</v>
      </c>
      <c r="G6552" s="7">
        <v>100.1841</v>
      </c>
      <c r="H6552" s="7"/>
    </row>
    <row r="6553" spans="1:8" x14ac:dyDescent="0.35">
      <c r="A6553" s="7" t="s">
        <v>368</v>
      </c>
      <c r="B6553" s="7" t="s">
        <v>26</v>
      </c>
      <c r="C6553" s="7" t="s">
        <v>27</v>
      </c>
      <c r="D6553" s="7" t="s">
        <v>28</v>
      </c>
      <c r="E6553" s="7" t="s">
        <v>29</v>
      </c>
      <c r="F6553" s="7" t="s">
        <v>196</v>
      </c>
      <c r="G6553" s="7">
        <v>100.0977</v>
      </c>
      <c r="H6553" s="7"/>
    </row>
    <row r="6554" spans="1:8" x14ac:dyDescent="0.35">
      <c r="A6554" s="7" t="s">
        <v>368</v>
      </c>
      <c r="B6554" s="7" t="s">
        <v>26</v>
      </c>
      <c r="C6554" s="7" t="s">
        <v>27</v>
      </c>
      <c r="D6554" s="7" t="s">
        <v>28</v>
      </c>
      <c r="E6554" s="7" t="s">
        <v>29</v>
      </c>
      <c r="F6554" s="7" t="s">
        <v>197</v>
      </c>
      <c r="G6554" s="7">
        <v>100.0026</v>
      </c>
      <c r="H6554" s="7"/>
    </row>
    <row r="6555" spans="1:8" x14ac:dyDescent="0.35">
      <c r="A6555" s="7" t="s">
        <v>368</v>
      </c>
      <c r="B6555" s="7" t="s">
        <v>26</v>
      </c>
      <c r="C6555" s="7" t="s">
        <v>27</v>
      </c>
      <c r="D6555" s="7" t="s">
        <v>28</v>
      </c>
      <c r="E6555" s="7" t="s">
        <v>29</v>
      </c>
      <c r="F6555" s="7" t="s">
        <v>198</v>
      </c>
      <c r="G6555" s="7">
        <v>99.991950000000003</v>
      </c>
      <c r="H6555" s="7"/>
    </row>
    <row r="6556" spans="1:8" x14ac:dyDescent="0.35">
      <c r="A6556" s="7" t="s">
        <v>368</v>
      </c>
      <c r="B6556" s="7" t="s">
        <v>26</v>
      </c>
      <c r="C6556" s="7" t="s">
        <v>27</v>
      </c>
      <c r="D6556" s="7" t="s">
        <v>28</v>
      </c>
      <c r="E6556" s="7" t="s">
        <v>29</v>
      </c>
      <c r="F6556" s="7" t="s">
        <v>199</v>
      </c>
      <c r="G6556" s="7">
        <v>100.0637</v>
      </c>
      <c r="H6556" s="7"/>
    </row>
    <row r="6557" spans="1:8" x14ac:dyDescent="0.35">
      <c r="A6557" s="7" t="s">
        <v>368</v>
      </c>
      <c r="B6557" s="7" t="s">
        <v>26</v>
      </c>
      <c r="C6557" s="7" t="s">
        <v>27</v>
      </c>
      <c r="D6557" s="7" t="s">
        <v>28</v>
      </c>
      <c r="E6557" s="7" t="s">
        <v>29</v>
      </c>
      <c r="F6557" s="7" t="s">
        <v>200</v>
      </c>
      <c r="G6557" s="7">
        <v>100.0894</v>
      </c>
      <c r="H6557" s="7"/>
    </row>
    <row r="6558" spans="1:8" x14ac:dyDescent="0.35">
      <c r="A6558" s="7" t="s">
        <v>368</v>
      </c>
      <c r="B6558" s="7" t="s">
        <v>26</v>
      </c>
      <c r="C6558" s="7" t="s">
        <v>27</v>
      </c>
      <c r="D6558" s="7" t="s">
        <v>28</v>
      </c>
      <c r="E6558" s="7" t="s">
        <v>29</v>
      </c>
      <c r="F6558" s="7" t="s">
        <v>201</v>
      </c>
      <c r="G6558" s="7">
        <v>100.0341</v>
      </c>
      <c r="H6558" s="7"/>
    </row>
    <row r="6559" spans="1:8" x14ac:dyDescent="0.35">
      <c r="A6559" s="7" t="s">
        <v>368</v>
      </c>
      <c r="B6559" s="7" t="s">
        <v>26</v>
      </c>
      <c r="C6559" s="7" t="s">
        <v>27</v>
      </c>
      <c r="D6559" s="7" t="s">
        <v>28</v>
      </c>
      <c r="E6559" s="7" t="s">
        <v>29</v>
      </c>
      <c r="F6559" s="7" t="s">
        <v>202</v>
      </c>
      <c r="G6559" s="7">
        <v>100.0142</v>
      </c>
      <c r="H6559" s="7"/>
    </row>
    <row r="6560" spans="1:8" x14ac:dyDescent="0.35">
      <c r="A6560" s="7" t="s">
        <v>368</v>
      </c>
      <c r="B6560" s="7" t="s">
        <v>26</v>
      </c>
      <c r="C6560" s="7" t="s">
        <v>27</v>
      </c>
      <c r="D6560" s="7" t="s">
        <v>28</v>
      </c>
      <c r="E6560" s="7" t="s">
        <v>29</v>
      </c>
      <c r="F6560" s="7" t="s">
        <v>203</v>
      </c>
      <c r="G6560" s="7">
        <v>99.977230000000006</v>
      </c>
      <c r="H6560" s="7"/>
    </row>
    <row r="6561" spans="1:8" x14ac:dyDescent="0.35">
      <c r="A6561" s="7" t="s">
        <v>368</v>
      </c>
      <c r="B6561" s="7" t="s">
        <v>26</v>
      </c>
      <c r="C6561" s="7" t="s">
        <v>27</v>
      </c>
      <c r="D6561" s="7" t="s">
        <v>28</v>
      </c>
      <c r="E6561" s="7" t="s">
        <v>29</v>
      </c>
      <c r="F6561" s="7" t="s">
        <v>204</v>
      </c>
      <c r="G6561" s="7">
        <v>99.972480000000004</v>
      </c>
      <c r="H6561" s="7"/>
    </row>
    <row r="6562" spans="1:8" x14ac:dyDescent="0.35">
      <c r="A6562" s="7" t="s">
        <v>368</v>
      </c>
      <c r="B6562" s="7" t="s">
        <v>26</v>
      </c>
      <c r="C6562" s="7" t="s">
        <v>27</v>
      </c>
      <c r="D6562" s="7" t="s">
        <v>28</v>
      </c>
      <c r="E6562" s="7" t="s">
        <v>29</v>
      </c>
      <c r="F6562" s="7" t="s">
        <v>205</v>
      </c>
      <c r="G6562" s="7">
        <v>100.02079999999999</v>
      </c>
      <c r="H6562" s="7"/>
    </row>
    <row r="6563" spans="1:8" x14ac:dyDescent="0.35">
      <c r="A6563" s="7" t="s">
        <v>368</v>
      </c>
      <c r="B6563" s="7" t="s">
        <v>26</v>
      </c>
      <c r="C6563" s="7" t="s">
        <v>27</v>
      </c>
      <c r="D6563" s="7" t="s">
        <v>28</v>
      </c>
      <c r="E6563" s="7" t="s">
        <v>29</v>
      </c>
      <c r="F6563" s="7" t="s">
        <v>206</v>
      </c>
      <c r="G6563" s="7">
        <v>100.1193</v>
      </c>
      <c r="H6563" s="7"/>
    </row>
    <row r="6564" spans="1:8" x14ac:dyDescent="0.35">
      <c r="A6564" s="7" t="s">
        <v>368</v>
      </c>
      <c r="B6564" s="7" t="s">
        <v>26</v>
      </c>
      <c r="C6564" s="7" t="s">
        <v>27</v>
      </c>
      <c r="D6564" s="7" t="s">
        <v>28</v>
      </c>
      <c r="E6564" s="7" t="s">
        <v>29</v>
      </c>
      <c r="F6564" s="7" t="s">
        <v>207</v>
      </c>
      <c r="G6564" s="7">
        <v>100.31870000000001</v>
      </c>
      <c r="H6564" s="7"/>
    </row>
    <row r="6565" spans="1:8" x14ac:dyDescent="0.35">
      <c r="A6565" s="7" t="s">
        <v>368</v>
      </c>
      <c r="B6565" s="7" t="s">
        <v>26</v>
      </c>
      <c r="C6565" s="7" t="s">
        <v>27</v>
      </c>
      <c r="D6565" s="7" t="s">
        <v>28</v>
      </c>
      <c r="E6565" s="7" t="s">
        <v>29</v>
      </c>
      <c r="F6565" s="7" t="s">
        <v>208</v>
      </c>
      <c r="G6565" s="7">
        <v>100.5822</v>
      </c>
      <c r="H6565" s="7"/>
    </row>
    <row r="6566" spans="1:8" x14ac:dyDescent="0.35">
      <c r="A6566" s="7" t="s">
        <v>368</v>
      </c>
      <c r="B6566" s="7" t="s">
        <v>26</v>
      </c>
      <c r="C6566" s="7" t="s">
        <v>27</v>
      </c>
      <c r="D6566" s="7" t="s">
        <v>28</v>
      </c>
      <c r="E6566" s="7" t="s">
        <v>29</v>
      </c>
      <c r="F6566" s="7" t="s">
        <v>209</v>
      </c>
      <c r="G6566" s="7">
        <v>100.7784</v>
      </c>
      <c r="H6566" s="7"/>
    </row>
    <row r="6567" spans="1:8" x14ac:dyDescent="0.35">
      <c r="A6567" s="7" t="s">
        <v>368</v>
      </c>
      <c r="B6567" s="7" t="s">
        <v>26</v>
      </c>
      <c r="C6567" s="7" t="s">
        <v>27</v>
      </c>
      <c r="D6567" s="7" t="s">
        <v>28</v>
      </c>
      <c r="E6567" s="7" t="s">
        <v>29</v>
      </c>
      <c r="F6567" s="7" t="s">
        <v>210</v>
      </c>
      <c r="G6567" s="7">
        <v>100.9425</v>
      </c>
      <c r="H6567" s="7"/>
    </row>
    <row r="6568" spans="1:8" x14ac:dyDescent="0.35">
      <c r="A6568" s="7" t="s">
        <v>368</v>
      </c>
      <c r="B6568" s="7" t="s">
        <v>26</v>
      </c>
      <c r="C6568" s="7" t="s">
        <v>27</v>
      </c>
      <c r="D6568" s="7" t="s">
        <v>28</v>
      </c>
      <c r="E6568" s="7" t="s">
        <v>29</v>
      </c>
      <c r="F6568" s="7" t="s">
        <v>211</v>
      </c>
      <c r="G6568" s="7">
        <v>101.0385</v>
      </c>
      <c r="H6568" s="7"/>
    </row>
    <row r="6569" spans="1:8" x14ac:dyDescent="0.35">
      <c r="A6569" s="7" t="s">
        <v>368</v>
      </c>
      <c r="B6569" s="7" t="s">
        <v>26</v>
      </c>
      <c r="C6569" s="7" t="s">
        <v>27</v>
      </c>
      <c r="D6569" s="7" t="s">
        <v>28</v>
      </c>
      <c r="E6569" s="7" t="s">
        <v>29</v>
      </c>
      <c r="F6569" s="7" t="s">
        <v>212</v>
      </c>
      <c r="G6569" s="7">
        <v>100.9618</v>
      </c>
      <c r="H6569" s="7"/>
    </row>
    <row r="6570" spans="1:8" x14ac:dyDescent="0.35">
      <c r="A6570" s="7" t="s">
        <v>368</v>
      </c>
      <c r="B6570" s="7" t="s">
        <v>26</v>
      </c>
      <c r="C6570" s="7" t="s">
        <v>27</v>
      </c>
      <c r="D6570" s="7" t="s">
        <v>28</v>
      </c>
      <c r="E6570" s="7" t="s">
        <v>29</v>
      </c>
      <c r="F6570" s="7" t="s">
        <v>213</v>
      </c>
      <c r="G6570" s="7">
        <v>100.8263</v>
      </c>
      <c r="H6570" s="7"/>
    </row>
    <row r="6571" spans="1:8" x14ac:dyDescent="0.35">
      <c r="A6571" s="7" t="s">
        <v>368</v>
      </c>
      <c r="B6571" s="7" t="s">
        <v>26</v>
      </c>
      <c r="C6571" s="7" t="s">
        <v>27</v>
      </c>
      <c r="D6571" s="7" t="s">
        <v>28</v>
      </c>
      <c r="E6571" s="7" t="s">
        <v>29</v>
      </c>
      <c r="F6571" s="7" t="s">
        <v>214</v>
      </c>
      <c r="G6571" s="7">
        <v>100.77460000000001</v>
      </c>
      <c r="H6571" s="7"/>
    </row>
    <row r="6572" spans="1:8" x14ac:dyDescent="0.35">
      <c r="A6572" s="7" t="s">
        <v>368</v>
      </c>
      <c r="B6572" s="7" t="s">
        <v>26</v>
      </c>
      <c r="C6572" s="7" t="s">
        <v>27</v>
      </c>
      <c r="D6572" s="7" t="s">
        <v>28</v>
      </c>
      <c r="E6572" s="7" t="s">
        <v>29</v>
      </c>
      <c r="F6572" s="7" t="s">
        <v>215</v>
      </c>
      <c r="G6572" s="7">
        <v>100.9218</v>
      </c>
      <c r="H6572" s="7"/>
    </row>
    <row r="6573" spans="1:8" x14ac:dyDescent="0.35">
      <c r="A6573" s="7" t="s">
        <v>368</v>
      </c>
      <c r="B6573" s="7" t="s">
        <v>26</v>
      </c>
      <c r="C6573" s="7" t="s">
        <v>27</v>
      </c>
      <c r="D6573" s="7" t="s">
        <v>28</v>
      </c>
      <c r="E6573" s="7" t="s">
        <v>29</v>
      </c>
      <c r="F6573" s="7" t="s">
        <v>216</v>
      </c>
      <c r="G6573" s="7">
        <v>101.1241</v>
      </c>
      <c r="H6573" s="7"/>
    </row>
    <row r="6574" spans="1:8" x14ac:dyDescent="0.35">
      <c r="A6574" s="7" t="s">
        <v>368</v>
      </c>
      <c r="B6574" s="7" t="s">
        <v>26</v>
      </c>
      <c r="C6574" s="7" t="s">
        <v>27</v>
      </c>
      <c r="D6574" s="7" t="s">
        <v>28</v>
      </c>
      <c r="E6574" s="7" t="s">
        <v>29</v>
      </c>
      <c r="F6574" s="7" t="s">
        <v>217</v>
      </c>
      <c r="G6574" s="7">
        <v>101.2813</v>
      </c>
      <c r="H6574" s="7"/>
    </row>
    <row r="6575" spans="1:8" x14ac:dyDescent="0.35">
      <c r="A6575" s="7" t="s">
        <v>368</v>
      </c>
      <c r="B6575" s="7" t="s">
        <v>26</v>
      </c>
      <c r="C6575" s="7" t="s">
        <v>27</v>
      </c>
      <c r="D6575" s="7" t="s">
        <v>28</v>
      </c>
      <c r="E6575" s="7" t="s">
        <v>29</v>
      </c>
      <c r="F6575" s="7" t="s">
        <v>218</v>
      </c>
      <c r="G6575" s="7">
        <v>101.3095</v>
      </c>
      <c r="H6575" s="7"/>
    </row>
    <row r="6576" spans="1:8" x14ac:dyDescent="0.35">
      <c r="A6576" s="7" t="s">
        <v>368</v>
      </c>
      <c r="B6576" s="7" t="s">
        <v>26</v>
      </c>
      <c r="C6576" s="7" t="s">
        <v>27</v>
      </c>
      <c r="D6576" s="7" t="s">
        <v>28</v>
      </c>
      <c r="E6576" s="7" t="s">
        <v>29</v>
      </c>
      <c r="F6576" s="7" t="s">
        <v>219</v>
      </c>
      <c r="G6576" s="7">
        <v>101.3092</v>
      </c>
      <c r="H6576" s="7"/>
    </row>
    <row r="6577" spans="1:8" x14ac:dyDescent="0.35">
      <c r="A6577" s="7" t="s">
        <v>368</v>
      </c>
      <c r="B6577" s="7" t="s">
        <v>26</v>
      </c>
      <c r="C6577" s="7" t="s">
        <v>27</v>
      </c>
      <c r="D6577" s="7" t="s">
        <v>28</v>
      </c>
      <c r="E6577" s="7" t="s">
        <v>29</v>
      </c>
      <c r="F6577" s="7" t="s">
        <v>220</v>
      </c>
      <c r="G6577" s="7">
        <v>101.23650000000001</v>
      </c>
      <c r="H6577" s="7"/>
    </row>
    <row r="6578" spans="1:8" x14ac:dyDescent="0.35">
      <c r="A6578" s="7" t="s">
        <v>368</v>
      </c>
      <c r="B6578" s="7" t="s">
        <v>26</v>
      </c>
      <c r="C6578" s="7" t="s">
        <v>27</v>
      </c>
      <c r="D6578" s="7" t="s">
        <v>28</v>
      </c>
      <c r="E6578" s="7" t="s">
        <v>29</v>
      </c>
      <c r="F6578" s="7" t="s">
        <v>221</v>
      </c>
      <c r="G6578" s="7">
        <v>101.129</v>
      </c>
      <c r="H6578" s="7"/>
    </row>
    <row r="6579" spans="1:8" x14ac:dyDescent="0.35">
      <c r="A6579" s="7" t="s">
        <v>368</v>
      </c>
      <c r="B6579" s="7" t="s">
        <v>26</v>
      </c>
      <c r="C6579" s="7" t="s">
        <v>27</v>
      </c>
      <c r="D6579" s="7" t="s">
        <v>28</v>
      </c>
      <c r="E6579" s="7" t="s">
        <v>29</v>
      </c>
      <c r="F6579" s="7" t="s">
        <v>222</v>
      </c>
      <c r="G6579" s="7">
        <v>101.0363</v>
      </c>
      <c r="H6579" s="7"/>
    </row>
    <row r="6580" spans="1:8" x14ac:dyDescent="0.35">
      <c r="A6580" s="7" t="s">
        <v>368</v>
      </c>
      <c r="B6580" s="7" t="s">
        <v>26</v>
      </c>
      <c r="C6580" s="7" t="s">
        <v>27</v>
      </c>
      <c r="D6580" s="7" t="s">
        <v>28</v>
      </c>
      <c r="E6580" s="7" t="s">
        <v>29</v>
      </c>
      <c r="F6580" s="7" t="s">
        <v>223</v>
      </c>
      <c r="G6580" s="7">
        <v>100.9447</v>
      </c>
      <c r="H6580" s="7"/>
    </row>
    <row r="6581" spans="1:8" x14ac:dyDescent="0.35">
      <c r="A6581" s="7" t="s">
        <v>368</v>
      </c>
      <c r="B6581" s="7" t="s">
        <v>26</v>
      </c>
      <c r="C6581" s="7" t="s">
        <v>27</v>
      </c>
      <c r="D6581" s="7" t="s">
        <v>28</v>
      </c>
      <c r="E6581" s="7" t="s">
        <v>29</v>
      </c>
      <c r="F6581" s="7" t="s">
        <v>224</v>
      </c>
      <c r="G6581" s="7">
        <v>100.67789999999999</v>
      </c>
      <c r="H6581" s="7"/>
    </row>
    <row r="6582" spans="1:8" x14ac:dyDescent="0.35">
      <c r="A6582" s="7" t="s">
        <v>368</v>
      </c>
      <c r="B6582" s="7" t="s">
        <v>26</v>
      </c>
      <c r="C6582" s="7" t="s">
        <v>27</v>
      </c>
      <c r="D6582" s="7" t="s">
        <v>28</v>
      </c>
      <c r="E6582" s="7" t="s">
        <v>29</v>
      </c>
      <c r="F6582" s="7" t="s">
        <v>225</v>
      </c>
      <c r="G6582" s="7">
        <v>100.3721</v>
      </c>
      <c r="H6582" s="7"/>
    </row>
    <row r="6583" spans="1:8" x14ac:dyDescent="0.35">
      <c r="A6583" s="7" t="s">
        <v>368</v>
      </c>
      <c r="B6583" s="7" t="s">
        <v>26</v>
      </c>
      <c r="C6583" s="7" t="s">
        <v>27</v>
      </c>
      <c r="D6583" s="7" t="s">
        <v>28</v>
      </c>
      <c r="E6583" s="7" t="s">
        <v>29</v>
      </c>
      <c r="F6583" s="7" t="s">
        <v>226</v>
      </c>
      <c r="G6583" s="7">
        <v>100.2012</v>
      </c>
      <c r="H6583" s="7"/>
    </row>
    <row r="6584" spans="1:8" x14ac:dyDescent="0.35">
      <c r="A6584" s="7" t="s">
        <v>368</v>
      </c>
      <c r="B6584" s="7" t="s">
        <v>26</v>
      </c>
      <c r="C6584" s="7" t="s">
        <v>27</v>
      </c>
      <c r="D6584" s="7" t="s">
        <v>28</v>
      </c>
      <c r="E6584" s="7" t="s">
        <v>29</v>
      </c>
      <c r="F6584" s="7" t="s">
        <v>227</v>
      </c>
      <c r="G6584" s="7">
        <v>100.1157</v>
      </c>
      <c r="H6584" s="7"/>
    </row>
    <row r="6585" spans="1:8" x14ac:dyDescent="0.35">
      <c r="A6585" s="7" t="s">
        <v>368</v>
      </c>
      <c r="B6585" s="7" t="s">
        <v>26</v>
      </c>
      <c r="C6585" s="7" t="s">
        <v>27</v>
      </c>
      <c r="D6585" s="7" t="s">
        <v>28</v>
      </c>
      <c r="E6585" s="7" t="s">
        <v>29</v>
      </c>
      <c r="F6585" s="7" t="s">
        <v>228</v>
      </c>
      <c r="G6585" s="7">
        <v>100.1221</v>
      </c>
      <c r="H6585" s="7"/>
    </row>
    <row r="6586" spans="1:8" x14ac:dyDescent="0.35">
      <c r="A6586" s="7" t="s">
        <v>368</v>
      </c>
      <c r="B6586" s="7" t="s">
        <v>26</v>
      </c>
      <c r="C6586" s="7" t="s">
        <v>27</v>
      </c>
      <c r="D6586" s="7" t="s">
        <v>28</v>
      </c>
      <c r="E6586" s="7" t="s">
        <v>29</v>
      </c>
      <c r="F6586" s="7" t="s">
        <v>229</v>
      </c>
      <c r="G6586" s="7">
        <v>100.1437</v>
      </c>
      <c r="H6586" s="7"/>
    </row>
    <row r="6587" spans="1:8" x14ac:dyDescent="0.35">
      <c r="A6587" s="7" t="s">
        <v>368</v>
      </c>
      <c r="B6587" s="7" t="s">
        <v>26</v>
      </c>
      <c r="C6587" s="7" t="s">
        <v>27</v>
      </c>
      <c r="D6587" s="7" t="s">
        <v>28</v>
      </c>
      <c r="E6587" s="7" t="s">
        <v>29</v>
      </c>
      <c r="F6587" s="7" t="s">
        <v>230</v>
      </c>
      <c r="G6587" s="7">
        <v>100.13039999999999</v>
      </c>
      <c r="H6587" s="7"/>
    </row>
    <row r="6588" spans="1:8" x14ac:dyDescent="0.35">
      <c r="A6588" s="7" t="s">
        <v>368</v>
      </c>
      <c r="B6588" s="7" t="s">
        <v>26</v>
      </c>
      <c r="C6588" s="7" t="s">
        <v>27</v>
      </c>
      <c r="D6588" s="7" t="s">
        <v>28</v>
      </c>
      <c r="E6588" s="7" t="s">
        <v>29</v>
      </c>
      <c r="F6588" s="7" t="s">
        <v>231</v>
      </c>
      <c r="G6588" s="7">
        <v>99.979060000000004</v>
      </c>
      <c r="H6588" s="7"/>
    </row>
    <row r="6589" spans="1:8" x14ac:dyDescent="0.35">
      <c r="A6589" s="7" t="s">
        <v>368</v>
      </c>
      <c r="B6589" s="7" t="s">
        <v>26</v>
      </c>
      <c r="C6589" s="7" t="s">
        <v>27</v>
      </c>
      <c r="D6589" s="7" t="s">
        <v>28</v>
      </c>
      <c r="E6589" s="7" t="s">
        <v>29</v>
      </c>
      <c r="F6589" s="7" t="s">
        <v>232</v>
      </c>
      <c r="G6589" s="7">
        <v>99.680229999999995</v>
      </c>
      <c r="H6589" s="7"/>
    </row>
    <row r="6590" spans="1:8" x14ac:dyDescent="0.35">
      <c r="A6590" s="7" t="s">
        <v>368</v>
      </c>
      <c r="B6590" s="7" t="s">
        <v>26</v>
      </c>
      <c r="C6590" s="7" t="s">
        <v>27</v>
      </c>
      <c r="D6590" s="7" t="s">
        <v>28</v>
      </c>
      <c r="E6590" s="7" t="s">
        <v>29</v>
      </c>
      <c r="F6590" s="7" t="s">
        <v>233</v>
      </c>
      <c r="G6590" s="7">
        <v>99.144189999999995</v>
      </c>
      <c r="H6590" s="7"/>
    </row>
    <row r="6591" spans="1:8" x14ac:dyDescent="0.35">
      <c r="A6591" s="7" t="s">
        <v>368</v>
      </c>
      <c r="B6591" s="7" t="s">
        <v>26</v>
      </c>
      <c r="C6591" s="7" t="s">
        <v>27</v>
      </c>
      <c r="D6591" s="7" t="s">
        <v>28</v>
      </c>
      <c r="E6591" s="7" t="s">
        <v>29</v>
      </c>
      <c r="F6591" s="7" t="s">
        <v>234</v>
      </c>
      <c r="G6591" s="7">
        <v>98.366669999999999</v>
      </c>
      <c r="H6591" s="7"/>
    </row>
    <row r="6592" spans="1:8" x14ac:dyDescent="0.35">
      <c r="A6592" s="7" t="s">
        <v>368</v>
      </c>
      <c r="B6592" s="7" t="s">
        <v>26</v>
      </c>
      <c r="C6592" s="7" t="s">
        <v>27</v>
      </c>
      <c r="D6592" s="7" t="s">
        <v>28</v>
      </c>
      <c r="E6592" s="7" t="s">
        <v>29</v>
      </c>
      <c r="F6592" s="7" t="s">
        <v>235</v>
      </c>
      <c r="G6592" s="7">
        <v>97.581500000000005</v>
      </c>
      <c r="H6592" s="7"/>
    </row>
    <row r="6593" spans="1:8" x14ac:dyDescent="0.35">
      <c r="A6593" s="7" t="s">
        <v>368</v>
      </c>
      <c r="B6593" s="7" t="s">
        <v>26</v>
      </c>
      <c r="C6593" s="7" t="s">
        <v>27</v>
      </c>
      <c r="D6593" s="7" t="s">
        <v>28</v>
      </c>
      <c r="E6593" s="7" t="s">
        <v>29</v>
      </c>
      <c r="F6593" s="7" t="s">
        <v>236</v>
      </c>
      <c r="G6593" s="7">
        <v>97.088319999999996</v>
      </c>
      <c r="H6593" s="7"/>
    </row>
    <row r="6594" spans="1:8" x14ac:dyDescent="0.35">
      <c r="A6594" s="7" t="s">
        <v>368</v>
      </c>
      <c r="B6594" s="7" t="s">
        <v>26</v>
      </c>
      <c r="C6594" s="7" t="s">
        <v>27</v>
      </c>
      <c r="D6594" s="7" t="s">
        <v>28</v>
      </c>
      <c r="E6594" s="7" t="s">
        <v>29</v>
      </c>
      <c r="F6594" s="7" t="s">
        <v>237</v>
      </c>
      <c r="G6594" s="7">
        <v>96.837770000000006</v>
      </c>
      <c r="H6594" s="7"/>
    </row>
    <row r="6595" spans="1:8" x14ac:dyDescent="0.35">
      <c r="A6595" s="7" t="s">
        <v>368</v>
      </c>
      <c r="B6595" s="7" t="s">
        <v>26</v>
      </c>
      <c r="C6595" s="7" t="s">
        <v>27</v>
      </c>
      <c r="D6595" s="7" t="s">
        <v>28</v>
      </c>
      <c r="E6595" s="7" t="s">
        <v>29</v>
      </c>
      <c r="F6595" s="7" t="s">
        <v>238</v>
      </c>
      <c r="G6595" s="7">
        <v>96.732560000000007</v>
      </c>
      <c r="H6595" s="7"/>
    </row>
    <row r="6596" spans="1:8" x14ac:dyDescent="0.35">
      <c r="A6596" s="7" t="s">
        <v>368</v>
      </c>
      <c r="B6596" s="7" t="s">
        <v>26</v>
      </c>
      <c r="C6596" s="7" t="s">
        <v>27</v>
      </c>
      <c r="D6596" s="7" t="s">
        <v>28</v>
      </c>
      <c r="E6596" s="7" t="s">
        <v>29</v>
      </c>
      <c r="F6596" s="7" t="s">
        <v>239</v>
      </c>
      <c r="G6596" s="7">
        <v>96.770840000000007</v>
      </c>
      <c r="H6596" s="7"/>
    </row>
    <row r="6597" spans="1:8" x14ac:dyDescent="0.35">
      <c r="A6597" s="7" t="s">
        <v>368</v>
      </c>
      <c r="B6597" s="7" t="s">
        <v>26</v>
      </c>
      <c r="C6597" s="7" t="s">
        <v>27</v>
      </c>
      <c r="D6597" s="7" t="s">
        <v>28</v>
      </c>
      <c r="E6597" s="7" t="s">
        <v>29</v>
      </c>
      <c r="F6597" s="7" t="s">
        <v>240</v>
      </c>
      <c r="G6597" s="7">
        <v>96.901489999999995</v>
      </c>
      <c r="H6597" s="7"/>
    </row>
    <row r="6598" spans="1:8" x14ac:dyDescent="0.35">
      <c r="A6598" s="7" t="s">
        <v>368</v>
      </c>
      <c r="B6598" s="7" t="s">
        <v>26</v>
      </c>
      <c r="C6598" s="7" t="s">
        <v>27</v>
      </c>
      <c r="D6598" s="7" t="s">
        <v>28</v>
      </c>
      <c r="E6598" s="7" t="s">
        <v>29</v>
      </c>
      <c r="F6598" s="7" t="s">
        <v>241</v>
      </c>
      <c r="G6598" s="7">
        <v>97.057239999999993</v>
      </c>
      <c r="H6598" s="7"/>
    </row>
    <row r="6599" spans="1:8" x14ac:dyDescent="0.35">
      <c r="A6599" s="7" t="s">
        <v>368</v>
      </c>
      <c r="B6599" s="7" t="s">
        <v>26</v>
      </c>
      <c r="C6599" s="7" t="s">
        <v>27</v>
      </c>
      <c r="D6599" s="7" t="s">
        <v>28</v>
      </c>
      <c r="E6599" s="7" t="s">
        <v>29</v>
      </c>
      <c r="F6599" s="7" t="s">
        <v>242</v>
      </c>
      <c r="G6599" s="7">
        <v>97.273989999999998</v>
      </c>
      <c r="H6599" s="7"/>
    </row>
    <row r="6600" spans="1:8" x14ac:dyDescent="0.35">
      <c r="A6600" s="7" t="s">
        <v>368</v>
      </c>
      <c r="B6600" s="7" t="s">
        <v>26</v>
      </c>
      <c r="C6600" s="7" t="s">
        <v>27</v>
      </c>
      <c r="D6600" s="7" t="s">
        <v>28</v>
      </c>
      <c r="E6600" s="7" t="s">
        <v>29</v>
      </c>
      <c r="F6600" s="7" t="s">
        <v>243</v>
      </c>
      <c r="G6600" s="7">
        <v>97.463610000000003</v>
      </c>
      <c r="H6600" s="7"/>
    </row>
    <row r="6601" spans="1:8" x14ac:dyDescent="0.35">
      <c r="A6601" s="7" t="s">
        <v>368</v>
      </c>
      <c r="B6601" s="7" t="s">
        <v>26</v>
      </c>
      <c r="C6601" s="7" t="s">
        <v>27</v>
      </c>
      <c r="D6601" s="7" t="s">
        <v>28</v>
      </c>
      <c r="E6601" s="7" t="s">
        <v>29</v>
      </c>
      <c r="F6601" s="7" t="s">
        <v>244</v>
      </c>
      <c r="G6601" s="7">
        <v>97.589969999999994</v>
      </c>
      <c r="H6601" s="7"/>
    </row>
    <row r="6602" spans="1:8" x14ac:dyDescent="0.35">
      <c r="A6602" s="7" t="s">
        <v>368</v>
      </c>
      <c r="B6602" s="7" t="s">
        <v>26</v>
      </c>
      <c r="C6602" s="7" t="s">
        <v>27</v>
      </c>
      <c r="D6602" s="7" t="s">
        <v>28</v>
      </c>
      <c r="E6602" s="7" t="s">
        <v>29</v>
      </c>
      <c r="F6602" s="7" t="s">
        <v>245</v>
      </c>
      <c r="G6602" s="7">
        <v>97.693569999999994</v>
      </c>
      <c r="H6602" s="7"/>
    </row>
    <row r="6603" spans="1:8" x14ac:dyDescent="0.35">
      <c r="A6603" s="7" t="s">
        <v>368</v>
      </c>
      <c r="B6603" s="7" t="s">
        <v>26</v>
      </c>
      <c r="C6603" s="7" t="s">
        <v>27</v>
      </c>
      <c r="D6603" s="7" t="s">
        <v>28</v>
      </c>
      <c r="E6603" s="7" t="s">
        <v>29</v>
      </c>
      <c r="F6603" s="7" t="s">
        <v>246</v>
      </c>
      <c r="G6603" s="7">
        <v>97.800889999999995</v>
      </c>
      <c r="H6603" s="7"/>
    </row>
    <row r="6604" spans="1:8" x14ac:dyDescent="0.35">
      <c r="A6604" s="7" t="s">
        <v>368</v>
      </c>
      <c r="B6604" s="7" t="s">
        <v>26</v>
      </c>
      <c r="C6604" s="7" t="s">
        <v>27</v>
      </c>
      <c r="D6604" s="7" t="s">
        <v>28</v>
      </c>
      <c r="E6604" s="7" t="s">
        <v>29</v>
      </c>
      <c r="F6604" s="7" t="s">
        <v>247</v>
      </c>
      <c r="G6604" s="7">
        <v>97.963610000000003</v>
      </c>
      <c r="H6604" s="7"/>
    </row>
    <row r="6605" spans="1:8" x14ac:dyDescent="0.35">
      <c r="A6605" s="7" t="s">
        <v>368</v>
      </c>
      <c r="B6605" s="7" t="s">
        <v>26</v>
      </c>
      <c r="C6605" s="7" t="s">
        <v>27</v>
      </c>
      <c r="D6605" s="7" t="s">
        <v>28</v>
      </c>
      <c r="E6605" s="7" t="s">
        <v>29</v>
      </c>
      <c r="F6605" s="7" t="s">
        <v>248</v>
      </c>
      <c r="G6605" s="7">
        <v>98.186999999999998</v>
      </c>
      <c r="H6605" s="7"/>
    </row>
    <row r="6606" spans="1:8" x14ac:dyDescent="0.35">
      <c r="A6606" s="7" t="s">
        <v>368</v>
      </c>
      <c r="B6606" s="7" t="s">
        <v>26</v>
      </c>
      <c r="C6606" s="7" t="s">
        <v>27</v>
      </c>
      <c r="D6606" s="7" t="s">
        <v>28</v>
      </c>
      <c r="E6606" s="7" t="s">
        <v>29</v>
      </c>
      <c r="F6606" s="7" t="s">
        <v>249</v>
      </c>
      <c r="G6606" s="7">
        <v>98.481440000000006</v>
      </c>
      <c r="H6606" s="7"/>
    </row>
    <row r="6607" spans="1:8" x14ac:dyDescent="0.35">
      <c r="A6607" s="7" t="s">
        <v>368</v>
      </c>
      <c r="B6607" s="7" t="s">
        <v>26</v>
      </c>
      <c r="C6607" s="7" t="s">
        <v>27</v>
      </c>
      <c r="D6607" s="7" t="s">
        <v>28</v>
      </c>
      <c r="E6607" s="7" t="s">
        <v>29</v>
      </c>
      <c r="F6607" s="7" t="s">
        <v>250</v>
      </c>
      <c r="G6607" s="7">
        <v>98.924670000000006</v>
      </c>
      <c r="H6607" s="7"/>
    </row>
    <row r="6608" spans="1:8" x14ac:dyDescent="0.35">
      <c r="A6608" s="7" t="s">
        <v>368</v>
      </c>
      <c r="B6608" s="7" t="s">
        <v>26</v>
      </c>
      <c r="C6608" s="7" t="s">
        <v>27</v>
      </c>
      <c r="D6608" s="7" t="s">
        <v>28</v>
      </c>
      <c r="E6608" s="7" t="s">
        <v>29</v>
      </c>
      <c r="F6608" s="7" t="s">
        <v>251</v>
      </c>
      <c r="G6608" s="7">
        <v>99.188820000000007</v>
      </c>
      <c r="H6608" s="7"/>
    </row>
    <row r="6609" spans="1:8" x14ac:dyDescent="0.35">
      <c r="A6609" s="7" t="s">
        <v>368</v>
      </c>
      <c r="B6609" s="7" t="s">
        <v>26</v>
      </c>
      <c r="C6609" s="7" t="s">
        <v>27</v>
      </c>
      <c r="D6609" s="7" t="s">
        <v>28</v>
      </c>
      <c r="E6609" s="7" t="s">
        <v>29</v>
      </c>
      <c r="F6609" s="7" t="s">
        <v>252</v>
      </c>
      <c r="G6609" s="7">
        <v>99.418319999999994</v>
      </c>
      <c r="H6609" s="7"/>
    </row>
    <row r="6610" spans="1:8" x14ac:dyDescent="0.35">
      <c r="A6610" s="7" t="s">
        <v>368</v>
      </c>
      <c r="B6610" s="7" t="s">
        <v>26</v>
      </c>
      <c r="C6610" s="7" t="s">
        <v>27</v>
      </c>
      <c r="D6610" s="7" t="s">
        <v>28</v>
      </c>
      <c r="E6610" s="7" t="s">
        <v>29</v>
      </c>
      <c r="F6610" s="7" t="s">
        <v>253</v>
      </c>
      <c r="G6610" s="7">
        <v>99.501559999999998</v>
      </c>
      <c r="H6610" s="7"/>
    </row>
    <row r="6611" spans="1:8" x14ac:dyDescent="0.35">
      <c r="A6611" s="7" t="s">
        <v>368</v>
      </c>
      <c r="B6611" s="7" t="s">
        <v>26</v>
      </c>
      <c r="C6611" s="7" t="s">
        <v>27</v>
      </c>
      <c r="D6611" s="7" t="s">
        <v>28</v>
      </c>
      <c r="E6611" s="7" t="s">
        <v>29</v>
      </c>
      <c r="F6611" s="7" t="s">
        <v>254</v>
      </c>
      <c r="G6611" s="7">
        <v>99.341290000000001</v>
      </c>
      <c r="H6611" s="7"/>
    </row>
    <row r="6612" spans="1:8" x14ac:dyDescent="0.35">
      <c r="A6612" s="7" t="s">
        <v>368</v>
      </c>
      <c r="B6612" s="7" t="s">
        <v>26</v>
      </c>
      <c r="C6612" s="7" t="s">
        <v>27</v>
      </c>
      <c r="D6612" s="7" t="s">
        <v>28</v>
      </c>
      <c r="E6612" s="7" t="s">
        <v>29</v>
      </c>
      <c r="F6612" s="7" t="s">
        <v>255</v>
      </c>
      <c r="G6612" s="7">
        <v>98.949889999999996</v>
      </c>
      <c r="H6612" s="7"/>
    </row>
    <row r="6613" spans="1:8" x14ac:dyDescent="0.35">
      <c r="A6613" s="7" t="s">
        <v>368</v>
      </c>
      <c r="B6613" s="7" t="s">
        <v>26</v>
      </c>
      <c r="C6613" s="7" t="s">
        <v>27</v>
      </c>
      <c r="D6613" s="7" t="s">
        <v>28</v>
      </c>
      <c r="E6613" s="7" t="s">
        <v>29</v>
      </c>
      <c r="F6613" s="7" t="s">
        <v>256</v>
      </c>
      <c r="G6613" s="7">
        <v>98.359719999999996</v>
      </c>
      <c r="H6613" s="7"/>
    </row>
    <row r="6614" spans="1:8" x14ac:dyDescent="0.35">
      <c r="A6614" s="7" t="s">
        <v>368</v>
      </c>
      <c r="B6614" s="7" t="s">
        <v>26</v>
      </c>
      <c r="C6614" s="7" t="s">
        <v>27</v>
      </c>
      <c r="D6614" s="7" t="s">
        <v>28</v>
      </c>
      <c r="E6614" s="7" t="s">
        <v>29</v>
      </c>
      <c r="F6614" s="7" t="s">
        <v>257</v>
      </c>
      <c r="G6614" s="7">
        <v>97.83596</v>
      </c>
      <c r="H6614" s="7"/>
    </row>
    <row r="6615" spans="1:8" x14ac:dyDescent="0.35">
      <c r="A6615" s="7" t="s">
        <v>368</v>
      </c>
      <c r="B6615" s="7" t="s">
        <v>26</v>
      </c>
      <c r="C6615" s="7" t="s">
        <v>27</v>
      </c>
      <c r="D6615" s="7" t="s">
        <v>28</v>
      </c>
      <c r="E6615" s="7" t="s">
        <v>29</v>
      </c>
      <c r="F6615" s="7" t="s">
        <v>258</v>
      </c>
      <c r="G6615" s="7">
        <v>97.324200000000005</v>
      </c>
      <c r="H6615" s="7"/>
    </row>
    <row r="6616" spans="1:8" x14ac:dyDescent="0.35">
      <c r="A6616" s="7" t="s">
        <v>368</v>
      </c>
      <c r="B6616" s="7" t="s">
        <v>26</v>
      </c>
      <c r="C6616" s="7" t="s">
        <v>27</v>
      </c>
      <c r="D6616" s="7" t="s">
        <v>28</v>
      </c>
      <c r="E6616" s="7" t="s">
        <v>29</v>
      </c>
      <c r="F6616" s="7" t="s">
        <v>259</v>
      </c>
      <c r="G6616" s="7">
        <v>96.867109999999997</v>
      </c>
      <c r="H6616" s="7"/>
    </row>
    <row r="6617" spans="1:8" x14ac:dyDescent="0.35">
      <c r="A6617" s="7" t="s">
        <v>368</v>
      </c>
      <c r="B6617" s="7" t="s">
        <v>26</v>
      </c>
      <c r="C6617" s="7" t="s">
        <v>27</v>
      </c>
      <c r="D6617" s="7" t="s">
        <v>28</v>
      </c>
      <c r="E6617" s="7" t="s">
        <v>29</v>
      </c>
      <c r="F6617" s="7" t="s">
        <v>260</v>
      </c>
      <c r="G6617" s="7">
        <v>96.794749999999993</v>
      </c>
      <c r="H6617" s="7"/>
    </row>
    <row r="6618" spans="1:8" x14ac:dyDescent="0.35">
      <c r="A6618" s="7" t="s">
        <v>368</v>
      </c>
      <c r="B6618" s="7" t="s">
        <v>26</v>
      </c>
      <c r="C6618" s="7" t="s">
        <v>27</v>
      </c>
      <c r="D6618" s="7" t="s">
        <v>28</v>
      </c>
      <c r="E6618" s="7" t="s">
        <v>29</v>
      </c>
      <c r="F6618" s="7" t="s">
        <v>261</v>
      </c>
      <c r="G6618" s="7">
        <v>97.289100000000005</v>
      </c>
      <c r="H6618" s="7"/>
    </row>
    <row r="6619" spans="1:8" x14ac:dyDescent="0.35">
      <c r="A6619" s="7" t="s">
        <v>368</v>
      </c>
      <c r="B6619" s="7" t="s">
        <v>26</v>
      </c>
      <c r="C6619" s="7" t="s">
        <v>27</v>
      </c>
      <c r="D6619" s="7" t="s">
        <v>28</v>
      </c>
      <c r="E6619" s="7" t="s">
        <v>29</v>
      </c>
      <c r="F6619" s="7" t="s">
        <v>262</v>
      </c>
      <c r="G6619" s="7">
        <v>98.277820000000006</v>
      </c>
      <c r="H6619" s="7"/>
    </row>
    <row r="6620" spans="1:8" x14ac:dyDescent="0.35">
      <c r="A6620" s="7" t="s">
        <v>368</v>
      </c>
      <c r="B6620" s="7" t="s">
        <v>26</v>
      </c>
      <c r="C6620" s="7" t="s">
        <v>27</v>
      </c>
      <c r="D6620" s="7" t="s">
        <v>28</v>
      </c>
      <c r="E6620" s="7" t="s">
        <v>29</v>
      </c>
      <c r="F6620" s="7" t="s">
        <v>263</v>
      </c>
      <c r="G6620" s="7">
        <v>98.832800000000006</v>
      </c>
      <c r="H6620" s="7"/>
    </row>
    <row r="6621" spans="1:8" x14ac:dyDescent="0.35">
      <c r="A6621" s="7" t="s">
        <v>368</v>
      </c>
      <c r="B6621" s="7" t="s">
        <v>26</v>
      </c>
      <c r="C6621" s="7" t="s">
        <v>27</v>
      </c>
      <c r="D6621" s="7" t="s">
        <v>28</v>
      </c>
      <c r="E6621" s="7" t="s">
        <v>29</v>
      </c>
      <c r="F6621" s="7" t="s">
        <v>264</v>
      </c>
      <c r="G6621" s="7">
        <v>99.037999999999997</v>
      </c>
      <c r="H6621" s="7"/>
    </row>
    <row r="6622" spans="1:8" x14ac:dyDescent="0.35">
      <c r="A6622" s="7" t="s">
        <v>368</v>
      </c>
      <c r="B6622" s="7" t="s">
        <v>26</v>
      </c>
      <c r="C6622" s="7" t="s">
        <v>27</v>
      </c>
      <c r="D6622" s="7" t="s">
        <v>28</v>
      </c>
      <c r="E6622" s="7" t="s">
        <v>29</v>
      </c>
      <c r="F6622" s="7" t="s">
        <v>265</v>
      </c>
      <c r="G6622" s="7">
        <v>99.07732</v>
      </c>
      <c r="H6622" s="7"/>
    </row>
    <row r="6623" spans="1:8" x14ac:dyDescent="0.35">
      <c r="A6623" s="7" t="s">
        <v>368</v>
      </c>
      <c r="B6623" s="7" t="s">
        <v>26</v>
      </c>
      <c r="C6623" s="7" t="s">
        <v>27</v>
      </c>
      <c r="D6623" s="7" t="s">
        <v>28</v>
      </c>
      <c r="E6623" s="7" t="s">
        <v>29</v>
      </c>
      <c r="F6623" s="7" t="s">
        <v>266</v>
      </c>
      <c r="G6623" s="7">
        <v>98.743830000000003</v>
      </c>
      <c r="H6623" s="7"/>
    </row>
    <row r="6624" spans="1:8" x14ac:dyDescent="0.35">
      <c r="A6624" s="7" t="s">
        <v>368</v>
      </c>
      <c r="B6624" s="7" t="s">
        <v>26</v>
      </c>
      <c r="C6624" s="7" t="s">
        <v>27</v>
      </c>
      <c r="D6624" s="7" t="s">
        <v>28</v>
      </c>
      <c r="E6624" s="7" t="s">
        <v>29</v>
      </c>
      <c r="F6624" s="7" t="s">
        <v>267</v>
      </c>
      <c r="G6624" s="7">
        <v>98.222110000000001</v>
      </c>
      <c r="H6624" s="7"/>
    </row>
    <row r="6625" spans="1:8" x14ac:dyDescent="0.35">
      <c r="A6625" s="7" t="s">
        <v>368</v>
      </c>
      <c r="B6625" s="7" t="s">
        <v>26</v>
      </c>
      <c r="C6625" s="7" t="s">
        <v>27</v>
      </c>
      <c r="D6625" s="7" t="s">
        <v>28</v>
      </c>
      <c r="E6625" s="7" t="s">
        <v>29</v>
      </c>
      <c r="F6625" s="7" t="s">
        <v>268</v>
      </c>
      <c r="G6625" s="7">
        <v>97.517529999999994</v>
      </c>
      <c r="H6625" s="7"/>
    </row>
    <row r="6626" spans="1:8" x14ac:dyDescent="0.35">
      <c r="A6626" s="7" t="s">
        <v>368</v>
      </c>
      <c r="B6626" s="7" t="s">
        <v>26</v>
      </c>
      <c r="C6626" s="7" t="s">
        <v>27</v>
      </c>
      <c r="D6626" s="7" t="s">
        <v>28</v>
      </c>
      <c r="E6626" s="7" t="s">
        <v>29</v>
      </c>
      <c r="F6626" s="7" t="s">
        <v>269</v>
      </c>
      <c r="G6626" s="7">
        <v>96.779470000000003</v>
      </c>
      <c r="H6626" s="7"/>
    </row>
    <row r="6627" spans="1:8" x14ac:dyDescent="0.35">
      <c r="A6627" s="7" t="s">
        <v>368</v>
      </c>
      <c r="B6627" s="7" t="s">
        <v>26</v>
      </c>
      <c r="C6627" s="7" t="s">
        <v>27</v>
      </c>
      <c r="D6627" s="7" t="s">
        <v>28</v>
      </c>
      <c r="E6627" s="7" t="s">
        <v>29</v>
      </c>
      <c r="F6627" s="7" t="s">
        <v>270</v>
      </c>
      <c r="G6627" s="7">
        <v>96.419520000000006</v>
      </c>
      <c r="H6627" s="7"/>
    </row>
    <row r="6628" spans="1:8" x14ac:dyDescent="0.35">
      <c r="A6628" s="7" t="s">
        <v>368</v>
      </c>
      <c r="B6628" s="7" t="s">
        <v>26</v>
      </c>
      <c r="C6628" s="7" t="s">
        <v>27</v>
      </c>
      <c r="D6628" s="7" t="s">
        <v>28</v>
      </c>
      <c r="E6628" s="7" t="s">
        <v>29</v>
      </c>
      <c r="F6628" s="7" t="s">
        <v>271</v>
      </c>
      <c r="G6628" s="7">
        <v>96.814989999999995</v>
      </c>
      <c r="H6628" s="7"/>
    </row>
    <row r="6629" spans="1:8" x14ac:dyDescent="0.35">
      <c r="A6629" s="7" t="s">
        <v>368</v>
      </c>
      <c r="B6629" s="7" t="s">
        <v>26</v>
      </c>
      <c r="C6629" s="7" t="s">
        <v>27</v>
      </c>
      <c r="D6629" s="7" t="s">
        <v>28</v>
      </c>
      <c r="E6629" s="7" t="s">
        <v>29</v>
      </c>
      <c r="F6629" s="7" t="s">
        <v>272</v>
      </c>
      <c r="G6629" s="7">
        <v>97.44059</v>
      </c>
      <c r="H6629" s="7"/>
    </row>
    <row r="6630" spans="1:8" x14ac:dyDescent="0.35">
      <c r="A6630" s="7" t="s">
        <v>368</v>
      </c>
      <c r="B6630" s="7" t="s">
        <v>26</v>
      </c>
      <c r="C6630" s="7" t="s">
        <v>27</v>
      </c>
      <c r="D6630" s="7" t="s">
        <v>28</v>
      </c>
      <c r="E6630" s="7" t="s">
        <v>29</v>
      </c>
      <c r="F6630" s="7" t="s">
        <v>273</v>
      </c>
      <c r="G6630" s="7">
        <v>97.697310000000002</v>
      </c>
      <c r="H6630" s="7"/>
    </row>
    <row r="6631" spans="1:8" x14ac:dyDescent="0.35">
      <c r="A6631" s="7" t="s">
        <v>368</v>
      </c>
      <c r="B6631" s="7" t="s">
        <v>26</v>
      </c>
      <c r="C6631" s="7" t="s">
        <v>27</v>
      </c>
      <c r="D6631" s="7" t="s">
        <v>28</v>
      </c>
      <c r="E6631" s="7" t="s">
        <v>29</v>
      </c>
      <c r="F6631" s="7" t="s">
        <v>274</v>
      </c>
      <c r="G6631" s="7">
        <v>97.514259999999993</v>
      </c>
      <c r="H6631" s="7"/>
    </row>
    <row r="6632" spans="1:8" x14ac:dyDescent="0.35">
      <c r="A6632" s="7" t="s">
        <v>368</v>
      </c>
      <c r="B6632" s="7" t="s">
        <v>26</v>
      </c>
      <c r="C6632" s="7" t="s">
        <v>27</v>
      </c>
      <c r="D6632" s="7" t="s">
        <v>28</v>
      </c>
      <c r="E6632" s="7" t="s">
        <v>29</v>
      </c>
      <c r="F6632" s="7" t="s">
        <v>275</v>
      </c>
      <c r="G6632" s="7">
        <v>97.484700000000004</v>
      </c>
      <c r="H6632" s="7"/>
    </row>
    <row r="6633" spans="1:8" x14ac:dyDescent="0.35">
      <c r="A6633" s="7" t="s">
        <v>368</v>
      </c>
      <c r="B6633" s="7" t="s">
        <v>26</v>
      </c>
      <c r="C6633" s="7" t="s">
        <v>27</v>
      </c>
      <c r="D6633" s="7" t="s">
        <v>28</v>
      </c>
      <c r="E6633" s="7" t="s">
        <v>29</v>
      </c>
      <c r="F6633" s="7" t="s">
        <v>276</v>
      </c>
      <c r="G6633" s="7">
        <v>97.263819999999996</v>
      </c>
      <c r="H6633" s="7"/>
    </row>
    <row r="6634" spans="1:8" x14ac:dyDescent="0.35">
      <c r="A6634" s="7" t="s">
        <v>368</v>
      </c>
      <c r="B6634" s="7" t="s">
        <v>26</v>
      </c>
      <c r="C6634" s="7" t="s">
        <v>27</v>
      </c>
      <c r="D6634" s="7" t="s">
        <v>28</v>
      </c>
      <c r="E6634" s="7" t="s">
        <v>29</v>
      </c>
      <c r="F6634" s="7" t="s">
        <v>277</v>
      </c>
      <c r="G6634" s="7">
        <v>96.669439999999994</v>
      </c>
      <c r="H6634" s="7"/>
    </row>
    <row r="6635" spans="1:8" x14ac:dyDescent="0.35">
      <c r="A6635" s="7" t="s">
        <v>368</v>
      </c>
      <c r="B6635" s="7" t="s">
        <v>26</v>
      </c>
      <c r="C6635" s="7" t="s">
        <v>27</v>
      </c>
      <c r="D6635" s="7" t="s">
        <v>28</v>
      </c>
      <c r="E6635" s="7" t="s">
        <v>29</v>
      </c>
      <c r="F6635" s="7" t="s">
        <v>278</v>
      </c>
      <c r="G6635" s="7">
        <v>96.331410000000005</v>
      </c>
      <c r="H6635" s="7"/>
    </row>
    <row r="6636" spans="1:8" x14ac:dyDescent="0.35">
      <c r="A6636" s="7" t="s">
        <v>368</v>
      </c>
      <c r="B6636" s="7" t="s">
        <v>26</v>
      </c>
      <c r="C6636" s="7" t="s">
        <v>27</v>
      </c>
      <c r="D6636" s="7" t="s">
        <v>28</v>
      </c>
      <c r="E6636" s="7" t="s">
        <v>29</v>
      </c>
      <c r="F6636" s="7" t="s">
        <v>279</v>
      </c>
      <c r="G6636" s="7">
        <v>96.536349999999999</v>
      </c>
      <c r="H6636" s="7"/>
    </row>
    <row r="6637" spans="1:8" x14ac:dyDescent="0.35">
      <c r="A6637" s="7" t="s">
        <v>368</v>
      </c>
      <c r="B6637" s="7" t="s">
        <v>26</v>
      </c>
      <c r="C6637" s="7" t="s">
        <v>27</v>
      </c>
      <c r="D6637" s="7" t="s">
        <v>28</v>
      </c>
      <c r="E6637" s="7" t="s">
        <v>29</v>
      </c>
      <c r="F6637" s="7" t="s">
        <v>280</v>
      </c>
      <c r="G6637" s="7">
        <v>97.172920000000005</v>
      </c>
      <c r="H6637" s="7"/>
    </row>
    <row r="6638" spans="1:8" x14ac:dyDescent="0.35">
      <c r="A6638" s="7" t="s">
        <v>368</v>
      </c>
      <c r="B6638" s="7" t="s">
        <v>26</v>
      </c>
      <c r="C6638" s="7" t="s">
        <v>27</v>
      </c>
      <c r="D6638" s="7" t="s">
        <v>28</v>
      </c>
      <c r="E6638" s="7" t="s">
        <v>29</v>
      </c>
      <c r="F6638" s="7" t="s">
        <v>281</v>
      </c>
      <c r="G6638" s="7">
        <v>97.955349999999996</v>
      </c>
      <c r="H6638" s="7"/>
    </row>
    <row r="6639" spans="1:8" x14ac:dyDescent="0.35">
      <c r="A6639" s="7" t="s">
        <v>368</v>
      </c>
      <c r="B6639" s="7" t="s">
        <v>26</v>
      </c>
      <c r="C6639" s="7" t="s">
        <v>27</v>
      </c>
      <c r="D6639" s="7" t="s">
        <v>28</v>
      </c>
      <c r="E6639" s="7" t="s">
        <v>29</v>
      </c>
      <c r="F6639" s="7" t="s">
        <v>282</v>
      </c>
      <c r="G6639" s="7">
        <v>98.286760000000001</v>
      </c>
      <c r="H6639" s="7"/>
    </row>
    <row r="6640" spans="1:8" x14ac:dyDescent="0.35">
      <c r="A6640" s="7" t="s">
        <v>368</v>
      </c>
      <c r="B6640" s="7" t="s">
        <v>26</v>
      </c>
      <c r="C6640" s="7" t="s">
        <v>27</v>
      </c>
      <c r="D6640" s="7" t="s">
        <v>28</v>
      </c>
      <c r="E6640" s="7" t="s">
        <v>29</v>
      </c>
      <c r="F6640" s="7" t="s">
        <v>283</v>
      </c>
      <c r="G6640" s="7">
        <v>98.36918</v>
      </c>
      <c r="H6640" s="7"/>
    </row>
    <row r="6641" spans="1:8" x14ac:dyDescent="0.35">
      <c r="A6641" s="7" t="s">
        <v>368</v>
      </c>
      <c r="B6641" s="7" t="s">
        <v>26</v>
      </c>
      <c r="C6641" s="7" t="s">
        <v>27</v>
      </c>
      <c r="D6641" s="7" t="s">
        <v>28</v>
      </c>
      <c r="E6641" s="7" t="s">
        <v>29</v>
      </c>
      <c r="F6641" s="7" t="s">
        <v>284</v>
      </c>
      <c r="G6641" s="7">
        <v>98.515069999999994</v>
      </c>
      <c r="H6641" s="7"/>
    </row>
    <row r="6642" spans="1:8" x14ac:dyDescent="0.35">
      <c r="A6642" s="7" t="s">
        <v>368</v>
      </c>
      <c r="B6642" s="7" t="s">
        <v>26</v>
      </c>
      <c r="C6642" s="7" t="s">
        <v>27</v>
      </c>
      <c r="D6642" s="7" t="s">
        <v>28</v>
      </c>
      <c r="E6642" s="7" t="s">
        <v>29</v>
      </c>
      <c r="F6642" s="7" t="s">
        <v>285</v>
      </c>
      <c r="G6642" s="7">
        <v>98.565020000000004</v>
      </c>
      <c r="H6642" s="7"/>
    </row>
    <row r="6643" spans="1:8" x14ac:dyDescent="0.35">
      <c r="A6643" s="7" t="s">
        <v>368</v>
      </c>
      <c r="B6643" s="7" t="s">
        <v>26</v>
      </c>
      <c r="C6643" s="7" t="s">
        <v>27</v>
      </c>
      <c r="D6643" s="7" t="s">
        <v>28</v>
      </c>
      <c r="E6643" s="7" t="s">
        <v>29</v>
      </c>
      <c r="F6643" s="7" t="s">
        <v>286</v>
      </c>
      <c r="G6643" s="7">
        <v>98.02749</v>
      </c>
      <c r="H6643" s="7"/>
    </row>
    <row r="6644" spans="1:8" x14ac:dyDescent="0.35">
      <c r="A6644" s="7" t="s">
        <v>368</v>
      </c>
      <c r="B6644" s="7" t="s">
        <v>26</v>
      </c>
      <c r="C6644" s="7" t="s">
        <v>27</v>
      </c>
      <c r="D6644" s="7" t="s">
        <v>28</v>
      </c>
      <c r="E6644" s="7" t="s">
        <v>29</v>
      </c>
      <c r="F6644" s="7" t="s">
        <v>287</v>
      </c>
      <c r="G6644" s="7">
        <v>97.350009999999997</v>
      </c>
      <c r="H6644" s="7"/>
    </row>
    <row r="6645" spans="1:8" x14ac:dyDescent="0.35">
      <c r="A6645" s="7" t="s">
        <v>368</v>
      </c>
      <c r="B6645" s="7" t="s">
        <v>26</v>
      </c>
      <c r="C6645" s="7" t="s">
        <v>27</v>
      </c>
      <c r="D6645" s="7" t="s">
        <v>28</v>
      </c>
      <c r="E6645" s="7" t="s">
        <v>29</v>
      </c>
      <c r="F6645" s="7" t="s">
        <v>288</v>
      </c>
      <c r="G6645" s="7">
        <v>96.457179999999994</v>
      </c>
      <c r="H6645" s="7"/>
    </row>
    <row r="6646" spans="1:8" x14ac:dyDescent="0.35">
      <c r="A6646" s="7" t="s">
        <v>368</v>
      </c>
      <c r="B6646" s="7" t="s">
        <v>26</v>
      </c>
      <c r="C6646" s="7" t="s">
        <v>27</v>
      </c>
      <c r="D6646" s="7" t="s">
        <v>28</v>
      </c>
      <c r="E6646" s="7" t="s">
        <v>29</v>
      </c>
      <c r="F6646" s="7" t="s">
        <v>289</v>
      </c>
      <c r="G6646" s="7">
        <v>95.820819999999998</v>
      </c>
      <c r="H6646" s="7"/>
    </row>
    <row r="6647" spans="1:8" x14ac:dyDescent="0.35">
      <c r="A6647" s="7" t="s">
        <v>368</v>
      </c>
      <c r="B6647" s="7" t="s">
        <v>26</v>
      </c>
      <c r="C6647" s="7" t="s">
        <v>27</v>
      </c>
      <c r="D6647" s="7" t="s">
        <v>28</v>
      </c>
      <c r="E6647" s="7" t="s">
        <v>29</v>
      </c>
      <c r="F6647" s="7" t="s">
        <v>290</v>
      </c>
      <c r="G6647" s="7">
        <v>95.674719999999994</v>
      </c>
      <c r="H6647" s="7"/>
    </row>
    <row r="6648" spans="1:8" x14ac:dyDescent="0.35">
      <c r="A6648" s="7" t="s">
        <v>368</v>
      </c>
      <c r="B6648" s="7" t="s">
        <v>26</v>
      </c>
      <c r="C6648" s="7" t="s">
        <v>27</v>
      </c>
      <c r="D6648" s="7" t="s">
        <v>28</v>
      </c>
      <c r="E6648" s="7" t="s">
        <v>29</v>
      </c>
      <c r="F6648" s="7" t="s">
        <v>291</v>
      </c>
      <c r="G6648" s="7">
        <v>95.93683</v>
      </c>
      <c r="H6648" s="7"/>
    </row>
    <row r="6649" spans="1:8" x14ac:dyDescent="0.35">
      <c r="A6649" s="7" t="s">
        <v>368</v>
      </c>
      <c r="B6649" s="7" t="s">
        <v>26</v>
      </c>
      <c r="C6649" s="7" t="s">
        <v>27</v>
      </c>
      <c r="D6649" s="7" t="s">
        <v>28</v>
      </c>
      <c r="E6649" s="7" t="s">
        <v>29</v>
      </c>
      <c r="F6649" s="7" t="s">
        <v>292</v>
      </c>
      <c r="G6649" s="7">
        <v>96.426739999999995</v>
      </c>
      <c r="H6649" s="7"/>
    </row>
    <row r="6650" spans="1:8" x14ac:dyDescent="0.35">
      <c r="A6650" s="7" t="s">
        <v>368</v>
      </c>
      <c r="B6650" s="7" t="s">
        <v>26</v>
      </c>
      <c r="C6650" s="7" t="s">
        <v>27</v>
      </c>
      <c r="D6650" s="7" t="s">
        <v>28</v>
      </c>
      <c r="E6650" s="7" t="s">
        <v>29</v>
      </c>
      <c r="F6650" s="7" t="s">
        <v>293</v>
      </c>
      <c r="G6650" s="7">
        <v>96.817830000000001</v>
      </c>
      <c r="H6650" s="7"/>
    </row>
    <row r="6651" spans="1:8" x14ac:dyDescent="0.35">
      <c r="A6651" s="7" t="s">
        <v>368</v>
      </c>
      <c r="B6651" s="7" t="s">
        <v>26</v>
      </c>
      <c r="C6651" s="7" t="s">
        <v>27</v>
      </c>
      <c r="D6651" s="7" t="s">
        <v>28</v>
      </c>
      <c r="E6651" s="7" t="s">
        <v>29</v>
      </c>
      <c r="F6651" s="7" t="s">
        <v>294</v>
      </c>
      <c r="G6651" s="7">
        <v>96.861509999999996</v>
      </c>
      <c r="H6651" s="7"/>
    </row>
    <row r="6652" spans="1:8" x14ac:dyDescent="0.35">
      <c r="A6652" s="7" t="s">
        <v>368</v>
      </c>
      <c r="B6652" s="7" t="s">
        <v>26</v>
      </c>
      <c r="C6652" s="7" t="s">
        <v>27</v>
      </c>
      <c r="D6652" s="7" t="s">
        <v>28</v>
      </c>
      <c r="E6652" s="7" t="s">
        <v>29</v>
      </c>
      <c r="F6652" s="7" t="s">
        <v>295</v>
      </c>
      <c r="G6652" s="7">
        <v>97.102990000000005</v>
      </c>
      <c r="H6652" s="7"/>
    </row>
    <row r="6653" spans="1:8" x14ac:dyDescent="0.35">
      <c r="A6653" s="7" t="s">
        <v>368</v>
      </c>
      <c r="B6653" s="7" t="s">
        <v>26</v>
      </c>
      <c r="C6653" s="7" t="s">
        <v>27</v>
      </c>
      <c r="D6653" s="7" t="s">
        <v>28</v>
      </c>
      <c r="E6653" s="7" t="s">
        <v>29</v>
      </c>
      <c r="F6653" s="7" t="s">
        <v>296</v>
      </c>
      <c r="G6653" s="7">
        <v>97.40934</v>
      </c>
      <c r="H6653" s="7"/>
    </row>
    <row r="6654" spans="1:8" x14ac:dyDescent="0.35">
      <c r="A6654" s="7" t="s">
        <v>368</v>
      </c>
      <c r="B6654" s="7" t="s">
        <v>26</v>
      </c>
      <c r="C6654" s="7" t="s">
        <v>27</v>
      </c>
      <c r="D6654" s="7" t="s">
        <v>28</v>
      </c>
      <c r="E6654" s="7" t="s">
        <v>29</v>
      </c>
      <c r="F6654" s="7" t="s">
        <v>297</v>
      </c>
      <c r="G6654" s="7">
        <v>97.942080000000004</v>
      </c>
      <c r="H6654" s="7"/>
    </row>
    <row r="6655" spans="1:8" x14ac:dyDescent="0.35">
      <c r="A6655" s="7" t="s">
        <v>368</v>
      </c>
      <c r="B6655" s="7" t="s">
        <v>26</v>
      </c>
      <c r="C6655" s="7" t="s">
        <v>27</v>
      </c>
      <c r="D6655" s="7" t="s">
        <v>28</v>
      </c>
      <c r="E6655" s="7" t="s">
        <v>29</v>
      </c>
      <c r="F6655" s="7" t="s">
        <v>298</v>
      </c>
      <c r="G6655" s="7">
        <v>98.422319999999999</v>
      </c>
      <c r="H6655" s="7"/>
    </row>
    <row r="6656" spans="1:8" x14ac:dyDescent="0.35">
      <c r="A6656" s="7" t="s">
        <v>368</v>
      </c>
      <c r="B6656" s="7" t="s">
        <v>26</v>
      </c>
      <c r="C6656" s="7" t="s">
        <v>27</v>
      </c>
      <c r="D6656" s="7" t="s">
        <v>28</v>
      </c>
      <c r="E6656" s="7" t="s">
        <v>29</v>
      </c>
      <c r="F6656" s="7" t="s">
        <v>299</v>
      </c>
      <c r="G6656" s="7">
        <v>98.312129999999996</v>
      </c>
      <c r="H6656" s="7"/>
    </row>
    <row r="6657" spans="1:8" x14ac:dyDescent="0.35">
      <c r="A6657" s="7" t="s">
        <v>368</v>
      </c>
      <c r="B6657" s="7" t="s">
        <v>26</v>
      </c>
      <c r="C6657" s="7" t="s">
        <v>27</v>
      </c>
      <c r="D6657" s="7" t="s">
        <v>28</v>
      </c>
      <c r="E6657" s="7" t="s">
        <v>29</v>
      </c>
      <c r="F6657" s="7" t="s">
        <v>300</v>
      </c>
      <c r="G6657" s="7">
        <v>98.048259999999999</v>
      </c>
      <c r="H6657" s="7"/>
    </row>
    <row r="6658" spans="1:8" x14ac:dyDescent="0.35">
      <c r="A6658" s="7" t="s">
        <v>368</v>
      </c>
      <c r="B6658" s="7" t="s">
        <v>26</v>
      </c>
      <c r="C6658" s="7" t="s">
        <v>27</v>
      </c>
      <c r="D6658" s="7" t="s">
        <v>28</v>
      </c>
      <c r="E6658" s="7" t="s">
        <v>29</v>
      </c>
      <c r="F6658" s="7" t="s">
        <v>301</v>
      </c>
      <c r="G6658" s="7">
        <v>98.045379999999994</v>
      </c>
      <c r="H6658" s="7"/>
    </row>
    <row r="6659" spans="1:8" x14ac:dyDescent="0.35">
      <c r="A6659" s="7" t="s">
        <v>368</v>
      </c>
      <c r="B6659" s="7" t="s">
        <v>26</v>
      </c>
      <c r="C6659" s="7" t="s">
        <v>27</v>
      </c>
      <c r="D6659" s="7" t="s">
        <v>28</v>
      </c>
      <c r="E6659" s="7" t="s">
        <v>29</v>
      </c>
      <c r="F6659" s="7" t="s">
        <v>302</v>
      </c>
      <c r="G6659" s="7">
        <v>98.067310000000006</v>
      </c>
      <c r="H6659" s="7"/>
    </row>
    <row r="6660" spans="1:8" x14ac:dyDescent="0.35">
      <c r="A6660" s="7" t="s">
        <v>368</v>
      </c>
      <c r="B6660" s="7" t="s">
        <v>26</v>
      </c>
      <c r="C6660" s="7" t="s">
        <v>27</v>
      </c>
      <c r="D6660" s="7" t="s">
        <v>28</v>
      </c>
      <c r="E6660" s="7" t="s">
        <v>29</v>
      </c>
      <c r="F6660" s="7" t="s">
        <v>303</v>
      </c>
      <c r="G6660" s="7">
        <v>98.086830000000006</v>
      </c>
      <c r="H6660" s="7"/>
    </row>
    <row r="6661" spans="1:8" x14ac:dyDescent="0.35">
      <c r="A6661" s="7" t="s">
        <v>368</v>
      </c>
      <c r="B6661" s="7" t="s">
        <v>26</v>
      </c>
      <c r="C6661" s="7" t="s">
        <v>27</v>
      </c>
      <c r="D6661" s="7" t="s">
        <v>28</v>
      </c>
      <c r="E6661" s="7" t="s">
        <v>29</v>
      </c>
      <c r="F6661" s="7" t="s">
        <v>304</v>
      </c>
      <c r="G6661" s="7">
        <v>98.156689999999998</v>
      </c>
      <c r="H6661" s="7"/>
    </row>
    <row r="6662" spans="1:8" x14ac:dyDescent="0.35">
      <c r="A6662" s="7" t="s">
        <v>368</v>
      </c>
      <c r="B6662" s="7" t="s">
        <v>26</v>
      </c>
      <c r="C6662" s="7" t="s">
        <v>27</v>
      </c>
      <c r="D6662" s="7" t="s">
        <v>28</v>
      </c>
      <c r="E6662" s="7" t="s">
        <v>29</v>
      </c>
      <c r="F6662" s="7" t="s">
        <v>305</v>
      </c>
      <c r="G6662" s="7">
        <v>98.175830000000005</v>
      </c>
      <c r="H6662" s="7"/>
    </row>
    <row r="6663" spans="1:8" x14ac:dyDescent="0.35">
      <c r="A6663" s="7" t="s">
        <v>368</v>
      </c>
      <c r="B6663" s="7" t="s">
        <v>26</v>
      </c>
      <c r="C6663" s="7" t="s">
        <v>27</v>
      </c>
      <c r="D6663" s="7" t="s">
        <v>28</v>
      </c>
      <c r="E6663" s="7" t="s">
        <v>29</v>
      </c>
      <c r="F6663" s="7" t="s">
        <v>306</v>
      </c>
      <c r="G6663" s="7">
        <v>98.390749999999997</v>
      </c>
      <c r="H6663" s="7"/>
    </row>
    <row r="6664" spans="1:8" x14ac:dyDescent="0.35">
      <c r="A6664" s="7" t="s">
        <v>368</v>
      </c>
      <c r="B6664" s="7" t="s">
        <v>26</v>
      </c>
      <c r="C6664" s="7" t="s">
        <v>27</v>
      </c>
      <c r="D6664" s="7" t="s">
        <v>28</v>
      </c>
      <c r="E6664" s="7" t="s">
        <v>29</v>
      </c>
      <c r="F6664" s="7" t="s">
        <v>307</v>
      </c>
      <c r="G6664" s="7">
        <v>98.662350000000004</v>
      </c>
      <c r="H6664" s="7"/>
    </row>
    <row r="6665" spans="1:8" x14ac:dyDescent="0.35">
      <c r="A6665" s="7" t="s">
        <v>368</v>
      </c>
      <c r="B6665" s="7" t="s">
        <v>26</v>
      </c>
      <c r="C6665" s="7" t="s">
        <v>27</v>
      </c>
      <c r="D6665" s="7" t="s">
        <v>28</v>
      </c>
      <c r="E6665" s="7" t="s">
        <v>29</v>
      </c>
      <c r="F6665" s="7" t="s">
        <v>308</v>
      </c>
      <c r="G6665" s="7">
        <v>99.000780000000006</v>
      </c>
      <c r="H6665" s="7"/>
    </row>
    <row r="6666" spans="1:8" x14ac:dyDescent="0.35">
      <c r="A6666" s="7" t="s">
        <v>368</v>
      </c>
      <c r="B6666" s="7" t="s">
        <v>26</v>
      </c>
      <c r="C6666" s="7" t="s">
        <v>27</v>
      </c>
      <c r="D6666" s="7" t="s">
        <v>28</v>
      </c>
      <c r="E6666" s="7" t="s">
        <v>29</v>
      </c>
      <c r="F6666" s="7" t="s">
        <v>309</v>
      </c>
      <c r="G6666" s="7">
        <v>99.400980000000004</v>
      </c>
      <c r="H6666" s="7"/>
    </row>
    <row r="6667" spans="1:8" x14ac:dyDescent="0.35">
      <c r="A6667" s="7" t="s">
        <v>368</v>
      </c>
      <c r="B6667" s="7" t="s">
        <v>26</v>
      </c>
      <c r="C6667" s="7" t="s">
        <v>27</v>
      </c>
      <c r="D6667" s="7" t="s">
        <v>28</v>
      </c>
      <c r="E6667" s="7" t="s">
        <v>29</v>
      </c>
      <c r="F6667" s="7" t="s">
        <v>310</v>
      </c>
      <c r="G6667" s="7">
        <v>99.468540000000004</v>
      </c>
      <c r="H6667" s="7"/>
    </row>
    <row r="6668" spans="1:8" x14ac:dyDescent="0.35">
      <c r="A6668" s="7" t="s">
        <v>368</v>
      </c>
      <c r="B6668" s="7" t="s">
        <v>26</v>
      </c>
      <c r="C6668" s="7" t="s">
        <v>27</v>
      </c>
      <c r="D6668" s="7" t="s">
        <v>28</v>
      </c>
      <c r="E6668" s="7" t="s">
        <v>29</v>
      </c>
      <c r="F6668" s="7" t="s">
        <v>311</v>
      </c>
      <c r="G6668" s="7">
        <v>99.483469999999997</v>
      </c>
      <c r="H6668" s="7"/>
    </row>
    <row r="6669" spans="1:8" x14ac:dyDescent="0.35">
      <c r="A6669" s="7" t="s">
        <v>368</v>
      </c>
      <c r="B6669" s="7" t="s">
        <v>26</v>
      </c>
      <c r="C6669" s="7" t="s">
        <v>27</v>
      </c>
      <c r="D6669" s="7" t="s">
        <v>28</v>
      </c>
      <c r="E6669" s="7" t="s">
        <v>29</v>
      </c>
      <c r="F6669" s="7" t="s">
        <v>312</v>
      </c>
      <c r="G6669" s="7">
        <v>99.368549999999999</v>
      </c>
      <c r="H6669" s="7"/>
    </row>
    <row r="6670" spans="1:8" x14ac:dyDescent="0.35">
      <c r="A6670" s="7" t="s">
        <v>368</v>
      </c>
      <c r="B6670" s="7" t="s">
        <v>26</v>
      </c>
      <c r="C6670" s="7" t="s">
        <v>27</v>
      </c>
      <c r="D6670" s="7" t="s">
        <v>28</v>
      </c>
      <c r="E6670" s="7" t="s">
        <v>29</v>
      </c>
      <c r="F6670" s="7" t="s">
        <v>313</v>
      </c>
      <c r="G6670" s="7">
        <v>98.852959999999996</v>
      </c>
      <c r="H6670" s="7"/>
    </row>
    <row r="6671" spans="1:8" x14ac:dyDescent="0.35">
      <c r="A6671" s="7" t="s">
        <v>368</v>
      </c>
      <c r="B6671" s="7" t="s">
        <v>26</v>
      </c>
      <c r="C6671" s="7" t="s">
        <v>27</v>
      </c>
      <c r="D6671" s="7" t="s">
        <v>28</v>
      </c>
      <c r="E6671" s="7" t="s">
        <v>29</v>
      </c>
      <c r="F6671" s="7" t="s">
        <v>314</v>
      </c>
      <c r="G6671" s="7">
        <v>98.4084</v>
      </c>
      <c r="H6671" s="7"/>
    </row>
    <row r="6672" spans="1:8" x14ac:dyDescent="0.35">
      <c r="A6672" s="7" t="s">
        <v>368</v>
      </c>
      <c r="B6672" s="7" t="s">
        <v>26</v>
      </c>
      <c r="C6672" s="7" t="s">
        <v>27</v>
      </c>
      <c r="D6672" s="7" t="s">
        <v>28</v>
      </c>
      <c r="E6672" s="7" t="s">
        <v>29</v>
      </c>
      <c r="F6672" s="7" t="s">
        <v>315</v>
      </c>
      <c r="G6672" s="7">
        <v>98.207930000000005</v>
      </c>
      <c r="H6672" s="7"/>
    </row>
    <row r="6673" spans="1:8" x14ac:dyDescent="0.35">
      <c r="A6673" s="7" t="s">
        <v>368</v>
      </c>
      <c r="B6673" s="7" t="s">
        <v>26</v>
      </c>
      <c r="C6673" s="7" t="s">
        <v>27</v>
      </c>
      <c r="D6673" s="7" t="s">
        <v>28</v>
      </c>
      <c r="E6673" s="7" t="s">
        <v>29</v>
      </c>
      <c r="F6673" s="7" t="s">
        <v>316</v>
      </c>
      <c r="G6673" s="7">
        <v>98.191990000000004</v>
      </c>
      <c r="H6673" s="7"/>
    </row>
    <row r="6674" spans="1:8" x14ac:dyDescent="0.35">
      <c r="A6674" s="7" t="s">
        <v>368</v>
      </c>
      <c r="B6674" s="7" t="s">
        <v>26</v>
      </c>
      <c r="C6674" s="7" t="s">
        <v>27</v>
      </c>
      <c r="D6674" s="7" t="s">
        <v>28</v>
      </c>
      <c r="E6674" s="7" t="s">
        <v>29</v>
      </c>
      <c r="F6674" s="7" t="s">
        <v>317</v>
      </c>
      <c r="G6674" s="7">
        <v>98.097549999999998</v>
      </c>
      <c r="H6674" s="7"/>
    </row>
    <row r="6675" spans="1:8" x14ac:dyDescent="0.35">
      <c r="A6675" s="7" t="s">
        <v>368</v>
      </c>
      <c r="B6675" s="7" t="s">
        <v>26</v>
      </c>
      <c r="C6675" s="7" t="s">
        <v>27</v>
      </c>
      <c r="D6675" s="7" t="s">
        <v>28</v>
      </c>
      <c r="E6675" s="7" t="s">
        <v>29</v>
      </c>
      <c r="F6675" s="7" t="s">
        <v>318</v>
      </c>
      <c r="G6675" s="7">
        <v>98.045259999999999</v>
      </c>
      <c r="H6675" s="7"/>
    </row>
    <row r="6676" spans="1:8" x14ac:dyDescent="0.35">
      <c r="A6676" s="7" t="s">
        <v>368</v>
      </c>
      <c r="B6676" s="7" t="s">
        <v>26</v>
      </c>
      <c r="C6676" s="7" t="s">
        <v>27</v>
      </c>
      <c r="D6676" s="7" t="s">
        <v>28</v>
      </c>
      <c r="E6676" s="7" t="s">
        <v>29</v>
      </c>
      <c r="F6676" s="7" t="s">
        <v>319</v>
      </c>
      <c r="G6676" s="7">
        <v>97.991240000000005</v>
      </c>
      <c r="H6676" s="7"/>
    </row>
    <row r="6677" spans="1:8" x14ac:dyDescent="0.35">
      <c r="A6677" s="7" t="s">
        <v>368</v>
      </c>
      <c r="B6677" s="7" t="s">
        <v>26</v>
      </c>
      <c r="C6677" s="7" t="s">
        <v>27</v>
      </c>
      <c r="D6677" s="7" t="s">
        <v>28</v>
      </c>
      <c r="E6677" s="7" t="s">
        <v>29</v>
      </c>
      <c r="F6677" s="7" t="s">
        <v>320</v>
      </c>
      <c r="G6677" s="7">
        <v>97.886510000000001</v>
      </c>
      <c r="H6677" s="7"/>
    </row>
    <row r="6678" spans="1:8" x14ac:dyDescent="0.35">
      <c r="A6678" s="7" t="s">
        <v>368</v>
      </c>
      <c r="B6678" s="7" t="s">
        <v>26</v>
      </c>
      <c r="C6678" s="7" t="s">
        <v>27</v>
      </c>
      <c r="D6678" s="7" t="s">
        <v>28</v>
      </c>
      <c r="E6678" s="7" t="s">
        <v>29</v>
      </c>
      <c r="F6678" s="7" t="s">
        <v>321</v>
      </c>
      <c r="G6678" s="7">
        <v>97.588120000000004</v>
      </c>
      <c r="H6678" s="7"/>
    </row>
    <row r="6679" spans="1:8" x14ac:dyDescent="0.35">
      <c r="A6679" s="7" t="s">
        <v>368</v>
      </c>
      <c r="B6679" s="7" t="s">
        <v>26</v>
      </c>
      <c r="C6679" s="7" t="s">
        <v>27</v>
      </c>
      <c r="D6679" s="7" t="s">
        <v>28</v>
      </c>
      <c r="E6679" s="7" t="s">
        <v>29</v>
      </c>
      <c r="F6679" s="7" t="s">
        <v>322</v>
      </c>
      <c r="G6679" s="7">
        <v>97.071010000000001</v>
      </c>
      <c r="H6679" s="7"/>
    </row>
    <row r="6680" spans="1:8" x14ac:dyDescent="0.35">
      <c r="A6680" s="7" t="s">
        <v>368</v>
      </c>
      <c r="B6680" s="7" t="s">
        <v>26</v>
      </c>
      <c r="C6680" s="7" t="s">
        <v>27</v>
      </c>
      <c r="D6680" s="7" t="s">
        <v>28</v>
      </c>
      <c r="E6680" s="7" t="s">
        <v>29</v>
      </c>
      <c r="F6680" s="7" t="s">
        <v>323</v>
      </c>
      <c r="G6680" s="7">
        <v>96.869259999999997</v>
      </c>
      <c r="H6680" s="7"/>
    </row>
    <row r="6681" spans="1:8" x14ac:dyDescent="0.35">
      <c r="A6681" s="7" t="s">
        <v>368</v>
      </c>
      <c r="B6681" s="7" t="s">
        <v>26</v>
      </c>
      <c r="C6681" s="7" t="s">
        <v>27</v>
      </c>
      <c r="D6681" s="7" t="s">
        <v>28</v>
      </c>
      <c r="E6681" s="7" t="s">
        <v>29</v>
      </c>
      <c r="F6681" s="7" t="s">
        <v>324</v>
      </c>
      <c r="G6681" s="7">
        <v>97.022130000000004</v>
      </c>
      <c r="H6681" s="7"/>
    </row>
    <row r="6682" spans="1:8" x14ac:dyDescent="0.35">
      <c r="A6682" s="7" t="s">
        <v>368</v>
      </c>
      <c r="B6682" s="7" t="s">
        <v>26</v>
      </c>
      <c r="C6682" s="7" t="s">
        <v>27</v>
      </c>
      <c r="D6682" s="7" t="s">
        <v>28</v>
      </c>
      <c r="E6682" s="7" t="s">
        <v>29</v>
      </c>
      <c r="F6682" s="7" t="s">
        <v>325</v>
      </c>
      <c r="G6682" s="7">
        <v>97.632819999999995</v>
      </c>
      <c r="H6682" s="7"/>
    </row>
    <row r="6683" spans="1:8" x14ac:dyDescent="0.35">
      <c r="A6683" s="7" t="s">
        <v>368</v>
      </c>
      <c r="B6683" s="7" t="s">
        <v>26</v>
      </c>
      <c r="C6683" s="7" t="s">
        <v>27</v>
      </c>
      <c r="D6683" s="7" t="s">
        <v>28</v>
      </c>
      <c r="E6683" s="7" t="s">
        <v>29</v>
      </c>
      <c r="F6683" s="7" t="s">
        <v>326</v>
      </c>
      <c r="G6683" s="7">
        <v>98.287139999999994</v>
      </c>
      <c r="H6683" s="7"/>
    </row>
    <row r="6684" spans="1:8" x14ac:dyDescent="0.35">
      <c r="A6684" s="7" t="s">
        <v>368</v>
      </c>
      <c r="B6684" s="7" t="s">
        <v>26</v>
      </c>
      <c r="C6684" s="7" t="s">
        <v>27</v>
      </c>
      <c r="D6684" s="7" t="s">
        <v>28</v>
      </c>
      <c r="E6684" s="7" t="s">
        <v>29</v>
      </c>
      <c r="F6684" s="7" t="s">
        <v>327</v>
      </c>
      <c r="G6684" s="7">
        <v>98.549750000000003</v>
      </c>
      <c r="H6684" s="7"/>
    </row>
    <row r="6685" spans="1:8" x14ac:dyDescent="0.35">
      <c r="A6685" s="7" t="s">
        <v>368</v>
      </c>
      <c r="B6685" s="7" t="s">
        <v>26</v>
      </c>
      <c r="C6685" s="7" t="s">
        <v>27</v>
      </c>
      <c r="D6685" s="7" t="s">
        <v>28</v>
      </c>
      <c r="E6685" s="7" t="s">
        <v>29</v>
      </c>
      <c r="F6685" s="7" t="s">
        <v>328</v>
      </c>
      <c r="G6685" s="7">
        <v>98.702349999999996</v>
      </c>
      <c r="H6685" s="7"/>
    </row>
    <row r="6686" spans="1:8" x14ac:dyDescent="0.35">
      <c r="A6686" s="7" t="s">
        <v>368</v>
      </c>
      <c r="B6686" s="7" t="s">
        <v>26</v>
      </c>
      <c r="C6686" s="7" t="s">
        <v>27</v>
      </c>
      <c r="D6686" s="7" t="s">
        <v>28</v>
      </c>
      <c r="E6686" s="7" t="s">
        <v>29</v>
      </c>
      <c r="F6686" s="7" t="s">
        <v>329</v>
      </c>
      <c r="G6686" s="7">
        <v>99.05265</v>
      </c>
      <c r="H6686" s="7"/>
    </row>
    <row r="6687" spans="1:8" x14ac:dyDescent="0.35">
      <c r="A6687" s="7" t="s">
        <v>368</v>
      </c>
      <c r="B6687" s="7" t="s">
        <v>26</v>
      </c>
      <c r="C6687" s="7" t="s">
        <v>27</v>
      </c>
      <c r="D6687" s="7" t="s">
        <v>28</v>
      </c>
      <c r="E6687" s="7" t="s">
        <v>29</v>
      </c>
      <c r="F6687" s="7" t="s">
        <v>330</v>
      </c>
      <c r="G6687" s="7">
        <v>99.424610000000001</v>
      </c>
      <c r="H6687" s="7"/>
    </row>
    <row r="6688" spans="1:8" x14ac:dyDescent="0.35">
      <c r="A6688" s="7" t="s">
        <v>368</v>
      </c>
      <c r="B6688" s="7" t="s">
        <v>26</v>
      </c>
      <c r="C6688" s="7" t="s">
        <v>27</v>
      </c>
      <c r="D6688" s="7" t="s">
        <v>28</v>
      </c>
      <c r="E6688" s="7" t="s">
        <v>29</v>
      </c>
      <c r="F6688" s="7" t="s">
        <v>331</v>
      </c>
      <c r="G6688" s="7">
        <v>99.736599999999996</v>
      </c>
      <c r="H6688" s="7"/>
    </row>
    <row r="6689" spans="1:8" x14ac:dyDescent="0.35">
      <c r="A6689" s="7" t="s">
        <v>368</v>
      </c>
      <c r="B6689" s="7" t="s">
        <v>26</v>
      </c>
      <c r="C6689" s="7" t="s">
        <v>27</v>
      </c>
      <c r="D6689" s="7" t="s">
        <v>28</v>
      </c>
      <c r="E6689" s="7" t="s">
        <v>29</v>
      </c>
      <c r="F6689" s="7" t="s">
        <v>332</v>
      </c>
      <c r="G6689" s="7">
        <v>100.1293</v>
      </c>
      <c r="H6689" s="7"/>
    </row>
    <row r="6690" spans="1:8" x14ac:dyDescent="0.35">
      <c r="A6690" s="7" t="s">
        <v>368</v>
      </c>
      <c r="B6690" s="7" t="s">
        <v>26</v>
      </c>
      <c r="C6690" s="7" t="s">
        <v>27</v>
      </c>
      <c r="D6690" s="7" t="s">
        <v>28</v>
      </c>
      <c r="E6690" s="7" t="s">
        <v>29</v>
      </c>
      <c r="F6690" s="7" t="s">
        <v>333</v>
      </c>
      <c r="G6690" s="7">
        <v>100.5822</v>
      </c>
      <c r="H6690" s="7"/>
    </row>
    <row r="6691" spans="1:8" x14ac:dyDescent="0.35">
      <c r="A6691" s="7" t="s">
        <v>368</v>
      </c>
      <c r="B6691" s="7" t="s">
        <v>26</v>
      </c>
      <c r="C6691" s="7" t="s">
        <v>27</v>
      </c>
      <c r="D6691" s="7" t="s">
        <v>28</v>
      </c>
      <c r="E6691" s="7" t="s">
        <v>29</v>
      </c>
      <c r="F6691" s="7" t="s">
        <v>334</v>
      </c>
      <c r="G6691" s="7">
        <v>100.8068</v>
      </c>
      <c r="H6691" s="7"/>
    </row>
    <row r="6692" spans="1:8" x14ac:dyDescent="0.35">
      <c r="A6692" s="7" t="s">
        <v>368</v>
      </c>
      <c r="B6692" s="7" t="s">
        <v>26</v>
      </c>
      <c r="C6692" s="7" t="s">
        <v>27</v>
      </c>
      <c r="D6692" s="7" t="s">
        <v>28</v>
      </c>
      <c r="E6692" s="7" t="s">
        <v>29</v>
      </c>
      <c r="F6692" s="7" t="s">
        <v>335</v>
      </c>
      <c r="G6692" s="7">
        <v>101.0076</v>
      </c>
      <c r="H6692" s="7"/>
    </row>
    <row r="6693" spans="1:8" x14ac:dyDescent="0.35">
      <c r="A6693" s="7" t="s">
        <v>368</v>
      </c>
      <c r="B6693" s="7" t="s">
        <v>26</v>
      </c>
      <c r="C6693" s="7" t="s">
        <v>27</v>
      </c>
      <c r="D6693" s="7" t="s">
        <v>28</v>
      </c>
      <c r="E6693" s="7" t="s">
        <v>29</v>
      </c>
      <c r="F6693" s="7" t="s">
        <v>336</v>
      </c>
      <c r="G6693" s="7">
        <v>101.0861</v>
      </c>
      <c r="H6693" s="7"/>
    </row>
    <row r="6694" spans="1:8" x14ac:dyDescent="0.35">
      <c r="A6694" s="7" t="s">
        <v>368</v>
      </c>
      <c r="B6694" s="7" t="s">
        <v>26</v>
      </c>
      <c r="C6694" s="7" t="s">
        <v>27</v>
      </c>
      <c r="D6694" s="7" t="s">
        <v>28</v>
      </c>
      <c r="E6694" s="7" t="s">
        <v>29</v>
      </c>
      <c r="F6694" s="7" t="s">
        <v>337</v>
      </c>
      <c r="G6694" s="7">
        <v>101.2971</v>
      </c>
      <c r="H6694" s="7"/>
    </row>
    <row r="6695" spans="1:8" x14ac:dyDescent="0.35">
      <c r="A6695" s="7" t="s">
        <v>368</v>
      </c>
      <c r="B6695" s="7" t="s">
        <v>26</v>
      </c>
      <c r="C6695" s="7" t="s">
        <v>27</v>
      </c>
      <c r="D6695" s="7" t="s">
        <v>28</v>
      </c>
      <c r="E6695" s="7" t="s">
        <v>29</v>
      </c>
      <c r="F6695" s="7" t="s">
        <v>338</v>
      </c>
      <c r="G6695" s="7">
        <v>101.6703</v>
      </c>
      <c r="H6695" s="7"/>
    </row>
    <row r="6696" spans="1:8" x14ac:dyDescent="0.35">
      <c r="A6696" s="7" t="s">
        <v>368</v>
      </c>
      <c r="B6696" s="7" t="s">
        <v>26</v>
      </c>
      <c r="C6696" s="7" t="s">
        <v>27</v>
      </c>
      <c r="D6696" s="7" t="s">
        <v>28</v>
      </c>
      <c r="E6696" s="7" t="s">
        <v>29</v>
      </c>
      <c r="F6696" s="7" t="s">
        <v>339</v>
      </c>
      <c r="G6696" s="7">
        <v>102.26349999999999</v>
      </c>
      <c r="H6696" s="7"/>
    </row>
    <row r="6697" spans="1:8" x14ac:dyDescent="0.35">
      <c r="A6697" s="7" t="s">
        <v>368</v>
      </c>
      <c r="B6697" s="7" t="s">
        <v>26</v>
      </c>
      <c r="C6697" s="7" t="s">
        <v>27</v>
      </c>
      <c r="D6697" s="7" t="s">
        <v>28</v>
      </c>
      <c r="E6697" s="7" t="s">
        <v>29</v>
      </c>
      <c r="F6697" s="7" t="s">
        <v>340</v>
      </c>
      <c r="G6697" s="7">
        <v>103.2533</v>
      </c>
      <c r="H6697" s="7"/>
    </row>
    <row r="6698" spans="1:8" x14ac:dyDescent="0.35">
      <c r="A6698" s="7" t="s">
        <v>368</v>
      </c>
      <c r="B6698" s="7" t="s">
        <v>26</v>
      </c>
      <c r="C6698" s="7" t="s">
        <v>27</v>
      </c>
      <c r="D6698" s="7" t="s">
        <v>28</v>
      </c>
      <c r="E6698" s="7" t="s">
        <v>29</v>
      </c>
      <c r="F6698" s="7" t="s">
        <v>341</v>
      </c>
      <c r="G6698" s="7">
        <v>104.1636</v>
      </c>
      <c r="H6698" s="7"/>
    </row>
    <row r="6699" spans="1:8" x14ac:dyDescent="0.35">
      <c r="A6699" s="7" t="s">
        <v>368</v>
      </c>
      <c r="B6699" s="7" t="s">
        <v>26</v>
      </c>
      <c r="C6699" s="7" t="s">
        <v>27</v>
      </c>
      <c r="D6699" s="7" t="s">
        <v>28</v>
      </c>
      <c r="E6699" s="7" t="s">
        <v>29</v>
      </c>
      <c r="F6699" s="7" t="s">
        <v>342</v>
      </c>
      <c r="G6699" s="7">
        <v>104.48269999999999</v>
      </c>
      <c r="H6699" s="7"/>
    </row>
    <row r="6700" spans="1:8" x14ac:dyDescent="0.35">
      <c r="A6700" s="7" t="s">
        <v>368</v>
      </c>
      <c r="B6700" s="7" t="s">
        <v>26</v>
      </c>
      <c r="C6700" s="7" t="s">
        <v>27</v>
      </c>
      <c r="D6700" s="7" t="s">
        <v>28</v>
      </c>
      <c r="E6700" s="7" t="s">
        <v>29</v>
      </c>
      <c r="F6700" s="7" t="s">
        <v>343</v>
      </c>
      <c r="G6700" s="7">
        <v>104.645</v>
      </c>
      <c r="H6700" s="7"/>
    </row>
    <row r="6701" spans="1:8" x14ac:dyDescent="0.35">
      <c r="A6701" s="7" t="s">
        <v>368</v>
      </c>
      <c r="B6701" s="7" t="s">
        <v>26</v>
      </c>
      <c r="C6701" s="7" t="s">
        <v>27</v>
      </c>
      <c r="D6701" s="7" t="s">
        <v>28</v>
      </c>
      <c r="E6701" s="7" t="s">
        <v>29</v>
      </c>
      <c r="F6701" s="7" t="s">
        <v>344</v>
      </c>
      <c r="G6701" s="7">
        <v>104.7842</v>
      </c>
      <c r="H6701" s="7"/>
    </row>
    <row r="6702" spans="1:8" x14ac:dyDescent="0.35">
      <c r="A6702" s="7" t="s">
        <v>368</v>
      </c>
      <c r="B6702" s="7" t="s">
        <v>26</v>
      </c>
      <c r="C6702" s="7" t="s">
        <v>27</v>
      </c>
      <c r="D6702" s="7" t="s">
        <v>28</v>
      </c>
      <c r="E6702" s="7" t="s">
        <v>29</v>
      </c>
      <c r="F6702" s="7" t="s">
        <v>345</v>
      </c>
      <c r="G6702" s="7">
        <v>105.03449999999999</v>
      </c>
      <c r="H6702" s="7"/>
    </row>
    <row r="6703" spans="1:8" x14ac:dyDescent="0.35">
      <c r="A6703" s="7" t="s">
        <v>369</v>
      </c>
      <c r="B6703" s="7" t="s">
        <v>26</v>
      </c>
      <c r="C6703" s="7" t="s">
        <v>27</v>
      </c>
      <c r="D6703" s="7" t="s">
        <v>28</v>
      </c>
      <c r="E6703" s="7" t="s">
        <v>29</v>
      </c>
      <c r="F6703" s="7" t="s">
        <v>30</v>
      </c>
      <c r="G6703" s="7">
        <v>100.4016</v>
      </c>
      <c r="H6703" s="7"/>
    </row>
    <row r="6704" spans="1:8" x14ac:dyDescent="0.35">
      <c r="A6704" s="7" t="s">
        <v>369</v>
      </c>
      <c r="B6704" s="7" t="s">
        <v>26</v>
      </c>
      <c r="C6704" s="7" t="s">
        <v>27</v>
      </c>
      <c r="D6704" s="7" t="s">
        <v>28</v>
      </c>
      <c r="E6704" s="7" t="s">
        <v>29</v>
      </c>
      <c r="F6704" s="7" t="s">
        <v>31</v>
      </c>
      <c r="G6704" s="7">
        <v>100.2735</v>
      </c>
      <c r="H6704" s="7"/>
    </row>
    <row r="6705" spans="1:8" x14ac:dyDescent="0.35">
      <c r="A6705" s="7" t="s">
        <v>369</v>
      </c>
      <c r="B6705" s="7" t="s">
        <v>26</v>
      </c>
      <c r="C6705" s="7" t="s">
        <v>27</v>
      </c>
      <c r="D6705" s="7" t="s">
        <v>28</v>
      </c>
      <c r="E6705" s="7" t="s">
        <v>29</v>
      </c>
      <c r="F6705" s="7" t="s">
        <v>32</v>
      </c>
      <c r="G6705" s="7">
        <v>100.143</v>
      </c>
      <c r="H6705" s="7"/>
    </row>
    <row r="6706" spans="1:8" x14ac:dyDescent="0.35">
      <c r="A6706" s="7" t="s">
        <v>369</v>
      </c>
      <c r="B6706" s="7" t="s">
        <v>26</v>
      </c>
      <c r="C6706" s="7" t="s">
        <v>27</v>
      </c>
      <c r="D6706" s="7" t="s">
        <v>28</v>
      </c>
      <c r="E6706" s="7" t="s">
        <v>29</v>
      </c>
      <c r="F6706" s="7" t="s">
        <v>33</v>
      </c>
      <c r="G6706" s="7">
        <v>99.962639999999993</v>
      </c>
      <c r="H6706" s="7"/>
    </row>
    <row r="6707" spans="1:8" x14ac:dyDescent="0.35">
      <c r="A6707" s="7" t="s">
        <v>369</v>
      </c>
      <c r="B6707" s="7" t="s">
        <v>26</v>
      </c>
      <c r="C6707" s="7" t="s">
        <v>27</v>
      </c>
      <c r="D6707" s="7" t="s">
        <v>28</v>
      </c>
      <c r="E6707" s="7" t="s">
        <v>29</v>
      </c>
      <c r="F6707" s="7" t="s">
        <v>34</v>
      </c>
      <c r="G6707" s="7">
        <v>99.803330000000003</v>
      </c>
      <c r="H6707" s="7"/>
    </row>
    <row r="6708" spans="1:8" x14ac:dyDescent="0.35">
      <c r="A6708" s="7" t="s">
        <v>369</v>
      </c>
      <c r="B6708" s="7" t="s">
        <v>26</v>
      </c>
      <c r="C6708" s="7" t="s">
        <v>27</v>
      </c>
      <c r="D6708" s="7" t="s">
        <v>28</v>
      </c>
      <c r="E6708" s="7" t="s">
        <v>29</v>
      </c>
      <c r="F6708" s="7" t="s">
        <v>35</v>
      </c>
      <c r="G6708" s="7">
        <v>99.698269999999994</v>
      </c>
      <c r="H6708" s="7"/>
    </row>
    <row r="6709" spans="1:8" x14ac:dyDescent="0.35">
      <c r="A6709" s="7" t="s">
        <v>369</v>
      </c>
      <c r="B6709" s="7" t="s">
        <v>26</v>
      </c>
      <c r="C6709" s="7" t="s">
        <v>27</v>
      </c>
      <c r="D6709" s="7" t="s">
        <v>28</v>
      </c>
      <c r="E6709" s="7" t="s">
        <v>29</v>
      </c>
      <c r="F6709" s="7" t="s">
        <v>36</v>
      </c>
      <c r="G6709" s="7">
        <v>99.690049999999999</v>
      </c>
      <c r="H6709" s="7"/>
    </row>
    <row r="6710" spans="1:8" x14ac:dyDescent="0.35">
      <c r="A6710" s="7" t="s">
        <v>369</v>
      </c>
      <c r="B6710" s="7" t="s">
        <v>26</v>
      </c>
      <c r="C6710" s="7" t="s">
        <v>27</v>
      </c>
      <c r="D6710" s="7" t="s">
        <v>28</v>
      </c>
      <c r="E6710" s="7" t="s">
        <v>29</v>
      </c>
      <c r="F6710" s="7" t="s">
        <v>37</v>
      </c>
      <c r="G6710" s="7">
        <v>99.711299999999994</v>
      </c>
      <c r="H6710" s="7"/>
    </row>
    <row r="6711" spans="1:8" x14ac:dyDescent="0.35">
      <c r="A6711" s="7" t="s">
        <v>369</v>
      </c>
      <c r="B6711" s="7" t="s">
        <v>26</v>
      </c>
      <c r="C6711" s="7" t="s">
        <v>27</v>
      </c>
      <c r="D6711" s="7" t="s">
        <v>28</v>
      </c>
      <c r="E6711" s="7" t="s">
        <v>29</v>
      </c>
      <c r="F6711" s="7" t="s">
        <v>38</v>
      </c>
      <c r="G6711" s="7">
        <v>99.727620000000002</v>
      </c>
      <c r="H6711" s="7"/>
    </row>
    <row r="6712" spans="1:8" x14ac:dyDescent="0.35">
      <c r="A6712" s="7" t="s">
        <v>369</v>
      </c>
      <c r="B6712" s="7" t="s">
        <v>26</v>
      </c>
      <c r="C6712" s="7" t="s">
        <v>27</v>
      </c>
      <c r="D6712" s="7" t="s">
        <v>28</v>
      </c>
      <c r="E6712" s="7" t="s">
        <v>29</v>
      </c>
      <c r="F6712" s="7" t="s">
        <v>39</v>
      </c>
      <c r="G6712" s="7">
        <v>99.637720000000002</v>
      </c>
      <c r="H6712" s="7"/>
    </row>
    <row r="6713" spans="1:8" x14ac:dyDescent="0.35">
      <c r="A6713" s="7" t="s">
        <v>369</v>
      </c>
      <c r="B6713" s="7" t="s">
        <v>26</v>
      </c>
      <c r="C6713" s="7" t="s">
        <v>27</v>
      </c>
      <c r="D6713" s="7" t="s">
        <v>28</v>
      </c>
      <c r="E6713" s="7" t="s">
        <v>29</v>
      </c>
      <c r="F6713" s="7" t="s">
        <v>40</v>
      </c>
      <c r="G6713" s="7">
        <v>99.425420000000003</v>
      </c>
      <c r="H6713" s="7"/>
    </row>
    <row r="6714" spans="1:8" x14ac:dyDescent="0.35">
      <c r="A6714" s="7" t="s">
        <v>369</v>
      </c>
      <c r="B6714" s="7" t="s">
        <v>26</v>
      </c>
      <c r="C6714" s="7" t="s">
        <v>27</v>
      </c>
      <c r="D6714" s="7" t="s">
        <v>28</v>
      </c>
      <c r="E6714" s="7" t="s">
        <v>29</v>
      </c>
      <c r="F6714" s="7" t="s">
        <v>41</v>
      </c>
      <c r="G6714" s="7">
        <v>99.148579999999995</v>
      </c>
      <c r="H6714" s="7"/>
    </row>
    <row r="6715" spans="1:8" x14ac:dyDescent="0.35">
      <c r="A6715" s="7" t="s">
        <v>369</v>
      </c>
      <c r="B6715" s="7" t="s">
        <v>26</v>
      </c>
      <c r="C6715" s="7" t="s">
        <v>27</v>
      </c>
      <c r="D6715" s="7" t="s">
        <v>28</v>
      </c>
      <c r="E6715" s="7" t="s">
        <v>29</v>
      </c>
      <c r="F6715" s="7" t="s">
        <v>42</v>
      </c>
      <c r="G6715" s="7">
        <v>99.005549999999999</v>
      </c>
      <c r="H6715" s="7"/>
    </row>
    <row r="6716" spans="1:8" x14ac:dyDescent="0.35">
      <c r="A6716" s="7" t="s">
        <v>369</v>
      </c>
      <c r="B6716" s="7" t="s">
        <v>26</v>
      </c>
      <c r="C6716" s="7" t="s">
        <v>27</v>
      </c>
      <c r="D6716" s="7" t="s">
        <v>28</v>
      </c>
      <c r="E6716" s="7" t="s">
        <v>29</v>
      </c>
      <c r="F6716" s="7" t="s">
        <v>43</v>
      </c>
      <c r="G6716" s="7">
        <v>98.882859999999994</v>
      </c>
      <c r="H6716" s="7"/>
    </row>
    <row r="6717" spans="1:8" x14ac:dyDescent="0.35">
      <c r="A6717" s="7" t="s">
        <v>369</v>
      </c>
      <c r="B6717" s="7" t="s">
        <v>26</v>
      </c>
      <c r="C6717" s="7" t="s">
        <v>27</v>
      </c>
      <c r="D6717" s="7" t="s">
        <v>28</v>
      </c>
      <c r="E6717" s="7" t="s">
        <v>29</v>
      </c>
      <c r="F6717" s="7" t="s">
        <v>44</v>
      </c>
      <c r="G6717" s="7">
        <v>98.677800000000005</v>
      </c>
      <c r="H6717" s="7"/>
    </row>
    <row r="6718" spans="1:8" x14ac:dyDescent="0.35">
      <c r="A6718" s="7" t="s">
        <v>369</v>
      </c>
      <c r="B6718" s="7" t="s">
        <v>26</v>
      </c>
      <c r="C6718" s="7" t="s">
        <v>27</v>
      </c>
      <c r="D6718" s="7" t="s">
        <v>28</v>
      </c>
      <c r="E6718" s="7" t="s">
        <v>29</v>
      </c>
      <c r="F6718" s="7" t="s">
        <v>45</v>
      </c>
      <c r="G6718" s="7">
        <v>98.510800000000003</v>
      </c>
      <c r="H6718" s="7"/>
    </row>
    <row r="6719" spans="1:8" x14ac:dyDescent="0.35">
      <c r="A6719" s="7" t="s">
        <v>369</v>
      </c>
      <c r="B6719" s="7" t="s">
        <v>26</v>
      </c>
      <c r="C6719" s="7" t="s">
        <v>27</v>
      </c>
      <c r="D6719" s="7" t="s">
        <v>28</v>
      </c>
      <c r="E6719" s="7" t="s">
        <v>29</v>
      </c>
      <c r="F6719" s="7" t="s">
        <v>46</v>
      </c>
      <c r="G6719" s="7">
        <v>98.436920000000001</v>
      </c>
      <c r="H6719" s="7"/>
    </row>
    <row r="6720" spans="1:8" x14ac:dyDescent="0.35">
      <c r="A6720" s="7" t="s">
        <v>369</v>
      </c>
      <c r="B6720" s="7" t="s">
        <v>26</v>
      </c>
      <c r="C6720" s="7" t="s">
        <v>27</v>
      </c>
      <c r="D6720" s="7" t="s">
        <v>28</v>
      </c>
      <c r="E6720" s="7" t="s">
        <v>29</v>
      </c>
      <c r="F6720" s="7" t="s">
        <v>47</v>
      </c>
      <c r="G6720" s="7">
        <v>98.377300000000005</v>
      </c>
      <c r="H6720" s="7"/>
    </row>
    <row r="6721" spans="1:8" x14ac:dyDescent="0.35">
      <c r="A6721" s="7" t="s">
        <v>369</v>
      </c>
      <c r="B6721" s="7" t="s">
        <v>26</v>
      </c>
      <c r="C6721" s="7" t="s">
        <v>27</v>
      </c>
      <c r="D6721" s="7" t="s">
        <v>28</v>
      </c>
      <c r="E6721" s="7" t="s">
        <v>29</v>
      </c>
      <c r="F6721" s="7" t="s">
        <v>48</v>
      </c>
      <c r="G6721" s="7">
        <v>98.350070000000002</v>
      </c>
      <c r="H6721" s="7"/>
    </row>
    <row r="6722" spans="1:8" x14ac:dyDescent="0.35">
      <c r="A6722" s="7" t="s">
        <v>369</v>
      </c>
      <c r="B6722" s="7" t="s">
        <v>26</v>
      </c>
      <c r="C6722" s="7" t="s">
        <v>27</v>
      </c>
      <c r="D6722" s="7" t="s">
        <v>28</v>
      </c>
      <c r="E6722" s="7" t="s">
        <v>29</v>
      </c>
      <c r="F6722" s="7" t="s">
        <v>49</v>
      </c>
      <c r="G6722" s="7">
        <v>98.283199999999994</v>
      </c>
      <c r="H6722" s="7"/>
    </row>
    <row r="6723" spans="1:8" x14ac:dyDescent="0.35">
      <c r="A6723" s="7" t="s">
        <v>369</v>
      </c>
      <c r="B6723" s="7" t="s">
        <v>26</v>
      </c>
      <c r="C6723" s="7" t="s">
        <v>27</v>
      </c>
      <c r="D6723" s="7" t="s">
        <v>28</v>
      </c>
      <c r="E6723" s="7" t="s">
        <v>29</v>
      </c>
      <c r="F6723" s="7" t="s">
        <v>50</v>
      </c>
      <c r="G6723" s="7">
        <v>98.232380000000006</v>
      </c>
      <c r="H6723" s="7"/>
    </row>
    <row r="6724" spans="1:8" x14ac:dyDescent="0.35">
      <c r="A6724" s="7" t="s">
        <v>369</v>
      </c>
      <c r="B6724" s="7" t="s">
        <v>26</v>
      </c>
      <c r="C6724" s="7" t="s">
        <v>27</v>
      </c>
      <c r="D6724" s="7" t="s">
        <v>28</v>
      </c>
      <c r="E6724" s="7" t="s">
        <v>29</v>
      </c>
      <c r="F6724" s="7" t="s">
        <v>51</v>
      </c>
      <c r="G6724" s="7">
        <v>98.201160000000002</v>
      </c>
      <c r="H6724" s="7"/>
    </row>
    <row r="6725" spans="1:8" x14ac:dyDescent="0.35">
      <c r="A6725" s="7" t="s">
        <v>369</v>
      </c>
      <c r="B6725" s="7" t="s">
        <v>26</v>
      </c>
      <c r="C6725" s="7" t="s">
        <v>27</v>
      </c>
      <c r="D6725" s="7" t="s">
        <v>28</v>
      </c>
      <c r="E6725" s="7" t="s">
        <v>29</v>
      </c>
      <c r="F6725" s="7" t="s">
        <v>52</v>
      </c>
      <c r="G6725" s="7">
        <v>98.180549999999997</v>
      </c>
      <c r="H6725" s="7"/>
    </row>
    <row r="6726" spans="1:8" x14ac:dyDescent="0.35">
      <c r="A6726" s="7" t="s">
        <v>369</v>
      </c>
      <c r="B6726" s="7" t="s">
        <v>26</v>
      </c>
      <c r="C6726" s="7" t="s">
        <v>27</v>
      </c>
      <c r="D6726" s="7" t="s">
        <v>28</v>
      </c>
      <c r="E6726" s="7" t="s">
        <v>29</v>
      </c>
      <c r="F6726" s="7" t="s">
        <v>53</v>
      </c>
      <c r="G6726" s="7">
        <v>98.135319999999993</v>
      </c>
      <c r="H6726" s="7"/>
    </row>
    <row r="6727" spans="1:8" x14ac:dyDescent="0.35">
      <c r="A6727" s="7" t="s">
        <v>369</v>
      </c>
      <c r="B6727" s="7" t="s">
        <v>26</v>
      </c>
      <c r="C6727" s="7" t="s">
        <v>27</v>
      </c>
      <c r="D6727" s="7" t="s">
        <v>28</v>
      </c>
      <c r="E6727" s="7" t="s">
        <v>29</v>
      </c>
      <c r="F6727" s="7" t="s">
        <v>54</v>
      </c>
      <c r="G6727" s="7">
        <v>98.159310000000005</v>
      </c>
      <c r="H6727" s="7"/>
    </row>
    <row r="6728" spans="1:8" x14ac:dyDescent="0.35">
      <c r="A6728" s="7" t="s">
        <v>369</v>
      </c>
      <c r="B6728" s="7" t="s">
        <v>26</v>
      </c>
      <c r="C6728" s="7" t="s">
        <v>27</v>
      </c>
      <c r="D6728" s="7" t="s">
        <v>28</v>
      </c>
      <c r="E6728" s="7" t="s">
        <v>29</v>
      </c>
      <c r="F6728" s="7" t="s">
        <v>55</v>
      </c>
      <c r="G6728" s="7">
        <v>98.307400000000001</v>
      </c>
      <c r="H6728" s="7"/>
    </row>
    <row r="6729" spans="1:8" x14ac:dyDescent="0.35">
      <c r="A6729" s="7" t="s">
        <v>369</v>
      </c>
      <c r="B6729" s="7" t="s">
        <v>26</v>
      </c>
      <c r="C6729" s="7" t="s">
        <v>27</v>
      </c>
      <c r="D6729" s="7" t="s">
        <v>28</v>
      </c>
      <c r="E6729" s="7" t="s">
        <v>29</v>
      </c>
      <c r="F6729" s="7" t="s">
        <v>56</v>
      </c>
      <c r="G6729" s="7">
        <v>98.582880000000003</v>
      </c>
      <c r="H6729" s="7"/>
    </row>
    <row r="6730" spans="1:8" x14ac:dyDescent="0.35">
      <c r="A6730" s="7" t="s">
        <v>369</v>
      </c>
      <c r="B6730" s="7" t="s">
        <v>26</v>
      </c>
      <c r="C6730" s="7" t="s">
        <v>27</v>
      </c>
      <c r="D6730" s="7" t="s">
        <v>28</v>
      </c>
      <c r="E6730" s="7" t="s">
        <v>29</v>
      </c>
      <c r="F6730" s="7" t="s">
        <v>57</v>
      </c>
      <c r="G6730" s="7">
        <v>98.856520000000003</v>
      </c>
      <c r="H6730" s="7"/>
    </row>
    <row r="6731" spans="1:8" x14ac:dyDescent="0.35">
      <c r="A6731" s="7" t="s">
        <v>369</v>
      </c>
      <c r="B6731" s="7" t="s">
        <v>26</v>
      </c>
      <c r="C6731" s="7" t="s">
        <v>27</v>
      </c>
      <c r="D6731" s="7" t="s">
        <v>28</v>
      </c>
      <c r="E6731" s="7" t="s">
        <v>29</v>
      </c>
      <c r="F6731" s="7" t="s">
        <v>58</v>
      </c>
      <c r="G6731" s="7">
        <v>99.185760000000002</v>
      </c>
      <c r="H6731" s="7"/>
    </row>
    <row r="6732" spans="1:8" x14ac:dyDescent="0.35">
      <c r="A6732" s="7" t="s">
        <v>369</v>
      </c>
      <c r="B6732" s="7" t="s">
        <v>26</v>
      </c>
      <c r="C6732" s="7" t="s">
        <v>27</v>
      </c>
      <c r="D6732" s="7" t="s">
        <v>28</v>
      </c>
      <c r="E6732" s="7" t="s">
        <v>29</v>
      </c>
      <c r="F6732" s="7" t="s">
        <v>59</v>
      </c>
      <c r="G6732" s="7">
        <v>99.496089999999995</v>
      </c>
      <c r="H6732" s="7"/>
    </row>
    <row r="6733" spans="1:8" x14ac:dyDescent="0.35">
      <c r="A6733" s="7" t="s">
        <v>369</v>
      </c>
      <c r="B6733" s="7" t="s">
        <v>26</v>
      </c>
      <c r="C6733" s="7" t="s">
        <v>27</v>
      </c>
      <c r="D6733" s="7" t="s">
        <v>28</v>
      </c>
      <c r="E6733" s="7" t="s">
        <v>29</v>
      </c>
      <c r="F6733" s="7" t="s">
        <v>60</v>
      </c>
      <c r="G6733" s="7">
        <v>99.745450000000005</v>
      </c>
      <c r="H6733" s="7"/>
    </row>
    <row r="6734" spans="1:8" x14ac:dyDescent="0.35">
      <c r="A6734" s="7" t="s">
        <v>369</v>
      </c>
      <c r="B6734" s="7" t="s">
        <v>26</v>
      </c>
      <c r="C6734" s="7" t="s">
        <v>27</v>
      </c>
      <c r="D6734" s="7" t="s">
        <v>28</v>
      </c>
      <c r="E6734" s="7" t="s">
        <v>29</v>
      </c>
      <c r="F6734" s="7" t="s">
        <v>61</v>
      </c>
      <c r="G6734" s="7">
        <v>99.883049999999997</v>
      </c>
      <c r="H6734" s="7"/>
    </row>
    <row r="6735" spans="1:8" x14ac:dyDescent="0.35">
      <c r="A6735" s="7" t="s">
        <v>369</v>
      </c>
      <c r="B6735" s="7" t="s">
        <v>26</v>
      </c>
      <c r="C6735" s="7" t="s">
        <v>27</v>
      </c>
      <c r="D6735" s="7" t="s">
        <v>28</v>
      </c>
      <c r="E6735" s="7" t="s">
        <v>29</v>
      </c>
      <c r="F6735" s="7" t="s">
        <v>62</v>
      </c>
      <c r="G6735" s="7">
        <v>100.0376</v>
      </c>
      <c r="H6735" s="7"/>
    </row>
    <row r="6736" spans="1:8" x14ac:dyDescent="0.35">
      <c r="A6736" s="7" t="s">
        <v>369</v>
      </c>
      <c r="B6736" s="7" t="s">
        <v>26</v>
      </c>
      <c r="C6736" s="7" t="s">
        <v>27</v>
      </c>
      <c r="D6736" s="7" t="s">
        <v>28</v>
      </c>
      <c r="E6736" s="7" t="s">
        <v>29</v>
      </c>
      <c r="F6736" s="7" t="s">
        <v>63</v>
      </c>
      <c r="G6736" s="7">
        <v>100.31229999999999</v>
      </c>
      <c r="H6736" s="7"/>
    </row>
    <row r="6737" spans="1:8" x14ac:dyDescent="0.35">
      <c r="A6737" s="7" t="s">
        <v>369</v>
      </c>
      <c r="B6737" s="7" t="s">
        <v>26</v>
      </c>
      <c r="C6737" s="7" t="s">
        <v>27</v>
      </c>
      <c r="D6737" s="7" t="s">
        <v>28</v>
      </c>
      <c r="E6737" s="7" t="s">
        <v>29</v>
      </c>
      <c r="F6737" s="7" t="s">
        <v>64</v>
      </c>
      <c r="G6737" s="7">
        <v>100.5855</v>
      </c>
      <c r="H6737" s="7"/>
    </row>
    <row r="6738" spans="1:8" x14ac:dyDescent="0.35">
      <c r="A6738" s="7" t="s">
        <v>369</v>
      </c>
      <c r="B6738" s="7" t="s">
        <v>26</v>
      </c>
      <c r="C6738" s="7" t="s">
        <v>27</v>
      </c>
      <c r="D6738" s="7" t="s">
        <v>28</v>
      </c>
      <c r="E6738" s="7" t="s">
        <v>29</v>
      </c>
      <c r="F6738" s="7" t="s">
        <v>65</v>
      </c>
      <c r="G6738" s="7">
        <v>100.7295</v>
      </c>
      <c r="H6738" s="7"/>
    </row>
    <row r="6739" spans="1:8" x14ac:dyDescent="0.35">
      <c r="A6739" s="7" t="s">
        <v>369</v>
      </c>
      <c r="B6739" s="7" t="s">
        <v>26</v>
      </c>
      <c r="C6739" s="7" t="s">
        <v>27</v>
      </c>
      <c r="D6739" s="7" t="s">
        <v>28</v>
      </c>
      <c r="E6739" s="7" t="s">
        <v>29</v>
      </c>
      <c r="F6739" s="7" t="s">
        <v>66</v>
      </c>
      <c r="G6739" s="7">
        <v>100.7299</v>
      </c>
      <c r="H6739" s="7"/>
    </row>
    <row r="6740" spans="1:8" x14ac:dyDescent="0.35">
      <c r="A6740" s="7" t="s">
        <v>369</v>
      </c>
      <c r="B6740" s="7" t="s">
        <v>26</v>
      </c>
      <c r="C6740" s="7" t="s">
        <v>27</v>
      </c>
      <c r="D6740" s="7" t="s">
        <v>28</v>
      </c>
      <c r="E6740" s="7" t="s">
        <v>29</v>
      </c>
      <c r="F6740" s="7" t="s">
        <v>67</v>
      </c>
      <c r="G6740" s="7">
        <v>100.643</v>
      </c>
      <c r="H6740" s="7"/>
    </row>
    <row r="6741" spans="1:8" x14ac:dyDescent="0.35">
      <c r="A6741" s="7" t="s">
        <v>369</v>
      </c>
      <c r="B6741" s="7" t="s">
        <v>26</v>
      </c>
      <c r="C6741" s="7" t="s">
        <v>27</v>
      </c>
      <c r="D6741" s="7" t="s">
        <v>28</v>
      </c>
      <c r="E6741" s="7" t="s">
        <v>29</v>
      </c>
      <c r="F6741" s="7" t="s">
        <v>68</v>
      </c>
      <c r="G6741" s="7">
        <v>100.5498</v>
      </c>
      <c r="H6741" s="7"/>
    </row>
    <row r="6742" spans="1:8" x14ac:dyDescent="0.35">
      <c r="A6742" s="7" t="s">
        <v>369</v>
      </c>
      <c r="B6742" s="7" t="s">
        <v>26</v>
      </c>
      <c r="C6742" s="7" t="s">
        <v>27</v>
      </c>
      <c r="D6742" s="7" t="s">
        <v>28</v>
      </c>
      <c r="E6742" s="7" t="s">
        <v>29</v>
      </c>
      <c r="F6742" s="7" t="s">
        <v>69</v>
      </c>
      <c r="G6742" s="7">
        <v>100.4417</v>
      </c>
      <c r="H6742" s="7"/>
    </row>
    <row r="6743" spans="1:8" x14ac:dyDescent="0.35">
      <c r="A6743" s="7" t="s">
        <v>369</v>
      </c>
      <c r="B6743" s="7" t="s">
        <v>26</v>
      </c>
      <c r="C6743" s="7" t="s">
        <v>27</v>
      </c>
      <c r="D6743" s="7" t="s">
        <v>28</v>
      </c>
      <c r="E6743" s="7" t="s">
        <v>29</v>
      </c>
      <c r="F6743" s="7" t="s">
        <v>70</v>
      </c>
      <c r="G6743" s="7">
        <v>100.43640000000001</v>
      </c>
      <c r="H6743" s="7"/>
    </row>
    <row r="6744" spans="1:8" x14ac:dyDescent="0.35">
      <c r="A6744" s="7" t="s">
        <v>369</v>
      </c>
      <c r="B6744" s="7" t="s">
        <v>26</v>
      </c>
      <c r="C6744" s="7" t="s">
        <v>27</v>
      </c>
      <c r="D6744" s="7" t="s">
        <v>28</v>
      </c>
      <c r="E6744" s="7" t="s">
        <v>29</v>
      </c>
      <c r="F6744" s="7" t="s">
        <v>71</v>
      </c>
      <c r="G6744" s="7">
        <v>100.5278</v>
      </c>
      <c r="H6744" s="7"/>
    </row>
    <row r="6745" spans="1:8" x14ac:dyDescent="0.35">
      <c r="A6745" s="7" t="s">
        <v>369</v>
      </c>
      <c r="B6745" s="7" t="s">
        <v>26</v>
      </c>
      <c r="C6745" s="7" t="s">
        <v>27</v>
      </c>
      <c r="D6745" s="7" t="s">
        <v>28</v>
      </c>
      <c r="E6745" s="7" t="s">
        <v>29</v>
      </c>
      <c r="F6745" s="7" t="s">
        <v>72</v>
      </c>
      <c r="G6745" s="7">
        <v>100.568</v>
      </c>
      <c r="H6745" s="7"/>
    </row>
    <row r="6746" spans="1:8" x14ac:dyDescent="0.35">
      <c r="A6746" s="7" t="s">
        <v>369</v>
      </c>
      <c r="B6746" s="7" t="s">
        <v>26</v>
      </c>
      <c r="C6746" s="7" t="s">
        <v>27</v>
      </c>
      <c r="D6746" s="7" t="s">
        <v>28</v>
      </c>
      <c r="E6746" s="7" t="s">
        <v>29</v>
      </c>
      <c r="F6746" s="7" t="s">
        <v>73</v>
      </c>
      <c r="G6746" s="7">
        <v>100.5356</v>
      </c>
      <c r="H6746" s="7"/>
    </row>
    <row r="6747" spans="1:8" x14ac:dyDescent="0.35">
      <c r="A6747" s="7" t="s">
        <v>369</v>
      </c>
      <c r="B6747" s="7" t="s">
        <v>26</v>
      </c>
      <c r="C6747" s="7" t="s">
        <v>27</v>
      </c>
      <c r="D6747" s="7" t="s">
        <v>28</v>
      </c>
      <c r="E6747" s="7" t="s">
        <v>29</v>
      </c>
      <c r="F6747" s="7" t="s">
        <v>74</v>
      </c>
      <c r="G6747" s="7">
        <v>100.316</v>
      </c>
      <c r="H6747" s="7"/>
    </row>
    <row r="6748" spans="1:8" x14ac:dyDescent="0.35">
      <c r="A6748" s="7" t="s">
        <v>369</v>
      </c>
      <c r="B6748" s="7" t="s">
        <v>26</v>
      </c>
      <c r="C6748" s="7" t="s">
        <v>27</v>
      </c>
      <c r="D6748" s="7" t="s">
        <v>28</v>
      </c>
      <c r="E6748" s="7" t="s">
        <v>29</v>
      </c>
      <c r="F6748" s="7" t="s">
        <v>75</v>
      </c>
      <c r="G6748" s="7">
        <v>99.934870000000004</v>
      </c>
      <c r="H6748" s="7"/>
    </row>
    <row r="6749" spans="1:8" x14ac:dyDescent="0.35">
      <c r="A6749" s="7" t="s">
        <v>369</v>
      </c>
      <c r="B6749" s="7" t="s">
        <v>26</v>
      </c>
      <c r="C6749" s="7" t="s">
        <v>27</v>
      </c>
      <c r="D6749" s="7" t="s">
        <v>28</v>
      </c>
      <c r="E6749" s="7" t="s">
        <v>29</v>
      </c>
      <c r="F6749" s="7" t="s">
        <v>76</v>
      </c>
      <c r="G6749" s="7">
        <v>99.588160000000002</v>
      </c>
      <c r="H6749" s="7"/>
    </row>
    <row r="6750" spans="1:8" x14ac:dyDescent="0.35">
      <c r="A6750" s="7" t="s">
        <v>369</v>
      </c>
      <c r="B6750" s="7" t="s">
        <v>26</v>
      </c>
      <c r="C6750" s="7" t="s">
        <v>27</v>
      </c>
      <c r="D6750" s="7" t="s">
        <v>28</v>
      </c>
      <c r="E6750" s="7" t="s">
        <v>29</v>
      </c>
      <c r="F6750" s="7" t="s">
        <v>77</v>
      </c>
      <c r="G6750" s="7">
        <v>99.293350000000004</v>
      </c>
      <c r="H6750" s="7"/>
    </row>
    <row r="6751" spans="1:8" x14ac:dyDescent="0.35">
      <c r="A6751" s="7" t="s">
        <v>369</v>
      </c>
      <c r="B6751" s="7" t="s">
        <v>26</v>
      </c>
      <c r="C6751" s="7" t="s">
        <v>27</v>
      </c>
      <c r="D6751" s="7" t="s">
        <v>28</v>
      </c>
      <c r="E6751" s="7" t="s">
        <v>29</v>
      </c>
      <c r="F6751" s="7" t="s">
        <v>78</v>
      </c>
      <c r="G6751" s="7">
        <v>99.10181</v>
      </c>
      <c r="H6751" s="7"/>
    </row>
    <row r="6752" spans="1:8" x14ac:dyDescent="0.35">
      <c r="A6752" s="7" t="s">
        <v>369</v>
      </c>
      <c r="B6752" s="7" t="s">
        <v>26</v>
      </c>
      <c r="C6752" s="7" t="s">
        <v>27</v>
      </c>
      <c r="D6752" s="7" t="s">
        <v>28</v>
      </c>
      <c r="E6752" s="7" t="s">
        <v>29</v>
      </c>
      <c r="F6752" s="7" t="s">
        <v>79</v>
      </c>
      <c r="G6752" s="7">
        <v>99.146829999999994</v>
      </c>
      <c r="H6752" s="7"/>
    </row>
    <row r="6753" spans="1:8" x14ac:dyDescent="0.35">
      <c r="A6753" s="7" t="s">
        <v>369</v>
      </c>
      <c r="B6753" s="7" t="s">
        <v>26</v>
      </c>
      <c r="C6753" s="7" t="s">
        <v>27</v>
      </c>
      <c r="D6753" s="7" t="s">
        <v>28</v>
      </c>
      <c r="E6753" s="7" t="s">
        <v>29</v>
      </c>
      <c r="F6753" s="7" t="s">
        <v>80</v>
      </c>
      <c r="G6753" s="7">
        <v>99.240520000000004</v>
      </c>
      <c r="H6753" s="7"/>
    </row>
    <row r="6754" spans="1:8" x14ac:dyDescent="0.35">
      <c r="A6754" s="7" t="s">
        <v>369</v>
      </c>
      <c r="B6754" s="7" t="s">
        <v>26</v>
      </c>
      <c r="C6754" s="7" t="s">
        <v>27</v>
      </c>
      <c r="D6754" s="7" t="s">
        <v>28</v>
      </c>
      <c r="E6754" s="7" t="s">
        <v>29</v>
      </c>
      <c r="F6754" s="7" t="s">
        <v>81</v>
      </c>
      <c r="G6754" s="7">
        <v>99.255179999999996</v>
      </c>
      <c r="H6754" s="7"/>
    </row>
    <row r="6755" spans="1:8" x14ac:dyDescent="0.35">
      <c r="A6755" s="7" t="s">
        <v>369</v>
      </c>
      <c r="B6755" s="7" t="s">
        <v>26</v>
      </c>
      <c r="C6755" s="7" t="s">
        <v>27</v>
      </c>
      <c r="D6755" s="7" t="s">
        <v>28</v>
      </c>
      <c r="E6755" s="7" t="s">
        <v>29</v>
      </c>
      <c r="F6755" s="7" t="s">
        <v>82</v>
      </c>
      <c r="G6755" s="7">
        <v>99.321169999999995</v>
      </c>
      <c r="H6755" s="7"/>
    </row>
    <row r="6756" spans="1:8" x14ac:dyDescent="0.35">
      <c r="A6756" s="7" t="s">
        <v>369</v>
      </c>
      <c r="B6756" s="7" t="s">
        <v>26</v>
      </c>
      <c r="C6756" s="7" t="s">
        <v>27</v>
      </c>
      <c r="D6756" s="7" t="s">
        <v>28</v>
      </c>
      <c r="E6756" s="7" t="s">
        <v>29</v>
      </c>
      <c r="F6756" s="7" t="s">
        <v>83</v>
      </c>
      <c r="G6756" s="7">
        <v>99.45335</v>
      </c>
      <c r="H6756" s="7"/>
    </row>
    <row r="6757" spans="1:8" x14ac:dyDescent="0.35">
      <c r="A6757" s="7" t="s">
        <v>369</v>
      </c>
      <c r="B6757" s="7" t="s">
        <v>26</v>
      </c>
      <c r="C6757" s="7" t="s">
        <v>27</v>
      </c>
      <c r="D6757" s="7" t="s">
        <v>28</v>
      </c>
      <c r="E6757" s="7" t="s">
        <v>29</v>
      </c>
      <c r="F6757" s="7" t="s">
        <v>84</v>
      </c>
      <c r="G6757" s="7">
        <v>99.529960000000003</v>
      </c>
      <c r="H6757" s="7"/>
    </row>
    <row r="6758" spans="1:8" x14ac:dyDescent="0.35">
      <c r="A6758" s="7" t="s">
        <v>369</v>
      </c>
      <c r="B6758" s="7" t="s">
        <v>26</v>
      </c>
      <c r="C6758" s="7" t="s">
        <v>27</v>
      </c>
      <c r="D6758" s="7" t="s">
        <v>28</v>
      </c>
      <c r="E6758" s="7" t="s">
        <v>29</v>
      </c>
      <c r="F6758" s="7" t="s">
        <v>85</v>
      </c>
      <c r="G6758" s="7">
        <v>99.586640000000003</v>
      </c>
      <c r="H6758" s="7"/>
    </row>
    <row r="6759" spans="1:8" x14ac:dyDescent="0.35">
      <c r="A6759" s="7" t="s">
        <v>369</v>
      </c>
      <c r="B6759" s="7" t="s">
        <v>26</v>
      </c>
      <c r="C6759" s="7" t="s">
        <v>27</v>
      </c>
      <c r="D6759" s="7" t="s">
        <v>28</v>
      </c>
      <c r="E6759" s="7" t="s">
        <v>29</v>
      </c>
      <c r="F6759" s="7" t="s">
        <v>86</v>
      </c>
      <c r="G6759" s="7">
        <v>99.650139999999993</v>
      </c>
      <c r="H6759" s="7"/>
    </row>
    <row r="6760" spans="1:8" x14ac:dyDescent="0.35">
      <c r="A6760" s="7" t="s">
        <v>369</v>
      </c>
      <c r="B6760" s="7" t="s">
        <v>26</v>
      </c>
      <c r="C6760" s="7" t="s">
        <v>27</v>
      </c>
      <c r="D6760" s="7" t="s">
        <v>28</v>
      </c>
      <c r="E6760" s="7" t="s">
        <v>29</v>
      </c>
      <c r="F6760" s="7" t="s">
        <v>87</v>
      </c>
      <c r="G6760" s="7">
        <v>99.726500000000001</v>
      </c>
      <c r="H6760" s="7"/>
    </row>
    <row r="6761" spans="1:8" x14ac:dyDescent="0.35">
      <c r="A6761" s="7" t="s">
        <v>369</v>
      </c>
      <c r="B6761" s="7" t="s">
        <v>26</v>
      </c>
      <c r="C6761" s="7" t="s">
        <v>27</v>
      </c>
      <c r="D6761" s="7" t="s">
        <v>28</v>
      </c>
      <c r="E6761" s="7" t="s">
        <v>29</v>
      </c>
      <c r="F6761" s="7" t="s">
        <v>88</v>
      </c>
      <c r="G6761" s="7">
        <v>99.827309999999997</v>
      </c>
      <c r="H6761" s="7"/>
    </row>
    <row r="6762" spans="1:8" x14ac:dyDescent="0.35">
      <c r="A6762" s="7" t="s">
        <v>369</v>
      </c>
      <c r="B6762" s="7" t="s">
        <v>26</v>
      </c>
      <c r="C6762" s="7" t="s">
        <v>27</v>
      </c>
      <c r="D6762" s="7" t="s">
        <v>28</v>
      </c>
      <c r="E6762" s="7" t="s">
        <v>29</v>
      </c>
      <c r="F6762" s="7" t="s">
        <v>89</v>
      </c>
      <c r="G6762" s="7">
        <v>99.938159999999996</v>
      </c>
      <c r="H6762" s="7"/>
    </row>
    <row r="6763" spans="1:8" x14ac:dyDescent="0.35">
      <c r="A6763" s="7" t="s">
        <v>369</v>
      </c>
      <c r="B6763" s="7" t="s">
        <v>26</v>
      </c>
      <c r="C6763" s="7" t="s">
        <v>27</v>
      </c>
      <c r="D6763" s="7" t="s">
        <v>28</v>
      </c>
      <c r="E6763" s="7" t="s">
        <v>29</v>
      </c>
      <c r="F6763" s="7" t="s">
        <v>90</v>
      </c>
      <c r="G6763" s="7">
        <v>99.996390000000005</v>
      </c>
      <c r="H6763" s="7"/>
    </row>
    <row r="6764" spans="1:8" x14ac:dyDescent="0.35">
      <c r="A6764" s="7" t="s">
        <v>369</v>
      </c>
      <c r="B6764" s="7" t="s">
        <v>26</v>
      </c>
      <c r="C6764" s="7" t="s">
        <v>27</v>
      </c>
      <c r="D6764" s="7" t="s">
        <v>28</v>
      </c>
      <c r="E6764" s="7" t="s">
        <v>29</v>
      </c>
      <c r="F6764" s="7" t="s">
        <v>91</v>
      </c>
      <c r="G6764" s="7">
        <v>99.89246</v>
      </c>
      <c r="H6764" s="7"/>
    </row>
    <row r="6765" spans="1:8" x14ac:dyDescent="0.35">
      <c r="A6765" s="7" t="s">
        <v>369</v>
      </c>
      <c r="B6765" s="7" t="s">
        <v>26</v>
      </c>
      <c r="C6765" s="7" t="s">
        <v>27</v>
      </c>
      <c r="D6765" s="7" t="s">
        <v>28</v>
      </c>
      <c r="E6765" s="7" t="s">
        <v>29</v>
      </c>
      <c r="F6765" s="7" t="s">
        <v>92</v>
      </c>
      <c r="G6765" s="7">
        <v>99.602320000000006</v>
      </c>
      <c r="H6765" s="7"/>
    </row>
    <row r="6766" spans="1:8" x14ac:dyDescent="0.35">
      <c r="A6766" s="7" t="s">
        <v>369</v>
      </c>
      <c r="B6766" s="7" t="s">
        <v>26</v>
      </c>
      <c r="C6766" s="7" t="s">
        <v>27</v>
      </c>
      <c r="D6766" s="7" t="s">
        <v>28</v>
      </c>
      <c r="E6766" s="7" t="s">
        <v>29</v>
      </c>
      <c r="F6766" s="7" t="s">
        <v>93</v>
      </c>
      <c r="G6766" s="7">
        <v>99.25779</v>
      </c>
      <c r="H6766" s="7"/>
    </row>
    <row r="6767" spans="1:8" x14ac:dyDescent="0.35">
      <c r="A6767" s="7" t="s">
        <v>369</v>
      </c>
      <c r="B6767" s="7" t="s">
        <v>26</v>
      </c>
      <c r="C6767" s="7" t="s">
        <v>27</v>
      </c>
      <c r="D6767" s="7" t="s">
        <v>28</v>
      </c>
      <c r="E6767" s="7" t="s">
        <v>29</v>
      </c>
      <c r="F6767" s="7" t="s">
        <v>94</v>
      </c>
      <c r="G6767" s="7">
        <v>98.954279999999997</v>
      </c>
      <c r="H6767" s="7"/>
    </row>
    <row r="6768" spans="1:8" x14ac:dyDescent="0.35">
      <c r="A6768" s="7" t="s">
        <v>369</v>
      </c>
      <c r="B6768" s="7" t="s">
        <v>26</v>
      </c>
      <c r="C6768" s="7" t="s">
        <v>27</v>
      </c>
      <c r="D6768" s="7" t="s">
        <v>28</v>
      </c>
      <c r="E6768" s="7" t="s">
        <v>29</v>
      </c>
      <c r="F6768" s="7" t="s">
        <v>95</v>
      </c>
      <c r="G6768" s="7">
        <v>98.915840000000003</v>
      </c>
      <c r="H6768" s="7"/>
    </row>
    <row r="6769" spans="1:8" x14ac:dyDescent="0.35">
      <c r="A6769" s="7" t="s">
        <v>369</v>
      </c>
      <c r="B6769" s="7" t="s">
        <v>26</v>
      </c>
      <c r="C6769" s="7" t="s">
        <v>27</v>
      </c>
      <c r="D6769" s="7" t="s">
        <v>28</v>
      </c>
      <c r="E6769" s="7" t="s">
        <v>29</v>
      </c>
      <c r="F6769" s="7" t="s">
        <v>96</v>
      </c>
      <c r="G6769" s="7">
        <v>99.148110000000003</v>
      </c>
      <c r="H6769" s="7"/>
    </row>
    <row r="6770" spans="1:8" x14ac:dyDescent="0.35">
      <c r="A6770" s="7" t="s">
        <v>369</v>
      </c>
      <c r="B6770" s="7" t="s">
        <v>26</v>
      </c>
      <c r="C6770" s="7" t="s">
        <v>27</v>
      </c>
      <c r="D6770" s="7" t="s">
        <v>28</v>
      </c>
      <c r="E6770" s="7" t="s">
        <v>29</v>
      </c>
      <c r="F6770" s="7" t="s">
        <v>97</v>
      </c>
      <c r="G6770" s="7">
        <v>99.454250000000002</v>
      </c>
      <c r="H6770" s="7"/>
    </row>
    <row r="6771" spans="1:8" x14ac:dyDescent="0.35">
      <c r="A6771" s="7" t="s">
        <v>369</v>
      </c>
      <c r="B6771" s="7" t="s">
        <v>26</v>
      </c>
      <c r="C6771" s="7" t="s">
        <v>27</v>
      </c>
      <c r="D6771" s="7" t="s">
        <v>28</v>
      </c>
      <c r="E6771" s="7" t="s">
        <v>29</v>
      </c>
      <c r="F6771" s="7" t="s">
        <v>98</v>
      </c>
      <c r="G6771" s="7">
        <v>99.718739999999997</v>
      </c>
      <c r="H6771" s="7"/>
    </row>
    <row r="6772" spans="1:8" x14ac:dyDescent="0.35">
      <c r="A6772" s="7" t="s">
        <v>369</v>
      </c>
      <c r="B6772" s="7" t="s">
        <v>26</v>
      </c>
      <c r="C6772" s="7" t="s">
        <v>27</v>
      </c>
      <c r="D6772" s="7" t="s">
        <v>28</v>
      </c>
      <c r="E6772" s="7" t="s">
        <v>29</v>
      </c>
      <c r="F6772" s="7" t="s">
        <v>99</v>
      </c>
      <c r="G6772" s="7">
        <v>99.948930000000004</v>
      </c>
      <c r="H6772" s="7"/>
    </row>
    <row r="6773" spans="1:8" x14ac:dyDescent="0.35">
      <c r="A6773" s="7" t="s">
        <v>369</v>
      </c>
      <c r="B6773" s="7" t="s">
        <v>26</v>
      </c>
      <c r="C6773" s="7" t="s">
        <v>27</v>
      </c>
      <c r="D6773" s="7" t="s">
        <v>28</v>
      </c>
      <c r="E6773" s="7" t="s">
        <v>29</v>
      </c>
      <c r="F6773" s="7" t="s">
        <v>100</v>
      </c>
      <c r="G6773" s="7">
        <v>100.11150000000001</v>
      </c>
      <c r="H6773" s="7"/>
    </row>
    <row r="6774" spans="1:8" x14ac:dyDescent="0.35">
      <c r="A6774" s="7" t="s">
        <v>369</v>
      </c>
      <c r="B6774" s="7" t="s">
        <v>26</v>
      </c>
      <c r="C6774" s="7" t="s">
        <v>27</v>
      </c>
      <c r="D6774" s="7" t="s">
        <v>28</v>
      </c>
      <c r="E6774" s="7" t="s">
        <v>29</v>
      </c>
      <c r="F6774" s="7" t="s">
        <v>101</v>
      </c>
      <c r="G6774" s="7">
        <v>100.3175</v>
      </c>
      <c r="H6774" s="7"/>
    </row>
    <row r="6775" spans="1:8" x14ac:dyDescent="0.35">
      <c r="A6775" s="7" t="s">
        <v>369</v>
      </c>
      <c r="B6775" s="7" t="s">
        <v>26</v>
      </c>
      <c r="C6775" s="7" t="s">
        <v>27</v>
      </c>
      <c r="D6775" s="7" t="s">
        <v>28</v>
      </c>
      <c r="E6775" s="7" t="s">
        <v>29</v>
      </c>
      <c r="F6775" s="7" t="s">
        <v>102</v>
      </c>
      <c r="G6775" s="7">
        <v>100.3789</v>
      </c>
      <c r="H6775" s="7"/>
    </row>
    <row r="6776" spans="1:8" x14ac:dyDescent="0.35">
      <c r="A6776" s="7" t="s">
        <v>369</v>
      </c>
      <c r="B6776" s="7" t="s">
        <v>26</v>
      </c>
      <c r="C6776" s="7" t="s">
        <v>27</v>
      </c>
      <c r="D6776" s="7" t="s">
        <v>28</v>
      </c>
      <c r="E6776" s="7" t="s">
        <v>29</v>
      </c>
      <c r="F6776" s="7" t="s">
        <v>103</v>
      </c>
      <c r="G6776" s="7">
        <v>100.4781</v>
      </c>
      <c r="H6776" s="7"/>
    </row>
    <row r="6777" spans="1:8" x14ac:dyDescent="0.35">
      <c r="A6777" s="7" t="s">
        <v>369</v>
      </c>
      <c r="B6777" s="7" t="s">
        <v>26</v>
      </c>
      <c r="C6777" s="7" t="s">
        <v>27</v>
      </c>
      <c r="D6777" s="7" t="s">
        <v>28</v>
      </c>
      <c r="E6777" s="7" t="s">
        <v>29</v>
      </c>
      <c r="F6777" s="7" t="s">
        <v>104</v>
      </c>
      <c r="G6777" s="7">
        <v>100.7807</v>
      </c>
      <c r="H6777" s="7"/>
    </row>
    <row r="6778" spans="1:8" x14ac:dyDescent="0.35">
      <c r="A6778" s="7" t="s">
        <v>369</v>
      </c>
      <c r="B6778" s="7" t="s">
        <v>26</v>
      </c>
      <c r="C6778" s="7" t="s">
        <v>27</v>
      </c>
      <c r="D6778" s="7" t="s">
        <v>28</v>
      </c>
      <c r="E6778" s="7" t="s">
        <v>29</v>
      </c>
      <c r="F6778" s="7" t="s">
        <v>105</v>
      </c>
      <c r="G6778" s="7">
        <v>101.0788</v>
      </c>
      <c r="H6778" s="7"/>
    </row>
    <row r="6779" spans="1:8" x14ac:dyDescent="0.35">
      <c r="A6779" s="7" t="s">
        <v>369</v>
      </c>
      <c r="B6779" s="7" t="s">
        <v>26</v>
      </c>
      <c r="C6779" s="7" t="s">
        <v>27</v>
      </c>
      <c r="D6779" s="7" t="s">
        <v>28</v>
      </c>
      <c r="E6779" s="7" t="s">
        <v>29</v>
      </c>
      <c r="F6779" s="7" t="s">
        <v>106</v>
      </c>
      <c r="G6779" s="7">
        <v>101.2731</v>
      </c>
      <c r="H6779" s="7"/>
    </row>
    <row r="6780" spans="1:8" x14ac:dyDescent="0.35">
      <c r="A6780" s="7" t="s">
        <v>369</v>
      </c>
      <c r="B6780" s="7" t="s">
        <v>26</v>
      </c>
      <c r="C6780" s="7" t="s">
        <v>27</v>
      </c>
      <c r="D6780" s="7" t="s">
        <v>28</v>
      </c>
      <c r="E6780" s="7" t="s">
        <v>29</v>
      </c>
      <c r="F6780" s="7" t="s">
        <v>107</v>
      </c>
      <c r="G6780" s="7">
        <v>101.44540000000001</v>
      </c>
      <c r="H6780" s="7"/>
    </row>
    <row r="6781" spans="1:8" x14ac:dyDescent="0.35">
      <c r="A6781" s="7" t="s">
        <v>369</v>
      </c>
      <c r="B6781" s="7" t="s">
        <v>26</v>
      </c>
      <c r="C6781" s="7" t="s">
        <v>27</v>
      </c>
      <c r="D6781" s="7" t="s">
        <v>28</v>
      </c>
      <c r="E6781" s="7" t="s">
        <v>29</v>
      </c>
      <c r="F6781" s="7" t="s">
        <v>108</v>
      </c>
      <c r="G6781" s="7">
        <v>101.5744</v>
      </c>
      <c r="H6781" s="7"/>
    </row>
    <row r="6782" spans="1:8" x14ac:dyDescent="0.35">
      <c r="A6782" s="7" t="s">
        <v>369</v>
      </c>
      <c r="B6782" s="7" t="s">
        <v>26</v>
      </c>
      <c r="C6782" s="7" t="s">
        <v>27</v>
      </c>
      <c r="D6782" s="7" t="s">
        <v>28</v>
      </c>
      <c r="E6782" s="7" t="s">
        <v>29</v>
      </c>
      <c r="F6782" s="7" t="s">
        <v>109</v>
      </c>
      <c r="G6782" s="7">
        <v>101.5766</v>
      </c>
      <c r="H6782" s="7"/>
    </row>
    <row r="6783" spans="1:8" x14ac:dyDescent="0.35">
      <c r="A6783" s="7" t="s">
        <v>369</v>
      </c>
      <c r="B6783" s="7" t="s">
        <v>26</v>
      </c>
      <c r="C6783" s="7" t="s">
        <v>27</v>
      </c>
      <c r="D6783" s="7" t="s">
        <v>28</v>
      </c>
      <c r="E6783" s="7" t="s">
        <v>29</v>
      </c>
      <c r="F6783" s="7" t="s">
        <v>110</v>
      </c>
      <c r="G6783" s="7">
        <v>101.43519999999999</v>
      </c>
      <c r="H6783" s="7"/>
    </row>
    <row r="6784" spans="1:8" x14ac:dyDescent="0.35">
      <c r="A6784" s="7" t="s">
        <v>369</v>
      </c>
      <c r="B6784" s="7" t="s">
        <v>26</v>
      </c>
      <c r="C6784" s="7" t="s">
        <v>27</v>
      </c>
      <c r="D6784" s="7" t="s">
        <v>28</v>
      </c>
      <c r="E6784" s="7" t="s">
        <v>29</v>
      </c>
      <c r="F6784" s="7" t="s">
        <v>111</v>
      </c>
      <c r="G6784" s="7">
        <v>101.24290000000001</v>
      </c>
      <c r="H6784" s="7"/>
    </row>
    <row r="6785" spans="1:8" x14ac:dyDescent="0.35">
      <c r="A6785" s="7" t="s">
        <v>369</v>
      </c>
      <c r="B6785" s="7" t="s">
        <v>26</v>
      </c>
      <c r="C6785" s="7" t="s">
        <v>27</v>
      </c>
      <c r="D6785" s="7" t="s">
        <v>28</v>
      </c>
      <c r="E6785" s="7" t="s">
        <v>29</v>
      </c>
      <c r="F6785" s="7" t="s">
        <v>112</v>
      </c>
      <c r="G6785" s="7">
        <v>101.0179</v>
      </c>
      <c r="H6785" s="7"/>
    </row>
    <row r="6786" spans="1:8" x14ac:dyDescent="0.35">
      <c r="A6786" s="7" t="s">
        <v>369</v>
      </c>
      <c r="B6786" s="7" t="s">
        <v>26</v>
      </c>
      <c r="C6786" s="7" t="s">
        <v>27</v>
      </c>
      <c r="D6786" s="7" t="s">
        <v>28</v>
      </c>
      <c r="E6786" s="7" t="s">
        <v>29</v>
      </c>
      <c r="F6786" s="7" t="s">
        <v>113</v>
      </c>
      <c r="G6786" s="7">
        <v>100.8738</v>
      </c>
      <c r="H6786" s="7"/>
    </row>
    <row r="6787" spans="1:8" x14ac:dyDescent="0.35">
      <c r="A6787" s="7" t="s">
        <v>369</v>
      </c>
      <c r="B6787" s="7" t="s">
        <v>26</v>
      </c>
      <c r="C6787" s="7" t="s">
        <v>27</v>
      </c>
      <c r="D6787" s="7" t="s">
        <v>28</v>
      </c>
      <c r="E6787" s="7" t="s">
        <v>29</v>
      </c>
      <c r="F6787" s="7" t="s">
        <v>114</v>
      </c>
      <c r="G6787" s="7">
        <v>100.96429999999999</v>
      </c>
      <c r="H6787" s="7"/>
    </row>
    <row r="6788" spans="1:8" x14ac:dyDescent="0.35">
      <c r="A6788" s="7" t="s">
        <v>369</v>
      </c>
      <c r="B6788" s="7" t="s">
        <v>26</v>
      </c>
      <c r="C6788" s="7" t="s">
        <v>27</v>
      </c>
      <c r="D6788" s="7" t="s">
        <v>28</v>
      </c>
      <c r="E6788" s="7" t="s">
        <v>29</v>
      </c>
      <c r="F6788" s="7" t="s">
        <v>115</v>
      </c>
      <c r="G6788" s="7">
        <v>101.1558</v>
      </c>
      <c r="H6788" s="7"/>
    </row>
    <row r="6789" spans="1:8" x14ac:dyDescent="0.35">
      <c r="A6789" s="7" t="s">
        <v>369</v>
      </c>
      <c r="B6789" s="7" t="s">
        <v>26</v>
      </c>
      <c r="C6789" s="7" t="s">
        <v>27</v>
      </c>
      <c r="D6789" s="7" t="s">
        <v>28</v>
      </c>
      <c r="E6789" s="7" t="s">
        <v>29</v>
      </c>
      <c r="F6789" s="7" t="s">
        <v>116</v>
      </c>
      <c r="G6789" s="7">
        <v>101.34099999999999</v>
      </c>
      <c r="H6789" s="7"/>
    </row>
    <row r="6790" spans="1:8" x14ac:dyDescent="0.35">
      <c r="A6790" s="7" t="s">
        <v>369</v>
      </c>
      <c r="B6790" s="7" t="s">
        <v>26</v>
      </c>
      <c r="C6790" s="7" t="s">
        <v>27</v>
      </c>
      <c r="D6790" s="7" t="s">
        <v>28</v>
      </c>
      <c r="E6790" s="7" t="s">
        <v>29</v>
      </c>
      <c r="F6790" s="7" t="s">
        <v>117</v>
      </c>
      <c r="G6790" s="7">
        <v>101.3372</v>
      </c>
      <c r="H6790" s="7"/>
    </row>
    <row r="6791" spans="1:8" x14ac:dyDescent="0.35">
      <c r="A6791" s="7" t="s">
        <v>369</v>
      </c>
      <c r="B6791" s="7" t="s">
        <v>26</v>
      </c>
      <c r="C6791" s="7" t="s">
        <v>27</v>
      </c>
      <c r="D6791" s="7" t="s">
        <v>28</v>
      </c>
      <c r="E6791" s="7" t="s">
        <v>29</v>
      </c>
      <c r="F6791" s="7" t="s">
        <v>118</v>
      </c>
      <c r="G6791" s="7">
        <v>101.23950000000001</v>
      </c>
      <c r="H6791" s="7"/>
    </row>
    <row r="6792" spans="1:8" x14ac:dyDescent="0.35">
      <c r="A6792" s="7" t="s">
        <v>369</v>
      </c>
      <c r="B6792" s="7" t="s">
        <v>26</v>
      </c>
      <c r="C6792" s="7" t="s">
        <v>27</v>
      </c>
      <c r="D6792" s="7" t="s">
        <v>28</v>
      </c>
      <c r="E6792" s="7" t="s">
        <v>29</v>
      </c>
      <c r="F6792" s="7" t="s">
        <v>119</v>
      </c>
      <c r="G6792" s="7">
        <v>101.12130000000001</v>
      </c>
      <c r="H6792" s="7"/>
    </row>
    <row r="6793" spans="1:8" x14ac:dyDescent="0.35">
      <c r="A6793" s="7" t="s">
        <v>369</v>
      </c>
      <c r="B6793" s="7" t="s">
        <v>26</v>
      </c>
      <c r="C6793" s="7" t="s">
        <v>27</v>
      </c>
      <c r="D6793" s="7" t="s">
        <v>28</v>
      </c>
      <c r="E6793" s="7" t="s">
        <v>29</v>
      </c>
      <c r="F6793" s="7" t="s">
        <v>120</v>
      </c>
      <c r="G6793" s="7">
        <v>100.9421</v>
      </c>
      <c r="H6793" s="7"/>
    </row>
    <row r="6794" spans="1:8" x14ac:dyDescent="0.35">
      <c r="A6794" s="7" t="s">
        <v>369</v>
      </c>
      <c r="B6794" s="7" t="s">
        <v>26</v>
      </c>
      <c r="C6794" s="7" t="s">
        <v>27</v>
      </c>
      <c r="D6794" s="7" t="s">
        <v>28</v>
      </c>
      <c r="E6794" s="7" t="s">
        <v>29</v>
      </c>
      <c r="F6794" s="7" t="s">
        <v>121</v>
      </c>
      <c r="G6794" s="7">
        <v>100.74339999999999</v>
      </c>
      <c r="H6794" s="7"/>
    </row>
    <row r="6795" spans="1:8" x14ac:dyDescent="0.35">
      <c r="A6795" s="7" t="s">
        <v>369</v>
      </c>
      <c r="B6795" s="7" t="s">
        <v>26</v>
      </c>
      <c r="C6795" s="7" t="s">
        <v>27</v>
      </c>
      <c r="D6795" s="7" t="s">
        <v>28</v>
      </c>
      <c r="E6795" s="7" t="s">
        <v>29</v>
      </c>
      <c r="F6795" s="7" t="s">
        <v>122</v>
      </c>
      <c r="G6795" s="7">
        <v>100.8734</v>
      </c>
      <c r="H6795" s="7"/>
    </row>
    <row r="6796" spans="1:8" x14ac:dyDescent="0.35">
      <c r="A6796" s="7" t="s">
        <v>369</v>
      </c>
      <c r="B6796" s="7" t="s">
        <v>26</v>
      </c>
      <c r="C6796" s="7" t="s">
        <v>27</v>
      </c>
      <c r="D6796" s="7" t="s">
        <v>28</v>
      </c>
      <c r="E6796" s="7" t="s">
        <v>29</v>
      </c>
      <c r="F6796" s="7" t="s">
        <v>123</v>
      </c>
      <c r="G6796" s="7">
        <v>101.0861</v>
      </c>
      <c r="H6796" s="7"/>
    </row>
    <row r="6797" spans="1:8" x14ac:dyDescent="0.35">
      <c r="A6797" s="7" t="s">
        <v>369</v>
      </c>
      <c r="B6797" s="7" t="s">
        <v>26</v>
      </c>
      <c r="C6797" s="7" t="s">
        <v>27</v>
      </c>
      <c r="D6797" s="7" t="s">
        <v>28</v>
      </c>
      <c r="E6797" s="7" t="s">
        <v>29</v>
      </c>
      <c r="F6797" s="7" t="s">
        <v>124</v>
      </c>
      <c r="G6797" s="7">
        <v>101.37609999999999</v>
      </c>
      <c r="H6797" s="7"/>
    </row>
    <row r="6798" spans="1:8" x14ac:dyDescent="0.35">
      <c r="A6798" s="7" t="s">
        <v>369</v>
      </c>
      <c r="B6798" s="7" t="s">
        <v>26</v>
      </c>
      <c r="C6798" s="7" t="s">
        <v>27</v>
      </c>
      <c r="D6798" s="7" t="s">
        <v>28</v>
      </c>
      <c r="E6798" s="7" t="s">
        <v>29</v>
      </c>
      <c r="F6798" s="7" t="s">
        <v>125</v>
      </c>
      <c r="G6798" s="7">
        <v>101.6536</v>
      </c>
      <c r="H6798" s="7"/>
    </row>
    <row r="6799" spans="1:8" x14ac:dyDescent="0.35">
      <c r="A6799" s="7" t="s">
        <v>369</v>
      </c>
      <c r="B6799" s="7" t="s">
        <v>26</v>
      </c>
      <c r="C6799" s="7" t="s">
        <v>27</v>
      </c>
      <c r="D6799" s="7" t="s">
        <v>28</v>
      </c>
      <c r="E6799" s="7" t="s">
        <v>29</v>
      </c>
      <c r="F6799" s="7" t="s">
        <v>126</v>
      </c>
      <c r="G6799" s="7">
        <v>101.8809</v>
      </c>
      <c r="H6799" s="7"/>
    </row>
    <row r="6800" spans="1:8" x14ac:dyDescent="0.35">
      <c r="A6800" s="7" t="s">
        <v>369</v>
      </c>
      <c r="B6800" s="7" t="s">
        <v>26</v>
      </c>
      <c r="C6800" s="7" t="s">
        <v>27</v>
      </c>
      <c r="D6800" s="7" t="s">
        <v>28</v>
      </c>
      <c r="E6800" s="7" t="s">
        <v>29</v>
      </c>
      <c r="F6800" s="7" t="s">
        <v>127</v>
      </c>
      <c r="G6800" s="7">
        <v>102.0412</v>
      </c>
      <c r="H6800" s="7"/>
    </row>
    <row r="6801" spans="1:8" x14ac:dyDescent="0.35">
      <c r="A6801" s="7" t="s">
        <v>369</v>
      </c>
      <c r="B6801" s="7" t="s">
        <v>26</v>
      </c>
      <c r="C6801" s="7" t="s">
        <v>27</v>
      </c>
      <c r="D6801" s="7" t="s">
        <v>28</v>
      </c>
      <c r="E6801" s="7" t="s">
        <v>29</v>
      </c>
      <c r="F6801" s="7" t="s">
        <v>128</v>
      </c>
      <c r="G6801" s="7">
        <v>102.1926</v>
      </c>
      <c r="H6801" s="7"/>
    </row>
    <row r="6802" spans="1:8" x14ac:dyDescent="0.35">
      <c r="A6802" s="7" t="s">
        <v>369</v>
      </c>
      <c r="B6802" s="7" t="s">
        <v>26</v>
      </c>
      <c r="C6802" s="7" t="s">
        <v>27</v>
      </c>
      <c r="D6802" s="7" t="s">
        <v>28</v>
      </c>
      <c r="E6802" s="7" t="s">
        <v>29</v>
      </c>
      <c r="F6802" s="7" t="s">
        <v>129</v>
      </c>
      <c r="G6802" s="7">
        <v>102.2954</v>
      </c>
      <c r="H6802" s="7"/>
    </row>
    <row r="6803" spans="1:8" x14ac:dyDescent="0.35">
      <c r="A6803" s="7" t="s">
        <v>369</v>
      </c>
      <c r="B6803" s="7" t="s">
        <v>26</v>
      </c>
      <c r="C6803" s="7" t="s">
        <v>27</v>
      </c>
      <c r="D6803" s="7" t="s">
        <v>28</v>
      </c>
      <c r="E6803" s="7" t="s">
        <v>29</v>
      </c>
      <c r="F6803" s="7" t="s">
        <v>130</v>
      </c>
      <c r="G6803" s="7">
        <v>102.3759</v>
      </c>
      <c r="H6803" s="7"/>
    </row>
    <row r="6804" spans="1:8" x14ac:dyDescent="0.35">
      <c r="A6804" s="7" t="s">
        <v>369</v>
      </c>
      <c r="B6804" s="7" t="s">
        <v>26</v>
      </c>
      <c r="C6804" s="7" t="s">
        <v>27</v>
      </c>
      <c r="D6804" s="7" t="s">
        <v>28</v>
      </c>
      <c r="E6804" s="7" t="s">
        <v>29</v>
      </c>
      <c r="F6804" s="7" t="s">
        <v>131</v>
      </c>
      <c r="G6804" s="7">
        <v>102.4342</v>
      </c>
      <c r="H6804" s="7"/>
    </row>
    <row r="6805" spans="1:8" x14ac:dyDescent="0.35">
      <c r="A6805" s="7" t="s">
        <v>369</v>
      </c>
      <c r="B6805" s="7" t="s">
        <v>26</v>
      </c>
      <c r="C6805" s="7" t="s">
        <v>27</v>
      </c>
      <c r="D6805" s="7" t="s">
        <v>28</v>
      </c>
      <c r="E6805" s="7" t="s">
        <v>29</v>
      </c>
      <c r="F6805" s="7" t="s">
        <v>132</v>
      </c>
      <c r="G6805" s="7">
        <v>102.5321</v>
      </c>
      <c r="H6805" s="7"/>
    </row>
    <row r="6806" spans="1:8" x14ac:dyDescent="0.35">
      <c r="A6806" s="7" t="s">
        <v>369</v>
      </c>
      <c r="B6806" s="7" t="s">
        <v>26</v>
      </c>
      <c r="C6806" s="7" t="s">
        <v>27</v>
      </c>
      <c r="D6806" s="7" t="s">
        <v>28</v>
      </c>
      <c r="E6806" s="7" t="s">
        <v>29</v>
      </c>
      <c r="F6806" s="7" t="s">
        <v>133</v>
      </c>
      <c r="G6806" s="7">
        <v>102.61109999999999</v>
      </c>
      <c r="H6806" s="7"/>
    </row>
    <row r="6807" spans="1:8" x14ac:dyDescent="0.35">
      <c r="A6807" s="7" t="s">
        <v>369</v>
      </c>
      <c r="B6807" s="7" t="s">
        <v>26</v>
      </c>
      <c r="C6807" s="7" t="s">
        <v>27</v>
      </c>
      <c r="D6807" s="7" t="s">
        <v>28</v>
      </c>
      <c r="E6807" s="7" t="s">
        <v>29</v>
      </c>
      <c r="F6807" s="7" t="s">
        <v>134</v>
      </c>
      <c r="G6807" s="7">
        <v>102.61969999999999</v>
      </c>
      <c r="H6807" s="7"/>
    </row>
    <row r="6808" spans="1:8" x14ac:dyDescent="0.35">
      <c r="A6808" s="7" t="s">
        <v>369</v>
      </c>
      <c r="B6808" s="7" t="s">
        <v>26</v>
      </c>
      <c r="C6808" s="7" t="s">
        <v>27</v>
      </c>
      <c r="D6808" s="7" t="s">
        <v>28</v>
      </c>
      <c r="E6808" s="7" t="s">
        <v>29</v>
      </c>
      <c r="F6808" s="7" t="s">
        <v>135</v>
      </c>
      <c r="G6808" s="7">
        <v>102.6353</v>
      </c>
      <c r="H6808" s="7"/>
    </row>
    <row r="6809" spans="1:8" x14ac:dyDescent="0.35">
      <c r="A6809" s="7" t="s">
        <v>369</v>
      </c>
      <c r="B6809" s="7" t="s">
        <v>26</v>
      </c>
      <c r="C6809" s="7" t="s">
        <v>27</v>
      </c>
      <c r="D6809" s="7" t="s">
        <v>28</v>
      </c>
      <c r="E6809" s="7" t="s">
        <v>29</v>
      </c>
      <c r="F6809" s="7" t="s">
        <v>136</v>
      </c>
      <c r="G6809" s="7">
        <v>102.5984</v>
      </c>
      <c r="H6809" s="7"/>
    </row>
    <row r="6810" spans="1:8" x14ac:dyDescent="0.35">
      <c r="A6810" s="7" t="s">
        <v>369</v>
      </c>
      <c r="B6810" s="7" t="s">
        <v>26</v>
      </c>
      <c r="C6810" s="7" t="s">
        <v>27</v>
      </c>
      <c r="D6810" s="7" t="s">
        <v>28</v>
      </c>
      <c r="E6810" s="7" t="s">
        <v>29</v>
      </c>
      <c r="F6810" s="7" t="s">
        <v>137</v>
      </c>
      <c r="G6810" s="7">
        <v>102.6665</v>
      </c>
      <c r="H6810" s="7"/>
    </row>
    <row r="6811" spans="1:8" x14ac:dyDescent="0.35">
      <c r="A6811" s="7" t="s">
        <v>369</v>
      </c>
      <c r="B6811" s="7" t="s">
        <v>26</v>
      </c>
      <c r="C6811" s="7" t="s">
        <v>27</v>
      </c>
      <c r="D6811" s="7" t="s">
        <v>28</v>
      </c>
      <c r="E6811" s="7" t="s">
        <v>29</v>
      </c>
      <c r="F6811" s="7" t="s">
        <v>138</v>
      </c>
      <c r="G6811" s="7">
        <v>102.7021</v>
      </c>
      <c r="H6811" s="7"/>
    </row>
    <row r="6812" spans="1:8" x14ac:dyDescent="0.35">
      <c r="A6812" s="7" t="s">
        <v>369</v>
      </c>
      <c r="B6812" s="7" t="s">
        <v>26</v>
      </c>
      <c r="C6812" s="7" t="s">
        <v>27</v>
      </c>
      <c r="D6812" s="7" t="s">
        <v>28</v>
      </c>
      <c r="E6812" s="7" t="s">
        <v>29</v>
      </c>
      <c r="F6812" s="7" t="s">
        <v>139</v>
      </c>
      <c r="G6812" s="7">
        <v>102.6413</v>
      </c>
      <c r="H6812" s="7"/>
    </row>
    <row r="6813" spans="1:8" x14ac:dyDescent="0.35">
      <c r="A6813" s="7" t="s">
        <v>369</v>
      </c>
      <c r="B6813" s="7" t="s">
        <v>26</v>
      </c>
      <c r="C6813" s="7" t="s">
        <v>27</v>
      </c>
      <c r="D6813" s="7" t="s">
        <v>28</v>
      </c>
      <c r="E6813" s="7" t="s">
        <v>29</v>
      </c>
      <c r="F6813" s="7" t="s">
        <v>140</v>
      </c>
      <c r="G6813" s="7">
        <v>102.39149999999999</v>
      </c>
      <c r="H6813" s="7"/>
    </row>
    <row r="6814" spans="1:8" x14ac:dyDescent="0.35">
      <c r="A6814" s="7" t="s">
        <v>369</v>
      </c>
      <c r="B6814" s="7" t="s">
        <v>26</v>
      </c>
      <c r="C6814" s="7" t="s">
        <v>27</v>
      </c>
      <c r="D6814" s="7" t="s">
        <v>28</v>
      </c>
      <c r="E6814" s="7" t="s">
        <v>29</v>
      </c>
      <c r="F6814" s="7" t="s">
        <v>141</v>
      </c>
      <c r="G6814" s="7">
        <v>102.0826</v>
      </c>
      <c r="H6814" s="7"/>
    </row>
    <row r="6815" spans="1:8" x14ac:dyDescent="0.35">
      <c r="A6815" s="7" t="s">
        <v>369</v>
      </c>
      <c r="B6815" s="7" t="s">
        <v>26</v>
      </c>
      <c r="C6815" s="7" t="s">
        <v>27</v>
      </c>
      <c r="D6815" s="7" t="s">
        <v>28</v>
      </c>
      <c r="E6815" s="7" t="s">
        <v>29</v>
      </c>
      <c r="F6815" s="7" t="s">
        <v>142</v>
      </c>
      <c r="G6815" s="7">
        <v>101.8456</v>
      </c>
      <c r="H6815" s="7"/>
    </row>
    <row r="6816" spans="1:8" x14ac:dyDescent="0.35">
      <c r="A6816" s="7" t="s">
        <v>369</v>
      </c>
      <c r="B6816" s="7" t="s">
        <v>26</v>
      </c>
      <c r="C6816" s="7" t="s">
        <v>27</v>
      </c>
      <c r="D6816" s="7" t="s">
        <v>28</v>
      </c>
      <c r="E6816" s="7" t="s">
        <v>29</v>
      </c>
      <c r="F6816" s="7" t="s">
        <v>143</v>
      </c>
      <c r="G6816" s="7">
        <v>101.6506</v>
      </c>
      <c r="H6816" s="7"/>
    </row>
    <row r="6817" spans="1:8" x14ac:dyDescent="0.35">
      <c r="A6817" s="7" t="s">
        <v>369</v>
      </c>
      <c r="B6817" s="7" t="s">
        <v>26</v>
      </c>
      <c r="C6817" s="7" t="s">
        <v>27</v>
      </c>
      <c r="D6817" s="7" t="s">
        <v>28</v>
      </c>
      <c r="E6817" s="7" t="s">
        <v>29</v>
      </c>
      <c r="F6817" s="7" t="s">
        <v>144</v>
      </c>
      <c r="G6817" s="7">
        <v>101.5775</v>
      </c>
      <c r="H6817" s="7"/>
    </row>
    <row r="6818" spans="1:8" x14ac:dyDescent="0.35">
      <c r="A6818" s="7" t="s">
        <v>369</v>
      </c>
      <c r="B6818" s="7" t="s">
        <v>26</v>
      </c>
      <c r="C6818" s="7" t="s">
        <v>27</v>
      </c>
      <c r="D6818" s="7" t="s">
        <v>28</v>
      </c>
      <c r="E6818" s="7" t="s">
        <v>29</v>
      </c>
      <c r="F6818" s="7" t="s">
        <v>145</v>
      </c>
      <c r="G6818" s="7">
        <v>101.5731</v>
      </c>
      <c r="H6818" s="7"/>
    </row>
    <row r="6819" spans="1:8" x14ac:dyDescent="0.35">
      <c r="A6819" s="7" t="s">
        <v>369</v>
      </c>
      <c r="B6819" s="7" t="s">
        <v>26</v>
      </c>
      <c r="C6819" s="7" t="s">
        <v>27</v>
      </c>
      <c r="D6819" s="7" t="s">
        <v>28</v>
      </c>
      <c r="E6819" s="7" t="s">
        <v>29</v>
      </c>
      <c r="F6819" s="7" t="s">
        <v>146</v>
      </c>
      <c r="G6819" s="7">
        <v>101.446</v>
      </c>
      <c r="H6819" s="7"/>
    </row>
    <row r="6820" spans="1:8" x14ac:dyDescent="0.35">
      <c r="A6820" s="7" t="s">
        <v>369</v>
      </c>
      <c r="B6820" s="7" t="s">
        <v>26</v>
      </c>
      <c r="C6820" s="7" t="s">
        <v>27</v>
      </c>
      <c r="D6820" s="7" t="s">
        <v>28</v>
      </c>
      <c r="E6820" s="7" t="s">
        <v>29</v>
      </c>
      <c r="F6820" s="7" t="s">
        <v>147</v>
      </c>
      <c r="G6820" s="7">
        <v>101.0395</v>
      </c>
      <c r="H6820" s="7"/>
    </row>
    <row r="6821" spans="1:8" x14ac:dyDescent="0.35">
      <c r="A6821" s="7" t="s">
        <v>369</v>
      </c>
      <c r="B6821" s="7" t="s">
        <v>26</v>
      </c>
      <c r="C6821" s="7" t="s">
        <v>27</v>
      </c>
      <c r="D6821" s="7" t="s">
        <v>28</v>
      </c>
      <c r="E6821" s="7" t="s">
        <v>29</v>
      </c>
      <c r="F6821" s="7" t="s">
        <v>148</v>
      </c>
      <c r="G6821" s="7">
        <v>100.4028</v>
      </c>
      <c r="H6821" s="7"/>
    </row>
    <row r="6822" spans="1:8" x14ac:dyDescent="0.35">
      <c r="A6822" s="7" t="s">
        <v>369</v>
      </c>
      <c r="B6822" s="7" t="s">
        <v>26</v>
      </c>
      <c r="C6822" s="7" t="s">
        <v>27</v>
      </c>
      <c r="D6822" s="7" t="s">
        <v>28</v>
      </c>
      <c r="E6822" s="7" t="s">
        <v>29</v>
      </c>
      <c r="F6822" s="7" t="s">
        <v>149</v>
      </c>
      <c r="G6822" s="7">
        <v>99.74973</v>
      </c>
      <c r="H6822" s="7"/>
    </row>
    <row r="6823" spans="1:8" x14ac:dyDescent="0.35">
      <c r="A6823" s="7" t="s">
        <v>369</v>
      </c>
      <c r="B6823" s="7" t="s">
        <v>26</v>
      </c>
      <c r="C6823" s="7" t="s">
        <v>27</v>
      </c>
      <c r="D6823" s="7" t="s">
        <v>28</v>
      </c>
      <c r="E6823" s="7" t="s">
        <v>29</v>
      </c>
      <c r="F6823" s="7" t="s">
        <v>150</v>
      </c>
      <c r="G6823" s="7">
        <v>99.522750000000002</v>
      </c>
      <c r="H6823" s="7"/>
    </row>
    <row r="6824" spans="1:8" x14ac:dyDescent="0.35">
      <c r="A6824" s="7" t="s">
        <v>369</v>
      </c>
      <c r="B6824" s="7" t="s">
        <v>26</v>
      </c>
      <c r="C6824" s="7" t="s">
        <v>27</v>
      </c>
      <c r="D6824" s="7" t="s">
        <v>28</v>
      </c>
      <c r="E6824" s="7" t="s">
        <v>29</v>
      </c>
      <c r="F6824" s="7" t="s">
        <v>151</v>
      </c>
      <c r="G6824" s="7">
        <v>99.890789999999996</v>
      </c>
      <c r="H6824" s="7"/>
    </row>
    <row r="6825" spans="1:8" x14ac:dyDescent="0.35">
      <c r="A6825" s="7" t="s">
        <v>369</v>
      </c>
      <c r="B6825" s="7" t="s">
        <v>26</v>
      </c>
      <c r="C6825" s="7" t="s">
        <v>27</v>
      </c>
      <c r="D6825" s="7" t="s">
        <v>28</v>
      </c>
      <c r="E6825" s="7" t="s">
        <v>29</v>
      </c>
      <c r="F6825" s="7" t="s">
        <v>152</v>
      </c>
      <c r="G6825" s="7">
        <v>100.4153</v>
      </c>
      <c r="H6825" s="7"/>
    </row>
    <row r="6826" spans="1:8" x14ac:dyDescent="0.35">
      <c r="A6826" s="7" t="s">
        <v>369</v>
      </c>
      <c r="B6826" s="7" t="s">
        <v>26</v>
      </c>
      <c r="C6826" s="7" t="s">
        <v>27</v>
      </c>
      <c r="D6826" s="7" t="s">
        <v>28</v>
      </c>
      <c r="E6826" s="7" t="s">
        <v>29</v>
      </c>
      <c r="F6826" s="7" t="s">
        <v>153</v>
      </c>
      <c r="G6826" s="7">
        <v>100.8154</v>
      </c>
      <c r="H6826" s="7"/>
    </row>
    <row r="6827" spans="1:8" x14ac:dyDescent="0.35">
      <c r="A6827" s="7" t="s">
        <v>369</v>
      </c>
      <c r="B6827" s="7" t="s">
        <v>26</v>
      </c>
      <c r="C6827" s="7" t="s">
        <v>27</v>
      </c>
      <c r="D6827" s="7" t="s">
        <v>28</v>
      </c>
      <c r="E6827" s="7" t="s">
        <v>29</v>
      </c>
      <c r="F6827" s="7" t="s">
        <v>154</v>
      </c>
      <c r="G6827" s="7">
        <v>101.03740000000001</v>
      </c>
      <c r="H6827" s="7"/>
    </row>
    <row r="6828" spans="1:8" x14ac:dyDescent="0.35">
      <c r="A6828" s="7" t="s">
        <v>369</v>
      </c>
      <c r="B6828" s="7" t="s">
        <v>26</v>
      </c>
      <c r="C6828" s="7" t="s">
        <v>27</v>
      </c>
      <c r="D6828" s="7" t="s">
        <v>28</v>
      </c>
      <c r="E6828" s="7" t="s">
        <v>29</v>
      </c>
      <c r="F6828" s="7" t="s">
        <v>155</v>
      </c>
      <c r="G6828" s="7">
        <v>101.0909</v>
      </c>
      <c r="H6828" s="7"/>
    </row>
    <row r="6829" spans="1:8" x14ac:dyDescent="0.35">
      <c r="A6829" s="7" t="s">
        <v>369</v>
      </c>
      <c r="B6829" s="7" t="s">
        <v>26</v>
      </c>
      <c r="C6829" s="7" t="s">
        <v>27</v>
      </c>
      <c r="D6829" s="7" t="s">
        <v>28</v>
      </c>
      <c r="E6829" s="7" t="s">
        <v>29</v>
      </c>
      <c r="F6829" s="7" t="s">
        <v>156</v>
      </c>
      <c r="G6829" s="7">
        <v>101.1066</v>
      </c>
      <c r="H6829" s="7"/>
    </row>
    <row r="6830" spans="1:8" x14ac:dyDescent="0.35">
      <c r="A6830" s="7" t="s">
        <v>369</v>
      </c>
      <c r="B6830" s="7" t="s">
        <v>26</v>
      </c>
      <c r="C6830" s="7" t="s">
        <v>27</v>
      </c>
      <c r="D6830" s="7" t="s">
        <v>28</v>
      </c>
      <c r="E6830" s="7" t="s">
        <v>29</v>
      </c>
      <c r="F6830" s="7" t="s">
        <v>157</v>
      </c>
      <c r="G6830" s="7">
        <v>101.0702</v>
      </c>
      <c r="H6830" s="7"/>
    </row>
    <row r="6831" spans="1:8" x14ac:dyDescent="0.35">
      <c r="A6831" s="7" t="s">
        <v>369</v>
      </c>
      <c r="B6831" s="7" t="s">
        <v>26</v>
      </c>
      <c r="C6831" s="7" t="s">
        <v>27</v>
      </c>
      <c r="D6831" s="7" t="s">
        <v>28</v>
      </c>
      <c r="E6831" s="7" t="s">
        <v>29</v>
      </c>
      <c r="F6831" s="7" t="s">
        <v>158</v>
      </c>
      <c r="G6831" s="7">
        <v>100.9744</v>
      </c>
      <c r="H6831" s="7"/>
    </row>
    <row r="6832" spans="1:8" x14ac:dyDescent="0.35">
      <c r="A6832" s="7" t="s">
        <v>369</v>
      </c>
      <c r="B6832" s="7" t="s">
        <v>26</v>
      </c>
      <c r="C6832" s="7" t="s">
        <v>27</v>
      </c>
      <c r="D6832" s="7" t="s">
        <v>28</v>
      </c>
      <c r="E6832" s="7" t="s">
        <v>29</v>
      </c>
      <c r="F6832" s="7" t="s">
        <v>159</v>
      </c>
      <c r="G6832" s="7">
        <v>100.8672</v>
      </c>
      <c r="H6832" s="7"/>
    </row>
    <row r="6833" spans="1:8" x14ac:dyDescent="0.35">
      <c r="A6833" s="7" t="s">
        <v>369</v>
      </c>
      <c r="B6833" s="7" t="s">
        <v>26</v>
      </c>
      <c r="C6833" s="7" t="s">
        <v>27</v>
      </c>
      <c r="D6833" s="7" t="s">
        <v>28</v>
      </c>
      <c r="E6833" s="7" t="s">
        <v>29</v>
      </c>
      <c r="F6833" s="7" t="s">
        <v>160</v>
      </c>
      <c r="G6833" s="7">
        <v>100.7902</v>
      </c>
      <c r="H6833" s="7"/>
    </row>
    <row r="6834" spans="1:8" x14ac:dyDescent="0.35">
      <c r="A6834" s="7" t="s">
        <v>369</v>
      </c>
      <c r="B6834" s="7" t="s">
        <v>26</v>
      </c>
      <c r="C6834" s="7" t="s">
        <v>27</v>
      </c>
      <c r="D6834" s="7" t="s">
        <v>28</v>
      </c>
      <c r="E6834" s="7" t="s">
        <v>29</v>
      </c>
      <c r="F6834" s="7" t="s">
        <v>161</v>
      </c>
      <c r="G6834" s="7">
        <v>100.6951</v>
      </c>
      <c r="H6834" s="7"/>
    </row>
    <row r="6835" spans="1:8" x14ac:dyDescent="0.35">
      <c r="A6835" s="7" t="s">
        <v>369</v>
      </c>
      <c r="B6835" s="7" t="s">
        <v>26</v>
      </c>
      <c r="C6835" s="7" t="s">
        <v>27</v>
      </c>
      <c r="D6835" s="7" t="s">
        <v>28</v>
      </c>
      <c r="E6835" s="7" t="s">
        <v>29</v>
      </c>
      <c r="F6835" s="7" t="s">
        <v>162</v>
      </c>
      <c r="G6835" s="7">
        <v>100.49850000000001</v>
      </c>
      <c r="H6835" s="7"/>
    </row>
    <row r="6836" spans="1:8" x14ac:dyDescent="0.35">
      <c r="A6836" s="7" t="s">
        <v>369</v>
      </c>
      <c r="B6836" s="7" t="s">
        <v>26</v>
      </c>
      <c r="C6836" s="7" t="s">
        <v>27</v>
      </c>
      <c r="D6836" s="7" t="s">
        <v>28</v>
      </c>
      <c r="E6836" s="7" t="s">
        <v>29</v>
      </c>
      <c r="F6836" s="7" t="s">
        <v>163</v>
      </c>
      <c r="G6836" s="7">
        <v>100.18810000000001</v>
      </c>
      <c r="H6836" s="7"/>
    </row>
    <row r="6837" spans="1:8" x14ac:dyDescent="0.35">
      <c r="A6837" s="7" t="s">
        <v>369</v>
      </c>
      <c r="B6837" s="7" t="s">
        <v>26</v>
      </c>
      <c r="C6837" s="7" t="s">
        <v>27</v>
      </c>
      <c r="D6837" s="7" t="s">
        <v>28</v>
      </c>
      <c r="E6837" s="7" t="s">
        <v>29</v>
      </c>
      <c r="F6837" s="7" t="s">
        <v>164</v>
      </c>
      <c r="G6837" s="7">
        <v>99.839879999999994</v>
      </c>
      <c r="H6837" s="7"/>
    </row>
    <row r="6838" spans="1:8" x14ac:dyDescent="0.35">
      <c r="A6838" s="7" t="s">
        <v>369</v>
      </c>
      <c r="B6838" s="7" t="s">
        <v>26</v>
      </c>
      <c r="C6838" s="7" t="s">
        <v>27</v>
      </c>
      <c r="D6838" s="7" t="s">
        <v>28</v>
      </c>
      <c r="E6838" s="7" t="s">
        <v>29</v>
      </c>
      <c r="F6838" s="7" t="s">
        <v>165</v>
      </c>
      <c r="G6838" s="7">
        <v>99.524360000000001</v>
      </c>
      <c r="H6838" s="7"/>
    </row>
    <row r="6839" spans="1:8" x14ac:dyDescent="0.35">
      <c r="A6839" s="7" t="s">
        <v>369</v>
      </c>
      <c r="B6839" s="7" t="s">
        <v>26</v>
      </c>
      <c r="C6839" s="7" t="s">
        <v>27</v>
      </c>
      <c r="D6839" s="7" t="s">
        <v>28</v>
      </c>
      <c r="E6839" s="7" t="s">
        <v>29</v>
      </c>
      <c r="F6839" s="7" t="s">
        <v>166</v>
      </c>
      <c r="G6839" s="7">
        <v>99.419650000000004</v>
      </c>
      <c r="H6839" s="7"/>
    </row>
    <row r="6840" spans="1:8" x14ac:dyDescent="0.35">
      <c r="A6840" s="7" t="s">
        <v>369</v>
      </c>
      <c r="B6840" s="7" t="s">
        <v>26</v>
      </c>
      <c r="C6840" s="7" t="s">
        <v>27</v>
      </c>
      <c r="D6840" s="7" t="s">
        <v>28</v>
      </c>
      <c r="E6840" s="7" t="s">
        <v>29</v>
      </c>
      <c r="F6840" s="7" t="s">
        <v>167</v>
      </c>
      <c r="G6840" s="7">
        <v>99.622020000000006</v>
      </c>
      <c r="H6840" s="7"/>
    </row>
    <row r="6841" spans="1:8" x14ac:dyDescent="0.35">
      <c r="A6841" s="7" t="s">
        <v>369</v>
      </c>
      <c r="B6841" s="7" t="s">
        <v>26</v>
      </c>
      <c r="C6841" s="7" t="s">
        <v>27</v>
      </c>
      <c r="D6841" s="7" t="s">
        <v>28</v>
      </c>
      <c r="E6841" s="7" t="s">
        <v>29</v>
      </c>
      <c r="F6841" s="7" t="s">
        <v>168</v>
      </c>
      <c r="G6841" s="7">
        <v>99.813109999999995</v>
      </c>
      <c r="H6841" s="7"/>
    </row>
    <row r="6842" spans="1:8" x14ac:dyDescent="0.35">
      <c r="A6842" s="7" t="s">
        <v>369</v>
      </c>
      <c r="B6842" s="7" t="s">
        <v>26</v>
      </c>
      <c r="C6842" s="7" t="s">
        <v>27</v>
      </c>
      <c r="D6842" s="7" t="s">
        <v>28</v>
      </c>
      <c r="E6842" s="7" t="s">
        <v>29</v>
      </c>
      <c r="F6842" s="7" t="s">
        <v>169</v>
      </c>
      <c r="G6842" s="7">
        <v>99.887659999999997</v>
      </c>
      <c r="H6842" s="7"/>
    </row>
    <row r="6843" spans="1:8" x14ac:dyDescent="0.35">
      <c r="A6843" s="7" t="s">
        <v>369</v>
      </c>
      <c r="B6843" s="7" t="s">
        <v>26</v>
      </c>
      <c r="C6843" s="7" t="s">
        <v>27</v>
      </c>
      <c r="D6843" s="7" t="s">
        <v>28</v>
      </c>
      <c r="E6843" s="7" t="s">
        <v>29</v>
      </c>
      <c r="F6843" s="7" t="s">
        <v>170</v>
      </c>
      <c r="G6843" s="7">
        <v>99.897099999999995</v>
      </c>
      <c r="H6843" s="7"/>
    </row>
    <row r="6844" spans="1:8" x14ac:dyDescent="0.35">
      <c r="A6844" s="7" t="s">
        <v>369</v>
      </c>
      <c r="B6844" s="7" t="s">
        <v>26</v>
      </c>
      <c r="C6844" s="7" t="s">
        <v>27</v>
      </c>
      <c r="D6844" s="7" t="s">
        <v>28</v>
      </c>
      <c r="E6844" s="7" t="s">
        <v>29</v>
      </c>
      <c r="F6844" s="7" t="s">
        <v>171</v>
      </c>
      <c r="G6844" s="7">
        <v>99.963710000000006</v>
      </c>
      <c r="H6844" s="7"/>
    </row>
    <row r="6845" spans="1:8" x14ac:dyDescent="0.35">
      <c r="A6845" s="7" t="s">
        <v>369</v>
      </c>
      <c r="B6845" s="7" t="s">
        <v>26</v>
      </c>
      <c r="C6845" s="7" t="s">
        <v>27</v>
      </c>
      <c r="D6845" s="7" t="s">
        <v>28</v>
      </c>
      <c r="E6845" s="7" t="s">
        <v>29</v>
      </c>
      <c r="F6845" s="7" t="s">
        <v>172</v>
      </c>
      <c r="G6845" s="7">
        <v>100.0244</v>
      </c>
      <c r="H6845" s="7"/>
    </row>
    <row r="6846" spans="1:8" x14ac:dyDescent="0.35">
      <c r="A6846" s="7" t="s">
        <v>369</v>
      </c>
      <c r="B6846" s="7" t="s">
        <v>26</v>
      </c>
      <c r="C6846" s="7" t="s">
        <v>27</v>
      </c>
      <c r="D6846" s="7" t="s">
        <v>28</v>
      </c>
      <c r="E6846" s="7" t="s">
        <v>29</v>
      </c>
      <c r="F6846" s="7" t="s">
        <v>173</v>
      </c>
      <c r="G6846" s="7">
        <v>99.966160000000002</v>
      </c>
      <c r="H6846" s="7"/>
    </row>
    <row r="6847" spans="1:8" x14ac:dyDescent="0.35">
      <c r="A6847" s="7" t="s">
        <v>369</v>
      </c>
      <c r="B6847" s="7" t="s">
        <v>26</v>
      </c>
      <c r="C6847" s="7" t="s">
        <v>27</v>
      </c>
      <c r="D6847" s="7" t="s">
        <v>28</v>
      </c>
      <c r="E6847" s="7" t="s">
        <v>29</v>
      </c>
      <c r="F6847" s="7" t="s">
        <v>174</v>
      </c>
      <c r="G6847" s="7">
        <v>100.1259</v>
      </c>
      <c r="H6847" s="7"/>
    </row>
    <row r="6848" spans="1:8" x14ac:dyDescent="0.35">
      <c r="A6848" s="7" t="s">
        <v>369</v>
      </c>
      <c r="B6848" s="7" t="s">
        <v>26</v>
      </c>
      <c r="C6848" s="7" t="s">
        <v>27</v>
      </c>
      <c r="D6848" s="7" t="s">
        <v>28</v>
      </c>
      <c r="E6848" s="7" t="s">
        <v>29</v>
      </c>
      <c r="F6848" s="7" t="s">
        <v>175</v>
      </c>
      <c r="G6848" s="7">
        <v>100.3171</v>
      </c>
      <c r="H6848" s="7"/>
    </row>
    <row r="6849" spans="1:8" x14ac:dyDescent="0.35">
      <c r="A6849" s="7" t="s">
        <v>369</v>
      </c>
      <c r="B6849" s="7" t="s">
        <v>26</v>
      </c>
      <c r="C6849" s="7" t="s">
        <v>27</v>
      </c>
      <c r="D6849" s="7" t="s">
        <v>28</v>
      </c>
      <c r="E6849" s="7" t="s">
        <v>29</v>
      </c>
      <c r="F6849" s="7" t="s">
        <v>176</v>
      </c>
      <c r="G6849" s="7">
        <v>100.49979999999999</v>
      </c>
      <c r="H6849" s="7"/>
    </row>
    <row r="6850" spans="1:8" x14ac:dyDescent="0.35">
      <c r="A6850" s="7" t="s">
        <v>369</v>
      </c>
      <c r="B6850" s="7" t="s">
        <v>26</v>
      </c>
      <c r="C6850" s="7" t="s">
        <v>27</v>
      </c>
      <c r="D6850" s="7" t="s">
        <v>28</v>
      </c>
      <c r="E6850" s="7" t="s">
        <v>29</v>
      </c>
      <c r="F6850" s="7" t="s">
        <v>177</v>
      </c>
      <c r="G6850" s="7">
        <v>100.6009</v>
      </c>
      <c r="H6850" s="7"/>
    </row>
    <row r="6851" spans="1:8" x14ac:dyDescent="0.35">
      <c r="A6851" s="7" t="s">
        <v>369</v>
      </c>
      <c r="B6851" s="7" t="s">
        <v>26</v>
      </c>
      <c r="C6851" s="7" t="s">
        <v>27</v>
      </c>
      <c r="D6851" s="7" t="s">
        <v>28</v>
      </c>
      <c r="E6851" s="7" t="s">
        <v>29</v>
      </c>
      <c r="F6851" s="7" t="s">
        <v>178</v>
      </c>
      <c r="G6851" s="7">
        <v>100.6341</v>
      </c>
      <c r="H6851" s="7"/>
    </row>
    <row r="6852" spans="1:8" x14ac:dyDescent="0.35">
      <c r="A6852" s="7" t="s">
        <v>369</v>
      </c>
      <c r="B6852" s="7" t="s">
        <v>26</v>
      </c>
      <c r="C6852" s="7" t="s">
        <v>27</v>
      </c>
      <c r="D6852" s="7" t="s">
        <v>28</v>
      </c>
      <c r="E6852" s="7" t="s">
        <v>29</v>
      </c>
      <c r="F6852" s="7" t="s">
        <v>179</v>
      </c>
      <c r="G6852" s="7">
        <v>100.6439</v>
      </c>
      <c r="H6852" s="7"/>
    </row>
    <row r="6853" spans="1:8" x14ac:dyDescent="0.35">
      <c r="A6853" s="7" t="s">
        <v>369</v>
      </c>
      <c r="B6853" s="7" t="s">
        <v>26</v>
      </c>
      <c r="C6853" s="7" t="s">
        <v>27</v>
      </c>
      <c r="D6853" s="7" t="s">
        <v>28</v>
      </c>
      <c r="E6853" s="7" t="s">
        <v>29</v>
      </c>
      <c r="F6853" s="7" t="s">
        <v>180</v>
      </c>
      <c r="G6853" s="7">
        <v>100.6947</v>
      </c>
      <c r="H6853" s="7"/>
    </row>
    <row r="6854" spans="1:8" x14ac:dyDescent="0.35">
      <c r="A6854" s="7" t="s">
        <v>369</v>
      </c>
      <c r="B6854" s="7" t="s">
        <v>26</v>
      </c>
      <c r="C6854" s="7" t="s">
        <v>27</v>
      </c>
      <c r="D6854" s="7" t="s">
        <v>28</v>
      </c>
      <c r="E6854" s="7" t="s">
        <v>29</v>
      </c>
      <c r="F6854" s="7" t="s">
        <v>181</v>
      </c>
      <c r="G6854" s="7">
        <v>100.8272</v>
      </c>
      <c r="H6854" s="7"/>
    </row>
    <row r="6855" spans="1:8" x14ac:dyDescent="0.35">
      <c r="A6855" s="7" t="s">
        <v>369</v>
      </c>
      <c r="B6855" s="7" t="s">
        <v>26</v>
      </c>
      <c r="C6855" s="7" t="s">
        <v>27</v>
      </c>
      <c r="D6855" s="7" t="s">
        <v>28</v>
      </c>
      <c r="E6855" s="7" t="s">
        <v>29</v>
      </c>
      <c r="F6855" s="7" t="s">
        <v>182</v>
      </c>
      <c r="G6855" s="7">
        <v>100.8509</v>
      </c>
      <c r="H6855" s="7"/>
    </row>
    <row r="6856" spans="1:8" x14ac:dyDescent="0.35">
      <c r="A6856" s="7" t="s">
        <v>369</v>
      </c>
      <c r="B6856" s="7" t="s">
        <v>26</v>
      </c>
      <c r="C6856" s="7" t="s">
        <v>27</v>
      </c>
      <c r="D6856" s="7" t="s">
        <v>28</v>
      </c>
      <c r="E6856" s="7" t="s">
        <v>29</v>
      </c>
      <c r="F6856" s="7" t="s">
        <v>183</v>
      </c>
      <c r="G6856" s="7">
        <v>100.86190000000001</v>
      </c>
      <c r="H6856" s="7"/>
    </row>
    <row r="6857" spans="1:8" x14ac:dyDescent="0.35">
      <c r="A6857" s="7" t="s">
        <v>369</v>
      </c>
      <c r="B6857" s="7" t="s">
        <v>26</v>
      </c>
      <c r="C6857" s="7" t="s">
        <v>27</v>
      </c>
      <c r="D6857" s="7" t="s">
        <v>28</v>
      </c>
      <c r="E6857" s="7" t="s">
        <v>29</v>
      </c>
      <c r="F6857" s="7" t="s">
        <v>184</v>
      </c>
      <c r="G6857" s="7">
        <v>100.77070000000001</v>
      </c>
      <c r="H6857" s="7"/>
    </row>
    <row r="6858" spans="1:8" x14ac:dyDescent="0.35">
      <c r="A6858" s="7" t="s">
        <v>369</v>
      </c>
      <c r="B6858" s="7" t="s">
        <v>26</v>
      </c>
      <c r="C6858" s="7" t="s">
        <v>27</v>
      </c>
      <c r="D6858" s="7" t="s">
        <v>28</v>
      </c>
      <c r="E6858" s="7" t="s">
        <v>29</v>
      </c>
      <c r="F6858" s="7" t="s">
        <v>185</v>
      </c>
      <c r="G6858" s="7">
        <v>100.5826</v>
      </c>
      <c r="H6858" s="7"/>
    </row>
    <row r="6859" spans="1:8" x14ac:dyDescent="0.35">
      <c r="A6859" s="7" t="s">
        <v>369</v>
      </c>
      <c r="B6859" s="7" t="s">
        <v>26</v>
      </c>
      <c r="C6859" s="7" t="s">
        <v>27</v>
      </c>
      <c r="D6859" s="7" t="s">
        <v>28</v>
      </c>
      <c r="E6859" s="7" t="s">
        <v>29</v>
      </c>
      <c r="F6859" s="7" t="s">
        <v>186</v>
      </c>
      <c r="G6859" s="7">
        <v>100.4443</v>
      </c>
      <c r="H6859" s="7"/>
    </row>
    <row r="6860" spans="1:8" x14ac:dyDescent="0.35">
      <c r="A6860" s="7" t="s">
        <v>369</v>
      </c>
      <c r="B6860" s="7" t="s">
        <v>26</v>
      </c>
      <c r="C6860" s="7" t="s">
        <v>27</v>
      </c>
      <c r="D6860" s="7" t="s">
        <v>28</v>
      </c>
      <c r="E6860" s="7" t="s">
        <v>29</v>
      </c>
      <c r="F6860" s="7" t="s">
        <v>187</v>
      </c>
      <c r="G6860" s="7">
        <v>100.4395</v>
      </c>
      <c r="H6860" s="7"/>
    </row>
    <row r="6861" spans="1:8" x14ac:dyDescent="0.35">
      <c r="A6861" s="7" t="s">
        <v>369</v>
      </c>
      <c r="B6861" s="7" t="s">
        <v>26</v>
      </c>
      <c r="C6861" s="7" t="s">
        <v>27</v>
      </c>
      <c r="D6861" s="7" t="s">
        <v>28</v>
      </c>
      <c r="E6861" s="7" t="s">
        <v>29</v>
      </c>
      <c r="F6861" s="7" t="s">
        <v>188</v>
      </c>
      <c r="G6861" s="7">
        <v>100.50230000000001</v>
      </c>
      <c r="H6861" s="7"/>
    </row>
    <row r="6862" spans="1:8" x14ac:dyDescent="0.35">
      <c r="A6862" s="7" t="s">
        <v>369</v>
      </c>
      <c r="B6862" s="7" t="s">
        <v>26</v>
      </c>
      <c r="C6862" s="7" t="s">
        <v>27</v>
      </c>
      <c r="D6862" s="7" t="s">
        <v>28</v>
      </c>
      <c r="E6862" s="7" t="s">
        <v>29</v>
      </c>
      <c r="F6862" s="7" t="s">
        <v>189</v>
      </c>
      <c r="G6862" s="7">
        <v>100.60209999999999</v>
      </c>
      <c r="H6862" s="7"/>
    </row>
    <row r="6863" spans="1:8" x14ac:dyDescent="0.35">
      <c r="A6863" s="7" t="s">
        <v>369</v>
      </c>
      <c r="B6863" s="7" t="s">
        <v>26</v>
      </c>
      <c r="C6863" s="7" t="s">
        <v>27</v>
      </c>
      <c r="D6863" s="7" t="s">
        <v>28</v>
      </c>
      <c r="E6863" s="7" t="s">
        <v>29</v>
      </c>
      <c r="F6863" s="7" t="s">
        <v>190</v>
      </c>
      <c r="G6863" s="7">
        <v>100.6131</v>
      </c>
      <c r="H6863" s="7"/>
    </row>
    <row r="6864" spans="1:8" x14ac:dyDescent="0.35">
      <c r="A6864" s="7" t="s">
        <v>369</v>
      </c>
      <c r="B6864" s="7" t="s">
        <v>26</v>
      </c>
      <c r="C6864" s="7" t="s">
        <v>27</v>
      </c>
      <c r="D6864" s="7" t="s">
        <v>28</v>
      </c>
      <c r="E6864" s="7" t="s">
        <v>29</v>
      </c>
      <c r="F6864" s="7" t="s">
        <v>191</v>
      </c>
      <c r="G6864" s="7">
        <v>100.41679999999999</v>
      </c>
      <c r="H6864" s="7"/>
    </row>
    <row r="6865" spans="1:8" x14ac:dyDescent="0.35">
      <c r="A6865" s="7" t="s">
        <v>369</v>
      </c>
      <c r="B6865" s="7" t="s">
        <v>26</v>
      </c>
      <c r="C6865" s="7" t="s">
        <v>27</v>
      </c>
      <c r="D6865" s="7" t="s">
        <v>28</v>
      </c>
      <c r="E6865" s="7" t="s">
        <v>29</v>
      </c>
      <c r="F6865" s="7" t="s">
        <v>192</v>
      </c>
      <c r="G6865" s="7">
        <v>100.1148</v>
      </c>
      <c r="H6865" s="7"/>
    </row>
    <row r="6866" spans="1:8" x14ac:dyDescent="0.35">
      <c r="A6866" s="7" t="s">
        <v>369</v>
      </c>
      <c r="B6866" s="7" t="s">
        <v>26</v>
      </c>
      <c r="C6866" s="7" t="s">
        <v>27</v>
      </c>
      <c r="D6866" s="7" t="s">
        <v>28</v>
      </c>
      <c r="E6866" s="7" t="s">
        <v>29</v>
      </c>
      <c r="F6866" s="7" t="s">
        <v>193</v>
      </c>
      <c r="G6866" s="7">
        <v>99.934179999999998</v>
      </c>
      <c r="H6866" s="7"/>
    </row>
    <row r="6867" spans="1:8" x14ac:dyDescent="0.35">
      <c r="A6867" s="7" t="s">
        <v>369</v>
      </c>
      <c r="B6867" s="7" t="s">
        <v>26</v>
      </c>
      <c r="C6867" s="7" t="s">
        <v>27</v>
      </c>
      <c r="D6867" s="7" t="s">
        <v>28</v>
      </c>
      <c r="E6867" s="7" t="s">
        <v>29</v>
      </c>
      <c r="F6867" s="7" t="s">
        <v>194</v>
      </c>
      <c r="G6867" s="7">
        <v>99.866910000000004</v>
      </c>
      <c r="H6867" s="7"/>
    </row>
    <row r="6868" spans="1:8" x14ac:dyDescent="0.35">
      <c r="A6868" s="7" t="s">
        <v>369</v>
      </c>
      <c r="B6868" s="7" t="s">
        <v>26</v>
      </c>
      <c r="C6868" s="7" t="s">
        <v>27</v>
      </c>
      <c r="D6868" s="7" t="s">
        <v>28</v>
      </c>
      <c r="E6868" s="7" t="s">
        <v>29</v>
      </c>
      <c r="F6868" s="7" t="s">
        <v>195</v>
      </c>
      <c r="G6868" s="7">
        <v>99.862110000000001</v>
      </c>
      <c r="H6868" s="7"/>
    </row>
    <row r="6869" spans="1:8" x14ac:dyDescent="0.35">
      <c r="A6869" s="7" t="s">
        <v>369</v>
      </c>
      <c r="B6869" s="7" t="s">
        <v>26</v>
      </c>
      <c r="C6869" s="7" t="s">
        <v>27</v>
      </c>
      <c r="D6869" s="7" t="s">
        <v>28</v>
      </c>
      <c r="E6869" s="7" t="s">
        <v>29</v>
      </c>
      <c r="F6869" s="7" t="s">
        <v>196</v>
      </c>
      <c r="G6869" s="7">
        <v>99.8596</v>
      </c>
      <c r="H6869" s="7"/>
    </row>
    <row r="6870" spans="1:8" x14ac:dyDescent="0.35">
      <c r="A6870" s="7" t="s">
        <v>369</v>
      </c>
      <c r="B6870" s="7" t="s">
        <v>26</v>
      </c>
      <c r="C6870" s="7" t="s">
        <v>27</v>
      </c>
      <c r="D6870" s="7" t="s">
        <v>28</v>
      </c>
      <c r="E6870" s="7" t="s">
        <v>29</v>
      </c>
      <c r="F6870" s="7" t="s">
        <v>197</v>
      </c>
      <c r="G6870" s="7">
        <v>99.996570000000006</v>
      </c>
      <c r="H6870" s="7"/>
    </row>
    <row r="6871" spans="1:8" x14ac:dyDescent="0.35">
      <c r="A6871" s="7" t="s">
        <v>369</v>
      </c>
      <c r="B6871" s="7" t="s">
        <v>26</v>
      </c>
      <c r="C6871" s="7" t="s">
        <v>27</v>
      </c>
      <c r="D6871" s="7" t="s">
        <v>28</v>
      </c>
      <c r="E6871" s="7" t="s">
        <v>29</v>
      </c>
      <c r="F6871" s="7" t="s">
        <v>198</v>
      </c>
      <c r="G6871" s="7">
        <v>100.139</v>
      </c>
      <c r="H6871" s="7"/>
    </row>
    <row r="6872" spans="1:8" x14ac:dyDescent="0.35">
      <c r="A6872" s="7" t="s">
        <v>369</v>
      </c>
      <c r="B6872" s="7" t="s">
        <v>26</v>
      </c>
      <c r="C6872" s="7" t="s">
        <v>27</v>
      </c>
      <c r="D6872" s="7" t="s">
        <v>28</v>
      </c>
      <c r="E6872" s="7" t="s">
        <v>29</v>
      </c>
      <c r="F6872" s="7" t="s">
        <v>199</v>
      </c>
      <c r="G6872" s="7">
        <v>100.36150000000001</v>
      </c>
      <c r="H6872" s="7"/>
    </row>
    <row r="6873" spans="1:8" x14ac:dyDescent="0.35">
      <c r="A6873" s="7" t="s">
        <v>369</v>
      </c>
      <c r="B6873" s="7" t="s">
        <v>26</v>
      </c>
      <c r="C6873" s="7" t="s">
        <v>27</v>
      </c>
      <c r="D6873" s="7" t="s">
        <v>28</v>
      </c>
      <c r="E6873" s="7" t="s">
        <v>29</v>
      </c>
      <c r="F6873" s="7" t="s">
        <v>200</v>
      </c>
      <c r="G6873" s="7">
        <v>100.5247</v>
      </c>
      <c r="H6873" s="7"/>
    </row>
    <row r="6874" spans="1:8" x14ac:dyDescent="0.35">
      <c r="A6874" s="7" t="s">
        <v>369</v>
      </c>
      <c r="B6874" s="7" t="s">
        <v>26</v>
      </c>
      <c r="C6874" s="7" t="s">
        <v>27</v>
      </c>
      <c r="D6874" s="7" t="s">
        <v>28</v>
      </c>
      <c r="E6874" s="7" t="s">
        <v>29</v>
      </c>
      <c r="F6874" s="7" t="s">
        <v>201</v>
      </c>
      <c r="G6874" s="7">
        <v>100.5239</v>
      </c>
      <c r="H6874" s="7"/>
    </row>
    <row r="6875" spans="1:8" x14ac:dyDescent="0.35">
      <c r="A6875" s="7" t="s">
        <v>369</v>
      </c>
      <c r="B6875" s="7" t="s">
        <v>26</v>
      </c>
      <c r="C6875" s="7" t="s">
        <v>27</v>
      </c>
      <c r="D6875" s="7" t="s">
        <v>28</v>
      </c>
      <c r="E6875" s="7" t="s">
        <v>29</v>
      </c>
      <c r="F6875" s="7" t="s">
        <v>202</v>
      </c>
      <c r="G6875" s="7">
        <v>100.4958</v>
      </c>
      <c r="H6875" s="7"/>
    </row>
    <row r="6876" spans="1:8" x14ac:dyDescent="0.35">
      <c r="A6876" s="7" t="s">
        <v>369</v>
      </c>
      <c r="B6876" s="7" t="s">
        <v>26</v>
      </c>
      <c r="C6876" s="7" t="s">
        <v>27</v>
      </c>
      <c r="D6876" s="7" t="s">
        <v>28</v>
      </c>
      <c r="E6876" s="7" t="s">
        <v>29</v>
      </c>
      <c r="F6876" s="7" t="s">
        <v>203</v>
      </c>
      <c r="G6876" s="7">
        <v>100.5275</v>
      </c>
      <c r="H6876" s="7"/>
    </row>
    <row r="6877" spans="1:8" x14ac:dyDescent="0.35">
      <c r="A6877" s="7" t="s">
        <v>369</v>
      </c>
      <c r="B6877" s="7" t="s">
        <v>26</v>
      </c>
      <c r="C6877" s="7" t="s">
        <v>27</v>
      </c>
      <c r="D6877" s="7" t="s">
        <v>28</v>
      </c>
      <c r="E6877" s="7" t="s">
        <v>29</v>
      </c>
      <c r="F6877" s="7" t="s">
        <v>204</v>
      </c>
      <c r="G6877" s="7">
        <v>100.60680000000001</v>
      </c>
      <c r="H6877" s="7"/>
    </row>
    <row r="6878" spans="1:8" x14ac:dyDescent="0.35">
      <c r="A6878" s="7" t="s">
        <v>369</v>
      </c>
      <c r="B6878" s="7" t="s">
        <v>26</v>
      </c>
      <c r="C6878" s="7" t="s">
        <v>27</v>
      </c>
      <c r="D6878" s="7" t="s">
        <v>28</v>
      </c>
      <c r="E6878" s="7" t="s">
        <v>29</v>
      </c>
      <c r="F6878" s="7" t="s">
        <v>205</v>
      </c>
      <c r="G6878" s="7">
        <v>100.76909999999999</v>
      </c>
      <c r="H6878" s="7"/>
    </row>
    <row r="6879" spans="1:8" x14ac:dyDescent="0.35">
      <c r="A6879" s="7" t="s">
        <v>369</v>
      </c>
      <c r="B6879" s="7" t="s">
        <v>26</v>
      </c>
      <c r="C6879" s="7" t="s">
        <v>27</v>
      </c>
      <c r="D6879" s="7" t="s">
        <v>28</v>
      </c>
      <c r="E6879" s="7" t="s">
        <v>29</v>
      </c>
      <c r="F6879" s="7" t="s">
        <v>206</v>
      </c>
      <c r="G6879" s="7">
        <v>100.9178</v>
      </c>
      <c r="H6879" s="7"/>
    </row>
    <row r="6880" spans="1:8" x14ac:dyDescent="0.35">
      <c r="A6880" s="7" t="s">
        <v>369</v>
      </c>
      <c r="B6880" s="7" t="s">
        <v>26</v>
      </c>
      <c r="C6880" s="7" t="s">
        <v>27</v>
      </c>
      <c r="D6880" s="7" t="s">
        <v>28</v>
      </c>
      <c r="E6880" s="7" t="s">
        <v>29</v>
      </c>
      <c r="F6880" s="7" t="s">
        <v>207</v>
      </c>
      <c r="G6880" s="7">
        <v>101.03189999999999</v>
      </c>
      <c r="H6880" s="7"/>
    </row>
    <row r="6881" spans="1:8" x14ac:dyDescent="0.35">
      <c r="A6881" s="7" t="s">
        <v>369</v>
      </c>
      <c r="B6881" s="7" t="s">
        <v>26</v>
      </c>
      <c r="C6881" s="7" t="s">
        <v>27</v>
      </c>
      <c r="D6881" s="7" t="s">
        <v>28</v>
      </c>
      <c r="E6881" s="7" t="s">
        <v>29</v>
      </c>
      <c r="F6881" s="7" t="s">
        <v>208</v>
      </c>
      <c r="G6881" s="7">
        <v>101.0956</v>
      </c>
      <c r="H6881" s="7"/>
    </row>
    <row r="6882" spans="1:8" x14ac:dyDescent="0.35">
      <c r="A6882" s="7" t="s">
        <v>369</v>
      </c>
      <c r="B6882" s="7" t="s">
        <v>26</v>
      </c>
      <c r="C6882" s="7" t="s">
        <v>27</v>
      </c>
      <c r="D6882" s="7" t="s">
        <v>28</v>
      </c>
      <c r="E6882" s="7" t="s">
        <v>29</v>
      </c>
      <c r="F6882" s="7" t="s">
        <v>209</v>
      </c>
      <c r="G6882" s="7">
        <v>101.0968</v>
      </c>
      <c r="H6882" s="7"/>
    </row>
    <row r="6883" spans="1:8" x14ac:dyDescent="0.35">
      <c r="A6883" s="7" t="s">
        <v>369</v>
      </c>
      <c r="B6883" s="7" t="s">
        <v>26</v>
      </c>
      <c r="C6883" s="7" t="s">
        <v>27</v>
      </c>
      <c r="D6883" s="7" t="s">
        <v>28</v>
      </c>
      <c r="E6883" s="7" t="s">
        <v>29</v>
      </c>
      <c r="F6883" s="7" t="s">
        <v>210</v>
      </c>
      <c r="G6883" s="7">
        <v>100.9074</v>
      </c>
      <c r="H6883" s="7"/>
    </row>
    <row r="6884" spans="1:8" x14ac:dyDescent="0.35">
      <c r="A6884" s="7" t="s">
        <v>369</v>
      </c>
      <c r="B6884" s="7" t="s">
        <v>26</v>
      </c>
      <c r="C6884" s="7" t="s">
        <v>27</v>
      </c>
      <c r="D6884" s="7" t="s">
        <v>28</v>
      </c>
      <c r="E6884" s="7" t="s">
        <v>29</v>
      </c>
      <c r="F6884" s="7" t="s">
        <v>211</v>
      </c>
      <c r="G6884" s="7">
        <v>100.6741</v>
      </c>
      <c r="H6884" s="7"/>
    </row>
    <row r="6885" spans="1:8" x14ac:dyDescent="0.35">
      <c r="A6885" s="7" t="s">
        <v>369</v>
      </c>
      <c r="B6885" s="7" t="s">
        <v>26</v>
      </c>
      <c r="C6885" s="7" t="s">
        <v>27</v>
      </c>
      <c r="D6885" s="7" t="s">
        <v>28</v>
      </c>
      <c r="E6885" s="7" t="s">
        <v>29</v>
      </c>
      <c r="F6885" s="7" t="s">
        <v>212</v>
      </c>
      <c r="G6885" s="7">
        <v>100.72790000000001</v>
      </c>
      <c r="H6885" s="7"/>
    </row>
    <row r="6886" spans="1:8" x14ac:dyDescent="0.35">
      <c r="A6886" s="7" t="s">
        <v>369</v>
      </c>
      <c r="B6886" s="7" t="s">
        <v>26</v>
      </c>
      <c r="C6886" s="7" t="s">
        <v>27</v>
      </c>
      <c r="D6886" s="7" t="s">
        <v>28</v>
      </c>
      <c r="E6886" s="7" t="s">
        <v>29</v>
      </c>
      <c r="F6886" s="7" t="s">
        <v>213</v>
      </c>
      <c r="G6886" s="7">
        <v>100.8745</v>
      </c>
      <c r="H6886" s="7"/>
    </row>
    <row r="6887" spans="1:8" x14ac:dyDescent="0.35">
      <c r="A6887" s="7" t="s">
        <v>369</v>
      </c>
      <c r="B6887" s="7" t="s">
        <v>26</v>
      </c>
      <c r="C6887" s="7" t="s">
        <v>27</v>
      </c>
      <c r="D6887" s="7" t="s">
        <v>28</v>
      </c>
      <c r="E6887" s="7" t="s">
        <v>29</v>
      </c>
      <c r="F6887" s="7" t="s">
        <v>214</v>
      </c>
      <c r="G6887" s="7">
        <v>101.03700000000001</v>
      </c>
      <c r="H6887" s="7"/>
    </row>
    <row r="6888" spans="1:8" x14ac:dyDescent="0.35">
      <c r="A6888" s="7" t="s">
        <v>369</v>
      </c>
      <c r="B6888" s="7" t="s">
        <v>26</v>
      </c>
      <c r="C6888" s="7" t="s">
        <v>27</v>
      </c>
      <c r="D6888" s="7" t="s">
        <v>28</v>
      </c>
      <c r="E6888" s="7" t="s">
        <v>29</v>
      </c>
      <c r="F6888" s="7" t="s">
        <v>215</v>
      </c>
      <c r="G6888" s="7">
        <v>101.19799999999999</v>
      </c>
      <c r="H6888" s="7"/>
    </row>
    <row r="6889" spans="1:8" x14ac:dyDescent="0.35">
      <c r="A6889" s="7" t="s">
        <v>369</v>
      </c>
      <c r="B6889" s="7" t="s">
        <v>26</v>
      </c>
      <c r="C6889" s="7" t="s">
        <v>27</v>
      </c>
      <c r="D6889" s="7" t="s">
        <v>28</v>
      </c>
      <c r="E6889" s="7" t="s">
        <v>29</v>
      </c>
      <c r="F6889" s="7" t="s">
        <v>216</v>
      </c>
      <c r="G6889" s="7">
        <v>101.28279999999999</v>
      </c>
      <c r="H6889" s="7"/>
    </row>
    <row r="6890" spans="1:8" x14ac:dyDescent="0.35">
      <c r="A6890" s="7" t="s">
        <v>369</v>
      </c>
      <c r="B6890" s="7" t="s">
        <v>26</v>
      </c>
      <c r="C6890" s="7" t="s">
        <v>27</v>
      </c>
      <c r="D6890" s="7" t="s">
        <v>28</v>
      </c>
      <c r="E6890" s="7" t="s">
        <v>29</v>
      </c>
      <c r="F6890" s="7" t="s">
        <v>217</v>
      </c>
      <c r="G6890" s="7">
        <v>101.25579999999999</v>
      </c>
      <c r="H6890" s="7"/>
    </row>
    <row r="6891" spans="1:8" x14ac:dyDescent="0.35">
      <c r="A6891" s="7" t="s">
        <v>369</v>
      </c>
      <c r="B6891" s="7" t="s">
        <v>26</v>
      </c>
      <c r="C6891" s="7" t="s">
        <v>27</v>
      </c>
      <c r="D6891" s="7" t="s">
        <v>28</v>
      </c>
      <c r="E6891" s="7" t="s">
        <v>29</v>
      </c>
      <c r="F6891" s="7" t="s">
        <v>218</v>
      </c>
      <c r="G6891" s="7">
        <v>101.1708</v>
      </c>
      <c r="H6891" s="7"/>
    </row>
    <row r="6892" spans="1:8" x14ac:dyDescent="0.35">
      <c r="A6892" s="7" t="s">
        <v>369</v>
      </c>
      <c r="B6892" s="7" t="s">
        <v>26</v>
      </c>
      <c r="C6892" s="7" t="s">
        <v>27</v>
      </c>
      <c r="D6892" s="7" t="s">
        <v>28</v>
      </c>
      <c r="E6892" s="7" t="s">
        <v>29</v>
      </c>
      <c r="F6892" s="7" t="s">
        <v>219</v>
      </c>
      <c r="G6892" s="7">
        <v>101.0855</v>
      </c>
      <c r="H6892" s="7"/>
    </row>
    <row r="6893" spans="1:8" x14ac:dyDescent="0.35">
      <c r="A6893" s="7" t="s">
        <v>369</v>
      </c>
      <c r="B6893" s="7" t="s">
        <v>26</v>
      </c>
      <c r="C6893" s="7" t="s">
        <v>27</v>
      </c>
      <c r="D6893" s="7" t="s">
        <v>28</v>
      </c>
      <c r="E6893" s="7" t="s">
        <v>29</v>
      </c>
      <c r="F6893" s="7" t="s">
        <v>220</v>
      </c>
      <c r="G6893" s="7">
        <v>100.97790000000001</v>
      </c>
      <c r="H6893" s="7"/>
    </row>
    <row r="6894" spans="1:8" x14ac:dyDescent="0.35">
      <c r="A6894" s="7" t="s">
        <v>369</v>
      </c>
      <c r="B6894" s="7" t="s">
        <v>26</v>
      </c>
      <c r="C6894" s="7" t="s">
        <v>27</v>
      </c>
      <c r="D6894" s="7" t="s">
        <v>28</v>
      </c>
      <c r="E6894" s="7" t="s">
        <v>29</v>
      </c>
      <c r="F6894" s="7" t="s">
        <v>221</v>
      </c>
      <c r="G6894" s="7">
        <v>100.79900000000001</v>
      </c>
      <c r="H6894" s="7"/>
    </row>
    <row r="6895" spans="1:8" x14ac:dyDescent="0.35">
      <c r="A6895" s="7" t="s">
        <v>369</v>
      </c>
      <c r="B6895" s="7" t="s">
        <v>26</v>
      </c>
      <c r="C6895" s="7" t="s">
        <v>27</v>
      </c>
      <c r="D6895" s="7" t="s">
        <v>28</v>
      </c>
      <c r="E6895" s="7" t="s">
        <v>29</v>
      </c>
      <c r="F6895" s="7" t="s">
        <v>222</v>
      </c>
      <c r="G6895" s="7">
        <v>100.5568</v>
      </c>
      <c r="H6895" s="7"/>
    </row>
    <row r="6896" spans="1:8" x14ac:dyDescent="0.35">
      <c r="A6896" s="7" t="s">
        <v>369</v>
      </c>
      <c r="B6896" s="7" t="s">
        <v>26</v>
      </c>
      <c r="C6896" s="7" t="s">
        <v>27</v>
      </c>
      <c r="D6896" s="7" t="s">
        <v>28</v>
      </c>
      <c r="E6896" s="7" t="s">
        <v>29</v>
      </c>
      <c r="F6896" s="7" t="s">
        <v>223</v>
      </c>
      <c r="G6896" s="7">
        <v>100.4623</v>
      </c>
      <c r="H6896" s="7"/>
    </row>
    <row r="6897" spans="1:8" x14ac:dyDescent="0.35">
      <c r="A6897" s="7" t="s">
        <v>369</v>
      </c>
      <c r="B6897" s="7" t="s">
        <v>26</v>
      </c>
      <c r="C6897" s="7" t="s">
        <v>27</v>
      </c>
      <c r="D6897" s="7" t="s">
        <v>28</v>
      </c>
      <c r="E6897" s="7" t="s">
        <v>29</v>
      </c>
      <c r="F6897" s="7" t="s">
        <v>224</v>
      </c>
      <c r="G6897" s="7">
        <v>100.4198</v>
      </c>
      <c r="H6897" s="7"/>
    </row>
    <row r="6898" spans="1:8" x14ac:dyDescent="0.35">
      <c r="A6898" s="7" t="s">
        <v>369</v>
      </c>
      <c r="B6898" s="7" t="s">
        <v>26</v>
      </c>
      <c r="C6898" s="7" t="s">
        <v>27</v>
      </c>
      <c r="D6898" s="7" t="s">
        <v>28</v>
      </c>
      <c r="E6898" s="7" t="s">
        <v>29</v>
      </c>
      <c r="F6898" s="7" t="s">
        <v>225</v>
      </c>
      <c r="G6898" s="7">
        <v>100.42440000000001</v>
      </c>
      <c r="H6898" s="7"/>
    </row>
    <row r="6899" spans="1:8" x14ac:dyDescent="0.35">
      <c r="A6899" s="7" t="s">
        <v>369</v>
      </c>
      <c r="B6899" s="7" t="s">
        <v>26</v>
      </c>
      <c r="C6899" s="7" t="s">
        <v>27</v>
      </c>
      <c r="D6899" s="7" t="s">
        <v>28</v>
      </c>
      <c r="E6899" s="7" t="s">
        <v>29</v>
      </c>
      <c r="F6899" s="7" t="s">
        <v>226</v>
      </c>
      <c r="G6899" s="7">
        <v>100.3917</v>
      </c>
      <c r="H6899" s="7"/>
    </row>
    <row r="6900" spans="1:8" x14ac:dyDescent="0.35">
      <c r="A6900" s="7" t="s">
        <v>369</v>
      </c>
      <c r="B6900" s="7" t="s">
        <v>26</v>
      </c>
      <c r="C6900" s="7" t="s">
        <v>27</v>
      </c>
      <c r="D6900" s="7" t="s">
        <v>28</v>
      </c>
      <c r="E6900" s="7" t="s">
        <v>29</v>
      </c>
      <c r="F6900" s="7" t="s">
        <v>227</v>
      </c>
      <c r="G6900" s="7">
        <v>100.242</v>
      </c>
      <c r="H6900" s="7"/>
    </row>
    <row r="6901" spans="1:8" x14ac:dyDescent="0.35">
      <c r="A6901" s="7" t="s">
        <v>369</v>
      </c>
      <c r="B6901" s="7" t="s">
        <v>26</v>
      </c>
      <c r="C6901" s="7" t="s">
        <v>27</v>
      </c>
      <c r="D6901" s="7" t="s">
        <v>28</v>
      </c>
      <c r="E6901" s="7" t="s">
        <v>29</v>
      </c>
      <c r="F6901" s="7" t="s">
        <v>228</v>
      </c>
      <c r="G6901" s="7">
        <v>100.0686</v>
      </c>
      <c r="H6901" s="7"/>
    </row>
    <row r="6902" spans="1:8" x14ac:dyDescent="0.35">
      <c r="A6902" s="7" t="s">
        <v>369</v>
      </c>
      <c r="B6902" s="7" t="s">
        <v>26</v>
      </c>
      <c r="C6902" s="7" t="s">
        <v>27</v>
      </c>
      <c r="D6902" s="7" t="s">
        <v>28</v>
      </c>
      <c r="E6902" s="7" t="s">
        <v>29</v>
      </c>
      <c r="F6902" s="7" t="s">
        <v>229</v>
      </c>
      <c r="G6902" s="7">
        <v>99.905519999999996</v>
      </c>
      <c r="H6902" s="7"/>
    </row>
    <row r="6903" spans="1:8" x14ac:dyDescent="0.35">
      <c r="A6903" s="7" t="s">
        <v>369</v>
      </c>
      <c r="B6903" s="7" t="s">
        <v>26</v>
      </c>
      <c r="C6903" s="7" t="s">
        <v>27</v>
      </c>
      <c r="D6903" s="7" t="s">
        <v>28</v>
      </c>
      <c r="E6903" s="7" t="s">
        <v>29</v>
      </c>
      <c r="F6903" s="7" t="s">
        <v>230</v>
      </c>
      <c r="G6903" s="7">
        <v>99.822810000000004</v>
      </c>
      <c r="H6903" s="7"/>
    </row>
    <row r="6904" spans="1:8" x14ac:dyDescent="0.35">
      <c r="A6904" s="7" t="s">
        <v>369</v>
      </c>
      <c r="B6904" s="7" t="s">
        <v>26</v>
      </c>
      <c r="C6904" s="7" t="s">
        <v>27</v>
      </c>
      <c r="D6904" s="7" t="s">
        <v>28</v>
      </c>
      <c r="E6904" s="7" t="s">
        <v>29</v>
      </c>
      <c r="F6904" s="7" t="s">
        <v>231</v>
      </c>
      <c r="G6904" s="7">
        <v>99.80874</v>
      </c>
      <c r="H6904" s="7"/>
    </row>
    <row r="6905" spans="1:8" x14ac:dyDescent="0.35">
      <c r="A6905" s="7" t="s">
        <v>369</v>
      </c>
      <c r="B6905" s="7" t="s">
        <v>26</v>
      </c>
      <c r="C6905" s="7" t="s">
        <v>27</v>
      </c>
      <c r="D6905" s="7" t="s">
        <v>28</v>
      </c>
      <c r="E6905" s="7" t="s">
        <v>29</v>
      </c>
      <c r="F6905" s="7" t="s">
        <v>232</v>
      </c>
      <c r="G6905" s="7">
        <v>99.639660000000006</v>
      </c>
      <c r="H6905" s="7"/>
    </row>
    <row r="6906" spans="1:8" x14ac:dyDescent="0.35">
      <c r="A6906" s="7" t="s">
        <v>369</v>
      </c>
      <c r="B6906" s="7" t="s">
        <v>26</v>
      </c>
      <c r="C6906" s="7" t="s">
        <v>27</v>
      </c>
      <c r="D6906" s="7" t="s">
        <v>28</v>
      </c>
      <c r="E6906" s="7" t="s">
        <v>29</v>
      </c>
      <c r="F6906" s="7" t="s">
        <v>233</v>
      </c>
      <c r="G6906" s="7">
        <v>99.163160000000005</v>
      </c>
      <c r="H6906" s="7"/>
    </row>
    <row r="6907" spans="1:8" x14ac:dyDescent="0.35">
      <c r="A6907" s="7" t="s">
        <v>369</v>
      </c>
      <c r="B6907" s="7" t="s">
        <v>26</v>
      </c>
      <c r="C6907" s="7" t="s">
        <v>27</v>
      </c>
      <c r="D6907" s="7" t="s">
        <v>28</v>
      </c>
      <c r="E6907" s="7" t="s">
        <v>29</v>
      </c>
      <c r="F6907" s="7" t="s">
        <v>234</v>
      </c>
      <c r="G6907" s="7">
        <v>98.691559999999996</v>
      </c>
      <c r="H6907" s="7"/>
    </row>
    <row r="6908" spans="1:8" x14ac:dyDescent="0.35">
      <c r="A6908" s="7" t="s">
        <v>369</v>
      </c>
      <c r="B6908" s="7" t="s">
        <v>26</v>
      </c>
      <c r="C6908" s="7" t="s">
        <v>27</v>
      </c>
      <c r="D6908" s="7" t="s">
        <v>28</v>
      </c>
      <c r="E6908" s="7" t="s">
        <v>29</v>
      </c>
      <c r="F6908" s="7" t="s">
        <v>235</v>
      </c>
      <c r="G6908" s="7">
        <v>98.390270000000001</v>
      </c>
      <c r="H6908" s="7"/>
    </row>
    <row r="6909" spans="1:8" x14ac:dyDescent="0.35">
      <c r="A6909" s="7" t="s">
        <v>369</v>
      </c>
      <c r="B6909" s="7" t="s">
        <v>26</v>
      </c>
      <c r="C6909" s="7" t="s">
        <v>27</v>
      </c>
      <c r="D6909" s="7" t="s">
        <v>28</v>
      </c>
      <c r="E6909" s="7" t="s">
        <v>29</v>
      </c>
      <c r="F6909" s="7" t="s">
        <v>236</v>
      </c>
      <c r="G6909" s="7">
        <v>98.300709999999995</v>
      </c>
      <c r="H6909" s="7"/>
    </row>
    <row r="6910" spans="1:8" x14ac:dyDescent="0.35">
      <c r="A6910" s="7" t="s">
        <v>369</v>
      </c>
      <c r="B6910" s="7" t="s">
        <v>26</v>
      </c>
      <c r="C6910" s="7" t="s">
        <v>27</v>
      </c>
      <c r="D6910" s="7" t="s">
        <v>28</v>
      </c>
      <c r="E6910" s="7" t="s">
        <v>29</v>
      </c>
      <c r="F6910" s="7" t="s">
        <v>237</v>
      </c>
      <c r="G6910" s="7">
        <v>98.226569999999995</v>
      </c>
      <c r="H6910" s="7"/>
    </row>
    <row r="6911" spans="1:8" x14ac:dyDescent="0.35">
      <c r="A6911" s="7" t="s">
        <v>369</v>
      </c>
      <c r="B6911" s="7" t="s">
        <v>26</v>
      </c>
      <c r="C6911" s="7" t="s">
        <v>27</v>
      </c>
      <c r="D6911" s="7" t="s">
        <v>28</v>
      </c>
      <c r="E6911" s="7" t="s">
        <v>29</v>
      </c>
      <c r="F6911" s="7" t="s">
        <v>238</v>
      </c>
      <c r="G6911" s="7">
        <v>98.305689999999998</v>
      </c>
      <c r="H6911" s="7"/>
    </row>
    <row r="6912" spans="1:8" x14ac:dyDescent="0.35">
      <c r="A6912" s="7" t="s">
        <v>369</v>
      </c>
      <c r="B6912" s="7" t="s">
        <v>26</v>
      </c>
      <c r="C6912" s="7" t="s">
        <v>27</v>
      </c>
      <c r="D6912" s="7" t="s">
        <v>28</v>
      </c>
      <c r="E6912" s="7" t="s">
        <v>29</v>
      </c>
      <c r="F6912" s="7" t="s">
        <v>239</v>
      </c>
      <c r="G6912" s="7">
        <v>98.523309999999995</v>
      </c>
      <c r="H6912" s="7"/>
    </row>
    <row r="6913" spans="1:8" x14ac:dyDescent="0.35">
      <c r="A6913" s="7" t="s">
        <v>369</v>
      </c>
      <c r="B6913" s="7" t="s">
        <v>26</v>
      </c>
      <c r="C6913" s="7" t="s">
        <v>27</v>
      </c>
      <c r="D6913" s="7" t="s">
        <v>28</v>
      </c>
      <c r="E6913" s="7" t="s">
        <v>29</v>
      </c>
      <c r="F6913" s="7" t="s">
        <v>240</v>
      </c>
      <c r="G6913" s="7">
        <v>98.801270000000002</v>
      </c>
      <c r="H6913" s="7"/>
    </row>
    <row r="6914" spans="1:8" x14ac:dyDescent="0.35">
      <c r="A6914" s="7" t="s">
        <v>369</v>
      </c>
      <c r="B6914" s="7" t="s">
        <v>26</v>
      </c>
      <c r="C6914" s="7" t="s">
        <v>27</v>
      </c>
      <c r="D6914" s="7" t="s">
        <v>28</v>
      </c>
      <c r="E6914" s="7" t="s">
        <v>29</v>
      </c>
      <c r="F6914" s="7" t="s">
        <v>241</v>
      </c>
      <c r="G6914" s="7">
        <v>99.083240000000004</v>
      </c>
      <c r="H6914" s="7"/>
    </row>
    <row r="6915" spans="1:8" x14ac:dyDescent="0.35">
      <c r="A6915" s="7" t="s">
        <v>369</v>
      </c>
      <c r="B6915" s="7" t="s">
        <v>26</v>
      </c>
      <c r="C6915" s="7" t="s">
        <v>27</v>
      </c>
      <c r="D6915" s="7" t="s">
        <v>28</v>
      </c>
      <c r="E6915" s="7" t="s">
        <v>29</v>
      </c>
      <c r="F6915" s="7" t="s">
        <v>242</v>
      </c>
      <c r="G6915" s="7">
        <v>99.370810000000006</v>
      </c>
      <c r="H6915" s="7"/>
    </row>
    <row r="6916" spans="1:8" x14ac:dyDescent="0.35">
      <c r="A6916" s="7" t="s">
        <v>369</v>
      </c>
      <c r="B6916" s="7" t="s">
        <v>26</v>
      </c>
      <c r="C6916" s="7" t="s">
        <v>27</v>
      </c>
      <c r="D6916" s="7" t="s">
        <v>28</v>
      </c>
      <c r="E6916" s="7" t="s">
        <v>29</v>
      </c>
      <c r="F6916" s="7" t="s">
        <v>243</v>
      </c>
      <c r="G6916" s="7">
        <v>99.677170000000004</v>
      </c>
      <c r="H6916" s="7"/>
    </row>
    <row r="6917" spans="1:8" x14ac:dyDescent="0.35">
      <c r="A6917" s="7" t="s">
        <v>369</v>
      </c>
      <c r="B6917" s="7" t="s">
        <v>26</v>
      </c>
      <c r="C6917" s="7" t="s">
        <v>27</v>
      </c>
      <c r="D6917" s="7" t="s">
        <v>28</v>
      </c>
      <c r="E6917" s="7" t="s">
        <v>29</v>
      </c>
      <c r="F6917" s="7" t="s">
        <v>244</v>
      </c>
      <c r="G6917" s="7">
        <v>99.817970000000003</v>
      </c>
      <c r="H6917" s="7"/>
    </row>
    <row r="6918" spans="1:8" x14ac:dyDescent="0.35">
      <c r="A6918" s="7" t="s">
        <v>369</v>
      </c>
      <c r="B6918" s="7" t="s">
        <v>26</v>
      </c>
      <c r="C6918" s="7" t="s">
        <v>27</v>
      </c>
      <c r="D6918" s="7" t="s">
        <v>28</v>
      </c>
      <c r="E6918" s="7" t="s">
        <v>29</v>
      </c>
      <c r="F6918" s="7" t="s">
        <v>245</v>
      </c>
      <c r="G6918" s="7">
        <v>99.811729999999997</v>
      </c>
      <c r="H6918" s="7"/>
    </row>
    <row r="6919" spans="1:8" x14ac:dyDescent="0.35">
      <c r="A6919" s="7" t="s">
        <v>369</v>
      </c>
      <c r="B6919" s="7" t="s">
        <v>26</v>
      </c>
      <c r="C6919" s="7" t="s">
        <v>27</v>
      </c>
      <c r="D6919" s="7" t="s">
        <v>28</v>
      </c>
      <c r="E6919" s="7" t="s">
        <v>29</v>
      </c>
      <c r="F6919" s="7" t="s">
        <v>246</v>
      </c>
      <c r="G6919" s="7">
        <v>99.739009999999993</v>
      </c>
      <c r="H6919" s="7"/>
    </row>
    <row r="6920" spans="1:8" x14ac:dyDescent="0.35">
      <c r="A6920" s="7" t="s">
        <v>369</v>
      </c>
      <c r="B6920" s="7" t="s">
        <v>26</v>
      </c>
      <c r="C6920" s="7" t="s">
        <v>27</v>
      </c>
      <c r="D6920" s="7" t="s">
        <v>28</v>
      </c>
      <c r="E6920" s="7" t="s">
        <v>29</v>
      </c>
      <c r="F6920" s="7" t="s">
        <v>247</v>
      </c>
      <c r="G6920" s="7">
        <v>99.557950000000005</v>
      </c>
      <c r="H6920" s="7"/>
    </row>
    <row r="6921" spans="1:8" x14ac:dyDescent="0.35">
      <c r="A6921" s="7" t="s">
        <v>369</v>
      </c>
      <c r="B6921" s="7" t="s">
        <v>26</v>
      </c>
      <c r="C6921" s="7" t="s">
        <v>27</v>
      </c>
      <c r="D6921" s="7" t="s">
        <v>28</v>
      </c>
      <c r="E6921" s="7" t="s">
        <v>29</v>
      </c>
      <c r="F6921" s="7" t="s">
        <v>248</v>
      </c>
      <c r="G6921" s="7">
        <v>99.468689999999995</v>
      </c>
      <c r="H6921" s="7"/>
    </row>
    <row r="6922" spans="1:8" x14ac:dyDescent="0.35">
      <c r="A6922" s="7" t="s">
        <v>369</v>
      </c>
      <c r="B6922" s="7" t="s">
        <v>26</v>
      </c>
      <c r="C6922" s="7" t="s">
        <v>27</v>
      </c>
      <c r="D6922" s="7" t="s">
        <v>28</v>
      </c>
      <c r="E6922" s="7" t="s">
        <v>29</v>
      </c>
      <c r="F6922" s="7" t="s">
        <v>249</v>
      </c>
      <c r="G6922" s="7">
        <v>99.511039999999994</v>
      </c>
      <c r="H6922" s="7"/>
    </row>
    <row r="6923" spans="1:8" x14ac:dyDescent="0.35">
      <c r="A6923" s="7" t="s">
        <v>369</v>
      </c>
      <c r="B6923" s="7" t="s">
        <v>26</v>
      </c>
      <c r="C6923" s="7" t="s">
        <v>27</v>
      </c>
      <c r="D6923" s="7" t="s">
        <v>28</v>
      </c>
      <c r="E6923" s="7" t="s">
        <v>29</v>
      </c>
      <c r="F6923" s="7" t="s">
        <v>250</v>
      </c>
      <c r="G6923" s="7">
        <v>99.709900000000005</v>
      </c>
      <c r="H6923" s="7"/>
    </row>
    <row r="6924" spans="1:8" x14ac:dyDescent="0.35">
      <c r="A6924" s="7" t="s">
        <v>369</v>
      </c>
      <c r="B6924" s="7" t="s">
        <v>26</v>
      </c>
      <c r="C6924" s="7" t="s">
        <v>27</v>
      </c>
      <c r="D6924" s="7" t="s">
        <v>28</v>
      </c>
      <c r="E6924" s="7" t="s">
        <v>29</v>
      </c>
      <c r="F6924" s="7" t="s">
        <v>251</v>
      </c>
      <c r="G6924" s="7">
        <v>99.931920000000005</v>
      </c>
      <c r="H6924" s="7"/>
    </row>
    <row r="6925" spans="1:8" x14ac:dyDescent="0.35">
      <c r="A6925" s="7" t="s">
        <v>369</v>
      </c>
      <c r="B6925" s="7" t="s">
        <v>26</v>
      </c>
      <c r="C6925" s="7" t="s">
        <v>27</v>
      </c>
      <c r="D6925" s="7" t="s">
        <v>28</v>
      </c>
      <c r="E6925" s="7" t="s">
        <v>29</v>
      </c>
      <c r="F6925" s="7" t="s">
        <v>252</v>
      </c>
      <c r="G6925" s="7">
        <v>100.03440000000001</v>
      </c>
      <c r="H6925" s="7"/>
    </row>
    <row r="6926" spans="1:8" x14ac:dyDescent="0.35">
      <c r="A6926" s="7" t="s">
        <v>369</v>
      </c>
      <c r="B6926" s="7" t="s">
        <v>26</v>
      </c>
      <c r="C6926" s="7" t="s">
        <v>27</v>
      </c>
      <c r="D6926" s="7" t="s">
        <v>28</v>
      </c>
      <c r="E6926" s="7" t="s">
        <v>29</v>
      </c>
      <c r="F6926" s="7" t="s">
        <v>253</v>
      </c>
      <c r="G6926" s="7">
        <v>100.2265</v>
      </c>
      <c r="H6926" s="7"/>
    </row>
    <row r="6927" spans="1:8" x14ac:dyDescent="0.35">
      <c r="A6927" s="7" t="s">
        <v>369</v>
      </c>
      <c r="B6927" s="7" t="s">
        <v>26</v>
      </c>
      <c r="C6927" s="7" t="s">
        <v>27</v>
      </c>
      <c r="D6927" s="7" t="s">
        <v>28</v>
      </c>
      <c r="E6927" s="7" t="s">
        <v>29</v>
      </c>
      <c r="F6927" s="7" t="s">
        <v>254</v>
      </c>
      <c r="G6927" s="7">
        <v>100.4622</v>
      </c>
      <c r="H6927" s="7"/>
    </row>
    <row r="6928" spans="1:8" x14ac:dyDescent="0.35">
      <c r="A6928" s="7" t="s">
        <v>369</v>
      </c>
      <c r="B6928" s="7" t="s">
        <v>26</v>
      </c>
      <c r="C6928" s="7" t="s">
        <v>27</v>
      </c>
      <c r="D6928" s="7" t="s">
        <v>28</v>
      </c>
      <c r="E6928" s="7" t="s">
        <v>29</v>
      </c>
      <c r="F6928" s="7" t="s">
        <v>255</v>
      </c>
      <c r="G6928" s="7">
        <v>100.65170000000001</v>
      </c>
      <c r="H6928" s="7"/>
    </row>
    <row r="6929" spans="1:8" x14ac:dyDescent="0.35">
      <c r="A6929" s="7" t="s">
        <v>369</v>
      </c>
      <c r="B6929" s="7" t="s">
        <v>26</v>
      </c>
      <c r="C6929" s="7" t="s">
        <v>27</v>
      </c>
      <c r="D6929" s="7" t="s">
        <v>28</v>
      </c>
      <c r="E6929" s="7" t="s">
        <v>29</v>
      </c>
      <c r="F6929" s="7" t="s">
        <v>256</v>
      </c>
      <c r="G6929" s="7">
        <v>100.7403</v>
      </c>
      <c r="H6929" s="7"/>
    </row>
    <row r="6930" spans="1:8" x14ac:dyDescent="0.35">
      <c r="A6930" s="7" t="s">
        <v>369</v>
      </c>
      <c r="B6930" s="7" t="s">
        <v>26</v>
      </c>
      <c r="C6930" s="7" t="s">
        <v>27</v>
      </c>
      <c r="D6930" s="7" t="s">
        <v>28</v>
      </c>
      <c r="E6930" s="7" t="s">
        <v>29</v>
      </c>
      <c r="F6930" s="7" t="s">
        <v>257</v>
      </c>
      <c r="G6930" s="7">
        <v>100.79859999999999</v>
      </c>
      <c r="H6930" s="7"/>
    </row>
    <row r="6931" spans="1:8" x14ac:dyDescent="0.35">
      <c r="A6931" s="7" t="s">
        <v>369</v>
      </c>
      <c r="B6931" s="7" t="s">
        <v>26</v>
      </c>
      <c r="C6931" s="7" t="s">
        <v>27</v>
      </c>
      <c r="D6931" s="7" t="s">
        <v>28</v>
      </c>
      <c r="E6931" s="7" t="s">
        <v>29</v>
      </c>
      <c r="F6931" s="7" t="s">
        <v>258</v>
      </c>
      <c r="G6931" s="7">
        <v>100.8674</v>
      </c>
      <c r="H6931" s="7"/>
    </row>
    <row r="6932" spans="1:8" x14ac:dyDescent="0.35">
      <c r="A6932" s="7" t="s">
        <v>369</v>
      </c>
      <c r="B6932" s="7" t="s">
        <v>26</v>
      </c>
      <c r="C6932" s="7" t="s">
        <v>27</v>
      </c>
      <c r="D6932" s="7" t="s">
        <v>28</v>
      </c>
      <c r="E6932" s="7" t="s">
        <v>29</v>
      </c>
      <c r="F6932" s="7" t="s">
        <v>259</v>
      </c>
      <c r="G6932" s="7">
        <v>100.8764</v>
      </c>
      <c r="H6932" s="7"/>
    </row>
    <row r="6933" spans="1:8" x14ac:dyDescent="0.35">
      <c r="A6933" s="7" t="s">
        <v>369</v>
      </c>
      <c r="B6933" s="7" t="s">
        <v>26</v>
      </c>
      <c r="C6933" s="7" t="s">
        <v>27</v>
      </c>
      <c r="D6933" s="7" t="s">
        <v>28</v>
      </c>
      <c r="E6933" s="7" t="s">
        <v>29</v>
      </c>
      <c r="F6933" s="7" t="s">
        <v>260</v>
      </c>
      <c r="G6933" s="7">
        <v>100.8897</v>
      </c>
      <c r="H6933" s="7"/>
    </row>
    <row r="6934" spans="1:8" x14ac:dyDescent="0.35">
      <c r="A6934" s="7" t="s">
        <v>369</v>
      </c>
      <c r="B6934" s="7" t="s">
        <v>26</v>
      </c>
      <c r="C6934" s="7" t="s">
        <v>27</v>
      </c>
      <c r="D6934" s="7" t="s">
        <v>28</v>
      </c>
      <c r="E6934" s="7" t="s">
        <v>29</v>
      </c>
      <c r="F6934" s="7" t="s">
        <v>261</v>
      </c>
      <c r="G6934" s="7">
        <v>100.9509</v>
      </c>
      <c r="H6934" s="7"/>
    </row>
    <row r="6935" spans="1:8" x14ac:dyDescent="0.35">
      <c r="A6935" s="7" t="s">
        <v>369</v>
      </c>
      <c r="B6935" s="7" t="s">
        <v>26</v>
      </c>
      <c r="C6935" s="7" t="s">
        <v>27</v>
      </c>
      <c r="D6935" s="7" t="s">
        <v>28</v>
      </c>
      <c r="E6935" s="7" t="s">
        <v>29</v>
      </c>
      <c r="F6935" s="7" t="s">
        <v>262</v>
      </c>
      <c r="G6935" s="7">
        <v>100.9691</v>
      </c>
      <c r="H6935" s="7"/>
    </row>
    <row r="6936" spans="1:8" x14ac:dyDescent="0.35">
      <c r="A6936" s="7" t="s">
        <v>369</v>
      </c>
      <c r="B6936" s="7" t="s">
        <v>26</v>
      </c>
      <c r="C6936" s="7" t="s">
        <v>27</v>
      </c>
      <c r="D6936" s="7" t="s">
        <v>28</v>
      </c>
      <c r="E6936" s="7" t="s">
        <v>29</v>
      </c>
      <c r="F6936" s="7" t="s">
        <v>263</v>
      </c>
      <c r="G6936" s="7">
        <v>101.0163</v>
      </c>
      <c r="H6936" s="7"/>
    </row>
    <row r="6937" spans="1:8" x14ac:dyDescent="0.35">
      <c r="A6937" s="7" t="s">
        <v>369</v>
      </c>
      <c r="B6937" s="7" t="s">
        <v>26</v>
      </c>
      <c r="C6937" s="7" t="s">
        <v>27</v>
      </c>
      <c r="D6937" s="7" t="s">
        <v>28</v>
      </c>
      <c r="E6937" s="7" t="s">
        <v>29</v>
      </c>
      <c r="F6937" s="7" t="s">
        <v>264</v>
      </c>
      <c r="G6937" s="7">
        <v>101.0287</v>
      </c>
      <c r="H6937" s="7"/>
    </row>
    <row r="6938" spans="1:8" x14ac:dyDescent="0.35">
      <c r="A6938" s="7" t="s">
        <v>369</v>
      </c>
      <c r="B6938" s="7" t="s">
        <v>26</v>
      </c>
      <c r="C6938" s="7" t="s">
        <v>27</v>
      </c>
      <c r="D6938" s="7" t="s">
        <v>28</v>
      </c>
      <c r="E6938" s="7" t="s">
        <v>29</v>
      </c>
      <c r="F6938" s="7" t="s">
        <v>265</v>
      </c>
      <c r="G6938" s="7">
        <v>100.8835</v>
      </c>
      <c r="H6938" s="7"/>
    </row>
    <row r="6939" spans="1:8" x14ac:dyDescent="0.35">
      <c r="A6939" s="7" t="s">
        <v>369</v>
      </c>
      <c r="B6939" s="7" t="s">
        <v>26</v>
      </c>
      <c r="C6939" s="7" t="s">
        <v>27</v>
      </c>
      <c r="D6939" s="7" t="s">
        <v>28</v>
      </c>
      <c r="E6939" s="7" t="s">
        <v>29</v>
      </c>
      <c r="F6939" s="7" t="s">
        <v>266</v>
      </c>
      <c r="G6939" s="7">
        <v>100.6437</v>
      </c>
      <c r="H6939" s="7"/>
    </row>
    <row r="6940" spans="1:8" x14ac:dyDescent="0.35">
      <c r="A6940" s="7" t="s">
        <v>369</v>
      </c>
      <c r="B6940" s="7" t="s">
        <v>26</v>
      </c>
      <c r="C6940" s="7" t="s">
        <v>27</v>
      </c>
      <c r="D6940" s="7" t="s">
        <v>28</v>
      </c>
      <c r="E6940" s="7" t="s">
        <v>29</v>
      </c>
      <c r="F6940" s="7" t="s">
        <v>267</v>
      </c>
      <c r="G6940" s="7">
        <v>100.34520000000001</v>
      </c>
      <c r="H6940" s="7"/>
    </row>
    <row r="6941" spans="1:8" x14ac:dyDescent="0.35">
      <c r="A6941" s="7" t="s">
        <v>369</v>
      </c>
      <c r="B6941" s="7" t="s">
        <v>26</v>
      </c>
      <c r="C6941" s="7" t="s">
        <v>27</v>
      </c>
      <c r="D6941" s="7" t="s">
        <v>28</v>
      </c>
      <c r="E6941" s="7" t="s">
        <v>29</v>
      </c>
      <c r="F6941" s="7" t="s">
        <v>268</v>
      </c>
      <c r="G6941" s="7">
        <v>100.1011</v>
      </c>
      <c r="H6941" s="7"/>
    </row>
    <row r="6942" spans="1:8" x14ac:dyDescent="0.35">
      <c r="A6942" s="7" t="s">
        <v>369</v>
      </c>
      <c r="B6942" s="7" t="s">
        <v>26</v>
      </c>
      <c r="C6942" s="7" t="s">
        <v>27</v>
      </c>
      <c r="D6942" s="7" t="s">
        <v>28</v>
      </c>
      <c r="E6942" s="7" t="s">
        <v>29</v>
      </c>
      <c r="F6942" s="7" t="s">
        <v>269</v>
      </c>
      <c r="G6942" s="7">
        <v>99.873760000000004</v>
      </c>
      <c r="H6942" s="7"/>
    </row>
    <row r="6943" spans="1:8" x14ac:dyDescent="0.35">
      <c r="A6943" s="7" t="s">
        <v>369</v>
      </c>
      <c r="B6943" s="7" t="s">
        <v>26</v>
      </c>
      <c r="C6943" s="7" t="s">
        <v>27</v>
      </c>
      <c r="D6943" s="7" t="s">
        <v>28</v>
      </c>
      <c r="E6943" s="7" t="s">
        <v>29</v>
      </c>
      <c r="F6943" s="7" t="s">
        <v>270</v>
      </c>
      <c r="G6943" s="7">
        <v>99.583669999999998</v>
      </c>
      <c r="H6943" s="7"/>
    </row>
    <row r="6944" spans="1:8" x14ac:dyDescent="0.35">
      <c r="A6944" s="7" t="s">
        <v>369</v>
      </c>
      <c r="B6944" s="7" t="s">
        <v>26</v>
      </c>
      <c r="C6944" s="7" t="s">
        <v>27</v>
      </c>
      <c r="D6944" s="7" t="s">
        <v>28</v>
      </c>
      <c r="E6944" s="7" t="s">
        <v>29</v>
      </c>
      <c r="F6944" s="7" t="s">
        <v>271</v>
      </c>
      <c r="G6944" s="7">
        <v>99.393259999999998</v>
      </c>
      <c r="H6944" s="7"/>
    </row>
    <row r="6945" spans="1:8" x14ac:dyDescent="0.35">
      <c r="A6945" s="7" t="s">
        <v>369</v>
      </c>
      <c r="B6945" s="7" t="s">
        <v>26</v>
      </c>
      <c r="C6945" s="7" t="s">
        <v>27</v>
      </c>
      <c r="D6945" s="7" t="s">
        <v>28</v>
      </c>
      <c r="E6945" s="7" t="s">
        <v>29</v>
      </c>
      <c r="F6945" s="7" t="s">
        <v>272</v>
      </c>
      <c r="G6945" s="7">
        <v>99.211600000000004</v>
      </c>
      <c r="H6945" s="7"/>
    </row>
    <row r="6946" spans="1:8" x14ac:dyDescent="0.35">
      <c r="A6946" s="7" t="s">
        <v>369</v>
      </c>
      <c r="B6946" s="7" t="s">
        <v>26</v>
      </c>
      <c r="C6946" s="7" t="s">
        <v>27</v>
      </c>
      <c r="D6946" s="7" t="s">
        <v>28</v>
      </c>
      <c r="E6946" s="7" t="s">
        <v>29</v>
      </c>
      <c r="F6946" s="7" t="s">
        <v>273</v>
      </c>
      <c r="G6946" s="7">
        <v>99.176559999999995</v>
      </c>
      <c r="H6946" s="7"/>
    </row>
    <row r="6947" spans="1:8" x14ac:dyDescent="0.35">
      <c r="A6947" s="7" t="s">
        <v>369</v>
      </c>
      <c r="B6947" s="7" t="s">
        <v>26</v>
      </c>
      <c r="C6947" s="7" t="s">
        <v>27</v>
      </c>
      <c r="D6947" s="7" t="s">
        <v>28</v>
      </c>
      <c r="E6947" s="7" t="s">
        <v>29</v>
      </c>
      <c r="F6947" s="7" t="s">
        <v>274</v>
      </c>
      <c r="G6947" s="7">
        <v>99.432550000000006</v>
      </c>
      <c r="H6947" s="7"/>
    </row>
    <row r="6948" spans="1:8" x14ac:dyDescent="0.35">
      <c r="A6948" s="7" t="s">
        <v>369</v>
      </c>
      <c r="B6948" s="7" t="s">
        <v>26</v>
      </c>
      <c r="C6948" s="7" t="s">
        <v>27</v>
      </c>
      <c r="D6948" s="7" t="s">
        <v>28</v>
      </c>
      <c r="E6948" s="7" t="s">
        <v>29</v>
      </c>
      <c r="F6948" s="7" t="s">
        <v>275</v>
      </c>
      <c r="G6948" s="7">
        <v>99.683269999999993</v>
      </c>
      <c r="H6948" s="7"/>
    </row>
    <row r="6949" spans="1:8" x14ac:dyDescent="0.35">
      <c r="A6949" s="7" t="s">
        <v>369</v>
      </c>
      <c r="B6949" s="7" t="s">
        <v>26</v>
      </c>
      <c r="C6949" s="7" t="s">
        <v>27</v>
      </c>
      <c r="D6949" s="7" t="s">
        <v>28</v>
      </c>
      <c r="E6949" s="7" t="s">
        <v>29</v>
      </c>
      <c r="F6949" s="7" t="s">
        <v>276</v>
      </c>
      <c r="G6949" s="7">
        <v>99.844319999999996</v>
      </c>
      <c r="H6949" s="7"/>
    </row>
    <row r="6950" spans="1:8" x14ac:dyDescent="0.35">
      <c r="A6950" s="7" t="s">
        <v>369</v>
      </c>
      <c r="B6950" s="7" t="s">
        <v>26</v>
      </c>
      <c r="C6950" s="7" t="s">
        <v>27</v>
      </c>
      <c r="D6950" s="7" t="s">
        <v>28</v>
      </c>
      <c r="E6950" s="7" t="s">
        <v>29</v>
      </c>
      <c r="F6950" s="7" t="s">
        <v>277</v>
      </c>
      <c r="G6950" s="7">
        <v>99.848560000000006</v>
      </c>
      <c r="H6950" s="7"/>
    </row>
    <row r="6951" spans="1:8" x14ac:dyDescent="0.35">
      <c r="A6951" s="7" t="s">
        <v>369</v>
      </c>
      <c r="B6951" s="7" t="s">
        <v>26</v>
      </c>
      <c r="C6951" s="7" t="s">
        <v>27</v>
      </c>
      <c r="D6951" s="7" t="s">
        <v>28</v>
      </c>
      <c r="E6951" s="7" t="s">
        <v>29</v>
      </c>
      <c r="F6951" s="7" t="s">
        <v>278</v>
      </c>
      <c r="G6951" s="7">
        <v>99.698160000000001</v>
      </c>
      <c r="H6951" s="7"/>
    </row>
    <row r="6952" spans="1:8" x14ac:dyDescent="0.35">
      <c r="A6952" s="7" t="s">
        <v>369</v>
      </c>
      <c r="B6952" s="7" t="s">
        <v>26</v>
      </c>
      <c r="C6952" s="7" t="s">
        <v>27</v>
      </c>
      <c r="D6952" s="7" t="s">
        <v>28</v>
      </c>
      <c r="E6952" s="7" t="s">
        <v>29</v>
      </c>
      <c r="F6952" s="7" t="s">
        <v>279</v>
      </c>
      <c r="G6952" s="7">
        <v>99.471670000000003</v>
      </c>
      <c r="H6952" s="7"/>
    </row>
    <row r="6953" spans="1:8" x14ac:dyDescent="0.35">
      <c r="A6953" s="7" t="s">
        <v>369</v>
      </c>
      <c r="B6953" s="7" t="s">
        <v>26</v>
      </c>
      <c r="C6953" s="7" t="s">
        <v>27</v>
      </c>
      <c r="D6953" s="7" t="s">
        <v>28</v>
      </c>
      <c r="E6953" s="7" t="s">
        <v>29</v>
      </c>
      <c r="F6953" s="7" t="s">
        <v>280</v>
      </c>
      <c r="G6953" s="7">
        <v>99.216350000000006</v>
      </c>
      <c r="H6953" s="7"/>
    </row>
    <row r="6954" spans="1:8" x14ac:dyDescent="0.35">
      <c r="A6954" s="7" t="s">
        <v>369</v>
      </c>
      <c r="B6954" s="7" t="s">
        <v>26</v>
      </c>
      <c r="C6954" s="7" t="s">
        <v>27</v>
      </c>
      <c r="D6954" s="7" t="s">
        <v>28</v>
      </c>
      <c r="E6954" s="7" t="s">
        <v>29</v>
      </c>
      <c r="F6954" s="7" t="s">
        <v>281</v>
      </c>
      <c r="G6954" s="7">
        <v>98.838130000000007</v>
      </c>
      <c r="H6954" s="7"/>
    </row>
    <row r="6955" spans="1:8" x14ac:dyDescent="0.35">
      <c r="A6955" s="7" t="s">
        <v>369</v>
      </c>
      <c r="B6955" s="7" t="s">
        <v>26</v>
      </c>
      <c r="C6955" s="7" t="s">
        <v>27</v>
      </c>
      <c r="D6955" s="7" t="s">
        <v>28</v>
      </c>
      <c r="E6955" s="7" t="s">
        <v>29</v>
      </c>
      <c r="F6955" s="7" t="s">
        <v>282</v>
      </c>
      <c r="G6955" s="7">
        <v>98.469130000000007</v>
      </c>
      <c r="H6955" s="7"/>
    </row>
    <row r="6956" spans="1:8" x14ac:dyDescent="0.35">
      <c r="A6956" s="7" t="s">
        <v>369</v>
      </c>
      <c r="B6956" s="7" t="s">
        <v>26</v>
      </c>
      <c r="C6956" s="7" t="s">
        <v>27</v>
      </c>
      <c r="D6956" s="7" t="s">
        <v>28</v>
      </c>
      <c r="E6956" s="7" t="s">
        <v>29</v>
      </c>
      <c r="F6956" s="7" t="s">
        <v>283</v>
      </c>
      <c r="G6956" s="7">
        <v>98.363529999999997</v>
      </c>
      <c r="H6956" s="7"/>
    </row>
    <row r="6957" spans="1:8" x14ac:dyDescent="0.35">
      <c r="A6957" s="7" t="s">
        <v>369</v>
      </c>
      <c r="B6957" s="7" t="s">
        <v>26</v>
      </c>
      <c r="C6957" s="7" t="s">
        <v>27</v>
      </c>
      <c r="D6957" s="7" t="s">
        <v>28</v>
      </c>
      <c r="E6957" s="7" t="s">
        <v>29</v>
      </c>
      <c r="F6957" s="7" t="s">
        <v>284</v>
      </c>
      <c r="G6957" s="7">
        <v>98.481300000000005</v>
      </c>
      <c r="H6957" s="7"/>
    </row>
    <row r="6958" spans="1:8" x14ac:dyDescent="0.35">
      <c r="A6958" s="7" t="s">
        <v>369</v>
      </c>
      <c r="B6958" s="7" t="s">
        <v>26</v>
      </c>
      <c r="C6958" s="7" t="s">
        <v>27</v>
      </c>
      <c r="D6958" s="7" t="s">
        <v>28</v>
      </c>
      <c r="E6958" s="7" t="s">
        <v>29</v>
      </c>
      <c r="F6958" s="7" t="s">
        <v>285</v>
      </c>
      <c r="G6958" s="7">
        <v>98.627529999999993</v>
      </c>
      <c r="H6958" s="7"/>
    </row>
    <row r="6959" spans="1:8" x14ac:dyDescent="0.35">
      <c r="A6959" s="7" t="s">
        <v>369</v>
      </c>
      <c r="B6959" s="7" t="s">
        <v>26</v>
      </c>
      <c r="C6959" s="7" t="s">
        <v>27</v>
      </c>
      <c r="D6959" s="7" t="s">
        <v>28</v>
      </c>
      <c r="E6959" s="7" t="s">
        <v>29</v>
      </c>
      <c r="F6959" s="7" t="s">
        <v>286</v>
      </c>
      <c r="G6959" s="7">
        <v>98.648700000000005</v>
      </c>
      <c r="H6959" s="7"/>
    </row>
    <row r="6960" spans="1:8" x14ac:dyDescent="0.35">
      <c r="A6960" s="7" t="s">
        <v>369</v>
      </c>
      <c r="B6960" s="7" t="s">
        <v>26</v>
      </c>
      <c r="C6960" s="7" t="s">
        <v>27</v>
      </c>
      <c r="D6960" s="7" t="s">
        <v>28</v>
      </c>
      <c r="E6960" s="7" t="s">
        <v>29</v>
      </c>
      <c r="F6960" s="7" t="s">
        <v>287</v>
      </c>
      <c r="G6960" s="7">
        <v>98.757580000000004</v>
      </c>
      <c r="H6960" s="7"/>
    </row>
    <row r="6961" spans="1:8" x14ac:dyDescent="0.35">
      <c r="A6961" s="7" t="s">
        <v>369</v>
      </c>
      <c r="B6961" s="7" t="s">
        <v>26</v>
      </c>
      <c r="C6961" s="7" t="s">
        <v>27</v>
      </c>
      <c r="D6961" s="7" t="s">
        <v>28</v>
      </c>
      <c r="E6961" s="7" t="s">
        <v>29</v>
      </c>
      <c r="F6961" s="7" t="s">
        <v>288</v>
      </c>
      <c r="G6961" s="7">
        <v>98.917529999999999</v>
      </c>
      <c r="H6961" s="7"/>
    </row>
    <row r="6962" spans="1:8" x14ac:dyDescent="0.35">
      <c r="A6962" s="7" t="s">
        <v>369</v>
      </c>
      <c r="B6962" s="7" t="s">
        <v>26</v>
      </c>
      <c r="C6962" s="7" t="s">
        <v>27</v>
      </c>
      <c r="D6962" s="7" t="s">
        <v>28</v>
      </c>
      <c r="E6962" s="7" t="s">
        <v>29</v>
      </c>
      <c r="F6962" s="7" t="s">
        <v>289</v>
      </c>
      <c r="G6962" s="7">
        <v>99.126300000000001</v>
      </c>
      <c r="H6962" s="7"/>
    </row>
    <row r="6963" spans="1:8" x14ac:dyDescent="0.35">
      <c r="A6963" s="7" t="s">
        <v>369</v>
      </c>
      <c r="B6963" s="7" t="s">
        <v>26</v>
      </c>
      <c r="C6963" s="7" t="s">
        <v>27</v>
      </c>
      <c r="D6963" s="7" t="s">
        <v>28</v>
      </c>
      <c r="E6963" s="7" t="s">
        <v>29</v>
      </c>
      <c r="F6963" s="7" t="s">
        <v>290</v>
      </c>
      <c r="G6963" s="7">
        <v>99.413020000000003</v>
      </c>
      <c r="H6963" s="7"/>
    </row>
    <row r="6964" spans="1:8" x14ac:dyDescent="0.35">
      <c r="A6964" s="7" t="s">
        <v>369</v>
      </c>
      <c r="B6964" s="7" t="s">
        <v>26</v>
      </c>
      <c r="C6964" s="7" t="s">
        <v>27</v>
      </c>
      <c r="D6964" s="7" t="s">
        <v>28</v>
      </c>
      <c r="E6964" s="7" t="s">
        <v>29</v>
      </c>
      <c r="F6964" s="7" t="s">
        <v>291</v>
      </c>
      <c r="G6964" s="7">
        <v>99.75291</v>
      </c>
      <c r="H6964" s="7"/>
    </row>
    <row r="6965" spans="1:8" x14ac:dyDescent="0.35">
      <c r="A6965" s="7" t="s">
        <v>369</v>
      </c>
      <c r="B6965" s="7" t="s">
        <v>26</v>
      </c>
      <c r="C6965" s="7" t="s">
        <v>27</v>
      </c>
      <c r="D6965" s="7" t="s">
        <v>28</v>
      </c>
      <c r="E6965" s="7" t="s">
        <v>29</v>
      </c>
      <c r="F6965" s="7" t="s">
        <v>292</v>
      </c>
      <c r="G6965" s="7">
        <v>100.0497</v>
      </c>
      <c r="H6965" s="7"/>
    </row>
    <row r="6966" spans="1:8" x14ac:dyDescent="0.35">
      <c r="A6966" s="7" t="s">
        <v>369</v>
      </c>
      <c r="B6966" s="7" t="s">
        <v>26</v>
      </c>
      <c r="C6966" s="7" t="s">
        <v>27</v>
      </c>
      <c r="D6966" s="7" t="s">
        <v>28</v>
      </c>
      <c r="E6966" s="7" t="s">
        <v>29</v>
      </c>
      <c r="F6966" s="7" t="s">
        <v>293</v>
      </c>
      <c r="G6966" s="7">
        <v>100.211</v>
      </c>
      <c r="H6966" s="7"/>
    </row>
    <row r="6967" spans="1:8" x14ac:dyDescent="0.35">
      <c r="A6967" s="7" t="s">
        <v>369</v>
      </c>
      <c r="B6967" s="7" t="s">
        <v>26</v>
      </c>
      <c r="C6967" s="7" t="s">
        <v>27</v>
      </c>
      <c r="D6967" s="7" t="s">
        <v>28</v>
      </c>
      <c r="E6967" s="7" t="s">
        <v>29</v>
      </c>
      <c r="F6967" s="7" t="s">
        <v>294</v>
      </c>
      <c r="G6967" s="7">
        <v>100.3446</v>
      </c>
      <c r="H6967" s="7"/>
    </row>
    <row r="6968" spans="1:8" x14ac:dyDescent="0.35">
      <c r="A6968" s="7" t="s">
        <v>369</v>
      </c>
      <c r="B6968" s="7" t="s">
        <v>26</v>
      </c>
      <c r="C6968" s="7" t="s">
        <v>27</v>
      </c>
      <c r="D6968" s="7" t="s">
        <v>28</v>
      </c>
      <c r="E6968" s="7" t="s">
        <v>29</v>
      </c>
      <c r="F6968" s="7" t="s">
        <v>295</v>
      </c>
      <c r="G6968" s="7">
        <v>100.4855</v>
      </c>
      <c r="H6968" s="7"/>
    </row>
    <row r="6969" spans="1:8" x14ac:dyDescent="0.35">
      <c r="A6969" s="7" t="s">
        <v>369</v>
      </c>
      <c r="B6969" s="7" t="s">
        <v>26</v>
      </c>
      <c r="C6969" s="7" t="s">
        <v>27</v>
      </c>
      <c r="D6969" s="7" t="s">
        <v>28</v>
      </c>
      <c r="E6969" s="7" t="s">
        <v>29</v>
      </c>
      <c r="F6969" s="7" t="s">
        <v>296</v>
      </c>
      <c r="G6969" s="7">
        <v>100.57429999999999</v>
      </c>
      <c r="H6969" s="7"/>
    </row>
    <row r="6970" spans="1:8" x14ac:dyDescent="0.35">
      <c r="A6970" s="7" t="s">
        <v>369</v>
      </c>
      <c r="B6970" s="7" t="s">
        <v>26</v>
      </c>
      <c r="C6970" s="7" t="s">
        <v>27</v>
      </c>
      <c r="D6970" s="7" t="s">
        <v>28</v>
      </c>
      <c r="E6970" s="7" t="s">
        <v>29</v>
      </c>
      <c r="F6970" s="7" t="s">
        <v>297</v>
      </c>
      <c r="G6970" s="7">
        <v>100.5181</v>
      </c>
      <c r="H6970" s="7"/>
    </row>
    <row r="6971" spans="1:8" x14ac:dyDescent="0.35">
      <c r="A6971" s="7" t="s">
        <v>369</v>
      </c>
      <c r="B6971" s="7" t="s">
        <v>26</v>
      </c>
      <c r="C6971" s="7" t="s">
        <v>27</v>
      </c>
      <c r="D6971" s="7" t="s">
        <v>28</v>
      </c>
      <c r="E6971" s="7" t="s">
        <v>29</v>
      </c>
      <c r="F6971" s="7" t="s">
        <v>298</v>
      </c>
      <c r="G6971" s="7">
        <v>100.4045</v>
      </c>
      <c r="H6971" s="7"/>
    </row>
    <row r="6972" spans="1:8" x14ac:dyDescent="0.35">
      <c r="A6972" s="7" t="s">
        <v>369</v>
      </c>
      <c r="B6972" s="7" t="s">
        <v>26</v>
      </c>
      <c r="C6972" s="7" t="s">
        <v>27</v>
      </c>
      <c r="D6972" s="7" t="s">
        <v>28</v>
      </c>
      <c r="E6972" s="7" t="s">
        <v>29</v>
      </c>
      <c r="F6972" s="7" t="s">
        <v>299</v>
      </c>
      <c r="G6972" s="7">
        <v>100.3451</v>
      </c>
      <c r="H6972" s="7"/>
    </row>
    <row r="6973" spans="1:8" x14ac:dyDescent="0.35">
      <c r="A6973" s="7" t="s">
        <v>369</v>
      </c>
      <c r="B6973" s="7" t="s">
        <v>26</v>
      </c>
      <c r="C6973" s="7" t="s">
        <v>27</v>
      </c>
      <c r="D6973" s="7" t="s">
        <v>28</v>
      </c>
      <c r="E6973" s="7" t="s">
        <v>29</v>
      </c>
      <c r="F6973" s="7" t="s">
        <v>300</v>
      </c>
      <c r="G6973" s="7">
        <v>100.3644</v>
      </c>
      <c r="H6973" s="7"/>
    </row>
    <row r="6974" spans="1:8" x14ac:dyDescent="0.35">
      <c r="A6974" s="7" t="s">
        <v>369</v>
      </c>
      <c r="B6974" s="7" t="s">
        <v>26</v>
      </c>
      <c r="C6974" s="7" t="s">
        <v>27</v>
      </c>
      <c r="D6974" s="7" t="s">
        <v>28</v>
      </c>
      <c r="E6974" s="7" t="s">
        <v>29</v>
      </c>
      <c r="F6974" s="7" t="s">
        <v>301</v>
      </c>
      <c r="G6974" s="7">
        <v>100.3359</v>
      </c>
      <c r="H6974" s="7"/>
    </row>
    <row r="6975" spans="1:8" x14ac:dyDescent="0.35">
      <c r="A6975" s="7" t="s">
        <v>369</v>
      </c>
      <c r="B6975" s="7" t="s">
        <v>26</v>
      </c>
      <c r="C6975" s="7" t="s">
        <v>27</v>
      </c>
      <c r="D6975" s="7" t="s">
        <v>28</v>
      </c>
      <c r="E6975" s="7" t="s">
        <v>29</v>
      </c>
      <c r="F6975" s="7" t="s">
        <v>302</v>
      </c>
      <c r="G6975" s="7">
        <v>100.232</v>
      </c>
      <c r="H6975" s="7"/>
    </row>
    <row r="6976" spans="1:8" x14ac:dyDescent="0.35">
      <c r="A6976" s="7" t="s">
        <v>369</v>
      </c>
      <c r="B6976" s="7" t="s">
        <v>26</v>
      </c>
      <c r="C6976" s="7" t="s">
        <v>27</v>
      </c>
      <c r="D6976" s="7" t="s">
        <v>28</v>
      </c>
      <c r="E6976" s="7" t="s">
        <v>29</v>
      </c>
      <c r="F6976" s="7" t="s">
        <v>303</v>
      </c>
      <c r="G6976" s="7">
        <v>100.0852</v>
      </c>
      <c r="H6976" s="7"/>
    </row>
    <row r="6977" spans="1:8" x14ac:dyDescent="0.35">
      <c r="A6977" s="7" t="s">
        <v>369</v>
      </c>
      <c r="B6977" s="7" t="s">
        <v>26</v>
      </c>
      <c r="C6977" s="7" t="s">
        <v>27</v>
      </c>
      <c r="D6977" s="7" t="s">
        <v>28</v>
      </c>
      <c r="E6977" s="7" t="s">
        <v>29</v>
      </c>
      <c r="F6977" s="7" t="s">
        <v>304</v>
      </c>
      <c r="G6977" s="7">
        <v>99.890199999999993</v>
      </c>
      <c r="H6977" s="7"/>
    </row>
    <row r="6978" spans="1:8" x14ac:dyDescent="0.35">
      <c r="A6978" s="7" t="s">
        <v>369</v>
      </c>
      <c r="B6978" s="7" t="s">
        <v>26</v>
      </c>
      <c r="C6978" s="7" t="s">
        <v>27</v>
      </c>
      <c r="D6978" s="7" t="s">
        <v>28</v>
      </c>
      <c r="E6978" s="7" t="s">
        <v>29</v>
      </c>
      <c r="F6978" s="7" t="s">
        <v>305</v>
      </c>
      <c r="G6978" s="7">
        <v>99.694429999999997</v>
      </c>
      <c r="H6978" s="7"/>
    </row>
    <row r="6979" spans="1:8" x14ac:dyDescent="0.35">
      <c r="A6979" s="7" t="s">
        <v>369</v>
      </c>
      <c r="B6979" s="7" t="s">
        <v>26</v>
      </c>
      <c r="C6979" s="7" t="s">
        <v>27</v>
      </c>
      <c r="D6979" s="7" t="s">
        <v>28</v>
      </c>
      <c r="E6979" s="7" t="s">
        <v>29</v>
      </c>
      <c r="F6979" s="7" t="s">
        <v>306</v>
      </c>
      <c r="G6979" s="7">
        <v>99.62491</v>
      </c>
      <c r="H6979" s="7"/>
    </row>
    <row r="6980" spans="1:8" x14ac:dyDescent="0.35">
      <c r="A6980" s="7" t="s">
        <v>369</v>
      </c>
      <c r="B6980" s="7" t="s">
        <v>26</v>
      </c>
      <c r="C6980" s="7" t="s">
        <v>27</v>
      </c>
      <c r="D6980" s="7" t="s">
        <v>28</v>
      </c>
      <c r="E6980" s="7" t="s">
        <v>29</v>
      </c>
      <c r="F6980" s="7" t="s">
        <v>307</v>
      </c>
      <c r="G6980" s="7">
        <v>99.758690000000001</v>
      </c>
      <c r="H6980" s="7"/>
    </row>
    <row r="6981" spans="1:8" x14ac:dyDescent="0.35">
      <c r="A6981" s="7" t="s">
        <v>369</v>
      </c>
      <c r="B6981" s="7" t="s">
        <v>26</v>
      </c>
      <c r="C6981" s="7" t="s">
        <v>27</v>
      </c>
      <c r="D6981" s="7" t="s">
        <v>28</v>
      </c>
      <c r="E6981" s="7" t="s">
        <v>29</v>
      </c>
      <c r="F6981" s="7" t="s">
        <v>308</v>
      </c>
      <c r="G6981" s="7">
        <v>100.0129</v>
      </c>
      <c r="H6981" s="7"/>
    </row>
    <row r="6982" spans="1:8" x14ac:dyDescent="0.35">
      <c r="A6982" s="7" t="s">
        <v>369</v>
      </c>
      <c r="B6982" s="7" t="s">
        <v>26</v>
      </c>
      <c r="C6982" s="7" t="s">
        <v>27</v>
      </c>
      <c r="D6982" s="7" t="s">
        <v>28</v>
      </c>
      <c r="E6982" s="7" t="s">
        <v>29</v>
      </c>
      <c r="F6982" s="7" t="s">
        <v>309</v>
      </c>
      <c r="G6982" s="7">
        <v>100.23520000000001</v>
      </c>
      <c r="H6982" s="7"/>
    </row>
    <row r="6983" spans="1:8" x14ac:dyDescent="0.35">
      <c r="A6983" s="7" t="s">
        <v>369</v>
      </c>
      <c r="B6983" s="7" t="s">
        <v>26</v>
      </c>
      <c r="C6983" s="7" t="s">
        <v>27</v>
      </c>
      <c r="D6983" s="7" t="s">
        <v>28</v>
      </c>
      <c r="E6983" s="7" t="s">
        <v>29</v>
      </c>
      <c r="F6983" s="7" t="s">
        <v>310</v>
      </c>
      <c r="G6983" s="7">
        <v>100.376</v>
      </c>
      <c r="H6983" s="7"/>
    </row>
    <row r="6984" spans="1:8" x14ac:dyDescent="0.35">
      <c r="A6984" s="7" t="s">
        <v>369</v>
      </c>
      <c r="B6984" s="7" t="s">
        <v>26</v>
      </c>
      <c r="C6984" s="7" t="s">
        <v>27</v>
      </c>
      <c r="D6984" s="7" t="s">
        <v>28</v>
      </c>
      <c r="E6984" s="7" t="s">
        <v>29</v>
      </c>
      <c r="F6984" s="7" t="s">
        <v>311</v>
      </c>
      <c r="G6984" s="7">
        <v>100.4906</v>
      </c>
      <c r="H6984" s="7"/>
    </row>
    <row r="6985" spans="1:8" x14ac:dyDescent="0.35">
      <c r="A6985" s="7" t="s">
        <v>369</v>
      </c>
      <c r="B6985" s="7" t="s">
        <v>26</v>
      </c>
      <c r="C6985" s="7" t="s">
        <v>27</v>
      </c>
      <c r="D6985" s="7" t="s">
        <v>28</v>
      </c>
      <c r="E6985" s="7" t="s">
        <v>29</v>
      </c>
      <c r="F6985" s="7" t="s">
        <v>312</v>
      </c>
      <c r="G6985" s="7">
        <v>100.6206</v>
      </c>
      <c r="H6985" s="7"/>
    </row>
    <row r="6986" spans="1:8" x14ac:dyDescent="0.35">
      <c r="A6986" s="7" t="s">
        <v>369</v>
      </c>
      <c r="B6986" s="7" t="s">
        <v>26</v>
      </c>
      <c r="C6986" s="7" t="s">
        <v>27</v>
      </c>
      <c r="D6986" s="7" t="s">
        <v>28</v>
      </c>
      <c r="E6986" s="7" t="s">
        <v>29</v>
      </c>
      <c r="F6986" s="7" t="s">
        <v>313</v>
      </c>
      <c r="G6986" s="7">
        <v>100.6682</v>
      </c>
      <c r="H6986" s="7"/>
    </row>
    <row r="6987" spans="1:8" x14ac:dyDescent="0.35">
      <c r="A6987" s="7" t="s">
        <v>369</v>
      </c>
      <c r="B6987" s="7" t="s">
        <v>26</v>
      </c>
      <c r="C6987" s="7" t="s">
        <v>27</v>
      </c>
      <c r="D6987" s="7" t="s">
        <v>28</v>
      </c>
      <c r="E6987" s="7" t="s">
        <v>29</v>
      </c>
      <c r="F6987" s="7" t="s">
        <v>314</v>
      </c>
      <c r="G6987" s="7">
        <v>100.61360000000001</v>
      </c>
      <c r="H6987" s="7"/>
    </row>
    <row r="6988" spans="1:8" x14ac:dyDescent="0.35">
      <c r="A6988" s="7" t="s">
        <v>369</v>
      </c>
      <c r="B6988" s="7" t="s">
        <v>26</v>
      </c>
      <c r="C6988" s="7" t="s">
        <v>27</v>
      </c>
      <c r="D6988" s="7" t="s">
        <v>28</v>
      </c>
      <c r="E6988" s="7" t="s">
        <v>29</v>
      </c>
      <c r="F6988" s="7" t="s">
        <v>315</v>
      </c>
      <c r="G6988" s="7">
        <v>100.4568</v>
      </c>
      <c r="H6988" s="7"/>
    </row>
    <row r="6989" spans="1:8" x14ac:dyDescent="0.35">
      <c r="A6989" s="7" t="s">
        <v>369</v>
      </c>
      <c r="B6989" s="7" t="s">
        <v>26</v>
      </c>
      <c r="C6989" s="7" t="s">
        <v>27</v>
      </c>
      <c r="D6989" s="7" t="s">
        <v>28</v>
      </c>
      <c r="E6989" s="7" t="s">
        <v>29</v>
      </c>
      <c r="F6989" s="7" t="s">
        <v>316</v>
      </c>
      <c r="G6989" s="7">
        <v>100.2269</v>
      </c>
      <c r="H6989" s="7"/>
    </row>
    <row r="6990" spans="1:8" x14ac:dyDescent="0.35">
      <c r="A6990" s="7" t="s">
        <v>369</v>
      </c>
      <c r="B6990" s="7" t="s">
        <v>26</v>
      </c>
      <c r="C6990" s="7" t="s">
        <v>27</v>
      </c>
      <c r="D6990" s="7" t="s">
        <v>28</v>
      </c>
      <c r="E6990" s="7" t="s">
        <v>29</v>
      </c>
      <c r="F6990" s="7" t="s">
        <v>317</v>
      </c>
      <c r="G6990" s="7">
        <v>100.21769999999999</v>
      </c>
      <c r="H6990" s="7"/>
    </row>
    <row r="6991" spans="1:8" x14ac:dyDescent="0.35">
      <c r="A6991" s="7" t="s">
        <v>369</v>
      </c>
      <c r="B6991" s="7" t="s">
        <v>26</v>
      </c>
      <c r="C6991" s="7" t="s">
        <v>27</v>
      </c>
      <c r="D6991" s="7" t="s">
        <v>28</v>
      </c>
      <c r="E6991" s="7" t="s">
        <v>29</v>
      </c>
      <c r="F6991" s="7" t="s">
        <v>318</v>
      </c>
      <c r="G6991" s="7">
        <v>100.3981</v>
      </c>
      <c r="H6991" s="7"/>
    </row>
    <row r="6992" spans="1:8" x14ac:dyDescent="0.35">
      <c r="A6992" s="7" t="s">
        <v>369</v>
      </c>
      <c r="B6992" s="7" t="s">
        <v>26</v>
      </c>
      <c r="C6992" s="7" t="s">
        <v>27</v>
      </c>
      <c r="D6992" s="7" t="s">
        <v>28</v>
      </c>
      <c r="E6992" s="7" t="s">
        <v>29</v>
      </c>
      <c r="F6992" s="7" t="s">
        <v>319</v>
      </c>
      <c r="G6992" s="7">
        <v>100.52330000000001</v>
      </c>
      <c r="H6992" s="7"/>
    </row>
    <row r="6993" spans="1:8" x14ac:dyDescent="0.35">
      <c r="A6993" s="7" t="s">
        <v>369</v>
      </c>
      <c r="B6993" s="7" t="s">
        <v>26</v>
      </c>
      <c r="C6993" s="7" t="s">
        <v>27</v>
      </c>
      <c r="D6993" s="7" t="s">
        <v>28</v>
      </c>
      <c r="E6993" s="7" t="s">
        <v>29</v>
      </c>
      <c r="F6993" s="7" t="s">
        <v>320</v>
      </c>
      <c r="G6993" s="7">
        <v>100.5031</v>
      </c>
      <c r="H6993" s="7"/>
    </row>
    <row r="6994" spans="1:8" x14ac:dyDescent="0.35">
      <c r="A6994" s="7" t="s">
        <v>369</v>
      </c>
      <c r="B6994" s="7" t="s">
        <v>26</v>
      </c>
      <c r="C6994" s="7" t="s">
        <v>27</v>
      </c>
      <c r="D6994" s="7" t="s">
        <v>28</v>
      </c>
      <c r="E6994" s="7" t="s">
        <v>29</v>
      </c>
      <c r="F6994" s="7" t="s">
        <v>321</v>
      </c>
      <c r="G6994" s="7">
        <v>100.3892</v>
      </c>
      <c r="H6994" s="7"/>
    </row>
    <row r="6995" spans="1:8" x14ac:dyDescent="0.35">
      <c r="A6995" s="7" t="s">
        <v>369</v>
      </c>
      <c r="B6995" s="7" t="s">
        <v>26</v>
      </c>
      <c r="C6995" s="7" t="s">
        <v>27</v>
      </c>
      <c r="D6995" s="7" t="s">
        <v>28</v>
      </c>
      <c r="E6995" s="7" t="s">
        <v>29</v>
      </c>
      <c r="F6995" s="7" t="s">
        <v>322</v>
      </c>
      <c r="G6995" s="7">
        <v>100.306</v>
      </c>
      <c r="H6995" s="7"/>
    </row>
    <row r="6996" spans="1:8" x14ac:dyDescent="0.35">
      <c r="A6996" s="7" t="s">
        <v>369</v>
      </c>
      <c r="B6996" s="7" t="s">
        <v>26</v>
      </c>
      <c r="C6996" s="7" t="s">
        <v>27</v>
      </c>
      <c r="D6996" s="7" t="s">
        <v>28</v>
      </c>
      <c r="E6996" s="7" t="s">
        <v>29</v>
      </c>
      <c r="F6996" s="7" t="s">
        <v>323</v>
      </c>
      <c r="G6996" s="7">
        <v>100.2612</v>
      </c>
      <c r="H6996" s="7"/>
    </row>
    <row r="6997" spans="1:8" x14ac:dyDescent="0.35">
      <c r="A6997" s="7" t="s">
        <v>369</v>
      </c>
      <c r="B6997" s="7" t="s">
        <v>26</v>
      </c>
      <c r="C6997" s="7" t="s">
        <v>27</v>
      </c>
      <c r="D6997" s="7" t="s">
        <v>28</v>
      </c>
      <c r="E6997" s="7" t="s">
        <v>29</v>
      </c>
      <c r="F6997" s="7" t="s">
        <v>324</v>
      </c>
      <c r="G6997" s="7">
        <v>100.2962</v>
      </c>
      <c r="H6997" s="7"/>
    </row>
    <row r="6998" spans="1:8" x14ac:dyDescent="0.35">
      <c r="A6998" s="7" t="s">
        <v>369</v>
      </c>
      <c r="B6998" s="7" t="s">
        <v>26</v>
      </c>
      <c r="C6998" s="7" t="s">
        <v>27</v>
      </c>
      <c r="D6998" s="7" t="s">
        <v>28</v>
      </c>
      <c r="E6998" s="7" t="s">
        <v>29</v>
      </c>
      <c r="F6998" s="7" t="s">
        <v>325</v>
      </c>
      <c r="G6998" s="7">
        <v>100.40819999999999</v>
      </c>
      <c r="H6998" s="7"/>
    </row>
    <row r="6999" spans="1:8" x14ac:dyDescent="0.35">
      <c r="A6999" s="7" t="s">
        <v>369</v>
      </c>
      <c r="B6999" s="7" t="s">
        <v>26</v>
      </c>
      <c r="C6999" s="7" t="s">
        <v>27</v>
      </c>
      <c r="D6999" s="7" t="s">
        <v>28</v>
      </c>
      <c r="E6999" s="7" t="s">
        <v>29</v>
      </c>
      <c r="F6999" s="7" t="s">
        <v>326</v>
      </c>
      <c r="G6999" s="7">
        <v>100.49169999999999</v>
      </c>
      <c r="H6999" s="7"/>
    </row>
    <row r="7000" spans="1:8" x14ac:dyDescent="0.35">
      <c r="A7000" s="7" t="s">
        <v>369</v>
      </c>
      <c r="B7000" s="7" t="s">
        <v>26</v>
      </c>
      <c r="C7000" s="7" t="s">
        <v>27</v>
      </c>
      <c r="D7000" s="7" t="s">
        <v>28</v>
      </c>
      <c r="E7000" s="7" t="s">
        <v>29</v>
      </c>
      <c r="F7000" s="7" t="s">
        <v>327</v>
      </c>
      <c r="G7000" s="7">
        <v>100.4071</v>
      </c>
      <c r="H7000" s="7"/>
    </row>
    <row r="7001" spans="1:8" x14ac:dyDescent="0.35">
      <c r="A7001" s="7" t="s">
        <v>369</v>
      </c>
      <c r="B7001" s="7" t="s">
        <v>26</v>
      </c>
      <c r="C7001" s="7" t="s">
        <v>27</v>
      </c>
      <c r="D7001" s="7" t="s">
        <v>28</v>
      </c>
      <c r="E7001" s="7" t="s">
        <v>29</v>
      </c>
      <c r="F7001" s="7" t="s">
        <v>328</v>
      </c>
      <c r="G7001" s="7">
        <v>100.1208</v>
      </c>
      <c r="H7001" s="7"/>
    </row>
    <row r="7002" spans="1:8" x14ac:dyDescent="0.35">
      <c r="A7002" s="7" t="s">
        <v>369</v>
      </c>
      <c r="B7002" s="7" t="s">
        <v>26</v>
      </c>
      <c r="C7002" s="7" t="s">
        <v>27</v>
      </c>
      <c r="D7002" s="7" t="s">
        <v>28</v>
      </c>
      <c r="E7002" s="7" t="s">
        <v>29</v>
      </c>
      <c r="F7002" s="7" t="s">
        <v>329</v>
      </c>
      <c r="G7002" s="7">
        <v>99.958250000000007</v>
      </c>
      <c r="H7002" s="7"/>
    </row>
    <row r="7003" spans="1:8" x14ac:dyDescent="0.35">
      <c r="A7003" s="7" t="s">
        <v>369</v>
      </c>
      <c r="B7003" s="7" t="s">
        <v>26</v>
      </c>
      <c r="C7003" s="7" t="s">
        <v>27</v>
      </c>
      <c r="D7003" s="7" t="s">
        <v>28</v>
      </c>
      <c r="E7003" s="7" t="s">
        <v>29</v>
      </c>
      <c r="F7003" s="7" t="s">
        <v>330</v>
      </c>
      <c r="G7003" s="7">
        <v>100.12779999999999</v>
      </c>
      <c r="H7003" s="7"/>
    </row>
    <row r="7004" spans="1:8" x14ac:dyDescent="0.35">
      <c r="A7004" s="7" t="s">
        <v>369</v>
      </c>
      <c r="B7004" s="7" t="s">
        <v>26</v>
      </c>
      <c r="C7004" s="7" t="s">
        <v>27</v>
      </c>
      <c r="D7004" s="7" t="s">
        <v>28</v>
      </c>
      <c r="E7004" s="7" t="s">
        <v>29</v>
      </c>
      <c r="F7004" s="7" t="s">
        <v>331</v>
      </c>
      <c r="G7004" s="7">
        <v>100.4115</v>
      </c>
      <c r="H7004" s="7"/>
    </row>
    <row r="7005" spans="1:8" x14ac:dyDescent="0.35">
      <c r="A7005" s="7" t="s">
        <v>369</v>
      </c>
      <c r="B7005" s="7" t="s">
        <v>26</v>
      </c>
      <c r="C7005" s="7" t="s">
        <v>27</v>
      </c>
      <c r="D7005" s="7" t="s">
        <v>28</v>
      </c>
      <c r="E7005" s="7" t="s">
        <v>29</v>
      </c>
      <c r="F7005" s="7" t="s">
        <v>332</v>
      </c>
      <c r="G7005" s="7">
        <v>100.6692</v>
      </c>
      <c r="H7005" s="7"/>
    </row>
    <row r="7006" spans="1:8" x14ac:dyDescent="0.35">
      <c r="A7006" s="7" t="s">
        <v>369</v>
      </c>
      <c r="B7006" s="7" t="s">
        <v>26</v>
      </c>
      <c r="C7006" s="7" t="s">
        <v>27</v>
      </c>
      <c r="D7006" s="7" t="s">
        <v>28</v>
      </c>
      <c r="E7006" s="7" t="s">
        <v>29</v>
      </c>
      <c r="F7006" s="7" t="s">
        <v>333</v>
      </c>
      <c r="G7006" s="7">
        <v>100.7902</v>
      </c>
      <c r="H7006" s="7"/>
    </row>
    <row r="7007" spans="1:8" x14ac:dyDescent="0.35">
      <c r="A7007" s="7" t="s">
        <v>369</v>
      </c>
      <c r="B7007" s="7" t="s">
        <v>26</v>
      </c>
      <c r="C7007" s="7" t="s">
        <v>27</v>
      </c>
      <c r="D7007" s="7" t="s">
        <v>28</v>
      </c>
      <c r="E7007" s="7" t="s">
        <v>29</v>
      </c>
      <c r="F7007" s="7" t="s">
        <v>334</v>
      </c>
      <c r="G7007" s="7">
        <v>100.92870000000001</v>
      </c>
      <c r="H7007" s="7"/>
    </row>
    <row r="7008" spans="1:8" x14ac:dyDescent="0.35">
      <c r="A7008" s="7" t="s">
        <v>369</v>
      </c>
      <c r="B7008" s="7" t="s">
        <v>26</v>
      </c>
      <c r="C7008" s="7" t="s">
        <v>27</v>
      </c>
      <c r="D7008" s="7" t="s">
        <v>28</v>
      </c>
      <c r="E7008" s="7" t="s">
        <v>29</v>
      </c>
      <c r="F7008" s="7" t="s">
        <v>335</v>
      </c>
      <c r="G7008" s="7">
        <v>101.0134</v>
      </c>
      <c r="H7008" s="7"/>
    </row>
    <row r="7009" spans="1:8" x14ac:dyDescent="0.35">
      <c r="A7009" s="7" t="s">
        <v>369</v>
      </c>
      <c r="B7009" s="7" t="s">
        <v>26</v>
      </c>
      <c r="C7009" s="7" t="s">
        <v>27</v>
      </c>
      <c r="D7009" s="7" t="s">
        <v>28</v>
      </c>
      <c r="E7009" s="7" t="s">
        <v>29</v>
      </c>
      <c r="F7009" s="7" t="s">
        <v>336</v>
      </c>
      <c r="G7009" s="7">
        <v>101.04559999999999</v>
      </c>
      <c r="H7009" s="7"/>
    </row>
    <row r="7010" spans="1:8" x14ac:dyDescent="0.35">
      <c r="A7010" s="7" t="s">
        <v>369</v>
      </c>
      <c r="B7010" s="7" t="s">
        <v>26</v>
      </c>
      <c r="C7010" s="7" t="s">
        <v>27</v>
      </c>
      <c r="D7010" s="7" t="s">
        <v>28</v>
      </c>
      <c r="E7010" s="7" t="s">
        <v>29</v>
      </c>
      <c r="F7010" s="7" t="s">
        <v>337</v>
      </c>
      <c r="G7010" s="7">
        <v>101.0938</v>
      </c>
      <c r="H7010" s="7"/>
    </row>
    <row r="7011" spans="1:8" x14ac:dyDescent="0.35">
      <c r="A7011" s="7" t="s">
        <v>369</v>
      </c>
      <c r="B7011" s="7" t="s">
        <v>26</v>
      </c>
      <c r="C7011" s="7" t="s">
        <v>27</v>
      </c>
      <c r="D7011" s="7" t="s">
        <v>28</v>
      </c>
      <c r="E7011" s="7" t="s">
        <v>29</v>
      </c>
      <c r="F7011" s="7" t="s">
        <v>338</v>
      </c>
      <c r="G7011" s="7">
        <v>101.23869999999999</v>
      </c>
      <c r="H7011" s="7"/>
    </row>
    <row r="7012" spans="1:8" x14ac:dyDescent="0.35">
      <c r="A7012" s="7" t="s">
        <v>369</v>
      </c>
      <c r="B7012" s="7" t="s">
        <v>26</v>
      </c>
      <c r="C7012" s="7" t="s">
        <v>27</v>
      </c>
      <c r="D7012" s="7" t="s">
        <v>28</v>
      </c>
      <c r="E7012" s="7" t="s">
        <v>29</v>
      </c>
      <c r="F7012" s="7" t="s">
        <v>339</v>
      </c>
      <c r="G7012" s="7">
        <v>101.3903</v>
      </c>
      <c r="H7012" s="7"/>
    </row>
    <row r="7013" spans="1:8" x14ac:dyDescent="0.35">
      <c r="A7013" s="7" t="s">
        <v>369</v>
      </c>
      <c r="B7013" s="7" t="s">
        <v>26</v>
      </c>
      <c r="C7013" s="7" t="s">
        <v>27</v>
      </c>
      <c r="D7013" s="7" t="s">
        <v>28</v>
      </c>
      <c r="E7013" s="7" t="s">
        <v>29</v>
      </c>
      <c r="F7013" s="7" t="s">
        <v>340</v>
      </c>
      <c r="G7013" s="7">
        <v>101.4573</v>
      </c>
      <c r="H7013" s="7"/>
    </row>
    <row r="7014" spans="1:8" x14ac:dyDescent="0.35">
      <c r="A7014" s="7" t="s">
        <v>369</v>
      </c>
      <c r="B7014" s="7" t="s">
        <v>26</v>
      </c>
      <c r="C7014" s="7" t="s">
        <v>27</v>
      </c>
      <c r="D7014" s="7" t="s">
        <v>28</v>
      </c>
      <c r="E7014" s="7" t="s">
        <v>29</v>
      </c>
      <c r="F7014" s="7" t="s">
        <v>341</v>
      </c>
      <c r="G7014" s="7">
        <v>101.45350000000001</v>
      </c>
      <c r="H7014" s="7"/>
    </row>
    <row r="7015" spans="1:8" x14ac:dyDescent="0.35">
      <c r="A7015" s="7" t="s">
        <v>369</v>
      </c>
      <c r="B7015" s="7" t="s">
        <v>26</v>
      </c>
      <c r="C7015" s="7" t="s">
        <v>27</v>
      </c>
      <c r="D7015" s="7" t="s">
        <v>28</v>
      </c>
      <c r="E7015" s="7" t="s">
        <v>29</v>
      </c>
      <c r="F7015" s="7" t="s">
        <v>342</v>
      </c>
      <c r="G7015" s="7">
        <v>101.39709999999999</v>
      </c>
      <c r="H7015" s="7"/>
    </row>
    <row r="7016" spans="1:8" x14ac:dyDescent="0.35">
      <c r="A7016" s="7" t="s">
        <v>369</v>
      </c>
      <c r="B7016" s="7" t="s">
        <v>26</v>
      </c>
      <c r="C7016" s="7" t="s">
        <v>27</v>
      </c>
      <c r="D7016" s="7" t="s">
        <v>28</v>
      </c>
      <c r="E7016" s="7" t="s">
        <v>29</v>
      </c>
      <c r="F7016" s="7" t="s">
        <v>343</v>
      </c>
      <c r="G7016" s="7">
        <v>101.33710000000001</v>
      </c>
      <c r="H7016" s="7"/>
    </row>
    <row r="7017" spans="1:8" x14ac:dyDescent="0.35">
      <c r="A7017" s="7" t="s">
        <v>369</v>
      </c>
      <c r="B7017" s="7" t="s">
        <v>26</v>
      </c>
      <c r="C7017" s="7" t="s">
        <v>27</v>
      </c>
      <c r="D7017" s="7" t="s">
        <v>28</v>
      </c>
      <c r="E7017" s="7" t="s">
        <v>29</v>
      </c>
      <c r="F7017" s="7" t="s">
        <v>344</v>
      </c>
      <c r="G7017" s="7">
        <v>101.30840000000001</v>
      </c>
      <c r="H7017" s="7"/>
    </row>
    <row r="7018" spans="1:8" x14ac:dyDescent="0.35">
      <c r="A7018" s="7" t="s">
        <v>369</v>
      </c>
      <c r="B7018" s="7" t="s">
        <v>26</v>
      </c>
      <c r="C7018" s="7" t="s">
        <v>27</v>
      </c>
      <c r="D7018" s="7" t="s">
        <v>28</v>
      </c>
      <c r="E7018" s="7" t="s">
        <v>29</v>
      </c>
      <c r="F7018" s="7" t="s">
        <v>345</v>
      </c>
      <c r="G7018" s="7">
        <v>101.2573</v>
      </c>
      <c r="H7018" s="7"/>
    </row>
    <row r="7019" spans="1:8" x14ac:dyDescent="0.35">
      <c r="A7019" s="7" t="s">
        <v>369</v>
      </c>
      <c r="B7019" s="7" t="s">
        <v>26</v>
      </c>
      <c r="C7019" s="7" t="s">
        <v>27</v>
      </c>
      <c r="D7019" s="7" t="s">
        <v>28</v>
      </c>
      <c r="E7019" s="7" t="s">
        <v>29</v>
      </c>
      <c r="F7019" s="7" t="s">
        <v>346</v>
      </c>
      <c r="G7019" s="7">
        <v>101.3171</v>
      </c>
      <c r="H7019" s="7"/>
    </row>
    <row r="7020" spans="1:8" x14ac:dyDescent="0.35">
      <c r="A7020" s="7" t="s">
        <v>370</v>
      </c>
      <c r="B7020" s="7" t="s">
        <v>26</v>
      </c>
      <c r="C7020" s="7" t="s">
        <v>27</v>
      </c>
      <c r="D7020" s="7" t="s">
        <v>28</v>
      </c>
      <c r="E7020" s="7" t="s">
        <v>29</v>
      </c>
      <c r="F7020" s="7" t="s">
        <v>30</v>
      </c>
      <c r="G7020" s="7">
        <v>95.102469999999997</v>
      </c>
      <c r="H7020" s="7"/>
    </row>
    <row r="7021" spans="1:8" x14ac:dyDescent="0.35">
      <c r="A7021" s="7" t="s">
        <v>370</v>
      </c>
      <c r="B7021" s="7" t="s">
        <v>26</v>
      </c>
      <c r="C7021" s="7" t="s">
        <v>27</v>
      </c>
      <c r="D7021" s="7" t="s">
        <v>28</v>
      </c>
      <c r="E7021" s="7" t="s">
        <v>29</v>
      </c>
      <c r="F7021" s="7" t="s">
        <v>31</v>
      </c>
      <c r="G7021" s="7">
        <v>95.463130000000007</v>
      </c>
      <c r="H7021" s="7"/>
    </row>
    <row r="7022" spans="1:8" x14ac:dyDescent="0.35">
      <c r="A7022" s="7" t="s">
        <v>370</v>
      </c>
      <c r="B7022" s="7" t="s">
        <v>26</v>
      </c>
      <c r="C7022" s="7" t="s">
        <v>27</v>
      </c>
      <c r="D7022" s="7" t="s">
        <v>28</v>
      </c>
      <c r="E7022" s="7" t="s">
        <v>29</v>
      </c>
      <c r="F7022" s="7" t="s">
        <v>32</v>
      </c>
      <c r="G7022" s="7">
        <v>95.786479999999997</v>
      </c>
      <c r="H7022" s="7"/>
    </row>
    <row r="7023" spans="1:8" x14ac:dyDescent="0.35">
      <c r="A7023" s="7" t="s">
        <v>370</v>
      </c>
      <c r="B7023" s="7" t="s">
        <v>26</v>
      </c>
      <c r="C7023" s="7" t="s">
        <v>27</v>
      </c>
      <c r="D7023" s="7" t="s">
        <v>28</v>
      </c>
      <c r="E7023" s="7" t="s">
        <v>29</v>
      </c>
      <c r="F7023" s="7" t="s">
        <v>33</v>
      </c>
      <c r="G7023" s="7">
        <v>96.146640000000005</v>
      </c>
      <c r="H7023" s="7"/>
    </row>
    <row r="7024" spans="1:8" x14ac:dyDescent="0.35">
      <c r="A7024" s="7" t="s">
        <v>370</v>
      </c>
      <c r="B7024" s="7" t="s">
        <v>26</v>
      </c>
      <c r="C7024" s="7" t="s">
        <v>27</v>
      </c>
      <c r="D7024" s="7" t="s">
        <v>28</v>
      </c>
      <c r="E7024" s="7" t="s">
        <v>29</v>
      </c>
      <c r="F7024" s="7" t="s">
        <v>34</v>
      </c>
      <c r="G7024" s="7">
        <v>96.30283</v>
      </c>
      <c r="H7024" s="7"/>
    </row>
    <row r="7025" spans="1:8" x14ac:dyDescent="0.35">
      <c r="A7025" s="7" t="s">
        <v>370</v>
      </c>
      <c r="B7025" s="7" t="s">
        <v>26</v>
      </c>
      <c r="C7025" s="7" t="s">
        <v>27</v>
      </c>
      <c r="D7025" s="7" t="s">
        <v>28</v>
      </c>
      <c r="E7025" s="7" t="s">
        <v>29</v>
      </c>
      <c r="F7025" s="7" t="s">
        <v>35</v>
      </c>
      <c r="G7025" s="7">
        <v>96.266819999999996</v>
      </c>
      <c r="H7025" s="7"/>
    </row>
    <row r="7026" spans="1:8" x14ac:dyDescent="0.35">
      <c r="A7026" s="7" t="s">
        <v>370</v>
      </c>
      <c r="B7026" s="7" t="s">
        <v>26</v>
      </c>
      <c r="C7026" s="7" t="s">
        <v>27</v>
      </c>
      <c r="D7026" s="7" t="s">
        <v>28</v>
      </c>
      <c r="E7026" s="7" t="s">
        <v>29</v>
      </c>
      <c r="F7026" s="7" t="s">
        <v>36</v>
      </c>
      <c r="G7026" s="7">
        <v>96.146850000000001</v>
      </c>
      <c r="H7026" s="7"/>
    </row>
    <row r="7027" spans="1:8" x14ac:dyDescent="0.35">
      <c r="A7027" s="7" t="s">
        <v>370</v>
      </c>
      <c r="B7027" s="7" t="s">
        <v>26</v>
      </c>
      <c r="C7027" s="7" t="s">
        <v>27</v>
      </c>
      <c r="D7027" s="7" t="s">
        <v>28</v>
      </c>
      <c r="E7027" s="7" t="s">
        <v>29</v>
      </c>
      <c r="F7027" s="7" t="s">
        <v>37</v>
      </c>
      <c r="G7027" s="7">
        <v>95.951570000000004</v>
      </c>
      <c r="H7027" s="7"/>
    </row>
    <row r="7028" spans="1:8" x14ac:dyDescent="0.35">
      <c r="A7028" s="7" t="s">
        <v>370</v>
      </c>
      <c r="B7028" s="7" t="s">
        <v>26</v>
      </c>
      <c r="C7028" s="7" t="s">
        <v>27</v>
      </c>
      <c r="D7028" s="7" t="s">
        <v>28</v>
      </c>
      <c r="E7028" s="7" t="s">
        <v>29</v>
      </c>
      <c r="F7028" s="7" t="s">
        <v>38</v>
      </c>
      <c r="G7028" s="7">
        <v>95.710130000000007</v>
      </c>
      <c r="H7028" s="7"/>
    </row>
    <row r="7029" spans="1:8" x14ac:dyDescent="0.35">
      <c r="A7029" s="7" t="s">
        <v>370</v>
      </c>
      <c r="B7029" s="7" t="s">
        <v>26</v>
      </c>
      <c r="C7029" s="7" t="s">
        <v>27</v>
      </c>
      <c r="D7029" s="7" t="s">
        <v>28</v>
      </c>
      <c r="E7029" s="7" t="s">
        <v>29</v>
      </c>
      <c r="F7029" s="7" t="s">
        <v>39</v>
      </c>
      <c r="G7029" s="7">
        <v>95.435519999999997</v>
      </c>
      <c r="H7029" s="7"/>
    </row>
    <row r="7030" spans="1:8" x14ac:dyDescent="0.35">
      <c r="A7030" s="7" t="s">
        <v>370</v>
      </c>
      <c r="B7030" s="7" t="s">
        <v>26</v>
      </c>
      <c r="C7030" s="7" t="s">
        <v>27</v>
      </c>
      <c r="D7030" s="7" t="s">
        <v>28</v>
      </c>
      <c r="E7030" s="7" t="s">
        <v>29</v>
      </c>
      <c r="F7030" s="7" t="s">
        <v>40</v>
      </c>
      <c r="G7030" s="7">
        <v>95.365970000000004</v>
      </c>
      <c r="H7030" s="7"/>
    </row>
    <row r="7031" spans="1:8" x14ac:dyDescent="0.35">
      <c r="A7031" s="7" t="s">
        <v>370</v>
      </c>
      <c r="B7031" s="7" t="s">
        <v>26</v>
      </c>
      <c r="C7031" s="7" t="s">
        <v>27</v>
      </c>
      <c r="D7031" s="7" t="s">
        <v>28</v>
      </c>
      <c r="E7031" s="7" t="s">
        <v>29</v>
      </c>
      <c r="F7031" s="7" t="s">
        <v>41</v>
      </c>
      <c r="G7031" s="7">
        <v>95.543909999999997</v>
      </c>
      <c r="H7031" s="7"/>
    </row>
    <row r="7032" spans="1:8" x14ac:dyDescent="0.35">
      <c r="A7032" s="7" t="s">
        <v>370</v>
      </c>
      <c r="B7032" s="7" t="s">
        <v>26</v>
      </c>
      <c r="C7032" s="7" t="s">
        <v>27</v>
      </c>
      <c r="D7032" s="7" t="s">
        <v>28</v>
      </c>
      <c r="E7032" s="7" t="s">
        <v>29</v>
      </c>
      <c r="F7032" s="7" t="s">
        <v>42</v>
      </c>
      <c r="G7032" s="7">
        <v>95.885419999999996</v>
      </c>
      <c r="H7032" s="7"/>
    </row>
    <row r="7033" spans="1:8" x14ac:dyDescent="0.35">
      <c r="A7033" s="7" t="s">
        <v>370</v>
      </c>
      <c r="B7033" s="7" t="s">
        <v>26</v>
      </c>
      <c r="C7033" s="7" t="s">
        <v>27</v>
      </c>
      <c r="D7033" s="7" t="s">
        <v>28</v>
      </c>
      <c r="E7033" s="7" t="s">
        <v>29</v>
      </c>
      <c r="F7033" s="7" t="s">
        <v>43</v>
      </c>
      <c r="G7033" s="7">
        <v>96.002369999999999</v>
      </c>
      <c r="H7033" s="7"/>
    </row>
    <row r="7034" spans="1:8" x14ac:dyDescent="0.35">
      <c r="A7034" s="7" t="s">
        <v>370</v>
      </c>
      <c r="B7034" s="7" t="s">
        <v>26</v>
      </c>
      <c r="C7034" s="7" t="s">
        <v>27</v>
      </c>
      <c r="D7034" s="7" t="s">
        <v>28</v>
      </c>
      <c r="E7034" s="7" t="s">
        <v>29</v>
      </c>
      <c r="F7034" s="7" t="s">
        <v>44</v>
      </c>
      <c r="G7034" s="7">
        <v>95.788470000000004</v>
      </c>
      <c r="H7034" s="7"/>
    </row>
    <row r="7035" spans="1:8" x14ac:dyDescent="0.35">
      <c r="A7035" s="7" t="s">
        <v>370</v>
      </c>
      <c r="B7035" s="7" t="s">
        <v>26</v>
      </c>
      <c r="C7035" s="7" t="s">
        <v>27</v>
      </c>
      <c r="D7035" s="7" t="s">
        <v>28</v>
      </c>
      <c r="E7035" s="7" t="s">
        <v>29</v>
      </c>
      <c r="F7035" s="7" t="s">
        <v>45</v>
      </c>
      <c r="G7035" s="7">
        <v>95.302409999999995</v>
      </c>
      <c r="H7035" s="7"/>
    </row>
    <row r="7036" spans="1:8" x14ac:dyDescent="0.35">
      <c r="A7036" s="7" t="s">
        <v>370</v>
      </c>
      <c r="B7036" s="7" t="s">
        <v>26</v>
      </c>
      <c r="C7036" s="7" t="s">
        <v>27</v>
      </c>
      <c r="D7036" s="7" t="s">
        <v>28</v>
      </c>
      <c r="E7036" s="7" t="s">
        <v>29</v>
      </c>
      <c r="F7036" s="7" t="s">
        <v>46</v>
      </c>
      <c r="G7036" s="7">
        <v>94.981740000000002</v>
      </c>
      <c r="H7036" s="7"/>
    </row>
    <row r="7037" spans="1:8" x14ac:dyDescent="0.35">
      <c r="A7037" s="7" t="s">
        <v>370</v>
      </c>
      <c r="B7037" s="7" t="s">
        <v>26</v>
      </c>
      <c r="C7037" s="7" t="s">
        <v>27</v>
      </c>
      <c r="D7037" s="7" t="s">
        <v>28</v>
      </c>
      <c r="E7037" s="7" t="s">
        <v>29</v>
      </c>
      <c r="F7037" s="7" t="s">
        <v>47</v>
      </c>
      <c r="G7037" s="7">
        <v>94.969329999999999</v>
      </c>
      <c r="H7037" s="7"/>
    </row>
    <row r="7038" spans="1:8" x14ac:dyDescent="0.35">
      <c r="A7038" s="7" t="s">
        <v>370</v>
      </c>
      <c r="B7038" s="7" t="s">
        <v>26</v>
      </c>
      <c r="C7038" s="7" t="s">
        <v>27</v>
      </c>
      <c r="D7038" s="7" t="s">
        <v>28</v>
      </c>
      <c r="E7038" s="7" t="s">
        <v>29</v>
      </c>
      <c r="F7038" s="7" t="s">
        <v>48</v>
      </c>
      <c r="G7038" s="7">
        <v>95.202160000000006</v>
      </c>
      <c r="H7038" s="7"/>
    </row>
    <row r="7039" spans="1:8" x14ac:dyDescent="0.35">
      <c r="A7039" s="7" t="s">
        <v>370</v>
      </c>
      <c r="B7039" s="7" t="s">
        <v>26</v>
      </c>
      <c r="C7039" s="7" t="s">
        <v>27</v>
      </c>
      <c r="D7039" s="7" t="s">
        <v>28</v>
      </c>
      <c r="E7039" s="7" t="s">
        <v>29</v>
      </c>
      <c r="F7039" s="7" t="s">
        <v>49</v>
      </c>
      <c r="G7039" s="7">
        <v>95.423689999999993</v>
      </c>
      <c r="H7039" s="7"/>
    </row>
    <row r="7040" spans="1:8" x14ac:dyDescent="0.35">
      <c r="A7040" s="7" t="s">
        <v>370</v>
      </c>
      <c r="B7040" s="7" t="s">
        <v>26</v>
      </c>
      <c r="C7040" s="7" t="s">
        <v>27</v>
      </c>
      <c r="D7040" s="7" t="s">
        <v>28</v>
      </c>
      <c r="E7040" s="7" t="s">
        <v>29</v>
      </c>
      <c r="F7040" s="7" t="s">
        <v>50</v>
      </c>
      <c r="G7040" s="7">
        <v>95.646870000000007</v>
      </c>
      <c r="H7040" s="7"/>
    </row>
    <row r="7041" spans="1:8" x14ac:dyDescent="0.35">
      <c r="A7041" s="7" t="s">
        <v>370</v>
      </c>
      <c r="B7041" s="7" t="s">
        <v>26</v>
      </c>
      <c r="C7041" s="7" t="s">
        <v>27</v>
      </c>
      <c r="D7041" s="7" t="s">
        <v>28</v>
      </c>
      <c r="E7041" s="7" t="s">
        <v>29</v>
      </c>
      <c r="F7041" s="7" t="s">
        <v>51</v>
      </c>
      <c r="G7041" s="7">
        <v>95.932490000000001</v>
      </c>
      <c r="H7041" s="7"/>
    </row>
    <row r="7042" spans="1:8" x14ac:dyDescent="0.35">
      <c r="A7042" s="7" t="s">
        <v>370</v>
      </c>
      <c r="B7042" s="7" t="s">
        <v>26</v>
      </c>
      <c r="C7042" s="7" t="s">
        <v>27</v>
      </c>
      <c r="D7042" s="7" t="s">
        <v>28</v>
      </c>
      <c r="E7042" s="7" t="s">
        <v>29</v>
      </c>
      <c r="F7042" s="7" t="s">
        <v>52</v>
      </c>
      <c r="G7042" s="7">
        <v>96.166060000000002</v>
      </c>
      <c r="H7042" s="7"/>
    </row>
    <row r="7043" spans="1:8" x14ac:dyDescent="0.35">
      <c r="A7043" s="7" t="s">
        <v>370</v>
      </c>
      <c r="B7043" s="7" t="s">
        <v>26</v>
      </c>
      <c r="C7043" s="7" t="s">
        <v>27</v>
      </c>
      <c r="D7043" s="7" t="s">
        <v>28</v>
      </c>
      <c r="E7043" s="7" t="s">
        <v>29</v>
      </c>
      <c r="F7043" s="7" t="s">
        <v>53</v>
      </c>
      <c r="G7043" s="7">
        <v>96.467910000000003</v>
      </c>
      <c r="H7043" s="7"/>
    </row>
    <row r="7044" spans="1:8" x14ac:dyDescent="0.35">
      <c r="A7044" s="7" t="s">
        <v>370</v>
      </c>
      <c r="B7044" s="7" t="s">
        <v>26</v>
      </c>
      <c r="C7044" s="7" t="s">
        <v>27</v>
      </c>
      <c r="D7044" s="7" t="s">
        <v>28</v>
      </c>
      <c r="E7044" s="7" t="s">
        <v>29</v>
      </c>
      <c r="F7044" s="7" t="s">
        <v>54</v>
      </c>
      <c r="G7044" s="7">
        <v>96.959630000000004</v>
      </c>
      <c r="H7044" s="7"/>
    </row>
    <row r="7045" spans="1:8" x14ac:dyDescent="0.35">
      <c r="A7045" s="7" t="s">
        <v>370</v>
      </c>
      <c r="B7045" s="7" t="s">
        <v>26</v>
      </c>
      <c r="C7045" s="7" t="s">
        <v>27</v>
      </c>
      <c r="D7045" s="7" t="s">
        <v>28</v>
      </c>
      <c r="E7045" s="7" t="s">
        <v>29</v>
      </c>
      <c r="F7045" s="7" t="s">
        <v>55</v>
      </c>
      <c r="G7045" s="7">
        <v>97.462180000000004</v>
      </c>
      <c r="H7045" s="7"/>
    </row>
    <row r="7046" spans="1:8" x14ac:dyDescent="0.35">
      <c r="A7046" s="7" t="s">
        <v>370</v>
      </c>
      <c r="B7046" s="7" t="s">
        <v>26</v>
      </c>
      <c r="C7046" s="7" t="s">
        <v>27</v>
      </c>
      <c r="D7046" s="7" t="s">
        <v>28</v>
      </c>
      <c r="E7046" s="7" t="s">
        <v>29</v>
      </c>
      <c r="F7046" s="7" t="s">
        <v>56</v>
      </c>
      <c r="G7046" s="7">
        <v>98.163790000000006</v>
      </c>
      <c r="H7046" s="7"/>
    </row>
    <row r="7047" spans="1:8" x14ac:dyDescent="0.35">
      <c r="A7047" s="7" t="s">
        <v>370</v>
      </c>
      <c r="B7047" s="7" t="s">
        <v>26</v>
      </c>
      <c r="C7047" s="7" t="s">
        <v>27</v>
      </c>
      <c r="D7047" s="7" t="s">
        <v>28</v>
      </c>
      <c r="E7047" s="7" t="s">
        <v>29</v>
      </c>
      <c r="F7047" s="7" t="s">
        <v>57</v>
      </c>
      <c r="G7047" s="7">
        <v>99.117339999999999</v>
      </c>
      <c r="H7047" s="7"/>
    </row>
    <row r="7048" spans="1:8" x14ac:dyDescent="0.35">
      <c r="A7048" s="7" t="s">
        <v>370</v>
      </c>
      <c r="B7048" s="7" t="s">
        <v>26</v>
      </c>
      <c r="C7048" s="7" t="s">
        <v>27</v>
      </c>
      <c r="D7048" s="7" t="s">
        <v>28</v>
      </c>
      <c r="E7048" s="7" t="s">
        <v>29</v>
      </c>
      <c r="F7048" s="7" t="s">
        <v>58</v>
      </c>
      <c r="G7048" s="7">
        <v>99.770709999999994</v>
      </c>
      <c r="H7048" s="7"/>
    </row>
    <row r="7049" spans="1:8" x14ac:dyDescent="0.35">
      <c r="A7049" s="7" t="s">
        <v>370</v>
      </c>
      <c r="B7049" s="7" t="s">
        <v>26</v>
      </c>
      <c r="C7049" s="7" t="s">
        <v>27</v>
      </c>
      <c r="D7049" s="7" t="s">
        <v>28</v>
      </c>
      <c r="E7049" s="7" t="s">
        <v>29</v>
      </c>
      <c r="F7049" s="7" t="s">
        <v>59</v>
      </c>
      <c r="G7049" s="7">
        <v>100.10039999999999</v>
      </c>
      <c r="H7049" s="7"/>
    </row>
    <row r="7050" spans="1:8" x14ac:dyDescent="0.35">
      <c r="A7050" s="7" t="s">
        <v>370</v>
      </c>
      <c r="B7050" s="7" t="s">
        <v>26</v>
      </c>
      <c r="C7050" s="7" t="s">
        <v>27</v>
      </c>
      <c r="D7050" s="7" t="s">
        <v>28</v>
      </c>
      <c r="E7050" s="7" t="s">
        <v>29</v>
      </c>
      <c r="F7050" s="7" t="s">
        <v>60</v>
      </c>
      <c r="G7050" s="7">
        <v>100.1901</v>
      </c>
      <c r="H7050" s="7"/>
    </row>
    <row r="7051" spans="1:8" x14ac:dyDescent="0.35">
      <c r="A7051" s="7" t="s">
        <v>370</v>
      </c>
      <c r="B7051" s="7" t="s">
        <v>26</v>
      </c>
      <c r="C7051" s="7" t="s">
        <v>27</v>
      </c>
      <c r="D7051" s="7" t="s">
        <v>28</v>
      </c>
      <c r="E7051" s="7" t="s">
        <v>29</v>
      </c>
      <c r="F7051" s="7" t="s">
        <v>61</v>
      </c>
      <c r="G7051" s="7">
        <v>100.13290000000001</v>
      </c>
      <c r="H7051" s="7"/>
    </row>
    <row r="7052" spans="1:8" x14ac:dyDescent="0.35">
      <c r="A7052" s="7" t="s">
        <v>370</v>
      </c>
      <c r="B7052" s="7" t="s">
        <v>26</v>
      </c>
      <c r="C7052" s="7" t="s">
        <v>27</v>
      </c>
      <c r="D7052" s="7" t="s">
        <v>28</v>
      </c>
      <c r="E7052" s="7" t="s">
        <v>29</v>
      </c>
      <c r="F7052" s="7" t="s">
        <v>62</v>
      </c>
      <c r="G7052" s="7">
        <v>99.941410000000005</v>
      </c>
      <c r="H7052" s="7"/>
    </row>
    <row r="7053" spans="1:8" x14ac:dyDescent="0.35">
      <c r="A7053" s="7" t="s">
        <v>370</v>
      </c>
      <c r="B7053" s="7" t="s">
        <v>26</v>
      </c>
      <c r="C7053" s="7" t="s">
        <v>27</v>
      </c>
      <c r="D7053" s="7" t="s">
        <v>28</v>
      </c>
      <c r="E7053" s="7" t="s">
        <v>29</v>
      </c>
      <c r="F7053" s="7" t="s">
        <v>63</v>
      </c>
      <c r="G7053" s="7">
        <v>99.605260000000001</v>
      </c>
      <c r="H7053" s="7"/>
    </row>
    <row r="7054" spans="1:8" x14ac:dyDescent="0.35">
      <c r="A7054" s="7" t="s">
        <v>370</v>
      </c>
      <c r="B7054" s="7" t="s">
        <v>26</v>
      </c>
      <c r="C7054" s="7" t="s">
        <v>27</v>
      </c>
      <c r="D7054" s="7" t="s">
        <v>28</v>
      </c>
      <c r="E7054" s="7" t="s">
        <v>29</v>
      </c>
      <c r="F7054" s="7" t="s">
        <v>64</v>
      </c>
      <c r="G7054" s="7">
        <v>99.514359999999996</v>
      </c>
      <c r="H7054" s="7"/>
    </row>
    <row r="7055" spans="1:8" x14ac:dyDescent="0.35">
      <c r="A7055" s="7" t="s">
        <v>370</v>
      </c>
      <c r="B7055" s="7" t="s">
        <v>26</v>
      </c>
      <c r="C7055" s="7" t="s">
        <v>27</v>
      </c>
      <c r="D7055" s="7" t="s">
        <v>28</v>
      </c>
      <c r="E7055" s="7" t="s">
        <v>29</v>
      </c>
      <c r="F7055" s="7" t="s">
        <v>65</v>
      </c>
      <c r="G7055" s="7">
        <v>99.867400000000004</v>
      </c>
      <c r="H7055" s="7"/>
    </row>
    <row r="7056" spans="1:8" x14ac:dyDescent="0.35">
      <c r="A7056" s="7" t="s">
        <v>370</v>
      </c>
      <c r="B7056" s="7" t="s">
        <v>26</v>
      </c>
      <c r="C7056" s="7" t="s">
        <v>27</v>
      </c>
      <c r="D7056" s="7" t="s">
        <v>28</v>
      </c>
      <c r="E7056" s="7" t="s">
        <v>29</v>
      </c>
      <c r="F7056" s="7" t="s">
        <v>66</v>
      </c>
      <c r="G7056" s="7">
        <v>100.5309</v>
      </c>
      <c r="H7056" s="7"/>
    </row>
    <row r="7057" spans="1:8" x14ac:dyDescent="0.35">
      <c r="A7057" s="7" t="s">
        <v>370</v>
      </c>
      <c r="B7057" s="7" t="s">
        <v>26</v>
      </c>
      <c r="C7057" s="7" t="s">
        <v>27</v>
      </c>
      <c r="D7057" s="7" t="s">
        <v>28</v>
      </c>
      <c r="E7057" s="7" t="s">
        <v>29</v>
      </c>
      <c r="F7057" s="7" t="s">
        <v>67</v>
      </c>
      <c r="G7057" s="7">
        <v>100.9179</v>
      </c>
      <c r="H7057" s="7"/>
    </row>
    <row r="7058" spans="1:8" x14ac:dyDescent="0.35">
      <c r="A7058" s="7" t="s">
        <v>370</v>
      </c>
      <c r="B7058" s="7" t="s">
        <v>26</v>
      </c>
      <c r="C7058" s="7" t="s">
        <v>27</v>
      </c>
      <c r="D7058" s="7" t="s">
        <v>28</v>
      </c>
      <c r="E7058" s="7" t="s">
        <v>29</v>
      </c>
      <c r="F7058" s="7" t="s">
        <v>68</v>
      </c>
      <c r="G7058" s="7">
        <v>100.9482</v>
      </c>
      <c r="H7058" s="7"/>
    </row>
    <row r="7059" spans="1:8" x14ac:dyDescent="0.35">
      <c r="A7059" s="7" t="s">
        <v>370</v>
      </c>
      <c r="B7059" s="7" t="s">
        <v>26</v>
      </c>
      <c r="C7059" s="7" t="s">
        <v>27</v>
      </c>
      <c r="D7059" s="7" t="s">
        <v>28</v>
      </c>
      <c r="E7059" s="7" t="s">
        <v>29</v>
      </c>
      <c r="F7059" s="7" t="s">
        <v>69</v>
      </c>
      <c r="G7059" s="7">
        <v>100.6611</v>
      </c>
      <c r="H7059" s="7"/>
    </row>
    <row r="7060" spans="1:8" x14ac:dyDescent="0.35">
      <c r="A7060" s="7" t="s">
        <v>370</v>
      </c>
      <c r="B7060" s="7" t="s">
        <v>26</v>
      </c>
      <c r="C7060" s="7" t="s">
        <v>27</v>
      </c>
      <c r="D7060" s="7" t="s">
        <v>28</v>
      </c>
      <c r="E7060" s="7" t="s">
        <v>29</v>
      </c>
      <c r="F7060" s="7" t="s">
        <v>70</v>
      </c>
      <c r="G7060" s="7">
        <v>100.417</v>
      </c>
      <c r="H7060" s="7"/>
    </row>
    <row r="7061" spans="1:8" x14ac:dyDescent="0.35">
      <c r="A7061" s="7" t="s">
        <v>370</v>
      </c>
      <c r="B7061" s="7" t="s">
        <v>26</v>
      </c>
      <c r="C7061" s="7" t="s">
        <v>27</v>
      </c>
      <c r="D7061" s="7" t="s">
        <v>28</v>
      </c>
      <c r="E7061" s="7" t="s">
        <v>29</v>
      </c>
      <c r="F7061" s="7" t="s">
        <v>71</v>
      </c>
      <c r="G7061" s="7">
        <v>100.2572</v>
      </c>
      <c r="H7061" s="7"/>
    </row>
    <row r="7062" spans="1:8" x14ac:dyDescent="0.35">
      <c r="A7062" s="7" t="s">
        <v>370</v>
      </c>
      <c r="B7062" s="7" t="s">
        <v>26</v>
      </c>
      <c r="C7062" s="7" t="s">
        <v>27</v>
      </c>
      <c r="D7062" s="7" t="s">
        <v>28</v>
      </c>
      <c r="E7062" s="7" t="s">
        <v>29</v>
      </c>
      <c r="F7062" s="7" t="s">
        <v>72</v>
      </c>
      <c r="G7062" s="7">
        <v>100.1473</v>
      </c>
      <c r="H7062" s="7"/>
    </row>
    <row r="7063" spans="1:8" x14ac:dyDescent="0.35">
      <c r="A7063" s="7" t="s">
        <v>370</v>
      </c>
      <c r="B7063" s="7" t="s">
        <v>26</v>
      </c>
      <c r="C7063" s="7" t="s">
        <v>27</v>
      </c>
      <c r="D7063" s="7" t="s">
        <v>28</v>
      </c>
      <c r="E7063" s="7" t="s">
        <v>29</v>
      </c>
      <c r="F7063" s="7" t="s">
        <v>73</v>
      </c>
      <c r="G7063" s="7">
        <v>100.1378</v>
      </c>
      <c r="H7063" s="7"/>
    </row>
    <row r="7064" spans="1:8" x14ac:dyDescent="0.35">
      <c r="A7064" s="7" t="s">
        <v>370</v>
      </c>
      <c r="B7064" s="7" t="s">
        <v>26</v>
      </c>
      <c r="C7064" s="7" t="s">
        <v>27</v>
      </c>
      <c r="D7064" s="7" t="s">
        <v>28</v>
      </c>
      <c r="E7064" s="7" t="s">
        <v>29</v>
      </c>
      <c r="F7064" s="7" t="s">
        <v>74</v>
      </c>
      <c r="G7064" s="7">
        <v>100.2413</v>
      </c>
      <c r="H7064" s="7"/>
    </row>
    <row r="7065" spans="1:8" x14ac:dyDescent="0.35">
      <c r="A7065" s="7" t="s">
        <v>370</v>
      </c>
      <c r="B7065" s="7" t="s">
        <v>26</v>
      </c>
      <c r="C7065" s="7" t="s">
        <v>27</v>
      </c>
      <c r="D7065" s="7" t="s">
        <v>28</v>
      </c>
      <c r="E7065" s="7" t="s">
        <v>29</v>
      </c>
      <c r="F7065" s="7" t="s">
        <v>75</v>
      </c>
      <c r="G7065" s="7">
        <v>100.4427</v>
      </c>
      <c r="H7065" s="7"/>
    </row>
    <row r="7066" spans="1:8" x14ac:dyDescent="0.35">
      <c r="A7066" s="7" t="s">
        <v>370</v>
      </c>
      <c r="B7066" s="7" t="s">
        <v>26</v>
      </c>
      <c r="C7066" s="7" t="s">
        <v>27</v>
      </c>
      <c r="D7066" s="7" t="s">
        <v>28</v>
      </c>
      <c r="E7066" s="7" t="s">
        <v>29</v>
      </c>
      <c r="F7066" s="7" t="s">
        <v>76</v>
      </c>
      <c r="G7066" s="7">
        <v>100.59529999999999</v>
      </c>
      <c r="H7066" s="7"/>
    </row>
    <row r="7067" spans="1:8" x14ac:dyDescent="0.35">
      <c r="A7067" s="7" t="s">
        <v>370</v>
      </c>
      <c r="B7067" s="7" t="s">
        <v>26</v>
      </c>
      <c r="C7067" s="7" t="s">
        <v>27</v>
      </c>
      <c r="D7067" s="7" t="s">
        <v>28</v>
      </c>
      <c r="E7067" s="7" t="s">
        <v>29</v>
      </c>
      <c r="F7067" s="7" t="s">
        <v>77</v>
      </c>
      <c r="G7067" s="7">
        <v>100.6832</v>
      </c>
      <c r="H7067" s="7"/>
    </row>
    <row r="7068" spans="1:8" x14ac:dyDescent="0.35">
      <c r="A7068" s="7" t="s">
        <v>370</v>
      </c>
      <c r="B7068" s="7" t="s">
        <v>26</v>
      </c>
      <c r="C7068" s="7" t="s">
        <v>27</v>
      </c>
      <c r="D7068" s="7" t="s">
        <v>28</v>
      </c>
      <c r="E7068" s="7" t="s">
        <v>29</v>
      </c>
      <c r="F7068" s="7" t="s">
        <v>78</v>
      </c>
      <c r="G7068" s="7">
        <v>100.6688</v>
      </c>
      <c r="H7068" s="7"/>
    </row>
    <row r="7069" spans="1:8" x14ac:dyDescent="0.35">
      <c r="A7069" s="7" t="s">
        <v>370</v>
      </c>
      <c r="B7069" s="7" t="s">
        <v>26</v>
      </c>
      <c r="C7069" s="7" t="s">
        <v>27</v>
      </c>
      <c r="D7069" s="7" t="s">
        <v>28</v>
      </c>
      <c r="E7069" s="7" t="s">
        <v>29</v>
      </c>
      <c r="F7069" s="7" t="s">
        <v>79</v>
      </c>
      <c r="G7069" s="7">
        <v>100.405</v>
      </c>
      <c r="H7069" s="7"/>
    </row>
    <row r="7070" spans="1:8" x14ac:dyDescent="0.35">
      <c r="A7070" s="7" t="s">
        <v>370</v>
      </c>
      <c r="B7070" s="7" t="s">
        <v>26</v>
      </c>
      <c r="C7070" s="7" t="s">
        <v>27</v>
      </c>
      <c r="D7070" s="7" t="s">
        <v>28</v>
      </c>
      <c r="E7070" s="7" t="s">
        <v>29</v>
      </c>
      <c r="F7070" s="7" t="s">
        <v>80</v>
      </c>
      <c r="G7070" s="7">
        <v>100.04340000000001</v>
      </c>
      <c r="H7070" s="7"/>
    </row>
    <row r="7071" spans="1:8" x14ac:dyDescent="0.35">
      <c r="A7071" s="7" t="s">
        <v>370</v>
      </c>
      <c r="B7071" s="7" t="s">
        <v>26</v>
      </c>
      <c r="C7071" s="7" t="s">
        <v>27</v>
      </c>
      <c r="D7071" s="7" t="s">
        <v>28</v>
      </c>
      <c r="E7071" s="7" t="s">
        <v>29</v>
      </c>
      <c r="F7071" s="7" t="s">
        <v>81</v>
      </c>
      <c r="G7071" s="7">
        <v>99.881420000000006</v>
      </c>
      <c r="H7071" s="7"/>
    </row>
    <row r="7072" spans="1:8" x14ac:dyDescent="0.35">
      <c r="A7072" s="7" t="s">
        <v>370</v>
      </c>
      <c r="B7072" s="7" t="s">
        <v>26</v>
      </c>
      <c r="C7072" s="7" t="s">
        <v>27</v>
      </c>
      <c r="D7072" s="7" t="s">
        <v>28</v>
      </c>
      <c r="E7072" s="7" t="s">
        <v>29</v>
      </c>
      <c r="F7072" s="7" t="s">
        <v>82</v>
      </c>
      <c r="G7072" s="7">
        <v>99.911630000000002</v>
      </c>
      <c r="H7072" s="7"/>
    </row>
    <row r="7073" spans="1:8" x14ac:dyDescent="0.35">
      <c r="A7073" s="7" t="s">
        <v>370</v>
      </c>
      <c r="B7073" s="7" t="s">
        <v>26</v>
      </c>
      <c r="C7073" s="7" t="s">
        <v>27</v>
      </c>
      <c r="D7073" s="7" t="s">
        <v>28</v>
      </c>
      <c r="E7073" s="7" t="s">
        <v>29</v>
      </c>
      <c r="F7073" s="7" t="s">
        <v>83</v>
      </c>
      <c r="G7073" s="7">
        <v>100.00709999999999</v>
      </c>
      <c r="H7073" s="7"/>
    </row>
    <row r="7074" spans="1:8" x14ac:dyDescent="0.35">
      <c r="A7074" s="7" t="s">
        <v>370</v>
      </c>
      <c r="B7074" s="7" t="s">
        <v>26</v>
      </c>
      <c r="C7074" s="7" t="s">
        <v>27</v>
      </c>
      <c r="D7074" s="7" t="s">
        <v>28</v>
      </c>
      <c r="E7074" s="7" t="s">
        <v>29</v>
      </c>
      <c r="F7074" s="7" t="s">
        <v>84</v>
      </c>
      <c r="G7074" s="7">
        <v>100.1696</v>
      </c>
      <c r="H7074" s="7"/>
    </row>
    <row r="7075" spans="1:8" x14ac:dyDescent="0.35">
      <c r="A7075" s="7" t="s">
        <v>370</v>
      </c>
      <c r="B7075" s="7" t="s">
        <v>26</v>
      </c>
      <c r="C7075" s="7" t="s">
        <v>27</v>
      </c>
      <c r="D7075" s="7" t="s">
        <v>28</v>
      </c>
      <c r="E7075" s="7" t="s">
        <v>29</v>
      </c>
      <c r="F7075" s="7" t="s">
        <v>85</v>
      </c>
      <c r="G7075" s="7">
        <v>100.3875</v>
      </c>
      <c r="H7075" s="7"/>
    </row>
    <row r="7076" spans="1:8" x14ac:dyDescent="0.35">
      <c r="A7076" s="7" t="s">
        <v>370</v>
      </c>
      <c r="B7076" s="7" t="s">
        <v>26</v>
      </c>
      <c r="C7076" s="7" t="s">
        <v>27</v>
      </c>
      <c r="D7076" s="7" t="s">
        <v>28</v>
      </c>
      <c r="E7076" s="7" t="s">
        <v>29</v>
      </c>
      <c r="F7076" s="7" t="s">
        <v>86</v>
      </c>
      <c r="G7076" s="7">
        <v>100.6357</v>
      </c>
      <c r="H7076" s="7"/>
    </row>
    <row r="7077" spans="1:8" x14ac:dyDescent="0.35">
      <c r="A7077" s="7" t="s">
        <v>370</v>
      </c>
      <c r="B7077" s="7" t="s">
        <v>26</v>
      </c>
      <c r="C7077" s="7" t="s">
        <v>27</v>
      </c>
      <c r="D7077" s="7" t="s">
        <v>28</v>
      </c>
      <c r="E7077" s="7" t="s">
        <v>29</v>
      </c>
      <c r="F7077" s="7" t="s">
        <v>87</v>
      </c>
      <c r="G7077" s="7">
        <v>100.9594</v>
      </c>
      <c r="H7077" s="7"/>
    </row>
    <row r="7078" spans="1:8" x14ac:dyDescent="0.35">
      <c r="A7078" s="7" t="s">
        <v>370</v>
      </c>
      <c r="B7078" s="7" t="s">
        <v>26</v>
      </c>
      <c r="C7078" s="7" t="s">
        <v>27</v>
      </c>
      <c r="D7078" s="7" t="s">
        <v>28</v>
      </c>
      <c r="E7078" s="7" t="s">
        <v>29</v>
      </c>
      <c r="F7078" s="7" t="s">
        <v>88</v>
      </c>
      <c r="G7078" s="7">
        <v>101.249</v>
      </c>
      <c r="H7078" s="7"/>
    </row>
    <row r="7079" spans="1:8" x14ac:dyDescent="0.35">
      <c r="A7079" s="7" t="s">
        <v>370</v>
      </c>
      <c r="B7079" s="7" t="s">
        <v>26</v>
      </c>
      <c r="C7079" s="7" t="s">
        <v>27</v>
      </c>
      <c r="D7079" s="7" t="s">
        <v>28</v>
      </c>
      <c r="E7079" s="7" t="s">
        <v>29</v>
      </c>
      <c r="F7079" s="7" t="s">
        <v>89</v>
      </c>
      <c r="G7079" s="7">
        <v>101.4265</v>
      </c>
      <c r="H7079" s="7"/>
    </row>
    <row r="7080" spans="1:8" x14ac:dyDescent="0.35">
      <c r="A7080" s="7" t="s">
        <v>370</v>
      </c>
      <c r="B7080" s="7" t="s">
        <v>26</v>
      </c>
      <c r="C7080" s="7" t="s">
        <v>27</v>
      </c>
      <c r="D7080" s="7" t="s">
        <v>28</v>
      </c>
      <c r="E7080" s="7" t="s">
        <v>29</v>
      </c>
      <c r="F7080" s="7" t="s">
        <v>90</v>
      </c>
      <c r="G7080" s="7">
        <v>101.5963</v>
      </c>
      <c r="H7080" s="7"/>
    </row>
    <row r="7081" spans="1:8" x14ac:dyDescent="0.35">
      <c r="A7081" s="7" t="s">
        <v>370</v>
      </c>
      <c r="B7081" s="7" t="s">
        <v>26</v>
      </c>
      <c r="C7081" s="7" t="s">
        <v>27</v>
      </c>
      <c r="D7081" s="7" t="s">
        <v>28</v>
      </c>
      <c r="E7081" s="7" t="s">
        <v>29</v>
      </c>
      <c r="F7081" s="7" t="s">
        <v>91</v>
      </c>
      <c r="G7081" s="7">
        <v>101.7062</v>
      </c>
      <c r="H7081" s="7"/>
    </row>
    <row r="7082" spans="1:8" x14ac:dyDescent="0.35">
      <c r="A7082" s="7" t="s">
        <v>370</v>
      </c>
      <c r="B7082" s="7" t="s">
        <v>26</v>
      </c>
      <c r="C7082" s="7" t="s">
        <v>27</v>
      </c>
      <c r="D7082" s="7" t="s">
        <v>28</v>
      </c>
      <c r="E7082" s="7" t="s">
        <v>29</v>
      </c>
      <c r="F7082" s="7" t="s">
        <v>92</v>
      </c>
      <c r="G7082" s="7">
        <v>101.81699999999999</v>
      </c>
      <c r="H7082" s="7"/>
    </row>
    <row r="7083" spans="1:8" x14ac:dyDescent="0.35">
      <c r="A7083" s="7" t="s">
        <v>370</v>
      </c>
      <c r="B7083" s="7" t="s">
        <v>26</v>
      </c>
      <c r="C7083" s="7" t="s">
        <v>27</v>
      </c>
      <c r="D7083" s="7" t="s">
        <v>28</v>
      </c>
      <c r="E7083" s="7" t="s">
        <v>29</v>
      </c>
      <c r="F7083" s="7" t="s">
        <v>93</v>
      </c>
      <c r="G7083" s="7">
        <v>101.97069999999999</v>
      </c>
      <c r="H7083" s="7"/>
    </row>
    <row r="7084" spans="1:8" x14ac:dyDescent="0.35">
      <c r="A7084" s="7" t="s">
        <v>370</v>
      </c>
      <c r="B7084" s="7" t="s">
        <v>26</v>
      </c>
      <c r="C7084" s="7" t="s">
        <v>27</v>
      </c>
      <c r="D7084" s="7" t="s">
        <v>28</v>
      </c>
      <c r="E7084" s="7" t="s">
        <v>29</v>
      </c>
      <c r="F7084" s="7" t="s">
        <v>94</v>
      </c>
      <c r="G7084" s="7">
        <v>102.14830000000001</v>
      </c>
      <c r="H7084" s="7"/>
    </row>
    <row r="7085" spans="1:8" x14ac:dyDescent="0.35">
      <c r="A7085" s="7" t="s">
        <v>370</v>
      </c>
      <c r="B7085" s="7" t="s">
        <v>26</v>
      </c>
      <c r="C7085" s="7" t="s">
        <v>27</v>
      </c>
      <c r="D7085" s="7" t="s">
        <v>28</v>
      </c>
      <c r="E7085" s="7" t="s">
        <v>29</v>
      </c>
      <c r="F7085" s="7" t="s">
        <v>95</v>
      </c>
      <c r="G7085" s="7">
        <v>102.27889999999999</v>
      </c>
      <c r="H7085" s="7"/>
    </row>
    <row r="7086" spans="1:8" x14ac:dyDescent="0.35">
      <c r="A7086" s="7" t="s">
        <v>370</v>
      </c>
      <c r="B7086" s="7" t="s">
        <v>26</v>
      </c>
      <c r="C7086" s="7" t="s">
        <v>27</v>
      </c>
      <c r="D7086" s="7" t="s">
        <v>28</v>
      </c>
      <c r="E7086" s="7" t="s">
        <v>29</v>
      </c>
      <c r="F7086" s="7" t="s">
        <v>96</v>
      </c>
      <c r="G7086" s="7">
        <v>102.2011</v>
      </c>
      <c r="H7086" s="7"/>
    </row>
    <row r="7087" spans="1:8" x14ac:dyDescent="0.35">
      <c r="A7087" s="7" t="s">
        <v>370</v>
      </c>
      <c r="B7087" s="7" t="s">
        <v>26</v>
      </c>
      <c r="C7087" s="7" t="s">
        <v>27</v>
      </c>
      <c r="D7087" s="7" t="s">
        <v>28</v>
      </c>
      <c r="E7087" s="7" t="s">
        <v>29</v>
      </c>
      <c r="F7087" s="7" t="s">
        <v>97</v>
      </c>
      <c r="G7087" s="7">
        <v>102.0193</v>
      </c>
      <c r="H7087" s="7"/>
    </row>
    <row r="7088" spans="1:8" x14ac:dyDescent="0.35">
      <c r="A7088" s="7" t="s">
        <v>370</v>
      </c>
      <c r="B7088" s="7" t="s">
        <v>26</v>
      </c>
      <c r="C7088" s="7" t="s">
        <v>27</v>
      </c>
      <c r="D7088" s="7" t="s">
        <v>28</v>
      </c>
      <c r="E7088" s="7" t="s">
        <v>29</v>
      </c>
      <c r="F7088" s="7" t="s">
        <v>98</v>
      </c>
      <c r="G7088" s="7">
        <v>101.834</v>
      </c>
      <c r="H7088" s="7"/>
    </row>
    <row r="7089" spans="1:8" x14ac:dyDescent="0.35">
      <c r="A7089" s="7" t="s">
        <v>370</v>
      </c>
      <c r="B7089" s="7" t="s">
        <v>26</v>
      </c>
      <c r="C7089" s="7" t="s">
        <v>27</v>
      </c>
      <c r="D7089" s="7" t="s">
        <v>28</v>
      </c>
      <c r="E7089" s="7" t="s">
        <v>29</v>
      </c>
      <c r="F7089" s="7" t="s">
        <v>99</v>
      </c>
      <c r="G7089" s="7">
        <v>101.85380000000001</v>
      </c>
      <c r="H7089" s="7"/>
    </row>
    <row r="7090" spans="1:8" x14ac:dyDescent="0.35">
      <c r="A7090" s="7" t="s">
        <v>370</v>
      </c>
      <c r="B7090" s="7" t="s">
        <v>26</v>
      </c>
      <c r="C7090" s="7" t="s">
        <v>27</v>
      </c>
      <c r="D7090" s="7" t="s">
        <v>28</v>
      </c>
      <c r="E7090" s="7" t="s">
        <v>29</v>
      </c>
      <c r="F7090" s="7" t="s">
        <v>100</v>
      </c>
      <c r="G7090" s="7">
        <v>102.0702</v>
      </c>
      <c r="H7090" s="7"/>
    </row>
    <row r="7091" spans="1:8" x14ac:dyDescent="0.35">
      <c r="A7091" s="7" t="s">
        <v>370</v>
      </c>
      <c r="B7091" s="7" t="s">
        <v>26</v>
      </c>
      <c r="C7091" s="7" t="s">
        <v>27</v>
      </c>
      <c r="D7091" s="7" t="s">
        <v>28</v>
      </c>
      <c r="E7091" s="7" t="s">
        <v>29</v>
      </c>
      <c r="F7091" s="7" t="s">
        <v>101</v>
      </c>
      <c r="G7091" s="7">
        <v>102.2153</v>
      </c>
      <c r="H7091" s="7"/>
    </row>
    <row r="7092" spans="1:8" x14ac:dyDescent="0.35">
      <c r="A7092" s="7" t="s">
        <v>370</v>
      </c>
      <c r="B7092" s="7" t="s">
        <v>26</v>
      </c>
      <c r="C7092" s="7" t="s">
        <v>27</v>
      </c>
      <c r="D7092" s="7" t="s">
        <v>28</v>
      </c>
      <c r="E7092" s="7" t="s">
        <v>29</v>
      </c>
      <c r="F7092" s="7" t="s">
        <v>102</v>
      </c>
      <c r="G7092" s="7">
        <v>102.19410000000001</v>
      </c>
      <c r="H7092" s="7"/>
    </row>
    <row r="7093" spans="1:8" x14ac:dyDescent="0.35">
      <c r="A7093" s="7" t="s">
        <v>370</v>
      </c>
      <c r="B7093" s="7" t="s">
        <v>26</v>
      </c>
      <c r="C7093" s="7" t="s">
        <v>27</v>
      </c>
      <c r="D7093" s="7" t="s">
        <v>28</v>
      </c>
      <c r="E7093" s="7" t="s">
        <v>29</v>
      </c>
      <c r="F7093" s="7" t="s">
        <v>103</v>
      </c>
      <c r="G7093" s="7">
        <v>102.218</v>
      </c>
      <c r="H7093" s="7"/>
    </row>
    <row r="7094" spans="1:8" x14ac:dyDescent="0.35">
      <c r="A7094" s="7" t="s">
        <v>370</v>
      </c>
      <c r="B7094" s="7" t="s">
        <v>26</v>
      </c>
      <c r="C7094" s="7" t="s">
        <v>27</v>
      </c>
      <c r="D7094" s="7" t="s">
        <v>28</v>
      </c>
      <c r="E7094" s="7" t="s">
        <v>29</v>
      </c>
      <c r="F7094" s="7" t="s">
        <v>104</v>
      </c>
      <c r="G7094" s="7">
        <v>102.2692</v>
      </c>
      <c r="H7094" s="7"/>
    </row>
    <row r="7095" spans="1:8" x14ac:dyDescent="0.35">
      <c r="A7095" s="7" t="s">
        <v>370</v>
      </c>
      <c r="B7095" s="7" t="s">
        <v>26</v>
      </c>
      <c r="C7095" s="7" t="s">
        <v>27</v>
      </c>
      <c r="D7095" s="7" t="s">
        <v>28</v>
      </c>
      <c r="E7095" s="7" t="s">
        <v>29</v>
      </c>
      <c r="F7095" s="7" t="s">
        <v>105</v>
      </c>
      <c r="G7095" s="7">
        <v>102.3556</v>
      </c>
      <c r="H7095" s="7"/>
    </row>
    <row r="7096" spans="1:8" x14ac:dyDescent="0.35">
      <c r="A7096" s="7" t="s">
        <v>370</v>
      </c>
      <c r="B7096" s="7" t="s">
        <v>26</v>
      </c>
      <c r="C7096" s="7" t="s">
        <v>27</v>
      </c>
      <c r="D7096" s="7" t="s">
        <v>28</v>
      </c>
      <c r="E7096" s="7" t="s">
        <v>29</v>
      </c>
      <c r="F7096" s="7" t="s">
        <v>106</v>
      </c>
      <c r="G7096" s="7">
        <v>102.4359</v>
      </c>
      <c r="H7096" s="7"/>
    </row>
    <row r="7097" spans="1:8" x14ac:dyDescent="0.35">
      <c r="A7097" s="7" t="s">
        <v>370</v>
      </c>
      <c r="B7097" s="7" t="s">
        <v>26</v>
      </c>
      <c r="C7097" s="7" t="s">
        <v>27</v>
      </c>
      <c r="D7097" s="7" t="s">
        <v>28</v>
      </c>
      <c r="E7097" s="7" t="s">
        <v>29</v>
      </c>
      <c r="F7097" s="7" t="s">
        <v>107</v>
      </c>
      <c r="G7097" s="7">
        <v>102.426</v>
      </c>
      <c r="H7097" s="7"/>
    </row>
    <row r="7098" spans="1:8" x14ac:dyDescent="0.35">
      <c r="A7098" s="7" t="s">
        <v>370</v>
      </c>
      <c r="B7098" s="7" t="s">
        <v>26</v>
      </c>
      <c r="C7098" s="7" t="s">
        <v>27</v>
      </c>
      <c r="D7098" s="7" t="s">
        <v>28</v>
      </c>
      <c r="E7098" s="7" t="s">
        <v>29</v>
      </c>
      <c r="F7098" s="7" t="s">
        <v>108</v>
      </c>
      <c r="G7098" s="7">
        <v>102.3509</v>
      </c>
      <c r="H7098" s="7"/>
    </row>
    <row r="7099" spans="1:8" x14ac:dyDescent="0.35">
      <c r="A7099" s="7" t="s">
        <v>370</v>
      </c>
      <c r="B7099" s="7" t="s">
        <v>26</v>
      </c>
      <c r="C7099" s="7" t="s">
        <v>27</v>
      </c>
      <c r="D7099" s="7" t="s">
        <v>28</v>
      </c>
      <c r="E7099" s="7" t="s">
        <v>29</v>
      </c>
      <c r="F7099" s="7" t="s">
        <v>109</v>
      </c>
      <c r="G7099" s="7">
        <v>102.30800000000001</v>
      </c>
      <c r="H7099" s="7"/>
    </row>
    <row r="7100" spans="1:8" x14ac:dyDescent="0.35">
      <c r="A7100" s="7" t="s">
        <v>370</v>
      </c>
      <c r="B7100" s="7" t="s">
        <v>26</v>
      </c>
      <c r="C7100" s="7" t="s">
        <v>27</v>
      </c>
      <c r="D7100" s="7" t="s">
        <v>28</v>
      </c>
      <c r="E7100" s="7" t="s">
        <v>29</v>
      </c>
      <c r="F7100" s="7" t="s">
        <v>110</v>
      </c>
      <c r="G7100" s="7">
        <v>102.2869</v>
      </c>
      <c r="H7100" s="7"/>
    </row>
    <row r="7101" spans="1:8" x14ac:dyDescent="0.35">
      <c r="A7101" s="7" t="s">
        <v>370</v>
      </c>
      <c r="B7101" s="7" t="s">
        <v>26</v>
      </c>
      <c r="C7101" s="7" t="s">
        <v>27</v>
      </c>
      <c r="D7101" s="7" t="s">
        <v>28</v>
      </c>
      <c r="E7101" s="7" t="s">
        <v>29</v>
      </c>
      <c r="F7101" s="7" t="s">
        <v>111</v>
      </c>
      <c r="G7101" s="7">
        <v>102.0737</v>
      </c>
      <c r="H7101" s="7"/>
    </row>
    <row r="7102" spans="1:8" x14ac:dyDescent="0.35">
      <c r="A7102" s="7" t="s">
        <v>370</v>
      </c>
      <c r="B7102" s="7" t="s">
        <v>26</v>
      </c>
      <c r="C7102" s="7" t="s">
        <v>27</v>
      </c>
      <c r="D7102" s="7" t="s">
        <v>28</v>
      </c>
      <c r="E7102" s="7" t="s">
        <v>29</v>
      </c>
      <c r="F7102" s="7" t="s">
        <v>112</v>
      </c>
      <c r="G7102" s="7">
        <v>101.57340000000001</v>
      </c>
      <c r="H7102" s="7"/>
    </row>
    <row r="7103" spans="1:8" x14ac:dyDescent="0.35">
      <c r="A7103" s="7" t="s">
        <v>370</v>
      </c>
      <c r="B7103" s="7" t="s">
        <v>26</v>
      </c>
      <c r="C7103" s="7" t="s">
        <v>27</v>
      </c>
      <c r="D7103" s="7" t="s">
        <v>28</v>
      </c>
      <c r="E7103" s="7" t="s">
        <v>29</v>
      </c>
      <c r="F7103" s="7" t="s">
        <v>113</v>
      </c>
      <c r="G7103" s="7">
        <v>101.1618</v>
      </c>
      <c r="H7103" s="7"/>
    </row>
    <row r="7104" spans="1:8" x14ac:dyDescent="0.35">
      <c r="A7104" s="7" t="s">
        <v>370</v>
      </c>
      <c r="B7104" s="7" t="s">
        <v>26</v>
      </c>
      <c r="C7104" s="7" t="s">
        <v>27</v>
      </c>
      <c r="D7104" s="7" t="s">
        <v>28</v>
      </c>
      <c r="E7104" s="7" t="s">
        <v>29</v>
      </c>
      <c r="F7104" s="7" t="s">
        <v>114</v>
      </c>
      <c r="G7104" s="7">
        <v>101.0269</v>
      </c>
      <c r="H7104" s="7"/>
    </row>
    <row r="7105" spans="1:8" x14ac:dyDescent="0.35">
      <c r="A7105" s="7" t="s">
        <v>370</v>
      </c>
      <c r="B7105" s="7" t="s">
        <v>26</v>
      </c>
      <c r="C7105" s="7" t="s">
        <v>27</v>
      </c>
      <c r="D7105" s="7" t="s">
        <v>28</v>
      </c>
      <c r="E7105" s="7" t="s">
        <v>29</v>
      </c>
      <c r="F7105" s="7" t="s">
        <v>115</v>
      </c>
      <c r="G7105" s="7">
        <v>101.16249999999999</v>
      </c>
      <c r="H7105" s="7"/>
    </row>
    <row r="7106" spans="1:8" x14ac:dyDescent="0.35">
      <c r="A7106" s="7" t="s">
        <v>370</v>
      </c>
      <c r="B7106" s="7" t="s">
        <v>26</v>
      </c>
      <c r="C7106" s="7" t="s">
        <v>27</v>
      </c>
      <c r="D7106" s="7" t="s">
        <v>28</v>
      </c>
      <c r="E7106" s="7" t="s">
        <v>29</v>
      </c>
      <c r="F7106" s="7" t="s">
        <v>116</v>
      </c>
      <c r="G7106" s="7">
        <v>101.27160000000001</v>
      </c>
      <c r="H7106" s="7"/>
    </row>
    <row r="7107" spans="1:8" x14ac:dyDescent="0.35">
      <c r="A7107" s="7" t="s">
        <v>370</v>
      </c>
      <c r="B7107" s="7" t="s">
        <v>26</v>
      </c>
      <c r="C7107" s="7" t="s">
        <v>27</v>
      </c>
      <c r="D7107" s="7" t="s">
        <v>28</v>
      </c>
      <c r="E7107" s="7" t="s">
        <v>29</v>
      </c>
      <c r="F7107" s="7" t="s">
        <v>117</v>
      </c>
      <c r="G7107" s="7">
        <v>101.2799</v>
      </c>
      <c r="H7107" s="7"/>
    </row>
    <row r="7108" spans="1:8" x14ac:dyDescent="0.35">
      <c r="A7108" s="7" t="s">
        <v>370</v>
      </c>
      <c r="B7108" s="7" t="s">
        <v>26</v>
      </c>
      <c r="C7108" s="7" t="s">
        <v>27</v>
      </c>
      <c r="D7108" s="7" t="s">
        <v>28</v>
      </c>
      <c r="E7108" s="7" t="s">
        <v>29</v>
      </c>
      <c r="F7108" s="7" t="s">
        <v>118</v>
      </c>
      <c r="G7108" s="7">
        <v>101.4121</v>
      </c>
      <c r="H7108" s="7"/>
    </row>
    <row r="7109" spans="1:8" x14ac:dyDescent="0.35">
      <c r="A7109" s="7" t="s">
        <v>370</v>
      </c>
      <c r="B7109" s="7" t="s">
        <v>26</v>
      </c>
      <c r="C7109" s="7" t="s">
        <v>27</v>
      </c>
      <c r="D7109" s="7" t="s">
        <v>28</v>
      </c>
      <c r="E7109" s="7" t="s">
        <v>29</v>
      </c>
      <c r="F7109" s="7" t="s">
        <v>119</v>
      </c>
      <c r="G7109" s="7">
        <v>101.6277</v>
      </c>
      <c r="H7109" s="7"/>
    </row>
    <row r="7110" spans="1:8" x14ac:dyDescent="0.35">
      <c r="A7110" s="7" t="s">
        <v>370</v>
      </c>
      <c r="B7110" s="7" t="s">
        <v>26</v>
      </c>
      <c r="C7110" s="7" t="s">
        <v>27</v>
      </c>
      <c r="D7110" s="7" t="s">
        <v>28</v>
      </c>
      <c r="E7110" s="7" t="s">
        <v>29</v>
      </c>
      <c r="F7110" s="7" t="s">
        <v>120</v>
      </c>
      <c r="G7110" s="7">
        <v>101.85899999999999</v>
      </c>
      <c r="H7110" s="7"/>
    </row>
    <row r="7111" spans="1:8" x14ac:dyDescent="0.35">
      <c r="A7111" s="7" t="s">
        <v>370</v>
      </c>
      <c r="B7111" s="7" t="s">
        <v>26</v>
      </c>
      <c r="C7111" s="7" t="s">
        <v>27</v>
      </c>
      <c r="D7111" s="7" t="s">
        <v>28</v>
      </c>
      <c r="E7111" s="7" t="s">
        <v>29</v>
      </c>
      <c r="F7111" s="7" t="s">
        <v>121</v>
      </c>
      <c r="G7111" s="7">
        <v>102.0047</v>
      </c>
      <c r="H7111" s="7"/>
    </row>
    <row r="7112" spans="1:8" x14ac:dyDescent="0.35">
      <c r="A7112" s="7" t="s">
        <v>370</v>
      </c>
      <c r="B7112" s="7" t="s">
        <v>26</v>
      </c>
      <c r="C7112" s="7" t="s">
        <v>27</v>
      </c>
      <c r="D7112" s="7" t="s">
        <v>28</v>
      </c>
      <c r="E7112" s="7" t="s">
        <v>29</v>
      </c>
      <c r="F7112" s="7" t="s">
        <v>122</v>
      </c>
      <c r="G7112" s="7">
        <v>102.0001</v>
      </c>
      <c r="H7112" s="7"/>
    </row>
    <row r="7113" spans="1:8" x14ac:dyDescent="0.35">
      <c r="A7113" s="7" t="s">
        <v>370</v>
      </c>
      <c r="B7113" s="7" t="s">
        <v>26</v>
      </c>
      <c r="C7113" s="7" t="s">
        <v>27</v>
      </c>
      <c r="D7113" s="7" t="s">
        <v>28</v>
      </c>
      <c r="E7113" s="7" t="s">
        <v>29</v>
      </c>
      <c r="F7113" s="7" t="s">
        <v>123</v>
      </c>
      <c r="G7113" s="7">
        <v>101.97280000000001</v>
      </c>
      <c r="H7113" s="7"/>
    </row>
    <row r="7114" spans="1:8" x14ac:dyDescent="0.35">
      <c r="A7114" s="7" t="s">
        <v>370</v>
      </c>
      <c r="B7114" s="7" t="s">
        <v>26</v>
      </c>
      <c r="C7114" s="7" t="s">
        <v>27</v>
      </c>
      <c r="D7114" s="7" t="s">
        <v>28</v>
      </c>
      <c r="E7114" s="7" t="s">
        <v>29</v>
      </c>
      <c r="F7114" s="7" t="s">
        <v>124</v>
      </c>
      <c r="G7114" s="7">
        <v>102.0385</v>
      </c>
      <c r="H7114" s="7"/>
    </row>
    <row r="7115" spans="1:8" x14ac:dyDescent="0.35">
      <c r="A7115" s="7" t="s">
        <v>370</v>
      </c>
      <c r="B7115" s="7" t="s">
        <v>26</v>
      </c>
      <c r="C7115" s="7" t="s">
        <v>27</v>
      </c>
      <c r="D7115" s="7" t="s">
        <v>28</v>
      </c>
      <c r="E7115" s="7" t="s">
        <v>29</v>
      </c>
      <c r="F7115" s="7" t="s">
        <v>125</v>
      </c>
      <c r="G7115" s="7">
        <v>102.166</v>
      </c>
      <c r="H7115" s="7"/>
    </row>
    <row r="7116" spans="1:8" x14ac:dyDescent="0.35">
      <c r="A7116" s="7" t="s">
        <v>370</v>
      </c>
      <c r="B7116" s="7" t="s">
        <v>26</v>
      </c>
      <c r="C7116" s="7" t="s">
        <v>27</v>
      </c>
      <c r="D7116" s="7" t="s">
        <v>28</v>
      </c>
      <c r="E7116" s="7" t="s">
        <v>29</v>
      </c>
      <c r="F7116" s="7" t="s">
        <v>126</v>
      </c>
      <c r="G7116" s="7">
        <v>102.27370000000001</v>
      </c>
      <c r="H7116" s="7"/>
    </row>
    <row r="7117" spans="1:8" x14ac:dyDescent="0.35">
      <c r="A7117" s="7" t="s">
        <v>370</v>
      </c>
      <c r="B7117" s="7" t="s">
        <v>26</v>
      </c>
      <c r="C7117" s="7" t="s">
        <v>27</v>
      </c>
      <c r="D7117" s="7" t="s">
        <v>28</v>
      </c>
      <c r="E7117" s="7" t="s">
        <v>29</v>
      </c>
      <c r="F7117" s="7" t="s">
        <v>127</v>
      </c>
      <c r="G7117" s="7">
        <v>102.4273</v>
      </c>
      <c r="H7117" s="7"/>
    </row>
    <row r="7118" spans="1:8" x14ac:dyDescent="0.35">
      <c r="A7118" s="7" t="s">
        <v>370</v>
      </c>
      <c r="B7118" s="7" t="s">
        <v>26</v>
      </c>
      <c r="C7118" s="7" t="s">
        <v>27</v>
      </c>
      <c r="D7118" s="7" t="s">
        <v>28</v>
      </c>
      <c r="E7118" s="7" t="s">
        <v>29</v>
      </c>
      <c r="F7118" s="7" t="s">
        <v>128</v>
      </c>
      <c r="G7118" s="7">
        <v>102.68510000000001</v>
      </c>
      <c r="H7118" s="7"/>
    </row>
    <row r="7119" spans="1:8" x14ac:dyDescent="0.35">
      <c r="A7119" s="7" t="s">
        <v>370</v>
      </c>
      <c r="B7119" s="7" t="s">
        <v>26</v>
      </c>
      <c r="C7119" s="7" t="s">
        <v>27</v>
      </c>
      <c r="D7119" s="7" t="s">
        <v>28</v>
      </c>
      <c r="E7119" s="7" t="s">
        <v>29</v>
      </c>
      <c r="F7119" s="7" t="s">
        <v>129</v>
      </c>
      <c r="G7119" s="7">
        <v>102.7824</v>
      </c>
      <c r="H7119" s="7"/>
    </row>
    <row r="7120" spans="1:8" x14ac:dyDescent="0.35">
      <c r="A7120" s="7" t="s">
        <v>370</v>
      </c>
      <c r="B7120" s="7" t="s">
        <v>26</v>
      </c>
      <c r="C7120" s="7" t="s">
        <v>27</v>
      </c>
      <c r="D7120" s="7" t="s">
        <v>28</v>
      </c>
      <c r="E7120" s="7" t="s">
        <v>29</v>
      </c>
      <c r="F7120" s="7" t="s">
        <v>130</v>
      </c>
      <c r="G7120" s="7">
        <v>102.6387</v>
      </c>
      <c r="H7120" s="7"/>
    </row>
    <row r="7121" spans="1:8" x14ac:dyDescent="0.35">
      <c r="A7121" s="7" t="s">
        <v>370</v>
      </c>
      <c r="B7121" s="7" t="s">
        <v>26</v>
      </c>
      <c r="C7121" s="7" t="s">
        <v>27</v>
      </c>
      <c r="D7121" s="7" t="s">
        <v>28</v>
      </c>
      <c r="E7121" s="7" t="s">
        <v>29</v>
      </c>
      <c r="F7121" s="7" t="s">
        <v>131</v>
      </c>
      <c r="G7121" s="7">
        <v>102.4</v>
      </c>
      <c r="H7121" s="7"/>
    </row>
    <row r="7122" spans="1:8" x14ac:dyDescent="0.35">
      <c r="A7122" s="7" t="s">
        <v>370</v>
      </c>
      <c r="B7122" s="7" t="s">
        <v>26</v>
      </c>
      <c r="C7122" s="7" t="s">
        <v>27</v>
      </c>
      <c r="D7122" s="7" t="s">
        <v>28</v>
      </c>
      <c r="E7122" s="7" t="s">
        <v>29</v>
      </c>
      <c r="F7122" s="7" t="s">
        <v>132</v>
      </c>
      <c r="G7122" s="7">
        <v>102.2577</v>
      </c>
      <c r="H7122" s="7"/>
    </row>
    <row r="7123" spans="1:8" x14ac:dyDescent="0.35">
      <c r="A7123" s="7" t="s">
        <v>370</v>
      </c>
      <c r="B7123" s="7" t="s">
        <v>26</v>
      </c>
      <c r="C7123" s="7" t="s">
        <v>27</v>
      </c>
      <c r="D7123" s="7" t="s">
        <v>28</v>
      </c>
      <c r="E7123" s="7" t="s">
        <v>29</v>
      </c>
      <c r="F7123" s="7" t="s">
        <v>133</v>
      </c>
      <c r="G7123" s="7">
        <v>102.22320000000001</v>
      </c>
      <c r="H7123" s="7"/>
    </row>
    <row r="7124" spans="1:8" x14ac:dyDescent="0.35">
      <c r="A7124" s="7" t="s">
        <v>370</v>
      </c>
      <c r="B7124" s="7" t="s">
        <v>26</v>
      </c>
      <c r="C7124" s="7" t="s">
        <v>27</v>
      </c>
      <c r="D7124" s="7" t="s">
        <v>28</v>
      </c>
      <c r="E7124" s="7" t="s">
        <v>29</v>
      </c>
      <c r="F7124" s="7" t="s">
        <v>134</v>
      </c>
      <c r="G7124" s="7">
        <v>102.20099999999999</v>
      </c>
      <c r="H7124" s="7"/>
    </row>
    <row r="7125" spans="1:8" x14ac:dyDescent="0.35">
      <c r="A7125" s="7" t="s">
        <v>370</v>
      </c>
      <c r="B7125" s="7" t="s">
        <v>26</v>
      </c>
      <c r="C7125" s="7" t="s">
        <v>27</v>
      </c>
      <c r="D7125" s="7" t="s">
        <v>28</v>
      </c>
      <c r="E7125" s="7" t="s">
        <v>29</v>
      </c>
      <c r="F7125" s="7" t="s">
        <v>135</v>
      </c>
      <c r="G7125" s="7">
        <v>102.04600000000001</v>
      </c>
      <c r="H7125" s="7"/>
    </row>
    <row r="7126" spans="1:8" x14ac:dyDescent="0.35">
      <c r="A7126" s="7" t="s">
        <v>370</v>
      </c>
      <c r="B7126" s="7" t="s">
        <v>26</v>
      </c>
      <c r="C7126" s="7" t="s">
        <v>27</v>
      </c>
      <c r="D7126" s="7" t="s">
        <v>28</v>
      </c>
      <c r="E7126" s="7" t="s">
        <v>29</v>
      </c>
      <c r="F7126" s="7" t="s">
        <v>136</v>
      </c>
      <c r="G7126" s="7">
        <v>101.8875</v>
      </c>
      <c r="H7126" s="7"/>
    </row>
    <row r="7127" spans="1:8" x14ac:dyDescent="0.35">
      <c r="A7127" s="7" t="s">
        <v>370</v>
      </c>
      <c r="B7127" s="7" t="s">
        <v>26</v>
      </c>
      <c r="C7127" s="7" t="s">
        <v>27</v>
      </c>
      <c r="D7127" s="7" t="s">
        <v>28</v>
      </c>
      <c r="E7127" s="7" t="s">
        <v>29</v>
      </c>
      <c r="F7127" s="7" t="s">
        <v>137</v>
      </c>
      <c r="G7127" s="7">
        <v>101.95950000000001</v>
      </c>
      <c r="H7127" s="7"/>
    </row>
    <row r="7128" spans="1:8" x14ac:dyDescent="0.35">
      <c r="A7128" s="7" t="s">
        <v>370</v>
      </c>
      <c r="B7128" s="7" t="s">
        <v>26</v>
      </c>
      <c r="C7128" s="7" t="s">
        <v>27</v>
      </c>
      <c r="D7128" s="7" t="s">
        <v>28</v>
      </c>
      <c r="E7128" s="7" t="s">
        <v>29</v>
      </c>
      <c r="F7128" s="7" t="s">
        <v>138</v>
      </c>
      <c r="G7128" s="7">
        <v>102.179</v>
      </c>
      <c r="H7128" s="7"/>
    </row>
    <row r="7129" spans="1:8" x14ac:dyDescent="0.35">
      <c r="A7129" s="7" t="s">
        <v>370</v>
      </c>
      <c r="B7129" s="7" t="s">
        <v>26</v>
      </c>
      <c r="C7129" s="7" t="s">
        <v>27</v>
      </c>
      <c r="D7129" s="7" t="s">
        <v>28</v>
      </c>
      <c r="E7129" s="7" t="s">
        <v>29</v>
      </c>
      <c r="F7129" s="7" t="s">
        <v>139</v>
      </c>
      <c r="G7129" s="7">
        <v>102.35290000000001</v>
      </c>
      <c r="H7129" s="7"/>
    </row>
    <row r="7130" spans="1:8" x14ac:dyDescent="0.35">
      <c r="A7130" s="7" t="s">
        <v>370</v>
      </c>
      <c r="B7130" s="7" t="s">
        <v>26</v>
      </c>
      <c r="C7130" s="7" t="s">
        <v>27</v>
      </c>
      <c r="D7130" s="7" t="s">
        <v>28</v>
      </c>
      <c r="E7130" s="7" t="s">
        <v>29</v>
      </c>
      <c r="F7130" s="7" t="s">
        <v>140</v>
      </c>
      <c r="G7130" s="7">
        <v>102.2598</v>
      </c>
      <c r="H7130" s="7"/>
    </row>
    <row r="7131" spans="1:8" x14ac:dyDescent="0.35">
      <c r="A7131" s="7" t="s">
        <v>370</v>
      </c>
      <c r="B7131" s="7" t="s">
        <v>26</v>
      </c>
      <c r="C7131" s="7" t="s">
        <v>27</v>
      </c>
      <c r="D7131" s="7" t="s">
        <v>28</v>
      </c>
      <c r="E7131" s="7" t="s">
        <v>29</v>
      </c>
      <c r="F7131" s="7" t="s">
        <v>141</v>
      </c>
      <c r="G7131" s="7">
        <v>101.84690000000001</v>
      </c>
      <c r="H7131" s="7"/>
    </row>
    <row r="7132" spans="1:8" x14ac:dyDescent="0.35">
      <c r="A7132" s="7" t="s">
        <v>370</v>
      </c>
      <c r="B7132" s="7" t="s">
        <v>26</v>
      </c>
      <c r="C7132" s="7" t="s">
        <v>27</v>
      </c>
      <c r="D7132" s="7" t="s">
        <v>28</v>
      </c>
      <c r="E7132" s="7" t="s">
        <v>29</v>
      </c>
      <c r="F7132" s="7" t="s">
        <v>142</v>
      </c>
      <c r="G7132" s="7">
        <v>101.3464</v>
      </c>
      <c r="H7132" s="7"/>
    </row>
    <row r="7133" spans="1:8" x14ac:dyDescent="0.35">
      <c r="A7133" s="7" t="s">
        <v>370</v>
      </c>
      <c r="B7133" s="7" t="s">
        <v>26</v>
      </c>
      <c r="C7133" s="7" t="s">
        <v>27</v>
      </c>
      <c r="D7133" s="7" t="s">
        <v>28</v>
      </c>
      <c r="E7133" s="7" t="s">
        <v>29</v>
      </c>
      <c r="F7133" s="7" t="s">
        <v>143</v>
      </c>
      <c r="G7133" s="7">
        <v>101.0159</v>
      </c>
      <c r="H7133" s="7"/>
    </row>
    <row r="7134" spans="1:8" x14ac:dyDescent="0.35">
      <c r="A7134" s="7" t="s">
        <v>370</v>
      </c>
      <c r="B7134" s="7" t="s">
        <v>26</v>
      </c>
      <c r="C7134" s="7" t="s">
        <v>27</v>
      </c>
      <c r="D7134" s="7" t="s">
        <v>28</v>
      </c>
      <c r="E7134" s="7" t="s">
        <v>29</v>
      </c>
      <c r="F7134" s="7" t="s">
        <v>144</v>
      </c>
      <c r="G7134" s="7">
        <v>100.85080000000001</v>
      </c>
      <c r="H7134" s="7"/>
    </row>
    <row r="7135" spans="1:8" x14ac:dyDescent="0.35">
      <c r="A7135" s="7" t="s">
        <v>370</v>
      </c>
      <c r="B7135" s="7" t="s">
        <v>26</v>
      </c>
      <c r="C7135" s="7" t="s">
        <v>27</v>
      </c>
      <c r="D7135" s="7" t="s">
        <v>28</v>
      </c>
      <c r="E7135" s="7" t="s">
        <v>29</v>
      </c>
      <c r="F7135" s="7" t="s">
        <v>145</v>
      </c>
      <c r="G7135" s="7">
        <v>100.61239999999999</v>
      </c>
      <c r="H7135" s="7"/>
    </row>
    <row r="7136" spans="1:8" x14ac:dyDescent="0.35">
      <c r="A7136" s="7" t="s">
        <v>370</v>
      </c>
      <c r="B7136" s="7" t="s">
        <v>26</v>
      </c>
      <c r="C7136" s="7" t="s">
        <v>27</v>
      </c>
      <c r="D7136" s="7" t="s">
        <v>28</v>
      </c>
      <c r="E7136" s="7" t="s">
        <v>29</v>
      </c>
      <c r="F7136" s="7" t="s">
        <v>146</v>
      </c>
      <c r="G7136" s="7">
        <v>100.249</v>
      </c>
      <c r="H7136" s="7"/>
    </row>
    <row r="7137" spans="1:8" x14ac:dyDescent="0.35">
      <c r="A7137" s="7" t="s">
        <v>370</v>
      </c>
      <c r="B7137" s="7" t="s">
        <v>26</v>
      </c>
      <c r="C7137" s="7" t="s">
        <v>27</v>
      </c>
      <c r="D7137" s="7" t="s">
        <v>28</v>
      </c>
      <c r="E7137" s="7" t="s">
        <v>29</v>
      </c>
      <c r="F7137" s="7" t="s">
        <v>147</v>
      </c>
      <c r="G7137" s="7">
        <v>99.832319999999996</v>
      </c>
      <c r="H7137" s="7"/>
    </row>
    <row r="7138" spans="1:8" x14ac:dyDescent="0.35">
      <c r="A7138" s="7" t="s">
        <v>370</v>
      </c>
      <c r="B7138" s="7" t="s">
        <v>26</v>
      </c>
      <c r="C7138" s="7" t="s">
        <v>27</v>
      </c>
      <c r="D7138" s="7" t="s">
        <v>28</v>
      </c>
      <c r="E7138" s="7" t="s">
        <v>29</v>
      </c>
      <c r="F7138" s="7" t="s">
        <v>148</v>
      </c>
      <c r="G7138" s="7">
        <v>99.526840000000007</v>
      </c>
      <c r="H7138" s="7"/>
    </row>
    <row r="7139" spans="1:8" x14ac:dyDescent="0.35">
      <c r="A7139" s="7" t="s">
        <v>370</v>
      </c>
      <c r="B7139" s="7" t="s">
        <v>26</v>
      </c>
      <c r="C7139" s="7" t="s">
        <v>27</v>
      </c>
      <c r="D7139" s="7" t="s">
        <v>28</v>
      </c>
      <c r="E7139" s="7" t="s">
        <v>29</v>
      </c>
      <c r="F7139" s="7" t="s">
        <v>149</v>
      </c>
      <c r="G7139" s="7">
        <v>99.357050000000001</v>
      </c>
      <c r="H7139" s="7"/>
    </row>
    <row r="7140" spans="1:8" x14ac:dyDescent="0.35">
      <c r="A7140" s="7" t="s">
        <v>370</v>
      </c>
      <c r="B7140" s="7" t="s">
        <v>26</v>
      </c>
      <c r="C7140" s="7" t="s">
        <v>27</v>
      </c>
      <c r="D7140" s="7" t="s">
        <v>28</v>
      </c>
      <c r="E7140" s="7" t="s">
        <v>29</v>
      </c>
      <c r="F7140" s="7" t="s">
        <v>150</v>
      </c>
      <c r="G7140" s="7">
        <v>99.327439999999996</v>
      </c>
      <c r="H7140" s="7"/>
    </row>
    <row r="7141" spans="1:8" x14ac:dyDescent="0.35">
      <c r="A7141" s="7" t="s">
        <v>370</v>
      </c>
      <c r="B7141" s="7" t="s">
        <v>26</v>
      </c>
      <c r="C7141" s="7" t="s">
        <v>27</v>
      </c>
      <c r="D7141" s="7" t="s">
        <v>28</v>
      </c>
      <c r="E7141" s="7" t="s">
        <v>29</v>
      </c>
      <c r="F7141" s="7" t="s">
        <v>151</v>
      </c>
      <c r="G7141" s="7">
        <v>99.615449999999996</v>
      </c>
      <c r="H7141" s="7"/>
    </row>
    <row r="7142" spans="1:8" x14ac:dyDescent="0.35">
      <c r="A7142" s="7" t="s">
        <v>370</v>
      </c>
      <c r="B7142" s="7" t="s">
        <v>26</v>
      </c>
      <c r="C7142" s="7" t="s">
        <v>27</v>
      </c>
      <c r="D7142" s="7" t="s">
        <v>28</v>
      </c>
      <c r="E7142" s="7" t="s">
        <v>29</v>
      </c>
      <c r="F7142" s="7" t="s">
        <v>152</v>
      </c>
      <c r="G7142" s="7">
        <v>100.11409999999999</v>
      </c>
      <c r="H7142" s="7"/>
    </row>
    <row r="7143" spans="1:8" x14ac:dyDescent="0.35">
      <c r="A7143" s="7" t="s">
        <v>370</v>
      </c>
      <c r="B7143" s="7" t="s">
        <v>26</v>
      </c>
      <c r="C7143" s="7" t="s">
        <v>27</v>
      </c>
      <c r="D7143" s="7" t="s">
        <v>28</v>
      </c>
      <c r="E7143" s="7" t="s">
        <v>29</v>
      </c>
      <c r="F7143" s="7" t="s">
        <v>153</v>
      </c>
      <c r="G7143" s="7">
        <v>100.67740000000001</v>
      </c>
      <c r="H7143" s="7"/>
    </row>
    <row r="7144" spans="1:8" x14ac:dyDescent="0.35">
      <c r="A7144" s="7" t="s">
        <v>370</v>
      </c>
      <c r="B7144" s="7" t="s">
        <v>26</v>
      </c>
      <c r="C7144" s="7" t="s">
        <v>27</v>
      </c>
      <c r="D7144" s="7" t="s">
        <v>28</v>
      </c>
      <c r="E7144" s="7" t="s">
        <v>29</v>
      </c>
      <c r="F7144" s="7" t="s">
        <v>154</v>
      </c>
      <c r="G7144" s="7">
        <v>101.0853</v>
      </c>
      <c r="H7144" s="7"/>
    </row>
    <row r="7145" spans="1:8" x14ac:dyDescent="0.35">
      <c r="A7145" s="7" t="s">
        <v>370</v>
      </c>
      <c r="B7145" s="7" t="s">
        <v>26</v>
      </c>
      <c r="C7145" s="7" t="s">
        <v>27</v>
      </c>
      <c r="D7145" s="7" t="s">
        <v>28</v>
      </c>
      <c r="E7145" s="7" t="s">
        <v>29</v>
      </c>
      <c r="F7145" s="7" t="s">
        <v>155</v>
      </c>
      <c r="G7145" s="7">
        <v>101.3853</v>
      </c>
      <c r="H7145" s="7"/>
    </row>
    <row r="7146" spans="1:8" x14ac:dyDescent="0.35">
      <c r="A7146" s="7" t="s">
        <v>370</v>
      </c>
      <c r="B7146" s="7" t="s">
        <v>26</v>
      </c>
      <c r="C7146" s="7" t="s">
        <v>27</v>
      </c>
      <c r="D7146" s="7" t="s">
        <v>28</v>
      </c>
      <c r="E7146" s="7" t="s">
        <v>29</v>
      </c>
      <c r="F7146" s="7" t="s">
        <v>156</v>
      </c>
      <c r="G7146" s="7">
        <v>101.43770000000001</v>
      </c>
      <c r="H7146" s="7"/>
    </row>
    <row r="7147" spans="1:8" x14ac:dyDescent="0.35">
      <c r="A7147" s="7" t="s">
        <v>370</v>
      </c>
      <c r="B7147" s="7" t="s">
        <v>26</v>
      </c>
      <c r="C7147" s="7" t="s">
        <v>27</v>
      </c>
      <c r="D7147" s="7" t="s">
        <v>28</v>
      </c>
      <c r="E7147" s="7" t="s">
        <v>29</v>
      </c>
      <c r="F7147" s="7" t="s">
        <v>157</v>
      </c>
      <c r="G7147" s="7">
        <v>101.3116</v>
      </c>
      <c r="H7147" s="7"/>
    </row>
    <row r="7148" spans="1:8" x14ac:dyDescent="0.35">
      <c r="A7148" s="7" t="s">
        <v>370</v>
      </c>
      <c r="B7148" s="7" t="s">
        <v>26</v>
      </c>
      <c r="C7148" s="7" t="s">
        <v>27</v>
      </c>
      <c r="D7148" s="7" t="s">
        <v>28</v>
      </c>
      <c r="E7148" s="7" t="s">
        <v>29</v>
      </c>
      <c r="F7148" s="7" t="s">
        <v>158</v>
      </c>
      <c r="G7148" s="7">
        <v>101.11620000000001</v>
      </c>
      <c r="H7148" s="7"/>
    </row>
    <row r="7149" spans="1:8" x14ac:dyDescent="0.35">
      <c r="A7149" s="7" t="s">
        <v>370</v>
      </c>
      <c r="B7149" s="7" t="s">
        <v>26</v>
      </c>
      <c r="C7149" s="7" t="s">
        <v>27</v>
      </c>
      <c r="D7149" s="7" t="s">
        <v>28</v>
      </c>
      <c r="E7149" s="7" t="s">
        <v>29</v>
      </c>
      <c r="F7149" s="7" t="s">
        <v>159</v>
      </c>
      <c r="G7149" s="7">
        <v>100.8954</v>
      </c>
      <c r="H7149" s="7"/>
    </row>
    <row r="7150" spans="1:8" x14ac:dyDescent="0.35">
      <c r="A7150" s="7" t="s">
        <v>370</v>
      </c>
      <c r="B7150" s="7" t="s">
        <v>26</v>
      </c>
      <c r="C7150" s="7" t="s">
        <v>27</v>
      </c>
      <c r="D7150" s="7" t="s">
        <v>28</v>
      </c>
      <c r="E7150" s="7" t="s">
        <v>29</v>
      </c>
      <c r="F7150" s="7" t="s">
        <v>160</v>
      </c>
      <c r="G7150" s="7">
        <v>100.7306</v>
      </c>
      <c r="H7150" s="7"/>
    </row>
    <row r="7151" spans="1:8" x14ac:dyDescent="0.35">
      <c r="A7151" s="7" t="s">
        <v>370</v>
      </c>
      <c r="B7151" s="7" t="s">
        <v>26</v>
      </c>
      <c r="C7151" s="7" t="s">
        <v>27</v>
      </c>
      <c r="D7151" s="7" t="s">
        <v>28</v>
      </c>
      <c r="E7151" s="7" t="s">
        <v>29</v>
      </c>
      <c r="F7151" s="7" t="s">
        <v>161</v>
      </c>
      <c r="G7151" s="7">
        <v>100.5201</v>
      </c>
      <c r="H7151" s="7"/>
    </row>
    <row r="7152" spans="1:8" x14ac:dyDescent="0.35">
      <c r="A7152" s="7" t="s">
        <v>370</v>
      </c>
      <c r="B7152" s="7" t="s">
        <v>26</v>
      </c>
      <c r="C7152" s="7" t="s">
        <v>27</v>
      </c>
      <c r="D7152" s="7" t="s">
        <v>28</v>
      </c>
      <c r="E7152" s="7" t="s">
        <v>29</v>
      </c>
      <c r="F7152" s="7" t="s">
        <v>162</v>
      </c>
      <c r="G7152" s="7">
        <v>100.4228</v>
      </c>
      <c r="H7152" s="7"/>
    </row>
    <row r="7153" spans="1:8" x14ac:dyDescent="0.35">
      <c r="A7153" s="7" t="s">
        <v>370</v>
      </c>
      <c r="B7153" s="7" t="s">
        <v>26</v>
      </c>
      <c r="C7153" s="7" t="s">
        <v>27</v>
      </c>
      <c r="D7153" s="7" t="s">
        <v>28</v>
      </c>
      <c r="E7153" s="7" t="s">
        <v>29</v>
      </c>
      <c r="F7153" s="7" t="s">
        <v>163</v>
      </c>
      <c r="G7153" s="7">
        <v>100.373</v>
      </c>
      <c r="H7153" s="7"/>
    </row>
    <row r="7154" spans="1:8" x14ac:dyDescent="0.35">
      <c r="A7154" s="7" t="s">
        <v>370</v>
      </c>
      <c r="B7154" s="7" t="s">
        <v>26</v>
      </c>
      <c r="C7154" s="7" t="s">
        <v>27</v>
      </c>
      <c r="D7154" s="7" t="s">
        <v>28</v>
      </c>
      <c r="E7154" s="7" t="s">
        <v>29</v>
      </c>
      <c r="F7154" s="7" t="s">
        <v>164</v>
      </c>
      <c r="G7154" s="7">
        <v>100.3861</v>
      </c>
      <c r="H7154" s="7"/>
    </row>
    <row r="7155" spans="1:8" x14ac:dyDescent="0.35">
      <c r="A7155" s="7" t="s">
        <v>370</v>
      </c>
      <c r="B7155" s="7" t="s">
        <v>26</v>
      </c>
      <c r="C7155" s="7" t="s">
        <v>27</v>
      </c>
      <c r="D7155" s="7" t="s">
        <v>28</v>
      </c>
      <c r="E7155" s="7" t="s">
        <v>29</v>
      </c>
      <c r="F7155" s="7" t="s">
        <v>165</v>
      </c>
      <c r="G7155" s="7">
        <v>100.32989999999999</v>
      </c>
      <c r="H7155" s="7"/>
    </row>
    <row r="7156" spans="1:8" x14ac:dyDescent="0.35">
      <c r="A7156" s="7" t="s">
        <v>370</v>
      </c>
      <c r="B7156" s="7" t="s">
        <v>26</v>
      </c>
      <c r="C7156" s="7" t="s">
        <v>27</v>
      </c>
      <c r="D7156" s="7" t="s">
        <v>28</v>
      </c>
      <c r="E7156" s="7" t="s">
        <v>29</v>
      </c>
      <c r="F7156" s="7" t="s">
        <v>166</v>
      </c>
      <c r="G7156" s="7">
        <v>100.2371</v>
      </c>
      <c r="H7156" s="7"/>
    </row>
    <row r="7157" spans="1:8" x14ac:dyDescent="0.35">
      <c r="A7157" s="7" t="s">
        <v>370</v>
      </c>
      <c r="B7157" s="7" t="s">
        <v>26</v>
      </c>
      <c r="C7157" s="7" t="s">
        <v>27</v>
      </c>
      <c r="D7157" s="7" t="s">
        <v>28</v>
      </c>
      <c r="E7157" s="7" t="s">
        <v>29</v>
      </c>
      <c r="F7157" s="7" t="s">
        <v>167</v>
      </c>
      <c r="G7157" s="7">
        <v>100.1054</v>
      </c>
      <c r="H7157" s="7"/>
    </row>
    <row r="7158" spans="1:8" x14ac:dyDescent="0.35">
      <c r="A7158" s="7" t="s">
        <v>370</v>
      </c>
      <c r="B7158" s="7" t="s">
        <v>26</v>
      </c>
      <c r="C7158" s="7" t="s">
        <v>27</v>
      </c>
      <c r="D7158" s="7" t="s">
        <v>28</v>
      </c>
      <c r="E7158" s="7" t="s">
        <v>29</v>
      </c>
      <c r="F7158" s="7" t="s">
        <v>168</v>
      </c>
      <c r="G7158" s="7">
        <v>99.921329999999998</v>
      </c>
      <c r="H7158" s="7"/>
    </row>
    <row r="7159" spans="1:8" x14ac:dyDescent="0.35">
      <c r="A7159" s="7" t="s">
        <v>370</v>
      </c>
      <c r="B7159" s="7" t="s">
        <v>26</v>
      </c>
      <c r="C7159" s="7" t="s">
        <v>27</v>
      </c>
      <c r="D7159" s="7" t="s">
        <v>28</v>
      </c>
      <c r="E7159" s="7" t="s">
        <v>29</v>
      </c>
      <c r="F7159" s="7" t="s">
        <v>169</v>
      </c>
      <c r="G7159" s="7">
        <v>99.861149999999995</v>
      </c>
      <c r="H7159" s="7"/>
    </row>
    <row r="7160" spans="1:8" x14ac:dyDescent="0.35">
      <c r="A7160" s="7" t="s">
        <v>370</v>
      </c>
      <c r="B7160" s="7" t="s">
        <v>26</v>
      </c>
      <c r="C7160" s="7" t="s">
        <v>27</v>
      </c>
      <c r="D7160" s="7" t="s">
        <v>28</v>
      </c>
      <c r="E7160" s="7" t="s">
        <v>29</v>
      </c>
      <c r="F7160" s="7" t="s">
        <v>170</v>
      </c>
      <c r="G7160" s="7">
        <v>100.081</v>
      </c>
      <c r="H7160" s="7"/>
    </row>
    <row r="7161" spans="1:8" x14ac:dyDescent="0.35">
      <c r="A7161" s="7" t="s">
        <v>370</v>
      </c>
      <c r="B7161" s="7" t="s">
        <v>26</v>
      </c>
      <c r="C7161" s="7" t="s">
        <v>27</v>
      </c>
      <c r="D7161" s="7" t="s">
        <v>28</v>
      </c>
      <c r="E7161" s="7" t="s">
        <v>29</v>
      </c>
      <c r="F7161" s="7" t="s">
        <v>171</v>
      </c>
      <c r="G7161" s="7">
        <v>100.38249999999999</v>
      </c>
      <c r="H7161" s="7"/>
    </row>
    <row r="7162" spans="1:8" x14ac:dyDescent="0.35">
      <c r="A7162" s="7" t="s">
        <v>370</v>
      </c>
      <c r="B7162" s="7" t="s">
        <v>26</v>
      </c>
      <c r="C7162" s="7" t="s">
        <v>27</v>
      </c>
      <c r="D7162" s="7" t="s">
        <v>28</v>
      </c>
      <c r="E7162" s="7" t="s">
        <v>29</v>
      </c>
      <c r="F7162" s="7" t="s">
        <v>172</v>
      </c>
      <c r="G7162" s="7">
        <v>100.66589999999999</v>
      </c>
      <c r="H7162" s="7"/>
    </row>
    <row r="7163" spans="1:8" x14ac:dyDescent="0.35">
      <c r="A7163" s="7" t="s">
        <v>370</v>
      </c>
      <c r="B7163" s="7" t="s">
        <v>26</v>
      </c>
      <c r="C7163" s="7" t="s">
        <v>27</v>
      </c>
      <c r="D7163" s="7" t="s">
        <v>28</v>
      </c>
      <c r="E7163" s="7" t="s">
        <v>29</v>
      </c>
      <c r="F7163" s="7" t="s">
        <v>173</v>
      </c>
      <c r="G7163" s="7">
        <v>100.76739999999999</v>
      </c>
      <c r="H7163" s="7"/>
    </row>
    <row r="7164" spans="1:8" x14ac:dyDescent="0.35">
      <c r="A7164" s="7" t="s">
        <v>370</v>
      </c>
      <c r="B7164" s="7" t="s">
        <v>26</v>
      </c>
      <c r="C7164" s="7" t="s">
        <v>27</v>
      </c>
      <c r="D7164" s="7" t="s">
        <v>28</v>
      </c>
      <c r="E7164" s="7" t="s">
        <v>29</v>
      </c>
      <c r="F7164" s="7" t="s">
        <v>174</v>
      </c>
      <c r="G7164" s="7">
        <v>100.6859</v>
      </c>
      <c r="H7164" s="7"/>
    </row>
    <row r="7165" spans="1:8" x14ac:dyDescent="0.35">
      <c r="A7165" s="7" t="s">
        <v>370</v>
      </c>
      <c r="B7165" s="7" t="s">
        <v>26</v>
      </c>
      <c r="C7165" s="7" t="s">
        <v>27</v>
      </c>
      <c r="D7165" s="7" t="s">
        <v>28</v>
      </c>
      <c r="E7165" s="7" t="s">
        <v>29</v>
      </c>
      <c r="F7165" s="7" t="s">
        <v>175</v>
      </c>
      <c r="G7165" s="7">
        <v>100.6206</v>
      </c>
      <c r="H7165" s="7"/>
    </row>
    <row r="7166" spans="1:8" x14ac:dyDescent="0.35">
      <c r="A7166" s="7" t="s">
        <v>370</v>
      </c>
      <c r="B7166" s="7" t="s">
        <v>26</v>
      </c>
      <c r="C7166" s="7" t="s">
        <v>27</v>
      </c>
      <c r="D7166" s="7" t="s">
        <v>28</v>
      </c>
      <c r="E7166" s="7" t="s">
        <v>29</v>
      </c>
      <c r="F7166" s="7" t="s">
        <v>176</v>
      </c>
      <c r="G7166" s="7">
        <v>100.5197</v>
      </c>
      <c r="H7166" s="7"/>
    </row>
    <row r="7167" spans="1:8" x14ac:dyDescent="0.35">
      <c r="A7167" s="7" t="s">
        <v>370</v>
      </c>
      <c r="B7167" s="7" t="s">
        <v>26</v>
      </c>
      <c r="C7167" s="7" t="s">
        <v>27</v>
      </c>
      <c r="D7167" s="7" t="s">
        <v>28</v>
      </c>
      <c r="E7167" s="7" t="s">
        <v>29</v>
      </c>
      <c r="F7167" s="7" t="s">
        <v>177</v>
      </c>
      <c r="G7167" s="7">
        <v>100.5624</v>
      </c>
      <c r="H7167" s="7"/>
    </row>
    <row r="7168" spans="1:8" x14ac:dyDescent="0.35">
      <c r="A7168" s="7" t="s">
        <v>370</v>
      </c>
      <c r="B7168" s="7" t="s">
        <v>26</v>
      </c>
      <c r="C7168" s="7" t="s">
        <v>27</v>
      </c>
      <c r="D7168" s="7" t="s">
        <v>28</v>
      </c>
      <c r="E7168" s="7" t="s">
        <v>29</v>
      </c>
      <c r="F7168" s="7" t="s">
        <v>178</v>
      </c>
      <c r="G7168" s="7">
        <v>100.7731</v>
      </c>
      <c r="H7168" s="7"/>
    </row>
    <row r="7169" spans="1:8" x14ac:dyDescent="0.35">
      <c r="A7169" s="7" t="s">
        <v>370</v>
      </c>
      <c r="B7169" s="7" t="s">
        <v>26</v>
      </c>
      <c r="C7169" s="7" t="s">
        <v>27</v>
      </c>
      <c r="D7169" s="7" t="s">
        <v>28</v>
      </c>
      <c r="E7169" s="7" t="s">
        <v>29</v>
      </c>
      <c r="F7169" s="7" t="s">
        <v>179</v>
      </c>
      <c r="G7169" s="7">
        <v>100.9556</v>
      </c>
      <c r="H7169" s="7"/>
    </row>
    <row r="7170" spans="1:8" x14ac:dyDescent="0.35">
      <c r="A7170" s="7" t="s">
        <v>370</v>
      </c>
      <c r="B7170" s="7" t="s">
        <v>26</v>
      </c>
      <c r="C7170" s="7" t="s">
        <v>27</v>
      </c>
      <c r="D7170" s="7" t="s">
        <v>28</v>
      </c>
      <c r="E7170" s="7" t="s">
        <v>29</v>
      </c>
      <c r="F7170" s="7" t="s">
        <v>180</v>
      </c>
      <c r="G7170" s="7">
        <v>101.0851</v>
      </c>
      <c r="H7170" s="7"/>
    </row>
    <row r="7171" spans="1:8" x14ac:dyDescent="0.35">
      <c r="A7171" s="7" t="s">
        <v>370</v>
      </c>
      <c r="B7171" s="7" t="s">
        <v>26</v>
      </c>
      <c r="C7171" s="7" t="s">
        <v>27</v>
      </c>
      <c r="D7171" s="7" t="s">
        <v>28</v>
      </c>
      <c r="E7171" s="7" t="s">
        <v>29</v>
      </c>
      <c r="F7171" s="7" t="s">
        <v>181</v>
      </c>
      <c r="G7171" s="7">
        <v>101.1491</v>
      </c>
      <c r="H7171" s="7"/>
    </row>
    <row r="7172" spans="1:8" x14ac:dyDescent="0.35">
      <c r="A7172" s="7" t="s">
        <v>370</v>
      </c>
      <c r="B7172" s="7" t="s">
        <v>26</v>
      </c>
      <c r="C7172" s="7" t="s">
        <v>27</v>
      </c>
      <c r="D7172" s="7" t="s">
        <v>28</v>
      </c>
      <c r="E7172" s="7" t="s">
        <v>29</v>
      </c>
      <c r="F7172" s="7" t="s">
        <v>182</v>
      </c>
      <c r="G7172" s="7">
        <v>101.157</v>
      </c>
      <c r="H7172" s="7"/>
    </row>
    <row r="7173" spans="1:8" x14ac:dyDescent="0.35">
      <c r="A7173" s="7" t="s">
        <v>370</v>
      </c>
      <c r="B7173" s="7" t="s">
        <v>26</v>
      </c>
      <c r="C7173" s="7" t="s">
        <v>27</v>
      </c>
      <c r="D7173" s="7" t="s">
        <v>28</v>
      </c>
      <c r="E7173" s="7" t="s">
        <v>29</v>
      </c>
      <c r="F7173" s="7" t="s">
        <v>183</v>
      </c>
      <c r="G7173" s="7">
        <v>101.21510000000001</v>
      </c>
      <c r="H7173" s="7"/>
    </row>
    <row r="7174" spans="1:8" x14ac:dyDescent="0.35">
      <c r="A7174" s="7" t="s">
        <v>370</v>
      </c>
      <c r="B7174" s="7" t="s">
        <v>26</v>
      </c>
      <c r="C7174" s="7" t="s">
        <v>27</v>
      </c>
      <c r="D7174" s="7" t="s">
        <v>28</v>
      </c>
      <c r="E7174" s="7" t="s">
        <v>29</v>
      </c>
      <c r="F7174" s="7" t="s">
        <v>184</v>
      </c>
      <c r="G7174" s="7">
        <v>101.0551</v>
      </c>
      <c r="H7174" s="7"/>
    </row>
    <row r="7175" spans="1:8" x14ac:dyDescent="0.35">
      <c r="A7175" s="7" t="s">
        <v>370</v>
      </c>
      <c r="B7175" s="7" t="s">
        <v>26</v>
      </c>
      <c r="C7175" s="7" t="s">
        <v>27</v>
      </c>
      <c r="D7175" s="7" t="s">
        <v>28</v>
      </c>
      <c r="E7175" s="7" t="s">
        <v>29</v>
      </c>
      <c r="F7175" s="7" t="s">
        <v>185</v>
      </c>
      <c r="G7175" s="7">
        <v>100.90349999999999</v>
      </c>
      <c r="H7175" s="7"/>
    </row>
    <row r="7176" spans="1:8" x14ac:dyDescent="0.35">
      <c r="A7176" s="7" t="s">
        <v>370</v>
      </c>
      <c r="B7176" s="7" t="s">
        <v>26</v>
      </c>
      <c r="C7176" s="7" t="s">
        <v>27</v>
      </c>
      <c r="D7176" s="7" t="s">
        <v>28</v>
      </c>
      <c r="E7176" s="7" t="s">
        <v>29</v>
      </c>
      <c r="F7176" s="7" t="s">
        <v>186</v>
      </c>
      <c r="G7176" s="7">
        <v>100.9229</v>
      </c>
      <c r="H7176" s="7"/>
    </row>
    <row r="7177" spans="1:8" x14ac:dyDescent="0.35">
      <c r="A7177" s="7" t="s">
        <v>370</v>
      </c>
      <c r="B7177" s="7" t="s">
        <v>26</v>
      </c>
      <c r="C7177" s="7" t="s">
        <v>27</v>
      </c>
      <c r="D7177" s="7" t="s">
        <v>28</v>
      </c>
      <c r="E7177" s="7" t="s">
        <v>29</v>
      </c>
      <c r="F7177" s="7" t="s">
        <v>187</v>
      </c>
      <c r="G7177" s="7">
        <v>101.108</v>
      </c>
      <c r="H7177" s="7"/>
    </row>
    <row r="7178" spans="1:8" x14ac:dyDescent="0.35">
      <c r="A7178" s="7" t="s">
        <v>370</v>
      </c>
      <c r="B7178" s="7" t="s">
        <v>26</v>
      </c>
      <c r="C7178" s="7" t="s">
        <v>27</v>
      </c>
      <c r="D7178" s="7" t="s">
        <v>28</v>
      </c>
      <c r="E7178" s="7" t="s">
        <v>29</v>
      </c>
      <c r="F7178" s="7" t="s">
        <v>188</v>
      </c>
      <c r="G7178" s="7">
        <v>101.2439</v>
      </c>
      <c r="H7178" s="7"/>
    </row>
    <row r="7179" spans="1:8" x14ac:dyDescent="0.35">
      <c r="A7179" s="7" t="s">
        <v>370</v>
      </c>
      <c r="B7179" s="7" t="s">
        <v>26</v>
      </c>
      <c r="C7179" s="7" t="s">
        <v>27</v>
      </c>
      <c r="D7179" s="7" t="s">
        <v>28</v>
      </c>
      <c r="E7179" s="7" t="s">
        <v>29</v>
      </c>
      <c r="F7179" s="7" t="s">
        <v>189</v>
      </c>
      <c r="G7179" s="7">
        <v>101.48520000000001</v>
      </c>
      <c r="H7179" s="7"/>
    </row>
    <row r="7180" spans="1:8" x14ac:dyDescent="0.35">
      <c r="A7180" s="7" t="s">
        <v>370</v>
      </c>
      <c r="B7180" s="7" t="s">
        <v>26</v>
      </c>
      <c r="C7180" s="7" t="s">
        <v>27</v>
      </c>
      <c r="D7180" s="7" t="s">
        <v>28</v>
      </c>
      <c r="E7180" s="7" t="s">
        <v>29</v>
      </c>
      <c r="F7180" s="7" t="s">
        <v>190</v>
      </c>
      <c r="G7180" s="7">
        <v>101.52549999999999</v>
      </c>
      <c r="H7180" s="7"/>
    </row>
    <row r="7181" spans="1:8" x14ac:dyDescent="0.35">
      <c r="A7181" s="7" t="s">
        <v>370</v>
      </c>
      <c r="B7181" s="7" t="s">
        <v>26</v>
      </c>
      <c r="C7181" s="7" t="s">
        <v>27</v>
      </c>
      <c r="D7181" s="7" t="s">
        <v>28</v>
      </c>
      <c r="E7181" s="7" t="s">
        <v>29</v>
      </c>
      <c r="F7181" s="7" t="s">
        <v>191</v>
      </c>
      <c r="G7181" s="7">
        <v>101.28270000000001</v>
      </c>
      <c r="H7181" s="7"/>
    </row>
    <row r="7182" spans="1:8" x14ac:dyDescent="0.35">
      <c r="A7182" s="7" t="s">
        <v>370</v>
      </c>
      <c r="B7182" s="7" t="s">
        <v>26</v>
      </c>
      <c r="C7182" s="7" t="s">
        <v>27</v>
      </c>
      <c r="D7182" s="7" t="s">
        <v>28</v>
      </c>
      <c r="E7182" s="7" t="s">
        <v>29</v>
      </c>
      <c r="F7182" s="7" t="s">
        <v>192</v>
      </c>
      <c r="G7182" s="7">
        <v>100.9057</v>
      </c>
      <c r="H7182" s="7"/>
    </row>
    <row r="7183" spans="1:8" x14ac:dyDescent="0.35">
      <c r="A7183" s="7" t="s">
        <v>370</v>
      </c>
      <c r="B7183" s="7" t="s">
        <v>26</v>
      </c>
      <c r="C7183" s="7" t="s">
        <v>27</v>
      </c>
      <c r="D7183" s="7" t="s">
        <v>28</v>
      </c>
      <c r="E7183" s="7" t="s">
        <v>29</v>
      </c>
      <c r="F7183" s="7" t="s">
        <v>193</v>
      </c>
      <c r="G7183" s="7">
        <v>100.5766</v>
      </c>
      <c r="H7183" s="7"/>
    </row>
    <row r="7184" spans="1:8" x14ac:dyDescent="0.35">
      <c r="A7184" s="7" t="s">
        <v>370</v>
      </c>
      <c r="B7184" s="7" t="s">
        <v>26</v>
      </c>
      <c r="C7184" s="7" t="s">
        <v>27</v>
      </c>
      <c r="D7184" s="7" t="s">
        <v>28</v>
      </c>
      <c r="E7184" s="7" t="s">
        <v>29</v>
      </c>
      <c r="F7184" s="7" t="s">
        <v>194</v>
      </c>
      <c r="G7184" s="7">
        <v>100.6091</v>
      </c>
      <c r="H7184" s="7"/>
    </row>
    <row r="7185" spans="1:8" x14ac:dyDescent="0.35">
      <c r="A7185" s="7" t="s">
        <v>370</v>
      </c>
      <c r="B7185" s="7" t="s">
        <v>26</v>
      </c>
      <c r="C7185" s="7" t="s">
        <v>27</v>
      </c>
      <c r="D7185" s="7" t="s">
        <v>28</v>
      </c>
      <c r="E7185" s="7" t="s">
        <v>29</v>
      </c>
      <c r="F7185" s="7" t="s">
        <v>195</v>
      </c>
      <c r="G7185" s="7">
        <v>100.827</v>
      </c>
      <c r="H7185" s="7"/>
    </row>
    <row r="7186" spans="1:8" x14ac:dyDescent="0.35">
      <c r="A7186" s="7" t="s">
        <v>370</v>
      </c>
      <c r="B7186" s="7" t="s">
        <v>26</v>
      </c>
      <c r="C7186" s="7" t="s">
        <v>27</v>
      </c>
      <c r="D7186" s="7" t="s">
        <v>28</v>
      </c>
      <c r="E7186" s="7" t="s">
        <v>29</v>
      </c>
      <c r="F7186" s="7" t="s">
        <v>196</v>
      </c>
      <c r="G7186" s="7">
        <v>100.9952</v>
      </c>
      <c r="H7186" s="7"/>
    </row>
    <row r="7187" spans="1:8" x14ac:dyDescent="0.35">
      <c r="A7187" s="7" t="s">
        <v>370</v>
      </c>
      <c r="B7187" s="7" t="s">
        <v>26</v>
      </c>
      <c r="C7187" s="7" t="s">
        <v>27</v>
      </c>
      <c r="D7187" s="7" t="s">
        <v>28</v>
      </c>
      <c r="E7187" s="7" t="s">
        <v>29</v>
      </c>
      <c r="F7187" s="7" t="s">
        <v>197</v>
      </c>
      <c r="G7187" s="7">
        <v>101.2517</v>
      </c>
      <c r="H7187" s="7"/>
    </row>
    <row r="7188" spans="1:8" x14ac:dyDescent="0.35">
      <c r="A7188" s="7" t="s">
        <v>370</v>
      </c>
      <c r="B7188" s="7" t="s">
        <v>26</v>
      </c>
      <c r="C7188" s="7" t="s">
        <v>27</v>
      </c>
      <c r="D7188" s="7" t="s">
        <v>28</v>
      </c>
      <c r="E7188" s="7" t="s">
        <v>29</v>
      </c>
      <c r="F7188" s="7" t="s">
        <v>198</v>
      </c>
      <c r="G7188" s="7">
        <v>101.42870000000001</v>
      </c>
      <c r="H7188" s="7"/>
    </row>
    <row r="7189" spans="1:8" x14ac:dyDescent="0.35">
      <c r="A7189" s="7" t="s">
        <v>370</v>
      </c>
      <c r="B7189" s="7" t="s">
        <v>26</v>
      </c>
      <c r="C7189" s="7" t="s">
        <v>27</v>
      </c>
      <c r="D7189" s="7" t="s">
        <v>28</v>
      </c>
      <c r="E7189" s="7" t="s">
        <v>29</v>
      </c>
      <c r="F7189" s="7" t="s">
        <v>199</v>
      </c>
      <c r="G7189" s="7">
        <v>101.4689</v>
      </c>
      <c r="H7189" s="7"/>
    </row>
    <row r="7190" spans="1:8" x14ac:dyDescent="0.35">
      <c r="A7190" s="7" t="s">
        <v>370</v>
      </c>
      <c r="B7190" s="7" t="s">
        <v>26</v>
      </c>
      <c r="C7190" s="7" t="s">
        <v>27</v>
      </c>
      <c r="D7190" s="7" t="s">
        <v>28</v>
      </c>
      <c r="E7190" s="7" t="s">
        <v>29</v>
      </c>
      <c r="F7190" s="7" t="s">
        <v>200</v>
      </c>
      <c r="G7190" s="7">
        <v>101.3412</v>
      </c>
      <c r="H7190" s="7"/>
    </row>
    <row r="7191" spans="1:8" x14ac:dyDescent="0.35">
      <c r="A7191" s="7" t="s">
        <v>370</v>
      </c>
      <c r="B7191" s="7" t="s">
        <v>26</v>
      </c>
      <c r="C7191" s="7" t="s">
        <v>27</v>
      </c>
      <c r="D7191" s="7" t="s">
        <v>28</v>
      </c>
      <c r="E7191" s="7" t="s">
        <v>29</v>
      </c>
      <c r="F7191" s="7" t="s">
        <v>201</v>
      </c>
      <c r="G7191" s="7">
        <v>101.20910000000001</v>
      </c>
      <c r="H7191" s="7"/>
    </row>
    <row r="7192" spans="1:8" x14ac:dyDescent="0.35">
      <c r="A7192" s="7" t="s">
        <v>370</v>
      </c>
      <c r="B7192" s="7" t="s">
        <v>26</v>
      </c>
      <c r="C7192" s="7" t="s">
        <v>27</v>
      </c>
      <c r="D7192" s="7" t="s">
        <v>28</v>
      </c>
      <c r="E7192" s="7" t="s">
        <v>29</v>
      </c>
      <c r="F7192" s="7" t="s">
        <v>202</v>
      </c>
      <c r="G7192" s="7">
        <v>100.9323</v>
      </c>
      <c r="H7192" s="7"/>
    </row>
    <row r="7193" spans="1:8" x14ac:dyDescent="0.35">
      <c r="A7193" s="7" t="s">
        <v>370</v>
      </c>
      <c r="B7193" s="7" t="s">
        <v>26</v>
      </c>
      <c r="C7193" s="7" t="s">
        <v>27</v>
      </c>
      <c r="D7193" s="7" t="s">
        <v>28</v>
      </c>
      <c r="E7193" s="7" t="s">
        <v>29</v>
      </c>
      <c r="F7193" s="7" t="s">
        <v>203</v>
      </c>
      <c r="G7193" s="7">
        <v>100.8716</v>
      </c>
      <c r="H7193" s="7"/>
    </row>
    <row r="7194" spans="1:8" x14ac:dyDescent="0.35">
      <c r="A7194" s="7" t="s">
        <v>370</v>
      </c>
      <c r="B7194" s="7" t="s">
        <v>26</v>
      </c>
      <c r="C7194" s="7" t="s">
        <v>27</v>
      </c>
      <c r="D7194" s="7" t="s">
        <v>28</v>
      </c>
      <c r="E7194" s="7" t="s">
        <v>29</v>
      </c>
      <c r="F7194" s="7" t="s">
        <v>204</v>
      </c>
      <c r="G7194" s="7">
        <v>101.16800000000001</v>
      </c>
      <c r="H7194" s="7"/>
    </row>
    <row r="7195" spans="1:8" x14ac:dyDescent="0.35">
      <c r="A7195" s="7" t="s">
        <v>370</v>
      </c>
      <c r="B7195" s="7" t="s">
        <v>26</v>
      </c>
      <c r="C7195" s="7" t="s">
        <v>27</v>
      </c>
      <c r="D7195" s="7" t="s">
        <v>28</v>
      </c>
      <c r="E7195" s="7" t="s">
        <v>29</v>
      </c>
      <c r="F7195" s="7" t="s">
        <v>205</v>
      </c>
      <c r="G7195" s="7">
        <v>101.5025</v>
      </c>
      <c r="H7195" s="7"/>
    </row>
    <row r="7196" spans="1:8" x14ac:dyDescent="0.35">
      <c r="A7196" s="7" t="s">
        <v>370</v>
      </c>
      <c r="B7196" s="7" t="s">
        <v>26</v>
      </c>
      <c r="C7196" s="7" t="s">
        <v>27</v>
      </c>
      <c r="D7196" s="7" t="s">
        <v>28</v>
      </c>
      <c r="E7196" s="7" t="s">
        <v>29</v>
      </c>
      <c r="F7196" s="7" t="s">
        <v>206</v>
      </c>
      <c r="G7196" s="7">
        <v>101.6108</v>
      </c>
      <c r="H7196" s="7"/>
    </row>
    <row r="7197" spans="1:8" x14ac:dyDescent="0.35">
      <c r="A7197" s="7" t="s">
        <v>370</v>
      </c>
      <c r="B7197" s="7" t="s">
        <v>26</v>
      </c>
      <c r="C7197" s="7" t="s">
        <v>27</v>
      </c>
      <c r="D7197" s="7" t="s">
        <v>28</v>
      </c>
      <c r="E7197" s="7" t="s">
        <v>29</v>
      </c>
      <c r="F7197" s="7" t="s">
        <v>207</v>
      </c>
      <c r="G7197" s="7">
        <v>101.645</v>
      </c>
      <c r="H7197" s="7"/>
    </row>
    <row r="7198" spans="1:8" x14ac:dyDescent="0.35">
      <c r="A7198" s="7" t="s">
        <v>370</v>
      </c>
      <c r="B7198" s="7" t="s">
        <v>26</v>
      </c>
      <c r="C7198" s="7" t="s">
        <v>27</v>
      </c>
      <c r="D7198" s="7" t="s">
        <v>28</v>
      </c>
      <c r="E7198" s="7" t="s">
        <v>29</v>
      </c>
      <c r="F7198" s="7" t="s">
        <v>208</v>
      </c>
      <c r="G7198" s="7">
        <v>101.7633</v>
      </c>
      <c r="H7198" s="7"/>
    </row>
    <row r="7199" spans="1:8" x14ac:dyDescent="0.35">
      <c r="A7199" s="7" t="s">
        <v>370</v>
      </c>
      <c r="B7199" s="7" t="s">
        <v>26</v>
      </c>
      <c r="C7199" s="7" t="s">
        <v>27</v>
      </c>
      <c r="D7199" s="7" t="s">
        <v>28</v>
      </c>
      <c r="E7199" s="7" t="s">
        <v>29</v>
      </c>
      <c r="F7199" s="7" t="s">
        <v>209</v>
      </c>
      <c r="G7199" s="7">
        <v>101.86450000000001</v>
      </c>
      <c r="H7199" s="7"/>
    </row>
    <row r="7200" spans="1:8" x14ac:dyDescent="0.35">
      <c r="A7200" s="7" t="s">
        <v>370</v>
      </c>
      <c r="B7200" s="7" t="s">
        <v>26</v>
      </c>
      <c r="C7200" s="7" t="s">
        <v>27</v>
      </c>
      <c r="D7200" s="7" t="s">
        <v>28</v>
      </c>
      <c r="E7200" s="7" t="s">
        <v>29</v>
      </c>
      <c r="F7200" s="7" t="s">
        <v>210</v>
      </c>
      <c r="G7200" s="7">
        <v>102.02589999999999</v>
      </c>
      <c r="H7200" s="7"/>
    </row>
    <row r="7201" spans="1:8" x14ac:dyDescent="0.35">
      <c r="A7201" s="7" t="s">
        <v>370</v>
      </c>
      <c r="B7201" s="7" t="s">
        <v>26</v>
      </c>
      <c r="C7201" s="7" t="s">
        <v>27</v>
      </c>
      <c r="D7201" s="7" t="s">
        <v>28</v>
      </c>
      <c r="E7201" s="7" t="s">
        <v>29</v>
      </c>
      <c r="F7201" s="7" t="s">
        <v>211</v>
      </c>
      <c r="G7201" s="7">
        <v>102.0775</v>
      </c>
      <c r="H7201" s="7"/>
    </row>
    <row r="7202" spans="1:8" x14ac:dyDescent="0.35">
      <c r="A7202" s="7" t="s">
        <v>370</v>
      </c>
      <c r="B7202" s="7" t="s">
        <v>26</v>
      </c>
      <c r="C7202" s="7" t="s">
        <v>27</v>
      </c>
      <c r="D7202" s="7" t="s">
        <v>28</v>
      </c>
      <c r="E7202" s="7" t="s">
        <v>29</v>
      </c>
      <c r="F7202" s="7" t="s">
        <v>212</v>
      </c>
      <c r="G7202" s="7">
        <v>102.0204</v>
      </c>
      <c r="H7202" s="7"/>
    </row>
    <row r="7203" spans="1:8" x14ac:dyDescent="0.35">
      <c r="A7203" s="7" t="s">
        <v>370</v>
      </c>
      <c r="B7203" s="7" t="s">
        <v>26</v>
      </c>
      <c r="C7203" s="7" t="s">
        <v>27</v>
      </c>
      <c r="D7203" s="7" t="s">
        <v>28</v>
      </c>
      <c r="E7203" s="7" t="s">
        <v>29</v>
      </c>
      <c r="F7203" s="7" t="s">
        <v>213</v>
      </c>
      <c r="G7203" s="7">
        <v>101.8823</v>
      </c>
      <c r="H7203" s="7"/>
    </row>
    <row r="7204" spans="1:8" x14ac:dyDescent="0.35">
      <c r="A7204" s="7" t="s">
        <v>370</v>
      </c>
      <c r="B7204" s="7" t="s">
        <v>26</v>
      </c>
      <c r="C7204" s="7" t="s">
        <v>27</v>
      </c>
      <c r="D7204" s="7" t="s">
        <v>28</v>
      </c>
      <c r="E7204" s="7" t="s">
        <v>29</v>
      </c>
      <c r="F7204" s="7" t="s">
        <v>214</v>
      </c>
      <c r="G7204" s="7">
        <v>101.914</v>
      </c>
      <c r="H7204" s="7"/>
    </row>
    <row r="7205" spans="1:8" x14ac:dyDescent="0.35">
      <c r="A7205" s="7" t="s">
        <v>370</v>
      </c>
      <c r="B7205" s="7" t="s">
        <v>26</v>
      </c>
      <c r="C7205" s="7" t="s">
        <v>27</v>
      </c>
      <c r="D7205" s="7" t="s">
        <v>28</v>
      </c>
      <c r="E7205" s="7" t="s">
        <v>29</v>
      </c>
      <c r="F7205" s="7" t="s">
        <v>215</v>
      </c>
      <c r="G7205" s="7">
        <v>102.1478</v>
      </c>
      <c r="H7205" s="7"/>
    </row>
    <row r="7206" spans="1:8" x14ac:dyDescent="0.35">
      <c r="A7206" s="7" t="s">
        <v>370</v>
      </c>
      <c r="B7206" s="7" t="s">
        <v>26</v>
      </c>
      <c r="C7206" s="7" t="s">
        <v>27</v>
      </c>
      <c r="D7206" s="7" t="s">
        <v>28</v>
      </c>
      <c r="E7206" s="7" t="s">
        <v>29</v>
      </c>
      <c r="F7206" s="7" t="s">
        <v>216</v>
      </c>
      <c r="G7206" s="7">
        <v>102.3421</v>
      </c>
      <c r="H7206" s="7"/>
    </row>
    <row r="7207" spans="1:8" x14ac:dyDescent="0.35">
      <c r="A7207" s="7" t="s">
        <v>370</v>
      </c>
      <c r="B7207" s="7" t="s">
        <v>26</v>
      </c>
      <c r="C7207" s="7" t="s">
        <v>27</v>
      </c>
      <c r="D7207" s="7" t="s">
        <v>28</v>
      </c>
      <c r="E7207" s="7" t="s">
        <v>29</v>
      </c>
      <c r="F7207" s="7" t="s">
        <v>217</v>
      </c>
      <c r="G7207" s="7">
        <v>102.55970000000001</v>
      </c>
      <c r="H7207" s="7"/>
    </row>
    <row r="7208" spans="1:8" x14ac:dyDescent="0.35">
      <c r="A7208" s="7" t="s">
        <v>370</v>
      </c>
      <c r="B7208" s="7" t="s">
        <v>26</v>
      </c>
      <c r="C7208" s="7" t="s">
        <v>27</v>
      </c>
      <c r="D7208" s="7" t="s">
        <v>28</v>
      </c>
      <c r="E7208" s="7" t="s">
        <v>29</v>
      </c>
      <c r="F7208" s="7" t="s">
        <v>218</v>
      </c>
      <c r="G7208" s="7">
        <v>102.6485</v>
      </c>
      <c r="H7208" s="7"/>
    </row>
    <row r="7209" spans="1:8" x14ac:dyDescent="0.35">
      <c r="A7209" s="7" t="s">
        <v>370</v>
      </c>
      <c r="B7209" s="7" t="s">
        <v>26</v>
      </c>
      <c r="C7209" s="7" t="s">
        <v>27</v>
      </c>
      <c r="D7209" s="7" t="s">
        <v>28</v>
      </c>
      <c r="E7209" s="7" t="s">
        <v>29</v>
      </c>
      <c r="F7209" s="7" t="s">
        <v>219</v>
      </c>
      <c r="G7209" s="7">
        <v>102.62730000000001</v>
      </c>
      <c r="H7209" s="7"/>
    </row>
    <row r="7210" spans="1:8" x14ac:dyDescent="0.35">
      <c r="A7210" s="7" t="s">
        <v>370</v>
      </c>
      <c r="B7210" s="7" t="s">
        <v>26</v>
      </c>
      <c r="C7210" s="7" t="s">
        <v>27</v>
      </c>
      <c r="D7210" s="7" t="s">
        <v>28</v>
      </c>
      <c r="E7210" s="7" t="s">
        <v>29</v>
      </c>
      <c r="F7210" s="7" t="s">
        <v>220</v>
      </c>
      <c r="G7210" s="7">
        <v>102.4342</v>
      </c>
      <c r="H7210" s="7"/>
    </row>
    <row r="7211" spans="1:8" x14ac:dyDescent="0.35">
      <c r="A7211" s="7" t="s">
        <v>370</v>
      </c>
      <c r="B7211" s="7" t="s">
        <v>26</v>
      </c>
      <c r="C7211" s="7" t="s">
        <v>27</v>
      </c>
      <c r="D7211" s="7" t="s">
        <v>28</v>
      </c>
      <c r="E7211" s="7" t="s">
        <v>29</v>
      </c>
      <c r="F7211" s="7" t="s">
        <v>221</v>
      </c>
      <c r="G7211" s="7">
        <v>102.08759999999999</v>
      </c>
      <c r="H7211" s="7"/>
    </row>
    <row r="7212" spans="1:8" x14ac:dyDescent="0.35">
      <c r="A7212" s="7" t="s">
        <v>370</v>
      </c>
      <c r="B7212" s="7" t="s">
        <v>26</v>
      </c>
      <c r="C7212" s="7" t="s">
        <v>27</v>
      </c>
      <c r="D7212" s="7" t="s">
        <v>28</v>
      </c>
      <c r="E7212" s="7" t="s">
        <v>29</v>
      </c>
      <c r="F7212" s="7" t="s">
        <v>222</v>
      </c>
      <c r="G7212" s="7">
        <v>101.6001</v>
      </c>
      <c r="H7212" s="7"/>
    </row>
    <row r="7213" spans="1:8" x14ac:dyDescent="0.35">
      <c r="A7213" s="7" t="s">
        <v>370</v>
      </c>
      <c r="B7213" s="7" t="s">
        <v>26</v>
      </c>
      <c r="C7213" s="7" t="s">
        <v>27</v>
      </c>
      <c r="D7213" s="7" t="s">
        <v>28</v>
      </c>
      <c r="E7213" s="7" t="s">
        <v>29</v>
      </c>
      <c r="F7213" s="7" t="s">
        <v>223</v>
      </c>
      <c r="G7213" s="7">
        <v>101.21</v>
      </c>
      <c r="H7213" s="7"/>
    </row>
    <row r="7214" spans="1:8" x14ac:dyDescent="0.35">
      <c r="A7214" s="7" t="s">
        <v>370</v>
      </c>
      <c r="B7214" s="7" t="s">
        <v>26</v>
      </c>
      <c r="C7214" s="7" t="s">
        <v>27</v>
      </c>
      <c r="D7214" s="7" t="s">
        <v>28</v>
      </c>
      <c r="E7214" s="7" t="s">
        <v>29</v>
      </c>
      <c r="F7214" s="7" t="s">
        <v>224</v>
      </c>
      <c r="G7214" s="7">
        <v>100.8942</v>
      </c>
      <c r="H7214" s="7"/>
    </row>
    <row r="7215" spans="1:8" x14ac:dyDescent="0.35">
      <c r="A7215" s="7" t="s">
        <v>370</v>
      </c>
      <c r="B7215" s="7" t="s">
        <v>26</v>
      </c>
      <c r="C7215" s="7" t="s">
        <v>27</v>
      </c>
      <c r="D7215" s="7" t="s">
        <v>28</v>
      </c>
      <c r="E7215" s="7" t="s">
        <v>29</v>
      </c>
      <c r="F7215" s="7" t="s">
        <v>225</v>
      </c>
      <c r="G7215" s="7">
        <v>100.6658</v>
      </c>
      <c r="H7215" s="7"/>
    </row>
    <row r="7216" spans="1:8" x14ac:dyDescent="0.35">
      <c r="A7216" s="7" t="s">
        <v>370</v>
      </c>
      <c r="B7216" s="7" t="s">
        <v>26</v>
      </c>
      <c r="C7216" s="7" t="s">
        <v>27</v>
      </c>
      <c r="D7216" s="7" t="s">
        <v>28</v>
      </c>
      <c r="E7216" s="7" t="s">
        <v>29</v>
      </c>
      <c r="F7216" s="7" t="s">
        <v>226</v>
      </c>
      <c r="G7216" s="7">
        <v>100.7277</v>
      </c>
      <c r="H7216" s="7"/>
    </row>
    <row r="7217" spans="1:8" x14ac:dyDescent="0.35">
      <c r="A7217" s="7" t="s">
        <v>370</v>
      </c>
      <c r="B7217" s="7" t="s">
        <v>26</v>
      </c>
      <c r="C7217" s="7" t="s">
        <v>27</v>
      </c>
      <c r="D7217" s="7" t="s">
        <v>28</v>
      </c>
      <c r="E7217" s="7" t="s">
        <v>29</v>
      </c>
      <c r="F7217" s="7" t="s">
        <v>227</v>
      </c>
      <c r="G7217" s="7">
        <v>100.7961</v>
      </c>
      <c r="H7217" s="7"/>
    </row>
    <row r="7218" spans="1:8" x14ac:dyDescent="0.35">
      <c r="A7218" s="7" t="s">
        <v>370</v>
      </c>
      <c r="B7218" s="7" t="s">
        <v>26</v>
      </c>
      <c r="C7218" s="7" t="s">
        <v>27</v>
      </c>
      <c r="D7218" s="7" t="s">
        <v>28</v>
      </c>
      <c r="E7218" s="7" t="s">
        <v>29</v>
      </c>
      <c r="F7218" s="7" t="s">
        <v>228</v>
      </c>
      <c r="G7218" s="7">
        <v>100.64190000000001</v>
      </c>
      <c r="H7218" s="7"/>
    </row>
    <row r="7219" spans="1:8" x14ac:dyDescent="0.35">
      <c r="A7219" s="7" t="s">
        <v>370</v>
      </c>
      <c r="B7219" s="7" t="s">
        <v>26</v>
      </c>
      <c r="C7219" s="7" t="s">
        <v>27</v>
      </c>
      <c r="D7219" s="7" t="s">
        <v>28</v>
      </c>
      <c r="E7219" s="7" t="s">
        <v>29</v>
      </c>
      <c r="F7219" s="7" t="s">
        <v>229</v>
      </c>
      <c r="G7219" s="7">
        <v>100.3934</v>
      </c>
      <c r="H7219" s="7"/>
    </row>
    <row r="7220" spans="1:8" x14ac:dyDescent="0.35">
      <c r="A7220" s="7" t="s">
        <v>370</v>
      </c>
      <c r="B7220" s="7" t="s">
        <v>26</v>
      </c>
      <c r="C7220" s="7" t="s">
        <v>27</v>
      </c>
      <c r="D7220" s="7" t="s">
        <v>28</v>
      </c>
      <c r="E7220" s="7" t="s">
        <v>29</v>
      </c>
      <c r="F7220" s="7" t="s">
        <v>230</v>
      </c>
      <c r="G7220" s="7">
        <v>100.11069999999999</v>
      </c>
      <c r="H7220" s="7"/>
    </row>
    <row r="7221" spans="1:8" x14ac:dyDescent="0.35">
      <c r="A7221" s="7" t="s">
        <v>370</v>
      </c>
      <c r="B7221" s="7" t="s">
        <v>26</v>
      </c>
      <c r="C7221" s="7" t="s">
        <v>27</v>
      </c>
      <c r="D7221" s="7" t="s">
        <v>28</v>
      </c>
      <c r="E7221" s="7" t="s">
        <v>29</v>
      </c>
      <c r="F7221" s="7" t="s">
        <v>231</v>
      </c>
      <c r="G7221" s="7">
        <v>99.825090000000003</v>
      </c>
      <c r="H7221" s="7"/>
    </row>
    <row r="7222" spans="1:8" x14ac:dyDescent="0.35">
      <c r="A7222" s="7" t="s">
        <v>370</v>
      </c>
      <c r="B7222" s="7" t="s">
        <v>26</v>
      </c>
      <c r="C7222" s="7" t="s">
        <v>27</v>
      </c>
      <c r="D7222" s="7" t="s">
        <v>28</v>
      </c>
      <c r="E7222" s="7" t="s">
        <v>29</v>
      </c>
      <c r="F7222" s="7" t="s">
        <v>232</v>
      </c>
      <c r="G7222" s="7">
        <v>99.242500000000007</v>
      </c>
      <c r="H7222" s="7"/>
    </row>
    <row r="7223" spans="1:8" x14ac:dyDescent="0.35">
      <c r="A7223" s="7" t="s">
        <v>370</v>
      </c>
      <c r="B7223" s="7" t="s">
        <v>26</v>
      </c>
      <c r="C7223" s="7" t="s">
        <v>27</v>
      </c>
      <c r="D7223" s="7" t="s">
        <v>28</v>
      </c>
      <c r="E7223" s="7" t="s">
        <v>29</v>
      </c>
      <c r="F7223" s="7" t="s">
        <v>233</v>
      </c>
      <c r="G7223" s="7">
        <v>98.237539999999996</v>
      </c>
      <c r="H7223" s="7"/>
    </row>
    <row r="7224" spans="1:8" x14ac:dyDescent="0.35">
      <c r="A7224" s="7" t="s">
        <v>370</v>
      </c>
      <c r="B7224" s="7" t="s">
        <v>26</v>
      </c>
      <c r="C7224" s="7" t="s">
        <v>27</v>
      </c>
      <c r="D7224" s="7" t="s">
        <v>28</v>
      </c>
      <c r="E7224" s="7" t="s">
        <v>29</v>
      </c>
      <c r="F7224" s="7" t="s">
        <v>234</v>
      </c>
      <c r="G7224" s="7">
        <v>97.250630000000001</v>
      </c>
      <c r="H7224" s="7"/>
    </row>
    <row r="7225" spans="1:8" x14ac:dyDescent="0.35">
      <c r="A7225" s="7" t="s">
        <v>370</v>
      </c>
      <c r="B7225" s="7" t="s">
        <v>26</v>
      </c>
      <c r="C7225" s="7" t="s">
        <v>27</v>
      </c>
      <c r="D7225" s="7" t="s">
        <v>28</v>
      </c>
      <c r="E7225" s="7" t="s">
        <v>29</v>
      </c>
      <c r="F7225" s="7" t="s">
        <v>235</v>
      </c>
      <c r="G7225" s="7">
        <v>96.715999999999994</v>
      </c>
      <c r="H7225" s="7"/>
    </row>
    <row r="7226" spans="1:8" x14ac:dyDescent="0.35">
      <c r="A7226" s="7" t="s">
        <v>370</v>
      </c>
      <c r="B7226" s="7" t="s">
        <v>26</v>
      </c>
      <c r="C7226" s="7" t="s">
        <v>27</v>
      </c>
      <c r="D7226" s="7" t="s">
        <v>28</v>
      </c>
      <c r="E7226" s="7" t="s">
        <v>29</v>
      </c>
      <c r="F7226" s="7" t="s">
        <v>236</v>
      </c>
      <c r="G7226" s="7">
        <v>96.726600000000005</v>
      </c>
      <c r="H7226" s="7"/>
    </row>
    <row r="7227" spans="1:8" x14ac:dyDescent="0.35">
      <c r="A7227" s="7" t="s">
        <v>370</v>
      </c>
      <c r="B7227" s="7" t="s">
        <v>26</v>
      </c>
      <c r="C7227" s="7" t="s">
        <v>27</v>
      </c>
      <c r="D7227" s="7" t="s">
        <v>28</v>
      </c>
      <c r="E7227" s="7" t="s">
        <v>29</v>
      </c>
      <c r="F7227" s="7" t="s">
        <v>237</v>
      </c>
      <c r="G7227" s="7">
        <v>96.965909999999994</v>
      </c>
      <c r="H7227" s="7"/>
    </row>
    <row r="7228" spans="1:8" x14ac:dyDescent="0.35">
      <c r="A7228" s="7" t="s">
        <v>370</v>
      </c>
      <c r="B7228" s="7" t="s">
        <v>26</v>
      </c>
      <c r="C7228" s="7" t="s">
        <v>27</v>
      </c>
      <c r="D7228" s="7" t="s">
        <v>28</v>
      </c>
      <c r="E7228" s="7" t="s">
        <v>29</v>
      </c>
      <c r="F7228" s="7" t="s">
        <v>238</v>
      </c>
      <c r="G7228" s="7">
        <v>97.485740000000007</v>
      </c>
      <c r="H7228" s="7"/>
    </row>
    <row r="7229" spans="1:8" x14ac:dyDescent="0.35">
      <c r="A7229" s="7" t="s">
        <v>370</v>
      </c>
      <c r="B7229" s="7" t="s">
        <v>26</v>
      </c>
      <c r="C7229" s="7" t="s">
        <v>27</v>
      </c>
      <c r="D7229" s="7" t="s">
        <v>28</v>
      </c>
      <c r="E7229" s="7" t="s">
        <v>29</v>
      </c>
      <c r="F7229" s="7" t="s">
        <v>239</v>
      </c>
      <c r="G7229" s="7">
        <v>98.211839999999995</v>
      </c>
      <c r="H7229" s="7"/>
    </row>
    <row r="7230" spans="1:8" x14ac:dyDescent="0.35">
      <c r="A7230" s="7" t="s">
        <v>370</v>
      </c>
      <c r="B7230" s="7" t="s">
        <v>26</v>
      </c>
      <c r="C7230" s="7" t="s">
        <v>27</v>
      </c>
      <c r="D7230" s="7" t="s">
        <v>28</v>
      </c>
      <c r="E7230" s="7" t="s">
        <v>29</v>
      </c>
      <c r="F7230" s="7" t="s">
        <v>240</v>
      </c>
      <c r="G7230" s="7">
        <v>99.00385</v>
      </c>
      <c r="H7230" s="7"/>
    </row>
    <row r="7231" spans="1:8" x14ac:dyDescent="0.35">
      <c r="A7231" s="7" t="s">
        <v>370</v>
      </c>
      <c r="B7231" s="7" t="s">
        <v>26</v>
      </c>
      <c r="C7231" s="7" t="s">
        <v>27</v>
      </c>
      <c r="D7231" s="7" t="s">
        <v>28</v>
      </c>
      <c r="E7231" s="7" t="s">
        <v>29</v>
      </c>
      <c r="F7231" s="7" t="s">
        <v>241</v>
      </c>
      <c r="G7231" s="7">
        <v>99.578540000000004</v>
      </c>
      <c r="H7231" s="7"/>
    </row>
    <row r="7232" spans="1:8" x14ac:dyDescent="0.35">
      <c r="A7232" s="7" t="s">
        <v>370</v>
      </c>
      <c r="B7232" s="7" t="s">
        <v>26</v>
      </c>
      <c r="C7232" s="7" t="s">
        <v>27</v>
      </c>
      <c r="D7232" s="7" t="s">
        <v>28</v>
      </c>
      <c r="E7232" s="7" t="s">
        <v>29</v>
      </c>
      <c r="F7232" s="7" t="s">
        <v>242</v>
      </c>
      <c r="G7232" s="7">
        <v>99.923770000000005</v>
      </c>
      <c r="H7232" s="7"/>
    </row>
    <row r="7233" spans="1:8" x14ac:dyDescent="0.35">
      <c r="A7233" s="7" t="s">
        <v>370</v>
      </c>
      <c r="B7233" s="7" t="s">
        <v>26</v>
      </c>
      <c r="C7233" s="7" t="s">
        <v>27</v>
      </c>
      <c r="D7233" s="7" t="s">
        <v>28</v>
      </c>
      <c r="E7233" s="7" t="s">
        <v>29</v>
      </c>
      <c r="F7233" s="7" t="s">
        <v>243</v>
      </c>
      <c r="G7233" s="7">
        <v>100.1412</v>
      </c>
      <c r="H7233" s="7"/>
    </row>
    <row r="7234" spans="1:8" x14ac:dyDescent="0.35">
      <c r="A7234" s="7" t="s">
        <v>370</v>
      </c>
      <c r="B7234" s="7" t="s">
        <v>26</v>
      </c>
      <c r="C7234" s="7" t="s">
        <v>27</v>
      </c>
      <c r="D7234" s="7" t="s">
        <v>28</v>
      </c>
      <c r="E7234" s="7" t="s">
        <v>29</v>
      </c>
      <c r="F7234" s="7" t="s">
        <v>244</v>
      </c>
      <c r="G7234" s="7">
        <v>100.4954</v>
      </c>
      <c r="H7234" s="7"/>
    </row>
    <row r="7235" spans="1:8" x14ac:dyDescent="0.35">
      <c r="A7235" s="7" t="s">
        <v>370</v>
      </c>
      <c r="B7235" s="7" t="s">
        <v>26</v>
      </c>
      <c r="C7235" s="7" t="s">
        <v>27</v>
      </c>
      <c r="D7235" s="7" t="s">
        <v>28</v>
      </c>
      <c r="E7235" s="7" t="s">
        <v>29</v>
      </c>
      <c r="F7235" s="7" t="s">
        <v>245</v>
      </c>
      <c r="G7235" s="7">
        <v>100.8019</v>
      </c>
      <c r="H7235" s="7"/>
    </row>
    <row r="7236" spans="1:8" x14ac:dyDescent="0.35">
      <c r="A7236" s="7" t="s">
        <v>370</v>
      </c>
      <c r="B7236" s="7" t="s">
        <v>26</v>
      </c>
      <c r="C7236" s="7" t="s">
        <v>27</v>
      </c>
      <c r="D7236" s="7" t="s">
        <v>28</v>
      </c>
      <c r="E7236" s="7" t="s">
        <v>29</v>
      </c>
      <c r="F7236" s="7" t="s">
        <v>246</v>
      </c>
      <c r="G7236" s="7">
        <v>100.9777</v>
      </c>
      <c r="H7236" s="7"/>
    </row>
    <row r="7237" spans="1:8" x14ac:dyDescent="0.35">
      <c r="A7237" s="7" t="s">
        <v>370</v>
      </c>
      <c r="B7237" s="7" t="s">
        <v>26</v>
      </c>
      <c r="C7237" s="7" t="s">
        <v>27</v>
      </c>
      <c r="D7237" s="7" t="s">
        <v>28</v>
      </c>
      <c r="E7237" s="7" t="s">
        <v>29</v>
      </c>
      <c r="F7237" s="7" t="s">
        <v>247</v>
      </c>
      <c r="G7237" s="7">
        <v>101.2683</v>
      </c>
      <c r="H7237" s="7"/>
    </row>
    <row r="7238" spans="1:8" x14ac:dyDescent="0.35">
      <c r="A7238" s="7" t="s">
        <v>370</v>
      </c>
      <c r="B7238" s="7" t="s">
        <v>26</v>
      </c>
      <c r="C7238" s="7" t="s">
        <v>27</v>
      </c>
      <c r="D7238" s="7" t="s">
        <v>28</v>
      </c>
      <c r="E7238" s="7" t="s">
        <v>29</v>
      </c>
      <c r="F7238" s="7" t="s">
        <v>248</v>
      </c>
      <c r="G7238" s="7">
        <v>101.49160000000001</v>
      </c>
      <c r="H7238" s="7"/>
    </row>
    <row r="7239" spans="1:8" x14ac:dyDescent="0.35">
      <c r="A7239" s="7" t="s">
        <v>370</v>
      </c>
      <c r="B7239" s="7" t="s">
        <v>26</v>
      </c>
      <c r="C7239" s="7" t="s">
        <v>27</v>
      </c>
      <c r="D7239" s="7" t="s">
        <v>28</v>
      </c>
      <c r="E7239" s="7" t="s">
        <v>29</v>
      </c>
      <c r="F7239" s="7" t="s">
        <v>249</v>
      </c>
      <c r="G7239" s="7">
        <v>101.6523</v>
      </c>
      <c r="H7239" s="7"/>
    </row>
    <row r="7240" spans="1:8" x14ac:dyDescent="0.35">
      <c r="A7240" s="7" t="s">
        <v>370</v>
      </c>
      <c r="B7240" s="7" t="s">
        <v>26</v>
      </c>
      <c r="C7240" s="7" t="s">
        <v>27</v>
      </c>
      <c r="D7240" s="7" t="s">
        <v>28</v>
      </c>
      <c r="E7240" s="7" t="s">
        <v>29</v>
      </c>
      <c r="F7240" s="7" t="s">
        <v>250</v>
      </c>
      <c r="G7240" s="7">
        <v>101.7877</v>
      </c>
      <c r="H7240" s="7"/>
    </row>
    <row r="7241" spans="1:8" x14ac:dyDescent="0.35">
      <c r="A7241" s="7" t="s">
        <v>370</v>
      </c>
      <c r="B7241" s="7" t="s">
        <v>26</v>
      </c>
      <c r="C7241" s="7" t="s">
        <v>27</v>
      </c>
      <c r="D7241" s="7" t="s">
        <v>28</v>
      </c>
      <c r="E7241" s="7" t="s">
        <v>29</v>
      </c>
      <c r="F7241" s="7" t="s">
        <v>251</v>
      </c>
      <c r="G7241" s="7">
        <v>101.9697</v>
      </c>
      <c r="H7241" s="7"/>
    </row>
    <row r="7242" spans="1:8" x14ac:dyDescent="0.35">
      <c r="A7242" s="7" t="s">
        <v>370</v>
      </c>
      <c r="B7242" s="7" t="s">
        <v>26</v>
      </c>
      <c r="C7242" s="7" t="s">
        <v>27</v>
      </c>
      <c r="D7242" s="7" t="s">
        <v>28</v>
      </c>
      <c r="E7242" s="7" t="s">
        <v>29</v>
      </c>
      <c r="F7242" s="7" t="s">
        <v>252</v>
      </c>
      <c r="G7242" s="7">
        <v>102.0998</v>
      </c>
      <c r="H7242" s="7"/>
    </row>
    <row r="7243" spans="1:8" x14ac:dyDescent="0.35">
      <c r="A7243" s="7" t="s">
        <v>370</v>
      </c>
      <c r="B7243" s="7" t="s">
        <v>26</v>
      </c>
      <c r="C7243" s="7" t="s">
        <v>27</v>
      </c>
      <c r="D7243" s="7" t="s">
        <v>28</v>
      </c>
      <c r="E7243" s="7" t="s">
        <v>29</v>
      </c>
      <c r="F7243" s="7" t="s">
        <v>253</v>
      </c>
      <c r="G7243" s="7">
        <v>102.3997</v>
      </c>
      <c r="H7243" s="7"/>
    </row>
    <row r="7244" spans="1:8" x14ac:dyDescent="0.35">
      <c r="A7244" s="7" t="s">
        <v>370</v>
      </c>
      <c r="B7244" s="7" t="s">
        <v>26</v>
      </c>
      <c r="C7244" s="7" t="s">
        <v>27</v>
      </c>
      <c r="D7244" s="7" t="s">
        <v>28</v>
      </c>
      <c r="E7244" s="7" t="s">
        <v>29</v>
      </c>
      <c r="F7244" s="7" t="s">
        <v>254</v>
      </c>
      <c r="G7244" s="7">
        <v>102.7704</v>
      </c>
      <c r="H7244" s="7"/>
    </row>
    <row r="7245" spans="1:8" x14ac:dyDescent="0.35">
      <c r="A7245" s="7" t="s">
        <v>370</v>
      </c>
      <c r="B7245" s="7" t="s">
        <v>26</v>
      </c>
      <c r="C7245" s="7" t="s">
        <v>27</v>
      </c>
      <c r="D7245" s="7" t="s">
        <v>28</v>
      </c>
      <c r="E7245" s="7" t="s">
        <v>29</v>
      </c>
      <c r="F7245" s="7" t="s">
        <v>255</v>
      </c>
      <c r="G7245" s="7">
        <v>103.07299999999999</v>
      </c>
      <c r="H7245" s="7"/>
    </row>
    <row r="7246" spans="1:8" x14ac:dyDescent="0.35">
      <c r="A7246" s="7" t="s">
        <v>370</v>
      </c>
      <c r="B7246" s="7" t="s">
        <v>26</v>
      </c>
      <c r="C7246" s="7" t="s">
        <v>27</v>
      </c>
      <c r="D7246" s="7" t="s">
        <v>28</v>
      </c>
      <c r="E7246" s="7" t="s">
        <v>29</v>
      </c>
      <c r="F7246" s="7" t="s">
        <v>256</v>
      </c>
      <c r="G7246" s="7">
        <v>103.1514</v>
      </c>
      <c r="H7246" s="7"/>
    </row>
    <row r="7247" spans="1:8" x14ac:dyDescent="0.35">
      <c r="A7247" s="7" t="s">
        <v>370</v>
      </c>
      <c r="B7247" s="7" t="s">
        <v>26</v>
      </c>
      <c r="C7247" s="7" t="s">
        <v>27</v>
      </c>
      <c r="D7247" s="7" t="s">
        <v>28</v>
      </c>
      <c r="E7247" s="7" t="s">
        <v>29</v>
      </c>
      <c r="F7247" s="7" t="s">
        <v>257</v>
      </c>
      <c r="G7247" s="7">
        <v>102.94799999999999</v>
      </c>
      <c r="H7247" s="7"/>
    </row>
    <row r="7248" spans="1:8" x14ac:dyDescent="0.35">
      <c r="A7248" s="7" t="s">
        <v>370</v>
      </c>
      <c r="B7248" s="7" t="s">
        <v>26</v>
      </c>
      <c r="C7248" s="7" t="s">
        <v>27</v>
      </c>
      <c r="D7248" s="7" t="s">
        <v>28</v>
      </c>
      <c r="E7248" s="7" t="s">
        <v>29</v>
      </c>
      <c r="F7248" s="7" t="s">
        <v>258</v>
      </c>
      <c r="G7248" s="7">
        <v>102.5635</v>
      </c>
      <c r="H7248" s="7"/>
    </row>
    <row r="7249" spans="1:8" x14ac:dyDescent="0.35">
      <c r="A7249" s="7" t="s">
        <v>370</v>
      </c>
      <c r="B7249" s="7" t="s">
        <v>26</v>
      </c>
      <c r="C7249" s="7" t="s">
        <v>27</v>
      </c>
      <c r="D7249" s="7" t="s">
        <v>28</v>
      </c>
      <c r="E7249" s="7" t="s">
        <v>29</v>
      </c>
      <c r="F7249" s="7" t="s">
        <v>259</v>
      </c>
      <c r="G7249" s="7">
        <v>102.1596</v>
      </c>
      <c r="H7249" s="7"/>
    </row>
    <row r="7250" spans="1:8" x14ac:dyDescent="0.35">
      <c r="A7250" s="7" t="s">
        <v>370</v>
      </c>
      <c r="B7250" s="7" t="s">
        <v>26</v>
      </c>
      <c r="C7250" s="7" t="s">
        <v>27</v>
      </c>
      <c r="D7250" s="7" t="s">
        <v>28</v>
      </c>
      <c r="E7250" s="7" t="s">
        <v>29</v>
      </c>
      <c r="F7250" s="7" t="s">
        <v>260</v>
      </c>
      <c r="G7250" s="7">
        <v>102.1575</v>
      </c>
      <c r="H7250" s="7"/>
    </row>
    <row r="7251" spans="1:8" x14ac:dyDescent="0.35">
      <c r="A7251" s="7" t="s">
        <v>370</v>
      </c>
      <c r="B7251" s="7" t="s">
        <v>26</v>
      </c>
      <c r="C7251" s="7" t="s">
        <v>27</v>
      </c>
      <c r="D7251" s="7" t="s">
        <v>28</v>
      </c>
      <c r="E7251" s="7" t="s">
        <v>29</v>
      </c>
      <c r="F7251" s="7" t="s">
        <v>261</v>
      </c>
      <c r="G7251" s="7">
        <v>102.27379999999999</v>
      </c>
      <c r="H7251" s="7"/>
    </row>
    <row r="7252" spans="1:8" x14ac:dyDescent="0.35">
      <c r="A7252" s="7" t="s">
        <v>370</v>
      </c>
      <c r="B7252" s="7" t="s">
        <v>26</v>
      </c>
      <c r="C7252" s="7" t="s">
        <v>27</v>
      </c>
      <c r="D7252" s="7" t="s">
        <v>28</v>
      </c>
      <c r="E7252" s="7" t="s">
        <v>29</v>
      </c>
      <c r="F7252" s="7" t="s">
        <v>262</v>
      </c>
      <c r="G7252" s="7">
        <v>102.19499999999999</v>
      </c>
      <c r="H7252" s="7"/>
    </row>
    <row r="7253" spans="1:8" x14ac:dyDescent="0.35">
      <c r="A7253" s="7" t="s">
        <v>370</v>
      </c>
      <c r="B7253" s="7" t="s">
        <v>26</v>
      </c>
      <c r="C7253" s="7" t="s">
        <v>27</v>
      </c>
      <c r="D7253" s="7" t="s">
        <v>28</v>
      </c>
      <c r="E7253" s="7" t="s">
        <v>29</v>
      </c>
      <c r="F7253" s="7" t="s">
        <v>263</v>
      </c>
      <c r="G7253" s="7">
        <v>101.9948</v>
      </c>
      <c r="H7253" s="7"/>
    </row>
    <row r="7254" spans="1:8" x14ac:dyDescent="0.35">
      <c r="A7254" s="7" t="s">
        <v>370</v>
      </c>
      <c r="B7254" s="7" t="s">
        <v>26</v>
      </c>
      <c r="C7254" s="7" t="s">
        <v>27</v>
      </c>
      <c r="D7254" s="7" t="s">
        <v>28</v>
      </c>
      <c r="E7254" s="7" t="s">
        <v>29</v>
      </c>
      <c r="F7254" s="7" t="s">
        <v>264</v>
      </c>
      <c r="G7254" s="7">
        <v>101.563</v>
      </c>
      <c r="H7254" s="7"/>
    </row>
    <row r="7255" spans="1:8" x14ac:dyDescent="0.35">
      <c r="A7255" s="7" t="s">
        <v>370</v>
      </c>
      <c r="B7255" s="7" t="s">
        <v>26</v>
      </c>
      <c r="C7255" s="7" t="s">
        <v>27</v>
      </c>
      <c r="D7255" s="7" t="s">
        <v>28</v>
      </c>
      <c r="E7255" s="7" t="s">
        <v>29</v>
      </c>
      <c r="F7255" s="7" t="s">
        <v>265</v>
      </c>
      <c r="G7255" s="7">
        <v>100.9222</v>
      </c>
      <c r="H7255" s="7"/>
    </row>
    <row r="7256" spans="1:8" x14ac:dyDescent="0.35">
      <c r="A7256" s="7" t="s">
        <v>370</v>
      </c>
      <c r="B7256" s="7" t="s">
        <v>26</v>
      </c>
      <c r="C7256" s="7" t="s">
        <v>27</v>
      </c>
      <c r="D7256" s="7" t="s">
        <v>28</v>
      </c>
      <c r="E7256" s="7" t="s">
        <v>29</v>
      </c>
      <c r="F7256" s="7" t="s">
        <v>266</v>
      </c>
      <c r="G7256" s="7">
        <v>100.21899999999999</v>
      </c>
      <c r="H7256" s="7"/>
    </row>
    <row r="7257" spans="1:8" x14ac:dyDescent="0.35">
      <c r="A7257" s="7" t="s">
        <v>370</v>
      </c>
      <c r="B7257" s="7" t="s">
        <v>26</v>
      </c>
      <c r="C7257" s="7" t="s">
        <v>27</v>
      </c>
      <c r="D7257" s="7" t="s">
        <v>28</v>
      </c>
      <c r="E7257" s="7" t="s">
        <v>29</v>
      </c>
      <c r="F7257" s="7" t="s">
        <v>267</v>
      </c>
      <c r="G7257" s="7">
        <v>99.297460000000001</v>
      </c>
      <c r="H7257" s="7"/>
    </row>
    <row r="7258" spans="1:8" x14ac:dyDescent="0.35">
      <c r="A7258" s="7" t="s">
        <v>370</v>
      </c>
      <c r="B7258" s="7" t="s">
        <v>26</v>
      </c>
      <c r="C7258" s="7" t="s">
        <v>27</v>
      </c>
      <c r="D7258" s="7" t="s">
        <v>28</v>
      </c>
      <c r="E7258" s="7" t="s">
        <v>29</v>
      </c>
      <c r="F7258" s="7" t="s">
        <v>268</v>
      </c>
      <c r="G7258" s="7">
        <v>98.541939999999997</v>
      </c>
      <c r="H7258" s="7"/>
    </row>
    <row r="7259" spans="1:8" x14ac:dyDescent="0.35">
      <c r="A7259" s="7" t="s">
        <v>370</v>
      </c>
      <c r="B7259" s="7" t="s">
        <v>26</v>
      </c>
      <c r="C7259" s="7" t="s">
        <v>27</v>
      </c>
      <c r="D7259" s="7" t="s">
        <v>28</v>
      </c>
      <c r="E7259" s="7" t="s">
        <v>29</v>
      </c>
      <c r="F7259" s="7" t="s">
        <v>269</v>
      </c>
      <c r="G7259" s="7">
        <v>98.198250000000002</v>
      </c>
      <c r="H7259" s="7"/>
    </row>
    <row r="7260" spans="1:8" x14ac:dyDescent="0.35">
      <c r="A7260" s="7" t="s">
        <v>370</v>
      </c>
      <c r="B7260" s="7" t="s">
        <v>26</v>
      </c>
      <c r="C7260" s="7" t="s">
        <v>27</v>
      </c>
      <c r="D7260" s="7" t="s">
        <v>28</v>
      </c>
      <c r="E7260" s="7" t="s">
        <v>29</v>
      </c>
      <c r="F7260" s="7" t="s">
        <v>270</v>
      </c>
      <c r="G7260" s="7">
        <v>98.17841</v>
      </c>
      <c r="H7260" s="7"/>
    </row>
    <row r="7261" spans="1:8" x14ac:dyDescent="0.35">
      <c r="A7261" s="7" t="s">
        <v>370</v>
      </c>
      <c r="B7261" s="7" t="s">
        <v>26</v>
      </c>
      <c r="C7261" s="7" t="s">
        <v>27</v>
      </c>
      <c r="D7261" s="7" t="s">
        <v>28</v>
      </c>
      <c r="E7261" s="7" t="s">
        <v>29</v>
      </c>
      <c r="F7261" s="7" t="s">
        <v>271</v>
      </c>
      <c r="G7261" s="7">
        <v>98.357919999999993</v>
      </c>
      <c r="H7261" s="7"/>
    </row>
    <row r="7262" spans="1:8" x14ac:dyDescent="0.35">
      <c r="A7262" s="7" t="s">
        <v>370</v>
      </c>
      <c r="B7262" s="7" t="s">
        <v>26</v>
      </c>
      <c r="C7262" s="7" t="s">
        <v>27</v>
      </c>
      <c r="D7262" s="7" t="s">
        <v>28</v>
      </c>
      <c r="E7262" s="7" t="s">
        <v>29</v>
      </c>
      <c r="F7262" s="7" t="s">
        <v>272</v>
      </c>
      <c r="G7262" s="7">
        <v>98.75797</v>
      </c>
      <c r="H7262" s="7"/>
    </row>
    <row r="7263" spans="1:8" x14ac:dyDescent="0.35">
      <c r="A7263" s="7" t="s">
        <v>370</v>
      </c>
      <c r="B7263" s="7" t="s">
        <v>26</v>
      </c>
      <c r="C7263" s="7" t="s">
        <v>27</v>
      </c>
      <c r="D7263" s="7" t="s">
        <v>28</v>
      </c>
      <c r="E7263" s="7" t="s">
        <v>29</v>
      </c>
      <c r="F7263" s="7" t="s">
        <v>273</v>
      </c>
      <c r="G7263" s="7">
        <v>99.249939999999995</v>
      </c>
      <c r="H7263" s="7"/>
    </row>
    <row r="7264" spans="1:8" x14ac:dyDescent="0.35">
      <c r="A7264" s="7" t="s">
        <v>370</v>
      </c>
      <c r="B7264" s="7" t="s">
        <v>26</v>
      </c>
      <c r="C7264" s="7" t="s">
        <v>27</v>
      </c>
      <c r="D7264" s="7" t="s">
        <v>28</v>
      </c>
      <c r="E7264" s="7" t="s">
        <v>29</v>
      </c>
      <c r="F7264" s="7" t="s">
        <v>274</v>
      </c>
      <c r="G7264" s="7">
        <v>99.642390000000006</v>
      </c>
      <c r="H7264" s="7"/>
    </row>
    <row r="7265" spans="1:8" x14ac:dyDescent="0.35">
      <c r="A7265" s="7" t="s">
        <v>370</v>
      </c>
      <c r="B7265" s="7" t="s">
        <v>26</v>
      </c>
      <c r="C7265" s="7" t="s">
        <v>27</v>
      </c>
      <c r="D7265" s="7" t="s">
        <v>28</v>
      </c>
      <c r="E7265" s="7" t="s">
        <v>29</v>
      </c>
      <c r="F7265" s="7" t="s">
        <v>275</v>
      </c>
      <c r="G7265" s="7">
        <v>99.907970000000006</v>
      </c>
      <c r="H7265" s="7"/>
    </row>
    <row r="7266" spans="1:8" x14ac:dyDescent="0.35">
      <c r="A7266" s="7" t="s">
        <v>370</v>
      </c>
      <c r="B7266" s="7" t="s">
        <v>26</v>
      </c>
      <c r="C7266" s="7" t="s">
        <v>27</v>
      </c>
      <c r="D7266" s="7" t="s">
        <v>28</v>
      </c>
      <c r="E7266" s="7" t="s">
        <v>29</v>
      </c>
      <c r="F7266" s="7" t="s">
        <v>276</v>
      </c>
      <c r="G7266" s="7">
        <v>99.791060000000002</v>
      </c>
      <c r="H7266" s="7"/>
    </row>
    <row r="7267" spans="1:8" x14ac:dyDescent="0.35">
      <c r="A7267" s="7" t="s">
        <v>370</v>
      </c>
      <c r="B7267" s="7" t="s">
        <v>26</v>
      </c>
      <c r="C7267" s="7" t="s">
        <v>27</v>
      </c>
      <c r="D7267" s="7" t="s">
        <v>28</v>
      </c>
      <c r="E7267" s="7" t="s">
        <v>29</v>
      </c>
      <c r="F7267" s="7" t="s">
        <v>277</v>
      </c>
      <c r="G7267" s="7">
        <v>99.214609999999993</v>
      </c>
      <c r="H7267" s="7"/>
    </row>
    <row r="7268" spans="1:8" x14ac:dyDescent="0.35">
      <c r="A7268" s="7" t="s">
        <v>370</v>
      </c>
      <c r="B7268" s="7" t="s">
        <v>26</v>
      </c>
      <c r="C7268" s="7" t="s">
        <v>27</v>
      </c>
      <c r="D7268" s="7" t="s">
        <v>28</v>
      </c>
      <c r="E7268" s="7" t="s">
        <v>29</v>
      </c>
      <c r="F7268" s="7" t="s">
        <v>278</v>
      </c>
      <c r="G7268" s="7">
        <v>98.559460000000001</v>
      </c>
      <c r="H7268" s="7"/>
    </row>
    <row r="7269" spans="1:8" x14ac:dyDescent="0.35">
      <c r="A7269" s="7" t="s">
        <v>370</v>
      </c>
      <c r="B7269" s="7" t="s">
        <v>26</v>
      </c>
      <c r="C7269" s="7" t="s">
        <v>27</v>
      </c>
      <c r="D7269" s="7" t="s">
        <v>28</v>
      </c>
      <c r="E7269" s="7" t="s">
        <v>29</v>
      </c>
      <c r="F7269" s="7" t="s">
        <v>279</v>
      </c>
      <c r="G7269" s="7">
        <v>98.197239999999994</v>
      </c>
      <c r="H7269" s="7"/>
    </row>
    <row r="7270" spans="1:8" x14ac:dyDescent="0.35">
      <c r="A7270" s="7" t="s">
        <v>370</v>
      </c>
      <c r="B7270" s="7" t="s">
        <v>26</v>
      </c>
      <c r="C7270" s="7" t="s">
        <v>27</v>
      </c>
      <c r="D7270" s="7" t="s">
        <v>28</v>
      </c>
      <c r="E7270" s="7" t="s">
        <v>29</v>
      </c>
      <c r="F7270" s="7" t="s">
        <v>280</v>
      </c>
      <c r="G7270" s="7">
        <v>98.05538</v>
      </c>
      <c r="H7270" s="7"/>
    </row>
    <row r="7271" spans="1:8" x14ac:dyDescent="0.35">
      <c r="A7271" s="7" t="s">
        <v>370</v>
      </c>
      <c r="B7271" s="7" t="s">
        <v>26</v>
      </c>
      <c r="C7271" s="7" t="s">
        <v>27</v>
      </c>
      <c r="D7271" s="7" t="s">
        <v>28</v>
      </c>
      <c r="E7271" s="7" t="s">
        <v>29</v>
      </c>
      <c r="F7271" s="7" t="s">
        <v>281</v>
      </c>
      <c r="G7271" s="7">
        <v>98.002719999999997</v>
      </c>
      <c r="H7271" s="7"/>
    </row>
    <row r="7272" spans="1:8" x14ac:dyDescent="0.35">
      <c r="A7272" s="7" t="s">
        <v>370</v>
      </c>
      <c r="B7272" s="7" t="s">
        <v>26</v>
      </c>
      <c r="C7272" s="7" t="s">
        <v>27</v>
      </c>
      <c r="D7272" s="7" t="s">
        <v>28</v>
      </c>
      <c r="E7272" s="7" t="s">
        <v>29</v>
      </c>
      <c r="F7272" s="7" t="s">
        <v>282</v>
      </c>
      <c r="G7272" s="7">
        <v>98.269490000000005</v>
      </c>
      <c r="H7272" s="7"/>
    </row>
    <row r="7273" spans="1:8" x14ac:dyDescent="0.35">
      <c r="A7273" s="7" t="s">
        <v>370</v>
      </c>
      <c r="B7273" s="7" t="s">
        <v>26</v>
      </c>
      <c r="C7273" s="7" t="s">
        <v>27</v>
      </c>
      <c r="D7273" s="7" t="s">
        <v>28</v>
      </c>
      <c r="E7273" s="7" t="s">
        <v>29</v>
      </c>
      <c r="F7273" s="7" t="s">
        <v>283</v>
      </c>
      <c r="G7273" s="7">
        <v>98.711619999999996</v>
      </c>
      <c r="H7273" s="7"/>
    </row>
    <row r="7274" spans="1:8" x14ac:dyDescent="0.35">
      <c r="A7274" s="7" t="s">
        <v>370</v>
      </c>
      <c r="B7274" s="7" t="s">
        <v>26</v>
      </c>
      <c r="C7274" s="7" t="s">
        <v>27</v>
      </c>
      <c r="D7274" s="7" t="s">
        <v>28</v>
      </c>
      <c r="E7274" s="7" t="s">
        <v>29</v>
      </c>
      <c r="F7274" s="7" t="s">
        <v>284</v>
      </c>
      <c r="G7274" s="7">
        <v>99.146810000000002</v>
      </c>
      <c r="H7274" s="7"/>
    </row>
    <row r="7275" spans="1:8" x14ac:dyDescent="0.35">
      <c r="A7275" s="7" t="s">
        <v>370</v>
      </c>
      <c r="B7275" s="7" t="s">
        <v>26</v>
      </c>
      <c r="C7275" s="7" t="s">
        <v>27</v>
      </c>
      <c r="D7275" s="7" t="s">
        <v>28</v>
      </c>
      <c r="E7275" s="7" t="s">
        <v>29</v>
      </c>
      <c r="F7275" s="7" t="s">
        <v>285</v>
      </c>
      <c r="G7275" s="7">
        <v>99.515439999999998</v>
      </c>
      <c r="H7275" s="7"/>
    </row>
    <row r="7276" spans="1:8" x14ac:dyDescent="0.35">
      <c r="A7276" s="7" t="s">
        <v>370</v>
      </c>
      <c r="B7276" s="7" t="s">
        <v>26</v>
      </c>
      <c r="C7276" s="7" t="s">
        <v>27</v>
      </c>
      <c r="D7276" s="7" t="s">
        <v>28</v>
      </c>
      <c r="E7276" s="7" t="s">
        <v>29</v>
      </c>
      <c r="F7276" s="7" t="s">
        <v>286</v>
      </c>
      <c r="G7276" s="7">
        <v>99.63091</v>
      </c>
      <c r="H7276" s="7"/>
    </row>
    <row r="7277" spans="1:8" x14ac:dyDescent="0.35">
      <c r="A7277" s="7" t="s">
        <v>370</v>
      </c>
      <c r="B7277" s="7" t="s">
        <v>26</v>
      </c>
      <c r="C7277" s="7" t="s">
        <v>27</v>
      </c>
      <c r="D7277" s="7" t="s">
        <v>28</v>
      </c>
      <c r="E7277" s="7" t="s">
        <v>29</v>
      </c>
      <c r="F7277" s="7" t="s">
        <v>287</v>
      </c>
      <c r="G7277" s="7">
        <v>99.483509999999995</v>
      </c>
      <c r="H7277" s="7"/>
    </row>
    <row r="7278" spans="1:8" x14ac:dyDescent="0.35">
      <c r="A7278" s="7" t="s">
        <v>370</v>
      </c>
      <c r="B7278" s="7" t="s">
        <v>26</v>
      </c>
      <c r="C7278" s="7" t="s">
        <v>27</v>
      </c>
      <c r="D7278" s="7" t="s">
        <v>28</v>
      </c>
      <c r="E7278" s="7" t="s">
        <v>29</v>
      </c>
      <c r="F7278" s="7" t="s">
        <v>288</v>
      </c>
      <c r="G7278" s="7">
        <v>99.380070000000003</v>
      </c>
      <c r="H7278" s="7"/>
    </row>
    <row r="7279" spans="1:8" x14ac:dyDescent="0.35">
      <c r="A7279" s="7" t="s">
        <v>370</v>
      </c>
      <c r="B7279" s="7" t="s">
        <v>26</v>
      </c>
      <c r="C7279" s="7" t="s">
        <v>27</v>
      </c>
      <c r="D7279" s="7" t="s">
        <v>28</v>
      </c>
      <c r="E7279" s="7" t="s">
        <v>29</v>
      </c>
      <c r="F7279" s="7" t="s">
        <v>289</v>
      </c>
      <c r="G7279" s="7">
        <v>99.465199999999996</v>
      </c>
      <c r="H7279" s="7"/>
    </row>
    <row r="7280" spans="1:8" x14ac:dyDescent="0.35">
      <c r="A7280" s="7" t="s">
        <v>370</v>
      </c>
      <c r="B7280" s="7" t="s">
        <v>26</v>
      </c>
      <c r="C7280" s="7" t="s">
        <v>27</v>
      </c>
      <c r="D7280" s="7" t="s">
        <v>28</v>
      </c>
      <c r="E7280" s="7" t="s">
        <v>29</v>
      </c>
      <c r="F7280" s="7" t="s">
        <v>290</v>
      </c>
      <c r="G7280" s="7">
        <v>99.453739999999996</v>
      </c>
      <c r="H7280" s="7"/>
    </row>
    <row r="7281" spans="1:8" x14ac:dyDescent="0.35">
      <c r="A7281" s="7" t="s">
        <v>370</v>
      </c>
      <c r="B7281" s="7" t="s">
        <v>26</v>
      </c>
      <c r="C7281" s="7" t="s">
        <v>27</v>
      </c>
      <c r="D7281" s="7" t="s">
        <v>28</v>
      </c>
      <c r="E7281" s="7" t="s">
        <v>29</v>
      </c>
      <c r="F7281" s="7" t="s">
        <v>291</v>
      </c>
      <c r="G7281" s="7">
        <v>99.449929999999995</v>
      </c>
      <c r="H7281" s="7"/>
    </row>
    <row r="7282" spans="1:8" x14ac:dyDescent="0.35">
      <c r="A7282" s="7" t="s">
        <v>370</v>
      </c>
      <c r="B7282" s="7" t="s">
        <v>26</v>
      </c>
      <c r="C7282" s="7" t="s">
        <v>27</v>
      </c>
      <c r="D7282" s="7" t="s">
        <v>28</v>
      </c>
      <c r="E7282" s="7" t="s">
        <v>29</v>
      </c>
      <c r="F7282" s="7" t="s">
        <v>292</v>
      </c>
      <c r="G7282" s="7">
        <v>99.495220000000003</v>
      </c>
      <c r="H7282" s="7"/>
    </row>
    <row r="7283" spans="1:8" x14ac:dyDescent="0.35">
      <c r="A7283" s="7" t="s">
        <v>370</v>
      </c>
      <c r="B7283" s="7" t="s">
        <v>26</v>
      </c>
      <c r="C7283" s="7" t="s">
        <v>27</v>
      </c>
      <c r="D7283" s="7" t="s">
        <v>28</v>
      </c>
      <c r="E7283" s="7" t="s">
        <v>29</v>
      </c>
      <c r="F7283" s="7" t="s">
        <v>293</v>
      </c>
      <c r="G7283" s="7">
        <v>99.571960000000004</v>
      </c>
      <c r="H7283" s="7"/>
    </row>
    <row r="7284" spans="1:8" x14ac:dyDescent="0.35">
      <c r="A7284" s="7" t="s">
        <v>370</v>
      </c>
      <c r="B7284" s="7" t="s">
        <v>26</v>
      </c>
      <c r="C7284" s="7" t="s">
        <v>27</v>
      </c>
      <c r="D7284" s="7" t="s">
        <v>28</v>
      </c>
      <c r="E7284" s="7" t="s">
        <v>29</v>
      </c>
      <c r="F7284" s="7" t="s">
        <v>294</v>
      </c>
      <c r="G7284" s="7">
        <v>99.743679999999998</v>
      </c>
      <c r="H7284" s="7"/>
    </row>
    <row r="7285" spans="1:8" x14ac:dyDescent="0.35">
      <c r="A7285" s="7" t="s">
        <v>370</v>
      </c>
      <c r="B7285" s="7" t="s">
        <v>26</v>
      </c>
      <c r="C7285" s="7" t="s">
        <v>27</v>
      </c>
      <c r="D7285" s="7" t="s">
        <v>28</v>
      </c>
      <c r="E7285" s="7" t="s">
        <v>29</v>
      </c>
      <c r="F7285" s="7" t="s">
        <v>295</v>
      </c>
      <c r="G7285" s="7">
        <v>99.916030000000006</v>
      </c>
      <c r="H7285" s="7"/>
    </row>
    <row r="7286" spans="1:8" x14ac:dyDescent="0.35">
      <c r="A7286" s="7" t="s">
        <v>370</v>
      </c>
      <c r="B7286" s="7" t="s">
        <v>26</v>
      </c>
      <c r="C7286" s="7" t="s">
        <v>27</v>
      </c>
      <c r="D7286" s="7" t="s">
        <v>28</v>
      </c>
      <c r="E7286" s="7" t="s">
        <v>29</v>
      </c>
      <c r="F7286" s="7" t="s">
        <v>296</v>
      </c>
      <c r="G7286" s="7">
        <v>99.943309999999997</v>
      </c>
      <c r="H7286" s="7"/>
    </row>
    <row r="7287" spans="1:8" x14ac:dyDescent="0.35">
      <c r="A7287" s="7" t="s">
        <v>370</v>
      </c>
      <c r="B7287" s="7" t="s">
        <v>26</v>
      </c>
      <c r="C7287" s="7" t="s">
        <v>27</v>
      </c>
      <c r="D7287" s="7" t="s">
        <v>28</v>
      </c>
      <c r="E7287" s="7" t="s">
        <v>29</v>
      </c>
      <c r="F7287" s="7" t="s">
        <v>297</v>
      </c>
      <c r="G7287" s="7">
        <v>99.711280000000002</v>
      </c>
      <c r="H7287" s="7"/>
    </row>
    <row r="7288" spans="1:8" x14ac:dyDescent="0.35">
      <c r="A7288" s="7" t="s">
        <v>370</v>
      </c>
      <c r="B7288" s="7" t="s">
        <v>26</v>
      </c>
      <c r="C7288" s="7" t="s">
        <v>27</v>
      </c>
      <c r="D7288" s="7" t="s">
        <v>28</v>
      </c>
      <c r="E7288" s="7" t="s">
        <v>29</v>
      </c>
      <c r="F7288" s="7" t="s">
        <v>298</v>
      </c>
      <c r="G7288" s="7">
        <v>99.504050000000007</v>
      </c>
      <c r="H7288" s="7"/>
    </row>
    <row r="7289" spans="1:8" x14ac:dyDescent="0.35">
      <c r="A7289" s="7" t="s">
        <v>370</v>
      </c>
      <c r="B7289" s="7" t="s">
        <v>26</v>
      </c>
      <c r="C7289" s="7" t="s">
        <v>27</v>
      </c>
      <c r="D7289" s="7" t="s">
        <v>28</v>
      </c>
      <c r="E7289" s="7" t="s">
        <v>29</v>
      </c>
      <c r="F7289" s="7" t="s">
        <v>299</v>
      </c>
      <c r="G7289" s="7">
        <v>99.447699999999998</v>
      </c>
      <c r="H7289" s="7"/>
    </row>
    <row r="7290" spans="1:8" x14ac:dyDescent="0.35">
      <c r="A7290" s="7" t="s">
        <v>370</v>
      </c>
      <c r="B7290" s="7" t="s">
        <v>26</v>
      </c>
      <c r="C7290" s="7" t="s">
        <v>27</v>
      </c>
      <c r="D7290" s="7" t="s">
        <v>28</v>
      </c>
      <c r="E7290" s="7" t="s">
        <v>29</v>
      </c>
      <c r="F7290" s="7" t="s">
        <v>300</v>
      </c>
      <c r="G7290" s="7">
        <v>99.763800000000003</v>
      </c>
      <c r="H7290" s="7"/>
    </row>
    <row r="7291" spans="1:8" x14ac:dyDescent="0.35">
      <c r="A7291" s="7" t="s">
        <v>370</v>
      </c>
      <c r="B7291" s="7" t="s">
        <v>26</v>
      </c>
      <c r="C7291" s="7" t="s">
        <v>27</v>
      </c>
      <c r="D7291" s="7" t="s">
        <v>28</v>
      </c>
      <c r="E7291" s="7" t="s">
        <v>29</v>
      </c>
      <c r="F7291" s="7" t="s">
        <v>301</v>
      </c>
      <c r="G7291" s="7">
        <v>100.03740000000001</v>
      </c>
      <c r="H7291" s="7"/>
    </row>
    <row r="7292" spans="1:8" x14ac:dyDescent="0.35">
      <c r="A7292" s="7" t="s">
        <v>370</v>
      </c>
      <c r="B7292" s="7" t="s">
        <v>26</v>
      </c>
      <c r="C7292" s="7" t="s">
        <v>27</v>
      </c>
      <c r="D7292" s="7" t="s">
        <v>28</v>
      </c>
      <c r="E7292" s="7" t="s">
        <v>29</v>
      </c>
      <c r="F7292" s="7" t="s">
        <v>302</v>
      </c>
      <c r="G7292" s="7">
        <v>99.967439999999996</v>
      </c>
      <c r="H7292" s="7"/>
    </row>
    <row r="7293" spans="1:8" x14ac:dyDescent="0.35">
      <c r="A7293" s="7" t="s">
        <v>370</v>
      </c>
      <c r="B7293" s="7" t="s">
        <v>26</v>
      </c>
      <c r="C7293" s="7" t="s">
        <v>27</v>
      </c>
      <c r="D7293" s="7" t="s">
        <v>28</v>
      </c>
      <c r="E7293" s="7" t="s">
        <v>29</v>
      </c>
      <c r="F7293" s="7" t="s">
        <v>303</v>
      </c>
      <c r="G7293" s="7">
        <v>99.395110000000003</v>
      </c>
      <c r="H7293" s="7"/>
    </row>
    <row r="7294" spans="1:8" x14ac:dyDescent="0.35">
      <c r="A7294" s="7" t="s">
        <v>370</v>
      </c>
      <c r="B7294" s="7" t="s">
        <v>26</v>
      </c>
      <c r="C7294" s="7" t="s">
        <v>27</v>
      </c>
      <c r="D7294" s="7" t="s">
        <v>28</v>
      </c>
      <c r="E7294" s="7" t="s">
        <v>29</v>
      </c>
      <c r="F7294" s="7" t="s">
        <v>304</v>
      </c>
      <c r="G7294" s="7">
        <v>98.860399999999998</v>
      </c>
      <c r="H7294" s="7"/>
    </row>
    <row r="7295" spans="1:8" x14ac:dyDescent="0.35">
      <c r="A7295" s="7" t="s">
        <v>370</v>
      </c>
      <c r="B7295" s="7" t="s">
        <v>26</v>
      </c>
      <c r="C7295" s="7" t="s">
        <v>27</v>
      </c>
      <c r="D7295" s="7" t="s">
        <v>28</v>
      </c>
      <c r="E7295" s="7" t="s">
        <v>29</v>
      </c>
      <c r="F7295" s="7" t="s">
        <v>305</v>
      </c>
      <c r="G7295" s="7">
        <v>98.759929999999997</v>
      </c>
      <c r="H7295" s="7"/>
    </row>
    <row r="7296" spans="1:8" x14ac:dyDescent="0.35">
      <c r="A7296" s="7" t="s">
        <v>370</v>
      </c>
      <c r="B7296" s="7" t="s">
        <v>26</v>
      </c>
      <c r="C7296" s="7" t="s">
        <v>27</v>
      </c>
      <c r="D7296" s="7" t="s">
        <v>28</v>
      </c>
      <c r="E7296" s="7" t="s">
        <v>29</v>
      </c>
      <c r="F7296" s="7" t="s">
        <v>306</v>
      </c>
      <c r="G7296" s="7">
        <v>98.954040000000006</v>
      </c>
      <c r="H7296" s="7"/>
    </row>
    <row r="7297" spans="1:8" x14ac:dyDescent="0.35">
      <c r="A7297" s="7" t="s">
        <v>370</v>
      </c>
      <c r="B7297" s="7" t="s">
        <v>26</v>
      </c>
      <c r="C7297" s="7" t="s">
        <v>27</v>
      </c>
      <c r="D7297" s="7" t="s">
        <v>28</v>
      </c>
      <c r="E7297" s="7" t="s">
        <v>29</v>
      </c>
      <c r="F7297" s="7" t="s">
        <v>307</v>
      </c>
      <c r="G7297" s="7">
        <v>99.261409999999998</v>
      </c>
      <c r="H7297" s="7"/>
    </row>
    <row r="7298" spans="1:8" x14ac:dyDescent="0.35">
      <c r="A7298" s="7" t="s">
        <v>370</v>
      </c>
      <c r="B7298" s="7" t="s">
        <v>26</v>
      </c>
      <c r="C7298" s="7" t="s">
        <v>27</v>
      </c>
      <c r="D7298" s="7" t="s">
        <v>28</v>
      </c>
      <c r="E7298" s="7" t="s">
        <v>29</v>
      </c>
      <c r="F7298" s="7" t="s">
        <v>308</v>
      </c>
      <c r="G7298" s="7">
        <v>99.566540000000003</v>
      </c>
      <c r="H7298" s="7"/>
    </row>
    <row r="7299" spans="1:8" x14ac:dyDescent="0.35">
      <c r="A7299" s="7" t="s">
        <v>370</v>
      </c>
      <c r="B7299" s="7" t="s">
        <v>26</v>
      </c>
      <c r="C7299" s="7" t="s">
        <v>27</v>
      </c>
      <c r="D7299" s="7" t="s">
        <v>28</v>
      </c>
      <c r="E7299" s="7" t="s">
        <v>29</v>
      </c>
      <c r="F7299" s="7" t="s">
        <v>309</v>
      </c>
      <c r="G7299" s="7">
        <v>99.906559999999999</v>
      </c>
      <c r="H7299" s="7"/>
    </row>
    <row r="7300" spans="1:8" x14ac:dyDescent="0.35">
      <c r="A7300" s="7" t="s">
        <v>370</v>
      </c>
      <c r="B7300" s="7" t="s">
        <v>26</v>
      </c>
      <c r="C7300" s="7" t="s">
        <v>27</v>
      </c>
      <c r="D7300" s="7" t="s">
        <v>28</v>
      </c>
      <c r="E7300" s="7" t="s">
        <v>29</v>
      </c>
      <c r="F7300" s="7" t="s">
        <v>310</v>
      </c>
      <c r="G7300" s="7">
        <v>100.2589</v>
      </c>
      <c r="H7300" s="7"/>
    </row>
    <row r="7301" spans="1:8" x14ac:dyDescent="0.35">
      <c r="A7301" s="7" t="s">
        <v>370</v>
      </c>
      <c r="B7301" s="7" t="s">
        <v>26</v>
      </c>
      <c r="C7301" s="7" t="s">
        <v>27</v>
      </c>
      <c r="D7301" s="7" t="s">
        <v>28</v>
      </c>
      <c r="E7301" s="7" t="s">
        <v>29</v>
      </c>
      <c r="F7301" s="7" t="s">
        <v>311</v>
      </c>
      <c r="G7301" s="7">
        <v>100.5954</v>
      </c>
      <c r="H7301" s="7"/>
    </row>
    <row r="7302" spans="1:8" x14ac:dyDescent="0.35">
      <c r="A7302" s="7" t="s">
        <v>370</v>
      </c>
      <c r="B7302" s="7" t="s">
        <v>26</v>
      </c>
      <c r="C7302" s="7" t="s">
        <v>27</v>
      </c>
      <c r="D7302" s="7" t="s">
        <v>28</v>
      </c>
      <c r="E7302" s="7" t="s">
        <v>29</v>
      </c>
      <c r="F7302" s="7" t="s">
        <v>312</v>
      </c>
      <c r="G7302" s="7">
        <v>100.78530000000001</v>
      </c>
      <c r="H7302" s="7"/>
    </row>
    <row r="7303" spans="1:8" x14ac:dyDescent="0.35">
      <c r="A7303" s="7" t="s">
        <v>370</v>
      </c>
      <c r="B7303" s="7" t="s">
        <v>26</v>
      </c>
      <c r="C7303" s="7" t="s">
        <v>27</v>
      </c>
      <c r="D7303" s="7" t="s">
        <v>28</v>
      </c>
      <c r="E7303" s="7" t="s">
        <v>29</v>
      </c>
      <c r="F7303" s="7" t="s">
        <v>313</v>
      </c>
      <c r="G7303" s="7">
        <v>100.6298</v>
      </c>
      <c r="H7303" s="7"/>
    </row>
    <row r="7304" spans="1:8" x14ac:dyDescent="0.35">
      <c r="A7304" s="7" t="s">
        <v>370</v>
      </c>
      <c r="B7304" s="7" t="s">
        <v>26</v>
      </c>
      <c r="C7304" s="7" t="s">
        <v>27</v>
      </c>
      <c r="D7304" s="7" t="s">
        <v>28</v>
      </c>
      <c r="E7304" s="7" t="s">
        <v>29</v>
      </c>
      <c r="F7304" s="7" t="s">
        <v>314</v>
      </c>
      <c r="G7304" s="7">
        <v>100.3212</v>
      </c>
      <c r="H7304" s="7"/>
    </row>
    <row r="7305" spans="1:8" x14ac:dyDescent="0.35">
      <c r="A7305" s="7" t="s">
        <v>370</v>
      </c>
      <c r="B7305" s="7" t="s">
        <v>26</v>
      </c>
      <c r="C7305" s="7" t="s">
        <v>27</v>
      </c>
      <c r="D7305" s="7" t="s">
        <v>28</v>
      </c>
      <c r="E7305" s="7" t="s">
        <v>29</v>
      </c>
      <c r="F7305" s="7" t="s">
        <v>315</v>
      </c>
      <c r="G7305" s="7">
        <v>100.0187</v>
      </c>
      <c r="H7305" s="7"/>
    </row>
    <row r="7306" spans="1:8" x14ac:dyDescent="0.35">
      <c r="A7306" s="7" t="s">
        <v>370</v>
      </c>
      <c r="B7306" s="7" t="s">
        <v>26</v>
      </c>
      <c r="C7306" s="7" t="s">
        <v>27</v>
      </c>
      <c r="D7306" s="7" t="s">
        <v>28</v>
      </c>
      <c r="E7306" s="7" t="s">
        <v>29</v>
      </c>
      <c r="F7306" s="7" t="s">
        <v>316</v>
      </c>
      <c r="G7306" s="7">
        <v>99.623909999999995</v>
      </c>
      <c r="H7306" s="7"/>
    </row>
    <row r="7307" spans="1:8" x14ac:dyDescent="0.35">
      <c r="A7307" s="7" t="s">
        <v>370</v>
      </c>
      <c r="B7307" s="7" t="s">
        <v>26</v>
      </c>
      <c r="C7307" s="7" t="s">
        <v>27</v>
      </c>
      <c r="D7307" s="7" t="s">
        <v>28</v>
      </c>
      <c r="E7307" s="7" t="s">
        <v>29</v>
      </c>
      <c r="F7307" s="7" t="s">
        <v>317</v>
      </c>
      <c r="G7307" s="7">
        <v>99.338200000000001</v>
      </c>
      <c r="H7307" s="7"/>
    </row>
    <row r="7308" spans="1:8" x14ac:dyDescent="0.35">
      <c r="A7308" s="7" t="s">
        <v>370</v>
      </c>
      <c r="B7308" s="7" t="s">
        <v>26</v>
      </c>
      <c r="C7308" s="7" t="s">
        <v>27</v>
      </c>
      <c r="D7308" s="7" t="s">
        <v>28</v>
      </c>
      <c r="E7308" s="7" t="s">
        <v>29</v>
      </c>
      <c r="F7308" s="7" t="s">
        <v>318</v>
      </c>
      <c r="G7308" s="7">
        <v>99.269040000000004</v>
      </c>
      <c r="H7308" s="7"/>
    </row>
    <row r="7309" spans="1:8" x14ac:dyDescent="0.35">
      <c r="A7309" s="7" t="s">
        <v>370</v>
      </c>
      <c r="B7309" s="7" t="s">
        <v>26</v>
      </c>
      <c r="C7309" s="7" t="s">
        <v>27</v>
      </c>
      <c r="D7309" s="7" t="s">
        <v>28</v>
      </c>
      <c r="E7309" s="7" t="s">
        <v>29</v>
      </c>
      <c r="F7309" s="7" t="s">
        <v>319</v>
      </c>
      <c r="G7309" s="7">
        <v>99.321439999999996</v>
      </c>
      <c r="H7309" s="7"/>
    </row>
    <row r="7310" spans="1:8" x14ac:dyDescent="0.35">
      <c r="A7310" s="7" t="s">
        <v>370</v>
      </c>
      <c r="B7310" s="7" t="s">
        <v>26</v>
      </c>
      <c r="C7310" s="7" t="s">
        <v>27</v>
      </c>
      <c r="D7310" s="7" t="s">
        <v>28</v>
      </c>
      <c r="E7310" s="7" t="s">
        <v>29</v>
      </c>
      <c r="F7310" s="7" t="s">
        <v>320</v>
      </c>
      <c r="G7310" s="7">
        <v>99.568659999999994</v>
      </c>
      <c r="H7310" s="7"/>
    </row>
    <row r="7311" spans="1:8" x14ac:dyDescent="0.35">
      <c r="A7311" s="7" t="s">
        <v>370</v>
      </c>
      <c r="B7311" s="7" t="s">
        <v>26</v>
      </c>
      <c r="C7311" s="7" t="s">
        <v>27</v>
      </c>
      <c r="D7311" s="7" t="s">
        <v>28</v>
      </c>
      <c r="E7311" s="7" t="s">
        <v>29</v>
      </c>
      <c r="F7311" s="7" t="s">
        <v>321</v>
      </c>
      <c r="G7311" s="7">
        <v>99.735919999999993</v>
      </c>
      <c r="H7311" s="7"/>
    </row>
    <row r="7312" spans="1:8" x14ac:dyDescent="0.35">
      <c r="A7312" s="7" t="s">
        <v>370</v>
      </c>
      <c r="B7312" s="7" t="s">
        <v>26</v>
      </c>
      <c r="C7312" s="7" t="s">
        <v>27</v>
      </c>
      <c r="D7312" s="7" t="s">
        <v>28</v>
      </c>
      <c r="E7312" s="7" t="s">
        <v>29</v>
      </c>
      <c r="F7312" s="7" t="s">
        <v>322</v>
      </c>
      <c r="G7312" s="7">
        <v>100.0432</v>
      </c>
      <c r="H7312" s="7"/>
    </row>
    <row r="7313" spans="1:8" x14ac:dyDescent="0.35">
      <c r="A7313" s="7" t="s">
        <v>370</v>
      </c>
      <c r="B7313" s="7" t="s">
        <v>26</v>
      </c>
      <c r="C7313" s="7" t="s">
        <v>27</v>
      </c>
      <c r="D7313" s="7" t="s">
        <v>28</v>
      </c>
      <c r="E7313" s="7" t="s">
        <v>29</v>
      </c>
      <c r="F7313" s="7" t="s">
        <v>323</v>
      </c>
      <c r="G7313" s="7">
        <v>100.34229999999999</v>
      </c>
      <c r="H7313" s="7"/>
    </row>
    <row r="7314" spans="1:8" x14ac:dyDescent="0.35">
      <c r="A7314" s="7" t="s">
        <v>370</v>
      </c>
      <c r="B7314" s="7" t="s">
        <v>26</v>
      </c>
      <c r="C7314" s="7" t="s">
        <v>27</v>
      </c>
      <c r="D7314" s="7" t="s">
        <v>28</v>
      </c>
      <c r="E7314" s="7" t="s">
        <v>29</v>
      </c>
      <c r="F7314" s="7" t="s">
        <v>324</v>
      </c>
      <c r="G7314" s="7">
        <v>100.6674</v>
      </c>
      <c r="H7314" s="7"/>
    </row>
    <row r="7315" spans="1:8" x14ac:dyDescent="0.35">
      <c r="A7315" s="7" t="s">
        <v>370</v>
      </c>
      <c r="B7315" s="7" t="s">
        <v>26</v>
      </c>
      <c r="C7315" s="7" t="s">
        <v>27</v>
      </c>
      <c r="D7315" s="7" t="s">
        <v>28</v>
      </c>
      <c r="E7315" s="7" t="s">
        <v>29</v>
      </c>
      <c r="F7315" s="7" t="s">
        <v>325</v>
      </c>
      <c r="G7315" s="7">
        <v>101.07550000000001</v>
      </c>
      <c r="H7315" s="7"/>
    </row>
    <row r="7316" spans="1:8" x14ac:dyDescent="0.35">
      <c r="A7316" s="7" t="s">
        <v>370</v>
      </c>
      <c r="B7316" s="7" t="s">
        <v>26</v>
      </c>
      <c r="C7316" s="7" t="s">
        <v>27</v>
      </c>
      <c r="D7316" s="7" t="s">
        <v>28</v>
      </c>
      <c r="E7316" s="7" t="s">
        <v>29</v>
      </c>
      <c r="F7316" s="7" t="s">
        <v>326</v>
      </c>
      <c r="G7316" s="7">
        <v>101.4136</v>
      </c>
      <c r="H7316" s="7"/>
    </row>
    <row r="7317" spans="1:8" x14ac:dyDescent="0.35">
      <c r="A7317" s="7" t="s">
        <v>370</v>
      </c>
      <c r="B7317" s="7" t="s">
        <v>26</v>
      </c>
      <c r="C7317" s="7" t="s">
        <v>27</v>
      </c>
      <c r="D7317" s="7" t="s">
        <v>28</v>
      </c>
      <c r="E7317" s="7" t="s">
        <v>29</v>
      </c>
      <c r="F7317" s="7" t="s">
        <v>327</v>
      </c>
      <c r="G7317" s="7">
        <v>101.76900000000001</v>
      </c>
      <c r="H7317" s="7"/>
    </row>
    <row r="7318" spans="1:8" x14ac:dyDescent="0.35">
      <c r="A7318" s="7" t="s">
        <v>370</v>
      </c>
      <c r="B7318" s="7" t="s">
        <v>26</v>
      </c>
      <c r="C7318" s="7" t="s">
        <v>27</v>
      </c>
      <c r="D7318" s="7" t="s">
        <v>28</v>
      </c>
      <c r="E7318" s="7" t="s">
        <v>29</v>
      </c>
      <c r="F7318" s="7" t="s">
        <v>328</v>
      </c>
      <c r="G7318" s="7">
        <v>102.0617</v>
      </c>
      <c r="H7318" s="7"/>
    </row>
    <row r="7319" spans="1:8" x14ac:dyDescent="0.35">
      <c r="A7319" s="7" t="s">
        <v>370</v>
      </c>
      <c r="B7319" s="7" t="s">
        <v>26</v>
      </c>
      <c r="C7319" s="7" t="s">
        <v>27</v>
      </c>
      <c r="D7319" s="7" t="s">
        <v>28</v>
      </c>
      <c r="E7319" s="7" t="s">
        <v>29</v>
      </c>
      <c r="F7319" s="7" t="s">
        <v>329</v>
      </c>
      <c r="G7319" s="7">
        <v>102.3381</v>
      </c>
      <c r="H7319" s="7"/>
    </row>
    <row r="7320" spans="1:8" x14ac:dyDescent="0.35">
      <c r="A7320" s="7" t="s">
        <v>370</v>
      </c>
      <c r="B7320" s="7" t="s">
        <v>26</v>
      </c>
      <c r="C7320" s="7" t="s">
        <v>27</v>
      </c>
      <c r="D7320" s="7" t="s">
        <v>28</v>
      </c>
      <c r="E7320" s="7" t="s">
        <v>29</v>
      </c>
      <c r="F7320" s="7" t="s">
        <v>330</v>
      </c>
      <c r="G7320" s="7">
        <v>102.5712</v>
      </c>
      <c r="H7320" s="7"/>
    </row>
    <row r="7321" spans="1:8" x14ac:dyDescent="0.35">
      <c r="A7321" s="7" t="s">
        <v>370</v>
      </c>
      <c r="B7321" s="7" t="s">
        <v>26</v>
      </c>
      <c r="C7321" s="7" t="s">
        <v>27</v>
      </c>
      <c r="D7321" s="7" t="s">
        <v>28</v>
      </c>
      <c r="E7321" s="7" t="s">
        <v>29</v>
      </c>
      <c r="F7321" s="7" t="s">
        <v>331</v>
      </c>
      <c r="G7321" s="7">
        <v>102.8013</v>
      </c>
      <c r="H7321" s="7"/>
    </row>
    <row r="7322" spans="1:8" x14ac:dyDescent="0.35">
      <c r="A7322" s="7" t="s">
        <v>370</v>
      </c>
      <c r="B7322" s="7" t="s">
        <v>26</v>
      </c>
      <c r="C7322" s="7" t="s">
        <v>27</v>
      </c>
      <c r="D7322" s="7" t="s">
        <v>28</v>
      </c>
      <c r="E7322" s="7" t="s">
        <v>29</v>
      </c>
      <c r="F7322" s="7" t="s">
        <v>332</v>
      </c>
      <c r="G7322" s="7">
        <v>102.9037</v>
      </c>
      <c r="H7322" s="7"/>
    </row>
    <row r="7323" spans="1:8" x14ac:dyDescent="0.35">
      <c r="A7323" s="7" t="s">
        <v>370</v>
      </c>
      <c r="B7323" s="7" t="s">
        <v>26</v>
      </c>
      <c r="C7323" s="7" t="s">
        <v>27</v>
      </c>
      <c r="D7323" s="7" t="s">
        <v>28</v>
      </c>
      <c r="E7323" s="7" t="s">
        <v>29</v>
      </c>
      <c r="F7323" s="7" t="s">
        <v>333</v>
      </c>
      <c r="G7323" s="7">
        <v>102.9375</v>
      </c>
      <c r="H7323" s="7"/>
    </row>
    <row r="7324" spans="1:8" x14ac:dyDescent="0.35">
      <c r="A7324" s="7" t="s">
        <v>370</v>
      </c>
      <c r="B7324" s="7" t="s">
        <v>26</v>
      </c>
      <c r="C7324" s="7" t="s">
        <v>27</v>
      </c>
      <c r="D7324" s="7" t="s">
        <v>28</v>
      </c>
      <c r="E7324" s="7" t="s">
        <v>29</v>
      </c>
      <c r="F7324" s="7" t="s">
        <v>334</v>
      </c>
      <c r="G7324" s="7">
        <v>103.0903</v>
      </c>
      <c r="H7324" s="7"/>
    </row>
    <row r="7325" spans="1:8" x14ac:dyDescent="0.35">
      <c r="A7325" s="7" t="s">
        <v>370</v>
      </c>
      <c r="B7325" s="7" t="s">
        <v>26</v>
      </c>
      <c r="C7325" s="7" t="s">
        <v>27</v>
      </c>
      <c r="D7325" s="7" t="s">
        <v>28</v>
      </c>
      <c r="E7325" s="7" t="s">
        <v>29</v>
      </c>
      <c r="F7325" s="7" t="s">
        <v>335</v>
      </c>
      <c r="G7325" s="7">
        <v>103.2495</v>
      </c>
      <c r="H7325" s="7"/>
    </row>
    <row r="7326" spans="1:8" x14ac:dyDescent="0.35">
      <c r="A7326" s="7" t="s">
        <v>370</v>
      </c>
      <c r="B7326" s="7" t="s">
        <v>26</v>
      </c>
      <c r="C7326" s="7" t="s">
        <v>27</v>
      </c>
      <c r="D7326" s="7" t="s">
        <v>28</v>
      </c>
      <c r="E7326" s="7" t="s">
        <v>29</v>
      </c>
      <c r="F7326" s="7" t="s">
        <v>336</v>
      </c>
      <c r="G7326" s="7">
        <v>103.38330000000001</v>
      </c>
      <c r="H7326" s="7"/>
    </row>
    <row r="7327" spans="1:8" x14ac:dyDescent="0.35">
      <c r="A7327" s="7" t="s">
        <v>370</v>
      </c>
      <c r="B7327" s="7" t="s">
        <v>26</v>
      </c>
      <c r="C7327" s="7" t="s">
        <v>27</v>
      </c>
      <c r="D7327" s="7" t="s">
        <v>28</v>
      </c>
      <c r="E7327" s="7" t="s">
        <v>29</v>
      </c>
      <c r="F7327" s="7" t="s">
        <v>337</v>
      </c>
      <c r="G7327" s="7">
        <v>103.47450000000001</v>
      </c>
      <c r="H7327" s="7"/>
    </row>
    <row r="7328" spans="1:8" x14ac:dyDescent="0.35">
      <c r="A7328" s="7" t="s">
        <v>370</v>
      </c>
      <c r="B7328" s="7" t="s">
        <v>26</v>
      </c>
      <c r="C7328" s="7" t="s">
        <v>27</v>
      </c>
      <c r="D7328" s="7" t="s">
        <v>28</v>
      </c>
      <c r="E7328" s="7" t="s">
        <v>29</v>
      </c>
      <c r="F7328" s="7" t="s">
        <v>338</v>
      </c>
      <c r="G7328" s="7">
        <v>103.5945</v>
      </c>
      <c r="H7328" s="7"/>
    </row>
    <row r="7329" spans="1:8" x14ac:dyDescent="0.35">
      <c r="A7329" s="7" t="s">
        <v>370</v>
      </c>
      <c r="B7329" s="7" t="s">
        <v>26</v>
      </c>
      <c r="C7329" s="7" t="s">
        <v>27</v>
      </c>
      <c r="D7329" s="7" t="s">
        <v>28</v>
      </c>
      <c r="E7329" s="7" t="s">
        <v>29</v>
      </c>
      <c r="F7329" s="7" t="s">
        <v>339</v>
      </c>
      <c r="G7329" s="7">
        <v>103.76690000000001</v>
      </c>
      <c r="H7329" s="7"/>
    </row>
    <row r="7330" spans="1:8" x14ac:dyDescent="0.35">
      <c r="A7330" s="7" t="s">
        <v>370</v>
      </c>
      <c r="B7330" s="7" t="s">
        <v>26</v>
      </c>
      <c r="C7330" s="7" t="s">
        <v>27</v>
      </c>
      <c r="D7330" s="7" t="s">
        <v>28</v>
      </c>
      <c r="E7330" s="7" t="s">
        <v>29</v>
      </c>
      <c r="F7330" s="7" t="s">
        <v>340</v>
      </c>
      <c r="G7330" s="7">
        <v>103.9392</v>
      </c>
      <c r="H7330" s="7"/>
    </row>
    <row r="7331" spans="1:8" x14ac:dyDescent="0.35">
      <c r="A7331" s="7" t="s">
        <v>370</v>
      </c>
      <c r="B7331" s="7" t="s">
        <v>26</v>
      </c>
      <c r="C7331" s="7" t="s">
        <v>27</v>
      </c>
      <c r="D7331" s="7" t="s">
        <v>28</v>
      </c>
      <c r="E7331" s="7" t="s">
        <v>29</v>
      </c>
      <c r="F7331" s="7" t="s">
        <v>341</v>
      </c>
      <c r="G7331" s="7">
        <v>103.99679999999999</v>
      </c>
      <c r="H7331" s="7"/>
    </row>
    <row r="7332" spans="1:8" x14ac:dyDescent="0.35">
      <c r="A7332" s="7" t="s">
        <v>370</v>
      </c>
      <c r="B7332" s="7" t="s">
        <v>26</v>
      </c>
      <c r="C7332" s="7" t="s">
        <v>27</v>
      </c>
      <c r="D7332" s="7" t="s">
        <v>28</v>
      </c>
      <c r="E7332" s="7" t="s">
        <v>29</v>
      </c>
      <c r="F7332" s="7" t="s">
        <v>342</v>
      </c>
      <c r="G7332" s="7">
        <v>103.96129999999999</v>
      </c>
      <c r="H7332" s="7"/>
    </row>
    <row r="7333" spans="1:8" x14ac:dyDescent="0.35">
      <c r="A7333" s="7" t="s">
        <v>370</v>
      </c>
      <c r="B7333" s="7" t="s">
        <v>26</v>
      </c>
      <c r="C7333" s="7" t="s">
        <v>27</v>
      </c>
      <c r="D7333" s="7" t="s">
        <v>28</v>
      </c>
      <c r="E7333" s="7" t="s">
        <v>29</v>
      </c>
      <c r="F7333" s="7" t="s">
        <v>343</v>
      </c>
      <c r="G7333" s="7">
        <v>103.956</v>
      </c>
      <c r="H7333" s="7"/>
    </row>
    <row r="7334" spans="1:8" x14ac:dyDescent="0.35">
      <c r="A7334" s="7" t="s">
        <v>370</v>
      </c>
      <c r="B7334" s="7" t="s">
        <v>26</v>
      </c>
      <c r="C7334" s="7" t="s">
        <v>27</v>
      </c>
      <c r="D7334" s="7" t="s">
        <v>28</v>
      </c>
      <c r="E7334" s="7" t="s">
        <v>29</v>
      </c>
      <c r="F7334" s="7" t="s">
        <v>344</v>
      </c>
      <c r="G7334" s="7">
        <v>103.91679999999999</v>
      </c>
      <c r="H7334" s="7"/>
    </row>
    <row r="7335" spans="1:8" x14ac:dyDescent="0.35">
      <c r="A7335" s="7" t="s">
        <v>370</v>
      </c>
      <c r="B7335" s="7" t="s">
        <v>26</v>
      </c>
      <c r="C7335" s="7" t="s">
        <v>27</v>
      </c>
      <c r="D7335" s="7" t="s">
        <v>28</v>
      </c>
      <c r="E7335" s="7" t="s">
        <v>29</v>
      </c>
      <c r="F7335" s="7" t="s">
        <v>345</v>
      </c>
      <c r="G7335" s="7">
        <v>103.85299999999999</v>
      </c>
      <c r="H7335" s="7"/>
    </row>
    <row r="7336" spans="1:8" x14ac:dyDescent="0.35">
      <c r="A7336" s="7" t="s">
        <v>370</v>
      </c>
      <c r="B7336" s="7" t="s">
        <v>26</v>
      </c>
      <c r="C7336" s="7" t="s">
        <v>27</v>
      </c>
      <c r="D7336" s="7" t="s">
        <v>28</v>
      </c>
      <c r="E7336" s="7" t="s">
        <v>29</v>
      </c>
      <c r="F7336" s="7" t="s">
        <v>346</v>
      </c>
      <c r="G7336" s="7">
        <v>103.7004</v>
      </c>
      <c r="H7336" s="7"/>
    </row>
    <row r="7337" spans="1:8" x14ac:dyDescent="0.35">
      <c r="A7337" s="7" t="s">
        <v>371</v>
      </c>
      <c r="B7337" s="7" t="s">
        <v>26</v>
      </c>
      <c r="C7337" s="7" t="s">
        <v>27</v>
      </c>
      <c r="D7337" s="7" t="s">
        <v>28</v>
      </c>
      <c r="E7337" s="7" t="s">
        <v>29</v>
      </c>
      <c r="F7337" s="7" t="s">
        <v>30</v>
      </c>
      <c r="G7337" s="7">
        <v>96.836780000000005</v>
      </c>
      <c r="H7337" s="7"/>
    </row>
    <row r="7338" spans="1:8" x14ac:dyDescent="0.35">
      <c r="A7338" s="7" t="s">
        <v>371</v>
      </c>
      <c r="B7338" s="7" t="s">
        <v>26</v>
      </c>
      <c r="C7338" s="7" t="s">
        <v>27</v>
      </c>
      <c r="D7338" s="7" t="s">
        <v>28</v>
      </c>
      <c r="E7338" s="7" t="s">
        <v>29</v>
      </c>
      <c r="F7338" s="7" t="s">
        <v>31</v>
      </c>
      <c r="G7338" s="7">
        <v>97.258449999999996</v>
      </c>
      <c r="H7338" s="7"/>
    </row>
    <row r="7339" spans="1:8" x14ac:dyDescent="0.35">
      <c r="A7339" s="7" t="s">
        <v>371</v>
      </c>
      <c r="B7339" s="7" t="s">
        <v>26</v>
      </c>
      <c r="C7339" s="7" t="s">
        <v>27</v>
      </c>
      <c r="D7339" s="7" t="s">
        <v>28</v>
      </c>
      <c r="E7339" s="7" t="s">
        <v>29</v>
      </c>
      <c r="F7339" s="7" t="s">
        <v>32</v>
      </c>
      <c r="G7339" s="7">
        <v>97.861670000000004</v>
      </c>
      <c r="H7339" s="7"/>
    </row>
    <row r="7340" spans="1:8" x14ac:dyDescent="0.35">
      <c r="A7340" s="7" t="s">
        <v>371</v>
      </c>
      <c r="B7340" s="7" t="s">
        <v>26</v>
      </c>
      <c r="C7340" s="7" t="s">
        <v>27</v>
      </c>
      <c r="D7340" s="7" t="s">
        <v>28</v>
      </c>
      <c r="E7340" s="7" t="s">
        <v>29</v>
      </c>
      <c r="F7340" s="7" t="s">
        <v>33</v>
      </c>
      <c r="G7340" s="7">
        <v>98.497630000000001</v>
      </c>
      <c r="H7340" s="7"/>
    </row>
    <row r="7341" spans="1:8" x14ac:dyDescent="0.35">
      <c r="A7341" s="7" t="s">
        <v>371</v>
      </c>
      <c r="B7341" s="7" t="s">
        <v>26</v>
      </c>
      <c r="C7341" s="7" t="s">
        <v>27</v>
      </c>
      <c r="D7341" s="7" t="s">
        <v>28</v>
      </c>
      <c r="E7341" s="7" t="s">
        <v>29</v>
      </c>
      <c r="F7341" s="7" t="s">
        <v>34</v>
      </c>
      <c r="G7341" s="7">
        <v>98.976470000000006</v>
      </c>
      <c r="H7341" s="7"/>
    </row>
    <row r="7342" spans="1:8" x14ac:dyDescent="0.35">
      <c r="A7342" s="7" t="s">
        <v>371</v>
      </c>
      <c r="B7342" s="7" t="s">
        <v>26</v>
      </c>
      <c r="C7342" s="7" t="s">
        <v>27</v>
      </c>
      <c r="D7342" s="7" t="s">
        <v>28</v>
      </c>
      <c r="E7342" s="7" t="s">
        <v>29</v>
      </c>
      <c r="F7342" s="7" t="s">
        <v>35</v>
      </c>
      <c r="G7342" s="7">
        <v>99.150509999999997</v>
      </c>
      <c r="H7342" s="7"/>
    </row>
    <row r="7343" spans="1:8" x14ac:dyDescent="0.35">
      <c r="A7343" s="7" t="s">
        <v>371</v>
      </c>
      <c r="B7343" s="7" t="s">
        <v>26</v>
      </c>
      <c r="C7343" s="7" t="s">
        <v>27</v>
      </c>
      <c r="D7343" s="7" t="s">
        <v>28</v>
      </c>
      <c r="E7343" s="7" t="s">
        <v>29</v>
      </c>
      <c r="F7343" s="7" t="s">
        <v>36</v>
      </c>
      <c r="G7343" s="7">
        <v>99.154629999999997</v>
      </c>
      <c r="H7343" s="7"/>
    </row>
    <row r="7344" spans="1:8" x14ac:dyDescent="0.35">
      <c r="A7344" s="7" t="s">
        <v>371</v>
      </c>
      <c r="B7344" s="7" t="s">
        <v>26</v>
      </c>
      <c r="C7344" s="7" t="s">
        <v>27</v>
      </c>
      <c r="D7344" s="7" t="s">
        <v>28</v>
      </c>
      <c r="E7344" s="7" t="s">
        <v>29</v>
      </c>
      <c r="F7344" s="7" t="s">
        <v>37</v>
      </c>
      <c r="G7344" s="7">
        <v>99.150580000000005</v>
      </c>
      <c r="H7344" s="7"/>
    </row>
    <row r="7345" spans="1:8" x14ac:dyDescent="0.35">
      <c r="A7345" s="7" t="s">
        <v>371</v>
      </c>
      <c r="B7345" s="7" t="s">
        <v>26</v>
      </c>
      <c r="C7345" s="7" t="s">
        <v>27</v>
      </c>
      <c r="D7345" s="7" t="s">
        <v>28</v>
      </c>
      <c r="E7345" s="7" t="s">
        <v>29</v>
      </c>
      <c r="F7345" s="7" t="s">
        <v>38</v>
      </c>
      <c r="G7345" s="7">
        <v>99.241029999999995</v>
      </c>
      <c r="H7345" s="7"/>
    </row>
    <row r="7346" spans="1:8" x14ac:dyDescent="0.35">
      <c r="A7346" s="7" t="s">
        <v>371</v>
      </c>
      <c r="B7346" s="7" t="s">
        <v>26</v>
      </c>
      <c r="C7346" s="7" t="s">
        <v>27</v>
      </c>
      <c r="D7346" s="7" t="s">
        <v>28</v>
      </c>
      <c r="E7346" s="7" t="s">
        <v>29</v>
      </c>
      <c r="F7346" s="7" t="s">
        <v>39</v>
      </c>
      <c r="G7346" s="7">
        <v>99.391909999999996</v>
      </c>
      <c r="H7346" s="7"/>
    </row>
    <row r="7347" spans="1:8" x14ac:dyDescent="0.35">
      <c r="A7347" s="7" t="s">
        <v>371</v>
      </c>
      <c r="B7347" s="7" t="s">
        <v>26</v>
      </c>
      <c r="C7347" s="7" t="s">
        <v>27</v>
      </c>
      <c r="D7347" s="7" t="s">
        <v>28</v>
      </c>
      <c r="E7347" s="7" t="s">
        <v>29</v>
      </c>
      <c r="F7347" s="7" t="s">
        <v>40</v>
      </c>
      <c r="G7347" s="7">
        <v>99.538179999999997</v>
      </c>
      <c r="H7347" s="7"/>
    </row>
    <row r="7348" spans="1:8" x14ac:dyDescent="0.35">
      <c r="A7348" s="7" t="s">
        <v>371</v>
      </c>
      <c r="B7348" s="7" t="s">
        <v>26</v>
      </c>
      <c r="C7348" s="7" t="s">
        <v>27</v>
      </c>
      <c r="D7348" s="7" t="s">
        <v>28</v>
      </c>
      <c r="E7348" s="7" t="s">
        <v>29</v>
      </c>
      <c r="F7348" s="7" t="s">
        <v>41</v>
      </c>
      <c r="G7348" s="7">
        <v>99.62903</v>
      </c>
      <c r="H7348" s="7"/>
    </row>
    <row r="7349" spans="1:8" x14ac:dyDescent="0.35">
      <c r="A7349" s="7" t="s">
        <v>371</v>
      </c>
      <c r="B7349" s="7" t="s">
        <v>26</v>
      </c>
      <c r="C7349" s="7" t="s">
        <v>27</v>
      </c>
      <c r="D7349" s="7" t="s">
        <v>28</v>
      </c>
      <c r="E7349" s="7" t="s">
        <v>29</v>
      </c>
      <c r="F7349" s="7" t="s">
        <v>42</v>
      </c>
      <c r="G7349" s="7">
        <v>99.677779999999998</v>
      </c>
      <c r="H7349" s="7"/>
    </row>
    <row r="7350" spans="1:8" x14ac:dyDescent="0.35">
      <c r="A7350" s="7" t="s">
        <v>371</v>
      </c>
      <c r="B7350" s="7" t="s">
        <v>26</v>
      </c>
      <c r="C7350" s="7" t="s">
        <v>27</v>
      </c>
      <c r="D7350" s="7" t="s">
        <v>28</v>
      </c>
      <c r="E7350" s="7" t="s">
        <v>29</v>
      </c>
      <c r="F7350" s="7" t="s">
        <v>43</v>
      </c>
      <c r="G7350" s="7">
        <v>99.707859999999997</v>
      </c>
      <c r="H7350" s="7"/>
    </row>
    <row r="7351" spans="1:8" x14ac:dyDescent="0.35">
      <c r="A7351" s="7" t="s">
        <v>371</v>
      </c>
      <c r="B7351" s="7" t="s">
        <v>26</v>
      </c>
      <c r="C7351" s="7" t="s">
        <v>27</v>
      </c>
      <c r="D7351" s="7" t="s">
        <v>28</v>
      </c>
      <c r="E7351" s="7" t="s">
        <v>29</v>
      </c>
      <c r="F7351" s="7" t="s">
        <v>44</v>
      </c>
      <c r="G7351" s="7">
        <v>99.740740000000002</v>
      </c>
      <c r="H7351" s="7"/>
    </row>
    <row r="7352" spans="1:8" x14ac:dyDescent="0.35">
      <c r="A7352" s="7" t="s">
        <v>371</v>
      </c>
      <c r="B7352" s="7" t="s">
        <v>26</v>
      </c>
      <c r="C7352" s="7" t="s">
        <v>27</v>
      </c>
      <c r="D7352" s="7" t="s">
        <v>28</v>
      </c>
      <c r="E7352" s="7" t="s">
        <v>29</v>
      </c>
      <c r="F7352" s="7" t="s">
        <v>45</v>
      </c>
      <c r="G7352" s="7">
        <v>99.802729999999997</v>
      </c>
      <c r="H7352" s="7"/>
    </row>
    <row r="7353" spans="1:8" x14ac:dyDescent="0.35">
      <c r="A7353" s="7" t="s">
        <v>371</v>
      </c>
      <c r="B7353" s="7" t="s">
        <v>26</v>
      </c>
      <c r="C7353" s="7" t="s">
        <v>27</v>
      </c>
      <c r="D7353" s="7" t="s">
        <v>28</v>
      </c>
      <c r="E7353" s="7" t="s">
        <v>29</v>
      </c>
      <c r="F7353" s="7" t="s">
        <v>46</v>
      </c>
      <c r="G7353" s="7">
        <v>99.936980000000005</v>
      </c>
      <c r="H7353" s="7"/>
    </row>
    <row r="7354" spans="1:8" x14ac:dyDescent="0.35">
      <c r="A7354" s="7" t="s">
        <v>371</v>
      </c>
      <c r="B7354" s="7" t="s">
        <v>26</v>
      </c>
      <c r="C7354" s="7" t="s">
        <v>27</v>
      </c>
      <c r="D7354" s="7" t="s">
        <v>28</v>
      </c>
      <c r="E7354" s="7" t="s">
        <v>29</v>
      </c>
      <c r="F7354" s="7" t="s">
        <v>47</v>
      </c>
      <c r="G7354" s="7">
        <v>100.1865</v>
      </c>
      <c r="H7354" s="7"/>
    </row>
    <row r="7355" spans="1:8" x14ac:dyDescent="0.35">
      <c r="A7355" s="7" t="s">
        <v>371</v>
      </c>
      <c r="B7355" s="7" t="s">
        <v>26</v>
      </c>
      <c r="C7355" s="7" t="s">
        <v>27</v>
      </c>
      <c r="D7355" s="7" t="s">
        <v>28</v>
      </c>
      <c r="E7355" s="7" t="s">
        <v>29</v>
      </c>
      <c r="F7355" s="7" t="s">
        <v>48</v>
      </c>
      <c r="G7355" s="7">
        <v>100.5048</v>
      </c>
      <c r="H7355" s="7"/>
    </row>
    <row r="7356" spans="1:8" x14ac:dyDescent="0.35">
      <c r="A7356" s="7" t="s">
        <v>371</v>
      </c>
      <c r="B7356" s="7" t="s">
        <v>26</v>
      </c>
      <c r="C7356" s="7" t="s">
        <v>27</v>
      </c>
      <c r="D7356" s="7" t="s">
        <v>28</v>
      </c>
      <c r="E7356" s="7" t="s">
        <v>29</v>
      </c>
      <c r="F7356" s="7" t="s">
        <v>49</v>
      </c>
      <c r="G7356" s="7">
        <v>100.8415</v>
      </c>
      <c r="H7356" s="7"/>
    </row>
    <row r="7357" spans="1:8" x14ac:dyDescent="0.35">
      <c r="A7357" s="7" t="s">
        <v>371</v>
      </c>
      <c r="B7357" s="7" t="s">
        <v>26</v>
      </c>
      <c r="C7357" s="7" t="s">
        <v>27</v>
      </c>
      <c r="D7357" s="7" t="s">
        <v>28</v>
      </c>
      <c r="E7357" s="7" t="s">
        <v>29</v>
      </c>
      <c r="F7357" s="7" t="s">
        <v>50</v>
      </c>
      <c r="G7357" s="7">
        <v>101.1592</v>
      </c>
      <c r="H7357" s="7"/>
    </row>
    <row r="7358" spans="1:8" x14ac:dyDescent="0.35">
      <c r="A7358" s="7" t="s">
        <v>371</v>
      </c>
      <c r="B7358" s="7" t="s">
        <v>26</v>
      </c>
      <c r="C7358" s="7" t="s">
        <v>27</v>
      </c>
      <c r="D7358" s="7" t="s">
        <v>28</v>
      </c>
      <c r="E7358" s="7" t="s">
        <v>29</v>
      </c>
      <c r="F7358" s="7" t="s">
        <v>51</v>
      </c>
      <c r="G7358" s="7">
        <v>101.4315</v>
      </c>
      <c r="H7358" s="7"/>
    </row>
    <row r="7359" spans="1:8" x14ac:dyDescent="0.35">
      <c r="A7359" s="7" t="s">
        <v>371</v>
      </c>
      <c r="B7359" s="7" t="s">
        <v>26</v>
      </c>
      <c r="C7359" s="7" t="s">
        <v>27</v>
      </c>
      <c r="D7359" s="7" t="s">
        <v>28</v>
      </c>
      <c r="E7359" s="7" t="s">
        <v>29</v>
      </c>
      <c r="F7359" s="7" t="s">
        <v>52</v>
      </c>
      <c r="G7359" s="7">
        <v>101.616</v>
      </c>
      <c r="H7359" s="7"/>
    </row>
    <row r="7360" spans="1:8" x14ac:dyDescent="0.35">
      <c r="A7360" s="7" t="s">
        <v>371</v>
      </c>
      <c r="B7360" s="7" t="s">
        <v>26</v>
      </c>
      <c r="C7360" s="7" t="s">
        <v>27</v>
      </c>
      <c r="D7360" s="7" t="s">
        <v>28</v>
      </c>
      <c r="E7360" s="7" t="s">
        <v>29</v>
      </c>
      <c r="F7360" s="7" t="s">
        <v>53</v>
      </c>
      <c r="G7360" s="7">
        <v>101.6717</v>
      </c>
      <c r="H7360" s="7"/>
    </row>
    <row r="7361" spans="1:8" x14ac:dyDescent="0.35">
      <c r="A7361" s="7" t="s">
        <v>371</v>
      </c>
      <c r="B7361" s="7" t="s">
        <v>26</v>
      </c>
      <c r="C7361" s="7" t="s">
        <v>27</v>
      </c>
      <c r="D7361" s="7" t="s">
        <v>28</v>
      </c>
      <c r="E7361" s="7" t="s">
        <v>29</v>
      </c>
      <c r="F7361" s="7" t="s">
        <v>54</v>
      </c>
      <c r="G7361" s="7">
        <v>101.6652</v>
      </c>
      <c r="H7361" s="7"/>
    </row>
    <row r="7362" spans="1:8" x14ac:dyDescent="0.35">
      <c r="A7362" s="7" t="s">
        <v>371</v>
      </c>
      <c r="B7362" s="7" t="s">
        <v>26</v>
      </c>
      <c r="C7362" s="7" t="s">
        <v>27</v>
      </c>
      <c r="D7362" s="7" t="s">
        <v>28</v>
      </c>
      <c r="E7362" s="7" t="s">
        <v>29</v>
      </c>
      <c r="F7362" s="7" t="s">
        <v>55</v>
      </c>
      <c r="G7362" s="7">
        <v>101.6733</v>
      </c>
      <c r="H7362" s="7"/>
    </row>
    <row r="7363" spans="1:8" x14ac:dyDescent="0.35">
      <c r="A7363" s="7" t="s">
        <v>371</v>
      </c>
      <c r="B7363" s="7" t="s">
        <v>26</v>
      </c>
      <c r="C7363" s="7" t="s">
        <v>27</v>
      </c>
      <c r="D7363" s="7" t="s">
        <v>28</v>
      </c>
      <c r="E7363" s="7" t="s">
        <v>29</v>
      </c>
      <c r="F7363" s="7" t="s">
        <v>56</v>
      </c>
      <c r="G7363" s="7">
        <v>101.74939999999999</v>
      </c>
      <c r="H7363" s="7"/>
    </row>
    <row r="7364" spans="1:8" x14ac:dyDescent="0.35">
      <c r="A7364" s="7" t="s">
        <v>371</v>
      </c>
      <c r="B7364" s="7" t="s">
        <v>26</v>
      </c>
      <c r="C7364" s="7" t="s">
        <v>27</v>
      </c>
      <c r="D7364" s="7" t="s">
        <v>28</v>
      </c>
      <c r="E7364" s="7" t="s">
        <v>29</v>
      </c>
      <c r="F7364" s="7" t="s">
        <v>57</v>
      </c>
      <c r="G7364" s="7">
        <v>101.87430000000001</v>
      </c>
      <c r="H7364" s="7"/>
    </row>
    <row r="7365" spans="1:8" x14ac:dyDescent="0.35">
      <c r="A7365" s="7" t="s">
        <v>371</v>
      </c>
      <c r="B7365" s="7" t="s">
        <v>26</v>
      </c>
      <c r="C7365" s="7" t="s">
        <v>27</v>
      </c>
      <c r="D7365" s="7" t="s">
        <v>28</v>
      </c>
      <c r="E7365" s="7" t="s">
        <v>29</v>
      </c>
      <c r="F7365" s="7" t="s">
        <v>58</v>
      </c>
      <c r="G7365" s="7">
        <v>102.0185</v>
      </c>
      <c r="H7365" s="7"/>
    </row>
    <row r="7366" spans="1:8" x14ac:dyDescent="0.35">
      <c r="A7366" s="7" t="s">
        <v>371</v>
      </c>
      <c r="B7366" s="7" t="s">
        <v>26</v>
      </c>
      <c r="C7366" s="7" t="s">
        <v>27</v>
      </c>
      <c r="D7366" s="7" t="s">
        <v>28</v>
      </c>
      <c r="E7366" s="7" t="s">
        <v>29</v>
      </c>
      <c r="F7366" s="7" t="s">
        <v>59</v>
      </c>
      <c r="G7366" s="7">
        <v>102.15730000000001</v>
      </c>
      <c r="H7366" s="7"/>
    </row>
    <row r="7367" spans="1:8" x14ac:dyDescent="0.35">
      <c r="A7367" s="7" t="s">
        <v>371</v>
      </c>
      <c r="B7367" s="7" t="s">
        <v>26</v>
      </c>
      <c r="C7367" s="7" t="s">
        <v>27</v>
      </c>
      <c r="D7367" s="7" t="s">
        <v>28</v>
      </c>
      <c r="E7367" s="7" t="s">
        <v>29</v>
      </c>
      <c r="F7367" s="7" t="s">
        <v>60</v>
      </c>
      <c r="G7367" s="7">
        <v>102.2646</v>
      </c>
      <c r="H7367" s="7"/>
    </row>
    <row r="7368" spans="1:8" x14ac:dyDescent="0.35">
      <c r="A7368" s="7" t="s">
        <v>371</v>
      </c>
      <c r="B7368" s="7" t="s">
        <v>26</v>
      </c>
      <c r="C7368" s="7" t="s">
        <v>27</v>
      </c>
      <c r="D7368" s="7" t="s">
        <v>28</v>
      </c>
      <c r="E7368" s="7" t="s">
        <v>29</v>
      </c>
      <c r="F7368" s="7" t="s">
        <v>61</v>
      </c>
      <c r="G7368" s="7">
        <v>102.29689999999999</v>
      </c>
      <c r="H7368" s="7"/>
    </row>
    <row r="7369" spans="1:8" x14ac:dyDescent="0.35">
      <c r="A7369" s="7" t="s">
        <v>371</v>
      </c>
      <c r="B7369" s="7" t="s">
        <v>26</v>
      </c>
      <c r="C7369" s="7" t="s">
        <v>27</v>
      </c>
      <c r="D7369" s="7" t="s">
        <v>28</v>
      </c>
      <c r="E7369" s="7" t="s">
        <v>29</v>
      </c>
      <c r="F7369" s="7" t="s">
        <v>62</v>
      </c>
      <c r="G7369" s="7">
        <v>102.2093</v>
      </c>
      <c r="H7369" s="7"/>
    </row>
    <row r="7370" spans="1:8" x14ac:dyDescent="0.35">
      <c r="A7370" s="7" t="s">
        <v>371</v>
      </c>
      <c r="B7370" s="7" t="s">
        <v>26</v>
      </c>
      <c r="C7370" s="7" t="s">
        <v>27</v>
      </c>
      <c r="D7370" s="7" t="s">
        <v>28</v>
      </c>
      <c r="E7370" s="7" t="s">
        <v>29</v>
      </c>
      <c r="F7370" s="7" t="s">
        <v>63</v>
      </c>
      <c r="G7370" s="7">
        <v>102.0446</v>
      </c>
      <c r="H7370" s="7"/>
    </row>
    <row r="7371" spans="1:8" x14ac:dyDescent="0.35">
      <c r="A7371" s="7" t="s">
        <v>371</v>
      </c>
      <c r="B7371" s="7" t="s">
        <v>26</v>
      </c>
      <c r="C7371" s="7" t="s">
        <v>27</v>
      </c>
      <c r="D7371" s="7" t="s">
        <v>28</v>
      </c>
      <c r="E7371" s="7" t="s">
        <v>29</v>
      </c>
      <c r="F7371" s="7" t="s">
        <v>64</v>
      </c>
      <c r="G7371" s="7">
        <v>101.8421</v>
      </c>
      <c r="H7371" s="7"/>
    </row>
    <row r="7372" spans="1:8" x14ac:dyDescent="0.35">
      <c r="A7372" s="7" t="s">
        <v>371</v>
      </c>
      <c r="B7372" s="7" t="s">
        <v>26</v>
      </c>
      <c r="C7372" s="7" t="s">
        <v>27</v>
      </c>
      <c r="D7372" s="7" t="s">
        <v>28</v>
      </c>
      <c r="E7372" s="7" t="s">
        <v>29</v>
      </c>
      <c r="F7372" s="7" t="s">
        <v>65</v>
      </c>
      <c r="G7372" s="7">
        <v>101.6221</v>
      </c>
      <c r="H7372" s="7"/>
    </row>
    <row r="7373" spans="1:8" x14ac:dyDescent="0.35">
      <c r="A7373" s="7" t="s">
        <v>371</v>
      </c>
      <c r="B7373" s="7" t="s">
        <v>26</v>
      </c>
      <c r="C7373" s="7" t="s">
        <v>27</v>
      </c>
      <c r="D7373" s="7" t="s">
        <v>28</v>
      </c>
      <c r="E7373" s="7" t="s">
        <v>29</v>
      </c>
      <c r="F7373" s="7" t="s">
        <v>66</v>
      </c>
      <c r="G7373" s="7">
        <v>101.40860000000001</v>
      </c>
      <c r="H7373" s="7"/>
    </row>
    <row r="7374" spans="1:8" x14ac:dyDescent="0.35">
      <c r="A7374" s="7" t="s">
        <v>371</v>
      </c>
      <c r="B7374" s="7" t="s">
        <v>26</v>
      </c>
      <c r="C7374" s="7" t="s">
        <v>27</v>
      </c>
      <c r="D7374" s="7" t="s">
        <v>28</v>
      </c>
      <c r="E7374" s="7" t="s">
        <v>29</v>
      </c>
      <c r="F7374" s="7" t="s">
        <v>67</v>
      </c>
      <c r="G7374" s="7">
        <v>101.2329</v>
      </c>
      <c r="H7374" s="7"/>
    </row>
    <row r="7375" spans="1:8" x14ac:dyDescent="0.35">
      <c r="A7375" s="7" t="s">
        <v>371</v>
      </c>
      <c r="B7375" s="7" t="s">
        <v>26</v>
      </c>
      <c r="C7375" s="7" t="s">
        <v>27</v>
      </c>
      <c r="D7375" s="7" t="s">
        <v>28</v>
      </c>
      <c r="E7375" s="7" t="s">
        <v>29</v>
      </c>
      <c r="F7375" s="7" t="s">
        <v>68</v>
      </c>
      <c r="G7375" s="7">
        <v>101.1302</v>
      </c>
      <c r="H7375" s="7"/>
    </row>
    <row r="7376" spans="1:8" x14ac:dyDescent="0.35">
      <c r="A7376" s="7" t="s">
        <v>371</v>
      </c>
      <c r="B7376" s="7" t="s">
        <v>26</v>
      </c>
      <c r="C7376" s="7" t="s">
        <v>27</v>
      </c>
      <c r="D7376" s="7" t="s">
        <v>28</v>
      </c>
      <c r="E7376" s="7" t="s">
        <v>29</v>
      </c>
      <c r="F7376" s="7" t="s">
        <v>69</v>
      </c>
      <c r="G7376" s="7">
        <v>101.0988</v>
      </c>
      <c r="H7376" s="7"/>
    </row>
    <row r="7377" spans="1:8" x14ac:dyDescent="0.35">
      <c r="A7377" s="7" t="s">
        <v>371</v>
      </c>
      <c r="B7377" s="7" t="s">
        <v>26</v>
      </c>
      <c r="C7377" s="7" t="s">
        <v>27</v>
      </c>
      <c r="D7377" s="7" t="s">
        <v>28</v>
      </c>
      <c r="E7377" s="7" t="s">
        <v>29</v>
      </c>
      <c r="F7377" s="7" t="s">
        <v>70</v>
      </c>
      <c r="G7377" s="7">
        <v>101.15819999999999</v>
      </c>
      <c r="H7377" s="7"/>
    </row>
    <row r="7378" spans="1:8" x14ac:dyDescent="0.35">
      <c r="A7378" s="7" t="s">
        <v>371</v>
      </c>
      <c r="B7378" s="7" t="s">
        <v>26</v>
      </c>
      <c r="C7378" s="7" t="s">
        <v>27</v>
      </c>
      <c r="D7378" s="7" t="s">
        <v>28</v>
      </c>
      <c r="E7378" s="7" t="s">
        <v>29</v>
      </c>
      <c r="F7378" s="7" t="s">
        <v>71</v>
      </c>
      <c r="G7378" s="7">
        <v>101.3348</v>
      </c>
      <c r="H7378" s="7"/>
    </row>
    <row r="7379" spans="1:8" x14ac:dyDescent="0.35">
      <c r="A7379" s="7" t="s">
        <v>371</v>
      </c>
      <c r="B7379" s="7" t="s">
        <v>26</v>
      </c>
      <c r="C7379" s="7" t="s">
        <v>27</v>
      </c>
      <c r="D7379" s="7" t="s">
        <v>28</v>
      </c>
      <c r="E7379" s="7" t="s">
        <v>29</v>
      </c>
      <c r="F7379" s="7" t="s">
        <v>72</v>
      </c>
      <c r="G7379" s="7">
        <v>101.55840000000001</v>
      </c>
      <c r="H7379" s="7"/>
    </row>
    <row r="7380" spans="1:8" x14ac:dyDescent="0.35">
      <c r="A7380" s="7" t="s">
        <v>371</v>
      </c>
      <c r="B7380" s="7" t="s">
        <v>26</v>
      </c>
      <c r="C7380" s="7" t="s">
        <v>27</v>
      </c>
      <c r="D7380" s="7" t="s">
        <v>28</v>
      </c>
      <c r="E7380" s="7" t="s">
        <v>29</v>
      </c>
      <c r="F7380" s="7" t="s">
        <v>73</v>
      </c>
      <c r="G7380" s="7">
        <v>101.7424</v>
      </c>
      <c r="H7380" s="7"/>
    </row>
    <row r="7381" spans="1:8" x14ac:dyDescent="0.35">
      <c r="A7381" s="7" t="s">
        <v>371</v>
      </c>
      <c r="B7381" s="7" t="s">
        <v>26</v>
      </c>
      <c r="C7381" s="7" t="s">
        <v>27</v>
      </c>
      <c r="D7381" s="7" t="s">
        <v>28</v>
      </c>
      <c r="E7381" s="7" t="s">
        <v>29</v>
      </c>
      <c r="F7381" s="7" t="s">
        <v>74</v>
      </c>
      <c r="G7381" s="7">
        <v>101.818</v>
      </c>
      <c r="H7381" s="7"/>
    </row>
    <row r="7382" spans="1:8" x14ac:dyDescent="0.35">
      <c r="A7382" s="7" t="s">
        <v>371</v>
      </c>
      <c r="B7382" s="7" t="s">
        <v>26</v>
      </c>
      <c r="C7382" s="7" t="s">
        <v>27</v>
      </c>
      <c r="D7382" s="7" t="s">
        <v>28</v>
      </c>
      <c r="E7382" s="7" t="s">
        <v>29</v>
      </c>
      <c r="F7382" s="7" t="s">
        <v>75</v>
      </c>
      <c r="G7382" s="7">
        <v>101.8075</v>
      </c>
      <c r="H7382" s="7"/>
    </row>
    <row r="7383" spans="1:8" x14ac:dyDescent="0.35">
      <c r="A7383" s="7" t="s">
        <v>371</v>
      </c>
      <c r="B7383" s="7" t="s">
        <v>26</v>
      </c>
      <c r="C7383" s="7" t="s">
        <v>27</v>
      </c>
      <c r="D7383" s="7" t="s">
        <v>28</v>
      </c>
      <c r="E7383" s="7" t="s">
        <v>29</v>
      </c>
      <c r="F7383" s="7" t="s">
        <v>76</v>
      </c>
      <c r="G7383" s="7">
        <v>101.7324</v>
      </c>
      <c r="H7383" s="7"/>
    </row>
    <row r="7384" spans="1:8" x14ac:dyDescent="0.35">
      <c r="A7384" s="7" t="s">
        <v>371</v>
      </c>
      <c r="B7384" s="7" t="s">
        <v>26</v>
      </c>
      <c r="C7384" s="7" t="s">
        <v>27</v>
      </c>
      <c r="D7384" s="7" t="s">
        <v>28</v>
      </c>
      <c r="E7384" s="7" t="s">
        <v>29</v>
      </c>
      <c r="F7384" s="7" t="s">
        <v>77</v>
      </c>
      <c r="G7384" s="7">
        <v>101.60769999999999</v>
      </c>
      <c r="H7384" s="7"/>
    </row>
    <row r="7385" spans="1:8" x14ac:dyDescent="0.35">
      <c r="A7385" s="7" t="s">
        <v>371</v>
      </c>
      <c r="B7385" s="7" t="s">
        <v>26</v>
      </c>
      <c r="C7385" s="7" t="s">
        <v>27</v>
      </c>
      <c r="D7385" s="7" t="s">
        <v>28</v>
      </c>
      <c r="E7385" s="7" t="s">
        <v>29</v>
      </c>
      <c r="F7385" s="7" t="s">
        <v>78</v>
      </c>
      <c r="G7385" s="7">
        <v>101.5004</v>
      </c>
      <c r="H7385" s="7"/>
    </row>
    <row r="7386" spans="1:8" x14ac:dyDescent="0.35">
      <c r="A7386" s="7" t="s">
        <v>371</v>
      </c>
      <c r="B7386" s="7" t="s">
        <v>26</v>
      </c>
      <c r="C7386" s="7" t="s">
        <v>27</v>
      </c>
      <c r="D7386" s="7" t="s">
        <v>28</v>
      </c>
      <c r="E7386" s="7" t="s">
        <v>29</v>
      </c>
      <c r="F7386" s="7" t="s">
        <v>79</v>
      </c>
      <c r="G7386" s="7">
        <v>101.4953</v>
      </c>
      <c r="H7386" s="7"/>
    </row>
    <row r="7387" spans="1:8" x14ac:dyDescent="0.35">
      <c r="A7387" s="7" t="s">
        <v>371</v>
      </c>
      <c r="B7387" s="7" t="s">
        <v>26</v>
      </c>
      <c r="C7387" s="7" t="s">
        <v>27</v>
      </c>
      <c r="D7387" s="7" t="s">
        <v>28</v>
      </c>
      <c r="E7387" s="7" t="s">
        <v>29</v>
      </c>
      <c r="F7387" s="7" t="s">
        <v>80</v>
      </c>
      <c r="G7387" s="7">
        <v>101.6421</v>
      </c>
      <c r="H7387" s="7"/>
    </row>
    <row r="7388" spans="1:8" x14ac:dyDescent="0.35">
      <c r="A7388" s="7" t="s">
        <v>371</v>
      </c>
      <c r="B7388" s="7" t="s">
        <v>26</v>
      </c>
      <c r="C7388" s="7" t="s">
        <v>27</v>
      </c>
      <c r="D7388" s="7" t="s">
        <v>28</v>
      </c>
      <c r="E7388" s="7" t="s">
        <v>29</v>
      </c>
      <c r="F7388" s="7" t="s">
        <v>81</v>
      </c>
      <c r="G7388" s="7">
        <v>101.8021</v>
      </c>
      <c r="H7388" s="7"/>
    </row>
    <row r="7389" spans="1:8" x14ac:dyDescent="0.35">
      <c r="A7389" s="7" t="s">
        <v>371</v>
      </c>
      <c r="B7389" s="7" t="s">
        <v>26</v>
      </c>
      <c r="C7389" s="7" t="s">
        <v>27</v>
      </c>
      <c r="D7389" s="7" t="s">
        <v>28</v>
      </c>
      <c r="E7389" s="7" t="s">
        <v>29</v>
      </c>
      <c r="F7389" s="7" t="s">
        <v>82</v>
      </c>
      <c r="G7389" s="7">
        <v>101.77419999999999</v>
      </c>
      <c r="H7389" s="7"/>
    </row>
    <row r="7390" spans="1:8" x14ac:dyDescent="0.35">
      <c r="A7390" s="7" t="s">
        <v>371</v>
      </c>
      <c r="B7390" s="7" t="s">
        <v>26</v>
      </c>
      <c r="C7390" s="7" t="s">
        <v>27</v>
      </c>
      <c r="D7390" s="7" t="s">
        <v>28</v>
      </c>
      <c r="E7390" s="7" t="s">
        <v>29</v>
      </c>
      <c r="F7390" s="7" t="s">
        <v>83</v>
      </c>
      <c r="G7390" s="7">
        <v>101.4096</v>
      </c>
      <c r="H7390" s="7"/>
    </row>
    <row r="7391" spans="1:8" x14ac:dyDescent="0.35">
      <c r="A7391" s="7" t="s">
        <v>371</v>
      </c>
      <c r="B7391" s="7" t="s">
        <v>26</v>
      </c>
      <c r="C7391" s="7" t="s">
        <v>27</v>
      </c>
      <c r="D7391" s="7" t="s">
        <v>28</v>
      </c>
      <c r="E7391" s="7" t="s">
        <v>29</v>
      </c>
      <c r="F7391" s="7" t="s">
        <v>84</v>
      </c>
      <c r="G7391" s="7">
        <v>100.9126</v>
      </c>
      <c r="H7391" s="7"/>
    </row>
    <row r="7392" spans="1:8" x14ac:dyDescent="0.35">
      <c r="A7392" s="7" t="s">
        <v>371</v>
      </c>
      <c r="B7392" s="7" t="s">
        <v>26</v>
      </c>
      <c r="C7392" s="7" t="s">
        <v>27</v>
      </c>
      <c r="D7392" s="7" t="s">
        <v>28</v>
      </c>
      <c r="E7392" s="7" t="s">
        <v>29</v>
      </c>
      <c r="F7392" s="7" t="s">
        <v>85</v>
      </c>
      <c r="G7392" s="7">
        <v>100.5647</v>
      </c>
      <c r="H7392" s="7"/>
    </row>
    <row r="7393" spans="1:8" x14ac:dyDescent="0.35">
      <c r="A7393" s="7" t="s">
        <v>371</v>
      </c>
      <c r="B7393" s="7" t="s">
        <v>26</v>
      </c>
      <c r="C7393" s="7" t="s">
        <v>27</v>
      </c>
      <c r="D7393" s="7" t="s">
        <v>28</v>
      </c>
      <c r="E7393" s="7" t="s">
        <v>29</v>
      </c>
      <c r="F7393" s="7" t="s">
        <v>86</v>
      </c>
      <c r="G7393" s="7">
        <v>100.5789</v>
      </c>
      <c r="H7393" s="7"/>
    </row>
    <row r="7394" spans="1:8" x14ac:dyDescent="0.35">
      <c r="A7394" s="7" t="s">
        <v>371</v>
      </c>
      <c r="B7394" s="7" t="s">
        <v>26</v>
      </c>
      <c r="C7394" s="7" t="s">
        <v>27</v>
      </c>
      <c r="D7394" s="7" t="s">
        <v>28</v>
      </c>
      <c r="E7394" s="7" t="s">
        <v>29</v>
      </c>
      <c r="F7394" s="7" t="s">
        <v>87</v>
      </c>
      <c r="G7394" s="7">
        <v>100.8068</v>
      </c>
      <c r="H7394" s="7"/>
    </row>
    <row r="7395" spans="1:8" x14ac:dyDescent="0.35">
      <c r="A7395" s="7" t="s">
        <v>371</v>
      </c>
      <c r="B7395" s="7" t="s">
        <v>26</v>
      </c>
      <c r="C7395" s="7" t="s">
        <v>27</v>
      </c>
      <c r="D7395" s="7" t="s">
        <v>28</v>
      </c>
      <c r="E7395" s="7" t="s">
        <v>29</v>
      </c>
      <c r="F7395" s="7" t="s">
        <v>88</v>
      </c>
      <c r="G7395" s="7">
        <v>101.05500000000001</v>
      </c>
      <c r="H7395" s="7"/>
    </row>
    <row r="7396" spans="1:8" x14ac:dyDescent="0.35">
      <c r="A7396" s="7" t="s">
        <v>371</v>
      </c>
      <c r="B7396" s="7" t="s">
        <v>26</v>
      </c>
      <c r="C7396" s="7" t="s">
        <v>27</v>
      </c>
      <c r="D7396" s="7" t="s">
        <v>28</v>
      </c>
      <c r="E7396" s="7" t="s">
        <v>29</v>
      </c>
      <c r="F7396" s="7" t="s">
        <v>89</v>
      </c>
      <c r="G7396" s="7">
        <v>101.1884</v>
      </c>
      <c r="H7396" s="7"/>
    </row>
    <row r="7397" spans="1:8" x14ac:dyDescent="0.35">
      <c r="A7397" s="7" t="s">
        <v>371</v>
      </c>
      <c r="B7397" s="7" t="s">
        <v>26</v>
      </c>
      <c r="C7397" s="7" t="s">
        <v>27</v>
      </c>
      <c r="D7397" s="7" t="s">
        <v>28</v>
      </c>
      <c r="E7397" s="7" t="s">
        <v>29</v>
      </c>
      <c r="F7397" s="7" t="s">
        <v>90</v>
      </c>
      <c r="G7397" s="7">
        <v>101.2129</v>
      </c>
      <c r="H7397" s="7"/>
    </row>
    <row r="7398" spans="1:8" x14ac:dyDescent="0.35">
      <c r="A7398" s="7" t="s">
        <v>371</v>
      </c>
      <c r="B7398" s="7" t="s">
        <v>26</v>
      </c>
      <c r="C7398" s="7" t="s">
        <v>27</v>
      </c>
      <c r="D7398" s="7" t="s">
        <v>28</v>
      </c>
      <c r="E7398" s="7" t="s">
        <v>29</v>
      </c>
      <c r="F7398" s="7" t="s">
        <v>91</v>
      </c>
      <c r="G7398" s="7">
        <v>101.1422</v>
      </c>
      <c r="H7398" s="7"/>
    </row>
    <row r="7399" spans="1:8" x14ac:dyDescent="0.35">
      <c r="A7399" s="7" t="s">
        <v>371</v>
      </c>
      <c r="B7399" s="7" t="s">
        <v>26</v>
      </c>
      <c r="C7399" s="7" t="s">
        <v>27</v>
      </c>
      <c r="D7399" s="7" t="s">
        <v>28</v>
      </c>
      <c r="E7399" s="7" t="s">
        <v>29</v>
      </c>
      <c r="F7399" s="7" t="s">
        <v>92</v>
      </c>
      <c r="G7399" s="7">
        <v>100.973</v>
      </c>
      <c r="H7399" s="7"/>
    </row>
    <row r="7400" spans="1:8" x14ac:dyDescent="0.35">
      <c r="A7400" s="7" t="s">
        <v>371</v>
      </c>
      <c r="B7400" s="7" t="s">
        <v>26</v>
      </c>
      <c r="C7400" s="7" t="s">
        <v>27</v>
      </c>
      <c r="D7400" s="7" t="s">
        <v>28</v>
      </c>
      <c r="E7400" s="7" t="s">
        <v>29</v>
      </c>
      <c r="F7400" s="7" t="s">
        <v>93</v>
      </c>
      <c r="G7400" s="7">
        <v>100.756</v>
      </c>
      <c r="H7400" s="7"/>
    </row>
    <row r="7401" spans="1:8" x14ac:dyDescent="0.35">
      <c r="A7401" s="7" t="s">
        <v>371</v>
      </c>
      <c r="B7401" s="7" t="s">
        <v>26</v>
      </c>
      <c r="C7401" s="7" t="s">
        <v>27</v>
      </c>
      <c r="D7401" s="7" t="s">
        <v>28</v>
      </c>
      <c r="E7401" s="7" t="s">
        <v>29</v>
      </c>
      <c r="F7401" s="7" t="s">
        <v>94</v>
      </c>
      <c r="G7401" s="7">
        <v>100.536</v>
      </c>
      <c r="H7401" s="7"/>
    </row>
    <row r="7402" spans="1:8" x14ac:dyDescent="0.35">
      <c r="A7402" s="7" t="s">
        <v>371</v>
      </c>
      <c r="B7402" s="7" t="s">
        <v>26</v>
      </c>
      <c r="C7402" s="7" t="s">
        <v>27</v>
      </c>
      <c r="D7402" s="7" t="s">
        <v>28</v>
      </c>
      <c r="E7402" s="7" t="s">
        <v>29</v>
      </c>
      <c r="F7402" s="7" t="s">
        <v>95</v>
      </c>
      <c r="G7402" s="7">
        <v>100.3402</v>
      </c>
      <c r="H7402" s="7"/>
    </row>
    <row r="7403" spans="1:8" x14ac:dyDescent="0.35">
      <c r="A7403" s="7" t="s">
        <v>371</v>
      </c>
      <c r="B7403" s="7" t="s">
        <v>26</v>
      </c>
      <c r="C7403" s="7" t="s">
        <v>27</v>
      </c>
      <c r="D7403" s="7" t="s">
        <v>28</v>
      </c>
      <c r="E7403" s="7" t="s">
        <v>29</v>
      </c>
      <c r="F7403" s="7" t="s">
        <v>96</v>
      </c>
      <c r="G7403" s="7">
        <v>100.16930000000001</v>
      </c>
      <c r="H7403" s="7"/>
    </row>
    <row r="7404" spans="1:8" x14ac:dyDescent="0.35">
      <c r="A7404" s="7" t="s">
        <v>371</v>
      </c>
      <c r="B7404" s="7" t="s">
        <v>26</v>
      </c>
      <c r="C7404" s="7" t="s">
        <v>27</v>
      </c>
      <c r="D7404" s="7" t="s">
        <v>28</v>
      </c>
      <c r="E7404" s="7" t="s">
        <v>29</v>
      </c>
      <c r="F7404" s="7" t="s">
        <v>97</v>
      </c>
      <c r="G7404" s="7">
        <v>100.0257</v>
      </c>
      <c r="H7404" s="7"/>
    </row>
    <row r="7405" spans="1:8" x14ac:dyDescent="0.35">
      <c r="A7405" s="7" t="s">
        <v>371</v>
      </c>
      <c r="B7405" s="7" t="s">
        <v>26</v>
      </c>
      <c r="C7405" s="7" t="s">
        <v>27</v>
      </c>
      <c r="D7405" s="7" t="s">
        <v>28</v>
      </c>
      <c r="E7405" s="7" t="s">
        <v>29</v>
      </c>
      <c r="F7405" s="7" t="s">
        <v>98</v>
      </c>
      <c r="G7405" s="7">
        <v>99.917050000000003</v>
      </c>
      <c r="H7405" s="7"/>
    </row>
    <row r="7406" spans="1:8" x14ac:dyDescent="0.35">
      <c r="A7406" s="7" t="s">
        <v>371</v>
      </c>
      <c r="B7406" s="7" t="s">
        <v>26</v>
      </c>
      <c r="C7406" s="7" t="s">
        <v>27</v>
      </c>
      <c r="D7406" s="7" t="s">
        <v>28</v>
      </c>
      <c r="E7406" s="7" t="s">
        <v>29</v>
      </c>
      <c r="F7406" s="7" t="s">
        <v>99</v>
      </c>
      <c r="G7406" s="7">
        <v>99.832070000000002</v>
      </c>
      <c r="H7406" s="7"/>
    </row>
    <row r="7407" spans="1:8" x14ac:dyDescent="0.35">
      <c r="A7407" s="7" t="s">
        <v>371</v>
      </c>
      <c r="B7407" s="7" t="s">
        <v>26</v>
      </c>
      <c r="C7407" s="7" t="s">
        <v>27</v>
      </c>
      <c r="D7407" s="7" t="s">
        <v>28</v>
      </c>
      <c r="E7407" s="7" t="s">
        <v>29</v>
      </c>
      <c r="F7407" s="7" t="s">
        <v>100</v>
      </c>
      <c r="G7407" s="7">
        <v>99.763530000000003</v>
      </c>
      <c r="H7407" s="7"/>
    </row>
    <row r="7408" spans="1:8" x14ac:dyDescent="0.35">
      <c r="A7408" s="7" t="s">
        <v>371</v>
      </c>
      <c r="B7408" s="7" t="s">
        <v>26</v>
      </c>
      <c r="C7408" s="7" t="s">
        <v>27</v>
      </c>
      <c r="D7408" s="7" t="s">
        <v>28</v>
      </c>
      <c r="E7408" s="7" t="s">
        <v>29</v>
      </c>
      <c r="F7408" s="7" t="s">
        <v>101</v>
      </c>
      <c r="G7408" s="7">
        <v>99.707409999999996</v>
      </c>
      <c r="H7408" s="7"/>
    </row>
    <row r="7409" spans="1:8" x14ac:dyDescent="0.35">
      <c r="A7409" s="7" t="s">
        <v>371</v>
      </c>
      <c r="B7409" s="7" t="s">
        <v>26</v>
      </c>
      <c r="C7409" s="7" t="s">
        <v>27</v>
      </c>
      <c r="D7409" s="7" t="s">
        <v>28</v>
      </c>
      <c r="E7409" s="7" t="s">
        <v>29</v>
      </c>
      <c r="F7409" s="7" t="s">
        <v>102</v>
      </c>
      <c r="G7409" s="7">
        <v>99.64555</v>
      </c>
      <c r="H7409" s="7"/>
    </row>
    <row r="7410" spans="1:8" x14ac:dyDescent="0.35">
      <c r="A7410" s="7" t="s">
        <v>371</v>
      </c>
      <c r="B7410" s="7" t="s">
        <v>26</v>
      </c>
      <c r="C7410" s="7" t="s">
        <v>27</v>
      </c>
      <c r="D7410" s="7" t="s">
        <v>28</v>
      </c>
      <c r="E7410" s="7" t="s">
        <v>29</v>
      </c>
      <c r="F7410" s="7" t="s">
        <v>103</v>
      </c>
      <c r="G7410" s="7">
        <v>99.548720000000003</v>
      </c>
      <c r="H7410" s="7"/>
    </row>
    <row r="7411" spans="1:8" x14ac:dyDescent="0.35">
      <c r="A7411" s="7" t="s">
        <v>371</v>
      </c>
      <c r="B7411" s="7" t="s">
        <v>26</v>
      </c>
      <c r="C7411" s="7" t="s">
        <v>27</v>
      </c>
      <c r="D7411" s="7" t="s">
        <v>28</v>
      </c>
      <c r="E7411" s="7" t="s">
        <v>29</v>
      </c>
      <c r="F7411" s="7" t="s">
        <v>104</v>
      </c>
      <c r="G7411" s="7">
        <v>99.385279999999995</v>
      </c>
      <c r="H7411" s="7"/>
    </row>
    <row r="7412" spans="1:8" x14ac:dyDescent="0.35">
      <c r="A7412" s="7" t="s">
        <v>371</v>
      </c>
      <c r="B7412" s="7" t="s">
        <v>26</v>
      </c>
      <c r="C7412" s="7" t="s">
        <v>27</v>
      </c>
      <c r="D7412" s="7" t="s">
        <v>28</v>
      </c>
      <c r="E7412" s="7" t="s">
        <v>29</v>
      </c>
      <c r="F7412" s="7" t="s">
        <v>105</v>
      </c>
      <c r="G7412" s="7">
        <v>99.164950000000005</v>
      </c>
      <c r="H7412" s="7"/>
    </row>
    <row r="7413" spans="1:8" x14ac:dyDescent="0.35">
      <c r="A7413" s="7" t="s">
        <v>371</v>
      </c>
      <c r="B7413" s="7" t="s">
        <v>26</v>
      </c>
      <c r="C7413" s="7" t="s">
        <v>27</v>
      </c>
      <c r="D7413" s="7" t="s">
        <v>28</v>
      </c>
      <c r="E7413" s="7" t="s">
        <v>29</v>
      </c>
      <c r="F7413" s="7" t="s">
        <v>106</v>
      </c>
      <c r="G7413" s="7">
        <v>98.889740000000003</v>
      </c>
      <c r="H7413" s="7"/>
    </row>
    <row r="7414" spans="1:8" x14ac:dyDescent="0.35">
      <c r="A7414" s="7" t="s">
        <v>371</v>
      </c>
      <c r="B7414" s="7" t="s">
        <v>26</v>
      </c>
      <c r="C7414" s="7" t="s">
        <v>27</v>
      </c>
      <c r="D7414" s="7" t="s">
        <v>28</v>
      </c>
      <c r="E7414" s="7" t="s">
        <v>29</v>
      </c>
      <c r="F7414" s="7" t="s">
        <v>107</v>
      </c>
      <c r="G7414" s="7">
        <v>98.561760000000007</v>
      </c>
      <c r="H7414" s="7"/>
    </row>
    <row r="7415" spans="1:8" x14ac:dyDescent="0.35">
      <c r="A7415" s="7" t="s">
        <v>371</v>
      </c>
      <c r="B7415" s="7" t="s">
        <v>26</v>
      </c>
      <c r="C7415" s="7" t="s">
        <v>27</v>
      </c>
      <c r="D7415" s="7" t="s">
        <v>28</v>
      </c>
      <c r="E7415" s="7" t="s">
        <v>29</v>
      </c>
      <c r="F7415" s="7" t="s">
        <v>108</v>
      </c>
      <c r="G7415" s="7">
        <v>98.245949999999993</v>
      </c>
      <c r="H7415" s="7"/>
    </row>
    <row r="7416" spans="1:8" x14ac:dyDescent="0.35">
      <c r="A7416" s="7" t="s">
        <v>371</v>
      </c>
      <c r="B7416" s="7" t="s">
        <v>26</v>
      </c>
      <c r="C7416" s="7" t="s">
        <v>27</v>
      </c>
      <c r="D7416" s="7" t="s">
        <v>28</v>
      </c>
      <c r="E7416" s="7" t="s">
        <v>29</v>
      </c>
      <c r="F7416" s="7" t="s">
        <v>109</v>
      </c>
      <c r="G7416" s="7">
        <v>98.042519999999996</v>
      </c>
      <c r="H7416" s="7"/>
    </row>
    <row r="7417" spans="1:8" x14ac:dyDescent="0.35">
      <c r="A7417" s="7" t="s">
        <v>371</v>
      </c>
      <c r="B7417" s="7" t="s">
        <v>26</v>
      </c>
      <c r="C7417" s="7" t="s">
        <v>27</v>
      </c>
      <c r="D7417" s="7" t="s">
        <v>28</v>
      </c>
      <c r="E7417" s="7" t="s">
        <v>29</v>
      </c>
      <c r="F7417" s="7" t="s">
        <v>110</v>
      </c>
      <c r="G7417" s="7">
        <v>98.047229999999999</v>
      </c>
      <c r="H7417" s="7"/>
    </row>
    <row r="7418" spans="1:8" x14ac:dyDescent="0.35">
      <c r="A7418" s="7" t="s">
        <v>371</v>
      </c>
      <c r="B7418" s="7" t="s">
        <v>26</v>
      </c>
      <c r="C7418" s="7" t="s">
        <v>27</v>
      </c>
      <c r="D7418" s="7" t="s">
        <v>28</v>
      </c>
      <c r="E7418" s="7" t="s">
        <v>29</v>
      </c>
      <c r="F7418" s="7" t="s">
        <v>111</v>
      </c>
      <c r="G7418" s="7">
        <v>98.199349999999995</v>
      </c>
      <c r="H7418" s="7"/>
    </row>
    <row r="7419" spans="1:8" x14ac:dyDescent="0.35">
      <c r="A7419" s="7" t="s">
        <v>371</v>
      </c>
      <c r="B7419" s="7" t="s">
        <v>26</v>
      </c>
      <c r="C7419" s="7" t="s">
        <v>27</v>
      </c>
      <c r="D7419" s="7" t="s">
        <v>28</v>
      </c>
      <c r="E7419" s="7" t="s">
        <v>29</v>
      </c>
      <c r="F7419" s="7" t="s">
        <v>112</v>
      </c>
      <c r="G7419" s="7">
        <v>98.452560000000005</v>
      </c>
      <c r="H7419" s="7"/>
    </row>
    <row r="7420" spans="1:8" x14ac:dyDescent="0.35">
      <c r="A7420" s="7" t="s">
        <v>371</v>
      </c>
      <c r="B7420" s="7" t="s">
        <v>26</v>
      </c>
      <c r="C7420" s="7" t="s">
        <v>27</v>
      </c>
      <c r="D7420" s="7" t="s">
        <v>28</v>
      </c>
      <c r="E7420" s="7" t="s">
        <v>29</v>
      </c>
      <c r="F7420" s="7" t="s">
        <v>113</v>
      </c>
      <c r="G7420" s="7">
        <v>98.798659999999998</v>
      </c>
      <c r="H7420" s="7"/>
    </row>
    <row r="7421" spans="1:8" x14ac:dyDescent="0.35">
      <c r="A7421" s="7" t="s">
        <v>371</v>
      </c>
      <c r="B7421" s="7" t="s">
        <v>26</v>
      </c>
      <c r="C7421" s="7" t="s">
        <v>27</v>
      </c>
      <c r="D7421" s="7" t="s">
        <v>28</v>
      </c>
      <c r="E7421" s="7" t="s">
        <v>29</v>
      </c>
      <c r="F7421" s="7" t="s">
        <v>114</v>
      </c>
      <c r="G7421" s="7">
        <v>99.190020000000004</v>
      </c>
      <c r="H7421" s="7"/>
    </row>
    <row r="7422" spans="1:8" x14ac:dyDescent="0.35">
      <c r="A7422" s="7" t="s">
        <v>371</v>
      </c>
      <c r="B7422" s="7" t="s">
        <v>26</v>
      </c>
      <c r="C7422" s="7" t="s">
        <v>27</v>
      </c>
      <c r="D7422" s="7" t="s">
        <v>28</v>
      </c>
      <c r="E7422" s="7" t="s">
        <v>29</v>
      </c>
      <c r="F7422" s="7" t="s">
        <v>115</v>
      </c>
      <c r="G7422" s="7">
        <v>99.58578</v>
      </c>
      <c r="H7422" s="7"/>
    </row>
    <row r="7423" spans="1:8" x14ac:dyDescent="0.35">
      <c r="A7423" s="7" t="s">
        <v>371</v>
      </c>
      <c r="B7423" s="7" t="s">
        <v>26</v>
      </c>
      <c r="C7423" s="7" t="s">
        <v>27</v>
      </c>
      <c r="D7423" s="7" t="s">
        <v>28</v>
      </c>
      <c r="E7423" s="7" t="s">
        <v>29</v>
      </c>
      <c r="F7423" s="7" t="s">
        <v>116</v>
      </c>
      <c r="G7423" s="7">
        <v>99.952849999999998</v>
      </c>
      <c r="H7423" s="7"/>
    </row>
    <row r="7424" spans="1:8" x14ac:dyDescent="0.35">
      <c r="A7424" s="7" t="s">
        <v>371</v>
      </c>
      <c r="B7424" s="7" t="s">
        <v>26</v>
      </c>
      <c r="C7424" s="7" t="s">
        <v>27</v>
      </c>
      <c r="D7424" s="7" t="s">
        <v>28</v>
      </c>
      <c r="E7424" s="7" t="s">
        <v>29</v>
      </c>
      <c r="F7424" s="7" t="s">
        <v>117</v>
      </c>
      <c r="G7424" s="7">
        <v>100.2624</v>
      </c>
      <c r="H7424" s="7"/>
    </row>
    <row r="7425" spans="1:8" x14ac:dyDescent="0.35">
      <c r="A7425" s="7" t="s">
        <v>371</v>
      </c>
      <c r="B7425" s="7" t="s">
        <v>26</v>
      </c>
      <c r="C7425" s="7" t="s">
        <v>27</v>
      </c>
      <c r="D7425" s="7" t="s">
        <v>28</v>
      </c>
      <c r="E7425" s="7" t="s">
        <v>29</v>
      </c>
      <c r="F7425" s="7" t="s">
        <v>118</v>
      </c>
      <c r="G7425" s="7">
        <v>100.4579</v>
      </c>
      <c r="H7425" s="7"/>
    </row>
    <row r="7426" spans="1:8" x14ac:dyDescent="0.35">
      <c r="A7426" s="7" t="s">
        <v>371</v>
      </c>
      <c r="B7426" s="7" t="s">
        <v>26</v>
      </c>
      <c r="C7426" s="7" t="s">
        <v>27</v>
      </c>
      <c r="D7426" s="7" t="s">
        <v>28</v>
      </c>
      <c r="E7426" s="7" t="s">
        <v>29</v>
      </c>
      <c r="F7426" s="7" t="s">
        <v>119</v>
      </c>
      <c r="G7426" s="7">
        <v>100.4807</v>
      </c>
      <c r="H7426" s="7"/>
    </row>
    <row r="7427" spans="1:8" x14ac:dyDescent="0.35">
      <c r="A7427" s="7" t="s">
        <v>371</v>
      </c>
      <c r="B7427" s="7" t="s">
        <v>26</v>
      </c>
      <c r="C7427" s="7" t="s">
        <v>27</v>
      </c>
      <c r="D7427" s="7" t="s">
        <v>28</v>
      </c>
      <c r="E7427" s="7" t="s">
        <v>29</v>
      </c>
      <c r="F7427" s="7" t="s">
        <v>120</v>
      </c>
      <c r="G7427" s="7">
        <v>100.40949999999999</v>
      </c>
      <c r="H7427" s="7"/>
    </row>
    <row r="7428" spans="1:8" x14ac:dyDescent="0.35">
      <c r="A7428" s="7" t="s">
        <v>371</v>
      </c>
      <c r="B7428" s="7" t="s">
        <v>26</v>
      </c>
      <c r="C7428" s="7" t="s">
        <v>27</v>
      </c>
      <c r="D7428" s="7" t="s">
        <v>28</v>
      </c>
      <c r="E7428" s="7" t="s">
        <v>29</v>
      </c>
      <c r="F7428" s="7" t="s">
        <v>121</v>
      </c>
      <c r="G7428" s="7">
        <v>100.3317</v>
      </c>
      <c r="H7428" s="7"/>
    </row>
    <row r="7429" spans="1:8" x14ac:dyDescent="0.35">
      <c r="A7429" s="7" t="s">
        <v>371</v>
      </c>
      <c r="B7429" s="7" t="s">
        <v>26</v>
      </c>
      <c r="C7429" s="7" t="s">
        <v>27</v>
      </c>
      <c r="D7429" s="7" t="s">
        <v>28</v>
      </c>
      <c r="E7429" s="7" t="s">
        <v>29</v>
      </c>
      <c r="F7429" s="7" t="s">
        <v>122</v>
      </c>
      <c r="G7429" s="7">
        <v>100.30759999999999</v>
      </c>
      <c r="H7429" s="7"/>
    </row>
    <row r="7430" spans="1:8" x14ac:dyDescent="0.35">
      <c r="A7430" s="7" t="s">
        <v>371</v>
      </c>
      <c r="B7430" s="7" t="s">
        <v>26</v>
      </c>
      <c r="C7430" s="7" t="s">
        <v>27</v>
      </c>
      <c r="D7430" s="7" t="s">
        <v>28</v>
      </c>
      <c r="E7430" s="7" t="s">
        <v>29</v>
      </c>
      <c r="F7430" s="7" t="s">
        <v>123</v>
      </c>
      <c r="G7430" s="7">
        <v>100.3429</v>
      </c>
      <c r="H7430" s="7"/>
    </row>
    <row r="7431" spans="1:8" x14ac:dyDescent="0.35">
      <c r="A7431" s="7" t="s">
        <v>371</v>
      </c>
      <c r="B7431" s="7" t="s">
        <v>26</v>
      </c>
      <c r="C7431" s="7" t="s">
        <v>27</v>
      </c>
      <c r="D7431" s="7" t="s">
        <v>28</v>
      </c>
      <c r="E7431" s="7" t="s">
        <v>29</v>
      </c>
      <c r="F7431" s="7" t="s">
        <v>124</v>
      </c>
      <c r="G7431" s="7">
        <v>100.4485</v>
      </c>
      <c r="H7431" s="7"/>
    </row>
    <row r="7432" spans="1:8" x14ac:dyDescent="0.35">
      <c r="A7432" s="7" t="s">
        <v>371</v>
      </c>
      <c r="B7432" s="7" t="s">
        <v>26</v>
      </c>
      <c r="C7432" s="7" t="s">
        <v>27</v>
      </c>
      <c r="D7432" s="7" t="s">
        <v>28</v>
      </c>
      <c r="E7432" s="7" t="s">
        <v>29</v>
      </c>
      <c r="F7432" s="7" t="s">
        <v>125</v>
      </c>
      <c r="G7432" s="7">
        <v>100.6431</v>
      </c>
      <c r="H7432" s="7"/>
    </row>
    <row r="7433" spans="1:8" x14ac:dyDescent="0.35">
      <c r="A7433" s="7" t="s">
        <v>371</v>
      </c>
      <c r="B7433" s="7" t="s">
        <v>26</v>
      </c>
      <c r="C7433" s="7" t="s">
        <v>27</v>
      </c>
      <c r="D7433" s="7" t="s">
        <v>28</v>
      </c>
      <c r="E7433" s="7" t="s">
        <v>29</v>
      </c>
      <c r="F7433" s="7" t="s">
        <v>126</v>
      </c>
      <c r="G7433" s="7">
        <v>100.88330000000001</v>
      </c>
      <c r="H7433" s="7"/>
    </row>
    <row r="7434" spans="1:8" x14ac:dyDescent="0.35">
      <c r="A7434" s="7" t="s">
        <v>371</v>
      </c>
      <c r="B7434" s="7" t="s">
        <v>26</v>
      </c>
      <c r="C7434" s="7" t="s">
        <v>27</v>
      </c>
      <c r="D7434" s="7" t="s">
        <v>28</v>
      </c>
      <c r="E7434" s="7" t="s">
        <v>29</v>
      </c>
      <c r="F7434" s="7" t="s">
        <v>127</v>
      </c>
      <c r="G7434" s="7">
        <v>101.11499999999999</v>
      </c>
      <c r="H7434" s="7"/>
    </row>
    <row r="7435" spans="1:8" x14ac:dyDescent="0.35">
      <c r="A7435" s="7" t="s">
        <v>371</v>
      </c>
      <c r="B7435" s="7" t="s">
        <v>26</v>
      </c>
      <c r="C7435" s="7" t="s">
        <v>27</v>
      </c>
      <c r="D7435" s="7" t="s">
        <v>28</v>
      </c>
      <c r="E7435" s="7" t="s">
        <v>29</v>
      </c>
      <c r="F7435" s="7" t="s">
        <v>128</v>
      </c>
      <c r="G7435" s="7">
        <v>101.2782</v>
      </c>
      <c r="H7435" s="7"/>
    </row>
    <row r="7436" spans="1:8" x14ac:dyDescent="0.35">
      <c r="A7436" s="7" t="s">
        <v>371</v>
      </c>
      <c r="B7436" s="7" t="s">
        <v>26</v>
      </c>
      <c r="C7436" s="7" t="s">
        <v>27</v>
      </c>
      <c r="D7436" s="7" t="s">
        <v>28</v>
      </c>
      <c r="E7436" s="7" t="s">
        <v>29</v>
      </c>
      <c r="F7436" s="7" t="s">
        <v>129</v>
      </c>
      <c r="G7436" s="7">
        <v>101.3202</v>
      </c>
      <c r="H7436" s="7"/>
    </row>
    <row r="7437" spans="1:8" x14ac:dyDescent="0.35">
      <c r="A7437" s="7" t="s">
        <v>371</v>
      </c>
      <c r="B7437" s="7" t="s">
        <v>26</v>
      </c>
      <c r="C7437" s="7" t="s">
        <v>27</v>
      </c>
      <c r="D7437" s="7" t="s">
        <v>28</v>
      </c>
      <c r="E7437" s="7" t="s">
        <v>29</v>
      </c>
      <c r="F7437" s="7" t="s">
        <v>130</v>
      </c>
      <c r="G7437" s="7">
        <v>101.13079999999999</v>
      </c>
      <c r="H7437" s="7"/>
    </row>
    <row r="7438" spans="1:8" x14ac:dyDescent="0.35">
      <c r="A7438" s="7" t="s">
        <v>371</v>
      </c>
      <c r="B7438" s="7" t="s">
        <v>26</v>
      </c>
      <c r="C7438" s="7" t="s">
        <v>27</v>
      </c>
      <c r="D7438" s="7" t="s">
        <v>28</v>
      </c>
      <c r="E7438" s="7" t="s">
        <v>29</v>
      </c>
      <c r="F7438" s="7" t="s">
        <v>131</v>
      </c>
      <c r="G7438" s="7">
        <v>100.5984</v>
      </c>
      <c r="H7438" s="7"/>
    </row>
    <row r="7439" spans="1:8" x14ac:dyDescent="0.35">
      <c r="A7439" s="7" t="s">
        <v>371</v>
      </c>
      <c r="B7439" s="7" t="s">
        <v>26</v>
      </c>
      <c r="C7439" s="7" t="s">
        <v>27</v>
      </c>
      <c r="D7439" s="7" t="s">
        <v>28</v>
      </c>
      <c r="E7439" s="7" t="s">
        <v>29</v>
      </c>
      <c r="F7439" s="7" t="s">
        <v>132</v>
      </c>
      <c r="G7439" s="7">
        <v>99.89716</v>
      </c>
      <c r="H7439" s="7"/>
    </row>
    <row r="7440" spans="1:8" x14ac:dyDescent="0.35">
      <c r="A7440" s="7" t="s">
        <v>371</v>
      </c>
      <c r="B7440" s="7" t="s">
        <v>26</v>
      </c>
      <c r="C7440" s="7" t="s">
        <v>27</v>
      </c>
      <c r="D7440" s="7" t="s">
        <v>28</v>
      </c>
      <c r="E7440" s="7" t="s">
        <v>29</v>
      </c>
      <c r="F7440" s="7" t="s">
        <v>133</v>
      </c>
      <c r="G7440" s="7">
        <v>99.239019999999996</v>
      </c>
      <c r="H7440" s="7"/>
    </row>
    <row r="7441" spans="1:8" x14ac:dyDescent="0.35">
      <c r="A7441" s="7" t="s">
        <v>371</v>
      </c>
      <c r="B7441" s="7" t="s">
        <v>26</v>
      </c>
      <c r="C7441" s="7" t="s">
        <v>27</v>
      </c>
      <c r="D7441" s="7" t="s">
        <v>28</v>
      </c>
      <c r="E7441" s="7" t="s">
        <v>29</v>
      </c>
      <c r="F7441" s="7" t="s">
        <v>134</v>
      </c>
      <c r="G7441" s="7">
        <v>98.794489999999996</v>
      </c>
      <c r="H7441" s="7"/>
    </row>
    <row r="7442" spans="1:8" x14ac:dyDescent="0.35">
      <c r="A7442" s="7" t="s">
        <v>371</v>
      </c>
      <c r="B7442" s="7" t="s">
        <v>26</v>
      </c>
      <c r="C7442" s="7" t="s">
        <v>27</v>
      </c>
      <c r="D7442" s="7" t="s">
        <v>28</v>
      </c>
      <c r="E7442" s="7" t="s">
        <v>29</v>
      </c>
      <c r="F7442" s="7" t="s">
        <v>135</v>
      </c>
      <c r="G7442" s="7">
        <v>98.570239999999998</v>
      </c>
      <c r="H7442" s="7"/>
    </row>
    <row r="7443" spans="1:8" x14ac:dyDescent="0.35">
      <c r="A7443" s="7" t="s">
        <v>371</v>
      </c>
      <c r="B7443" s="7" t="s">
        <v>26</v>
      </c>
      <c r="C7443" s="7" t="s">
        <v>27</v>
      </c>
      <c r="D7443" s="7" t="s">
        <v>28</v>
      </c>
      <c r="E7443" s="7" t="s">
        <v>29</v>
      </c>
      <c r="F7443" s="7" t="s">
        <v>136</v>
      </c>
      <c r="G7443" s="7">
        <v>98.616519999999994</v>
      </c>
      <c r="H7443" s="7"/>
    </row>
    <row r="7444" spans="1:8" x14ac:dyDescent="0.35">
      <c r="A7444" s="7" t="s">
        <v>371</v>
      </c>
      <c r="B7444" s="7" t="s">
        <v>26</v>
      </c>
      <c r="C7444" s="7" t="s">
        <v>27</v>
      </c>
      <c r="D7444" s="7" t="s">
        <v>28</v>
      </c>
      <c r="E7444" s="7" t="s">
        <v>29</v>
      </c>
      <c r="F7444" s="7" t="s">
        <v>137</v>
      </c>
      <c r="G7444" s="7">
        <v>99.014520000000005</v>
      </c>
      <c r="H7444" s="7"/>
    </row>
    <row r="7445" spans="1:8" x14ac:dyDescent="0.35">
      <c r="A7445" s="7" t="s">
        <v>371</v>
      </c>
      <c r="B7445" s="7" t="s">
        <v>26</v>
      </c>
      <c r="C7445" s="7" t="s">
        <v>27</v>
      </c>
      <c r="D7445" s="7" t="s">
        <v>28</v>
      </c>
      <c r="E7445" s="7" t="s">
        <v>29</v>
      </c>
      <c r="F7445" s="7" t="s">
        <v>138</v>
      </c>
      <c r="G7445" s="7">
        <v>99.592969999999994</v>
      </c>
      <c r="H7445" s="7"/>
    </row>
    <row r="7446" spans="1:8" x14ac:dyDescent="0.35">
      <c r="A7446" s="7" t="s">
        <v>371</v>
      </c>
      <c r="B7446" s="7" t="s">
        <v>26</v>
      </c>
      <c r="C7446" s="7" t="s">
        <v>27</v>
      </c>
      <c r="D7446" s="7" t="s">
        <v>28</v>
      </c>
      <c r="E7446" s="7" t="s">
        <v>29</v>
      </c>
      <c r="F7446" s="7" t="s">
        <v>139</v>
      </c>
      <c r="G7446" s="7">
        <v>100.1718</v>
      </c>
      <c r="H7446" s="7"/>
    </row>
    <row r="7447" spans="1:8" x14ac:dyDescent="0.35">
      <c r="A7447" s="7" t="s">
        <v>371</v>
      </c>
      <c r="B7447" s="7" t="s">
        <v>26</v>
      </c>
      <c r="C7447" s="7" t="s">
        <v>27</v>
      </c>
      <c r="D7447" s="7" t="s">
        <v>28</v>
      </c>
      <c r="E7447" s="7" t="s">
        <v>29</v>
      </c>
      <c r="F7447" s="7" t="s">
        <v>140</v>
      </c>
      <c r="G7447" s="7">
        <v>100.62520000000001</v>
      </c>
      <c r="H7447" s="7"/>
    </row>
    <row r="7448" spans="1:8" x14ac:dyDescent="0.35">
      <c r="A7448" s="7" t="s">
        <v>371</v>
      </c>
      <c r="B7448" s="7" t="s">
        <v>26</v>
      </c>
      <c r="C7448" s="7" t="s">
        <v>27</v>
      </c>
      <c r="D7448" s="7" t="s">
        <v>28</v>
      </c>
      <c r="E7448" s="7" t="s">
        <v>29</v>
      </c>
      <c r="F7448" s="7" t="s">
        <v>141</v>
      </c>
      <c r="G7448" s="7">
        <v>100.9444</v>
      </c>
      <c r="H7448" s="7"/>
    </row>
    <row r="7449" spans="1:8" x14ac:dyDescent="0.35">
      <c r="A7449" s="7" t="s">
        <v>371</v>
      </c>
      <c r="B7449" s="7" t="s">
        <v>26</v>
      </c>
      <c r="C7449" s="7" t="s">
        <v>27</v>
      </c>
      <c r="D7449" s="7" t="s">
        <v>28</v>
      </c>
      <c r="E7449" s="7" t="s">
        <v>29</v>
      </c>
      <c r="F7449" s="7" t="s">
        <v>142</v>
      </c>
      <c r="G7449" s="7">
        <v>101.1032</v>
      </c>
      <c r="H7449" s="7"/>
    </row>
    <row r="7450" spans="1:8" x14ac:dyDescent="0.35">
      <c r="A7450" s="7" t="s">
        <v>371</v>
      </c>
      <c r="B7450" s="7" t="s">
        <v>26</v>
      </c>
      <c r="C7450" s="7" t="s">
        <v>27</v>
      </c>
      <c r="D7450" s="7" t="s">
        <v>28</v>
      </c>
      <c r="E7450" s="7" t="s">
        <v>29</v>
      </c>
      <c r="F7450" s="7" t="s">
        <v>143</v>
      </c>
      <c r="G7450" s="7">
        <v>101.0573</v>
      </c>
      <c r="H7450" s="7"/>
    </row>
    <row r="7451" spans="1:8" x14ac:dyDescent="0.35">
      <c r="A7451" s="7" t="s">
        <v>371</v>
      </c>
      <c r="B7451" s="7" t="s">
        <v>26</v>
      </c>
      <c r="C7451" s="7" t="s">
        <v>27</v>
      </c>
      <c r="D7451" s="7" t="s">
        <v>28</v>
      </c>
      <c r="E7451" s="7" t="s">
        <v>29</v>
      </c>
      <c r="F7451" s="7" t="s">
        <v>144</v>
      </c>
      <c r="G7451" s="7">
        <v>100.9041</v>
      </c>
      <c r="H7451" s="7"/>
    </row>
    <row r="7452" spans="1:8" x14ac:dyDescent="0.35">
      <c r="A7452" s="7" t="s">
        <v>371</v>
      </c>
      <c r="B7452" s="7" t="s">
        <v>26</v>
      </c>
      <c r="C7452" s="7" t="s">
        <v>27</v>
      </c>
      <c r="D7452" s="7" t="s">
        <v>28</v>
      </c>
      <c r="E7452" s="7" t="s">
        <v>29</v>
      </c>
      <c r="F7452" s="7" t="s">
        <v>145</v>
      </c>
      <c r="G7452" s="7">
        <v>100.74120000000001</v>
      </c>
      <c r="H7452" s="7"/>
    </row>
    <row r="7453" spans="1:8" x14ac:dyDescent="0.35">
      <c r="A7453" s="7" t="s">
        <v>371</v>
      </c>
      <c r="B7453" s="7" t="s">
        <v>26</v>
      </c>
      <c r="C7453" s="7" t="s">
        <v>27</v>
      </c>
      <c r="D7453" s="7" t="s">
        <v>28</v>
      </c>
      <c r="E7453" s="7" t="s">
        <v>29</v>
      </c>
      <c r="F7453" s="7" t="s">
        <v>146</v>
      </c>
      <c r="G7453" s="7">
        <v>100.6311</v>
      </c>
      <c r="H7453" s="7"/>
    </row>
    <row r="7454" spans="1:8" x14ac:dyDescent="0.35">
      <c r="A7454" s="7" t="s">
        <v>371</v>
      </c>
      <c r="B7454" s="7" t="s">
        <v>26</v>
      </c>
      <c r="C7454" s="7" t="s">
        <v>27</v>
      </c>
      <c r="D7454" s="7" t="s">
        <v>28</v>
      </c>
      <c r="E7454" s="7" t="s">
        <v>29</v>
      </c>
      <c r="F7454" s="7" t="s">
        <v>147</v>
      </c>
      <c r="G7454" s="7">
        <v>100.57599999999999</v>
      </c>
      <c r="H7454" s="7"/>
    </row>
    <row r="7455" spans="1:8" x14ac:dyDescent="0.35">
      <c r="A7455" s="7" t="s">
        <v>371</v>
      </c>
      <c r="B7455" s="7" t="s">
        <v>26</v>
      </c>
      <c r="C7455" s="7" t="s">
        <v>27</v>
      </c>
      <c r="D7455" s="7" t="s">
        <v>28</v>
      </c>
      <c r="E7455" s="7" t="s">
        <v>29</v>
      </c>
      <c r="F7455" s="7" t="s">
        <v>148</v>
      </c>
      <c r="G7455" s="7">
        <v>100.57940000000001</v>
      </c>
      <c r="H7455" s="7"/>
    </row>
    <row r="7456" spans="1:8" x14ac:dyDescent="0.35">
      <c r="A7456" s="7" t="s">
        <v>371</v>
      </c>
      <c r="B7456" s="7" t="s">
        <v>26</v>
      </c>
      <c r="C7456" s="7" t="s">
        <v>27</v>
      </c>
      <c r="D7456" s="7" t="s">
        <v>28</v>
      </c>
      <c r="E7456" s="7" t="s">
        <v>29</v>
      </c>
      <c r="F7456" s="7" t="s">
        <v>149</v>
      </c>
      <c r="G7456" s="7">
        <v>100.65170000000001</v>
      </c>
      <c r="H7456" s="7"/>
    </row>
    <row r="7457" spans="1:8" x14ac:dyDescent="0.35">
      <c r="A7457" s="7" t="s">
        <v>371</v>
      </c>
      <c r="B7457" s="7" t="s">
        <v>26</v>
      </c>
      <c r="C7457" s="7" t="s">
        <v>27</v>
      </c>
      <c r="D7457" s="7" t="s">
        <v>28</v>
      </c>
      <c r="E7457" s="7" t="s">
        <v>29</v>
      </c>
      <c r="F7457" s="7" t="s">
        <v>150</v>
      </c>
      <c r="G7457" s="7">
        <v>100.7582</v>
      </c>
      <c r="H7457" s="7"/>
    </row>
    <row r="7458" spans="1:8" x14ac:dyDescent="0.35">
      <c r="A7458" s="7" t="s">
        <v>371</v>
      </c>
      <c r="B7458" s="7" t="s">
        <v>26</v>
      </c>
      <c r="C7458" s="7" t="s">
        <v>27</v>
      </c>
      <c r="D7458" s="7" t="s">
        <v>28</v>
      </c>
      <c r="E7458" s="7" t="s">
        <v>29</v>
      </c>
      <c r="F7458" s="7" t="s">
        <v>151</v>
      </c>
      <c r="G7458" s="7">
        <v>100.8647</v>
      </c>
      <c r="H7458" s="7"/>
    </row>
    <row r="7459" spans="1:8" x14ac:dyDescent="0.35">
      <c r="A7459" s="7" t="s">
        <v>371</v>
      </c>
      <c r="B7459" s="7" t="s">
        <v>26</v>
      </c>
      <c r="C7459" s="7" t="s">
        <v>27</v>
      </c>
      <c r="D7459" s="7" t="s">
        <v>28</v>
      </c>
      <c r="E7459" s="7" t="s">
        <v>29</v>
      </c>
      <c r="F7459" s="7" t="s">
        <v>152</v>
      </c>
      <c r="G7459" s="7">
        <v>100.95</v>
      </c>
      <c r="H7459" s="7"/>
    </row>
    <row r="7460" spans="1:8" x14ac:dyDescent="0.35">
      <c r="A7460" s="7" t="s">
        <v>371</v>
      </c>
      <c r="B7460" s="7" t="s">
        <v>26</v>
      </c>
      <c r="C7460" s="7" t="s">
        <v>27</v>
      </c>
      <c r="D7460" s="7" t="s">
        <v>28</v>
      </c>
      <c r="E7460" s="7" t="s">
        <v>29</v>
      </c>
      <c r="F7460" s="7" t="s">
        <v>153</v>
      </c>
      <c r="G7460" s="7">
        <v>101.0179</v>
      </c>
      <c r="H7460" s="7"/>
    </row>
    <row r="7461" spans="1:8" x14ac:dyDescent="0.35">
      <c r="A7461" s="7" t="s">
        <v>371</v>
      </c>
      <c r="B7461" s="7" t="s">
        <v>26</v>
      </c>
      <c r="C7461" s="7" t="s">
        <v>27</v>
      </c>
      <c r="D7461" s="7" t="s">
        <v>28</v>
      </c>
      <c r="E7461" s="7" t="s">
        <v>29</v>
      </c>
      <c r="F7461" s="7" t="s">
        <v>154</v>
      </c>
      <c r="G7461" s="7">
        <v>101.0729</v>
      </c>
      <c r="H7461" s="7"/>
    </row>
    <row r="7462" spans="1:8" x14ac:dyDescent="0.35">
      <c r="A7462" s="7" t="s">
        <v>371</v>
      </c>
      <c r="B7462" s="7" t="s">
        <v>26</v>
      </c>
      <c r="C7462" s="7" t="s">
        <v>27</v>
      </c>
      <c r="D7462" s="7" t="s">
        <v>28</v>
      </c>
      <c r="E7462" s="7" t="s">
        <v>29</v>
      </c>
      <c r="F7462" s="7" t="s">
        <v>155</v>
      </c>
      <c r="G7462" s="7">
        <v>101.1138</v>
      </c>
      <c r="H7462" s="7"/>
    </row>
    <row r="7463" spans="1:8" x14ac:dyDescent="0.35">
      <c r="A7463" s="7" t="s">
        <v>371</v>
      </c>
      <c r="B7463" s="7" t="s">
        <v>26</v>
      </c>
      <c r="C7463" s="7" t="s">
        <v>27</v>
      </c>
      <c r="D7463" s="7" t="s">
        <v>28</v>
      </c>
      <c r="E7463" s="7" t="s">
        <v>29</v>
      </c>
      <c r="F7463" s="7" t="s">
        <v>156</v>
      </c>
      <c r="G7463" s="7">
        <v>101.1399</v>
      </c>
      <c r="H7463" s="7"/>
    </row>
    <row r="7464" spans="1:8" x14ac:dyDescent="0.35">
      <c r="A7464" s="7" t="s">
        <v>371</v>
      </c>
      <c r="B7464" s="7" t="s">
        <v>26</v>
      </c>
      <c r="C7464" s="7" t="s">
        <v>27</v>
      </c>
      <c r="D7464" s="7" t="s">
        <v>28</v>
      </c>
      <c r="E7464" s="7" t="s">
        <v>29</v>
      </c>
      <c r="F7464" s="7" t="s">
        <v>157</v>
      </c>
      <c r="G7464" s="7">
        <v>101.1431</v>
      </c>
      <c r="H7464" s="7"/>
    </row>
    <row r="7465" spans="1:8" x14ac:dyDescent="0.35">
      <c r="A7465" s="7" t="s">
        <v>371</v>
      </c>
      <c r="B7465" s="7" t="s">
        <v>26</v>
      </c>
      <c r="C7465" s="7" t="s">
        <v>27</v>
      </c>
      <c r="D7465" s="7" t="s">
        <v>28</v>
      </c>
      <c r="E7465" s="7" t="s">
        <v>29</v>
      </c>
      <c r="F7465" s="7" t="s">
        <v>158</v>
      </c>
      <c r="G7465" s="7">
        <v>101.1139</v>
      </c>
      <c r="H7465" s="7"/>
    </row>
    <row r="7466" spans="1:8" x14ac:dyDescent="0.35">
      <c r="A7466" s="7" t="s">
        <v>371</v>
      </c>
      <c r="B7466" s="7" t="s">
        <v>26</v>
      </c>
      <c r="C7466" s="7" t="s">
        <v>27</v>
      </c>
      <c r="D7466" s="7" t="s">
        <v>28</v>
      </c>
      <c r="E7466" s="7" t="s">
        <v>29</v>
      </c>
      <c r="F7466" s="7" t="s">
        <v>159</v>
      </c>
      <c r="G7466" s="7">
        <v>101.0716</v>
      </c>
      <c r="H7466" s="7"/>
    </row>
    <row r="7467" spans="1:8" x14ac:dyDescent="0.35">
      <c r="A7467" s="7" t="s">
        <v>371</v>
      </c>
      <c r="B7467" s="7" t="s">
        <v>26</v>
      </c>
      <c r="C7467" s="7" t="s">
        <v>27</v>
      </c>
      <c r="D7467" s="7" t="s">
        <v>28</v>
      </c>
      <c r="E7467" s="7" t="s">
        <v>29</v>
      </c>
      <c r="F7467" s="7" t="s">
        <v>160</v>
      </c>
      <c r="G7467" s="7">
        <v>101.03579999999999</v>
      </c>
      <c r="H7467" s="7"/>
    </row>
    <row r="7468" spans="1:8" x14ac:dyDescent="0.35">
      <c r="A7468" s="7" t="s">
        <v>371</v>
      </c>
      <c r="B7468" s="7" t="s">
        <v>26</v>
      </c>
      <c r="C7468" s="7" t="s">
        <v>27</v>
      </c>
      <c r="D7468" s="7" t="s">
        <v>28</v>
      </c>
      <c r="E7468" s="7" t="s">
        <v>29</v>
      </c>
      <c r="F7468" s="7" t="s">
        <v>161</v>
      </c>
      <c r="G7468" s="7">
        <v>101.0115</v>
      </c>
      <c r="H7468" s="7"/>
    </row>
    <row r="7469" spans="1:8" x14ac:dyDescent="0.35">
      <c r="A7469" s="7" t="s">
        <v>371</v>
      </c>
      <c r="B7469" s="7" t="s">
        <v>26</v>
      </c>
      <c r="C7469" s="7" t="s">
        <v>27</v>
      </c>
      <c r="D7469" s="7" t="s">
        <v>28</v>
      </c>
      <c r="E7469" s="7" t="s">
        <v>29</v>
      </c>
      <c r="F7469" s="7" t="s">
        <v>162</v>
      </c>
      <c r="G7469" s="7">
        <v>100.9679</v>
      </c>
      <c r="H7469" s="7"/>
    </row>
    <row r="7470" spans="1:8" x14ac:dyDescent="0.35">
      <c r="A7470" s="7" t="s">
        <v>371</v>
      </c>
      <c r="B7470" s="7" t="s">
        <v>26</v>
      </c>
      <c r="C7470" s="7" t="s">
        <v>27</v>
      </c>
      <c r="D7470" s="7" t="s">
        <v>28</v>
      </c>
      <c r="E7470" s="7" t="s">
        <v>29</v>
      </c>
      <c r="F7470" s="7" t="s">
        <v>163</v>
      </c>
      <c r="G7470" s="7">
        <v>100.8544</v>
      </c>
      <c r="H7470" s="7"/>
    </row>
    <row r="7471" spans="1:8" x14ac:dyDescent="0.35">
      <c r="A7471" s="7" t="s">
        <v>371</v>
      </c>
      <c r="B7471" s="7" t="s">
        <v>26</v>
      </c>
      <c r="C7471" s="7" t="s">
        <v>27</v>
      </c>
      <c r="D7471" s="7" t="s">
        <v>28</v>
      </c>
      <c r="E7471" s="7" t="s">
        <v>29</v>
      </c>
      <c r="F7471" s="7" t="s">
        <v>164</v>
      </c>
      <c r="G7471" s="7">
        <v>100.6362</v>
      </c>
      <c r="H7471" s="7"/>
    </row>
    <row r="7472" spans="1:8" x14ac:dyDescent="0.35">
      <c r="A7472" s="7" t="s">
        <v>371</v>
      </c>
      <c r="B7472" s="7" t="s">
        <v>26</v>
      </c>
      <c r="C7472" s="7" t="s">
        <v>27</v>
      </c>
      <c r="D7472" s="7" t="s">
        <v>28</v>
      </c>
      <c r="E7472" s="7" t="s">
        <v>29</v>
      </c>
      <c r="F7472" s="7" t="s">
        <v>165</v>
      </c>
      <c r="G7472" s="7">
        <v>100.39919999999999</v>
      </c>
      <c r="H7472" s="7"/>
    </row>
    <row r="7473" spans="1:8" x14ac:dyDescent="0.35">
      <c r="A7473" s="7" t="s">
        <v>371</v>
      </c>
      <c r="B7473" s="7" t="s">
        <v>26</v>
      </c>
      <c r="C7473" s="7" t="s">
        <v>27</v>
      </c>
      <c r="D7473" s="7" t="s">
        <v>28</v>
      </c>
      <c r="E7473" s="7" t="s">
        <v>29</v>
      </c>
      <c r="F7473" s="7" t="s">
        <v>166</v>
      </c>
      <c r="G7473" s="7">
        <v>100.2706</v>
      </c>
      <c r="H7473" s="7"/>
    </row>
    <row r="7474" spans="1:8" x14ac:dyDescent="0.35">
      <c r="A7474" s="7" t="s">
        <v>371</v>
      </c>
      <c r="B7474" s="7" t="s">
        <v>26</v>
      </c>
      <c r="C7474" s="7" t="s">
        <v>27</v>
      </c>
      <c r="D7474" s="7" t="s">
        <v>28</v>
      </c>
      <c r="E7474" s="7" t="s">
        <v>29</v>
      </c>
      <c r="F7474" s="7" t="s">
        <v>167</v>
      </c>
      <c r="G7474" s="7">
        <v>100.35680000000001</v>
      </c>
      <c r="H7474" s="7"/>
    </row>
    <row r="7475" spans="1:8" x14ac:dyDescent="0.35">
      <c r="A7475" s="7" t="s">
        <v>371</v>
      </c>
      <c r="B7475" s="7" t="s">
        <v>26</v>
      </c>
      <c r="C7475" s="7" t="s">
        <v>27</v>
      </c>
      <c r="D7475" s="7" t="s">
        <v>28</v>
      </c>
      <c r="E7475" s="7" t="s">
        <v>29</v>
      </c>
      <c r="F7475" s="7" t="s">
        <v>168</v>
      </c>
      <c r="G7475" s="7">
        <v>100.57429999999999</v>
      </c>
      <c r="H7475" s="7"/>
    </row>
    <row r="7476" spans="1:8" x14ac:dyDescent="0.35">
      <c r="A7476" s="7" t="s">
        <v>371</v>
      </c>
      <c r="B7476" s="7" t="s">
        <v>26</v>
      </c>
      <c r="C7476" s="7" t="s">
        <v>27</v>
      </c>
      <c r="D7476" s="7" t="s">
        <v>28</v>
      </c>
      <c r="E7476" s="7" t="s">
        <v>29</v>
      </c>
      <c r="F7476" s="7" t="s">
        <v>169</v>
      </c>
      <c r="G7476" s="7">
        <v>100.82850000000001</v>
      </c>
      <c r="H7476" s="7"/>
    </row>
    <row r="7477" spans="1:8" x14ac:dyDescent="0.35">
      <c r="A7477" s="7" t="s">
        <v>371</v>
      </c>
      <c r="B7477" s="7" t="s">
        <v>26</v>
      </c>
      <c r="C7477" s="7" t="s">
        <v>27</v>
      </c>
      <c r="D7477" s="7" t="s">
        <v>28</v>
      </c>
      <c r="E7477" s="7" t="s">
        <v>29</v>
      </c>
      <c r="F7477" s="7" t="s">
        <v>170</v>
      </c>
      <c r="G7477" s="7">
        <v>101.0626</v>
      </c>
      <c r="H7477" s="7"/>
    </row>
    <row r="7478" spans="1:8" x14ac:dyDescent="0.35">
      <c r="A7478" s="7" t="s">
        <v>371</v>
      </c>
      <c r="B7478" s="7" t="s">
        <v>26</v>
      </c>
      <c r="C7478" s="7" t="s">
        <v>27</v>
      </c>
      <c r="D7478" s="7" t="s">
        <v>28</v>
      </c>
      <c r="E7478" s="7" t="s">
        <v>29</v>
      </c>
      <c r="F7478" s="7" t="s">
        <v>171</v>
      </c>
      <c r="G7478" s="7">
        <v>101.2681</v>
      </c>
      <c r="H7478" s="7"/>
    </row>
    <row r="7479" spans="1:8" x14ac:dyDescent="0.35">
      <c r="A7479" s="7" t="s">
        <v>371</v>
      </c>
      <c r="B7479" s="7" t="s">
        <v>26</v>
      </c>
      <c r="C7479" s="7" t="s">
        <v>27</v>
      </c>
      <c r="D7479" s="7" t="s">
        <v>28</v>
      </c>
      <c r="E7479" s="7" t="s">
        <v>29</v>
      </c>
      <c r="F7479" s="7" t="s">
        <v>172</v>
      </c>
      <c r="G7479" s="7">
        <v>101.44370000000001</v>
      </c>
      <c r="H7479" s="7"/>
    </row>
    <row r="7480" spans="1:8" x14ac:dyDescent="0.35">
      <c r="A7480" s="7" t="s">
        <v>371</v>
      </c>
      <c r="B7480" s="7" t="s">
        <v>26</v>
      </c>
      <c r="C7480" s="7" t="s">
        <v>27</v>
      </c>
      <c r="D7480" s="7" t="s">
        <v>28</v>
      </c>
      <c r="E7480" s="7" t="s">
        <v>29</v>
      </c>
      <c r="F7480" s="7" t="s">
        <v>173</v>
      </c>
      <c r="G7480" s="7">
        <v>101.5813</v>
      </c>
      <c r="H7480" s="7"/>
    </row>
    <row r="7481" spans="1:8" x14ac:dyDescent="0.35">
      <c r="A7481" s="7" t="s">
        <v>371</v>
      </c>
      <c r="B7481" s="7" t="s">
        <v>26</v>
      </c>
      <c r="C7481" s="7" t="s">
        <v>27</v>
      </c>
      <c r="D7481" s="7" t="s">
        <v>28</v>
      </c>
      <c r="E7481" s="7" t="s">
        <v>29</v>
      </c>
      <c r="F7481" s="7" t="s">
        <v>174</v>
      </c>
      <c r="G7481" s="7">
        <v>101.68259999999999</v>
      </c>
      <c r="H7481" s="7"/>
    </row>
    <row r="7482" spans="1:8" x14ac:dyDescent="0.35">
      <c r="A7482" s="7" t="s">
        <v>371</v>
      </c>
      <c r="B7482" s="7" t="s">
        <v>26</v>
      </c>
      <c r="C7482" s="7" t="s">
        <v>27</v>
      </c>
      <c r="D7482" s="7" t="s">
        <v>28</v>
      </c>
      <c r="E7482" s="7" t="s">
        <v>29</v>
      </c>
      <c r="F7482" s="7" t="s">
        <v>175</v>
      </c>
      <c r="G7482" s="7">
        <v>101.7319</v>
      </c>
      <c r="H7482" s="7"/>
    </row>
    <row r="7483" spans="1:8" x14ac:dyDescent="0.35">
      <c r="A7483" s="7" t="s">
        <v>371</v>
      </c>
      <c r="B7483" s="7" t="s">
        <v>26</v>
      </c>
      <c r="C7483" s="7" t="s">
        <v>27</v>
      </c>
      <c r="D7483" s="7" t="s">
        <v>28</v>
      </c>
      <c r="E7483" s="7" t="s">
        <v>29</v>
      </c>
      <c r="F7483" s="7" t="s">
        <v>176</v>
      </c>
      <c r="G7483" s="7">
        <v>101.70489999999999</v>
      </c>
      <c r="H7483" s="7"/>
    </row>
    <row r="7484" spans="1:8" x14ac:dyDescent="0.35">
      <c r="A7484" s="7" t="s">
        <v>371</v>
      </c>
      <c r="B7484" s="7" t="s">
        <v>26</v>
      </c>
      <c r="C7484" s="7" t="s">
        <v>27</v>
      </c>
      <c r="D7484" s="7" t="s">
        <v>28</v>
      </c>
      <c r="E7484" s="7" t="s">
        <v>29</v>
      </c>
      <c r="F7484" s="7" t="s">
        <v>177</v>
      </c>
      <c r="G7484" s="7">
        <v>101.63</v>
      </c>
      <c r="H7484" s="7"/>
    </row>
    <row r="7485" spans="1:8" x14ac:dyDescent="0.35">
      <c r="A7485" s="7" t="s">
        <v>371</v>
      </c>
      <c r="B7485" s="7" t="s">
        <v>26</v>
      </c>
      <c r="C7485" s="7" t="s">
        <v>27</v>
      </c>
      <c r="D7485" s="7" t="s">
        <v>28</v>
      </c>
      <c r="E7485" s="7" t="s">
        <v>29</v>
      </c>
      <c r="F7485" s="7" t="s">
        <v>178</v>
      </c>
      <c r="G7485" s="7">
        <v>101.5334</v>
      </c>
      <c r="H7485" s="7"/>
    </row>
    <row r="7486" spans="1:8" x14ac:dyDescent="0.35">
      <c r="A7486" s="7" t="s">
        <v>371</v>
      </c>
      <c r="B7486" s="7" t="s">
        <v>26</v>
      </c>
      <c r="C7486" s="7" t="s">
        <v>27</v>
      </c>
      <c r="D7486" s="7" t="s">
        <v>28</v>
      </c>
      <c r="E7486" s="7" t="s">
        <v>29</v>
      </c>
      <c r="F7486" s="7" t="s">
        <v>179</v>
      </c>
      <c r="G7486" s="7">
        <v>101.4323</v>
      </c>
      <c r="H7486" s="7"/>
    </row>
    <row r="7487" spans="1:8" x14ac:dyDescent="0.35">
      <c r="A7487" s="7" t="s">
        <v>371</v>
      </c>
      <c r="B7487" s="7" t="s">
        <v>26</v>
      </c>
      <c r="C7487" s="7" t="s">
        <v>27</v>
      </c>
      <c r="D7487" s="7" t="s">
        <v>28</v>
      </c>
      <c r="E7487" s="7" t="s">
        <v>29</v>
      </c>
      <c r="F7487" s="7" t="s">
        <v>180</v>
      </c>
      <c r="G7487" s="7">
        <v>101.3498</v>
      </c>
      <c r="H7487" s="7"/>
    </row>
    <row r="7488" spans="1:8" x14ac:dyDescent="0.35">
      <c r="A7488" s="7" t="s">
        <v>371</v>
      </c>
      <c r="B7488" s="7" t="s">
        <v>26</v>
      </c>
      <c r="C7488" s="7" t="s">
        <v>27</v>
      </c>
      <c r="D7488" s="7" t="s">
        <v>28</v>
      </c>
      <c r="E7488" s="7" t="s">
        <v>29</v>
      </c>
      <c r="F7488" s="7" t="s">
        <v>181</v>
      </c>
      <c r="G7488" s="7">
        <v>101.3223</v>
      </c>
      <c r="H7488" s="7"/>
    </row>
    <row r="7489" spans="1:8" x14ac:dyDescent="0.35">
      <c r="A7489" s="7" t="s">
        <v>371</v>
      </c>
      <c r="B7489" s="7" t="s">
        <v>26</v>
      </c>
      <c r="C7489" s="7" t="s">
        <v>27</v>
      </c>
      <c r="D7489" s="7" t="s">
        <v>28</v>
      </c>
      <c r="E7489" s="7" t="s">
        <v>29</v>
      </c>
      <c r="F7489" s="7" t="s">
        <v>182</v>
      </c>
      <c r="G7489" s="7">
        <v>101.3875</v>
      </c>
      <c r="H7489" s="7"/>
    </row>
    <row r="7490" spans="1:8" x14ac:dyDescent="0.35">
      <c r="A7490" s="7" t="s">
        <v>371</v>
      </c>
      <c r="B7490" s="7" t="s">
        <v>26</v>
      </c>
      <c r="C7490" s="7" t="s">
        <v>27</v>
      </c>
      <c r="D7490" s="7" t="s">
        <v>28</v>
      </c>
      <c r="E7490" s="7" t="s">
        <v>29</v>
      </c>
      <c r="F7490" s="7" t="s">
        <v>183</v>
      </c>
      <c r="G7490" s="7">
        <v>101.51819999999999</v>
      </c>
      <c r="H7490" s="7"/>
    </row>
    <row r="7491" spans="1:8" x14ac:dyDescent="0.35">
      <c r="A7491" s="7" t="s">
        <v>371</v>
      </c>
      <c r="B7491" s="7" t="s">
        <v>26</v>
      </c>
      <c r="C7491" s="7" t="s">
        <v>27</v>
      </c>
      <c r="D7491" s="7" t="s">
        <v>28</v>
      </c>
      <c r="E7491" s="7" t="s">
        <v>29</v>
      </c>
      <c r="F7491" s="7" t="s">
        <v>184</v>
      </c>
      <c r="G7491" s="7">
        <v>101.6921</v>
      </c>
      <c r="H7491" s="7"/>
    </row>
    <row r="7492" spans="1:8" x14ac:dyDescent="0.35">
      <c r="A7492" s="7" t="s">
        <v>371</v>
      </c>
      <c r="B7492" s="7" t="s">
        <v>26</v>
      </c>
      <c r="C7492" s="7" t="s">
        <v>27</v>
      </c>
      <c r="D7492" s="7" t="s">
        <v>28</v>
      </c>
      <c r="E7492" s="7" t="s">
        <v>29</v>
      </c>
      <c r="F7492" s="7" t="s">
        <v>185</v>
      </c>
      <c r="G7492" s="7">
        <v>101.8955</v>
      </c>
      <c r="H7492" s="7"/>
    </row>
    <row r="7493" spans="1:8" x14ac:dyDescent="0.35">
      <c r="A7493" s="7" t="s">
        <v>371</v>
      </c>
      <c r="B7493" s="7" t="s">
        <v>26</v>
      </c>
      <c r="C7493" s="7" t="s">
        <v>27</v>
      </c>
      <c r="D7493" s="7" t="s">
        <v>28</v>
      </c>
      <c r="E7493" s="7" t="s">
        <v>29</v>
      </c>
      <c r="F7493" s="7" t="s">
        <v>186</v>
      </c>
      <c r="G7493" s="7">
        <v>102.08459999999999</v>
      </c>
      <c r="H7493" s="7"/>
    </row>
    <row r="7494" spans="1:8" x14ac:dyDescent="0.35">
      <c r="A7494" s="7" t="s">
        <v>371</v>
      </c>
      <c r="B7494" s="7" t="s">
        <v>26</v>
      </c>
      <c r="C7494" s="7" t="s">
        <v>27</v>
      </c>
      <c r="D7494" s="7" t="s">
        <v>28</v>
      </c>
      <c r="E7494" s="7" t="s">
        <v>29</v>
      </c>
      <c r="F7494" s="7" t="s">
        <v>187</v>
      </c>
      <c r="G7494" s="7">
        <v>102.19459999999999</v>
      </c>
      <c r="H7494" s="7"/>
    </row>
    <row r="7495" spans="1:8" x14ac:dyDescent="0.35">
      <c r="A7495" s="7" t="s">
        <v>371</v>
      </c>
      <c r="B7495" s="7" t="s">
        <v>26</v>
      </c>
      <c r="C7495" s="7" t="s">
        <v>27</v>
      </c>
      <c r="D7495" s="7" t="s">
        <v>28</v>
      </c>
      <c r="E7495" s="7" t="s">
        <v>29</v>
      </c>
      <c r="F7495" s="7" t="s">
        <v>188</v>
      </c>
      <c r="G7495" s="7">
        <v>102.16289999999999</v>
      </c>
      <c r="H7495" s="7"/>
    </row>
    <row r="7496" spans="1:8" x14ac:dyDescent="0.35">
      <c r="A7496" s="7" t="s">
        <v>371</v>
      </c>
      <c r="B7496" s="7" t="s">
        <v>26</v>
      </c>
      <c r="C7496" s="7" t="s">
        <v>27</v>
      </c>
      <c r="D7496" s="7" t="s">
        <v>28</v>
      </c>
      <c r="E7496" s="7" t="s">
        <v>29</v>
      </c>
      <c r="F7496" s="7" t="s">
        <v>189</v>
      </c>
      <c r="G7496" s="7">
        <v>102.0321</v>
      </c>
      <c r="H7496" s="7"/>
    </row>
    <row r="7497" spans="1:8" x14ac:dyDescent="0.35">
      <c r="A7497" s="7" t="s">
        <v>371</v>
      </c>
      <c r="B7497" s="7" t="s">
        <v>26</v>
      </c>
      <c r="C7497" s="7" t="s">
        <v>27</v>
      </c>
      <c r="D7497" s="7" t="s">
        <v>28</v>
      </c>
      <c r="E7497" s="7" t="s">
        <v>29</v>
      </c>
      <c r="F7497" s="7" t="s">
        <v>190</v>
      </c>
      <c r="G7497" s="7">
        <v>101.8378</v>
      </c>
      <c r="H7497" s="7"/>
    </row>
    <row r="7498" spans="1:8" x14ac:dyDescent="0.35">
      <c r="A7498" s="7" t="s">
        <v>371</v>
      </c>
      <c r="B7498" s="7" t="s">
        <v>26</v>
      </c>
      <c r="C7498" s="7" t="s">
        <v>27</v>
      </c>
      <c r="D7498" s="7" t="s">
        <v>28</v>
      </c>
      <c r="E7498" s="7" t="s">
        <v>29</v>
      </c>
      <c r="F7498" s="7" t="s">
        <v>191</v>
      </c>
      <c r="G7498" s="7">
        <v>101.5971</v>
      </c>
      <c r="H7498" s="7"/>
    </row>
    <row r="7499" spans="1:8" x14ac:dyDescent="0.35">
      <c r="A7499" s="7" t="s">
        <v>371</v>
      </c>
      <c r="B7499" s="7" t="s">
        <v>26</v>
      </c>
      <c r="C7499" s="7" t="s">
        <v>27</v>
      </c>
      <c r="D7499" s="7" t="s">
        <v>28</v>
      </c>
      <c r="E7499" s="7" t="s">
        <v>29</v>
      </c>
      <c r="F7499" s="7" t="s">
        <v>192</v>
      </c>
      <c r="G7499" s="7">
        <v>101.3597</v>
      </c>
      <c r="H7499" s="7"/>
    </row>
    <row r="7500" spans="1:8" x14ac:dyDescent="0.35">
      <c r="A7500" s="7" t="s">
        <v>371</v>
      </c>
      <c r="B7500" s="7" t="s">
        <v>26</v>
      </c>
      <c r="C7500" s="7" t="s">
        <v>27</v>
      </c>
      <c r="D7500" s="7" t="s">
        <v>28</v>
      </c>
      <c r="E7500" s="7" t="s">
        <v>29</v>
      </c>
      <c r="F7500" s="7" t="s">
        <v>193</v>
      </c>
      <c r="G7500" s="7">
        <v>101.18259999999999</v>
      </c>
      <c r="H7500" s="7"/>
    </row>
    <row r="7501" spans="1:8" x14ac:dyDescent="0.35">
      <c r="A7501" s="7" t="s">
        <v>371</v>
      </c>
      <c r="B7501" s="7" t="s">
        <v>26</v>
      </c>
      <c r="C7501" s="7" t="s">
        <v>27</v>
      </c>
      <c r="D7501" s="7" t="s">
        <v>28</v>
      </c>
      <c r="E7501" s="7" t="s">
        <v>29</v>
      </c>
      <c r="F7501" s="7" t="s">
        <v>194</v>
      </c>
      <c r="G7501" s="7">
        <v>101.1024</v>
      </c>
      <c r="H7501" s="7"/>
    </row>
    <row r="7502" spans="1:8" x14ac:dyDescent="0.35">
      <c r="A7502" s="7" t="s">
        <v>371</v>
      </c>
      <c r="B7502" s="7" t="s">
        <v>26</v>
      </c>
      <c r="C7502" s="7" t="s">
        <v>27</v>
      </c>
      <c r="D7502" s="7" t="s">
        <v>28</v>
      </c>
      <c r="E7502" s="7" t="s">
        <v>29</v>
      </c>
      <c r="F7502" s="7" t="s">
        <v>195</v>
      </c>
      <c r="G7502" s="7">
        <v>101.04649999999999</v>
      </c>
      <c r="H7502" s="7"/>
    </row>
    <row r="7503" spans="1:8" x14ac:dyDescent="0.35">
      <c r="A7503" s="7" t="s">
        <v>371</v>
      </c>
      <c r="B7503" s="7" t="s">
        <v>26</v>
      </c>
      <c r="C7503" s="7" t="s">
        <v>27</v>
      </c>
      <c r="D7503" s="7" t="s">
        <v>28</v>
      </c>
      <c r="E7503" s="7" t="s">
        <v>29</v>
      </c>
      <c r="F7503" s="7" t="s">
        <v>196</v>
      </c>
      <c r="G7503" s="7">
        <v>100.9135</v>
      </c>
      <c r="H7503" s="7"/>
    </row>
    <row r="7504" spans="1:8" x14ac:dyDescent="0.35">
      <c r="A7504" s="7" t="s">
        <v>371</v>
      </c>
      <c r="B7504" s="7" t="s">
        <v>26</v>
      </c>
      <c r="C7504" s="7" t="s">
        <v>27</v>
      </c>
      <c r="D7504" s="7" t="s">
        <v>28</v>
      </c>
      <c r="E7504" s="7" t="s">
        <v>29</v>
      </c>
      <c r="F7504" s="7" t="s">
        <v>197</v>
      </c>
      <c r="G7504" s="7">
        <v>100.629</v>
      </c>
      <c r="H7504" s="7"/>
    </row>
    <row r="7505" spans="1:8" x14ac:dyDescent="0.35">
      <c r="A7505" s="7" t="s">
        <v>371</v>
      </c>
      <c r="B7505" s="7" t="s">
        <v>26</v>
      </c>
      <c r="C7505" s="7" t="s">
        <v>27</v>
      </c>
      <c r="D7505" s="7" t="s">
        <v>28</v>
      </c>
      <c r="E7505" s="7" t="s">
        <v>29</v>
      </c>
      <c r="F7505" s="7" t="s">
        <v>198</v>
      </c>
      <c r="G7505" s="7">
        <v>100.2784</v>
      </c>
      <c r="H7505" s="7"/>
    </row>
    <row r="7506" spans="1:8" x14ac:dyDescent="0.35">
      <c r="A7506" s="7" t="s">
        <v>371</v>
      </c>
      <c r="B7506" s="7" t="s">
        <v>26</v>
      </c>
      <c r="C7506" s="7" t="s">
        <v>27</v>
      </c>
      <c r="D7506" s="7" t="s">
        <v>28</v>
      </c>
      <c r="E7506" s="7" t="s">
        <v>29</v>
      </c>
      <c r="F7506" s="7" t="s">
        <v>199</v>
      </c>
      <c r="G7506" s="7">
        <v>99.978930000000005</v>
      </c>
      <c r="H7506" s="7"/>
    </row>
    <row r="7507" spans="1:8" x14ac:dyDescent="0.35">
      <c r="A7507" s="7" t="s">
        <v>371</v>
      </c>
      <c r="B7507" s="7" t="s">
        <v>26</v>
      </c>
      <c r="C7507" s="7" t="s">
        <v>27</v>
      </c>
      <c r="D7507" s="7" t="s">
        <v>28</v>
      </c>
      <c r="E7507" s="7" t="s">
        <v>29</v>
      </c>
      <c r="F7507" s="7" t="s">
        <v>200</v>
      </c>
      <c r="G7507" s="7">
        <v>99.81738</v>
      </c>
      <c r="H7507" s="7"/>
    </row>
    <row r="7508" spans="1:8" x14ac:dyDescent="0.35">
      <c r="A7508" s="7" t="s">
        <v>371</v>
      </c>
      <c r="B7508" s="7" t="s">
        <v>26</v>
      </c>
      <c r="C7508" s="7" t="s">
        <v>27</v>
      </c>
      <c r="D7508" s="7" t="s">
        <v>28</v>
      </c>
      <c r="E7508" s="7" t="s">
        <v>29</v>
      </c>
      <c r="F7508" s="7" t="s">
        <v>201</v>
      </c>
      <c r="G7508" s="7">
        <v>99.736879999999999</v>
      </c>
      <c r="H7508" s="7"/>
    </row>
    <row r="7509" spans="1:8" x14ac:dyDescent="0.35">
      <c r="A7509" s="7" t="s">
        <v>371</v>
      </c>
      <c r="B7509" s="7" t="s">
        <v>26</v>
      </c>
      <c r="C7509" s="7" t="s">
        <v>27</v>
      </c>
      <c r="D7509" s="7" t="s">
        <v>28</v>
      </c>
      <c r="E7509" s="7" t="s">
        <v>29</v>
      </c>
      <c r="F7509" s="7" t="s">
        <v>202</v>
      </c>
      <c r="G7509" s="7">
        <v>99.665710000000004</v>
      </c>
      <c r="H7509" s="7"/>
    </row>
    <row r="7510" spans="1:8" x14ac:dyDescent="0.35">
      <c r="A7510" s="7" t="s">
        <v>371</v>
      </c>
      <c r="B7510" s="7" t="s">
        <v>26</v>
      </c>
      <c r="C7510" s="7" t="s">
        <v>27</v>
      </c>
      <c r="D7510" s="7" t="s">
        <v>28</v>
      </c>
      <c r="E7510" s="7" t="s">
        <v>29</v>
      </c>
      <c r="F7510" s="7" t="s">
        <v>203</v>
      </c>
      <c r="G7510" s="7">
        <v>99.565179999999998</v>
      </c>
      <c r="H7510" s="7"/>
    </row>
    <row r="7511" spans="1:8" x14ac:dyDescent="0.35">
      <c r="A7511" s="7" t="s">
        <v>371</v>
      </c>
      <c r="B7511" s="7" t="s">
        <v>26</v>
      </c>
      <c r="C7511" s="7" t="s">
        <v>27</v>
      </c>
      <c r="D7511" s="7" t="s">
        <v>28</v>
      </c>
      <c r="E7511" s="7" t="s">
        <v>29</v>
      </c>
      <c r="F7511" s="7" t="s">
        <v>204</v>
      </c>
      <c r="G7511" s="7">
        <v>99.468019999999996</v>
      </c>
      <c r="H7511" s="7"/>
    </row>
    <row r="7512" spans="1:8" x14ac:dyDescent="0.35">
      <c r="A7512" s="7" t="s">
        <v>371</v>
      </c>
      <c r="B7512" s="7" t="s">
        <v>26</v>
      </c>
      <c r="C7512" s="7" t="s">
        <v>27</v>
      </c>
      <c r="D7512" s="7" t="s">
        <v>28</v>
      </c>
      <c r="E7512" s="7" t="s">
        <v>29</v>
      </c>
      <c r="F7512" s="7" t="s">
        <v>205</v>
      </c>
      <c r="G7512" s="7">
        <v>99.444119999999998</v>
      </c>
      <c r="H7512" s="7"/>
    </row>
    <row r="7513" spans="1:8" x14ac:dyDescent="0.35">
      <c r="A7513" s="7" t="s">
        <v>371</v>
      </c>
      <c r="B7513" s="7" t="s">
        <v>26</v>
      </c>
      <c r="C7513" s="7" t="s">
        <v>27</v>
      </c>
      <c r="D7513" s="7" t="s">
        <v>28</v>
      </c>
      <c r="E7513" s="7" t="s">
        <v>29</v>
      </c>
      <c r="F7513" s="7" t="s">
        <v>206</v>
      </c>
      <c r="G7513" s="7">
        <v>99.562839999999994</v>
      </c>
      <c r="H7513" s="7"/>
    </row>
    <row r="7514" spans="1:8" x14ac:dyDescent="0.35">
      <c r="A7514" s="7" t="s">
        <v>371</v>
      </c>
      <c r="B7514" s="7" t="s">
        <v>26</v>
      </c>
      <c r="C7514" s="7" t="s">
        <v>27</v>
      </c>
      <c r="D7514" s="7" t="s">
        <v>28</v>
      </c>
      <c r="E7514" s="7" t="s">
        <v>29</v>
      </c>
      <c r="F7514" s="7" t="s">
        <v>207</v>
      </c>
      <c r="G7514" s="7">
        <v>99.781989999999993</v>
      </c>
      <c r="H7514" s="7"/>
    </row>
    <row r="7515" spans="1:8" x14ac:dyDescent="0.35">
      <c r="A7515" s="7" t="s">
        <v>371</v>
      </c>
      <c r="B7515" s="7" t="s">
        <v>26</v>
      </c>
      <c r="C7515" s="7" t="s">
        <v>27</v>
      </c>
      <c r="D7515" s="7" t="s">
        <v>28</v>
      </c>
      <c r="E7515" s="7" t="s">
        <v>29</v>
      </c>
      <c r="F7515" s="7" t="s">
        <v>208</v>
      </c>
      <c r="G7515" s="7">
        <v>100.0621</v>
      </c>
      <c r="H7515" s="7"/>
    </row>
    <row r="7516" spans="1:8" x14ac:dyDescent="0.35">
      <c r="A7516" s="7" t="s">
        <v>371</v>
      </c>
      <c r="B7516" s="7" t="s">
        <v>26</v>
      </c>
      <c r="C7516" s="7" t="s">
        <v>27</v>
      </c>
      <c r="D7516" s="7" t="s">
        <v>28</v>
      </c>
      <c r="E7516" s="7" t="s">
        <v>29</v>
      </c>
      <c r="F7516" s="7" t="s">
        <v>209</v>
      </c>
      <c r="G7516" s="7">
        <v>100.3801</v>
      </c>
      <c r="H7516" s="7"/>
    </row>
    <row r="7517" spans="1:8" x14ac:dyDescent="0.35">
      <c r="A7517" s="7" t="s">
        <v>371</v>
      </c>
      <c r="B7517" s="7" t="s">
        <v>26</v>
      </c>
      <c r="C7517" s="7" t="s">
        <v>27</v>
      </c>
      <c r="D7517" s="7" t="s">
        <v>28</v>
      </c>
      <c r="E7517" s="7" t="s">
        <v>29</v>
      </c>
      <c r="F7517" s="7" t="s">
        <v>210</v>
      </c>
      <c r="G7517" s="7">
        <v>100.6824</v>
      </c>
      <c r="H7517" s="7"/>
    </row>
    <row r="7518" spans="1:8" x14ac:dyDescent="0.35">
      <c r="A7518" s="7" t="s">
        <v>371</v>
      </c>
      <c r="B7518" s="7" t="s">
        <v>26</v>
      </c>
      <c r="C7518" s="7" t="s">
        <v>27</v>
      </c>
      <c r="D7518" s="7" t="s">
        <v>28</v>
      </c>
      <c r="E7518" s="7" t="s">
        <v>29</v>
      </c>
      <c r="F7518" s="7" t="s">
        <v>211</v>
      </c>
      <c r="G7518" s="7">
        <v>100.89360000000001</v>
      </c>
      <c r="H7518" s="7"/>
    </row>
    <row r="7519" spans="1:8" x14ac:dyDescent="0.35">
      <c r="A7519" s="7" t="s">
        <v>371</v>
      </c>
      <c r="B7519" s="7" t="s">
        <v>26</v>
      </c>
      <c r="C7519" s="7" t="s">
        <v>27</v>
      </c>
      <c r="D7519" s="7" t="s">
        <v>28</v>
      </c>
      <c r="E7519" s="7" t="s">
        <v>29</v>
      </c>
      <c r="F7519" s="7" t="s">
        <v>212</v>
      </c>
      <c r="G7519" s="7">
        <v>100.9408</v>
      </c>
      <c r="H7519" s="7"/>
    </row>
    <row r="7520" spans="1:8" x14ac:dyDescent="0.35">
      <c r="A7520" s="7" t="s">
        <v>371</v>
      </c>
      <c r="B7520" s="7" t="s">
        <v>26</v>
      </c>
      <c r="C7520" s="7" t="s">
        <v>27</v>
      </c>
      <c r="D7520" s="7" t="s">
        <v>28</v>
      </c>
      <c r="E7520" s="7" t="s">
        <v>29</v>
      </c>
      <c r="F7520" s="7" t="s">
        <v>213</v>
      </c>
      <c r="G7520" s="7">
        <v>100.87009999999999</v>
      </c>
      <c r="H7520" s="7"/>
    </row>
    <row r="7521" spans="1:8" x14ac:dyDescent="0.35">
      <c r="A7521" s="7" t="s">
        <v>371</v>
      </c>
      <c r="B7521" s="7" t="s">
        <v>26</v>
      </c>
      <c r="C7521" s="7" t="s">
        <v>27</v>
      </c>
      <c r="D7521" s="7" t="s">
        <v>28</v>
      </c>
      <c r="E7521" s="7" t="s">
        <v>29</v>
      </c>
      <c r="F7521" s="7" t="s">
        <v>214</v>
      </c>
      <c r="G7521" s="7">
        <v>100.717</v>
      </c>
      <c r="H7521" s="7"/>
    </row>
    <row r="7522" spans="1:8" x14ac:dyDescent="0.35">
      <c r="A7522" s="7" t="s">
        <v>371</v>
      </c>
      <c r="B7522" s="7" t="s">
        <v>26</v>
      </c>
      <c r="C7522" s="7" t="s">
        <v>27</v>
      </c>
      <c r="D7522" s="7" t="s">
        <v>28</v>
      </c>
      <c r="E7522" s="7" t="s">
        <v>29</v>
      </c>
      <c r="F7522" s="7" t="s">
        <v>215</v>
      </c>
      <c r="G7522" s="7">
        <v>100.4957</v>
      </c>
      <c r="H7522" s="7"/>
    </row>
    <row r="7523" spans="1:8" x14ac:dyDescent="0.35">
      <c r="A7523" s="7" t="s">
        <v>371</v>
      </c>
      <c r="B7523" s="7" t="s">
        <v>26</v>
      </c>
      <c r="C7523" s="7" t="s">
        <v>27</v>
      </c>
      <c r="D7523" s="7" t="s">
        <v>28</v>
      </c>
      <c r="E7523" s="7" t="s">
        <v>29</v>
      </c>
      <c r="F7523" s="7" t="s">
        <v>216</v>
      </c>
      <c r="G7523" s="7">
        <v>100.2704</v>
      </c>
      <c r="H7523" s="7"/>
    </row>
    <row r="7524" spans="1:8" x14ac:dyDescent="0.35">
      <c r="A7524" s="7" t="s">
        <v>371</v>
      </c>
      <c r="B7524" s="7" t="s">
        <v>26</v>
      </c>
      <c r="C7524" s="7" t="s">
        <v>27</v>
      </c>
      <c r="D7524" s="7" t="s">
        <v>28</v>
      </c>
      <c r="E7524" s="7" t="s">
        <v>29</v>
      </c>
      <c r="F7524" s="7" t="s">
        <v>217</v>
      </c>
      <c r="G7524" s="7">
        <v>100.119</v>
      </c>
      <c r="H7524" s="7"/>
    </row>
    <row r="7525" spans="1:8" x14ac:dyDescent="0.35">
      <c r="A7525" s="7" t="s">
        <v>371</v>
      </c>
      <c r="B7525" s="7" t="s">
        <v>26</v>
      </c>
      <c r="C7525" s="7" t="s">
        <v>27</v>
      </c>
      <c r="D7525" s="7" t="s">
        <v>28</v>
      </c>
      <c r="E7525" s="7" t="s">
        <v>29</v>
      </c>
      <c r="F7525" s="7" t="s">
        <v>218</v>
      </c>
      <c r="G7525" s="7">
        <v>100.1011</v>
      </c>
      <c r="H7525" s="7"/>
    </row>
    <row r="7526" spans="1:8" x14ac:dyDescent="0.35">
      <c r="A7526" s="7" t="s">
        <v>371</v>
      </c>
      <c r="B7526" s="7" t="s">
        <v>26</v>
      </c>
      <c r="C7526" s="7" t="s">
        <v>27</v>
      </c>
      <c r="D7526" s="7" t="s">
        <v>28</v>
      </c>
      <c r="E7526" s="7" t="s">
        <v>29</v>
      </c>
      <c r="F7526" s="7" t="s">
        <v>219</v>
      </c>
      <c r="G7526" s="7">
        <v>100.1521</v>
      </c>
      <c r="H7526" s="7"/>
    </row>
    <row r="7527" spans="1:8" x14ac:dyDescent="0.35">
      <c r="A7527" s="7" t="s">
        <v>371</v>
      </c>
      <c r="B7527" s="7" t="s">
        <v>26</v>
      </c>
      <c r="C7527" s="7" t="s">
        <v>27</v>
      </c>
      <c r="D7527" s="7" t="s">
        <v>28</v>
      </c>
      <c r="E7527" s="7" t="s">
        <v>29</v>
      </c>
      <c r="F7527" s="7" t="s">
        <v>220</v>
      </c>
      <c r="G7527" s="7">
        <v>100.1865</v>
      </c>
      <c r="H7527" s="7"/>
    </row>
    <row r="7528" spans="1:8" x14ac:dyDescent="0.35">
      <c r="A7528" s="7" t="s">
        <v>371</v>
      </c>
      <c r="B7528" s="7" t="s">
        <v>26</v>
      </c>
      <c r="C7528" s="7" t="s">
        <v>27</v>
      </c>
      <c r="D7528" s="7" t="s">
        <v>28</v>
      </c>
      <c r="E7528" s="7" t="s">
        <v>29</v>
      </c>
      <c r="F7528" s="7" t="s">
        <v>221</v>
      </c>
      <c r="G7528" s="7">
        <v>100.1332</v>
      </c>
      <c r="H7528" s="7"/>
    </row>
    <row r="7529" spans="1:8" x14ac:dyDescent="0.35">
      <c r="A7529" s="7" t="s">
        <v>371</v>
      </c>
      <c r="B7529" s="7" t="s">
        <v>26</v>
      </c>
      <c r="C7529" s="7" t="s">
        <v>27</v>
      </c>
      <c r="D7529" s="7" t="s">
        <v>28</v>
      </c>
      <c r="E7529" s="7" t="s">
        <v>29</v>
      </c>
      <c r="F7529" s="7" t="s">
        <v>222</v>
      </c>
      <c r="G7529" s="7">
        <v>99.986429999999999</v>
      </c>
      <c r="H7529" s="7"/>
    </row>
    <row r="7530" spans="1:8" x14ac:dyDescent="0.35">
      <c r="A7530" s="7" t="s">
        <v>371</v>
      </c>
      <c r="B7530" s="7" t="s">
        <v>26</v>
      </c>
      <c r="C7530" s="7" t="s">
        <v>27</v>
      </c>
      <c r="D7530" s="7" t="s">
        <v>28</v>
      </c>
      <c r="E7530" s="7" t="s">
        <v>29</v>
      </c>
      <c r="F7530" s="7" t="s">
        <v>223</v>
      </c>
      <c r="G7530" s="7">
        <v>99.716380000000001</v>
      </c>
      <c r="H7530" s="7"/>
    </row>
    <row r="7531" spans="1:8" x14ac:dyDescent="0.35">
      <c r="A7531" s="7" t="s">
        <v>371</v>
      </c>
      <c r="B7531" s="7" t="s">
        <v>26</v>
      </c>
      <c r="C7531" s="7" t="s">
        <v>27</v>
      </c>
      <c r="D7531" s="7" t="s">
        <v>28</v>
      </c>
      <c r="E7531" s="7" t="s">
        <v>29</v>
      </c>
      <c r="F7531" s="7" t="s">
        <v>224</v>
      </c>
      <c r="G7531" s="7">
        <v>99.272800000000004</v>
      </c>
      <c r="H7531" s="7"/>
    </row>
    <row r="7532" spans="1:8" x14ac:dyDescent="0.35">
      <c r="A7532" s="7" t="s">
        <v>371</v>
      </c>
      <c r="B7532" s="7" t="s">
        <v>26</v>
      </c>
      <c r="C7532" s="7" t="s">
        <v>27</v>
      </c>
      <c r="D7532" s="7" t="s">
        <v>28</v>
      </c>
      <c r="E7532" s="7" t="s">
        <v>29</v>
      </c>
      <c r="F7532" s="7" t="s">
        <v>225</v>
      </c>
      <c r="G7532" s="7">
        <v>98.712069999999997</v>
      </c>
      <c r="H7532" s="7"/>
    </row>
    <row r="7533" spans="1:8" x14ac:dyDescent="0.35">
      <c r="A7533" s="7" t="s">
        <v>371</v>
      </c>
      <c r="B7533" s="7" t="s">
        <v>26</v>
      </c>
      <c r="C7533" s="7" t="s">
        <v>27</v>
      </c>
      <c r="D7533" s="7" t="s">
        <v>28</v>
      </c>
      <c r="E7533" s="7" t="s">
        <v>29</v>
      </c>
      <c r="F7533" s="7" t="s">
        <v>226</v>
      </c>
      <c r="G7533" s="7">
        <v>98.089079999999996</v>
      </c>
      <c r="H7533" s="7"/>
    </row>
    <row r="7534" spans="1:8" x14ac:dyDescent="0.35">
      <c r="A7534" s="7" t="s">
        <v>371</v>
      </c>
      <c r="B7534" s="7" t="s">
        <v>26</v>
      </c>
      <c r="C7534" s="7" t="s">
        <v>27</v>
      </c>
      <c r="D7534" s="7" t="s">
        <v>28</v>
      </c>
      <c r="E7534" s="7" t="s">
        <v>29</v>
      </c>
      <c r="F7534" s="7" t="s">
        <v>227</v>
      </c>
      <c r="G7534" s="7">
        <v>97.466260000000005</v>
      </c>
      <c r="H7534" s="7"/>
    </row>
    <row r="7535" spans="1:8" x14ac:dyDescent="0.35">
      <c r="A7535" s="7" t="s">
        <v>371</v>
      </c>
      <c r="B7535" s="7" t="s">
        <v>26</v>
      </c>
      <c r="C7535" s="7" t="s">
        <v>27</v>
      </c>
      <c r="D7535" s="7" t="s">
        <v>28</v>
      </c>
      <c r="E7535" s="7" t="s">
        <v>29</v>
      </c>
      <c r="F7535" s="7" t="s">
        <v>228</v>
      </c>
      <c r="G7535" s="7">
        <v>96.984949999999998</v>
      </c>
      <c r="H7535" s="7"/>
    </row>
    <row r="7536" spans="1:8" x14ac:dyDescent="0.35">
      <c r="A7536" s="7" t="s">
        <v>371</v>
      </c>
      <c r="B7536" s="7" t="s">
        <v>26</v>
      </c>
      <c r="C7536" s="7" t="s">
        <v>27</v>
      </c>
      <c r="D7536" s="7" t="s">
        <v>28</v>
      </c>
      <c r="E7536" s="7" t="s">
        <v>29</v>
      </c>
      <c r="F7536" s="7" t="s">
        <v>229</v>
      </c>
      <c r="G7536" s="7">
        <v>96.883349999999993</v>
      </c>
      <c r="H7536" s="7"/>
    </row>
    <row r="7537" spans="1:8" x14ac:dyDescent="0.35">
      <c r="A7537" s="7" t="s">
        <v>371</v>
      </c>
      <c r="B7537" s="7" t="s">
        <v>26</v>
      </c>
      <c r="C7537" s="7" t="s">
        <v>27</v>
      </c>
      <c r="D7537" s="7" t="s">
        <v>28</v>
      </c>
      <c r="E7537" s="7" t="s">
        <v>29</v>
      </c>
      <c r="F7537" s="7" t="s">
        <v>230</v>
      </c>
      <c r="G7537" s="7">
        <v>97.373050000000006</v>
      </c>
      <c r="H7537" s="7"/>
    </row>
    <row r="7538" spans="1:8" x14ac:dyDescent="0.35">
      <c r="A7538" s="7" t="s">
        <v>371</v>
      </c>
      <c r="B7538" s="7" t="s">
        <v>26</v>
      </c>
      <c r="C7538" s="7" t="s">
        <v>27</v>
      </c>
      <c r="D7538" s="7" t="s">
        <v>28</v>
      </c>
      <c r="E7538" s="7" t="s">
        <v>29</v>
      </c>
      <c r="F7538" s="7" t="s">
        <v>231</v>
      </c>
      <c r="G7538" s="7">
        <v>98.135829999999999</v>
      </c>
      <c r="H7538" s="7"/>
    </row>
    <row r="7539" spans="1:8" x14ac:dyDescent="0.35">
      <c r="A7539" s="7" t="s">
        <v>371</v>
      </c>
      <c r="B7539" s="7" t="s">
        <v>26</v>
      </c>
      <c r="C7539" s="7" t="s">
        <v>27</v>
      </c>
      <c r="D7539" s="7" t="s">
        <v>28</v>
      </c>
      <c r="E7539" s="7" t="s">
        <v>29</v>
      </c>
      <c r="F7539" s="7" t="s">
        <v>232</v>
      </c>
      <c r="G7539" s="7">
        <v>98.777969999999996</v>
      </c>
      <c r="H7539" s="7"/>
    </row>
    <row r="7540" spans="1:8" x14ac:dyDescent="0.35">
      <c r="A7540" s="7" t="s">
        <v>371</v>
      </c>
      <c r="B7540" s="7" t="s">
        <v>26</v>
      </c>
      <c r="C7540" s="7" t="s">
        <v>27</v>
      </c>
      <c r="D7540" s="7" t="s">
        <v>28</v>
      </c>
      <c r="E7540" s="7" t="s">
        <v>29</v>
      </c>
      <c r="F7540" s="7" t="s">
        <v>233</v>
      </c>
      <c r="G7540" s="7">
        <v>99.011380000000003</v>
      </c>
      <c r="H7540" s="7"/>
    </row>
    <row r="7541" spans="1:8" x14ac:dyDescent="0.35">
      <c r="A7541" s="7" t="s">
        <v>371</v>
      </c>
      <c r="B7541" s="7" t="s">
        <v>26</v>
      </c>
      <c r="C7541" s="7" t="s">
        <v>27</v>
      </c>
      <c r="D7541" s="7" t="s">
        <v>28</v>
      </c>
      <c r="E7541" s="7" t="s">
        <v>29</v>
      </c>
      <c r="F7541" s="7" t="s">
        <v>234</v>
      </c>
      <c r="G7541" s="7">
        <v>98.955539999999999</v>
      </c>
      <c r="H7541" s="7"/>
    </row>
    <row r="7542" spans="1:8" x14ac:dyDescent="0.35">
      <c r="A7542" s="7" t="s">
        <v>371</v>
      </c>
      <c r="B7542" s="7" t="s">
        <v>26</v>
      </c>
      <c r="C7542" s="7" t="s">
        <v>27</v>
      </c>
      <c r="D7542" s="7" t="s">
        <v>28</v>
      </c>
      <c r="E7542" s="7" t="s">
        <v>29</v>
      </c>
      <c r="F7542" s="7" t="s">
        <v>235</v>
      </c>
      <c r="G7542" s="7">
        <v>98.760959999999997</v>
      </c>
      <c r="H7542" s="7"/>
    </row>
    <row r="7543" spans="1:8" x14ac:dyDescent="0.35">
      <c r="A7543" s="7" t="s">
        <v>371</v>
      </c>
      <c r="B7543" s="7" t="s">
        <v>26</v>
      </c>
      <c r="C7543" s="7" t="s">
        <v>27</v>
      </c>
      <c r="D7543" s="7" t="s">
        <v>28</v>
      </c>
      <c r="E7543" s="7" t="s">
        <v>29</v>
      </c>
      <c r="F7543" s="7" t="s">
        <v>236</v>
      </c>
      <c r="G7543" s="7">
        <v>98.522099999999995</v>
      </c>
      <c r="H7543" s="7"/>
    </row>
    <row r="7544" spans="1:8" x14ac:dyDescent="0.35">
      <c r="A7544" s="7" t="s">
        <v>371</v>
      </c>
      <c r="B7544" s="7" t="s">
        <v>26</v>
      </c>
      <c r="C7544" s="7" t="s">
        <v>27</v>
      </c>
      <c r="D7544" s="7" t="s">
        <v>28</v>
      </c>
      <c r="E7544" s="7" t="s">
        <v>29</v>
      </c>
      <c r="F7544" s="7" t="s">
        <v>237</v>
      </c>
      <c r="G7544" s="7">
        <v>98.328860000000006</v>
      </c>
      <c r="H7544" s="7"/>
    </row>
    <row r="7545" spans="1:8" x14ac:dyDescent="0.35">
      <c r="A7545" s="7" t="s">
        <v>371</v>
      </c>
      <c r="B7545" s="7" t="s">
        <v>26</v>
      </c>
      <c r="C7545" s="7" t="s">
        <v>27</v>
      </c>
      <c r="D7545" s="7" t="s">
        <v>28</v>
      </c>
      <c r="E7545" s="7" t="s">
        <v>29</v>
      </c>
      <c r="F7545" s="7" t="s">
        <v>238</v>
      </c>
      <c r="G7545" s="7">
        <v>98.288830000000004</v>
      </c>
      <c r="H7545" s="7"/>
    </row>
    <row r="7546" spans="1:8" x14ac:dyDescent="0.35">
      <c r="A7546" s="7" t="s">
        <v>371</v>
      </c>
      <c r="B7546" s="7" t="s">
        <v>26</v>
      </c>
      <c r="C7546" s="7" t="s">
        <v>27</v>
      </c>
      <c r="D7546" s="7" t="s">
        <v>28</v>
      </c>
      <c r="E7546" s="7" t="s">
        <v>29</v>
      </c>
      <c r="F7546" s="7" t="s">
        <v>239</v>
      </c>
      <c r="G7546" s="7">
        <v>98.50403</v>
      </c>
      <c r="H7546" s="7"/>
    </row>
    <row r="7547" spans="1:8" x14ac:dyDescent="0.35">
      <c r="A7547" s="7" t="s">
        <v>371</v>
      </c>
      <c r="B7547" s="7" t="s">
        <v>26</v>
      </c>
      <c r="C7547" s="7" t="s">
        <v>27</v>
      </c>
      <c r="D7547" s="7" t="s">
        <v>28</v>
      </c>
      <c r="E7547" s="7" t="s">
        <v>29</v>
      </c>
      <c r="F7547" s="7" t="s">
        <v>240</v>
      </c>
      <c r="G7547" s="7">
        <v>98.894239999999996</v>
      </c>
      <c r="H7547" s="7"/>
    </row>
    <row r="7548" spans="1:8" x14ac:dyDescent="0.35">
      <c r="A7548" s="7" t="s">
        <v>371</v>
      </c>
      <c r="B7548" s="7" t="s">
        <v>26</v>
      </c>
      <c r="C7548" s="7" t="s">
        <v>27</v>
      </c>
      <c r="D7548" s="7" t="s">
        <v>28</v>
      </c>
      <c r="E7548" s="7" t="s">
        <v>29</v>
      </c>
      <c r="F7548" s="7" t="s">
        <v>241</v>
      </c>
      <c r="G7548" s="7">
        <v>99.39058</v>
      </c>
      <c r="H7548" s="7"/>
    </row>
    <row r="7549" spans="1:8" x14ac:dyDescent="0.35">
      <c r="A7549" s="7" t="s">
        <v>371</v>
      </c>
      <c r="B7549" s="7" t="s">
        <v>26</v>
      </c>
      <c r="C7549" s="7" t="s">
        <v>27</v>
      </c>
      <c r="D7549" s="7" t="s">
        <v>28</v>
      </c>
      <c r="E7549" s="7" t="s">
        <v>29</v>
      </c>
      <c r="F7549" s="7" t="s">
        <v>242</v>
      </c>
      <c r="G7549" s="7">
        <v>99.95384</v>
      </c>
      <c r="H7549" s="7"/>
    </row>
    <row r="7550" spans="1:8" x14ac:dyDescent="0.35">
      <c r="A7550" s="7" t="s">
        <v>371</v>
      </c>
      <c r="B7550" s="7" t="s">
        <v>26</v>
      </c>
      <c r="C7550" s="7" t="s">
        <v>27</v>
      </c>
      <c r="D7550" s="7" t="s">
        <v>28</v>
      </c>
      <c r="E7550" s="7" t="s">
        <v>29</v>
      </c>
      <c r="F7550" s="7" t="s">
        <v>243</v>
      </c>
      <c r="G7550" s="7">
        <v>100.48690000000001</v>
      </c>
      <c r="H7550" s="7"/>
    </row>
    <row r="7551" spans="1:8" x14ac:dyDescent="0.35">
      <c r="A7551" s="7" t="s">
        <v>371</v>
      </c>
      <c r="B7551" s="7" t="s">
        <v>26</v>
      </c>
      <c r="C7551" s="7" t="s">
        <v>27</v>
      </c>
      <c r="D7551" s="7" t="s">
        <v>28</v>
      </c>
      <c r="E7551" s="7" t="s">
        <v>29</v>
      </c>
      <c r="F7551" s="7" t="s">
        <v>244</v>
      </c>
      <c r="G7551" s="7">
        <v>100.8557</v>
      </c>
      <c r="H7551" s="7"/>
    </row>
    <row r="7552" spans="1:8" x14ac:dyDescent="0.35">
      <c r="A7552" s="7" t="s">
        <v>371</v>
      </c>
      <c r="B7552" s="7" t="s">
        <v>26</v>
      </c>
      <c r="C7552" s="7" t="s">
        <v>27</v>
      </c>
      <c r="D7552" s="7" t="s">
        <v>28</v>
      </c>
      <c r="E7552" s="7" t="s">
        <v>29</v>
      </c>
      <c r="F7552" s="7" t="s">
        <v>245</v>
      </c>
      <c r="G7552" s="7">
        <v>100.9406</v>
      </c>
      <c r="H7552" s="7"/>
    </row>
    <row r="7553" spans="1:8" x14ac:dyDescent="0.35">
      <c r="A7553" s="7" t="s">
        <v>371</v>
      </c>
      <c r="B7553" s="7" t="s">
        <v>26</v>
      </c>
      <c r="C7553" s="7" t="s">
        <v>27</v>
      </c>
      <c r="D7553" s="7" t="s">
        <v>28</v>
      </c>
      <c r="E7553" s="7" t="s">
        <v>29</v>
      </c>
      <c r="F7553" s="7" t="s">
        <v>246</v>
      </c>
      <c r="G7553" s="7">
        <v>100.8524</v>
      </c>
      <c r="H7553" s="7"/>
    </row>
    <row r="7554" spans="1:8" x14ac:dyDescent="0.35">
      <c r="A7554" s="7" t="s">
        <v>371</v>
      </c>
      <c r="B7554" s="7" t="s">
        <v>26</v>
      </c>
      <c r="C7554" s="7" t="s">
        <v>27</v>
      </c>
      <c r="D7554" s="7" t="s">
        <v>28</v>
      </c>
      <c r="E7554" s="7" t="s">
        <v>29</v>
      </c>
      <c r="F7554" s="7" t="s">
        <v>247</v>
      </c>
      <c r="G7554" s="7">
        <v>100.7076</v>
      </c>
      <c r="H7554" s="7"/>
    </row>
    <row r="7555" spans="1:8" x14ac:dyDescent="0.35">
      <c r="A7555" s="7" t="s">
        <v>371</v>
      </c>
      <c r="B7555" s="7" t="s">
        <v>26</v>
      </c>
      <c r="C7555" s="7" t="s">
        <v>27</v>
      </c>
      <c r="D7555" s="7" t="s">
        <v>28</v>
      </c>
      <c r="E7555" s="7" t="s">
        <v>29</v>
      </c>
      <c r="F7555" s="7" t="s">
        <v>248</v>
      </c>
      <c r="G7555" s="7">
        <v>100.5783</v>
      </c>
      <c r="H7555" s="7"/>
    </row>
    <row r="7556" spans="1:8" x14ac:dyDescent="0.35">
      <c r="A7556" s="7" t="s">
        <v>371</v>
      </c>
      <c r="B7556" s="7" t="s">
        <v>26</v>
      </c>
      <c r="C7556" s="7" t="s">
        <v>27</v>
      </c>
      <c r="D7556" s="7" t="s">
        <v>28</v>
      </c>
      <c r="E7556" s="7" t="s">
        <v>29</v>
      </c>
      <c r="F7556" s="7" t="s">
        <v>249</v>
      </c>
      <c r="G7556" s="7">
        <v>100.49809999999999</v>
      </c>
      <c r="H7556" s="7"/>
    </row>
    <row r="7557" spans="1:8" x14ac:dyDescent="0.35">
      <c r="A7557" s="7" t="s">
        <v>371</v>
      </c>
      <c r="B7557" s="7" t="s">
        <v>26</v>
      </c>
      <c r="C7557" s="7" t="s">
        <v>27</v>
      </c>
      <c r="D7557" s="7" t="s">
        <v>28</v>
      </c>
      <c r="E7557" s="7" t="s">
        <v>29</v>
      </c>
      <c r="F7557" s="7" t="s">
        <v>250</v>
      </c>
      <c r="G7557" s="7">
        <v>100.501</v>
      </c>
      <c r="H7557" s="7"/>
    </row>
    <row r="7558" spans="1:8" x14ac:dyDescent="0.35">
      <c r="A7558" s="7" t="s">
        <v>371</v>
      </c>
      <c r="B7558" s="7" t="s">
        <v>26</v>
      </c>
      <c r="C7558" s="7" t="s">
        <v>27</v>
      </c>
      <c r="D7558" s="7" t="s">
        <v>28</v>
      </c>
      <c r="E7558" s="7" t="s">
        <v>29</v>
      </c>
      <c r="F7558" s="7" t="s">
        <v>251</v>
      </c>
      <c r="G7558" s="7">
        <v>100.6122</v>
      </c>
      <c r="H7558" s="7"/>
    </row>
    <row r="7559" spans="1:8" x14ac:dyDescent="0.35">
      <c r="A7559" s="7" t="s">
        <v>371</v>
      </c>
      <c r="B7559" s="7" t="s">
        <v>26</v>
      </c>
      <c r="C7559" s="7" t="s">
        <v>27</v>
      </c>
      <c r="D7559" s="7" t="s">
        <v>28</v>
      </c>
      <c r="E7559" s="7" t="s">
        <v>29</v>
      </c>
      <c r="F7559" s="7" t="s">
        <v>252</v>
      </c>
      <c r="G7559" s="7">
        <v>100.7552</v>
      </c>
      <c r="H7559" s="7"/>
    </row>
    <row r="7560" spans="1:8" x14ac:dyDescent="0.35">
      <c r="A7560" s="7" t="s">
        <v>371</v>
      </c>
      <c r="B7560" s="7" t="s">
        <v>26</v>
      </c>
      <c r="C7560" s="7" t="s">
        <v>27</v>
      </c>
      <c r="D7560" s="7" t="s">
        <v>28</v>
      </c>
      <c r="E7560" s="7" t="s">
        <v>29</v>
      </c>
      <c r="F7560" s="7" t="s">
        <v>253</v>
      </c>
      <c r="G7560" s="7">
        <v>100.8282</v>
      </c>
      <c r="H7560" s="7"/>
    </row>
    <row r="7561" spans="1:8" x14ac:dyDescent="0.35">
      <c r="A7561" s="7" t="s">
        <v>371</v>
      </c>
      <c r="B7561" s="7" t="s">
        <v>26</v>
      </c>
      <c r="C7561" s="7" t="s">
        <v>27</v>
      </c>
      <c r="D7561" s="7" t="s">
        <v>28</v>
      </c>
      <c r="E7561" s="7" t="s">
        <v>29</v>
      </c>
      <c r="F7561" s="7" t="s">
        <v>254</v>
      </c>
      <c r="G7561" s="7">
        <v>100.7495</v>
      </c>
      <c r="H7561" s="7"/>
    </row>
    <row r="7562" spans="1:8" x14ac:dyDescent="0.35">
      <c r="A7562" s="7" t="s">
        <v>371</v>
      </c>
      <c r="B7562" s="7" t="s">
        <v>26</v>
      </c>
      <c r="C7562" s="7" t="s">
        <v>27</v>
      </c>
      <c r="D7562" s="7" t="s">
        <v>28</v>
      </c>
      <c r="E7562" s="7" t="s">
        <v>29</v>
      </c>
      <c r="F7562" s="7" t="s">
        <v>255</v>
      </c>
      <c r="G7562" s="7">
        <v>100.5724</v>
      </c>
      <c r="H7562" s="7"/>
    </row>
    <row r="7563" spans="1:8" x14ac:dyDescent="0.35">
      <c r="A7563" s="7" t="s">
        <v>371</v>
      </c>
      <c r="B7563" s="7" t="s">
        <v>26</v>
      </c>
      <c r="C7563" s="7" t="s">
        <v>27</v>
      </c>
      <c r="D7563" s="7" t="s">
        <v>28</v>
      </c>
      <c r="E7563" s="7" t="s">
        <v>29</v>
      </c>
      <c r="F7563" s="7" t="s">
        <v>256</v>
      </c>
      <c r="G7563" s="7">
        <v>100.35129999999999</v>
      </c>
      <c r="H7563" s="7"/>
    </row>
    <row r="7564" spans="1:8" x14ac:dyDescent="0.35">
      <c r="A7564" s="7" t="s">
        <v>371</v>
      </c>
      <c r="B7564" s="7" t="s">
        <v>26</v>
      </c>
      <c r="C7564" s="7" t="s">
        <v>27</v>
      </c>
      <c r="D7564" s="7" t="s">
        <v>28</v>
      </c>
      <c r="E7564" s="7" t="s">
        <v>29</v>
      </c>
      <c r="F7564" s="7" t="s">
        <v>257</v>
      </c>
      <c r="G7564" s="7">
        <v>100.1063</v>
      </c>
      <c r="H7564" s="7"/>
    </row>
    <row r="7565" spans="1:8" x14ac:dyDescent="0.35">
      <c r="A7565" s="7" t="s">
        <v>371</v>
      </c>
      <c r="B7565" s="7" t="s">
        <v>26</v>
      </c>
      <c r="C7565" s="7" t="s">
        <v>27</v>
      </c>
      <c r="D7565" s="7" t="s">
        <v>28</v>
      </c>
      <c r="E7565" s="7" t="s">
        <v>29</v>
      </c>
      <c r="F7565" s="7" t="s">
        <v>258</v>
      </c>
      <c r="G7565" s="7">
        <v>99.831530000000001</v>
      </c>
      <c r="H7565" s="7"/>
    </row>
    <row r="7566" spans="1:8" x14ac:dyDescent="0.35">
      <c r="A7566" s="7" t="s">
        <v>371</v>
      </c>
      <c r="B7566" s="7" t="s">
        <v>26</v>
      </c>
      <c r="C7566" s="7" t="s">
        <v>27</v>
      </c>
      <c r="D7566" s="7" t="s">
        <v>28</v>
      </c>
      <c r="E7566" s="7" t="s">
        <v>29</v>
      </c>
      <c r="F7566" s="7" t="s">
        <v>259</v>
      </c>
      <c r="G7566" s="7">
        <v>99.50385</v>
      </c>
      <c r="H7566" s="7"/>
    </row>
    <row r="7567" spans="1:8" x14ac:dyDescent="0.35">
      <c r="A7567" s="7" t="s">
        <v>371</v>
      </c>
      <c r="B7567" s="7" t="s">
        <v>26</v>
      </c>
      <c r="C7567" s="7" t="s">
        <v>27</v>
      </c>
      <c r="D7567" s="7" t="s">
        <v>28</v>
      </c>
      <c r="E7567" s="7" t="s">
        <v>29</v>
      </c>
      <c r="F7567" s="7" t="s">
        <v>260</v>
      </c>
      <c r="G7567" s="7">
        <v>99.119960000000006</v>
      </c>
      <c r="H7567" s="7"/>
    </row>
    <row r="7568" spans="1:8" x14ac:dyDescent="0.35">
      <c r="A7568" s="7" t="s">
        <v>371</v>
      </c>
      <c r="B7568" s="7" t="s">
        <v>26</v>
      </c>
      <c r="C7568" s="7" t="s">
        <v>27</v>
      </c>
      <c r="D7568" s="7" t="s">
        <v>28</v>
      </c>
      <c r="E7568" s="7" t="s">
        <v>29</v>
      </c>
      <c r="F7568" s="7" t="s">
        <v>261</v>
      </c>
      <c r="G7568" s="7">
        <v>98.787379999999999</v>
      </c>
      <c r="H7568" s="7"/>
    </row>
    <row r="7569" spans="1:8" x14ac:dyDescent="0.35">
      <c r="A7569" s="7" t="s">
        <v>371</v>
      </c>
      <c r="B7569" s="7" t="s">
        <v>26</v>
      </c>
      <c r="C7569" s="7" t="s">
        <v>27</v>
      </c>
      <c r="D7569" s="7" t="s">
        <v>28</v>
      </c>
      <c r="E7569" s="7" t="s">
        <v>29</v>
      </c>
      <c r="F7569" s="7" t="s">
        <v>262</v>
      </c>
      <c r="G7569" s="7">
        <v>98.683220000000006</v>
      </c>
      <c r="H7569" s="7"/>
    </row>
    <row r="7570" spans="1:8" x14ac:dyDescent="0.35">
      <c r="A7570" s="7" t="s">
        <v>371</v>
      </c>
      <c r="B7570" s="7" t="s">
        <v>26</v>
      </c>
      <c r="C7570" s="7" t="s">
        <v>27</v>
      </c>
      <c r="D7570" s="7" t="s">
        <v>28</v>
      </c>
      <c r="E7570" s="7" t="s">
        <v>29</v>
      </c>
      <c r="F7570" s="7" t="s">
        <v>263</v>
      </c>
      <c r="G7570" s="7">
        <v>98.961780000000005</v>
      </c>
      <c r="H7570" s="7"/>
    </row>
    <row r="7571" spans="1:8" x14ac:dyDescent="0.35">
      <c r="A7571" s="7" t="s">
        <v>371</v>
      </c>
      <c r="B7571" s="7" t="s">
        <v>26</v>
      </c>
      <c r="C7571" s="7" t="s">
        <v>27</v>
      </c>
      <c r="D7571" s="7" t="s">
        <v>28</v>
      </c>
      <c r="E7571" s="7" t="s">
        <v>29</v>
      </c>
      <c r="F7571" s="7" t="s">
        <v>264</v>
      </c>
      <c r="G7571" s="7">
        <v>99.433719999999994</v>
      </c>
      <c r="H7571" s="7"/>
    </row>
    <row r="7572" spans="1:8" x14ac:dyDescent="0.35">
      <c r="A7572" s="7" t="s">
        <v>371</v>
      </c>
      <c r="B7572" s="7" t="s">
        <v>26</v>
      </c>
      <c r="C7572" s="7" t="s">
        <v>27</v>
      </c>
      <c r="D7572" s="7" t="s">
        <v>28</v>
      </c>
      <c r="E7572" s="7" t="s">
        <v>29</v>
      </c>
      <c r="F7572" s="7" t="s">
        <v>265</v>
      </c>
      <c r="G7572" s="7">
        <v>99.863749999999996</v>
      </c>
      <c r="H7572" s="7"/>
    </row>
    <row r="7573" spans="1:8" x14ac:dyDescent="0.35">
      <c r="A7573" s="7" t="s">
        <v>371</v>
      </c>
      <c r="B7573" s="7" t="s">
        <v>26</v>
      </c>
      <c r="C7573" s="7" t="s">
        <v>27</v>
      </c>
      <c r="D7573" s="7" t="s">
        <v>28</v>
      </c>
      <c r="E7573" s="7" t="s">
        <v>29</v>
      </c>
      <c r="F7573" s="7" t="s">
        <v>266</v>
      </c>
      <c r="G7573" s="7">
        <v>100.0748</v>
      </c>
      <c r="H7573" s="7"/>
    </row>
    <row r="7574" spans="1:8" x14ac:dyDescent="0.35">
      <c r="A7574" s="7" t="s">
        <v>371</v>
      </c>
      <c r="B7574" s="7" t="s">
        <v>26</v>
      </c>
      <c r="C7574" s="7" t="s">
        <v>27</v>
      </c>
      <c r="D7574" s="7" t="s">
        <v>28</v>
      </c>
      <c r="E7574" s="7" t="s">
        <v>29</v>
      </c>
      <c r="F7574" s="7" t="s">
        <v>267</v>
      </c>
      <c r="G7574" s="7">
        <v>100.0943</v>
      </c>
      <c r="H7574" s="7"/>
    </row>
    <row r="7575" spans="1:8" x14ac:dyDescent="0.35">
      <c r="A7575" s="7" t="s">
        <v>371</v>
      </c>
      <c r="B7575" s="7" t="s">
        <v>26</v>
      </c>
      <c r="C7575" s="7" t="s">
        <v>27</v>
      </c>
      <c r="D7575" s="7" t="s">
        <v>28</v>
      </c>
      <c r="E7575" s="7" t="s">
        <v>29</v>
      </c>
      <c r="F7575" s="7" t="s">
        <v>268</v>
      </c>
      <c r="G7575" s="7">
        <v>99.942850000000007</v>
      </c>
      <c r="H7575" s="7"/>
    </row>
    <row r="7576" spans="1:8" x14ac:dyDescent="0.35">
      <c r="A7576" s="7" t="s">
        <v>371</v>
      </c>
      <c r="B7576" s="7" t="s">
        <v>26</v>
      </c>
      <c r="C7576" s="7" t="s">
        <v>27</v>
      </c>
      <c r="D7576" s="7" t="s">
        <v>28</v>
      </c>
      <c r="E7576" s="7" t="s">
        <v>29</v>
      </c>
      <c r="F7576" s="7" t="s">
        <v>269</v>
      </c>
      <c r="G7576" s="7">
        <v>99.615260000000006</v>
      </c>
      <c r="H7576" s="7"/>
    </row>
    <row r="7577" spans="1:8" x14ac:dyDescent="0.35">
      <c r="A7577" s="7" t="s">
        <v>371</v>
      </c>
      <c r="B7577" s="7" t="s">
        <v>26</v>
      </c>
      <c r="C7577" s="7" t="s">
        <v>27</v>
      </c>
      <c r="D7577" s="7" t="s">
        <v>28</v>
      </c>
      <c r="E7577" s="7" t="s">
        <v>29</v>
      </c>
      <c r="F7577" s="7" t="s">
        <v>270</v>
      </c>
      <c r="G7577" s="7">
        <v>99.231480000000005</v>
      </c>
      <c r="H7577" s="7"/>
    </row>
    <row r="7578" spans="1:8" x14ac:dyDescent="0.35">
      <c r="A7578" s="7" t="s">
        <v>371</v>
      </c>
      <c r="B7578" s="7" t="s">
        <v>26</v>
      </c>
      <c r="C7578" s="7" t="s">
        <v>27</v>
      </c>
      <c r="D7578" s="7" t="s">
        <v>28</v>
      </c>
      <c r="E7578" s="7" t="s">
        <v>29</v>
      </c>
      <c r="F7578" s="7" t="s">
        <v>271</v>
      </c>
      <c r="G7578" s="7">
        <v>98.927210000000002</v>
      </c>
      <c r="H7578" s="7"/>
    </row>
    <row r="7579" spans="1:8" x14ac:dyDescent="0.35">
      <c r="A7579" s="7" t="s">
        <v>371</v>
      </c>
      <c r="B7579" s="7" t="s">
        <v>26</v>
      </c>
      <c r="C7579" s="7" t="s">
        <v>27</v>
      </c>
      <c r="D7579" s="7" t="s">
        <v>28</v>
      </c>
      <c r="E7579" s="7" t="s">
        <v>29</v>
      </c>
      <c r="F7579" s="7" t="s">
        <v>272</v>
      </c>
      <c r="G7579" s="7">
        <v>98.800290000000004</v>
      </c>
      <c r="H7579" s="7"/>
    </row>
    <row r="7580" spans="1:8" x14ac:dyDescent="0.35">
      <c r="A7580" s="7" t="s">
        <v>371</v>
      </c>
      <c r="B7580" s="7" t="s">
        <v>26</v>
      </c>
      <c r="C7580" s="7" t="s">
        <v>27</v>
      </c>
      <c r="D7580" s="7" t="s">
        <v>28</v>
      </c>
      <c r="E7580" s="7" t="s">
        <v>29</v>
      </c>
      <c r="F7580" s="7" t="s">
        <v>273</v>
      </c>
      <c r="G7580" s="7">
        <v>98.777810000000002</v>
      </c>
      <c r="H7580" s="7"/>
    </row>
    <row r="7581" spans="1:8" x14ac:dyDescent="0.35">
      <c r="A7581" s="7" t="s">
        <v>371</v>
      </c>
      <c r="B7581" s="7" t="s">
        <v>26</v>
      </c>
      <c r="C7581" s="7" t="s">
        <v>27</v>
      </c>
      <c r="D7581" s="7" t="s">
        <v>28</v>
      </c>
      <c r="E7581" s="7" t="s">
        <v>29</v>
      </c>
      <c r="F7581" s="7" t="s">
        <v>274</v>
      </c>
      <c r="G7581" s="7">
        <v>98.771519999999995</v>
      </c>
      <c r="H7581" s="7"/>
    </row>
    <row r="7582" spans="1:8" x14ac:dyDescent="0.35">
      <c r="A7582" s="7" t="s">
        <v>371</v>
      </c>
      <c r="B7582" s="7" t="s">
        <v>26</v>
      </c>
      <c r="C7582" s="7" t="s">
        <v>27</v>
      </c>
      <c r="D7582" s="7" t="s">
        <v>28</v>
      </c>
      <c r="E7582" s="7" t="s">
        <v>29</v>
      </c>
      <c r="F7582" s="7" t="s">
        <v>275</v>
      </c>
      <c r="G7582" s="7">
        <v>98.729060000000004</v>
      </c>
      <c r="H7582" s="7"/>
    </row>
    <row r="7583" spans="1:8" x14ac:dyDescent="0.35">
      <c r="A7583" s="7" t="s">
        <v>371</v>
      </c>
      <c r="B7583" s="7" t="s">
        <v>26</v>
      </c>
      <c r="C7583" s="7" t="s">
        <v>27</v>
      </c>
      <c r="D7583" s="7" t="s">
        <v>28</v>
      </c>
      <c r="E7583" s="7" t="s">
        <v>29</v>
      </c>
      <c r="F7583" s="7" t="s">
        <v>276</v>
      </c>
      <c r="G7583" s="7">
        <v>98.668700000000001</v>
      </c>
      <c r="H7583" s="7"/>
    </row>
    <row r="7584" spans="1:8" x14ac:dyDescent="0.35">
      <c r="A7584" s="7" t="s">
        <v>371</v>
      </c>
      <c r="B7584" s="7" t="s">
        <v>26</v>
      </c>
      <c r="C7584" s="7" t="s">
        <v>27</v>
      </c>
      <c r="D7584" s="7" t="s">
        <v>28</v>
      </c>
      <c r="E7584" s="7" t="s">
        <v>29</v>
      </c>
      <c r="F7584" s="7" t="s">
        <v>277</v>
      </c>
      <c r="G7584" s="7">
        <v>98.636110000000002</v>
      </c>
      <c r="H7584" s="7"/>
    </row>
    <row r="7585" spans="1:8" x14ac:dyDescent="0.35">
      <c r="A7585" s="7" t="s">
        <v>371</v>
      </c>
      <c r="B7585" s="7" t="s">
        <v>26</v>
      </c>
      <c r="C7585" s="7" t="s">
        <v>27</v>
      </c>
      <c r="D7585" s="7" t="s">
        <v>28</v>
      </c>
      <c r="E7585" s="7" t="s">
        <v>29</v>
      </c>
      <c r="F7585" s="7" t="s">
        <v>278</v>
      </c>
      <c r="G7585" s="7">
        <v>98.678839999999994</v>
      </c>
      <c r="H7585" s="7"/>
    </row>
    <row r="7586" spans="1:8" x14ac:dyDescent="0.35">
      <c r="A7586" s="7" t="s">
        <v>371</v>
      </c>
      <c r="B7586" s="7" t="s">
        <v>26</v>
      </c>
      <c r="C7586" s="7" t="s">
        <v>27</v>
      </c>
      <c r="D7586" s="7" t="s">
        <v>28</v>
      </c>
      <c r="E7586" s="7" t="s">
        <v>29</v>
      </c>
      <c r="F7586" s="7" t="s">
        <v>279</v>
      </c>
      <c r="G7586" s="7">
        <v>98.793109999999999</v>
      </c>
      <c r="H7586" s="7"/>
    </row>
    <row r="7587" spans="1:8" x14ac:dyDescent="0.35">
      <c r="A7587" s="7" t="s">
        <v>371</v>
      </c>
      <c r="B7587" s="7" t="s">
        <v>26</v>
      </c>
      <c r="C7587" s="7" t="s">
        <v>27</v>
      </c>
      <c r="D7587" s="7" t="s">
        <v>28</v>
      </c>
      <c r="E7587" s="7" t="s">
        <v>29</v>
      </c>
      <c r="F7587" s="7" t="s">
        <v>280</v>
      </c>
      <c r="G7587" s="7">
        <v>98.987309999999994</v>
      </c>
      <c r="H7587" s="7"/>
    </row>
    <row r="7588" spans="1:8" x14ac:dyDescent="0.35">
      <c r="A7588" s="7" t="s">
        <v>371</v>
      </c>
      <c r="B7588" s="7" t="s">
        <v>26</v>
      </c>
      <c r="C7588" s="7" t="s">
        <v>27</v>
      </c>
      <c r="D7588" s="7" t="s">
        <v>28</v>
      </c>
      <c r="E7588" s="7" t="s">
        <v>29</v>
      </c>
      <c r="F7588" s="7" t="s">
        <v>281</v>
      </c>
      <c r="G7588" s="7">
        <v>99.274039999999999</v>
      </c>
      <c r="H7588" s="7"/>
    </row>
    <row r="7589" spans="1:8" x14ac:dyDescent="0.35">
      <c r="A7589" s="7" t="s">
        <v>371</v>
      </c>
      <c r="B7589" s="7" t="s">
        <v>26</v>
      </c>
      <c r="C7589" s="7" t="s">
        <v>27</v>
      </c>
      <c r="D7589" s="7" t="s">
        <v>28</v>
      </c>
      <c r="E7589" s="7" t="s">
        <v>29</v>
      </c>
      <c r="F7589" s="7" t="s">
        <v>282</v>
      </c>
      <c r="G7589" s="7">
        <v>99.582059999999998</v>
      </c>
      <c r="H7589" s="7"/>
    </row>
    <row r="7590" spans="1:8" x14ac:dyDescent="0.35">
      <c r="A7590" s="7" t="s">
        <v>371</v>
      </c>
      <c r="B7590" s="7" t="s">
        <v>26</v>
      </c>
      <c r="C7590" s="7" t="s">
        <v>27</v>
      </c>
      <c r="D7590" s="7" t="s">
        <v>28</v>
      </c>
      <c r="E7590" s="7" t="s">
        <v>29</v>
      </c>
      <c r="F7590" s="7" t="s">
        <v>283</v>
      </c>
      <c r="G7590" s="7">
        <v>99.821079999999995</v>
      </c>
      <c r="H7590" s="7"/>
    </row>
    <row r="7591" spans="1:8" x14ac:dyDescent="0.35">
      <c r="A7591" s="7" t="s">
        <v>371</v>
      </c>
      <c r="B7591" s="7" t="s">
        <v>26</v>
      </c>
      <c r="C7591" s="7" t="s">
        <v>27</v>
      </c>
      <c r="D7591" s="7" t="s">
        <v>28</v>
      </c>
      <c r="E7591" s="7" t="s">
        <v>29</v>
      </c>
      <c r="F7591" s="7" t="s">
        <v>284</v>
      </c>
      <c r="G7591" s="7">
        <v>99.925160000000005</v>
      </c>
      <c r="H7591" s="7"/>
    </row>
    <row r="7592" spans="1:8" x14ac:dyDescent="0.35">
      <c r="A7592" s="7" t="s">
        <v>371</v>
      </c>
      <c r="B7592" s="7" t="s">
        <v>26</v>
      </c>
      <c r="C7592" s="7" t="s">
        <v>27</v>
      </c>
      <c r="D7592" s="7" t="s">
        <v>28</v>
      </c>
      <c r="E7592" s="7" t="s">
        <v>29</v>
      </c>
      <c r="F7592" s="7" t="s">
        <v>285</v>
      </c>
      <c r="G7592" s="7">
        <v>99.965100000000007</v>
      </c>
      <c r="H7592" s="7"/>
    </row>
    <row r="7593" spans="1:8" x14ac:dyDescent="0.35">
      <c r="A7593" s="7" t="s">
        <v>371</v>
      </c>
      <c r="B7593" s="7" t="s">
        <v>26</v>
      </c>
      <c r="C7593" s="7" t="s">
        <v>27</v>
      </c>
      <c r="D7593" s="7" t="s">
        <v>28</v>
      </c>
      <c r="E7593" s="7" t="s">
        <v>29</v>
      </c>
      <c r="F7593" s="7" t="s">
        <v>286</v>
      </c>
      <c r="G7593" s="7">
        <v>100.0321</v>
      </c>
      <c r="H7593" s="7"/>
    </row>
    <row r="7594" spans="1:8" x14ac:dyDescent="0.35">
      <c r="A7594" s="7" t="s">
        <v>371</v>
      </c>
      <c r="B7594" s="7" t="s">
        <v>26</v>
      </c>
      <c r="C7594" s="7" t="s">
        <v>27</v>
      </c>
      <c r="D7594" s="7" t="s">
        <v>28</v>
      </c>
      <c r="E7594" s="7" t="s">
        <v>29</v>
      </c>
      <c r="F7594" s="7" t="s">
        <v>287</v>
      </c>
      <c r="G7594" s="7">
        <v>100.1857</v>
      </c>
      <c r="H7594" s="7"/>
    </row>
    <row r="7595" spans="1:8" x14ac:dyDescent="0.35">
      <c r="A7595" s="7" t="s">
        <v>371</v>
      </c>
      <c r="B7595" s="7" t="s">
        <v>26</v>
      </c>
      <c r="C7595" s="7" t="s">
        <v>27</v>
      </c>
      <c r="D7595" s="7" t="s">
        <v>28</v>
      </c>
      <c r="E7595" s="7" t="s">
        <v>29</v>
      </c>
      <c r="F7595" s="7" t="s">
        <v>288</v>
      </c>
      <c r="G7595" s="7">
        <v>100.3742</v>
      </c>
      <c r="H7595" s="7"/>
    </row>
    <row r="7596" spans="1:8" x14ac:dyDescent="0.35">
      <c r="A7596" s="7" t="s">
        <v>371</v>
      </c>
      <c r="B7596" s="7" t="s">
        <v>26</v>
      </c>
      <c r="C7596" s="7" t="s">
        <v>27</v>
      </c>
      <c r="D7596" s="7" t="s">
        <v>28</v>
      </c>
      <c r="E7596" s="7" t="s">
        <v>29</v>
      </c>
      <c r="F7596" s="7" t="s">
        <v>289</v>
      </c>
      <c r="G7596" s="7">
        <v>100.51860000000001</v>
      </c>
      <c r="H7596" s="7"/>
    </row>
    <row r="7597" spans="1:8" x14ac:dyDescent="0.35">
      <c r="A7597" s="7" t="s">
        <v>371</v>
      </c>
      <c r="B7597" s="7" t="s">
        <v>26</v>
      </c>
      <c r="C7597" s="7" t="s">
        <v>27</v>
      </c>
      <c r="D7597" s="7" t="s">
        <v>28</v>
      </c>
      <c r="E7597" s="7" t="s">
        <v>29</v>
      </c>
      <c r="F7597" s="7" t="s">
        <v>290</v>
      </c>
      <c r="G7597" s="7">
        <v>100.5604</v>
      </c>
      <c r="H7597" s="7"/>
    </row>
    <row r="7598" spans="1:8" x14ac:dyDescent="0.35">
      <c r="A7598" s="7" t="s">
        <v>371</v>
      </c>
      <c r="B7598" s="7" t="s">
        <v>26</v>
      </c>
      <c r="C7598" s="7" t="s">
        <v>27</v>
      </c>
      <c r="D7598" s="7" t="s">
        <v>28</v>
      </c>
      <c r="E7598" s="7" t="s">
        <v>29</v>
      </c>
      <c r="F7598" s="7" t="s">
        <v>291</v>
      </c>
      <c r="G7598" s="7">
        <v>100.5549</v>
      </c>
      <c r="H7598" s="7"/>
    </row>
    <row r="7599" spans="1:8" x14ac:dyDescent="0.35">
      <c r="A7599" s="7" t="s">
        <v>371</v>
      </c>
      <c r="B7599" s="7" t="s">
        <v>26</v>
      </c>
      <c r="C7599" s="7" t="s">
        <v>27</v>
      </c>
      <c r="D7599" s="7" t="s">
        <v>28</v>
      </c>
      <c r="E7599" s="7" t="s">
        <v>29</v>
      </c>
      <c r="F7599" s="7" t="s">
        <v>292</v>
      </c>
      <c r="G7599" s="7">
        <v>100.5801</v>
      </c>
      <c r="H7599" s="7"/>
    </row>
    <row r="7600" spans="1:8" x14ac:dyDescent="0.35">
      <c r="A7600" s="7" t="s">
        <v>371</v>
      </c>
      <c r="B7600" s="7" t="s">
        <v>26</v>
      </c>
      <c r="C7600" s="7" t="s">
        <v>27</v>
      </c>
      <c r="D7600" s="7" t="s">
        <v>28</v>
      </c>
      <c r="E7600" s="7" t="s">
        <v>29</v>
      </c>
      <c r="F7600" s="7" t="s">
        <v>293</v>
      </c>
      <c r="G7600" s="7">
        <v>100.693</v>
      </c>
      <c r="H7600" s="7"/>
    </row>
    <row r="7601" spans="1:8" x14ac:dyDescent="0.35">
      <c r="A7601" s="7" t="s">
        <v>371</v>
      </c>
      <c r="B7601" s="7" t="s">
        <v>26</v>
      </c>
      <c r="C7601" s="7" t="s">
        <v>27</v>
      </c>
      <c r="D7601" s="7" t="s">
        <v>28</v>
      </c>
      <c r="E7601" s="7" t="s">
        <v>29</v>
      </c>
      <c r="F7601" s="7" t="s">
        <v>294</v>
      </c>
      <c r="G7601" s="7">
        <v>100.8556</v>
      </c>
      <c r="H7601" s="7"/>
    </row>
    <row r="7602" spans="1:8" x14ac:dyDescent="0.35">
      <c r="A7602" s="7" t="s">
        <v>371</v>
      </c>
      <c r="B7602" s="7" t="s">
        <v>26</v>
      </c>
      <c r="C7602" s="7" t="s">
        <v>27</v>
      </c>
      <c r="D7602" s="7" t="s">
        <v>28</v>
      </c>
      <c r="E7602" s="7" t="s">
        <v>29</v>
      </c>
      <c r="F7602" s="7" t="s">
        <v>295</v>
      </c>
      <c r="G7602" s="7">
        <v>101.014</v>
      </c>
      <c r="H7602" s="7"/>
    </row>
    <row r="7603" spans="1:8" x14ac:dyDescent="0.35">
      <c r="A7603" s="7" t="s">
        <v>371</v>
      </c>
      <c r="B7603" s="7" t="s">
        <v>26</v>
      </c>
      <c r="C7603" s="7" t="s">
        <v>27</v>
      </c>
      <c r="D7603" s="7" t="s">
        <v>28</v>
      </c>
      <c r="E7603" s="7" t="s">
        <v>29</v>
      </c>
      <c r="F7603" s="7" t="s">
        <v>296</v>
      </c>
      <c r="G7603" s="7">
        <v>101.12779999999999</v>
      </c>
      <c r="H7603" s="7"/>
    </row>
    <row r="7604" spans="1:8" x14ac:dyDescent="0.35">
      <c r="A7604" s="7" t="s">
        <v>371</v>
      </c>
      <c r="B7604" s="7" t="s">
        <v>26</v>
      </c>
      <c r="C7604" s="7" t="s">
        <v>27</v>
      </c>
      <c r="D7604" s="7" t="s">
        <v>28</v>
      </c>
      <c r="E7604" s="7" t="s">
        <v>29</v>
      </c>
      <c r="F7604" s="7" t="s">
        <v>297</v>
      </c>
      <c r="G7604" s="7">
        <v>101.2038</v>
      </c>
      <c r="H7604" s="7"/>
    </row>
    <row r="7605" spans="1:8" x14ac:dyDescent="0.35">
      <c r="A7605" s="7" t="s">
        <v>371</v>
      </c>
      <c r="B7605" s="7" t="s">
        <v>26</v>
      </c>
      <c r="C7605" s="7" t="s">
        <v>27</v>
      </c>
      <c r="D7605" s="7" t="s">
        <v>28</v>
      </c>
      <c r="E7605" s="7" t="s">
        <v>29</v>
      </c>
      <c r="F7605" s="7" t="s">
        <v>298</v>
      </c>
      <c r="G7605" s="7">
        <v>101.2473</v>
      </c>
      <c r="H7605" s="7"/>
    </row>
    <row r="7606" spans="1:8" x14ac:dyDescent="0.35">
      <c r="A7606" s="7" t="s">
        <v>371</v>
      </c>
      <c r="B7606" s="7" t="s">
        <v>26</v>
      </c>
      <c r="C7606" s="7" t="s">
        <v>27</v>
      </c>
      <c r="D7606" s="7" t="s">
        <v>28</v>
      </c>
      <c r="E7606" s="7" t="s">
        <v>29</v>
      </c>
      <c r="F7606" s="7" t="s">
        <v>299</v>
      </c>
      <c r="G7606" s="7">
        <v>101.2522</v>
      </c>
      <c r="H7606" s="7"/>
    </row>
    <row r="7607" spans="1:8" x14ac:dyDescent="0.35">
      <c r="A7607" s="7" t="s">
        <v>371</v>
      </c>
      <c r="B7607" s="7" t="s">
        <v>26</v>
      </c>
      <c r="C7607" s="7" t="s">
        <v>27</v>
      </c>
      <c r="D7607" s="7" t="s">
        <v>28</v>
      </c>
      <c r="E7607" s="7" t="s">
        <v>29</v>
      </c>
      <c r="F7607" s="7" t="s">
        <v>300</v>
      </c>
      <c r="G7607" s="7">
        <v>101.2221</v>
      </c>
      <c r="H7607" s="7"/>
    </row>
    <row r="7608" spans="1:8" x14ac:dyDescent="0.35">
      <c r="A7608" s="7" t="s">
        <v>371</v>
      </c>
      <c r="B7608" s="7" t="s">
        <v>26</v>
      </c>
      <c r="C7608" s="7" t="s">
        <v>27</v>
      </c>
      <c r="D7608" s="7" t="s">
        <v>28</v>
      </c>
      <c r="E7608" s="7" t="s">
        <v>29</v>
      </c>
      <c r="F7608" s="7" t="s">
        <v>301</v>
      </c>
      <c r="G7608" s="7">
        <v>101.1455</v>
      </c>
      <c r="H7608" s="7"/>
    </row>
    <row r="7609" spans="1:8" x14ac:dyDescent="0.35">
      <c r="A7609" s="7" t="s">
        <v>371</v>
      </c>
      <c r="B7609" s="7" t="s">
        <v>26</v>
      </c>
      <c r="C7609" s="7" t="s">
        <v>27</v>
      </c>
      <c r="D7609" s="7" t="s">
        <v>28</v>
      </c>
      <c r="E7609" s="7" t="s">
        <v>29</v>
      </c>
      <c r="F7609" s="7" t="s">
        <v>302</v>
      </c>
      <c r="G7609" s="7">
        <v>101.00539999999999</v>
      </c>
      <c r="H7609" s="7"/>
    </row>
    <row r="7610" spans="1:8" x14ac:dyDescent="0.35">
      <c r="A7610" s="7" t="s">
        <v>371</v>
      </c>
      <c r="B7610" s="7" t="s">
        <v>26</v>
      </c>
      <c r="C7610" s="7" t="s">
        <v>27</v>
      </c>
      <c r="D7610" s="7" t="s">
        <v>28</v>
      </c>
      <c r="E7610" s="7" t="s">
        <v>29</v>
      </c>
      <c r="F7610" s="7" t="s">
        <v>303</v>
      </c>
      <c r="G7610" s="7">
        <v>100.83499999999999</v>
      </c>
      <c r="H7610" s="7"/>
    </row>
    <row r="7611" spans="1:8" x14ac:dyDescent="0.35">
      <c r="A7611" s="7" t="s">
        <v>371</v>
      </c>
      <c r="B7611" s="7" t="s">
        <v>26</v>
      </c>
      <c r="C7611" s="7" t="s">
        <v>27</v>
      </c>
      <c r="D7611" s="7" t="s">
        <v>28</v>
      </c>
      <c r="E7611" s="7" t="s">
        <v>29</v>
      </c>
      <c r="F7611" s="7" t="s">
        <v>304</v>
      </c>
      <c r="G7611" s="7">
        <v>100.6748</v>
      </c>
      <c r="H7611" s="7"/>
    </row>
    <row r="7612" spans="1:8" x14ac:dyDescent="0.35">
      <c r="A7612" s="7" t="s">
        <v>371</v>
      </c>
      <c r="B7612" s="7" t="s">
        <v>26</v>
      </c>
      <c r="C7612" s="7" t="s">
        <v>27</v>
      </c>
      <c r="D7612" s="7" t="s">
        <v>28</v>
      </c>
      <c r="E7612" s="7" t="s">
        <v>29</v>
      </c>
      <c r="F7612" s="7" t="s">
        <v>305</v>
      </c>
      <c r="G7612" s="7">
        <v>100.5581</v>
      </c>
      <c r="H7612" s="7"/>
    </row>
    <row r="7613" spans="1:8" x14ac:dyDescent="0.35">
      <c r="A7613" s="7" t="s">
        <v>371</v>
      </c>
      <c r="B7613" s="7" t="s">
        <v>26</v>
      </c>
      <c r="C7613" s="7" t="s">
        <v>27</v>
      </c>
      <c r="D7613" s="7" t="s">
        <v>28</v>
      </c>
      <c r="E7613" s="7" t="s">
        <v>29</v>
      </c>
      <c r="F7613" s="7" t="s">
        <v>306</v>
      </c>
      <c r="G7613" s="7">
        <v>100.4879</v>
      </c>
      <c r="H7613" s="7"/>
    </row>
    <row r="7614" spans="1:8" x14ac:dyDescent="0.35">
      <c r="A7614" s="7" t="s">
        <v>371</v>
      </c>
      <c r="B7614" s="7" t="s">
        <v>26</v>
      </c>
      <c r="C7614" s="7" t="s">
        <v>27</v>
      </c>
      <c r="D7614" s="7" t="s">
        <v>28</v>
      </c>
      <c r="E7614" s="7" t="s">
        <v>29</v>
      </c>
      <c r="F7614" s="7" t="s">
        <v>307</v>
      </c>
      <c r="G7614" s="7">
        <v>100.47620000000001</v>
      </c>
      <c r="H7614" s="7"/>
    </row>
    <row r="7615" spans="1:8" x14ac:dyDescent="0.35">
      <c r="A7615" s="7" t="s">
        <v>371</v>
      </c>
      <c r="B7615" s="7" t="s">
        <v>26</v>
      </c>
      <c r="C7615" s="7" t="s">
        <v>27</v>
      </c>
      <c r="D7615" s="7" t="s">
        <v>28</v>
      </c>
      <c r="E7615" s="7" t="s">
        <v>29</v>
      </c>
      <c r="F7615" s="7" t="s">
        <v>308</v>
      </c>
      <c r="G7615" s="7">
        <v>100.53570000000001</v>
      </c>
      <c r="H7615" s="7"/>
    </row>
    <row r="7616" spans="1:8" x14ac:dyDescent="0.35">
      <c r="A7616" s="7" t="s">
        <v>371</v>
      </c>
      <c r="B7616" s="7" t="s">
        <v>26</v>
      </c>
      <c r="C7616" s="7" t="s">
        <v>27</v>
      </c>
      <c r="D7616" s="7" t="s">
        <v>28</v>
      </c>
      <c r="E7616" s="7" t="s">
        <v>29</v>
      </c>
      <c r="F7616" s="7" t="s">
        <v>309</v>
      </c>
      <c r="G7616" s="7">
        <v>100.6147</v>
      </c>
      <c r="H7616" s="7"/>
    </row>
    <row r="7617" spans="1:8" x14ac:dyDescent="0.35">
      <c r="A7617" s="7" t="s">
        <v>371</v>
      </c>
      <c r="B7617" s="7" t="s">
        <v>26</v>
      </c>
      <c r="C7617" s="7" t="s">
        <v>27</v>
      </c>
      <c r="D7617" s="7" t="s">
        <v>28</v>
      </c>
      <c r="E7617" s="7" t="s">
        <v>29</v>
      </c>
      <c r="F7617" s="7" t="s">
        <v>310</v>
      </c>
      <c r="G7617" s="7">
        <v>100.6434</v>
      </c>
      <c r="H7617" s="7"/>
    </row>
    <row r="7618" spans="1:8" x14ac:dyDescent="0.35">
      <c r="A7618" s="7" t="s">
        <v>371</v>
      </c>
      <c r="B7618" s="7" t="s">
        <v>26</v>
      </c>
      <c r="C7618" s="7" t="s">
        <v>27</v>
      </c>
      <c r="D7618" s="7" t="s">
        <v>28</v>
      </c>
      <c r="E7618" s="7" t="s">
        <v>29</v>
      </c>
      <c r="F7618" s="7" t="s">
        <v>311</v>
      </c>
      <c r="G7618" s="7">
        <v>100.5612</v>
      </c>
      <c r="H7618" s="7"/>
    </row>
    <row r="7619" spans="1:8" x14ac:dyDescent="0.35">
      <c r="A7619" s="7" t="s">
        <v>371</v>
      </c>
      <c r="B7619" s="7" t="s">
        <v>26</v>
      </c>
      <c r="C7619" s="7" t="s">
        <v>27</v>
      </c>
      <c r="D7619" s="7" t="s">
        <v>28</v>
      </c>
      <c r="E7619" s="7" t="s">
        <v>29</v>
      </c>
      <c r="F7619" s="7" t="s">
        <v>312</v>
      </c>
      <c r="G7619" s="7">
        <v>100.39449999999999</v>
      </c>
      <c r="H7619" s="7"/>
    </row>
    <row r="7620" spans="1:8" x14ac:dyDescent="0.35">
      <c r="A7620" s="7" t="s">
        <v>371</v>
      </c>
      <c r="B7620" s="7" t="s">
        <v>26</v>
      </c>
      <c r="C7620" s="7" t="s">
        <v>27</v>
      </c>
      <c r="D7620" s="7" t="s">
        <v>28</v>
      </c>
      <c r="E7620" s="7" t="s">
        <v>29</v>
      </c>
      <c r="F7620" s="7" t="s">
        <v>313</v>
      </c>
      <c r="G7620" s="7">
        <v>100.1669</v>
      </c>
      <c r="H7620" s="7"/>
    </row>
    <row r="7621" spans="1:8" x14ac:dyDescent="0.35">
      <c r="A7621" s="7" t="s">
        <v>371</v>
      </c>
      <c r="B7621" s="7" t="s">
        <v>26</v>
      </c>
      <c r="C7621" s="7" t="s">
        <v>27</v>
      </c>
      <c r="D7621" s="7" t="s">
        <v>28</v>
      </c>
      <c r="E7621" s="7" t="s">
        <v>29</v>
      </c>
      <c r="F7621" s="7" t="s">
        <v>314</v>
      </c>
      <c r="G7621" s="7">
        <v>99.894390000000001</v>
      </c>
      <c r="H7621" s="7"/>
    </row>
    <row r="7622" spans="1:8" x14ac:dyDescent="0.35">
      <c r="A7622" s="7" t="s">
        <v>371</v>
      </c>
      <c r="B7622" s="7" t="s">
        <v>26</v>
      </c>
      <c r="C7622" s="7" t="s">
        <v>27</v>
      </c>
      <c r="D7622" s="7" t="s">
        <v>28</v>
      </c>
      <c r="E7622" s="7" t="s">
        <v>29</v>
      </c>
      <c r="F7622" s="7" t="s">
        <v>315</v>
      </c>
      <c r="G7622" s="7">
        <v>99.64134</v>
      </c>
      <c r="H7622" s="7"/>
    </row>
    <row r="7623" spans="1:8" x14ac:dyDescent="0.35">
      <c r="A7623" s="7" t="s">
        <v>371</v>
      </c>
      <c r="B7623" s="7" t="s">
        <v>26</v>
      </c>
      <c r="C7623" s="7" t="s">
        <v>27</v>
      </c>
      <c r="D7623" s="7" t="s">
        <v>28</v>
      </c>
      <c r="E7623" s="7" t="s">
        <v>29</v>
      </c>
      <c r="F7623" s="7" t="s">
        <v>316</v>
      </c>
      <c r="G7623" s="7">
        <v>99.498859999999993</v>
      </c>
      <c r="H7623" s="7"/>
    </row>
    <row r="7624" spans="1:8" x14ac:dyDescent="0.35">
      <c r="A7624" s="7" t="s">
        <v>371</v>
      </c>
      <c r="B7624" s="7" t="s">
        <v>26</v>
      </c>
      <c r="C7624" s="7" t="s">
        <v>27</v>
      </c>
      <c r="D7624" s="7" t="s">
        <v>28</v>
      </c>
      <c r="E7624" s="7" t="s">
        <v>29</v>
      </c>
      <c r="F7624" s="7" t="s">
        <v>317</v>
      </c>
      <c r="G7624" s="7">
        <v>99.543480000000002</v>
      </c>
      <c r="H7624" s="7"/>
    </row>
    <row r="7625" spans="1:8" x14ac:dyDescent="0.35">
      <c r="A7625" s="7" t="s">
        <v>371</v>
      </c>
      <c r="B7625" s="7" t="s">
        <v>26</v>
      </c>
      <c r="C7625" s="7" t="s">
        <v>27</v>
      </c>
      <c r="D7625" s="7" t="s">
        <v>28</v>
      </c>
      <c r="E7625" s="7" t="s">
        <v>29</v>
      </c>
      <c r="F7625" s="7" t="s">
        <v>318</v>
      </c>
      <c r="G7625" s="7">
        <v>99.68553</v>
      </c>
      <c r="H7625" s="7"/>
    </row>
    <row r="7626" spans="1:8" x14ac:dyDescent="0.35">
      <c r="A7626" s="7" t="s">
        <v>371</v>
      </c>
      <c r="B7626" s="7" t="s">
        <v>26</v>
      </c>
      <c r="C7626" s="7" t="s">
        <v>27</v>
      </c>
      <c r="D7626" s="7" t="s">
        <v>28</v>
      </c>
      <c r="E7626" s="7" t="s">
        <v>29</v>
      </c>
      <c r="F7626" s="7" t="s">
        <v>319</v>
      </c>
      <c r="G7626" s="7">
        <v>99.816519999999997</v>
      </c>
      <c r="H7626" s="7"/>
    </row>
    <row r="7627" spans="1:8" x14ac:dyDescent="0.35">
      <c r="A7627" s="7" t="s">
        <v>371</v>
      </c>
      <c r="B7627" s="7" t="s">
        <v>26</v>
      </c>
      <c r="C7627" s="7" t="s">
        <v>27</v>
      </c>
      <c r="D7627" s="7" t="s">
        <v>28</v>
      </c>
      <c r="E7627" s="7" t="s">
        <v>29</v>
      </c>
      <c r="F7627" s="7" t="s">
        <v>320</v>
      </c>
      <c r="G7627" s="7">
        <v>99.859170000000006</v>
      </c>
      <c r="H7627" s="7"/>
    </row>
    <row r="7628" spans="1:8" x14ac:dyDescent="0.35">
      <c r="A7628" s="7" t="s">
        <v>371</v>
      </c>
      <c r="B7628" s="7" t="s">
        <v>26</v>
      </c>
      <c r="C7628" s="7" t="s">
        <v>27</v>
      </c>
      <c r="D7628" s="7" t="s">
        <v>28</v>
      </c>
      <c r="E7628" s="7" t="s">
        <v>29</v>
      </c>
      <c r="F7628" s="7" t="s">
        <v>321</v>
      </c>
      <c r="G7628" s="7">
        <v>99.828479999999999</v>
      </c>
      <c r="H7628" s="7"/>
    </row>
    <row r="7629" spans="1:8" x14ac:dyDescent="0.35">
      <c r="A7629" s="7" t="s">
        <v>371</v>
      </c>
      <c r="B7629" s="7" t="s">
        <v>26</v>
      </c>
      <c r="C7629" s="7" t="s">
        <v>27</v>
      </c>
      <c r="D7629" s="7" t="s">
        <v>28</v>
      </c>
      <c r="E7629" s="7" t="s">
        <v>29</v>
      </c>
      <c r="F7629" s="7" t="s">
        <v>322</v>
      </c>
      <c r="G7629" s="7">
        <v>99.744140000000002</v>
      </c>
      <c r="H7629" s="7"/>
    </row>
    <row r="7630" spans="1:8" x14ac:dyDescent="0.35">
      <c r="A7630" s="7" t="s">
        <v>371</v>
      </c>
      <c r="B7630" s="7" t="s">
        <v>26</v>
      </c>
      <c r="C7630" s="7" t="s">
        <v>27</v>
      </c>
      <c r="D7630" s="7" t="s">
        <v>28</v>
      </c>
      <c r="E7630" s="7" t="s">
        <v>29</v>
      </c>
      <c r="F7630" s="7" t="s">
        <v>323</v>
      </c>
      <c r="G7630" s="7">
        <v>99.616280000000003</v>
      </c>
      <c r="H7630" s="7"/>
    </row>
    <row r="7631" spans="1:8" x14ac:dyDescent="0.35">
      <c r="A7631" s="7" t="s">
        <v>371</v>
      </c>
      <c r="B7631" s="7" t="s">
        <v>26</v>
      </c>
      <c r="C7631" s="7" t="s">
        <v>27</v>
      </c>
      <c r="D7631" s="7" t="s">
        <v>28</v>
      </c>
      <c r="E7631" s="7" t="s">
        <v>29</v>
      </c>
      <c r="F7631" s="7" t="s">
        <v>324</v>
      </c>
      <c r="G7631" s="7">
        <v>99.484830000000002</v>
      </c>
      <c r="H7631" s="7"/>
    </row>
    <row r="7632" spans="1:8" x14ac:dyDescent="0.35">
      <c r="A7632" s="7" t="s">
        <v>371</v>
      </c>
      <c r="B7632" s="7" t="s">
        <v>26</v>
      </c>
      <c r="C7632" s="7" t="s">
        <v>27</v>
      </c>
      <c r="D7632" s="7" t="s">
        <v>28</v>
      </c>
      <c r="E7632" s="7" t="s">
        <v>29</v>
      </c>
      <c r="F7632" s="7" t="s">
        <v>325</v>
      </c>
      <c r="G7632" s="7">
        <v>99.40025</v>
      </c>
      <c r="H7632" s="7"/>
    </row>
    <row r="7633" spans="1:8" x14ac:dyDescent="0.35">
      <c r="A7633" s="7" t="s">
        <v>371</v>
      </c>
      <c r="B7633" s="7" t="s">
        <v>26</v>
      </c>
      <c r="C7633" s="7" t="s">
        <v>27</v>
      </c>
      <c r="D7633" s="7" t="s">
        <v>28</v>
      </c>
      <c r="E7633" s="7" t="s">
        <v>29</v>
      </c>
      <c r="F7633" s="7" t="s">
        <v>326</v>
      </c>
      <c r="G7633" s="7">
        <v>99.40795</v>
      </c>
      <c r="H7633" s="7"/>
    </row>
    <row r="7634" spans="1:8" x14ac:dyDescent="0.35">
      <c r="A7634" s="7" t="s">
        <v>371</v>
      </c>
      <c r="B7634" s="7" t="s">
        <v>26</v>
      </c>
      <c r="C7634" s="7" t="s">
        <v>27</v>
      </c>
      <c r="D7634" s="7" t="s">
        <v>28</v>
      </c>
      <c r="E7634" s="7" t="s">
        <v>29</v>
      </c>
      <c r="F7634" s="7" t="s">
        <v>327</v>
      </c>
      <c r="G7634" s="7">
        <v>99.485669999999999</v>
      </c>
      <c r="H7634" s="7"/>
    </row>
    <row r="7635" spans="1:8" x14ac:dyDescent="0.35">
      <c r="A7635" s="7" t="s">
        <v>371</v>
      </c>
      <c r="B7635" s="7" t="s">
        <v>26</v>
      </c>
      <c r="C7635" s="7" t="s">
        <v>27</v>
      </c>
      <c r="D7635" s="7" t="s">
        <v>28</v>
      </c>
      <c r="E7635" s="7" t="s">
        <v>29</v>
      </c>
      <c r="F7635" s="7" t="s">
        <v>328</v>
      </c>
      <c r="G7635" s="7">
        <v>99.617540000000005</v>
      </c>
      <c r="H7635" s="7"/>
    </row>
    <row r="7636" spans="1:8" x14ac:dyDescent="0.35">
      <c r="A7636" s="7" t="s">
        <v>371</v>
      </c>
      <c r="B7636" s="7" t="s">
        <v>26</v>
      </c>
      <c r="C7636" s="7" t="s">
        <v>27</v>
      </c>
      <c r="D7636" s="7" t="s">
        <v>28</v>
      </c>
      <c r="E7636" s="7" t="s">
        <v>29</v>
      </c>
      <c r="F7636" s="7" t="s">
        <v>329</v>
      </c>
      <c r="G7636" s="7">
        <v>99.798069999999996</v>
      </c>
      <c r="H7636" s="7"/>
    </row>
    <row r="7637" spans="1:8" x14ac:dyDescent="0.35">
      <c r="A7637" s="7" t="s">
        <v>371</v>
      </c>
      <c r="B7637" s="7" t="s">
        <v>26</v>
      </c>
      <c r="C7637" s="7" t="s">
        <v>27</v>
      </c>
      <c r="D7637" s="7" t="s">
        <v>28</v>
      </c>
      <c r="E7637" s="7" t="s">
        <v>29</v>
      </c>
      <c r="F7637" s="7" t="s">
        <v>330</v>
      </c>
      <c r="G7637" s="7">
        <v>99.982029999999995</v>
      </c>
      <c r="H7637" s="7"/>
    </row>
    <row r="7638" spans="1:8" x14ac:dyDescent="0.35">
      <c r="A7638" s="7" t="s">
        <v>371</v>
      </c>
      <c r="B7638" s="7" t="s">
        <v>26</v>
      </c>
      <c r="C7638" s="7" t="s">
        <v>27</v>
      </c>
      <c r="D7638" s="7" t="s">
        <v>28</v>
      </c>
      <c r="E7638" s="7" t="s">
        <v>29</v>
      </c>
      <c r="F7638" s="7" t="s">
        <v>331</v>
      </c>
      <c r="G7638" s="7">
        <v>100.11239999999999</v>
      </c>
      <c r="H7638" s="7"/>
    </row>
    <row r="7639" spans="1:8" x14ac:dyDescent="0.35">
      <c r="A7639" s="7" t="s">
        <v>371</v>
      </c>
      <c r="B7639" s="7" t="s">
        <v>26</v>
      </c>
      <c r="C7639" s="7" t="s">
        <v>27</v>
      </c>
      <c r="D7639" s="7" t="s">
        <v>28</v>
      </c>
      <c r="E7639" s="7" t="s">
        <v>29</v>
      </c>
      <c r="F7639" s="7" t="s">
        <v>332</v>
      </c>
      <c r="G7639" s="7">
        <v>100.1446</v>
      </c>
      <c r="H7639" s="7"/>
    </row>
    <row r="7640" spans="1:8" x14ac:dyDescent="0.35">
      <c r="A7640" s="7" t="s">
        <v>371</v>
      </c>
      <c r="B7640" s="7" t="s">
        <v>26</v>
      </c>
      <c r="C7640" s="7" t="s">
        <v>27</v>
      </c>
      <c r="D7640" s="7" t="s">
        <v>28</v>
      </c>
      <c r="E7640" s="7" t="s">
        <v>29</v>
      </c>
      <c r="F7640" s="7" t="s">
        <v>333</v>
      </c>
      <c r="G7640" s="7">
        <v>100.1249</v>
      </c>
      <c r="H7640" s="7"/>
    </row>
    <row r="7641" spans="1:8" x14ac:dyDescent="0.35">
      <c r="A7641" s="7" t="s">
        <v>371</v>
      </c>
      <c r="B7641" s="7" t="s">
        <v>26</v>
      </c>
      <c r="C7641" s="7" t="s">
        <v>27</v>
      </c>
      <c r="D7641" s="7" t="s">
        <v>28</v>
      </c>
      <c r="E7641" s="7" t="s">
        <v>29</v>
      </c>
      <c r="F7641" s="7" t="s">
        <v>334</v>
      </c>
      <c r="G7641" s="7">
        <v>100.1088</v>
      </c>
      <c r="H7641" s="7"/>
    </row>
    <row r="7642" spans="1:8" x14ac:dyDescent="0.35">
      <c r="A7642" s="7" t="s">
        <v>371</v>
      </c>
      <c r="B7642" s="7" t="s">
        <v>26</v>
      </c>
      <c r="C7642" s="7" t="s">
        <v>27</v>
      </c>
      <c r="D7642" s="7" t="s">
        <v>28</v>
      </c>
      <c r="E7642" s="7" t="s">
        <v>29</v>
      </c>
      <c r="F7642" s="7" t="s">
        <v>335</v>
      </c>
      <c r="G7642" s="7">
        <v>100.13200000000001</v>
      </c>
      <c r="H7642" s="7"/>
    </row>
    <row r="7643" spans="1:8" x14ac:dyDescent="0.35">
      <c r="A7643" s="7" t="s">
        <v>371</v>
      </c>
      <c r="B7643" s="7" t="s">
        <v>26</v>
      </c>
      <c r="C7643" s="7" t="s">
        <v>27</v>
      </c>
      <c r="D7643" s="7" t="s">
        <v>28</v>
      </c>
      <c r="E7643" s="7" t="s">
        <v>29</v>
      </c>
      <c r="F7643" s="7" t="s">
        <v>336</v>
      </c>
      <c r="G7643" s="7">
        <v>100.17700000000001</v>
      </c>
      <c r="H7643" s="7"/>
    </row>
    <row r="7644" spans="1:8" x14ac:dyDescent="0.35">
      <c r="A7644" s="7" t="s">
        <v>371</v>
      </c>
      <c r="B7644" s="7" t="s">
        <v>26</v>
      </c>
      <c r="C7644" s="7" t="s">
        <v>27</v>
      </c>
      <c r="D7644" s="7" t="s">
        <v>28</v>
      </c>
      <c r="E7644" s="7" t="s">
        <v>29</v>
      </c>
      <c r="F7644" s="7" t="s">
        <v>337</v>
      </c>
      <c r="G7644" s="7">
        <v>100.2119</v>
      </c>
      <c r="H7644" s="7"/>
    </row>
    <row r="7645" spans="1:8" x14ac:dyDescent="0.35">
      <c r="A7645" s="7" t="s">
        <v>371</v>
      </c>
      <c r="B7645" s="7" t="s">
        <v>26</v>
      </c>
      <c r="C7645" s="7" t="s">
        <v>27</v>
      </c>
      <c r="D7645" s="7" t="s">
        <v>28</v>
      </c>
      <c r="E7645" s="7" t="s">
        <v>29</v>
      </c>
      <c r="F7645" s="7" t="s">
        <v>338</v>
      </c>
      <c r="G7645" s="7">
        <v>100.2059</v>
      </c>
      <c r="H7645" s="7"/>
    </row>
    <row r="7646" spans="1:8" x14ac:dyDescent="0.35">
      <c r="A7646" s="7" t="s">
        <v>371</v>
      </c>
      <c r="B7646" s="7" t="s">
        <v>26</v>
      </c>
      <c r="C7646" s="7" t="s">
        <v>27</v>
      </c>
      <c r="D7646" s="7" t="s">
        <v>28</v>
      </c>
      <c r="E7646" s="7" t="s">
        <v>29</v>
      </c>
      <c r="F7646" s="7" t="s">
        <v>339</v>
      </c>
      <c r="G7646" s="7">
        <v>100.15649999999999</v>
      </c>
      <c r="H7646" s="7"/>
    </row>
    <row r="7647" spans="1:8" x14ac:dyDescent="0.35">
      <c r="A7647" s="7" t="s">
        <v>371</v>
      </c>
      <c r="B7647" s="7" t="s">
        <v>26</v>
      </c>
      <c r="C7647" s="7" t="s">
        <v>27</v>
      </c>
      <c r="D7647" s="7" t="s">
        <v>28</v>
      </c>
      <c r="E7647" s="7" t="s">
        <v>29</v>
      </c>
      <c r="F7647" s="7" t="s">
        <v>340</v>
      </c>
      <c r="G7647" s="7">
        <v>100.054</v>
      </c>
      <c r="H7647" s="7"/>
    </row>
    <row r="7648" spans="1:8" x14ac:dyDescent="0.35">
      <c r="A7648" s="7" t="s">
        <v>371</v>
      </c>
      <c r="B7648" s="7" t="s">
        <v>26</v>
      </c>
      <c r="C7648" s="7" t="s">
        <v>27</v>
      </c>
      <c r="D7648" s="7" t="s">
        <v>28</v>
      </c>
      <c r="E7648" s="7" t="s">
        <v>29</v>
      </c>
      <c r="F7648" s="7" t="s">
        <v>341</v>
      </c>
      <c r="G7648" s="7">
        <v>99.890259999999998</v>
      </c>
      <c r="H7648" s="7"/>
    </row>
    <row r="7649" spans="1:8" x14ac:dyDescent="0.35">
      <c r="A7649" s="7" t="s">
        <v>371</v>
      </c>
      <c r="B7649" s="7" t="s">
        <v>26</v>
      </c>
      <c r="C7649" s="7" t="s">
        <v>27</v>
      </c>
      <c r="D7649" s="7" t="s">
        <v>28</v>
      </c>
      <c r="E7649" s="7" t="s">
        <v>29</v>
      </c>
      <c r="F7649" s="7" t="s">
        <v>342</v>
      </c>
      <c r="G7649" s="7">
        <v>99.720609999999994</v>
      </c>
      <c r="H7649" s="7"/>
    </row>
    <row r="7650" spans="1:8" x14ac:dyDescent="0.35">
      <c r="A7650" s="7" t="s">
        <v>371</v>
      </c>
      <c r="B7650" s="7" t="s">
        <v>26</v>
      </c>
      <c r="C7650" s="7" t="s">
        <v>27</v>
      </c>
      <c r="D7650" s="7" t="s">
        <v>28</v>
      </c>
      <c r="E7650" s="7" t="s">
        <v>29</v>
      </c>
      <c r="F7650" s="7" t="s">
        <v>343</v>
      </c>
      <c r="G7650" s="7">
        <v>99.62285</v>
      </c>
      <c r="H7650" s="7"/>
    </row>
    <row r="7651" spans="1:8" x14ac:dyDescent="0.35">
      <c r="A7651" s="7" t="s">
        <v>371</v>
      </c>
      <c r="B7651" s="7" t="s">
        <v>26</v>
      </c>
      <c r="C7651" s="7" t="s">
        <v>27</v>
      </c>
      <c r="D7651" s="7" t="s">
        <v>28</v>
      </c>
      <c r="E7651" s="7" t="s">
        <v>29</v>
      </c>
      <c r="F7651" s="7" t="s">
        <v>344</v>
      </c>
      <c r="G7651" s="7">
        <v>99.662779999999998</v>
      </c>
      <c r="H7651" s="7"/>
    </row>
    <row r="7652" spans="1:8" x14ac:dyDescent="0.35">
      <c r="A7652" s="7" t="s">
        <v>371</v>
      </c>
      <c r="B7652" s="7" t="s">
        <v>26</v>
      </c>
      <c r="C7652" s="7" t="s">
        <v>27</v>
      </c>
      <c r="D7652" s="7" t="s">
        <v>28</v>
      </c>
      <c r="E7652" s="7" t="s">
        <v>29</v>
      </c>
      <c r="F7652" s="7" t="s">
        <v>345</v>
      </c>
      <c r="G7652" s="7">
        <v>99.787610000000001</v>
      </c>
      <c r="H7652" s="7"/>
    </row>
    <row r="7653" spans="1:8" x14ac:dyDescent="0.35">
      <c r="A7653" s="7" t="s">
        <v>371</v>
      </c>
      <c r="B7653" s="7" t="s">
        <v>26</v>
      </c>
      <c r="C7653" s="7" t="s">
        <v>27</v>
      </c>
      <c r="D7653" s="7" t="s">
        <v>28</v>
      </c>
      <c r="E7653" s="7" t="s">
        <v>29</v>
      </c>
      <c r="F7653" s="7" t="s">
        <v>346</v>
      </c>
      <c r="G7653" s="7">
        <v>99.941270000000003</v>
      </c>
      <c r="H7653" s="7"/>
    </row>
    <row r="7654" spans="1:8" x14ac:dyDescent="0.35">
      <c r="A7654" s="7" t="s">
        <v>372</v>
      </c>
      <c r="B7654" s="7" t="s">
        <v>26</v>
      </c>
      <c r="C7654" s="7" t="s">
        <v>27</v>
      </c>
      <c r="D7654" s="7" t="s">
        <v>28</v>
      </c>
      <c r="E7654" s="7" t="s">
        <v>29</v>
      </c>
      <c r="F7654" s="7" t="s">
        <v>30</v>
      </c>
      <c r="G7654" s="7">
        <v>99.265789999999996</v>
      </c>
      <c r="H7654" s="7"/>
    </row>
    <row r="7655" spans="1:8" x14ac:dyDescent="0.35">
      <c r="A7655" s="7" t="s">
        <v>372</v>
      </c>
      <c r="B7655" s="7" t="s">
        <v>26</v>
      </c>
      <c r="C7655" s="7" t="s">
        <v>27</v>
      </c>
      <c r="D7655" s="7" t="s">
        <v>28</v>
      </c>
      <c r="E7655" s="7" t="s">
        <v>29</v>
      </c>
      <c r="F7655" s="7" t="s">
        <v>31</v>
      </c>
      <c r="G7655" s="7">
        <v>99.062430000000006</v>
      </c>
      <c r="H7655" s="7"/>
    </row>
    <row r="7656" spans="1:8" x14ac:dyDescent="0.35">
      <c r="A7656" s="7" t="s">
        <v>372</v>
      </c>
      <c r="B7656" s="7" t="s">
        <v>26</v>
      </c>
      <c r="C7656" s="7" t="s">
        <v>27</v>
      </c>
      <c r="D7656" s="7" t="s">
        <v>28</v>
      </c>
      <c r="E7656" s="7" t="s">
        <v>29</v>
      </c>
      <c r="F7656" s="7" t="s">
        <v>32</v>
      </c>
      <c r="G7656" s="7">
        <v>99.016239999999996</v>
      </c>
      <c r="H7656" s="7"/>
    </row>
    <row r="7657" spans="1:8" x14ac:dyDescent="0.35">
      <c r="A7657" s="7" t="s">
        <v>372</v>
      </c>
      <c r="B7657" s="7" t="s">
        <v>26</v>
      </c>
      <c r="C7657" s="7" t="s">
        <v>27</v>
      </c>
      <c r="D7657" s="7" t="s">
        <v>28</v>
      </c>
      <c r="E7657" s="7" t="s">
        <v>29</v>
      </c>
      <c r="F7657" s="7" t="s">
        <v>33</v>
      </c>
      <c r="G7657" s="7">
        <v>99.122500000000002</v>
      </c>
      <c r="H7657" s="7"/>
    </row>
    <row r="7658" spans="1:8" x14ac:dyDescent="0.35">
      <c r="A7658" s="7" t="s">
        <v>372</v>
      </c>
      <c r="B7658" s="7" t="s">
        <v>26</v>
      </c>
      <c r="C7658" s="7" t="s">
        <v>27</v>
      </c>
      <c r="D7658" s="7" t="s">
        <v>28</v>
      </c>
      <c r="E7658" s="7" t="s">
        <v>29</v>
      </c>
      <c r="F7658" s="7" t="s">
        <v>34</v>
      </c>
      <c r="G7658" s="7">
        <v>99.318020000000004</v>
      </c>
      <c r="H7658" s="7"/>
    </row>
    <row r="7659" spans="1:8" x14ac:dyDescent="0.35">
      <c r="A7659" s="7" t="s">
        <v>372</v>
      </c>
      <c r="B7659" s="7" t="s">
        <v>26</v>
      </c>
      <c r="C7659" s="7" t="s">
        <v>27</v>
      </c>
      <c r="D7659" s="7" t="s">
        <v>28</v>
      </c>
      <c r="E7659" s="7" t="s">
        <v>29</v>
      </c>
      <c r="F7659" s="7" t="s">
        <v>35</v>
      </c>
      <c r="G7659" s="7">
        <v>99.455799999999996</v>
      </c>
      <c r="H7659" s="7"/>
    </row>
    <row r="7660" spans="1:8" x14ac:dyDescent="0.35">
      <c r="A7660" s="7" t="s">
        <v>372</v>
      </c>
      <c r="B7660" s="7" t="s">
        <v>26</v>
      </c>
      <c r="C7660" s="7" t="s">
        <v>27</v>
      </c>
      <c r="D7660" s="7" t="s">
        <v>28</v>
      </c>
      <c r="E7660" s="7" t="s">
        <v>29</v>
      </c>
      <c r="F7660" s="7" t="s">
        <v>36</v>
      </c>
      <c r="G7660" s="7">
        <v>99.493409999999997</v>
      </c>
      <c r="H7660" s="7"/>
    </row>
    <row r="7661" spans="1:8" x14ac:dyDescent="0.35">
      <c r="A7661" s="7" t="s">
        <v>372</v>
      </c>
      <c r="B7661" s="7" t="s">
        <v>26</v>
      </c>
      <c r="C7661" s="7" t="s">
        <v>27</v>
      </c>
      <c r="D7661" s="7" t="s">
        <v>28</v>
      </c>
      <c r="E7661" s="7" t="s">
        <v>29</v>
      </c>
      <c r="F7661" s="7" t="s">
        <v>37</v>
      </c>
      <c r="G7661" s="7">
        <v>99.407359999999997</v>
      </c>
      <c r="H7661" s="7"/>
    </row>
    <row r="7662" spans="1:8" x14ac:dyDescent="0.35">
      <c r="A7662" s="7" t="s">
        <v>372</v>
      </c>
      <c r="B7662" s="7" t="s">
        <v>26</v>
      </c>
      <c r="C7662" s="7" t="s">
        <v>27</v>
      </c>
      <c r="D7662" s="7" t="s">
        <v>28</v>
      </c>
      <c r="E7662" s="7" t="s">
        <v>29</v>
      </c>
      <c r="F7662" s="7" t="s">
        <v>38</v>
      </c>
      <c r="G7662" s="7">
        <v>99.218369999999993</v>
      </c>
      <c r="H7662" s="7"/>
    </row>
    <row r="7663" spans="1:8" x14ac:dyDescent="0.35">
      <c r="A7663" s="7" t="s">
        <v>372</v>
      </c>
      <c r="B7663" s="7" t="s">
        <v>26</v>
      </c>
      <c r="C7663" s="7" t="s">
        <v>27</v>
      </c>
      <c r="D7663" s="7" t="s">
        <v>28</v>
      </c>
      <c r="E7663" s="7" t="s">
        <v>29</v>
      </c>
      <c r="F7663" s="7" t="s">
        <v>39</v>
      </c>
      <c r="G7663" s="7">
        <v>99.014660000000006</v>
      </c>
      <c r="H7663" s="7"/>
    </row>
    <row r="7664" spans="1:8" x14ac:dyDescent="0.35">
      <c r="A7664" s="7" t="s">
        <v>372</v>
      </c>
      <c r="B7664" s="7" t="s">
        <v>26</v>
      </c>
      <c r="C7664" s="7" t="s">
        <v>27</v>
      </c>
      <c r="D7664" s="7" t="s">
        <v>28</v>
      </c>
      <c r="E7664" s="7" t="s">
        <v>29</v>
      </c>
      <c r="F7664" s="7" t="s">
        <v>40</v>
      </c>
      <c r="G7664" s="7">
        <v>98.843609999999998</v>
      </c>
      <c r="H7664" s="7"/>
    </row>
    <row r="7665" spans="1:8" x14ac:dyDescent="0.35">
      <c r="A7665" s="7" t="s">
        <v>372</v>
      </c>
      <c r="B7665" s="7" t="s">
        <v>26</v>
      </c>
      <c r="C7665" s="7" t="s">
        <v>27</v>
      </c>
      <c r="D7665" s="7" t="s">
        <v>28</v>
      </c>
      <c r="E7665" s="7" t="s">
        <v>29</v>
      </c>
      <c r="F7665" s="7" t="s">
        <v>41</v>
      </c>
      <c r="G7665" s="7">
        <v>98.802430000000001</v>
      </c>
      <c r="H7665" s="7"/>
    </row>
    <row r="7666" spans="1:8" x14ac:dyDescent="0.35">
      <c r="A7666" s="7" t="s">
        <v>372</v>
      </c>
      <c r="B7666" s="7" t="s">
        <v>26</v>
      </c>
      <c r="C7666" s="7" t="s">
        <v>27</v>
      </c>
      <c r="D7666" s="7" t="s">
        <v>28</v>
      </c>
      <c r="E7666" s="7" t="s">
        <v>29</v>
      </c>
      <c r="F7666" s="7" t="s">
        <v>42</v>
      </c>
      <c r="G7666" s="7">
        <v>98.966409999999996</v>
      </c>
      <c r="H7666" s="7"/>
    </row>
    <row r="7667" spans="1:8" x14ac:dyDescent="0.35">
      <c r="A7667" s="7" t="s">
        <v>372</v>
      </c>
      <c r="B7667" s="7" t="s">
        <v>26</v>
      </c>
      <c r="C7667" s="7" t="s">
        <v>27</v>
      </c>
      <c r="D7667" s="7" t="s">
        <v>28</v>
      </c>
      <c r="E7667" s="7" t="s">
        <v>29</v>
      </c>
      <c r="F7667" s="7" t="s">
        <v>43</v>
      </c>
      <c r="G7667" s="7">
        <v>99.131050000000002</v>
      </c>
      <c r="H7667" s="7"/>
    </row>
    <row r="7668" spans="1:8" x14ac:dyDescent="0.35">
      <c r="A7668" s="7" t="s">
        <v>372</v>
      </c>
      <c r="B7668" s="7" t="s">
        <v>26</v>
      </c>
      <c r="C7668" s="7" t="s">
        <v>27</v>
      </c>
      <c r="D7668" s="7" t="s">
        <v>28</v>
      </c>
      <c r="E7668" s="7" t="s">
        <v>29</v>
      </c>
      <c r="F7668" s="7" t="s">
        <v>44</v>
      </c>
      <c r="G7668" s="7">
        <v>99.191329999999994</v>
      </c>
      <c r="H7668" s="7"/>
    </row>
    <row r="7669" spans="1:8" x14ac:dyDescent="0.35">
      <c r="A7669" s="7" t="s">
        <v>372</v>
      </c>
      <c r="B7669" s="7" t="s">
        <v>26</v>
      </c>
      <c r="C7669" s="7" t="s">
        <v>27</v>
      </c>
      <c r="D7669" s="7" t="s">
        <v>28</v>
      </c>
      <c r="E7669" s="7" t="s">
        <v>29</v>
      </c>
      <c r="F7669" s="7" t="s">
        <v>45</v>
      </c>
      <c r="G7669" s="7">
        <v>99.176689999999994</v>
      </c>
      <c r="H7669" s="7"/>
    </row>
    <row r="7670" spans="1:8" x14ac:dyDescent="0.35">
      <c r="A7670" s="7" t="s">
        <v>372</v>
      </c>
      <c r="B7670" s="7" t="s">
        <v>26</v>
      </c>
      <c r="C7670" s="7" t="s">
        <v>27</v>
      </c>
      <c r="D7670" s="7" t="s">
        <v>28</v>
      </c>
      <c r="E7670" s="7" t="s">
        <v>29</v>
      </c>
      <c r="F7670" s="7" t="s">
        <v>46</v>
      </c>
      <c r="G7670" s="7">
        <v>99.157719999999998</v>
      </c>
      <c r="H7670" s="7"/>
    </row>
    <row r="7671" spans="1:8" x14ac:dyDescent="0.35">
      <c r="A7671" s="7" t="s">
        <v>372</v>
      </c>
      <c r="B7671" s="7" t="s">
        <v>26</v>
      </c>
      <c r="C7671" s="7" t="s">
        <v>27</v>
      </c>
      <c r="D7671" s="7" t="s">
        <v>28</v>
      </c>
      <c r="E7671" s="7" t="s">
        <v>29</v>
      </c>
      <c r="F7671" s="7" t="s">
        <v>47</v>
      </c>
      <c r="G7671" s="7">
        <v>99.139420000000001</v>
      </c>
      <c r="H7671" s="7"/>
    </row>
    <row r="7672" spans="1:8" x14ac:dyDescent="0.35">
      <c r="A7672" s="7" t="s">
        <v>372</v>
      </c>
      <c r="B7672" s="7" t="s">
        <v>26</v>
      </c>
      <c r="C7672" s="7" t="s">
        <v>27</v>
      </c>
      <c r="D7672" s="7" t="s">
        <v>28</v>
      </c>
      <c r="E7672" s="7" t="s">
        <v>29</v>
      </c>
      <c r="F7672" s="7" t="s">
        <v>48</v>
      </c>
      <c r="G7672" s="7">
        <v>99.046090000000007</v>
      </c>
      <c r="H7672" s="7"/>
    </row>
    <row r="7673" spans="1:8" x14ac:dyDescent="0.35">
      <c r="A7673" s="7" t="s">
        <v>372</v>
      </c>
      <c r="B7673" s="7" t="s">
        <v>26</v>
      </c>
      <c r="C7673" s="7" t="s">
        <v>27</v>
      </c>
      <c r="D7673" s="7" t="s">
        <v>28</v>
      </c>
      <c r="E7673" s="7" t="s">
        <v>29</v>
      </c>
      <c r="F7673" s="7" t="s">
        <v>49</v>
      </c>
      <c r="G7673" s="7">
        <v>98.906310000000005</v>
      </c>
      <c r="H7673" s="7"/>
    </row>
    <row r="7674" spans="1:8" x14ac:dyDescent="0.35">
      <c r="A7674" s="7" t="s">
        <v>372</v>
      </c>
      <c r="B7674" s="7" t="s">
        <v>26</v>
      </c>
      <c r="C7674" s="7" t="s">
        <v>27</v>
      </c>
      <c r="D7674" s="7" t="s">
        <v>28</v>
      </c>
      <c r="E7674" s="7" t="s">
        <v>29</v>
      </c>
      <c r="F7674" s="7" t="s">
        <v>50</v>
      </c>
      <c r="G7674" s="7">
        <v>98.75215</v>
      </c>
      <c r="H7674" s="7"/>
    </row>
    <row r="7675" spans="1:8" x14ac:dyDescent="0.35">
      <c r="A7675" s="7" t="s">
        <v>372</v>
      </c>
      <c r="B7675" s="7" t="s">
        <v>26</v>
      </c>
      <c r="C7675" s="7" t="s">
        <v>27</v>
      </c>
      <c r="D7675" s="7" t="s">
        <v>28</v>
      </c>
      <c r="E7675" s="7" t="s">
        <v>29</v>
      </c>
      <c r="F7675" s="7" t="s">
        <v>51</v>
      </c>
      <c r="G7675" s="7">
        <v>98.669690000000003</v>
      </c>
      <c r="H7675" s="7"/>
    </row>
    <row r="7676" spans="1:8" x14ac:dyDescent="0.35">
      <c r="A7676" s="7" t="s">
        <v>372</v>
      </c>
      <c r="B7676" s="7" t="s">
        <v>26</v>
      </c>
      <c r="C7676" s="7" t="s">
        <v>27</v>
      </c>
      <c r="D7676" s="7" t="s">
        <v>28</v>
      </c>
      <c r="E7676" s="7" t="s">
        <v>29</v>
      </c>
      <c r="F7676" s="7" t="s">
        <v>52</v>
      </c>
      <c r="G7676" s="7">
        <v>98.662530000000004</v>
      </c>
      <c r="H7676" s="7"/>
    </row>
    <row r="7677" spans="1:8" x14ac:dyDescent="0.35">
      <c r="A7677" s="7" t="s">
        <v>372</v>
      </c>
      <c r="B7677" s="7" t="s">
        <v>26</v>
      </c>
      <c r="C7677" s="7" t="s">
        <v>27</v>
      </c>
      <c r="D7677" s="7" t="s">
        <v>28</v>
      </c>
      <c r="E7677" s="7" t="s">
        <v>29</v>
      </c>
      <c r="F7677" s="7" t="s">
        <v>53</v>
      </c>
      <c r="G7677" s="7">
        <v>98.741900000000001</v>
      </c>
      <c r="H7677" s="7"/>
    </row>
    <row r="7678" spans="1:8" x14ac:dyDescent="0.35">
      <c r="A7678" s="7" t="s">
        <v>372</v>
      </c>
      <c r="B7678" s="7" t="s">
        <v>26</v>
      </c>
      <c r="C7678" s="7" t="s">
        <v>27</v>
      </c>
      <c r="D7678" s="7" t="s">
        <v>28</v>
      </c>
      <c r="E7678" s="7" t="s">
        <v>29</v>
      </c>
      <c r="F7678" s="7" t="s">
        <v>54</v>
      </c>
      <c r="G7678" s="7">
        <v>98.91386</v>
      </c>
      <c r="H7678" s="7"/>
    </row>
    <row r="7679" spans="1:8" x14ac:dyDescent="0.35">
      <c r="A7679" s="7" t="s">
        <v>372</v>
      </c>
      <c r="B7679" s="7" t="s">
        <v>26</v>
      </c>
      <c r="C7679" s="7" t="s">
        <v>27</v>
      </c>
      <c r="D7679" s="7" t="s">
        <v>28</v>
      </c>
      <c r="E7679" s="7" t="s">
        <v>29</v>
      </c>
      <c r="F7679" s="7" t="s">
        <v>55</v>
      </c>
      <c r="G7679" s="7">
        <v>99.24024</v>
      </c>
      <c r="H7679" s="7"/>
    </row>
    <row r="7680" spans="1:8" x14ac:dyDescent="0.35">
      <c r="A7680" s="7" t="s">
        <v>372</v>
      </c>
      <c r="B7680" s="7" t="s">
        <v>26</v>
      </c>
      <c r="C7680" s="7" t="s">
        <v>27</v>
      </c>
      <c r="D7680" s="7" t="s">
        <v>28</v>
      </c>
      <c r="E7680" s="7" t="s">
        <v>29</v>
      </c>
      <c r="F7680" s="7" t="s">
        <v>56</v>
      </c>
      <c r="G7680" s="7">
        <v>99.573179999999994</v>
      </c>
      <c r="H7680" s="7"/>
    </row>
    <row r="7681" spans="1:8" x14ac:dyDescent="0.35">
      <c r="A7681" s="7" t="s">
        <v>372</v>
      </c>
      <c r="B7681" s="7" t="s">
        <v>26</v>
      </c>
      <c r="C7681" s="7" t="s">
        <v>27</v>
      </c>
      <c r="D7681" s="7" t="s">
        <v>28</v>
      </c>
      <c r="E7681" s="7" t="s">
        <v>29</v>
      </c>
      <c r="F7681" s="7" t="s">
        <v>57</v>
      </c>
      <c r="G7681" s="7">
        <v>99.772199999999998</v>
      </c>
      <c r="H7681" s="7"/>
    </row>
    <row r="7682" spans="1:8" x14ac:dyDescent="0.35">
      <c r="A7682" s="7" t="s">
        <v>372</v>
      </c>
      <c r="B7682" s="7" t="s">
        <v>26</v>
      </c>
      <c r="C7682" s="7" t="s">
        <v>27</v>
      </c>
      <c r="D7682" s="7" t="s">
        <v>28</v>
      </c>
      <c r="E7682" s="7" t="s">
        <v>29</v>
      </c>
      <c r="F7682" s="7" t="s">
        <v>58</v>
      </c>
      <c r="G7682" s="7">
        <v>99.911159999999995</v>
      </c>
      <c r="H7682" s="7"/>
    </row>
    <row r="7683" spans="1:8" x14ac:dyDescent="0.35">
      <c r="A7683" s="7" t="s">
        <v>372</v>
      </c>
      <c r="B7683" s="7" t="s">
        <v>26</v>
      </c>
      <c r="C7683" s="7" t="s">
        <v>27</v>
      </c>
      <c r="D7683" s="7" t="s">
        <v>28</v>
      </c>
      <c r="E7683" s="7" t="s">
        <v>29</v>
      </c>
      <c r="F7683" s="7" t="s">
        <v>59</v>
      </c>
      <c r="G7683" s="7">
        <v>100.0793</v>
      </c>
      <c r="H7683" s="7"/>
    </row>
    <row r="7684" spans="1:8" x14ac:dyDescent="0.35">
      <c r="A7684" s="7" t="s">
        <v>372</v>
      </c>
      <c r="B7684" s="7" t="s">
        <v>26</v>
      </c>
      <c r="C7684" s="7" t="s">
        <v>27</v>
      </c>
      <c r="D7684" s="7" t="s">
        <v>28</v>
      </c>
      <c r="E7684" s="7" t="s">
        <v>29</v>
      </c>
      <c r="F7684" s="7" t="s">
        <v>60</v>
      </c>
      <c r="G7684" s="7">
        <v>100.246</v>
      </c>
      <c r="H7684" s="7"/>
    </row>
    <row r="7685" spans="1:8" x14ac:dyDescent="0.35">
      <c r="A7685" s="7" t="s">
        <v>372</v>
      </c>
      <c r="B7685" s="7" t="s">
        <v>26</v>
      </c>
      <c r="C7685" s="7" t="s">
        <v>27</v>
      </c>
      <c r="D7685" s="7" t="s">
        <v>28</v>
      </c>
      <c r="E7685" s="7" t="s">
        <v>29</v>
      </c>
      <c r="F7685" s="7" t="s">
        <v>61</v>
      </c>
      <c r="G7685" s="7">
        <v>100.3677</v>
      </c>
      <c r="H7685" s="7"/>
    </row>
    <row r="7686" spans="1:8" x14ac:dyDescent="0.35">
      <c r="A7686" s="7" t="s">
        <v>372</v>
      </c>
      <c r="B7686" s="7" t="s">
        <v>26</v>
      </c>
      <c r="C7686" s="7" t="s">
        <v>27</v>
      </c>
      <c r="D7686" s="7" t="s">
        <v>28</v>
      </c>
      <c r="E7686" s="7" t="s">
        <v>29</v>
      </c>
      <c r="F7686" s="7" t="s">
        <v>62</v>
      </c>
      <c r="G7686" s="7">
        <v>100.44289999999999</v>
      </c>
      <c r="H7686" s="7"/>
    </row>
    <row r="7687" spans="1:8" x14ac:dyDescent="0.35">
      <c r="A7687" s="7" t="s">
        <v>372</v>
      </c>
      <c r="B7687" s="7" t="s">
        <v>26</v>
      </c>
      <c r="C7687" s="7" t="s">
        <v>27</v>
      </c>
      <c r="D7687" s="7" t="s">
        <v>28</v>
      </c>
      <c r="E7687" s="7" t="s">
        <v>29</v>
      </c>
      <c r="F7687" s="7" t="s">
        <v>63</v>
      </c>
      <c r="G7687" s="7">
        <v>100.5485</v>
      </c>
      <c r="H7687" s="7"/>
    </row>
    <row r="7688" spans="1:8" x14ac:dyDescent="0.35">
      <c r="A7688" s="7" t="s">
        <v>372</v>
      </c>
      <c r="B7688" s="7" t="s">
        <v>26</v>
      </c>
      <c r="C7688" s="7" t="s">
        <v>27</v>
      </c>
      <c r="D7688" s="7" t="s">
        <v>28</v>
      </c>
      <c r="E7688" s="7" t="s">
        <v>29</v>
      </c>
      <c r="F7688" s="7" t="s">
        <v>64</v>
      </c>
      <c r="G7688" s="7">
        <v>100.65689999999999</v>
      </c>
      <c r="H7688" s="7"/>
    </row>
    <row r="7689" spans="1:8" x14ac:dyDescent="0.35">
      <c r="A7689" s="7" t="s">
        <v>372</v>
      </c>
      <c r="B7689" s="7" t="s">
        <v>26</v>
      </c>
      <c r="C7689" s="7" t="s">
        <v>27</v>
      </c>
      <c r="D7689" s="7" t="s">
        <v>28</v>
      </c>
      <c r="E7689" s="7" t="s">
        <v>29</v>
      </c>
      <c r="F7689" s="7" t="s">
        <v>65</v>
      </c>
      <c r="G7689" s="7">
        <v>100.7345</v>
      </c>
      <c r="H7689" s="7"/>
    </row>
    <row r="7690" spans="1:8" x14ac:dyDescent="0.35">
      <c r="A7690" s="7" t="s">
        <v>372</v>
      </c>
      <c r="B7690" s="7" t="s">
        <v>26</v>
      </c>
      <c r="C7690" s="7" t="s">
        <v>27</v>
      </c>
      <c r="D7690" s="7" t="s">
        <v>28</v>
      </c>
      <c r="E7690" s="7" t="s">
        <v>29</v>
      </c>
      <c r="F7690" s="7" t="s">
        <v>66</v>
      </c>
      <c r="G7690" s="7">
        <v>100.7655</v>
      </c>
      <c r="H7690" s="7"/>
    </row>
    <row r="7691" spans="1:8" x14ac:dyDescent="0.35">
      <c r="A7691" s="7" t="s">
        <v>372</v>
      </c>
      <c r="B7691" s="7" t="s">
        <v>26</v>
      </c>
      <c r="C7691" s="7" t="s">
        <v>27</v>
      </c>
      <c r="D7691" s="7" t="s">
        <v>28</v>
      </c>
      <c r="E7691" s="7" t="s">
        <v>29</v>
      </c>
      <c r="F7691" s="7" t="s">
        <v>67</v>
      </c>
      <c r="G7691" s="7">
        <v>100.80029999999999</v>
      </c>
      <c r="H7691" s="7"/>
    </row>
    <row r="7692" spans="1:8" x14ac:dyDescent="0.35">
      <c r="A7692" s="7" t="s">
        <v>372</v>
      </c>
      <c r="B7692" s="7" t="s">
        <v>26</v>
      </c>
      <c r="C7692" s="7" t="s">
        <v>27</v>
      </c>
      <c r="D7692" s="7" t="s">
        <v>28</v>
      </c>
      <c r="E7692" s="7" t="s">
        <v>29</v>
      </c>
      <c r="F7692" s="7" t="s">
        <v>68</v>
      </c>
      <c r="G7692" s="7">
        <v>100.81270000000001</v>
      </c>
      <c r="H7692" s="7"/>
    </row>
    <row r="7693" spans="1:8" x14ac:dyDescent="0.35">
      <c r="A7693" s="7" t="s">
        <v>372</v>
      </c>
      <c r="B7693" s="7" t="s">
        <v>26</v>
      </c>
      <c r="C7693" s="7" t="s">
        <v>27</v>
      </c>
      <c r="D7693" s="7" t="s">
        <v>28</v>
      </c>
      <c r="E7693" s="7" t="s">
        <v>29</v>
      </c>
      <c r="F7693" s="7" t="s">
        <v>69</v>
      </c>
      <c r="G7693" s="7">
        <v>100.7154</v>
      </c>
      <c r="H7693" s="7"/>
    </row>
    <row r="7694" spans="1:8" x14ac:dyDescent="0.35">
      <c r="A7694" s="7" t="s">
        <v>372</v>
      </c>
      <c r="B7694" s="7" t="s">
        <v>26</v>
      </c>
      <c r="C7694" s="7" t="s">
        <v>27</v>
      </c>
      <c r="D7694" s="7" t="s">
        <v>28</v>
      </c>
      <c r="E7694" s="7" t="s">
        <v>29</v>
      </c>
      <c r="F7694" s="7" t="s">
        <v>70</v>
      </c>
      <c r="G7694" s="7">
        <v>100.5783</v>
      </c>
      <c r="H7694" s="7"/>
    </row>
    <row r="7695" spans="1:8" x14ac:dyDescent="0.35">
      <c r="A7695" s="7" t="s">
        <v>372</v>
      </c>
      <c r="B7695" s="7" t="s">
        <v>26</v>
      </c>
      <c r="C7695" s="7" t="s">
        <v>27</v>
      </c>
      <c r="D7695" s="7" t="s">
        <v>28</v>
      </c>
      <c r="E7695" s="7" t="s">
        <v>29</v>
      </c>
      <c r="F7695" s="7" t="s">
        <v>71</v>
      </c>
      <c r="G7695" s="7">
        <v>100.5171</v>
      </c>
      <c r="H7695" s="7"/>
    </row>
    <row r="7696" spans="1:8" x14ac:dyDescent="0.35">
      <c r="A7696" s="7" t="s">
        <v>372</v>
      </c>
      <c r="B7696" s="7" t="s">
        <v>26</v>
      </c>
      <c r="C7696" s="7" t="s">
        <v>27</v>
      </c>
      <c r="D7696" s="7" t="s">
        <v>28</v>
      </c>
      <c r="E7696" s="7" t="s">
        <v>29</v>
      </c>
      <c r="F7696" s="7" t="s">
        <v>72</v>
      </c>
      <c r="G7696" s="7">
        <v>100.53400000000001</v>
      </c>
      <c r="H7696" s="7"/>
    </row>
    <row r="7697" spans="1:8" x14ac:dyDescent="0.35">
      <c r="A7697" s="7" t="s">
        <v>372</v>
      </c>
      <c r="B7697" s="7" t="s">
        <v>26</v>
      </c>
      <c r="C7697" s="7" t="s">
        <v>27</v>
      </c>
      <c r="D7697" s="7" t="s">
        <v>28</v>
      </c>
      <c r="E7697" s="7" t="s">
        <v>29</v>
      </c>
      <c r="F7697" s="7" t="s">
        <v>73</v>
      </c>
      <c r="G7697" s="7">
        <v>100.626</v>
      </c>
      <c r="H7697" s="7"/>
    </row>
    <row r="7698" spans="1:8" x14ac:dyDescent="0.35">
      <c r="A7698" s="7" t="s">
        <v>372</v>
      </c>
      <c r="B7698" s="7" t="s">
        <v>26</v>
      </c>
      <c r="C7698" s="7" t="s">
        <v>27</v>
      </c>
      <c r="D7698" s="7" t="s">
        <v>28</v>
      </c>
      <c r="E7698" s="7" t="s">
        <v>29</v>
      </c>
      <c r="F7698" s="7" t="s">
        <v>74</v>
      </c>
      <c r="G7698" s="7">
        <v>100.6897</v>
      </c>
      <c r="H7698" s="7"/>
    </row>
    <row r="7699" spans="1:8" x14ac:dyDescent="0.35">
      <c r="A7699" s="7" t="s">
        <v>372</v>
      </c>
      <c r="B7699" s="7" t="s">
        <v>26</v>
      </c>
      <c r="C7699" s="7" t="s">
        <v>27</v>
      </c>
      <c r="D7699" s="7" t="s">
        <v>28</v>
      </c>
      <c r="E7699" s="7" t="s">
        <v>29</v>
      </c>
      <c r="F7699" s="7" t="s">
        <v>75</v>
      </c>
      <c r="G7699" s="7">
        <v>100.64700000000001</v>
      </c>
      <c r="H7699" s="7"/>
    </row>
    <row r="7700" spans="1:8" x14ac:dyDescent="0.35">
      <c r="A7700" s="7" t="s">
        <v>372</v>
      </c>
      <c r="B7700" s="7" t="s">
        <v>26</v>
      </c>
      <c r="C7700" s="7" t="s">
        <v>27</v>
      </c>
      <c r="D7700" s="7" t="s">
        <v>28</v>
      </c>
      <c r="E7700" s="7" t="s">
        <v>29</v>
      </c>
      <c r="F7700" s="7" t="s">
        <v>76</v>
      </c>
      <c r="G7700" s="7">
        <v>100.48560000000001</v>
      </c>
      <c r="H7700" s="7"/>
    </row>
    <row r="7701" spans="1:8" x14ac:dyDescent="0.35">
      <c r="A7701" s="7" t="s">
        <v>372</v>
      </c>
      <c r="B7701" s="7" t="s">
        <v>26</v>
      </c>
      <c r="C7701" s="7" t="s">
        <v>27</v>
      </c>
      <c r="D7701" s="7" t="s">
        <v>28</v>
      </c>
      <c r="E7701" s="7" t="s">
        <v>29</v>
      </c>
      <c r="F7701" s="7" t="s">
        <v>77</v>
      </c>
      <c r="G7701" s="7">
        <v>100.3618</v>
      </c>
      <c r="H7701" s="7"/>
    </row>
    <row r="7702" spans="1:8" x14ac:dyDescent="0.35">
      <c r="A7702" s="7" t="s">
        <v>372</v>
      </c>
      <c r="B7702" s="7" t="s">
        <v>26</v>
      </c>
      <c r="C7702" s="7" t="s">
        <v>27</v>
      </c>
      <c r="D7702" s="7" t="s">
        <v>28</v>
      </c>
      <c r="E7702" s="7" t="s">
        <v>29</v>
      </c>
      <c r="F7702" s="7" t="s">
        <v>78</v>
      </c>
      <c r="G7702" s="7">
        <v>100.26900000000001</v>
      </c>
      <c r="H7702" s="7"/>
    </row>
    <row r="7703" spans="1:8" x14ac:dyDescent="0.35">
      <c r="A7703" s="7" t="s">
        <v>372</v>
      </c>
      <c r="B7703" s="7" t="s">
        <v>26</v>
      </c>
      <c r="C7703" s="7" t="s">
        <v>27</v>
      </c>
      <c r="D7703" s="7" t="s">
        <v>28</v>
      </c>
      <c r="E7703" s="7" t="s">
        <v>29</v>
      </c>
      <c r="F7703" s="7" t="s">
        <v>79</v>
      </c>
      <c r="G7703" s="7">
        <v>100.2183</v>
      </c>
      <c r="H7703" s="7"/>
    </row>
    <row r="7704" spans="1:8" x14ac:dyDescent="0.35">
      <c r="A7704" s="7" t="s">
        <v>372</v>
      </c>
      <c r="B7704" s="7" t="s">
        <v>26</v>
      </c>
      <c r="C7704" s="7" t="s">
        <v>27</v>
      </c>
      <c r="D7704" s="7" t="s">
        <v>28</v>
      </c>
      <c r="E7704" s="7" t="s">
        <v>29</v>
      </c>
      <c r="F7704" s="7" t="s">
        <v>80</v>
      </c>
      <c r="G7704" s="7">
        <v>100.179</v>
      </c>
      <c r="H7704" s="7"/>
    </row>
    <row r="7705" spans="1:8" x14ac:dyDescent="0.35">
      <c r="A7705" s="7" t="s">
        <v>372</v>
      </c>
      <c r="B7705" s="7" t="s">
        <v>26</v>
      </c>
      <c r="C7705" s="7" t="s">
        <v>27</v>
      </c>
      <c r="D7705" s="7" t="s">
        <v>28</v>
      </c>
      <c r="E7705" s="7" t="s">
        <v>29</v>
      </c>
      <c r="F7705" s="7" t="s">
        <v>81</v>
      </c>
      <c r="G7705" s="7">
        <v>100.1876</v>
      </c>
      <c r="H7705" s="7"/>
    </row>
    <row r="7706" spans="1:8" x14ac:dyDescent="0.35">
      <c r="A7706" s="7" t="s">
        <v>372</v>
      </c>
      <c r="B7706" s="7" t="s">
        <v>26</v>
      </c>
      <c r="C7706" s="7" t="s">
        <v>27</v>
      </c>
      <c r="D7706" s="7" t="s">
        <v>28</v>
      </c>
      <c r="E7706" s="7" t="s">
        <v>29</v>
      </c>
      <c r="F7706" s="7" t="s">
        <v>82</v>
      </c>
      <c r="G7706" s="7">
        <v>100.2478</v>
      </c>
      <c r="H7706" s="7"/>
    </row>
    <row r="7707" spans="1:8" x14ac:dyDescent="0.35">
      <c r="A7707" s="7" t="s">
        <v>372</v>
      </c>
      <c r="B7707" s="7" t="s">
        <v>26</v>
      </c>
      <c r="C7707" s="7" t="s">
        <v>27</v>
      </c>
      <c r="D7707" s="7" t="s">
        <v>28</v>
      </c>
      <c r="E7707" s="7" t="s">
        <v>29</v>
      </c>
      <c r="F7707" s="7" t="s">
        <v>83</v>
      </c>
      <c r="G7707" s="7">
        <v>100.26220000000001</v>
      </c>
      <c r="H7707" s="7"/>
    </row>
    <row r="7708" spans="1:8" x14ac:dyDescent="0.35">
      <c r="A7708" s="7" t="s">
        <v>372</v>
      </c>
      <c r="B7708" s="7" t="s">
        <v>26</v>
      </c>
      <c r="C7708" s="7" t="s">
        <v>27</v>
      </c>
      <c r="D7708" s="7" t="s">
        <v>28</v>
      </c>
      <c r="E7708" s="7" t="s">
        <v>29</v>
      </c>
      <c r="F7708" s="7" t="s">
        <v>84</v>
      </c>
      <c r="G7708" s="7">
        <v>100.2569</v>
      </c>
      <c r="H7708" s="7"/>
    </row>
    <row r="7709" spans="1:8" x14ac:dyDescent="0.35">
      <c r="A7709" s="7" t="s">
        <v>372</v>
      </c>
      <c r="B7709" s="7" t="s">
        <v>26</v>
      </c>
      <c r="C7709" s="7" t="s">
        <v>27</v>
      </c>
      <c r="D7709" s="7" t="s">
        <v>28</v>
      </c>
      <c r="E7709" s="7" t="s">
        <v>29</v>
      </c>
      <c r="F7709" s="7" t="s">
        <v>85</v>
      </c>
      <c r="G7709" s="7">
        <v>100.29810000000001</v>
      </c>
      <c r="H7709" s="7"/>
    </row>
    <row r="7710" spans="1:8" x14ac:dyDescent="0.35">
      <c r="A7710" s="7" t="s">
        <v>372</v>
      </c>
      <c r="B7710" s="7" t="s">
        <v>26</v>
      </c>
      <c r="C7710" s="7" t="s">
        <v>27</v>
      </c>
      <c r="D7710" s="7" t="s">
        <v>28</v>
      </c>
      <c r="E7710" s="7" t="s">
        <v>29</v>
      </c>
      <c r="F7710" s="7" t="s">
        <v>86</v>
      </c>
      <c r="G7710" s="7">
        <v>100.3503</v>
      </c>
      <c r="H7710" s="7"/>
    </row>
    <row r="7711" spans="1:8" x14ac:dyDescent="0.35">
      <c r="A7711" s="7" t="s">
        <v>372</v>
      </c>
      <c r="B7711" s="7" t="s">
        <v>26</v>
      </c>
      <c r="C7711" s="7" t="s">
        <v>27</v>
      </c>
      <c r="D7711" s="7" t="s">
        <v>28</v>
      </c>
      <c r="E7711" s="7" t="s">
        <v>29</v>
      </c>
      <c r="F7711" s="7" t="s">
        <v>87</v>
      </c>
      <c r="G7711" s="7">
        <v>100.38379999999999</v>
      </c>
      <c r="H7711" s="7"/>
    </row>
    <row r="7712" spans="1:8" x14ac:dyDescent="0.35">
      <c r="A7712" s="7" t="s">
        <v>372</v>
      </c>
      <c r="B7712" s="7" t="s">
        <v>26</v>
      </c>
      <c r="C7712" s="7" t="s">
        <v>27</v>
      </c>
      <c r="D7712" s="7" t="s">
        <v>28</v>
      </c>
      <c r="E7712" s="7" t="s">
        <v>29</v>
      </c>
      <c r="F7712" s="7" t="s">
        <v>88</v>
      </c>
      <c r="G7712" s="7">
        <v>100.395</v>
      </c>
      <c r="H7712" s="7"/>
    </row>
    <row r="7713" spans="1:8" x14ac:dyDescent="0.35">
      <c r="A7713" s="7" t="s">
        <v>372</v>
      </c>
      <c r="B7713" s="7" t="s">
        <v>26</v>
      </c>
      <c r="C7713" s="7" t="s">
        <v>27</v>
      </c>
      <c r="D7713" s="7" t="s">
        <v>28</v>
      </c>
      <c r="E7713" s="7" t="s">
        <v>29</v>
      </c>
      <c r="F7713" s="7" t="s">
        <v>89</v>
      </c>
      <c r="G7713" s="7">
        <v>100.3986</v>
      </c>
      <c r="H7713" s="7"/>
    </row>
    <row r="7714" spans="1:8" x14ac:dyDescent="0.35">
      <c r="A7714" s="7" t="s">
        <v>372</v>
      </c>
      <c r="B7714" s="7" t="s">
        <v>26</v>
      </c>
      <c r="C7714" s="7" t="s">
        <v>27</v>
      </c>
      <c r="D7714" s="7" t="s">
        <v>28</v>
      </c>
      <c r="E7714" s="7" t="s">
        <v>29</v>
      </c>
      <c r="F7714" s="7" t="s">
        <v>90</v>
      </c>
      <c r="G7714" s="7">
        <v>100.3678</v>
      </c>
      <c r="H7714" s="7"/>
    </row>
    <row r="7715" spans="1:8" x14ac:dyDescent="0.35">
      <c r="A7715" s="7" t="s">
        <v>372</v>
      </c>
      <c r="B7715" s="7" t="s">
        <v>26</v>
      </c>
      <c r="C7715" s="7" t="s">
        <v>27</v>
      </c>
      <c r="D7715" s="7" t="s">
        <v>28</v>
      </c>
      <c r="E7715" s="7" t="s">
        <v>29</v>
      </c>
      <c r="F7715" s="7" t="s">
        <v>91</v>
      </c>
      <c r="G7715" s="7">
        <v>100.3015</v>
      </c>
      <c r="H7715" s="7"/>
    </row>
    <row r="7716" spans="1:8" x14ac:dyDescent="0.35">
      <c r="A7716" s="7" t="s">
        <v>372</v>
      </c>
      <c r="B7716" s="7" t="s">
        <v>26</v>
      </c>
      <c r="C7716" s="7" t="s">
        <v>27</v>
      </c>
      <c r="D7716" s="7" t="s">
        <v>28</v>
      </c>
      <c r="E7716" s="7" t="s">
        <v>29</v>
      </c>
      <c r="F7716" s="7" t="s">
        <v>92</v>
      </c>
      <c r="G7716" s="7">
        <v>100.2941</v>
      </c>
      <c r="H7716" s="7"/>
    </row>
    <row r="7717" spans="1:8" x14ac:dyDescent="0.35">
      <c r="A7717" s="7" t="s">
        <v>372</v>
      </c>
      <c r="B7717" s="7" t="s">
        <v>26</v>
      </c>
      <c r="C7717" s="7" t="s">
        <v>27</v>
      </c>
      <c r="D7717" s="7" t="s">
        <v>28</v>
      </c>
      <c r="E7717" s="7" t="s">
        <v>29</v>
      </c>
      <c r="F7717" s="7" t="s">
        <v>93</v>
      </c>
      <c r="G7717" s="7">
        <v>100.37260000000001</v>
      </c>
      <c r="H7717" s="7"/>
    </row>
    <row r="7718" spans="1:8" x14ac:dyDescent="0.35">
      <c r="A7718" s="7" t="s">
        <v>372</v>
      </c>
      <c r="B7718" s="7" t="s">
        <v>26</v>
      </c>
      <c r="C7718" s="7" t="s">
        <v>27</v>
      </c>
      <c r="D7718" s="7" t="s">
        <v>28</v>
      </c>
      <c r="E7718" s="7" t="s">
        <v>29</v>
      </c>
      <c r="F7718" s="7" t="s">
        <v>94</v>
      </c>
      <c r="G7718" s="7">
        <v>100.4949</v>
      </c>
      <c r="H7718" s="7"/>
    </row>
    <row r="7719" spans="1:8" x14ac:dyDescent="0.35">
      <c r="A7719" s="7" t="s">
        <v>372</v>
      </c>
      <c r="B7719" s="7" t="s">
        <v>26</v>
      </c>
      <c r="C7719" s="7" t="s">
        <v>27</v>
      </c>
      <c r="D7719" s="7" t="s">
        <v>28</v>
      </c>
      <c r="E7719" s="7" t="s">
        <v>29</v>
      </c>
      <c r="F7719" s="7" t="s">
        <v>95</v>
      </c>
      <c r="G7719" s="7">
        <v>100.6486</v>
      </c>
      <c r="H7719" s="7"/>
    </row>
    <row r="7720" spans="1:8" x14ac:dyDescent="0.35">
      <c r="A7720" s="7" t="s">
        <v>372</v>
      </c>
      <c r="B7720" s="7" t="s">
        <v>26</v>
      </c>
      <c r="C7720" s="7" t="s">
        <v>27</v>
      </c>
      <c r="D7720" s="7" t="s">
        <v>28</v>
      </c>
      <c r="E7720" s="7" t="s">
        <v>29</v>
      </c>
      <c r="F7720" s="7" t="s">
        <v>96</v>
      </c>
      <c r="G7720" s="7">
        <v>100.8111</v>
      </c>
      <c r="H7720" s="7"/>
    </row>
    <row r="7721" spans="1:8" x14ac:dyDescent="0.35">
      <c r="A7721" s="7" t="s">
        <v>372</v>
      </c>
      <c r="B7721" s="7" t="s">
        <v>26</v>
      </c>
      <c r="C7721" s="7" t="s">
        <v>27</v>
      </c>
      <c r="D7721" s="7" t="s">
        <v>28</v>
      </c>
      <c r="E7721" s="7" t="s">
        <v>29</v>
      </c>
      <c r="F7721" s="7" t="s">
        <v>97</v>
      </c>
      <c r="G7721" s="7">
        <v>100.9451</v>
      </c>
      <c r="H7721" s="7"/>
    </row>
    <row r="7722" spans="1:8" x14ac:dyDescent="0.35">
      <c r="A7722" s="7" t="s">
        <v>372</v>
      </c>
      <c r="B7722" s="7" t="s">
        <v>26</v>
      </c>
      <c r="C7722" s="7" t="s">
        <v>27</v>
      </c>
      <c r="D7722" s="7" t="s">
        <v>28</v>
      </c>
      <c r="E7722" s="7" t="s">
        <v>29</v>
      </c>
      <c r="F7722" s="7" t="s">
        <v>98</v>
      </c>
      <c r="G7722" s="7">
        <v>101.02330000000001</v>
      </c>
      <c r="H7722" s="7"/>
    </row>
    <row r="7723" spans="1:8" x14ac:dyDescent="0.35">
      <c r="A7723" s="7" t="s">
        <v>372</v>
      </c>
      <c r="B7723" s="7" t="s">
        <v>26</v>
      </c>
      <c r="C7723" s="7" t="s">
        <v>27</v>
      </c>
      <c r="D7723" s="7" t="s">
        <v>28</v>
      </c>
      <c r="E7723" s="7" t="s">
        <v>29</v>
      </c>
      <c r="F7723" s="7" t="s">
        <v>99</v>
      </c>
      <c r="G7723" s="7">
        <v>101.01179999999999</v>
      </c>
      <c r="H7723" s="7"/>
    </row>
    <row r="7724" spans="1:8" x14ac:dyDescent="0.35">
      <c r="A7724" s="7" t="s">
        <v>372</v>
      </c>
      <c r="B7724" s="7" t="s">
        <v>26</v>
      </c>
      <c r="C7724" s="7" t="s">
        <v>27</v>
      </c>
      <c r="D7724" s="7" t="s">
        <v>28</v>
      </c>
      <c r="E7724" s="7" t="s">
        <v>29</v>
      </c>
      <c r="F7724" s="7" t="s">
        <v>100</v>
      </c>
      <c r="G7724" s="7">
        <v>100.9903</v>
      </c>
      <c r="H7724" s="7"/>
    </row>
    <row r="7725" spans="1:8" x14ac:dyDescent="0.35">
      <c r="A7725" s="7" t="s">
        <v>372</v>
      </c>
      <c r="B7725" s="7" t="s">
        <v>26</v>
      </c>
      <c r="C7725" s="7" t="s">
        <v>27</v>
      </c>
      <c r="D7725" s="7" t="s">
        <v>28</v>
      </c>
      <c r="E7725" s="7" t="s">
        <v>29</v>
      </c>
      <c r="F7725" s="7" t="s">
        <v>101</v>
      </c>
      <c r="G7725" s="7">
        <v>100.9534</v>
      </c>
      <c r="H7725" s="7"/>
    </row>
    <row r="7726" spans="1:8" x14ac:dyDescent="0.35">
      <c r="A7726" s="7" t="s">
        <v>372</v>
      </c>
      <c r="B7726" s="7" t="s">
        <v>26</v>
      </c>
      <c r="C7726" s="7" t="s">
        <v>27</v>
      </c>
      <c r="D7726" s="7" t="s">
        <v>28</v>
      </c>
      <c r="E7726" s="7" t="s">
        <v>29</v>
      </c>
      <c r="F7726" s="7" t="s">
        <v>102</v>
      </c>
      <c r="G7726" s="7">
        <v>100.9175</v>
      </c>
      <c r="H7726" s="7"/>
    </row>
    <row r="7727" spans="1:8" x14ac:dyDescent="0.35">
      <c r="A7727" s="7" t="s">
        <v>372</v>
      </c>
      <c r="B7727" s="7" t="s">
        <v>26</v>
      </c>
      <c r="C7727" s="7" t="s">
        <v>27</v>
      </c>
      <c r="D7727" s="7" t="s">
        <v>28</v>
      </c>
      <c r="E7727" s="7" t="s">
        <v>29</v>
      </c>
      <c r="F7727" s="7" t="s">
        <v>103</v>
      </c>
      <c r="G7727" s="7">
        <v>100.8918</v>
      </c>
      <c r="H7727" s="7"/>
    </row>
    <row r="7728" spans="1:8" x14ac:dyDescent="0.35">
      <c r="A7728" s="7" t="s">
        <v>372</v>
      </c>
      <c r="B7728" s="7" t="s">
        <v>26</v>
      </c>
      <c r="C7728" s="7" t="s">
        <v>27</v>
      </c>
      <c r="D7728" s="7" t="s">
        <v>28</v>
      </c>
      <c r="E7728" s="7" t="s">
        <v>29</v>
      </c>
      <c r="F7728" s="7" t="s">
        <v>104</v>
      </c>
      <c r="G7728" s="7">
        <v>100.9688</v>
      </c>
      <c r="H7728" s="7"/>
    </row>
    <row r="7729" spans="1:8" x14ac:dyDescent="0.35">
      <c r="A7729" s="7" t="s">
        <v>372</v>
      </c>
      <c r="B7729" s="7" t="s">
        <v>26</v>
      </c>
      <c r="C7729" s="7" t="s">
        <v>27</v>
      </c>
      <c r="D7729" s="7" t="s">
        <v>28</v>
      </c>
      <c r="E7729" s="7" t="s">
        <v>29</v>
      </c>
      <c r="F7729" s="7" t="s">
        <v>105</v>
      </c>
      <c r="G7729" s="7">
        <v>101.06740000000001</v>
      </c>
      <c r="H7729" s="7"/>
    </row>
    <row r="7730" spans="1:8" x14ac:dyDescent="0.35">
      <c r="A7730" s="7" t="s">
        <v>372</v>
      </c>
      <c r="B7730" s="7" t="s">
        <v>26</v>
      </c>
      <c r="C7730" s="7" t="s">
        <v>27</v>
      </c>
      <c r="D7730" s="7" t="s">
        <v>28</v>
      </c>
      <c r="E7730" s="7" t="s">
        <v>29</v>
      </c>
      <c r="F7730" s="7" t="s">
        <v>106</v>
      </c>
      <c r="G7730" s="7">
        <v>101.1143</v>
      </c>
      <c r="H7730" s="7"/>
    </row>
    <row r="7731" spans="1:8" x14ac:dyDescent="0.35">
      <c r="A7731" s="7" t="s">
        <v>372</v>
      </c>
      <c r="B7731" s="7" t="s">
        <v>26</v>
      </c>
      <c r="C7731" s="7" t="s">
        <v>27</v>
      </c>
      <c r="D7731" s="7" t="s">
        <v>28</v>
      </c>
      <c r="E7731" s="7" t="s">
        <v>29</v>
      </c>
      <c r="F7731" s="7" t="s">
        <v>107</v>
      </c>
      <c r="G7731" s="7">
        <v>101.1467</v>
      </c>
      <c r="H7731" s="7"/>
    </row>
    <row r="7732" spans="1:8" x14ac:dyDescent="0.35">
      <c r="A7732" s="7" t="s">
        <v>372</v>
      </c>
      <c r="B7732" s="7" t="s">
        <v>26</v>
      </c>
      <c r="C7732" s="7" t="s">
        <v>27</v>
      </c>
      <c r="D7732" s="7" t="s">
        <v>28</v>
      </c>
      <c r="E7732" s="7" t="s">
        <v>29</v>
      </c>
      <c r="F7732" s="7" t="s">
        <v>108</v>
      </c>
      <c r="G7732" s="7">
        <v>101.1202</v>
      </c>
      <c r="H7732" s="7"/>
    </row>
    <row r="7733" spans="1:8" x14ac:dyDescent="0.35">
      <c r="A7733" s="7" t="s">
        <v>372</v>
      </c>
      <c r="B7733" s="7" t="s">
        <v>26</v>
      </c>
      <c r="C7733" s="7" t="s">
        <v>27</v>
      </c>
      <c r="D7733" s="7" t="s">
        <v>28</v>
      </c>
      <c r="E7733" s="7" t="s">
        <v>29</v>
      </c>
      <c r="F7733" s="7" t="s">
        <v>109</v>
      </c>
      <c r="G7733" s="7">
        <v>101.0493</v>
      </c>
      <c r="H7733" s="7"/>
    </row>
    <row r="7734" spans="1:8" x14ac:dyDescent="0.35">
      <c r="A7734" s="7" t="s">
        <v>372</v>
      </c>
      <c r="B7734" s="7" t="s">
        <v>26</v>
      </c>
      <c r="C7734" s="7" t="s">
        <v>27</v>
      </c>
      <c r="D7734" s="7" t="s">
        <v>28</v>
      </c>
      <c r="E7734" s="7" t="s">
        <v>29</v>
      </c>
      <c r="F7734" s="7" t="s">
        <v>110</v>
      </c>
      <c r="G7734" s="7">
        <v>100.9599</v>
      </c>
      <c r="H7734" s="7"/>
    </row>
    <row r="7735" spans="1:8" x14ac:dyDescent="0.35">
      <c r="A7735" s="7" t="s">
        <v>372</v>
      </c>
      <c r="B7735" s="7" t="s">
        <v>26</v>
      </c>
      <c r="C7735" s="7" t="s">
        <v>27</v>
      </c>
      <c r="D7735" s="7" t="s">
        <v>28</v>
      </c>
      <c r="E7735" s="7" t="s">
        <v>29</v>
      </c>
      <c r="F7735" s="7" t="s">
        <v>111</v>
      </c>
      <c r="G7735" s="7">
        <v>100.84</v>
      </c>
      <c r="H7735" s="7"/>
    </row>
    <row r="7736" spans="1:8" x14ac:dyDescent="0.35">
      <c r="A7736" s="7" t="s">
        <v>372</v>
      </c>
      <c r="B7736" s="7" t="s">
        <v>26</v>
      </c>
      <c r="C7736" s="7" t="s">
        <v>27</v>
      </c>
      <c r="D7736" s="7" t="s">
        <v>28</v>
      </c>
      <c r="E7736" s="7" t="s">
        <v>29</v>
      </c>
      <c r="F7736" s="7" t="s">
        <v>112</v>
      </c>
      <c r="G7736" s="7">
        <v>100.7458</v>
      </c>
      <c r="H7736" s="7"/>
    </row>
    <row r="7737" spans="1:8" x14ac:dyDescent="0.35">
      <c r="A7737" s="7" t="s">
        <v>372</v>
      </c>
      <c r="B7737" s="7" t="s">
        <v>26</v>
      </c>
      <c r="C7737" s="7" t="s">
        <v>27</v>
      </c>
      <c r="D7737" s="7" t="s">
        <v>28</v>
      </c>
      <c r="E7737" s="7" t="s">
        <v>29</v>
      </c>
      <c r="F7737" s="7" t="s">
        <v>113</v>
      </c>
      <c r="G7737" s="7">
        <v>100.74420000000001</v>
      </c>
      <c r="H7737" s="7"/>
    </row>
    <row r="7738" spans="1:8" x14ac:dyDescent="0.35">
      <c r="A7738" s="7" t="s">
        <v>372</v>
      </c>
      <c r="B7738" s="7" t="s">
        <v>26</v>
      </c>
      <c r="C7738" s="7" t="s">
        <v>27</v>
      </c>
      <c r="D7738" s="7" t="s">
        <v>28</v>
      </c>
      <c r="E7738" s="7" t="s">
        <v>29</v>
      </c>
      <c r="F7738" s="7" t="s">
        <v>114</v>
      </c>
      <c r="G7738" s="7">
        <v>100.87390000000001</v>
      </c>
      <c r="H7738" s="7"/>
    </row>
    <row r="7739" spans="1:8" x14ac:dyDescent="0.35">
      <c r="A7739" s="7" t="s">
        <v>372</v>
      </c>
      <c r="B7739" s="7" t="s">
        <v>26</v>
      </c>
      <c r="C7739" s="7" t="s">
        <v>27</v>
      </c>
      <c r="D7739" s="7" t="s">
        <v>28</v>
      </c>
      <c r="E7739" s="7" t="s">
        <v>29</v>
      </c>
      <c r="F7739" s="7" t="s">
        <v>115</v>
      </c>
      <c r="G7739" s="7">
        <v>101.00839999999999</v>
      </c>
      <c r="H7739" s="7"/>
    </row>
    <row r="7740" spans="1:8" x14ac:dyDescent="0.35">
      <c r="A7740" s="7" t="s">
        <v>372</v>
      </c>
      <c r="B7740" s="7" t="s">
        <v>26</v>
      </c>
      <c r="C7740" s="7" t="s">
        <v>27</v>
      </c>
      <c r="D7740" s="7" t="s">
        <v>28</v>
      </c>
      <c r="E7740" s="7" t="s">
        <v>29</v>
      </c>
      <c r="F7740" s="7" t="s">
        <v>116</v>
      </c>
      <c r="G7740" s="7">
        <v>101.1764</v>
      </c>
      <c r="H7740" s="7"/>
    </row>
    <row r="7741" spans="1:8" x14ac:dyDescent="0.35">
      <c r="A7741" s="7" t="s">
        <v>372</v>
      </c>
      <c r="B7741" s="7" t="s">
        <v>26</v>
      </c>
      <c r="C7741" s="7" t="s">
        <v>27</v>
      </c>
      <c r="D7741" s="7" t="s">
        <v>28</v>
      </c>
      <c r="E7741" s="7" t="s">
        <v>29</v>
      </c>
      <c r="F7741" s="7" t="s">
        <v>117</v>
      </c>
      <c r="G7741" s="7">
        <v>101.28959999999999</v>
      </c>
      <c r="H7741" s="7"/>
    </row>
    <row r="7742" spans="1:8" x14ac:dyDescent="0.35">
      <c r="A7742" s="7" t="s">
        <v>372</v>
      </c>
      <c r="B7742" s="7" t="s">
        <v>26</v>
      </c>
      <c r="C7742" s="7" t="s">
        <v>27</v>
      </c>
      <c r="D7742" s="7" t="s">
        <v>28</v>
      </c>
      <c r="E7742" s="7" t="s">
        <v>29</v>
      </c>
      <c r="F7742" s="7" t="s">
        <v>118</v>
      </c>
      <c r="G7742" s="7">
        <v>101.2714</v>
      </c>
      <c r="H7742" s="7"/>
    </row>
    <row r="7743" spans="1:8" x14ac:dyDescent="0.35">
      <c r="A7743" s="7" t="s">
        <v>372</v>
      </c>
      <c r="B7743" s="7" t="s">
        <v>26</v>
      </c>
      <c r="C7743" s="7" t="s">
        <v>27</v>
      </c>
      <c r="D7743" s="7" t="s">
        <v>28</v>
      </c>
      <c r="E7743" s="7" t="s">
        <v>29</v>
      </c>
      <c r="F7743" s="7" t="s">
        <v>119</v>
      </c>
      <c r="G7743" s="7">
        <v>101.2145</v>
      </c>
      <c r="H7743" s="7"/>
    </row>
    <row r="7744" spans="1:8" x14ac:dyDescent="0.35">
      <c r="A7744" s="7" t="s">
        <v>372</v>
      </c>
      <c r="B7744" s="7" t="s">
        <v>26</v>
      </c>
      <c r="C7744" s="7" t="s">
        <v>27</v>
      </c>
      <c r="D7744" s="7" t="s">
        <v>28</v>
      </c>
      <c r="E7744" s="7" t="s">
        <v>29</v>
      </c>
      <c r="F7744" s="7" t="s">
        <v>120</v>
      </c>
      <c r="G7744" s="7">
        <v>101.21169999999999</v>
      </c>
      <c r="H7744" s="7"/>
    </row>
    <row r="7745" spans="1:8" x14ac:dyDescent="0.35">
      <c r="A7745" s="7" t="s">
        <v>372</v>
      </c>
      <c r="B7745" s="7" t="s">
        <v>26</v>
      </c>
      <c r="C7745" s="7" t="s">
        <v>27</v>
      </c>
      <c r="D7745" s="7" t="s">
        <v>28</v>
      </c>
      <c r="E7745" s="7" t="s">
        <v>29</v>
      </c>
      <c r="F7745" s="7" t="s">
        <v>121</v>
      </c>
      <c r="G7745" s="7">
        <v>101.2261</v>
      </c>
      <c r="H7745" s="7"/>
    </row>
    <row r="7746" spans="1:8" x14ac:dyDescent="0.35">
      <c r="A7746" s="7" t="s">
        <v>372</v>
      </c>
      <c r="B7746" s="7" t="s">
        <v>26</v>
      </c>
      <c r="C7746" s="7" t="s">
        <v>27</v>
      </c>
      <c r="D7746" s="7" t="s">
        <v>28</v>
      </c>
      <c r="E7746" s="7" t="s">
        <v>29</v>
      </c>
      <c r="F7746" s="7" t="s">
        <v>122</v>
      </c>
      <c r="G7746" s="7">
        <v>101.22799999999999</v>
      </c>
      <c r="H7746" s="7"/>
    </row>
    <row r="7747" spans="1:8" x14ac:dyDescent="0.35">
      <c r="A7747" s="7" t="s">
        <v>372</v>
      </c>
      <c r="B7747" s="7" t="s">
        <v>26</v>
      </c>
      <c r="C7747" s="7" t="s">
        <v>27</v>
      </c>
      <c r="D7747" s="7" t="s">
        <v>28</v>
      </c>
      <c r="E7747" s="7" t="s">
        <v>29</v>
      </c>
      <c r="F7747" s="7" t="s">
        <v>123</v>
      </c>
      <c r="G7747" s="7">
        <v>101.2256</v>
      </c>
      <c r="H7747" s="7"/>
    </row>
    <row r="7748" spans="1:8" x14ac:dyDescent="0.35">
      <c r="A7748" s="7" t="s">
        <v>372</v>
      </c>
      <c r="B7748" s="7" t="s">
        <v>26</v>
      </c>
      <c r="C7748" s="7" t="s">
        <v>27</v>
      </c>
      <c r="D7748" s="7" t="s">
        <v>28</v>
      </c>
      <c r="E7748" s="7" t="s">
        <v>29</v>
      </c>
      <c r="F7748" s="7" t="s">
        <v>124</v>
      </c>
      <c r="G7748" s="7">
        <v>101.24720000000001</v>
      </c>
      <c r="H7748" s="7"/>
    </row>
    <row r="7749" spans="1:8" x14ac:dyDescent="0.35">
      <c r="A7749" s="7" t="s">
        <v>372</v>
      </c>
      <c r="B7749" s="7" t="s">
        <v>26</v>
      </c>
      <c r="C7749" s="7" t="s">
        <v>27</v>
      </c>
      <c r="D7749" s="7" t="s">
        <v>28</v>
      </c>
      <c r="E7749" s="7" t="s">
        <v>29</v>
      </c>
      <c r="F7749" s="7" t="s">
        <v>125</v>
      </c>
      <c r="G7749" s="7">
        <v>101.28149999999999</v>
      </c>
      <c r="H7749" s="7"/>
    </row>
    <row r="7750" spans="1:8" x14ac:dyDescent="0.35">
      <c r="A7750" s="7" t="s">
        <v>372</v>
      </c>
      <c r="B7750" s="7" t="s">
        <v>26</v>
      </c>
      <c r="C7750" s="7" t="s">
        <v>27</v>
      </c>
      <c r="D7750" s="7" t="s">
        <v>28</v>
      </c>
      <c r="E7750" s="7" t="s">
        <v>29</v>
      </c>
      <c r="F7750" s="7" t="s">
        <v>126</v>
      </c>
      <c r="G7750" s="7">
        <v>101.38849999999999</v>
      </c>
      <c r="H7750" s="7"/>
    </row>
    <row r="7751" spans="1:8" x14ac:dyDescent="0.35">
      <c r="A7751" s="7" t="s">
        <v>372</v>
      </c>
      <c r="B7751" s="7" t="s">
        <v>26</v>
      </c>
      <c r="C7751" s="7" t="s">
        <v>27</v>
      </c>
      <c r="D7751" s="7" t="s">
        <v>28</v>
      </c>
      <c r="E7751" s="7" t="s">
        <v>29</v>
      </c>
      <c r="F7751" s="7" t="s">
        <v>127</v>
      </c>
      <c r="G7751" s="7">
        <v>101.53149999999999</v>
      </c>
      <c r="H7751" s="7"/>
    </row>
    <row r="7752" spans="1:8" x14ac:dyDescent="0.35">
      <c r="A7752" s="7" t="s">
        <v>372</v>
      </c>
      <c r="B7752" s="7" t="s">
        <v>26</v>
      </c>
      <c r="C7752" s="7" t="s">
        <v>27</v>
      </c>
      <c r="D7752" s="7" t="s">
        <v>28</v>
      </c>
      <c r="E7752" s="7" t="s">
        <v>29</v>
      </c>
      <c r="F7752" s="7" t="s">
        <v>128</v>
      </c>
      <c r="G7752" s="7">
        <v>101.6895</v>
      </c>
      <c r="H7752" s="7"/>
    </row>
    <row r="7753" spans="1:8" x14ac:dyDescent="0.35">
      <c r="A7753" s="7" t="s">
        <v>372</v>
      </c>
      <c r="B7753" s="7" t="s">
        <v>26</v>
      </c>
      <c r="C7753" s="7" t="s">
        <v>27</v>
      </c>
      <c r="D7753" s="7" t="s">
        <v>28</v>
      </c>
      <c r="E7753" s="7" t="s">
        <v>29</v>
      </c>
      <c r="F7753" s="7" t="s">
        <v>129</v>
      </c>
      <c r="G7753" s="7">
        <v>101.7342</v>
      </c>
      <c r="H7753" s="7"/>
    </row>
    <row r="7754" spans="1:8" x14ac:dyDescent="0.35">
      <c r="A7754" s="7" t="s">
        <v>372</v>
      </c>
      <c r="B7754" s="7" t="s">
        <v>26</v>
      </c>
      <c r="C7754" s="7" t="s">
        <v>27</v>
      </c>
      <c r="D7754" s="7" t="s">
        <v>28</v>
      </c>
      <c r="E7754" s="7" t="s">
        <v>29</v>
      </c>
      <c r="F7754" s="7" t="s">
        <v>130</v>
      </c>
      <c r="G7754" s="7">
        <v>101.7135</v>
      </c>
      <c r="H7754" s="7"/>
    </row>
    <row r="7755" spans="1:8" x14ac:dyDescent="0.35">
      <c r="A7755" s="7" t="s">
        <v>372</v>
      </c>
      <c r="B7755" s="7" t="s">
        <v>26</v>
      </c>
      <c r="C7755" s="7" t="s">
        <v>27</v>
      </c>
      <c r="D7755" s="7" t="s">
        <v>28</v>
      </c>
      <c r="E7755" s="7" t="s">
        <v>29</v>
      </c>
      <c r="F7755" s="7" t="s">
        <v>131</v>
      </c>
      <c r="G7755" s="7">
        <v>101.7354</v>
      </c>
      <c r="H7755" s="7"/>
    </row>
    <row r="7756" spans="1:8" x14ac:dyDescent="0.35">
      <c r="A7756" s="7" t="s">
        <v>372</v>
      </c>
      <c r="B7756" s="7" t="s">
        <v>26</v>
      </c>
      <c r="C7756" s="7" t="s">
        <v>27</v>
      </c>
      <c r="D7756" s="7" t="s">
        <v>28</v>
      </c>
      <c r="E7756" s="7" t="s">
        <v>29</v>
      </c>
      <c r="F7756" s="7" t="s">
        <v>132</v>
      </c>
      <c r="G7756" s="7">
        <v>101.7623</v>
      </c>
      <c r="H7756" s="7"/>
    </row>
    <row r="7757" spans="1:8" x14ac:dyDescent="0.35">
      <c r="A7757" s="7" t="s">
        <v>372</v>
      </c>
      <c r="B7757" s="7" t="s">
        <v>26</v>
      </c>
      <c r="C7757" s="7" t="s">
        <v>27</v>
      </c>
      <c r="D7757" s="7" t="s">
        <v>28</v>
      </c>
      <c r="E7757" s="7" t="s">
        <v>29</v>
      </c>
      <c r="F7757" s="7" t="s">
        <v>133</v>
      </c>
      <c r="G7757" s="7">
        <v>101.7423</v>
      </c>
      <c r="H7757" s="7"/>
    </row>
    <row r="7758" spans="1:8" x14ac:dyDescent="0.35">
      <c r="A7758" s="7" t="s">
        <v>372</v>
      </c>
      <c r="B7758" s="7" t="s">
        <v>26</v>
      </c>
      <c r="C7758" s="7" t="s">
        <v>27</v>
      </c>
      <c r="D7758" s="7" t="s">
        <v>28</v>
      </c>
      <c r="E7758" s="7" t="s">
        <v>29</v>
      </c>
      <c r="F7758" s="7" t="s">
        <v>134</v>
      </c>
      <c r="G7758" s="7">
        <v>101.7439</v>
      </c>
      <c r="H7758" s="7"/>
    </row>
    <row r="7759" spans="1:8" x14ac:dyDescent="0.35">
      <c r="A7759" s="7" t="s">
        <v>372</v>
      </c>
      <c r="B7759" s="7" t="s">
        <v>26</v>
      </c>
      <c r="C7759" s="7" t="s">
        <v>27</v>
      </c>
      <c r="D7759" s="7" t="s">
        <v>28</v>
      </c>
      <c r="E7759" s="7" t="s">
        <v>29</v>
      </c>
      <c r="F7759" s="7" t="s">
        <v>135</v>
      </c>
      <c r="G7759" s="7">
        <v>101.715</v>
      </c>
      <c r="H7759" s="7"/>
    </row>
    <row r="7760" spans="1:8" x14ac:dyDescent="0.35">
      <c r="A7760" s="7" t="s">
        <v>372</v>
      </c>
      <c r="B7760" s="7" t="s">
        <v>26</v>
      </c>
      <c r="C7760" s="7" t="s">
        <v>27</v>
      </c>
      <c r="D7760" s="7" t="s">
        <v>28</v>
      </c>
      <c r="E7760" s="7" t="s">
        <v>29</v>
      </c>
      <c r="F7760" s="7" t="s">
        <v>136</v>
      </c>
      <c r="G7760" s="7">
        <v>101.6392</v>
      </c>
      <c r="H7760" s="7"/>
    </row>
    <row r="7761" spans="1:8" x14ac:dyDescent="0.35">
      <c r="A7761" s="7" t="s">
        <v>372</v>
      </c>
      <c r="B7761" s="7" t="s">
        <v>26</v>
      </c>
      <c r="C7761" s="7" t="s">
        <v>27</v>
      </c>
      <c r="D7761" s="7" t="s">
        <v>28</v>
      </c>
      <c r="E7761" s="7" t="s">
        <v>29</v>
      </c>
      <c r="F7761" s="7" t="s">
        <v>137</v>
      </c>
      <c r="G7761" s="7">
        <v>101.5669</v>
      </c>
      <c r="H7761" s="7"/>
    </row>
    <row r="7762" spans="1:8" x14ac:dyDescent="0.35">
      <c r="A7762" s="7" t="s">
        <v>372</v>
      </c>
      <c r="B7762" s="7" t="s">
        <v>26</v>
      </c>
      <c r="C7762" s="7" t="s">
        <v>27</v>
      </c>
      <c r="D7762" s="7" t="s">
        <v>28</v>
      </c>
      <c r="E7762" s="7" t="s">
        <v>29</v>
      </c>
      <c r="F7762" s="7" t="s">
        <v>138</v>
      </c>
      <c r="G7762" s="7">
        <v>101.42700000000001</v>
      </c>
      <c r="H7762" s="7"/>
    </row>
    <row r="7763" spans="1:8" x14ac:dyDescent="0.35">
      <c r="A7763" s="7" t="s">
        <v>372</v>
      </c>
      <c r="B7763" s="7" t="s">
        <v>26</v>
      </c>
      <c r="C7763" s="7" t="s">
        <v>27</v>
      </c>
      <c r="D7763" s="7" t="s">
        <v>28</v>
      </c>
      <c r="E7763" s="7" t="s">
        <v>29</v>
      </c>
      <c r="F7763" s="7" t="s">
        <v>139</v>
      </c>
      <c r="G7763" s="7">
        <v>101.15170000000001</v>
      </c>
      <c r="H7763" s="7"/>
    </row>
    <row r="7764" spans="1:8" x14ac:dyDescent="0.35">
      <c r="A7764" s="7" t="s">
        <v>372</v>
      </c>
      <c r="B7764" s="7" t="s">
        <v>26</v>
      </c>
      <c r="C7764" s="7" t="s">
        <v>27</v>
      </c>
      <c r="D7764" s="7" t="s">
        <v>28</v>
      </c>
      <c r="E7764" s="7" t="s">
        <v>29</v>
      </c>
      <c r="F7764" s="7" t="s">
        <v>140</v>
      </c>
      <c r="G7764" s="7">
        <v>100.8754</v>
      </c>
      <c r="H7764" s="7"/>
    </row>
    <row r="7765" spans="1:8" x14ac:dyDescent="0.35">
      <c r="A7765" s="7" t="s">
        <v>372</v>
      </c>
      <c r="B7765" s="7" t="s">
        <v>26</v>
      </c>
      <c r="C7765" s="7" t="s">
        <v>27</v>
      </c>
      <c r="D7765" s="7" t="s">
        <v>28</v>
      </c>
      <c r="E7765" s="7" t="s">
        <v>29</v>
      </c>
      <c r="F7765" s="7" t="s">
        <v>141</v>
      </c>
      <c r="G7765" s="7">
        <v>100.67019999999999</v>
      </c>
      <c r="H7765" s="7"/>
    </row>
    <row r="7766" spans="1:8" x14ac:dyDescent="0.35">
      <c r="A7766" s="7" t="s">
        <v>372</v>
      </c>
      <c r="B7766" s="7" t="s">
        <v>26</v>
      </c>
      <c r="C7766" s="7" t="s">
        <v>27</v>
      </c>
      <c r="D7766" s="7" t="s">
        <v>28</v>
      </c>
      <c r="E7766" s="7" t="s">
        <v>29</v>
      </c>
      <c r="F7766" s="7" t="s">
        <v>142</v>
      </c>
      <c r="G7766" s="7">
        <v>100.5819</v>
      </c>
      <c r="H7766" s="7"/>
    </row>
    <row r="7767" spans="1:8" x14ac:dyDescent="0.35">
      <c r="A7767" s="7" t="s">
        <v>372</v>
      </c>
      <c r="B7767" s="7" t="s">
        <v>26</v>
      </c>
      <c r="C7767" s="7" t="s">
        <v>27</v>
      </c>
      <c r="D7767" s="7" t="s">
        <v>28</v>
      </c>
      <c r="E7767" s="7" t="s">
        <v>29</v>
      </c>
      <c r="F7767" s="7" t="s">
        <v>143</v>
      </c>
      <c r="G7767" s="7">
        <v>100.5284</v>
      </c>
      <c r="H7767" s="7"/>
    </row>
    <row r="7768" spans="1:8" x14ac:dyDescent="0.35">
      <c r="A7768" s="7" t="s">
        <v>372</v>
      </c>
      <c r="B7768" s="7" t="s">
        <v>26</v>
      </c>
      <c r="C7768" s="7" t="s">
        <v>27</v>
      </c>
      <c r="D7768" s="7" t="s">
        <v>28</v>
      </c>
      <c r="E7768" s="7" t="s">
        <v>29</v>
      </c>
      <c r="F7768" s="7" t="s">
        <v>144</v>
      </c>
      <c r="G7768" s="7">
        <v>100.4996</v>
      </c>
      <c r="H7768" s="7"/>
    </row>
    <row r="7769" spans="1:8" x14ac:dyDescent="0.35">
      <c r="A7769" s="7" t="s">
        <v>372</v>
      </c>
      <c r="B7769" s="7" t="s">
        <v>26</v>
      </c>
      <c r="C7769" s="7" t="s">
        <v>27</v>
      </c>
      <c r="D7769" s="7" t="s">
        <v>28</v>
      </c>
      <c r="E7769" s="7" t="s">
        <v>29</v>
      </c>
      <c r="F7769" s="7" t="s">
        <v>145</v>
      </c>
      <c r="G7769" s="7">
        <v>100.419</v>
      </c>
      <c r="H7769" s="7"/>
    </row>
    <row r="7770" spans="1:8" x14ac:dyDescent="0.35">
      <c r="A7770" s="7" t="s">
        <v>372</v>
      </c>
      <c r="B7770" s="7" t="s">
        <v>26</v>
      </c>
      <c r="C7770" s="7" t="s">
        <v>27</v>
      </c>
      <c r="D7770" s="7" t="s">
        <v>28</v>
      </c>
      <c r="E7770" s="7" t="s">
        <v>29</v>
      </c>
      <c r="F7770" s="7" t="s">
        <v>146</v>
      </c>
      <c r="G7770" s="7">
        <v>100.22799999999999</v>
      </c>
      <c r="H7770" s="7"/>
    </row>
    <row r="7771" spans="1:8" x14ac:dyDescent="0.35">
      <c r="A7771" s="7" t="s">
        <v>372</v>
      </c>
      <c r="B7771" s="7" t="s">
        <v>26</v>
      </c>
      <c r="C7771" s="7" t="s">
        <v>27</v>
      </c>
      <c r="D7771" s="7" t="s">
        <v>28</v>
      </c>
      <c r="E7771" s="7" t="s">
        <v>29</v>
      </c>
      <c r="F7771" s="7" t="s">
        <v>147</v>
      </c>
      <c r="G7771" s="7">
        <v>99.941659999999999</v>
      </c>
      <c r="H7771" s="7"/>
    </row>
    <row r="7772" spans="1:8" x14ac:dyDescent="0.35">
      <c r="A7772" s="7" t="s">
        <v>372</v>
      </c>
      <c r="B7772" s="7" t="s">
        <v>26</v>
      </c>
      <c r="C7772" s="7" t="s">
        <v>27</v>
      </c>
      <c r="D7772" s="7" t="s">
        <v>28</v>
      </c>
      <c r="E7772" s="7" t="s">
        <v>29</v>
      </c>
      <c r="F7772" s="7" t="s">
        <v>148</v>
      </c>
      <c r="G7772" s="7">
        <v>99.640140000000002</v>
      </c>
      <c r="H7772" s="7"/>
    </row>
    <row r="7773" spans="1:8" x14ac:dyDescent="0.35">
      <c r="A7773" s="7" t="s">
        <v>372</v>
      </c>
      <c r="B7773" s="7" t="s">
        <v>26</v>
      </c>
      <c r="C7773" s="7" t="s">
        <v>27</v>
      </c>
      <c r="D7773" s="7" t="s">
        <v>28</v>
      </c>
      <c r="E7773" s="7" t="s">
        <v>29</v>
      </c>
      <c r="F7773" s="7" t="s">
        <v>149</v>
      </c>
      <c r="G7773" s="7">
        <v>99.500630000000001</v>
      </c>
      <c r="H7773" s="7"/>
    </row>
    <row r="7774" spans="1:8" x14ac:dyDescent="0.35">
      <c r="A7774" s="7" t="s">
        <v>372</v>
      </c>
      <c r="B7774" s="7" t="s">
        <v>26</v>
      </c>
      <c r="C7774" s="7" t="s">
        <v>27</v>
      </c>
      <c r="D7774" s="7" t="s">
        <v>28</v>
      </c>
      <c r="E7774" s="7" t="s">
        <v>29</v>
      </c>
      <c r="F7774" s="7" t="s">
        <v>150</v>
      </c>
      <c r="G7774" s="7">
        <v>99.559030000000007</v>
      </c>
      <c r="H7774" s="7"/>
    </row>
    <row r="7775" spans="1:8" x14ac:dyDescent="0.35">
      <c r="A7775" s="7" t="s">
        <v>372</v>
      </c>
      <c r="B7775" s="7" t="s">
        <v>26</v>
      </c>
      <c r="C7775" s="7" t="s">
        <v>27</v>
      </c>
      <c r="D7775" s="7" t="s">
        <v>28</v>
      </c>
      <c r="E7775" s="7" t="s">
        <v>29</v>
      </c>
      <c r="F7775" s="7" t="s">
        <v>151</v>
      </c>
      <c r="G7775" s="7">
        <v>99.781239999999997</v>
      </c>
      <c r="H7775" s="7"/>
    </row>
    <row r="7776" spans="1:8" x14ac:dyDescent="0.35">
      <c r="A7776" s="7" t="s">
        <v>372</v>
      </c>
      <c r="B7776" s="7" t="s">
        <v>26</v>
      </c>
      <c r="C7776" s="7" t="s">
        <v>27</v>
      </c>
      <c r="D7776" s="7" t="s">
        <v>28</v>
      </c>
      <c r="E7776" s="7" t="s">
        <v>29</v>
      </c>
      <c r="F7776" s="7" t="s">
        <v>152</v>
      </c>
      <c r="G7776" s="7">
        <v>100.0274</v>
      </c>
      <c r="H7776" s="7"/>
    </row>
    <row r="7777" spans="1:8" x14ac:dyDescent="0.35">
      <c r="A7777" s="7" t="s">
        <v>372</v>
      </c>
      <c r="B7777" s="7" t="s">
        <v>26</v>
      </c>
      <c r="C7777" s="7" t="s">
        <v>27</v>
      </c>
      <c r="D7777" s="7" t="s">
        <v>28</v>
      </c>
      <c r="E7777" s="7" t="s">
        <v>29</v>
      </c>
      <c r="F7777" s="7" t="s">
        <v>153</v>
      </c>
      <c r="G7777" s="7">
        <v>100.2068</v>
      </c>
      <c r="H7777" s="7"/>
    </row>
    <row r="7778" spans="1:8" x14ac:dyDescent="0.35">
      <c r="A7778" s="7" t="s">
        <v>372</v>
      </c>
      <c r="B7778" s="7" t="s">
        <v>26</v>
      </c>
      <c r="C7778" s="7" t="s">
        <v>27</v>
      </c>
      <c r="D7778" s="7" t="s">
        <v>28</v>
      </c>
      <c r="E7778" s="7" t="s">
        <v>29</v>
      </c>
      <c r="F7778" s="7" t="s">
        <v>154</v>
      </c>
      <c r="G7778" s="7">
        <v>100.3616</v>
      </c>
      <c r="H7778" s="7"/>
    </row>
    <row r="7779" spans="1:8" x14ac:dyDescent="0.35">
      <c r="A7779" s="7" t="s">
        <v>372</v>
      </c>
      <c r="B7779" s="7" t="s">
        <v>26</v>
      </c>
      <c r="C7779" s="7" t="s">
        <v>27</v>
      </c>
      <c r="D7779" s="7" t="s">
        <v>28</v>
      </c>
      <c r="E7779" s="7" t="s">
        <v>29</v>
      </c>
      <c r="F7779" s="7" t="s">
        <v>155</v>
      </c>
      <c r="G7779" s="7">
        <v>100.43300000000001</v>
      </c>
      <c r="H7779" s="7"/>
    </row>
    <row r="7780" spans="1:8" x14ac:dyDescent="0.35">
      <c r="A7780" s="7" t="s">
        <v>372</v>
      </c>
      <c r="B7780" s="7" t="s">
        <v>26</v>
      </c>
      <c r="C7780" s="7" t="s">
        <v>27</v>
      </c>
      <c r="D7780" s="7" t="s">
        <v>28</v>
      </c>
      <c r="E7780" s="7" t="s">
        <v>29</v>
      </c>
      <c r="F7780" s="7" t="s">
        <v>156</v>
      </c>
      <c r="G7780" s="7">
        <v>100.4413</v>
      </c>
      <c r="H7780" s="7"/>
    </row>
    <row r="7781" spans="1:8" x14ac:dyDescent="0.35">
      <c r="A7781" s="7" t="s">
        <v>372</v>
      </c>
      <c r="B7781" s="7" t="s">
        <v>26</v>
      </c>
      <c r="C7781" s="7" t="s">
        <v>27</v>
      </c>
      <c r="D7781" s="7" t="s">
        <v>28</v>
      </c>
      <c r="E7781" s="7" t="s">
        <v>29</v>
      </c>
      <c r="F7781" s="7" t="s">
        <v>157</v>
      </c>
      <c r="G7781" s="7">
        <v>100.30549999999999</v>
      </c>
      <c r="H7781" s="7"/>
    </row>
    <row r="7782" spans="1:8" x14ac:dyDescent="0.35">
      <c r="A7782" s="7" t="s">
        <v>372</v>
      </c>
      <c r="B7782" s="7" t="s">
        <v>26</v>
      </c>
      <c r="C7782" s="7" t="s">
        <v>27</v>
      </c>
      <c r="D7782" s="7" t="s">
        <v>28</v>
      </c>
      <c r="E7782" s="7" t="s">
        <v>29</v>
      </c>
      <c r="F7782" s="7" t="s">
        <v>158</v>
      </c>
      <c r="G7782" s="7">
        <v>100.1054</v>
      </c>
      <c r="H7782" s="7"/>
    </row>
    <row r="7783" spans="1:8" x14ac:dyDescent="0.35">
      <c r="A7783" s="7" t="s">
        <v>372</v>
      </c>
      <c r="B7783" s="7" t="s">
        <v>26</v>
      </c>
      <c r="C7783" s="7" t="s">
        <v>27</v>
      </c>
      <c r="D7783" s="7" t="s">
        <v>28</v>
      </c>
      <c r="E7783" s="7" t="s">
        <v>29</v>
      </c>
      <c r="F7783" s="7" t="s">
        <v>159</v>
      </c>
      <c r="G7783" s="7">
        <v>99.93262</v>
      </c>
      <c r="H7783" s="7"/>
    </row>
    <row r="7784" spans="1:8" x14ac:dyDescent="0.35">
      <c r="A7784" s="7" t="s">
        <v>372</v>
      </c>
      <c r="B7784" s="7" t="s">
        <v>26</v>
      </c>
      <c r="C7784" s="7" t="s">
        <v>27</v>
      </c>
      <c r="D7784" s="7" t="s">
        <v>28</v>
      </c>
      <c r="E7784" s="7" t="s">
        <v>29</v>
      </c>
      <c r="F7784" s="7" t="s">
        <v>160</v>
      </c>
      <c r="G7784" s="7">
        <v>99.767399999999995</v>
      </c>
      <c r="H7784" s="7"/>
    </row>
    <row r="7785" spans="1:8" x14ac:dyDescent="0.35">
      <c r="A7785" s="7" t="s">
        <v>372</v>
      </c>
      <c r="B7785" s="7" t="s">
        <v>26</v>
      </c>
      <c r="C7785" s="7" t="s">
        <v>27</v>
      </c>
      <c r="D7785" s="7" t="s">
        <v>28</v>
      </c>
      <c r="E7785" s="7" t="s">
        <v>29</v>
      </c>
      <c r="F7785" s="7" t="s">
        <v>161</v>
      </c>
      <c r="G7785" s="7">
        <v>99.574370000000002</v>
      </c>
      <c r="H7785" s="7"/>
    </row>
    <row r="7786" spans="1:8" x14ac:dyDescent="0.35">
      <c r="A7786" s="7" t="s">
        <v>372</v>
      </c>
      <c r="B7786" s="7" t="s">
        <v>26</v>
      </c>
      <c r="C7786" s="7" t="s">
        <v>27</v>
      </c>
      <c r="D7786" s="7" t="s">
        <v>28</v>
      </c>
      <c r="E7786" s="7" t="s">
        <v>29</v>
      </c>
      <c r="F7786" s="7" t="s">
        <v>162</v>
      </c>
      <c r="G7786" s="7">
        <v>99.451840000000004</v>
      </c>
      <c r="H7786" s="7"/>
    </row>
    <row r="7787" spans="1:8" x14ac:dyDescent="0.35">
      <c r="A7787" s="7" t="s">
        <v>372</v>
      </c>
      <c r="B7787" s="7" t="s">
        <v>26</v>
      </c>
      <c r="C7787" s="7" t="s">
        <v>27</v>
      </c>
      <c r="D7787" s="7" t="s">
        <v>28</v>
      </c>
      <c r="E7787" s="7" t="s">
        <v>29</v>
      </c>
      <c r="F7787" s="7" t="s">
        <v>163</v>
      </c>
      <c r="G7787" s="7">
        <v>99.324539999999999</v>
      </c>
      <c r="H7787" s="7"/>
    </row>
    <row r="7788" spans="1:8" x14ac:dyDescent="0.35">
      <c r="A7788" s="7" t="s">
        <v>372</v>
      </c>
      <c r="B7788" s="7" t="s">
        <v>26</v>
      </c>
      <c r="C7788" s="7" t="s">
        <v>27</v>
      </c>
      <c r="D7788" s="7" t="s">
        <v>28</v>
      </c>
      <c r="E7788" s="7" t="s">
        <v>29</v>
      </c>
      <c r="F7788" s="7" t="s">
        <v>164</v>
      </c>
      <c r="G7788" s="7">
        <v>99.163579999999996</v>
      </c>
      <c r="H7788" s="7"/>
    </row>
    <row r="7789" spans="1:8" x14ac:dyDescent="0.35">
      <c r="A7789" s="7" t="s">
        <v>372</v>
      </c>
      <c r="B7789" s="7" t="s">
        <v>26</v>
      </c>
      <c r="C7789" s="7" t="s">
        <v>27</v>
      </c>
      <c r="D7789" s="7" t="s">
        <v>28</v>
      </c>
      <c r="E7789" s="7" t="s">
        <v>29</v>
      </c>
      <c r="F7789" s="7" t="s">
        <v>165</v>
      </c>
      <c r="G7789" s="7">
        <v>99.055049999999994</v>
      </c>
      <c r="H7789" s="7"/>
    </row>
    <row r="7790" spans="1:8" x14ac:dyDescent="0.35">
      <c r="A7790" s="7" t="s">
        <v>372</v>
      </c>
      <c r="B7790" s="7" t="s">
        <v>26</v>
      </c>
      <c r="C7790" s="7" t="s">
        <v>27</v>
      </c>
      <c r="D7790" s="7" t="s">
        <v>28</v>
      </c>
      <c r="E7790" s="7" t="s">
        <v>29</v>
      </c>
      <c r="F7790" s="7" t="s">
        <v>166</v>
      </c>
      <c r="G7790" s="7">
        <v>99.104460000000003</v>
      </c>
      <c r="H7790" s="7"/>
    </row>
    <row r="7791" spans="1:8" x14ac:dyDescent="0.35">
      <c r="A7791" s="7" t="s">
        <v>372</v>
      </c>
      <c r="B7791" s="7" t="s">
        <v>26</v>
      </c>
      <c r="C7791" s="7" t="s">
        <v>27</v>
      </c>
      <c r="D7791" s="7" t="s">
        <v>28</v>
      </c>
      <c r="E7791" s="7" t="s">
        <v>29</v>
      </c>
      <c r="F7791" s="7" t="s">
        <v>167</v>
      </c>
      <c r="G7791" s="7">
        <v>99.375780000000006</v>
      </c>
      <c r="H7791" s="7"/>
    </row>
    <row r="7792" spans="1:8" x14ac:dyDescent="0.35">
      <c r="A7792" s="7" t="s">
        <v>372</v>
      </c>
      <c r="B7792" s="7" t="s">
        <v>26</v>
      </c>
      <c r="C7792" s="7" t="s">
        <v>27</v>
      </c>
      <c r="D7792" s="7" t="s">
        <v>28</v>
      </c>
      <c r="E7792" s="7" t="s">
        <v>29</v>
      </c>
      <c r="F7792" s="7" t="s">
        <v>168</v>
      </c>
      <c r="G7792" s="7">
        <v>99.662890000000004</v>
      </c>
      <c r="H7792" s="7"/>
    </row>
    <row r="7793" spans="1:8" x14ac:dyDescent="0.35">
      <c r="A7793" s="7" t="s">
        <v>372</v>
      </c>
      <c r="B7793" s="7" t="s">
        <v>26</v>
      </c>
      <c r="C7793" s="7" t="s">
        <v>27</v>
      </c>
      <c r="D7793" s="7" t="s">
        <v>28</v>
      </c>
      <c r="E7793" s="7" t="s">
        <v>29</v>
      </c>
      <c r="F7793" s="7" t="s">
        <v>169</v>
      </c>
      <c r="G7793" s="7">
        <v>99.825490000000002</v>
      </c>
      <c r="H7793" s="7"/>
    </row>
    <row r="7794" spans="1:8" x14ac:dyDescent="0.35">
      <c r="A7794" s="7" t="s">
        <v>372</v>
      </c>
      <c r="B7794" s="7" t="s">
        <v>26</v>
      </c>
      <c r="C7794" s="7" t="s">
        <v>27</v>
      </c>
      <c r="D7794" s="7" t="s">
        <v>28</v>
      </c>
      <c r="E7794" s="7" t="s">
        <v>29</v>
      </c>
      <c r="F7794" s="7" t="s">
        <v>170</v>
      </c>
      <c r="G7794" s="7">
        <v>99.89367</v>
      </c>
      <c r="H7794" s="7"/>
    </row>
    <row r="7795" spans="1:8" x14ac:dyDescent="0.35">
      <c r="A7795" s="7" t="s">
        <v>372</v>
      </c>
      <c r="B7795" s="7" t="s">
        <v>26</v>
      </c>
      <c r="C7795" s="7" t="s">
        <v>27</v>
      </c>
      <c r="D7795" s="7" t="s">
        <v>28</v>
      </c>
      <c r="E7795" s="7" t="s">
        <v>29</v>
      </c>
      <c r="F7795" s="7" t="s">
        <v>171</v>
      </c>
      <c r="G7795" s="7">
        <v>99.886390000000006</v>
      </c>
      <c r="H7795" s="7"/>
    </row>
    <row r="7796" spans="1:8" x14ac:dyDescent="0.35">
      <c r="A7796" s="7" t="s">
        <v>372</v>
      </c>
      <c r="B7796" s="7" t="s">
        <v>26</v>
      </c>
      <c r="C7796" s="7" t="s">
        <v>27</v>
      </c>
      <c r="D7796" s="7" t="s">
        <v>28</v>
      </c>
      <c r="E7796" s="7" t="s">
        <v>29</v>
      </c>
      <c r="F7796" s="7" t="s">
        <v>172</v>
      </c>
      <c r="G7796" s="7">
        <v>99.892089999999996</v>
      </c>
      <c r="H7796" s="7"/>
    </row>
    <row r="7797" spans="1:8" x14ac:dyDescent="0.35">
      <c r="A7797" s="7" t="s">
        <v>372</v>
      </c>
      <c r="B7797" s="7" t="s">
        <v>26</v>
      </c>
      <c r="C7797" s="7" t="s">
        <v>27</v>
      </c>
      <c r="D7797" s="7" t="s">
        <v>28</v>
      </c>
      <c r="E7797" s="7" t="s">
        <v>29</v>
      </c>
      <c r="F7797" s="7" t="s">
        <v>173</v>
      </c>
      <c r="G7797" s="7">
        <v>99.985309999999998</v>
      </c>
      <c r="H7797" s="7"/>
    </row>
    <row r="7798" spans="1:8" x14ac:dyDescent="0.35">
      <c r="A7798" s="7" t="s">
        <v>372</v>
      </c>
      <c r="B7798" s="7" t="s">
        <v>26</v>
      </c>
      <c r="C7798" s="7" t="s">
        <v>27</v>
      </c>
      <c r="D7798" s="7" t="s">
        <v>28</v>
      </c>
      <c r="E7798" s="7" t="s">
        <v>29</v>
      </c>
      <c r="F7798" s="7" t="s">
        <v>174</v>
      </c>
      <c r="G7798" s="7">
        <v>100.1664</v>
      </c>
      <c r="H7798" s="7"/>
    </row>
    <row r="7799" spans="1:8" x14ac:dyDescent="0.35">
      <c r="A7799" s="7" t="s">
        <v>372</v>
      </c>
      <c r="B7799" s="7" t="s">
        <v>26</v>
      </c>
      <c r="C7799" s="7" t="s">
        <v>27</v>
      </c>
      <c r="D7799" s="7" t="s">
        <v>28</v>
      </c>
      <c r="E7799" s="7" t="s">
        <v>29</v>
      </c>
      <c r="F7799" s="7" t="s">
        <v>175</v>
      </c>
      <c r="G7799" s="7">
        <v>100.3623</v>
      </c>
      <c r="H7799" s="7"/>
    </row>
    <row r="7800" spans="1:8" x14ac:dyDescent="0.35">
      <c r="A7800" s="7" t="s">
        <v>372</v>
      </c>
      <c r="B7800" s="7" t="s">
        <v>26</v>
      </c>
      <c r="C7800" s="7" t="s">
        <v>27</v>
      </c>
      <c r="D7800" s="7" t="s">
        <v>28</v>
      </c>
      <c r="E7800" s="7" t="s">
        <v>29</v>
      </c>
      <c r="F7800" s="7" t="s">
        <v>176</v>
      </c>
      <c r="G7800" s="7">
        <v>100.5483</v>
      </c>
      <c r="H7800" s="7"/>
    </row>
    <row r="7801" spans="1:8" x14ac:dyDescent="0.35">
      <c r="A7801" s="7" t="s">
        <v>372</v>
      </c>
      <c r="B7801" s="7" t="s">
        <v>26</v>
      </c>
      <c r="C7801" s="7" t="s">
        <v>27</v>
      </c>
      <c r="D7801" s="7" t="s">
        <v>28</v>
      </c>
      <c r="E7801" s="7" t="s">
        <v>29</v>
      </c>
      <c r="F7801" s="7" t="s">
        <v>177</v>
      </c>
      <c r="G7801" s="7">
        <v>100.5252</v>
      </c>
      <c r="H7801" s="7"/>
    </row>
    <row r="7802" spans="1:8" x14ac:dyDescent="0.35">
      <c r="A7802" s="7" t="s">
        <v>372</v>
      </c>
      <c r="B7802" s="7" t="s">
        <v>26</v>
      </c>
      <c r="C7802" s="7" t="s">
        <v>27</v>
      </c>
      <c r="D7802" s="7" t="s">
        <v>28</v>
      </c>
      <c r="E7802" s="7" t="s">
        <v>29</v>
      </c>
      <c r="F7802" s="7" t="s">
        <v>178</v>
      </c>
      <c r="G7802" s="7">
        <v>100.47190000000001</v>
      </c>
      <c r="H7802" s="7"/>
    </row>
    <row r="7803" spans="1:8" x14ac:dyDescent="0.35">
      <c r="A7803" s="7" t="s">
        <v>372</v>
      </c>
      <c r="B7803" s="7" t="s">
        <v>26</v>
      </c>
      <c r="C7803" s="7" t="s">
        <v>27</v>
      </c>
      <c r="D7803" s="7" t="s">
        <v>28</v>
      </c>
      <c r="E7803" s="7" t="s">
        <v>29</v>
      </c>
      <c r="F7803" s="7" t="s">
        <v>179</v>
      </c>
      <c r="G7803" s="7">
        <v>100.42749999999999</v>
      </c>
      <c r="H7803" s="7"/>
    </row>
    <row r="7804" spans="1:8" x14ac:dyDescent="0.35">
      <c r="A7804" s="7" t="s">
        <v>372</v>
      </c>
      <c r="B7804" s="7" t="s">
        <v>26</v>
      </c>
      <c r="C7804" s="7" t="s">
        <v>27</v>
      </c>
      <c r="D7804" s="7" t="s">
        <v>28</v>
      </c>
      <c r="E7804" s="7" t="s">
        <v>29</v>
      </c>
      <c r="F7804" s="7" t="s">
        <v>180</v>
      </c>
      <c r="G7804" s="7">
        <v>100.4162</v>
      </c>
      <c r="H7804" s="7"/>
    </row>
    <row r="7805" spans="1:8" x14ac:dyDescent="0.35">
      <c r="A7805" s="7" t="s">
        <v>372</v>
      </c>
      <c r="B7805" s="7" t="s">
        <v>26</v>
      </c>
      <c r="C7805" s="7" t="s">
        <v>27</v>
      </c>
      <c r="D7805" s="7" t="s">
        <v>28</v>
      </c>
      <c r="E7805" s="7" t="s">
        <v>29</v>
      </c>
      <c r="F7805" s="7" t="s">
        <v>181</v>
      </c>
      <c r="G7805" s="7">
        <v>100.503</v>
      </c>
      <c r="H7805" s="7"/>
    </row>
    <row r="7806" spans="1:8" x14ac:dyDescent="0.35">
      <c r="A7806" s="7" t="s">
        <v>372</v>
      </c>
      <c r="B7806" s="7" t="s">
        <v>26</v>
      </c>
      <c r="C7806" s="7" t="s">
        <v>27</v>
      </c>
      <c r="D7806" s="7" t="s">
        <v>28</v>
      </c>
      <c r="E7806" s="7" t="s">
        <v>29</v>
      </c>
      <c r="F7806" s="7" t="s">
        <v>182</v>
      </c>
      <c r="G7806" s="7">
        <v>100.6019</v>
      </c>
      <c r="H7806" s="7"/>
    </row>
    <row r="7807" spans="1:8" x14ac:dyDescent="0.35">
      <c r="A7807" s="7" t="s">
        <v>372</v>
      </c>
      <c r="B7807" s="7" t="s">
        <v>26</v>
      </c>
      <c r="C7807" s="7" t="s">
        <v>27</v>
      </c>
      <c r="D7807" s="7" t="s">
        <v>28</v>
      </c>
      <c r="E7807" s="7" t="s">
        <v>29</v>
      </c>
      <c r="F7807" s="7" t="s">
        <v>183</v>
      </c>
      <c r="G7807" s="7">
        <v>100.6122</v>
      </c>
      <c r="H7807" s="7"/>
    </row>
    <row r="7808" spans="1:8" x14ac:dyDescent="0.35">
      <c r="A7808" s="7" t="s">
        <v>372</v>
      </c>
      <c r="B7808" s="7" t="s">
        <v>26</v>
      </c>
      <c r="C7808" s="7" t="s">
        <v>27</v>
      </c>
      <c r="D7808" s="7" t="s">
        <v>28</v>
      </c>
      <c r="E7808" s="7" t="s">
        <v>29</v>
      </c>
      <c r="F7808" s="7" t="s">
        <v>184</v>
      </c>
      <c r="G7808" s="7">
        <v>100.5595</v>
      </c>
      <c r="H7808" s="7"/>
    </row>
    <row r="7809" spans="1:8" x14ac:dyDescent="0.35">
      <c r="A7809" s="7" t="s">
        <v>372</v>
      </c>
      <c r="B7809" s="7" t="s">
        <v>26</v>
      </c>
      <c r="C7809" s="7" t="s">
        <v>27</v>
      </c>
      <c r="D7809" s="7" t="s">
        <v>28</v>
      </c>
      <c r="E7809" s="7" t="s">
        <v>29</v>
      </c>
      <c r="F7809" s="7" t="s">
        <v>185</v>
      </c>
      <c r="G7809" s="7">
        <v>100.5295</v>
      </c>
      <c r="H7809" s="7"/>
    </row>
    <row r="7810" spans="1:8" x14ac:dyDescent="0.35">
      <c r="A7810" s="7" t="s">
        <v>372</v>
      </c>
      <c r="B7810" s="7" t="s">
        <v>26</v>
      </c>
      <c r="C7810" s="7" t="s">
        <v>27</v>
      </c>
      <c r="D7810" s="7" t="s">
        <v>28</v>
      </c>
      <c r="E7810" s="7" t="s">
        <v>29</v>
      </c>
      <c r="F7810" s="7" t="s">
        <v>186</v>
      </c>
      <c r="G7810" s="7">
        <v>100.56910000000001</v>
      </c>
      <c r="H7810" s="7"/>
    </row>
    <row r="7811" spans="1:8" x14ac:dyDescent="0.35">
      <c r="A7811" s="7" t="s">
        <v>372</v>
      </c>
      <c r="B7811" s="7" t="s">
        <v>26</v>
      </c>
      <c r="C7811" s="7" t="s">
        <v>27</v>
      </c>
      <c r="D7811" s="7" t="s">
        <v>28</v>
      </c>
      <c r="E7811" s="7" t="s">
        <v>29</v>
      </c>
      <c r="F7811" s="7" t="s">
        <v>187</v>
      </c>
      <c r="G7811" s="7">
        <v>100.6262</v>
      </c>
      <c r="H7811" s="7"/>
    </row>
    <row r="7812" spans="1:8" x14ac:dyDescent="0.35">
      <c r="A7812" s="7" t="s">
        <v>372</v>
      </c>
      <c r="B7812" s="7" t="s">
        <v>26</v>
      </c>
      <c r="C7812" s="7" t="s">
        <v>27</v>
      </c>
      <c r="D7812" s="7" t="s">
        <v>28</v>
      </c>
      <c r="E7812" s="7" t="s">
        <v>29</v>
      </c>
      <c r="F7812" s="7" t="s">
        <v>188</v>
      </c>
      <c r="G7812" s="7">
        <v>100.6365</v>
      </c>
      <c r="H7812" s="7"/>
    </row>
    <row r="7813" spans="1:8" x14ac:dyDescent="0.35">
      <c r="A7813" s="7" t="s">
        <v>372</v>
      </c>
      <c r="B7813" s="7" t="s">
        <v>26</v>
      </c>
      <c r="C7813" s="7" t="s">
        <v>27</v>
      </c>
      <c r="D7813" s="7" t="s">
        <v>28</v>
      </c>
      <c r="E7813" s="7" t="s">
        <v>29</v>
      </c>
      <c r="F7813" s="7" t="s">
        <v>189</v>
      </c>
      <c r="G7813" s="7">
        <v>100.54510000000001</v>
      </c>
      <c r="H7813" s="7"/>
    </row>
    <row r="7814" spans="1:8" x14ac:dyDescent="0.35">
      <c r="A7814" s="7" t="s">
        <v>372</v>
      </c>
      <c r="B7814" s="7" t="s">
        <v>26</v>
      </c>
      <c r="C7814" s="7" t="s">
        <v>27</v>
      </c>
      <c r="D7814" s="7" t="s">
        <v>28</v>
      </c>
      <c r="E7814" s="7" t="s">
        <v>29</v>
      </c>
      <c r="F7814" s="7" t="s">
        <v>190</v>
      </c>
      <c r="G7814" s="7">
        <v>100.4066</v>
      </c>
      <c r="H7814" s="7"/>
    </row>
    <row r="7815" spans="1:8" x14ac:dyDescent="0.35">
      <c r="A7815" s="7" t="s">
        <v>372</v>
      </c>
      <c r="B7815" s="7" t="s">
        <v>26</v>
      </c>
      <c r="C7815" s="7" t="s">
        <v>27</v>
      </c>
      <c r="D7815" s="7" t="s">
        <v>28</v>
      </c>
      <c r="E7815" s="7" t="s">
        <v>29</v>
      </c>
      <c r="F7815" s="7" t="s">
        <v>191</v>
      </c>
      <c r="G7815" s="7">
        <v>100.3224</v>
      </c>
      <c r="H7815" s="7"/>
    </row>
    <row r="7816" spans="1:8" x14ac:dyDescent="0.35">
      <c r="A7816" s="7" t="s">
        <v>372</v>
      </c>
      <c r="B7816" s="7" t="s">
        <v>26</v>
      </c>
      <c r="C7816" s="7" t="s">
        <v>27</v>
      </c>
      <c r="D7816" s="7" t="s">
        <v>28</v>
      </c>
      <c r="E7816" s="7" t="s">
        <v>29</v>
      </c>
      <c r="F7816" s="7" t="s">
        <v>192</v>
      </c>
      <c r="G7816" s="7">
        <v>100.35429999999999</v>
      </c>
      <c r="H7816" s="7"/>
    </row>
    <row r="7817" spans="1:8" x14ac:dyDescent="0.35">
      <c r="A7817" s="7" t="s">
        <v>372</v>
      </c>
      <c r="B7817" s="7" t="s">
        <v>26</v>
      </c>
      <c r="C7817" s="7" t="s">
        <v>27</v>
      </c>
      <c r="D7817" s="7" t="s">
        <v>28</v>
      </c>
      <c r="E7817" s="7" t="s">
        <v>29</v>
      </c>
      <c r="F7817" s="7" t="s">
        <v>193</v>
      </c>
      <c r="G7817" s="7">
        <v>100.4709</v>
      </c>
      <c r="H7817" s="7"/>
    </row>
    <row r="7818" spans="1:8" x14ac:dyDescent="0.35">
      <c r="A7818" s="7" t="s">
        <v>372</v>
      </c>
      <c r="B7818" s="7" t="s">
        <v>26</v>
      </c>
      <c r="C7818" s="7" t="s">
        <v>27</v>
      </c>
      <c r="D7818" s="7" t="s">
        <v>28</v>
      </c>
      <c r="E7818" s="7" t="s">
        <v>29</v>
      </c>
      <c r="F7818" s="7" t="s">
        <v>194</v>
      </c>
      <c r="G7818" s="7">
        <v>100.4325</v>
      </c>
      <c r="H7818" s="7"/>
    </row>
    <row r="7819" spans="1:8" x14ac:dyDescent="0.35">
      <c r="A7819" s="7" t="s">
        <v>372</v>
      </c>
      <c r="B7819" s="7" t="s">
        <v>26</v>
      </c>
      <c r="C7819" s="7" t="s">
        <v>27</v>
      </c>
      <c r="D7819" s="7" t="s">
        <v>28</v>
      </c>
      <c r="E7819" s="7" t="s">
        <v>29</v>
      </c>
      <c r="F7819" s="7" t="s">
        <v>195</v>
      </c>
      <c r="G7819" s="7">
        <v>100.145</v>
      </c>
      <c r="H7819" s="7"/>
    </row>
    <row r="7820" spans="1:8" x14ac:dyDescent="0.35">
      <c r="A7820" s="7" t="s">
        <v>372</v>
      </c>
      <c r="B7820" s="7" t="s">
        <v>26</v>
      </c>
      <c r="C7820" s="7" t="s">
        <v>27</v>
      </c>
      <c r="D7820" s="7" t="s">
        <v>28</v>
      </c>
      <c r="E7820" s="7" t="s">
        <v>29</v>
      </c>
      <c r="F7820" s="7" t="s">
        <v>196</v>
      </c>
      <c r="G7820" s="7">
        <v>99.791700000000006</v>
      </c>
      <c r="H7820" s="7"/>
    </row>
    <row r="7821" spans="1:8" x14ac:dyDescent="0.35">
      <c r="A7821" s="7" t="s">
        <v>372</v>
      </c>
      <c r="B7821" s="7" t="s">
        <v>26</v>
      </c>
      <c r="C7821" s="7" t="s">
        <v>27</v>
      </c>
      <c r="D7821" s="7" t="s">
        <v>28</v>
      </c>
      <c r="E7821" s="7" t="s">
        <v>29</v>
      </c>
      <c r="F7821" s="7" t="s">
        <v>197</v>
      </c>
      <c r="G7821" s="7">
        <v>99.712779999999995</v>
      </c>
      <c r="H7821" s="7"/>
    </row>
    <row r="7822" spans="1:8" x14ac:dyDescent="0.35">
      <c r="A7822" s="7" t="s">
        <v>372</v>
      </c>
      <c r="B7822" s="7" t="s">
        <v>26</v>
      </c>
      <c r="C7822" s="7" t="s">
        <v>27</v>
      </c>
      <c r="D7822" s="7" t="s">
        <v>28</v>
      </c>
      <c r="E7822" s="7" t="s">
        <v>29</v>
      </c>
      <c r="F7822" s="7" t="s">
        <v>198</v>
      </c>
      <c r="G7822" s="7">
        <v>99.952759999999998</v>
      </c>
      <c r="H7822" s="7"/>
    </row>
    <row r="7823" spans="1:8" x14ac:dyDescent="0.35">
      <c r="A7823" s="7" t="s">
        <v>372</v>
      </c>
      <c r="B7823" s="7" t="s">
        <v>26</v>
      </c>
      <c r="C7823" s="7" t="s">
        <v>27</v>
      </c>
      <c r="D7823" s="7" t="s">
        <v>28</v>
      </c>
      <c r="E7823" s="7" t="s">
        <v>29</v>
      </c>
      <c r="F7823" s="7" t="s">
        <v>199</v>
      </c>
      <c r="G7823" s="7">
        <v>100.29730000000001</v>
      </c>
      <c r="H7823" s="7"/>
    </row>
    <row r="7824" spans="1:8" x14ac:dyDescent="0.35">
      <c r="A7824" s="7" t="s">
        <v>372</v>
      </c>
      <c r="B7824" s="7" t="s">
        <v>26</v>
      </c>
      <c r="C7824" s="7" t="s">
        <v>27</v>
      </c>
      <c r="D7824" s="7" t="s">
        <v>28</v>
      </c>
      <c r="E7824" s="7" t="s">
        <v>29</v>
      </c>
      <c r="F7824" s="7" t="s">
        <v>200</v>
      </c>
      <c r="G7824" s="7">
        <v>100.4915</v>
      </c>
      <c r="H7824" s="7"/>
    </row>
    <row r="7825" spans="1:8" x14ac:dyDescent="0.35">
      <c r="A7825" s="7" t="s">
        <v>372</v>
      </c>
      <c r="B7825" s="7" t="s">
        <v>26</v>
      </c>
      <c r="C7825" s="7" t="s">
        <v>27</v>
      </c>
      <c r="D7825" s="7" t="s">
        <v>28</v>
      </c>
      <c r="E7825" s="7" t="s">
        <v>29</v>
      </c>
      <c r="F7825" s="7" t="s">
        <v>201</v>
      </c>
      <c r="G7825" s="7">
        <v>100.49209999999999</v>
      </c>
      <c r="H7825" s="7"/>
    </row>
    <row r="7826" spans="1:8" x14ac:dyDescent="0.35">
      <c r="A7826" s="7" t="s">
        <v>372</v>
      </c>
      <c r="B7826" s="7" t="s">
        <v>26</v>
      </c>
      <c r="C7826" s="7" t="s">
        <v>27</v>
      </c>
      <c r="D7826" s="7" t="s">
        <v>28</v>
      </c>
      <c r="E7826" s="7" t="s">
        <v>29</v>
      </c>
      <c r="F7826" s="7" t="s">
        <v>202</v>
      </c>
      <c r="G7826" s="7">
        <v>100.41500000000001</v>
      </c>
      <c r="H7826" s="7"/>
    </row>
    <row r="7827" spans="1:8" x14ac:dyDescent="0.35">
      <c r="A7827" s="7" t="s">
        <v>372</v>
      </c>
      <c r="B7827" s="7" t="s">
        <v>26</v>
      </c>
      <c r="C7827" s="7" t="s">
        <v>27</v>
      </c>
      <c r="D7827" s="7" t="s">
        <v>28</v>
      </c>
      <c r="E7827" s="7" t="s">
        <v>29</v>
      </c>
      <c r="F7827" s="7" t="s">
        <v>203</v>
      </c>
      <c r="G7827" s="7">
        <v>100.306</v>
      </c>
      <c r="H7827" s="7"/>
    </row>
    <row r="7828" spans="1:8" x14ac:dyDescent="0.35">
      <c r="A7828" s="7" t="s">
        <v>372</v>
      </c>
      <c r="B7828" s="7" t="s">
        <v>26</v>
      </c>
      <c r="C7828" s="7" t="s">
        <v>27</v>
      </c>
      <c r="D7828" s="7" t="s">
        <v>28</v>
      </c>
      <c r="E7828" s="7" t="s">
        <v>29</v>
      </c>
      <c r="F7828" s="7" t="s">
        <v>204</v>
      </c>
      <c r="G7828" s="7">
        <v>100.17010000000001</v>
      </c>
      <c r="H7828" s="7"/>
    </row>
    <row r="7829" spans="1:8" x14ac:dyDescent="0.35">
      <c r="A7829" s="7" t="s">
        <v>372</v>
      </c>
      <c r="B7829" s="7" t="s">
        <v>26</v>
      </c>
      <c r="C7829" s="7" t="s">
        <v>27</v>
      </c>
      <c r="D7829" s="7" t="s">
        <v>28</v>
      </c>
      <c r="E7829" s="7" t="s">
        <v>29</v>
      </c>
      <c r="F7829" s="7" t="s">
        <v>205</v>
      </c>
      <c r="G7829" s="7">
        <v>100.1378</v>
      </c>
      <c r="H7829" s="7"/>
    </row>
    <row r="7830" spans="1:8" x14ac:dyDescent="0.35">
      <c r="A7830" s="7" t="s">
        <v>372</v>
      </c>
      <c r="B7830" s="7" t="s">
        <v>26</v>
      </c>
      <c r="C7830" s="7" t="s">
        <v>27</v>
      </c>
      <c r="D7830" s="7" t="s">
        <v>28</v>
      </c>
      <c r="E7830" s="7" t="s">
        <v>29</v>
      </c>
      <c r="F7830" s="7" t="s">
        <v>206</v>
      </c>
      <c r="G7830" s="7">
        <v>100.1439</v>
      </c>
      <c r="H7830" s="7"/>
    </row>
    <row r="7831" spans="1:8" x14ac:dyDescent="0.35">
      <c r="A7831" s="7" t="s">
        <v>372</v>
      </c>
      <c r="B7831" s="7" t="s">
        <v>26</v>
      </c>
      <c r="C7831" s="7" t="s">
        <v>27</v>
      </c>
      <c r="D7831" s="7" t="s">
        <v>28</v>
      </c>
      <c r="E7831" s="7" t="s">
        <v>29</v>
      </c>
      <c r="F7831" s="7" t="s">
        <v>207</v>
      </c>
      <c r="G7831" s="7">
        <v>100.1658</v>
      </c>
      <c r="H7831" s="7"/>
    </row>
    <row r="7832" spans="1:8" x14ac:dyDescent="0.35">
      <c r="A7832" s="7" t="s">
        <v>372</v>
      </c>
      <c r="B7832" s="7" t="s">
        <v>26</v>
      </c>
      <c r="C7832" s="7" t="s">
        <v>27</v>
      </c>
      <c r="D7832" s="7" t="s">
        <v>28</v>
      </c>
      <c r="E7832" s="7" t="s">
        <v>29</v>
      </c>
      <c r="F7832" s="7" t="s">
        <v>208</v>
      </c>
      <c r="G7832" s="7">
        <v>100.313</v>
      </c>
      <c r="H7832" s="7"/>
    </row>
    <row r="7833" spans="1:8" x14ac:dyDescent="0.35">
      <c r="A7833" s="7" t="s">
        <v>372</v>
      </c>
      <c r="B7833" s="7" t="s">
        <v>26</v>
      </c>
      <c r="C7833" s="7" t="s">
        <v>27</v>
      </c>
      <c r="D7833" s="7" t="s">
        <v>28</v>
      </c>
      <c r="E7833" s="7" t="s">
        <v>29</v>
      </c>
      <c r="F7833" s="7" t="s">
        <v>209</v>
      </c>
      <c r="G7833" s="7">
        <v>100.54940000000001</v>
      </c>
      <c r="H7833" s="7"/>
    </row>
    <row r="7834" spans="1:8" x14ac:dyDescent="0.35">
      <c r="A7834" s="7" t="s">
        <v>372</v>
      </c>
      <c r="B7834" s="7" t="s">
        <v>26</v>
      </c>
      <c r="C7834" s="7" t="s">
        <v>27</v>
      </c>
      <c r="D7834" s="7" t="s">
        <v>28</v>
      </c>
      <c r="E7834" s="7" t="s">
        <v>29</v>
      </c>
      <c r="F7834" s="7" t="s">
        <v>210</v>
      </c>
      <c r="G7834" s="7">
        <v>100.7041</v>
      </c>
      <c r="H7834" s="7"/>
    </row>
    <row r="7835" spans="1:8" x14ac:dyDescent="0.35">
      <c r="A7835" s="7" t="s">
        <v>372</v>
      </c>
      <c r="B7835" s="7" t="s">
        <v>26</v>
      </c>
      <c r="C7835" s="7" t="s">
        <v>27</v>
      </c>
      <c r="D7835" s="7" t="s">
        <v>28</v>
      </c>
      <c r="E7835" s="7" t="s">
        <v>29</v>
      </c>
      <c r="F7835" s="7" t="s">
        <v>211</v>
      </c>
      <c r="G7835" s="7">
        <v>100.8005</v>
      </c>
      <c r="H7835" s="7"/>
    </row>
    <row r="7836" spans="1:8" x14ac:dyDescent="0.35">
      <c r="A7836" s="7" t="s">
        <v>372</v>
      </c>
      <c r="B7836" s="7" t="s">
        <v>26</v>
      </c>
      <c r="C7836" s="7" t="s">
        <v>27</v>
      </c>
      <c r="D7836" s="7" t="s">
        <v>28</v>
      </c>
      <c r="E7836" s="7" t="s">
        <v>29</v>
      </c>
      <c r="F7836" s="7" t="s">
        <v>212</v>
      </c>
      <c r="G7836" s="7">
        <v>100.86369999999999</v>
      </c>
      <c r="H7836" s="7"/>
    </row>
    <row r="7837" spans="1:8" x14ac:dyDescent="0.35">
      <c r="A7837" s="7" t="s">
        <v>372</v>
      </c>
      <c r="B7837" s="7" t="s">
        <v>26</v>
      </c>
      <c r="C7837" s="7" t="s">
        <v>27</v>
      </c>
      <c r="D7837" s="7" t="s">
        <v>28</v>
      </c>
      <c r="E7837" s="7" t="s">
        <v>29</v>
      </c>
      <c r="F7837" s="7" t="s">
        <v>213</v>
      </c>
      <c r="G7837" s="7">
        <v>100.7884</v>
      </c>
      <c r="H7837" s="7"/>
    </row>
    <row r="7838" spans="1:8" x14ac:dyDescent="0.35">
      <c r="A7838" s="7" t="s">
        <v>372</v>
      </c>
      <c r="B7838" s="7" t="s">
        <v>26</v>
      </c>
      <c r="C7838" s="7" t="s">
        <v>27</v>
      </c>
      <c r="D7838" s="7" t="s">
        <v>28</v>
      </c>
      <c r="E7838" s="7" t="s">
        <v>29</v>
      </c>
      <c r="F7838" s="7" t="s">
        <v>214</v>
      </c>
      <c r="G7838" s="7">
        <v>100.6688</v>
      </c>
      <c r="H7838" s="7"/>
    </row>
    <row r="7839" spans="1:8" x14ac:dyDescent="0.35">
      <c r="A7839" s="7" t="s">
        <v>372</v>
      </c>
      <c r="B7839" s="7" t="s">
        <v>26</v>
      </c>
      <c r="C7839" s="7" t="s">
        <v>27</v>
      </c>
      <c r="D7839" s="7" t="s">
        <v>28</v>
      </c>
      <c r="E7839" s="7" t="s">
        <v>29</v>
      </c>
      <c r="F7839" s="7" t="s">
        <v>215</v>
      </c>
      <c r="G7839" s="7">
        <v>100.6067</v>
      </c>
      <c r="H7839" s="7"/>
    </row>
    <row r="7840" spans="1:8" x14ac:dyDescent="0.35">
      <c r="A7840" s="7" t="s">
        <v>372</v>
      </c>
      <c r="B7840" s="7" t="s">
        <v>26</v>
      </c>
      <c r="C7840" s="7" t="s">
        <v>27</v>
      </c>
      <c r="D7840" s="7" t="s">
        <v>28</v>
      </c>
      <c r="E7840" s="7" t="s">
        <v>29</v>
      </c>
      <c r="F7840" s="7" t="s">
        <v>216</v>
      </c>
      <c r="G7840" s="7">
        <v>100.601</v>
      </c>
      <c r="H7840" s="7"/>
    </row>
    <row r="7841" spans="1:8" x14ac:dyDescent="0.35">
      <c r="A7841" s="7" t="s">
        <v>372</v>
      </c>
      <c r="B7841" s="7" t="s">
        <v>26</v>
      </c>
      <c r="C7841" s="7" t="s">
        <v>27</v>
      </c>
      <c r="D7841" s="7" t="s">
        <v>28</v>
      </c>
      <c r="E7841" s="7" t="s">
        <v>29</v>
      </c>
      <c r="F7841" s="7" t="s">
        <v>217</v>
      </c>
      <c r="G7841" s="7">
        <v>100.5553</v>
      </c>
      <c r="H7841" s="7"/>
    </row>
    <row r="7842" spans="1:8" x14ac:dyDescent="0.35">
      <c r="A7842" s="7" t="s">
        <v>372</v>
      </c>
      <c r="B7842" s="7" t="s">
        <v>26</v>
      </c>
      <c r="C7842" s="7" t="s">
        <v>27</v>
      </c>
      <c r="D7842" s="7" t="s">
        <v>28</v>
      </c>
      <c r="E7842" s="7" t="s">
        <v>29</v>
      </c>
      <c r="F7842" s="7" t="s">
        <v>218</v>
      </c>
      <c r="G7842" s="7">
        <v>100.49209999999999</v>
      </c>
      <c r="H7842" s="7"/>
    </row>
    <row r="7843" spans="1:8" x14ac:dyDescent="0.35">
      <c r="A7843" s="7" t="s">
        <v>372</v>
      </c>
      <c r="B7843" s="7" t="s">
        <v>26</v>
      </c>
      <c r="C7843" s="7" t="s">
        <v>27</v>
      </c>
      <c r="D7843" s="7" t="s">
        <v>28</v>
      </c>
      <c r="E7843" s="7" t="s">
        <v>29</v>
      </c>
      <c r="F7843" s="7" t="s">
        <v>219</v>
      </c>
      <c r="G7843" s="7">
        <v>100.2978</v>
      </c>
      <c r="H7843" s="7"/>
    </row>
    <row r="7844" spans="1:8" x14ac:dyDescent="0.35">
      <c r="A7844" s="7" t="s">
        <v>372</v>
      </c>
      <c r="B7844" s="7" t="s">
        <v>26</v>
      </c>
      <c r="C7844" s="7" t="s">
        <v>27</v>
      </c>
      <c r="D7844" s="7" t="s">
        <v>28</v>
      </c>
      <c r="E7844" s="7" t="s">
        <v>29</v>
      </c>
      <c r="F7844" s="7" t="s">
        <v>220</v>
      </c>
      <c r="G7844" s="7">
        <v>100.083</v>
      </c>
      <c r="H7844" s="7"/>
    </row>
    <row r="7845" spans="1:8" x14ac:dyDescent="0.35">
      <c r="A7845" s="7" t="s">
        <v>372</v>
      </c>
      <c r="B7845" s="7" t="s">
        <v>26</v>
      </c>
      <c r="C7845" s="7" t="s">
        <v>27</v>
      </c>
      <c r="D7845" s="7" t="s">
        <v>28</v>
      </c>
      <c r="E7845" s="7" t="s">
        <v>29</v>
      </c>
      <c r="F7845" s="7" t="s">
        <v>221</v>
      </c>
      <c r="G7845" s="7">
        <v>99.839969999999994</v>
      </c>
      <c r="H7845" s="7"/>
    </row>
    <row r="7846" spans="1:8" x14ac:dyDescent="0.35">
      <c r="A7846" s="7" t="s">
        <v>372</v>
      </c>
      <c r="B7846" s="7" t="s">
        <v>26</v>
      </c>
      <c r="C7846" s="7" t="s">
        <v>27</v>
      </c>
      <c r="D7846" s="7" t="s">
        <v>28</v>
      </c>
      <c r="E7846" s="7" t="s">
        <v>29</v>
      </c>
      <c r="F7846" s="7" t="s">
        <v>222</v>
      </c>
      <c r="G7846" s="7">
        <v>99.585210000000004</v>
      </c>
      <c r="H7846" s="7"/>
    </row>
    <row r="7847" spans="1:8" x14ac:dyDescent="0.35">
      <c r="A7847" s="7" t="s">
        <v>372</v>
      </c>
      <c r="B7847" s="7" t="s">
        <v>26</v>
      </c>
      <c r="C7847" s="7" t="s">
        <v>27</v>
      </c>
      <c r="D7847" s="7" t="s">
        <v>28</v>
      </c>
      <c r="E7847" s="7" t="s">
        <v>29</v>
      </c>
      <c r="F7847" s="7" t="s">
        <v>223</v>
      </c>
      <c r="G7847" s="7">
        <v>99.399860000000004</v>
      </c>
      <c r="H7847" s="7"/>
    </row>
    <row r="7848" spans="1:8" x14ac:dyDescent="0.35">
      <c r="A7848" s="7" t="s">
        <v>372</v>
      </c>
      <c r="B7848" s="7" t="s">
        <v>26</v>
      </c>
      <c r="C7848" s="7" t="s">
        <v>27</v>
      </c>
      <c r="D7848" s="7" t="s">
        <v>28</v>
      </c>
      <c r="E7848" s="7" t="s">
        <v>29</v>
      </c>
      <c r="F7848" s="7" t="s">
        <v>224</v>
      </c>
      <c r="G7848" s="7">
        <v>99.219080000000005</v>
      </c>
      <c r="H7848" s="7"/>
    </row>
    <row r="7849" spans="1:8" x14ac:dyDescent="0.35">
      <c r="A7849" s="7" t="s">
        <v>372</v>
      </c>
      <c r="B7849" s="7" t="s">
        <v>26</v>
      </c>
      <c r="C7849" s="7" t="s">
        <v>27</v>
      </c>
      <c r="D7849" s="7" t="s">
        <v>28</v>
      </c>
      <c r="E7849" s="7" t="s">
        <v>29</v>
      </c>
      <c r="F7849" s="7" t="s">
        <v>225</v>
      </c>
      <c r="G7849" s="7">
        <v>98.928730000000002</v>
      </c>
      <c r="H7849" s="7"/>
    </row>
    <row r="7850" spans="1:8" x14ac:dyDescent="0.35">
      <c r="A7850" s="7" t="s">
        <v>372</v>
      </c>
      <c r="B7850" s="7" t="s">
        <v>26</v>
      </c>
      <c r="C7850" s="7" t="s">
        <v>27</v>
      </c>
      <c r="D7850" s="7" t="s">
        <v>28</v>
      </c>
      <c r="E7850" s="7" t="s">
        <v>29</v>
      </c>
      <c r="F7850" s="7" t="s">
        <v>226</v>
      </c>
      <c r="G7850" s="7">
        <v>98.611249999999998</v>
      </c>
      <c r="H7850" s="7"/>
    </row>
    <row r="7851" spans="1:8" x14ac:dyDescent="0.35">
      <c r="A7851" s="7" t="s">
        <v>372</v>
      </c>
      <c r="B7851" s="7" t="s">
        <v>26</v>
      </c>
      <c r="C7851" s="7" t="s">
        <v>27</v>
      </c>
      <c r="D7851" s="7" t="s">
        <v>28</v>
      </c>
      <c r="E7851" s="7" t="s">
        <v>29</v>
      </c>
      <c r="F7851" s="7" t="s">
        <v>227</v>
      </c>
      <c r="G7851" s="7">
        <v>98.258380000000002</v>
      </c>
      <c r="H7851" s="7"/>
    </row>
    <row r="7852" spans="1:8" x14ac:dyDescent="0.35">
      <c r="A7852" s="7" t="s">
        <v>372</v>
      </c>
      <c r="B7852" s="7" t="s">
        <v>26</v>
      </c>
      <c r="C7852" s="7" t="s">
        <v>27</v>
      </c>
      <c r="D7852" s="7" t="s">
        <v>28</v>
      </c>
      <c r="E7852" s="7" t="s">
        <v>29</v>
      </c>
      <c r="F7852" s="7" t="s">
        <v>228</v>
      </c>
      <c r="G7852" s="7">
        <v>97.946669999999997</v>
      </c>
      <c r="H7852" s="7"/>
    </row>
    <row r="7853" spans="1:8" x14ac:dyDescent="0.35">
      <c r="A7853" s="7" t="s">
        <v>372</v>
      </c>
      <c r="B7853" s="7" t="s">
        <v>26</v>
      </c>
      <c r="C7853" s="7" t="s">
        <v>27</v>
      </c>
      <c r="D7853" s="7" t="s">
        <v>28</v>
      </c>
      <c r="E7853" s="7" t="s">
        <v>29</v>
      </c>
      <c r="F7853" s="7" t="s">
        <v>229</v>
      </c>
      <c r="G7853" s="7">
        <v>97.732740000000007</v>
      </c>
      <c r="H7853" s="7"/>
    </row>
    <row r="7854" spans="1:8" x14ac:dyDescent="0.35">
      <c r="A7854" s="7" t="s">
        <v>372</v>
      </c>
      <c r="B7854" s="7" t="s">
        <v>26</v>
      </c>
      <c r="C7854" s="7" t="s">
        <v>27</v>
      </c>
      <c r="D7854" s="7" t="s">
        <v>28</v>
      </c>
      <c r="E7854" s="7" t="s">
        <v>29</v>
      </c>
      <c r="F7854" s="7" t="s">
        <v>230</v>
      </c>
      <c r="G7854" s="7">
        <v>97.679590000000005</v>
      </c>
      <c r="H7854" s="7"/>
    </row>
    <row r="7855" spans="1:8" x14ac:dyDescent="0.35">
      <c r="A7855" s="7" t="s">
        <v>372</v>
      </c>
      <c r="B7855" s="7" t="s">
        <v>26</v>
      </c>
      <c r="C7855" s="7" t="s">
        <v>27</v>
      </c>
      <c r="D7855" s="7" t="s">
        <v>28</v>
      </c>
      <c r="E7855" s="7" t="s">
        <v>29</v>
      </c>
      <c r="F7855" s="7" t="s">
        <v>231</v>
      </c>
      <c r="G7855" s="7">
        <v>97.712230000000005</v>
      </c>
      <c r="H7855" s="7"/>
    </row>
    <row r="7856" spans="1:8" x14ac:dyDescent="0.35">
      <c r="A7856" s="7" t="s">
        <v>372</v>
      </c>
      <c r="B7856" s="7" t="s">
        <v>26</v>
      </c>
      <c r="C7856" s="7" t="s">
        <v>27</v>
      </c>
      <c r="D7856" s="7" t="s">
        <v>28</v>
      </c>
      <c r="E7856" s="7" t="s">
        <v>29</v>
      </c>
      <c r="F7856" s="7" t="s">
        <v>232</v>
      </c>
      <c r="G7856" s="7">
        <v>97.680850000000007</v>
      </c>
      <c r="H7856" s="7"/>
    </row>
    <row r="7857" spans="1:8" x14ac:dyDescent="0.35">
      <c r="A7857" s="7" t="s">
        <v>372</v>
      </c>
      <c r="B7857" s="7" t="s">
        <v>26</v>
      </c>
      <c r="C7857" s="7" t="s">
        <v>27</v>
      </c>
      <c r="D7857" s="7" t="s">
        <v>28</v>
      </c>
      <c r="E7857" s="7" t="s">
        <v>29</v>
      </c>
      <c r="F7857" s="7" t="s">
        <v>233</v>
      </c>
      <c r="G7857" s="7">
        <v>97.376199999999997</v>
      </c>
      <c r="H7857" s="7"/>
    </row>
    <row r="7858" spans="1:8" x14ac:dyDescent="0.35">
      <c r="A7858" s="7" t="s">
        <v>372</v>
      </c>
      <c r="B7858" s="7" t="s">
        <v>26</v>
      </c>
      <c r="C7858" s="7" t="s">
        <v>27</v>
      </c>
      <c r="D7858" s="7" t="s">
        <v>28</v>
      </c>
      <c r="E7858" s="7" t="s">
        <v>29</v>
      </c>
      <c r="F7858" s="7" t="s">
        <v>234</v>
      </c>
      <c r="G7858" s="7">
        <v>97.089389999999995</v>
      </c>
      <c r="H7858" s="7"/>
    </row>
    <row r="7859" spans="1:8" x14ac:dyDescent="0.35">
      <c r="A7859" s="7" t="s">
        <v>372</v>
      </c>
      <c r="B7859" s="7" t="s">
        <v>26</v>
      </c>
      <c r="C7859" s="7" t="s">
        <v>27</v>
      </c>
      <c r="D7859" s="7" t="s">
        <v>28</v>
      </c>
      <c r="E7859" s="7" t="s">
        <v>29</v>
      </c>
      <c r="F7859" s="7" t="s">
        <v>235</v>
      </c>
      <c r="G7859" s="7">
        <v>96.91798</v>
      </c>
      <c r="H7859" s="7"/>
    </row>
    <row r="7860" spans="1:8" x14ac:dyDescent="0.35">
      <c r="A7860" s="7" t="s">
        <v>372</v>
      </c>
      <c r="B7860" s="7" t="s">
        <v>26</v>
      </c>
      <c r="C7860" s="7" t="s">
        <v>27</v>
      </c>
      <c r="D7860" s="7" t="s">
        <v>28</v>
      </c>
      <c r="E7860" s="7" t="s">
        <v>29</v>
      </c>
      <c r="F7860" s="7" t="s">
        <v>236</v>
      </c>
      <c r="G7860" s="7">
        <v>96.813779999999994</v>
      </c>
      <c r="H7860" s="7"/>
    </row>
    <row r="7861" spans="1:8" x14ac:dyDescent="0.35">
      <c r="A7861" s="7" t="s">
        <v>372</v>
      </c>
      <c r="B7861" s="7" t="s">
        <v>26</v>
      </c>
      <c r="C7861" s="7" t="s">
        <v>27</v>
      </c>
      <c r="D7861" s="7" t="s">
        <v>28</v>
      </c>
      <c r="E7861" s="7" t="s">
        <v>29</v>
      </c>
      <c r="F7861" s="7" t="s">
        <v>237</v>
      </c>
      <c r="G7861" s="7">
        <v>96.782259999999994</v>
      </c>
      <c r="H7861" s="7"/>
    </row>
    <row r="7862" spans="1:8" x14ac:dyDescent="0.35">
      <c r="A7862" s="7" t="s">
        <v>372</v>
      </c>
      <c r="B7862" s="7" t="s">
        <v>26</v>
      </c>
      <c r="C7862" s="7" t="s">
        <v>27</v>
      </c>
      <c r="D7862" s="7" t="s">
        <v>28</v>
      </c>
      <c r="E7862" s="7" t="s">
        <v>29</v>
      </c>
      <c r="F7862" s="7" t="s">
        <v>238</v>
      </c>
      <c r="G7862" s="7">
        <v>96.965249999999997</v>
      </c>
      <c r="H7862" s="7"/>
    </row>
    <row r="7863" spans="1:8" x14ac:dyDescent="0.35">
      <c r="A7863" s="7" t="s">
        <v>372</v>
      </c>
      <c r="B7863" s="7" t="s">
        <v>26</v>
      </c>
      <c r="C7863" s="7" t="s">
        <v>27</v>
      </c>
      <c r="D7863" s="7" t="s">
        <v>28</v>
      </c>
      <c r="E7863" s="7" t="s">
        <v>29</v>
      </c>
      <c r="F7863" s="7" t="s">
        <v>239</v>
      </c>
      <c r="G7863" s="7">
        <v>97.370289999999997</v>
      </c>
      <c r="H7863" s="7"/>
    </row>
    <row r="7864" spans="1:8" x14ac:dyDescent="0.35">
      <c r="A7864" s="7" t="s">
        <v>372</v>
      </c>
      <c r="B7864" s="7" t="s">
        <v>26</v>
      </c>
      <c r="C7864" s="7" t="s">
        <v>27</v>
      </c>
      <c r="D7864" s="7" t="s">
        <v>28</v>
      </c>
      <c r="E7864" s="7" t="s">
        <v>29</v>
      </c>
      <c r="F7864" s="7" t="s">
        <v>240</v>
      </c>
      <c r="G7864" s="7">
        <v>97.76464</v>
      </c>
      <c r="H7864" s="7"/>
    </row>
    <row r="7865" spans="1:8" x14ac:dyDescent="0.35">
      <c r="A7865" s="7" t="s">
        <v>372</v>
      </c>
      <c r="B7865" s="7" t="s">
        <v>26</v>
      </c>
      <c r="C7865" s="7" t="s">
        <v>27</v>
      </c>
      <c r="D7865" s="7" t="s">
        <v>28</v>
      </c>
      <c r="E7865" s="7" t="s">
        <v>29</v>
      </c>
      <c r="F7865" s="7" t="s">
        <v>241</v>
      </c>
      <c r="G7865" s="7">
        <v>98.049499999999995</v>
      </c>
      <c r="H7865" s="7"/>
    </row>
    <row r="7866" spans="1:8" x14ac:dyDescent="0.35">
      <c r="A7866" s="7" t="s">
        <v>372</v>
      </c>
      <c r="B7866" s="7" t="s">
        <v>26</v>
      </c>
      <c r="C7866" s="7" t="s">
        <v>27</v>
      </c>
      <c r="D7866" s="7" t="s">
        <v>28</v>
      </c>
      <c r="E7866" s="7" t="s">
        <v>29</v>
      </c>
      <c r="F7866" s="7" t="s">
        <v>242</v>
      </c>
      <c r="G7866" s="7">
        <v>98.211079999999995</v>
      </c>
      <c r="H7866" s="7"/>
    </row>
    <row r="7867" spans="1:8" x14ac:dyDescent="0.35">
      <c r="A7867" s="7" t="s">
        <v>372</v>
      </c>
      <c r="B7867" s="7" t="s">
        <v>26</v>
      </c>
      <c r="C7867" s="7" t="s">
        <v>27</v>
      </c>
      <c r="D7867" s="7" t="s">
        <v>28</v>
      </c>
      <c r="E7867" s="7" t="s">
        <v>29</v>
      </c>
      <c r="F7867" s="7" t="s">
        <v>243</v>
      </c>
      <c r="G7867" s="7">
        <v>98.379390000000001</v>
      </c>
      <c r="H7867" s="7"/>
    </row>
    <row r="7868" spans="1:8" x14ac:dyDescent="0.35">
      <c r="A7868" s="7" t="s">
        <v>372</v>
      </c>
      <c r="B7868" s="7" t="s">
        <v>26</v>
      </c>
      <c r="C7868" s="7" t="s">
        <v>27</v>
      </c>
      <c r="D7868" s="7" t="s">
        <v>28</v>
      </c>
      <c r="E7868" s="7" t="s">
        <v>29</v>
      </c>
      <c r="F7868" s="7" t="s">
        <v>244</v>
      </c>
      <c r="G7868" s="7">
        <v>98.5946</v>
      </c>
      <c r="H7868" s="7"/>
    </row>
    <row r="7869" spans="1:8" x14ac:dyDescent="0.35">
      <c r="A7869" s="7" t="s">
        <v>372</v>
      </c>
      <c r="B7869" s="7" t="s">
        <v>26</v>
      </c>
      <c r="C7869" s="7" t="s">
        <v>27</v>
      </c>
      <c r="D7869" s="7" t="s">
        <v>28</v>
      </c>
      <c r="E7869" s="7" t="s">
        <v>29</v>
      </c>
      <c r="F7869" s="7" t="s">
        <v>245</v>
      </c>
      <c r="G7869" s="7">
        <v>98.689030000000002</v>
      </c>
      <c r="H7869" s="7"/>
    </row>
    <row r="7870" spans="1:8" x14ac:dyDescent="0.35">
      <c r="A7870" s="7" t="s">
        <v>372</v>
      </c>
      <c r="B7870" s="7" t="s">
        <v>26</v>
      </c>
      <c r="C7870" s="7" t="s">
        <v>27</v>
      </c>
      <c r="D7870" s="7" t="s">
        <v>28</v>
      </c>
      <c r="E7870" s="7" t="s">
        <v>29</v>
      </c>
      <c r="F7870" s="7" t="s">
        <v>246</v>
      </c>
      <c r="G7870" s="7">
        <v>98.731009999999998</v>
      </c>
      <c r="H7870" s="7"/>
    </row>
    <row r="7871" spans="1:8" x14ac:dyDescent="0.35">
      <c r="A7871" s="7" t="s">
        <v>372</v>
      </c>
      <c r="B7871" s="7" t="s">
        <v>26</v>
      </c>
      <c r="C7871" s="7" t="s">
        <v>27</v>
      </c>
      <c r="D7871" s="7" t="s">
        <v>28</v>
      </c>
      <c r="E7871" s="7" t="s">
        <v>29</v>
      </c>
      <c r="F7871" s="7" t="s">
        <v>247</v>
      </c>
      <c r="G7871" s="7">
        <v>98.837199999999996</v>
      </c>
      <c r="H7871" s="7"/>
    </row>
    <row r="7872" spans="1:8" x14ac:dyDescent="0.35">
      <c r="A7872" s="7" t="s">
        <v>372</v>
      </c>
      <c r="B7872" s="7" t="s">
        <v>26</v>
      </c>
      <c r="C7872" s="7" t="s">
        <v>27</v>
      </c>
      <c r="D7872" s="7" t="s">
        <v>28</v>
      </c>
      <c r="E7872" s="7" t="s">
        <v>29</v>
      </c>
      <c r="F7872" s="7" t="s">
        <v>248</v>
      </c>
      <c r="G7872" s="7">
        <v>98.947580000000002</v>
      </c>
      <c r="H7872" s="7"/>
    </row>
    <row r="7873" spans="1:8" x14ac:dyDescent="0.35">
      <c r="A7873" s="7" t="s">
        <v>372</v>
      </c>
      <c r="B7873" s="7" t="s">
        <v>26</v>
      </c>
      <c r="C7873" s="7" t="s">
        <v>27</v>
      </c>
      <c r="D7873" s="7" t="s">
        <v>28</v>
      </c>
      <c r="E7873" s="7" t="s">
        <v>29</v>
      </c>
      <c r="F7873" s="7" t="s">
        <v>249</v>
      </c>
      <c r="G7873" s="7">
        <v>99.008189999999999</v>
      </c>
      <c r="H7873" s="7"/>
    </row>
    <row r="7874" spans="1:8" x14ac:dyDescent="0.35">
      <c r="A7874" s="7" t="s">
        <v>372</v>
      </c>
      <c r="B7874" s="7" t="s">
        <v>26</v>
      </c>
      <c r="C7874" s="7" t="s">
        <v>27</v>
      </c>
      <c r="D7874" s="7" t="s">
        <v>28</v>
      </c>
      <c r="E7874" s="7" t="s">
        <v>29</v>
      </c>
      <c r="F7874" s="7" t="s">
        <v>250</v>
      </c>
      <c r="G7874" s="7">
        <v>99.044600000000003</v>
      </c>
      <c r="H7874" s="7"/>
    </row>
    <row r="7875" spans="1:8" x14ac:dyDescent="0.35">
      <c r="A7875" s="7" t="s">
        <v>372</v>
      </c>
      <c r="B7875" s="7" t="s">
        <v>26</v>
      </c>
      <c r="C7875" s="7" t="s">
        <v>27</v>
      </c>
      <c r="D7875" s="7" t="s">
        <v>28</v>
      </c>
      <c r="E7875" s="7" t="s">
        <v>29</v>
      </c>
      <c r="F7875" s="7" t="s">
        <v>251</v>
      </c>
      <c r="G7875" s="7">
        <v>99.062970000000007</v>
      </c>
      <c r="H7875" s="7"/>
    </row>
    <row r="7876" spans="1:8" x14ac:dyDescent="0.35">
      <c r="A7876" s="7" t="s">
        <v>372</v>
      </c>
      <c r="B7876" s="7" t="s">
        <v>26</v>
      </c>
      <c r="C7876" s="7" t="s">
        <v>27</v>
      </c>
      <c r="D7876" s="7" t="s">
        <v>28</v>
      </c>
      <c r="E7876" s="7" t="s">
        <v>29</v>
      </c>
      <c r="F7876" s="7" t="s">
        <v>252</v>
      </c>
      <c r="G7876" s="7">
        <v>99.056799999999996</v>
      </c>
      <c r="H7876" s="7"/>
    </row>
    <row r="7877" spans="1:8" x14ac:dyDescent="0.35">
      <c r="A7877" s="7" t="s">
        <v>372</v>
      </c>
      <c r="B7877" s="7" t="s">
        <v>26</v>
      </c>
      <c r="C7877" s="7" t="s">
        <v>27</v>
      </c>
      <c r="D7877" s="7" t="s">
        <v>28</v>
      </c>
      <c r="E7877" s="7" t="s">
        <v>29</v>
      </c>
      <c r="F7877" s="7" t="s">
        <v>253</v>
      </c>
      <c r="G7877" s="7">
        <v>99.024389999999997</v>
      </c>
      <c r="H7877" s="7"/>
    </row>
    <row r="7878" spans="1:8" x14ac:dyDescent="0.35">
      <c r="A7878" s="7" t="s">
        <v>372</v>
      </c>
      <c r="B7878" s="7" t="s">
        <v>26</v>
      </c>
      <c r="C7878" s="7" t="s">
        <v>27</v>
      </c>
      <c r="D7878" s="7" t="s">
        <v>28</v>
      </c>
      <c r="E7878" s="7" t="s">
        <v>29</v>
      </c>
      <c r="F7878" s="7" t="s">
        <v>254</v>
      </c>
      <c r="G7878" s="7">
        <v>98.927480000000003</v>
      </c>
      <c r="H7878" s="7"/>
    </row>
    <row r="7879" spans="1:8" x14ac:dyDescent="0.35">
      <c r="A7879" s="7" t="s">
        <v>372</v>
      </c>
      <c r="B7879" s="7" t="s">
        <v>26</v>
      </c>
      <c r="C7879" s="7" t="s">
        <v>27</v>
      </c>
      <c r="D7879" s="7" t="s">
        <v>28</v>
      </c>
      <c r="E7879" s="7" t="s">
        <v>29</v>
      </c>
      <c r="F7879" s="7" t="s">
        <v>255</v>
      </c>
      <c r="G7879" s="7">
        <v>98.888289999999998</v>
      </c>
      <c r="H7879" s="7"/>
    </row>
    <row r="7880" spans="1:8" x14ac:dyDescent="0.35">
      <c r="A7880" s="7" t="s">
        <v>372</v>
      </c>
      <c r="B7880" s="7" t="s">
        <v>26</v>
      </c>
      <c r="C7880" s="7" t="s">
        <v>27</v>
      </c>
      <c r="D7880" s="7" t="s">
        <v>28</v>
      </c>
      <c r="E7880" s="7" t="s">
        <v>29</v>
      </c>
      <c r="F7880" s="7" t="s">
        <v>256</v>
      </c>
      <c r="G7880" s="7">
        <v>98.888660000000002</v>
      </c>
      <c r="H7880" s="7"/>
    </row>
    <row r="7881" spans="1:8" x14ac:dyDescent="0.35">
      <c r="A7881" s="7" t="s">
        <v>372</v>
      </c>
      <c r="B7881" s="7" t="s">
        <v>26</v>
      </c>
      <c r="C7881" s="7" t="s">
        <v>27</v>
      </c>
      <c r="D7881" s="7" t="s">
        <v>28</v>
      </c>
      <c r="E7881" s="7" t="s">
        <v>29</v>
      </c>
      <c r="F7881" s="7" t="s">
        <v>257</v>
      </c>
      <c r="G7881" s="7">
        <v>98.967290000000006</v>
      </c>
      <c r="H7881" s="7"/>
    </row>
    <row r="7882" spans="1:8" x14ac:dyDescent="0.35">
      <c r="A7882" s="7" t="s">
        <v>372</v>
      </c>
      <c r="B7882" s="7" t="s">
        <v>26</v>
      </c>
      <c r="C7882" s="7" t="s">
        <v>27</v>
      </c>
      <c r="D7882" s="7" t="s">
        <v>28</v>
      </c>
      <c r="E7882" s="7" t="s">
        <v>29</v>
      </c>
      <c r="F7882" s="7" t="s">
        <v>258</v>
      </c>
      <c r="G7882" s="7">
        <v>99.11936</v>
      </c>
      <c r="H7882" s="7"/>
    </row>
    <row r="7883" spans="1:8" x14ac:dyDescent="0.35">
      <c r="A7883" s="7" t="s">
        <v>372</v>
      </c>
      <c r="B7883" s="7" t="s">
        <v>26</v>
      </c>
      <c r="C7883" s="7" t="s">
        <v>27</v>
      </c>
      <c r="D7883" s="7" t="s">
        <v>28</v>
      </c>
      <c r="E7883" s="7" t="s">
        <v>29</v>
      </c>
      <c r="F7883" s="7" t="s">
        <v>259</v>
      </c>
      <c r="G7883" s="7">
        <v>99.231780000000001</v>
      </c>
      <c r="H7883" s="7"/>
    </row>
    <row r="7884" spans="1:8" x14ac:dyDescent="0.35">
      <c r="A7884" s="7" t="s">
        <v>372</v>
      </c>
      <c r="B7884" s="7" t="s">
        <v>26</v>
      </c>
      <c r="C7884" s="7" t="s">
        <v>27</v>
      </c>
      <c r="D7884" s="7" t="s">
        <v>28</v>
      </c>
      <c r="E7884" s="7" t="s">
        <v>29</v>
      </c>
      <c r="F7884" s="7" t="s">
        <v>260</v>
      </c>
      <c r="G7884" s="7">
        <v>99.231340000000003</v>
      </c>
      <c r="H7884" s="7"/>
    </row>
    <row r="7885" spans="1:8" x14ac:dyDescent="0.35">
      <c r="A7885" s="7" t="s">
        <v>372</v>
      </c>
      <c r="B7885" s="7" t="s">
        <v>26</v>
      </c>
      <c r="C7885" s="7" t="s">
        <v>27</v>
      </c>
      <c r="D7885" s="7" t="s">
        <v>28</v>
      </c>
      <c r="E7885" s="7" t="s">
        <v>29</v>
      </c>
      <c r="F7885" s="7" t="s">
        <v>261</v>
      </c>
      <c r="G7885" s="7">
        <v>99.125330000000005</v>
      </c>
      <c r="H7885" s="7"/>
    </row>
    <row r="7886" spans="1:8" x14ac:dyDescent="0.35">
      <c r="A7886" s="7" t="s">
        <v>372</v>
      </c>
      <c r="B7886" s="7" t="s">
        <v>26</v>
      </c>
      <c r="C7886" s="7" t="s">
        <v>27</v>
      </c>
      <c r="D7886" s="7" t="s">
        <v>28</v>
      </c>
      <c r="E7886" s="7" t="s">
        <v>29</v>
      </c>
      <c r="F7886" s="7" t="s">
        <v>262</v>
      </c>
      <c r="G7886" s="7">
        <v>98.903720000000007</v>
      </c>
      <c r="H7886" s="7"/>
    </row>
    <row r="7887" spans="1:8" x14ac:dyDescent="0.35">
      <c r="A7887" s="7" t="s">
        <v>372</v>
      </c>
      <c r="B7887" s="7" t="s">
        <v>26</v>
      </c>
      <c r="C7887" s="7" t="s">
        <v>27</v>
      </c>
      <c r="D7887" s="7" t="s">
        <v>28</v>
      </c>
      <c r="E7887" s="7" t="s">
        <v>29</v>
      </c>
      <c r="F7887" s="7" t="s">
        <v>263</v>
      </c>
      <c r="G7887" s="7">
        <v>98.794510000000002</v>
      </c>
      <c r="H7887" s="7"/>
    </row>
    <row r="7888" spans="1:8" x14ac:dyDescent="0.35">
      <c r="A7888" s="7" t="s">
        <v>372</v>
      </c>
      <c r="B7888" s="7" t="s">
        <v>26</v>
      </c>
      <c r="C7888" s="7" t="s">
        <v>27</v>
      </c>
      <c r="D7888" s="7" t="s">
        <v>28</v>
      </c>
      <c r="E7888" s="7" t="s">
        <v>29</v>
      </c>
      <c r="F7888" s="7" t="s">
        <v>264</v>
      </c>
      <c r="G7888" s="7">
        <v>98.797479999999993</v>
      </c>
      <c r="H7888" s="7"/>
    </row>
    <row r="7889" spans="1:8" x14ac:dyDescent="0.35">
      <c r="A7889" s="7" t="s">
        <v>372</v>
      </c>
      <c r="B7889" s="7" t="s">
        <v>26</v>
      </c>
      <c r="C7889" s="7" t="s">
        <v>27</v>
      </c>
      <c r="D7889" s="7" t="s">
        <v>28</v>
      </c>
      <c r="E7889" s="7" t="s">
        <v>29</v>
      </c>
      <c r="F7889" s="7" t="s">
        <v>265</v>
      </c>
      <c r="G7889" s="7">
        <v>98.653769999999994</v>
      </c>
      <c r="H7889" s="7"/>
    </row>
    <row r="7890" spans="1:8" x14ac:dyDescent="0.35">
      <c r="A7890" s="7" t="s">
        <v>372</v>
      </c>
      <c r="B7890" s="7" t="s">
        <v>26</v>
      </c>
      <c r="C7890" s="7" t="s">
        <v>27</v>
      </c>
      <c r="D7890" s="7" t="s">
        <v>28</v>
      </c>
      <c r="E7890" s="7" t="s">
        <v>29</v>
      </c>
      <c r="F7890" s="7" t="s">
        <v>266</v>
      </c>
      <c r="G7890" s="7">
        <v>98.320319999999995</v>
      </c>
      <c r="H7890" s="7"/>
    </row>
    <row r="7891" spans="1:8" x14ac:dyDescent="0.35">
      <c r="A7891" s="7" t="s">
        <v>372</v>
      </c>
      <c r="B7891" s="7" t="s">
        <v>26</v>
      </c>
      <c r="C7891" s="7" t="s">
        <v>27</v>
      </c>
      <c r="D7891" s="7" t="s">
        <v>28</v>
      </c>
      <c r="E7891" s="7" t="s">
        <v>29</v>
      </c>
      <c r="F7891" s="7" t="s">
        <v>267</v>
      </c>
      <c r="G7891" s="7">
        <v>97.975560000000002</v>
      </c>
      <c r="H7891" s="7"/>
    </row>
    <row r="7892" spans="1:8" x14ac:dyDescent="0.35">
      <c r="A7892" s="7" t="s">
        <v>372</v>
      </c>
      <c r="B7892" s="7" t="s">
        <v>26</v>
      </c>
      <c r="C7892" s="7" t="s">
        <v>27</v>
      </c>
      <c r="D7892" s="7" t="s">
        <v>28</v>
      </c>
      <c r="E7892" s="7" t="s">
        <v>29</v>
      </c>
      <c r="F7892" s="7" t="s">
        <v>268</v>
      </c>
      <c r="G7892" s="7">
        <v>97.86354</v>
      </c>
      <c r="H7892" s="7"/>
    </row>
    <row r="7893" spans="1:8" x14ac:dyDescent="0.35">
      <c r="A7893" s="7" t="s">
        <v>372</v>
      </c>
      <c r="B7893" s="7" t="s">
        <v>26</v>
      </c>
      <c r="C7893" s="7" t="s">
        <v>27</v>
      </c>
      <c r="D7893" s="7" t="s">
        <v>28</v>
      </c>
      <c r="E7893" s="7" t="s">
        <v>29</v>
      </c>
      <c r="F7893" s="7" t="s">
        <v>269</v>
      </c>
      <c r="G7893" s="7">
        <v>97.93871</v>
      </c>
      <c r="H7893" s="7"/>
    </row>
    <row r="7894" spans="1:8" x14ac:dyDescent="0.35">
      <c r="A7894" s="7" t="s">
        <v>372</v>
      </c>
      <c r="B7894" s="7" t="s">
        <v>26</v>
      </c>
      <c r="C7894" s="7" t="s">
        <v>27</v>
      </c>
      <c r="D7894" s="7" t="s">
        <v>28</v>
      </c>
      <c r="E7894" s="7" t="s">
        <v>29</v>
      </c>
      <c r="F7894" s="7" t="s">
        <v>270</v>
      </c>
      <c r="G7894" s="7">
        <v>98.155320000000003</v>
      </c>
      <c r="H7894" s="7"/>
    </row>
    <row r="7895" spans="1:8" x14ac:dyDescent="0.35">
      <c r="A7895" s="7" t="s">
        <v>372</v>
      </c>
      <c r="B7895" s="7" t="s">
        <v>26</v>
      </c>
      <c r="C7895" s="7" t="s">
        <v>27</v>
      </c>
      <c r="D7895" s="7" t="s">
        <v>28</v>
      </c>
      <c r="E7895" s="7" t="s">
        <v>29</v>
      </c>
      <c r="F7895" s="7" t="s">
        <v>271</v>
      </c>
      <c r="G7895" s="7">
        <v>98.453329999999994</v>
      </c>
      <c r="H7895" s="7"/>
    </row>
    <row r="7896" spans="1:8" x14ac:dyDescent="0.35">
      <c r="A7896" s="7" t="s">
        <v>372</v>
      </c>
      <c r="B7896" s="7" t="s">
        <v>26</v>
      </c>
      <c r="C7896" s="7" t="s">
        <v>27</v>
      </c>
      <c r="D7896" s="7" t="s">
        <v>28</v>
      </c>
      <c r="E7896" s="7" t="s">
        <v>29</v>
      </c>
      <c r="F7896" s="7" t="s">
        <v>272</v>
      </c>
      <c r="G7896" s="7">
        <v>98.744730000000004</v>
      </c>
      <c r="H7896" s="7"/>
    </row>
    <row r="7897" spans="1:8" x14ac:dyDescent="0.35">
      <c r="A7897" s="7" t="s">
        <v>372</v>
      </c>
      <c r="B7897" s="7" t="s">
        <v>26</v>
      </c>
      <c r="C7897" s="7" t="s">
        <v>27</v>
      </c>
      <c r="D7897" s="7" t="s">
        <v>28</v>
      </c>
      <c r="E7897" s="7" t="s">
        <v>29</v>
      </c>
      <c r="F7897" s="7" t="s">
        <v>273</v>
      </c>
      <c r="G7897" s="7">
        <v>98.928759999999997</v>
      </c>
      <c r="H7897" s="7"/>
    </row>
    <row r="7898" spans="1:8" x14ac:dyDescent="0.35">
      <c r="A7898" s="7" t="s">
        <v>372</v>
      </c>
      <c r="B7898" s="7" t="s">
        <v>26</v>
      </c>
      <c r="C7898" s="7" t="s">
        <v>27</v>
      </c>
      <c r="D7898" s="7" t="s">
        <v>28</v>
      </c>
      <c r="E7898" s="7" t="s">
        <v>29</v>
      </c>
      <c r="F7898" s="7" t="s">
        <v>274</v>
      </c>
      <c r="G7898" s="7">
        <v>99.013369999999995</v>
      </c>
      <c r="H7898" s="7"/>
    </row>
    <row r="7899" spans="1:8" x14ac:dyDescent="0.35">
      <c r="A7899" s="7" t="s">
        <v>372</v>
      </c>
      <c r="B7899" s="7" t="s">
        <v>26</v>
      </c>
      <c r="C7899" s="7" t="s">
        <v>27</v>
      </c>
      <c r="D7899" s="7" t="s">
        <v>28</v>
      </c>
      <c r="E7899" s="7" t="s">
        <v>29</v>
      </c>
      <c r="F7899" s="7" t="s">
        <v>275</v>
      </c>
      <c r="G7899" s="7">
        <v>99.016720000000007</v>
      </c>
      <c r="H7899" s="7"/>
    </row>
    <row r="7900" spans="1:8" x14ac:dyDescent="0.35">
      <c r="A7900" s="7" t="s">
        <v>372</v>
      </c>
      <c r="B7900" s="7" t="s">
        <v>26</v>
      </c>
      <c r="C7900" s="7" t="s">
        <v>27</v>
      </c>
      <c r="D7900" s="7" t="s">
        <v>28</v>
      </c>
      <c r="E7900" s="7" t="s">
        <v>29</v>
      </c>
      <c r="F7900" s="7" t="s">
        <v>276</v>
      </c>
      <c r="G7900" s="7">
        <v>98.979129999999998</v>
      </c>
      <c r="H7900" s="7"/>
    </row>
    <row r="7901" spans="1:8" x14ac:dyDescent="0.35">
      <c r="A7901" s="7" t="s">
        <v>372</v>
      </c>
      <c r="B7901" s="7" t="s">
        <v>26</v>
      </c>
      <c r="C7901" s="7" t="s">
        <v>27</v>
      </c>
      <c r="D7901" s="7" t="s">
        <v>28</v>
      </c>
      <c r="E7901" s="7" t="s">
        <v>29</v>
      </c>
      <c r="F7901" s="7" t="s">
        <v>277</v>
      </c>
      <c r="G7901" s="7">
        <v>98.842219999999998</v>
      </c>
      <c r="H7901" s="7"/>
    </row>
    <row r="7902" spans="1:8" x14ac:dyDescent="0.35">
      <c r="A7902" s="7" t="s">
        <v>372</v>
      </c>
      <c r="B7902" s="7" t="s">
        <v>26</v>
      </c>
      <c r="C7902" s="7" t="s">
        <v>27</v>
      </c>
      <c r="D7902" s="7" t="s">
        <v>28</v>
      </c>
      <c r="E7902" s="7" t="s">
        <v>29</v>
      </c>
      <c r="F7902" s="7" t="s">
        <v>278</v>
      </c>
      <c r="G7902" s="7">
        <v>98.758830000000003</v>
      </c>
      <c r="H7902" s="7"/>
    </row>
    <row r="7903" spans="1:8" x14ac:dyDescent="0.35">
      <c r="A7903" s="7" t="s">
        <v>372</v>
      </c>
      <c r="B7903" s="7" t="s">
        <v>26</v>
      </c>
      <c r="C7903" s="7" t="s">
        <v>27</v>
      </c>
      <c r="D7903" s="7" t="s">
        <v>28</v>
      </c>
      <c r="E7903" s="7" t="s">
        <v>29</v>
      </c>
      <c r="F7903" s="7" t="s">
        <v>279</v>
      </c>
      <c r="G7903" s="7">
        <v>98.787670000000006</v>
      </c>
      <c r="H7903" s="7"/>
    </row>
    <row r="7904" spans="1:8" x14ac:dyDescent="0.35">
      <c r="A7904" s="7" t="s">
        <v>372</v>
      </c>
      <c r="B7904" s="7" t="s">
        <v>26</v>
      </c>
      <c r="C7904" s="7" t="s">
        <v>27</v>
      </c>
      <c r="D7904" s="7" t="s">
        <v>28</v>
      </c>
      <c r="E7904" s="7" t="s">
        <v>29</v>
      </c>
      <c r="F7904" s="7" t="s">
        <v>280</v>
      </c>
      <c r="G7904" s="7">
        <v>98.902659999999997</v>
      </c>
      <c r="H7904" s="7"/>
    </row>
    <row r="7905" spans="1:8" x14ac:dyDescent="0.35">
      <c r="A7905" s="7" t="s">
        <v>372</v>
      </c>
      <c r="B7905" s="7" t="s">
        <v>26</v>
      </c>
      <c r="C7905" s="7" t="s">
        <v>27</v>
      </c>
      <c r="D7905" s="7" t="s">
        <v>28</v>
      </c>
      <c r="E7905" s="7" t="s">
        <v>29</v>
      </c>
      <c r="F7905" s="7" t="s">
        <v>281</v>
      </c>
      <c r="G7905" s="7">
        <v>99.004779999999997</v>
      </c>
      <c r="H7905" s="7"/>
    </row>
    <row r="7906" spans="1:8" x14ac:dyDescent="0.35">
      <c r="A7906" s="7" t="s">
        <v>372</v>
      </c>
      <c r="B7906" s="7" t="s">
        <v>26</v>
      </c>
      <c r="C7906" s="7" t="s">
        <v>27</v>
      </c>
      <c r="D7906" s="7" t="s">
        <v>28</v>
      </c>
      <c r="E7906" s="7" t="s">
        <v>29</v>
      </c>
      <c r="F7906" s="7" t="s">
        <v>282</v>
      </c>
      <c r="G7906" s="7">
        <v>98.985680000000002</v>
      </c>
      <c r="H7906" s="7"/>
    </row>
    <row r="7907" spans="1:8" x14ac:dyDescent="0.35">
      <c r="A7907" s="7" t="s">
        <v>372</v>
      </c>
      <c r="B7907" s="7" t="s">
        <v>26</v>
      </c>
      <c r="C7907" s="7" t="s">
        <v>27</v>
      </c>
      <c r="D7907" s="7" t="s">
        <v>28</v>
      </c>
      <c r="E7907" s="7" t="s">
        <v>29</v>
      </c>
      <c r="F7907" s="7" t="s">
        <v>283</v>
      </c>
      <c r="G7907" s="7">
        <v>98.870829999999998</v>
      </c>
      <c r="H7907" s="7"/>
    </row>
    <row r="7908" spans="1:8" x14ac:dyDescent="0.35">
      <c r="A7908" s="7" t="s">
        <v>372</v>
      </c>
      <c r="B7908" s="7" t="s">
        <v>26</v>
      </c>
      <c r="C7908" s="7" t="s">
        <v>27</v>
      </c>
      <c r="D7908" s="7" t="s">
        <v>28</v>
      </c>
      <c r="E7908" s="7" t="s">
        <v>29</v>
      </c>
      <c r="F7908" s="7" t="s">
        <v>284</v>
      </c>
      <c r="G7908" s="7">
        <v>98.897919999999999</v>
      </c>
      <c r="H7908" s="7"/>
    </row>
    <row r="7909" spans="1:8" x14ac:dyDescent="0.35">
      <c r="A7909" s="7" t="s">
        <v>372</v>
      </c>
      <c r="B7909" s="7" t="s">
        <v>26</v>
      </c>
      <c r="C7909" s="7" t="s">
        <v>27</v>
      </c>
      <c r="D7909" s="7" t="s">
        <v>28</v>
      </c>
      <c r="E7909" s="7" t="s">
        <v>29</v>
      </c>
      <c r="F7909" s="7" t="s">
        <v>285</v>
      </c>
      <c r="G7909" s="7">
        <v>99.025919999999999</v>
      </c>
      <c r="H7909" s="7"/>
    </row>
    <row r="7910" spans="1:8" x14ac:dyDescent="0.35">
      <c r="A7910" s="7" t="s">
        <v>372</v>
      </c>
      <c r="B7910" s="7" t="s">
        <v>26</v>
      </c>
      <c r="C7910" s="7" t="s">
        <v>27</v>
      </c>
      <c r="D7910" s="7" t="s">
        <v>28</v>
      </c>
      <c r="E7910" s="7" t="s">
        <v>29</v>
      </c>
      <c r="F7910" s="7" t="s">
        <v>286</v>
      </c>
      <c r="G7910" s="7">
        <v>99.159319999999994</v>
      </c>
      <c r="H7910" s="7"/>
    </row>
    <row r="7911" spans="1:8" x14ac:dyDescent="0.35">
      <c r="A7911" s="7" t="s">
        <v>372</v>
      </c>
      <c r="B7911" s="7" t="s">
        <v>26</v>
      </c>
      <c r="C7911" s="7" t="s">
        <v>27</v>
      </c>
      <c r="D7911" s="7" t="s">
        <v>28</v>
      </c>
      <c r="E7911" s="7" t="s">
        <v>29</v>
      </c>
      <c r="F7911" s="7" t="s">
        <v>287</v>
      </c>
      <c r="G7911" s="7">
        <v>99.314089999999993</v>
      </c>
      <c r="H7911" s="7"/>
    </row>
    <row r="7912" spans="1:8" x14ac:dyDescent="0.35">
      <c r="A7912" s="7" t="s">
        <v>372</v>
      </c>
      <c r="B7912" s="7" t="s">
        <v>26</v>
      </c>
      <c r="C7912" s="7" t="s">
        <v>27</v>
      </c>
      <c r="D7912" s="7" t="s">
        <v>28</v>
      </c>
      <c r="E7912" s="7" t="s">
        <v>29</v>
      </c>
      <c r="F7912" s="7" t="s">
        <v>288</v>
      </c>
      <c r="G7912" s="7">
        <v>99.554209999999998</v>
      </c>
      <c r="H7912" s="7"/>
    </row>
    <row r="7913" spans="1:8" x14ac:dyDescent="0.35">
      <c r="A7913" s="7" t="s">
        <v>372</v>
      </c>
      <c r="B7913" s="7" t="s">
        <v>26</v>
      </c>
      <c r="C7913" s="7" t="s">
        <v>27</v>
      </c>
      <c r="D7913" s="7" t="s">
        <v>28</v>
      </c>
      <c r="E7913" s="7" t="s">
        <v>29</v>
      </c>
      <c r="F7913" s="7" t="s">
        <v>289</v>
      </c>
      <c r="G7913" s="7">
        <v>99.743709999999993</v>
      </c>
      <c r="H7913" s="7"/>
    </row>
    <row r="7914" spans="1:8" x14ac:dyDescent="0.35">
      <c r="A7914" s="7" t="s">
        <v>372</v>
      </c>
      <c r="B7914" s="7" t="s">
        <v>26</v>
      </c>
      <c r="C7914" s="7" t="s">
        <v>27</v>
      </c>
      <c r="D7914" s="7" t="s">
        <v>28</v>
      </c>
      <c r="E7914" s="7" t="s">
        <v>29</v>
      </c>
      <c r="F7914" s="7" t="s">
        <v>290</v>
      </c>
      <c r="G7914" s="7">
        <v>99.830759999999998</v>
      </c>
      <c r="H7914" s="7"/>
    </row>
    <row r="7915" spans="1:8" x14ac:dyDescent="0.35">
      <c r="A7915" s="7" t="s">
        <v>372</v>
      </c>
      <c r="B7915" s="7" t="s">
        <v>26</v>
      </c>
      <c r="C7915" s="7" t="s">
        <v>27</v>
      </c>
      <c r="D7915" s="7" t="s">
        <v>28</v>
      </c>
      <c r="E7915" s="7" t="s">
        <v>29</v>
      </c>
      <c r="F7915" s="7" t="s">
        <v>291</v>
      </c>
      <c r="G7915" s="7">
        <v>99.76173</v>
      </c>
      <c r="H7915" s="7"/>
    </row>
    <row r="7916" spans="1:8" x14ac:dyDescent="0.35">
      <c r="A7916" s="7" t="s">
        <v>372</v>
      </c>
      <c r="B7916" s="7" t="s">
        <v>26</v>
      </c>
      <c r="C7916" s="7" t="s">
        <v>27</v>
      </c>
      <c r="D7916" s="7" t="s">
        <v>28</v>
      </c>
      <c r="E7916" s="7" t="s">
        <v>29</v>
      </c>
      <c r="F7916" s="7" t="s">
        <v>292</v>
      </c>
      <c r="G7916" s="7">
        <v>99.600710000000007</v>
      </c>
      <c r="H7916" s="7"/>
    </row>
    <row r="7917" spans="1:8" x14ac:dyDescent="0.35">
      <c r="A7917" s="7" t="s">
        <v>372</v>
      </c>
      <c r="B7917" s="7" t="s">
        <v>26</v>
      </c>
      <c r="C7917" s="7" t="s">
        <v>27</v>
      </c>
      <c r="D7917" s="7" t="s">
        <v>28</v>
      </c>
      <c r="E7917" s="7" t="s">
        <v>29</v>
      </c>
      <c r="F7917" s="7" t="s">
        <v>293</v>
      </c>
      <c r="G7917" s="7">
        <v>99.448779999999999</v>
      </c>
      <c r="H7917" s="7"/>
    </row>
    <row r="7918" spans="1:8" x14ac:dyDescent="0.35">
      <c r="A7918" s="7" t="s">
        <v>372</v>
      </c>
      <c r="B7918" s="7" t="s">
        <v>26</v>
      </c>
      <c r="C7918" s="7" t="s">
        <v>27</v>
      </c>
      <c r="D7918" s="7" t="s">
        <v>28</v>
      </c>
      <c r="E7918" s="7" t="s">
        <v>29</v>
      </c>
      <c r="F7918" s="7" t="s">
        <v>294</v>
      </c>
      <c r="G7918" s="7">
        <v>99.466369999999998</v>
      </c>
      <c r="H7918" s="7"/>
    </row>
    <row r="7919" spans="1:8" x14ac:dyDescent="0.35">
      <c r="A7919" s="7" t="s">
        <v>372</v>
      </c>
      <c r="B7919" s="7" t="s">
        <v>26</v>
      </c>
      <c r="C7919" s="7" t="s">
        <v>27</v>
      </c>
      <c r="D7919" s="7" t="s">
        <v>28</v>
      </c>
      <c r="E7919" s="7" t="s">
        <v>29</v>
      </c>
      <c r="F7919" s="7" t="s">
        <v>295</v>
      </c>
      <c r="G7919" s="7">
        <v>99.601389999999995</v>
      </c>
      <c r="H7919" s="7"/>
    </row>
    <row r="7920" spans="1:8" x14ac:dyDescent="0.35">
      <c r="A7920" s="7" t="s">
        <v>372</v>
      </c>
      <c r="B7920" s="7" t="s">
        <v>26</v>
      </c>
      <c r="C7920" s="7" t="s">
        <v>27</v>
      </c>
      <c r="D7920" s="7" t="s">
        <v>28</v>
      </c>
      <c r="E7920" s="7" t="s">
        <v>29</v>
      </c>
      <c r="F7920" s="7" t="s">
        <v>296</v>
      </c>
      <c r="G7920" s="7">
        <v>99.689390000000003</v>
      </c>
      <c r="H7920" s="7"/>
    </row>
    <row r="7921" spans="1:8" x14ac:dyDescent="0.35">
      <c r="A7921" s="7" t="s">
        <v>372</v>
      </c>
      <c r="B7921" s="7" t="s">
        <v>26</v>
      </c>
      <c r="C7921" s="7" t="s">
        <v>27</v>
      </c>
      <c r="D7921" s="7" t="s">
        <v>28</v>
      </c>
      <c r="E7921" s="7" t="s">
        <v>29</v>
      </c>
      <c r="F7921" s="7" t="s">
        <v>297</v>
      </c>
      <c r="G7921" s="7">
        <v>99.732929999999996</v>
      </c>
      <c r="H7921" s="7"/>
    </row>
    <row r="7922" spans="1:8" x14ac:dyDescent="0.35">
      <c r="A7922" s="7" t="s">
        <v>372</v>
      </c>
      <c r="B7922" s="7" t="s">
        <v>26</v>
      </c>
      <c r="C7922" s="7" t="s">
        <v>27</v>
      </c>
      <c r="D7922" s="7" t="s">
        <v>28</v>
      </c>
      <c r="E7922" s="7" t="s">
        <v>29</v>
      </c>
      <c r="F7922" s="7" t="s">
        <v>298</v>
      </c>
      <c r="G7922" s="7">
        <v>99.796909999999997</v>
      </c>
      <c r="H7922" s="7"/>
    </row>
    <row r="7923" spans="1:8" x14ac:dyDescent="0.35">
      <c r="A7923" s="7" t="s">
        <v>372</v>
      </c>
      <c r="B7923" s="7" t="s">
        <v>26</v>
      </c>
      <c r="C7923" s="7" t="s">
        <v>27</v>
      </c>
      <c r="D7923" s="7" t="s">
        <v>28</v>
      </c>
      <c r="E7923" s="7" t="s">
        <v>29</v>
      </c>
      <c r="F7923" s="7" t="s">
        <v>299</v>
      </c>
      <c r="G7923" s="7">
        <v>99.910060000000001</v>
      </c>
      <c r="H7923" s="7"/>
    </row>
    <row r="7924" spans="1:8" x14ac:dyDescent="0.35">
      <c r="A7924" s="7" t="s">
        <v>372</v>
      </c>
      <c r="B7924" s="7" t="s">
        <v>26</v>
      </c>
      <c r="C7924" s="7" t="s">
        <v>27</v>
      </c>
      <c r="D7924" s="7" t="s">
        <v>28</v>
      </c>
      <c r="E7924" s="7" t="s">
        <v>29</v>
      </c>
      <c r="F7924" s="7" t="s">
        <v>300</v>
      </c>
      <c r="G7924" s="7">
        <v>99.983580000000003</v>
      </c>
      <c r="H7924" s="7"/>
    </row>
    <row r="7925" spans="1:8" x14ac:dyDescent="0.35">
      <c r="A7925" s="7" t="s">
        <v>372</v>
      </c>
      <c r="B7925" s="7" t="s">
        <v>26</v>
      </c>
      <c r="C7925" s="7" t="s">
        <v>27</v>
      </c>
      <c r="D7925" s="7" t="s">
        <v>28</v>
      </c>
      <c r="E7925" s="7" t="s">
        <v>29</v>
      </c>
      <c r="F7925" s="7" t="s">
        <v>301</v>
      </c>
      <c r="G7925" s="7">
        <v>100.00449999999999</v>
      </c>
      <c r="H7925" s="7"/>
    </row>
    <row r="7926" spans="1:8" x14ac:dyDescent="0.35">
      <c r="A7926" s="7" t="s">
        <v>372</v>
      </c>
      <c r="B7926" s="7" t="s">
        <v>26</v>
      </c>
      <c r="C7926" s="7" t="s">
        <v>27</v>
      </c>
      <c r="D7926" s="7" t="s">
        <v>28</v>
      </c>
      <c r="E7926" s="7" t="s">
        <v>29</v>
      </c>
      <c r="F7926" s="7" t="s">
        <v>302</v>
      </c>
      <c r="G7926" s="7">
        <v>99.98075</v>
      </c>
      <c r="H7926" s="7"/>
    </row>
    <row r="7927" spans="1:8" x14ac:dyDescent="0.35">
      <c r="A7927" s="7" t="s">
        <v>372</v>
      </c>
      <c r="B7927" s="7" t="s">
        <v>26</v>
      </c>
      <c r="C7927" s="7" t="s">
        <v>27</v>
      </c>
      <c r="D7927" s="7" t="s">
        <v>28</v>
      </c>
      <c r="E7927" s="7" t="s">
        <v>29</v>
      </c>
      <c r="F7927" s="7" t="s">
        <v>303</v>
      </c>
      <c r="G7927" s="7">
        <v>99.962450000000004</v>
      </c>
      <c r="H7927" s="7"/>
    </row>
    <row r="7928" spans="1:8" x14ac:dyDescent="0.35">
      <c r="A7928" s="7" t="s">
        <v>372</v>
      </c>
      <c r="B7928" s="7" t="s">
        <v>26</v>
      </c>
      <c r="C7928" s="7" t="s">
        <v>27</v>
      </c>
      <c r="D7928" s="7" t="s">
        <v>28</v>
      </c>
      <c r="E7928" s="7" t="s">
        <v>29</v>
      </c>
      <c r="F7928" s="7" t="s">
        <v>304</v>
      </c>
      <c r="G7928" s="7">
        <v>99.987769999999998</v>
      </c>
      <c r="H7928" s="7"/>
    </row>
    <row r="7929" spans="1:8" x14ac:dyDescent="0.35">
      <c r="A7929" s="7" t="s">
        <v>372</v>
      </c>
      <c r="B7929" s="7" t="s">
        <v>26</v>
      </c>
      <c r="C7929" s="7" t="s">
        <v>27</v>
      </c>
      <c r="D7929" s="7" t="s">
        <v>28</v>
      </c>
      <c r="E7929" s="7" t="s">
        <v>29</v>
      </c>
      <c r="F7929" s="7" t="s">
        <v>305</v>
      </c>
      <c r="G7929" s="7">
        <v>100.0797</v>
      </c>
      <c r="H7929" s="7"/>
    </row>
    <row r="7930" spans="1:8" x14ac:dyDescent="0.35">
      <c r="A7930" s="7" t="s">
        <v>372</v>
      </c>
      <c r="B7930" s="7" t="s">
        <v>26</v>
      </c>
      <c r="C7930" s="7" t="s">
        <v>27</v>
      </c>
      <c r="D7930" s="7" t="s">
        <v>28</v>
      </c>
      <c r="E7930" s="7" t="s">
        <v>29</v>
      </c>
      <c r="F7930" s="7" t="s">
        <v>306</v>
      </c>
      <c r="G7930" s="7">
        <v>100.2372</v>
      </c>
      <c r="H7930" s="7"/>
    </row>
    <row r="7931" spans="1:8" x14ac:dyDescent="0.35">
      <c r="A7931" s="7" t="s">
        <v>372</v>
      </c>
      <c r="B7931" s="7" t="s">
        <v>26</v>
      </c>
      <c r="C7931" s="7" t="s">
        <v>27</v>
      </c>
      <c r="D7931" s="7" t="s">
        <v>28</v>
      </c>
      <c r="E7931" s="7" t="s">
        <v>29</v>
      </c>
      <c r="F7931" s="7" t="s">
        <v>307</v>
      </c>
      <c r="G7931" s="7">
        <v>100.4757</v>
      </c>
      <c r="H7931" s="7"/>
    </row>
    <row r="7932" spans="1:8" x14ac:dyDescent="0.35">
      <c r="A7932" s="7" t="s">
        <v>372</v>
      </c>
      <c r="B7932" s="7" t="s">
        <v>26</v>
      </c>
      <c r="C7932" s="7" t="s">
        <v>27</v>
      </c>
      <c r="D7932" s="7" t="s">
        <v>28</v>
      </c>
      <c r="E7932" s="7" t="s">
        <v>29</v>
      </c>
      <c r="F7932" s="7" t="s">
        <v>308</v>
      </c>
      <c r="G7932" s="7">
        <v>100.705</v>
      </c>
      <c r="H7932" s="7"/>
    </row>
    <row r="7933" spans="1:8" x14ac:dyDescent="0.35">
      <c r="A7933" s="7" t="s">
        <v>372</v>
      </c>
      <c r="B7933" s="7" t="s">
        <v>26</v>
      </c>
      <c r="C7933" s="7" t="s">
        <v>27</v>
      </c>
      <c r="D7933" s="7" t="s">
        <v>28</v>
      </c>
      <c r="E7933" s="7" t="s">
        <v>29</v>
      </c>
      <c r="F7933" s="7" t="s">
        <v>309</v>
      </c>
      <c r="G7933" s="7">
        <v>100.8241</v>
      </c>
      <c r="H7933" s="7"/>
    </row>
    <row r="7934" spans="1:8" x14ac:dyDescent="0.35">
      <c r="A7934" s="7" t="s">
        <v>372</v>
      </c>
      <c r="B7934" s="7" t="s">
        <v>26</v>
      </c>
      <c r="C7934" s="7" t="s">
        <v>27</v>
      </c>
      <c r="D7934" s="7" t="s">
        <v>28</v>
      </c>
      <c r="E7934" s="7" t="s">
        <v>29</v>
      </c>
      <c r="F7934" s="7" t="s">
        <v>310</v>
      </c>
      <c r="G7934" s="7">
        <v>100.8625</v>
      </c>
      <c r="H7934" s="7"/>
    </row>
    <row r="7935" spans="1:8" x14ac:dyDescent="0.35">
      <c r="A7935" s="7" t="s">
        <v>372</v>
      </c>
      <c r="B7935" s="7" t="s">
        <v>26</v>
      </c>
      <c r="C7935" s="7" t="s">
        <v>27</v>
      </c>
      <c r="D7935" s="7" t="s">
        <v>28</v>
      </c>
      <c r="E7935" s="7" t="s">
        <v>29</v>
      </c>
      <c r="F7935" s="7" t="s">
        <v>311</v>
      </c>
      <c r="G7935" s="7">
        <v>100.85209999999999</v>
      </c>
      <c r="H7935" s="7"/>
    </row>
    <row r="7936" spans="1:8" x14ac:dyDescent="0.35">
      <c r="A7936" s="7" t="s">
        <v>372</v>
      </c>
      <c r="B7936" s="7" t="s">
        <v>26</v>
      </c>
      <c r="C7936" s="7" t="s">
        <v>27</v>
      </c>
      <c r="D7936" s="7" t="s">
        <v>28</v>
      </c>
      <c r="E7936" s="7" t="s">
        <v>29</v>
      </c>
      <c r="F7936" s="7" t="s">
        <v>312</v>
      </c>
      <c r="G7936" s="7">
        <v>100.779</v>
      </c>
      <c r="H7936" s="7"/>
    </row>
    <row r="7937" spans="1:8" x14ac:dyDescent="0.35">
      <c r="A7937" s="7" t="s">
        <v>372</v>
      </c>
      <c r="B7937" s="7" t="s">
        <v>26</v>
      </c>
      <c r="C7937" s="7" t="s">
        <v>27</v>
      </c>
      <c r="D7937" s="7" t="s">
        <v>28</v>
      </c>
      <c r="E7937" s="7" t="s">
        <v>29</v>
      </c>
      <c r="F7937" s="7" t="s">
        <v>313</v>
      </c>
      <c r="G7937" s="7">
        <v>100.7533</v>
      </c>
      <c r="H7937" s="7"/>
    </row>
    <row r="7938" spans="1:8" x14ac:dyDescent="0.35">
      <c r="A7938" s="7" t="s">
        <v>372</v>
      </c>
      <c r="B7938" s="7" t="s">
        <v>26</v>
      </c>
      <c r="C7938" s="7" t="s">
        <v>27</v>
      </c>
      <c r="D7938" s="7" t="s">
        <v>28</v>
      </c>
      <c r="E7938" s="7" t="s">
        <v>29</v>
      </c>
      <c r="F7938" s="7" t="s">
        <v>314</v>
      </c>
      <c r="G7938" s="7">
        <v>100.6525</v>
      </c>
      <c r="H7938" s="7"/>
    </row>
    <row r="7939" spans="1:8" x14ac:dyDescent="0.35">
      <c r="A7939" s="7" t="s">
        <v>372</v>
      </c>
      <c r="B7939" s="7" t="s">
        <v>26</v>
      </c>
      <c r="C7939" s="7" t="s">
        <v>27</v>
      </c>
      <c r="D7939" s="7" t="s">
        <v>28</v>
      </c>
      <c r="E7939" s="7" t="s">
        <v>29</v>
      </c>
      <c r="F7939" s="7" t="s">
        <v>315</v>
      </c>
      <c r="G7939" s="7">
        <v>100.53489999999999</v>
      </c>
      <c r="H7939" s="7"/>
    </row>
    <row r="7940" spans="1:8" x14ac:dyDescent="0.35">
      <c r="A7940" s="7" t="s">
        <v>372</v>
      </c>
      <c r="B7940" s="7" t="s">
        <v>26</v>
      </c>
      <c r="C7940" s="7" t="s">
        <v>27</v>
      </c>
      <c r="D7940" s="7" t="s">
        <v>28</v>
      </c>
      <c r="E7940" s="7" t="s">
        <v>29</v>
      </c>
      <c r="F7940" s="7" t="s">
        <v>316</v>
      </c>
      <c r="G7940" s="7">
        <v>100.441</v>
      </c>
      <c r="H7940" s="7"/>
    </row>
    <row r="7941" spans="1:8" x14ac:dyDescent="0.35">
      <c r="A7941" s="7" t="s">
        <v>372</v>
      </c>
      <c r="B7941" s="7" t="s">
        <v>26</v>
      </c>
      <c r="C7941" s="7" t="s">
        <v>27</v>
      </c>
      <c r="D7941" s="7" t="s">
        <v>28</v>
      </c>
      <c r="E7941" s="7" t="s">
        <v>29</v>
      </c>
      <c r="F7941" s="7" t="s">
        <v>317</v>
      </c>
      <c r="G7941" s="7">
        <v>100.4813</v>
      </c>
      <c r="H7941" s="7"/>
    </row>
    <row r="7942" spans="1:8" x14ac:dyDescent="0.35">
      <c r="A7942" s="7" t="s">
        <v>372</v>
      </c>
      <c r="B7942" s="7" t="s">
        <v>26</v>
      </c>
      <c r="C7942" s="7" t="s">
        <v>27</v>
      </c>
      <c r="D7942" s="7" t="s">
        <v>28</v>
      </c>
      <c r="E7942" s="7" t="s">
        <v>29</v>
      </c>
      <c r="F7942" s="7" t="s">
        <v>318</v>
      </c>
      <c r="G7942" s="7">
        <v>100.58150000000001</v>
      </c>
      <c r="H7942" s="7"/>
    </row>
    <row r="7943" spans="1:8" x14ac:dyDescent="0.35">
      <c r="A7943" s="7" t="s">
        <v>372</v>
      </c>
      <c r="B7943" s="7" t="s">
        <v>26</v>
      </c>
      <c r="C7943" s="7" t="s">
        <v>27</v>
      </c>
      <c r="D7943" s="7" t="s">
        <v>28</v>
      </c>
      <c r="E7943" s="7" t="s">
        <v>29</v>
      </c>
      <c r="F7943" s="7" t="s">
        <v>319</v>
      </c>
      <c r="G7943" s="7">
        <v>100.6407</v>
      </c>
      <c r="H7943" s="7"/>
    </row>
    <row r="7944" spans="1:8" x14ac:dyDescent="0.35">
      <c r="A7944" s="7" t="s">
        <v>372</v>
      </c>
      <c r="B7944" s="7" t="s">
        <v>26</v>
      </c>
      <c r="C7944" s="7" t="s">
        <v>27</v>
      </c>
      <c r="D7944" s="7" t="s">
        <v>28</v>
      </c>
      <c r="E7944" s="7" t="s">
        <v>29</v>
      </c>
      <c r="F7944" s="7" t="s">
        <v>320</v>
      </c>
      <c r="G7944" s="7">
        <v>100.61020000000001</v>
      </c>
      <c r="H7944" s="7"/>
    </row>
    <row r="7945" spans="1:8" x14ac:dyDescent="0.35">
      <c r="A7945" s="7" t="s">
        <v>372</v>
      </c>
      <c r="B7945" s="7" t="s">
        <v>26</v>
      </c>
      <c r="C7945" s="7" t="s">
        <v>27</v>
      </c>
      <c r="D7945" s="7" t="s">
        <v>28</v>
      </c>
      <c r="E7945" s="7" t="s">
        <v>29</v>
      </c>
      <c r="F7945" s="7" t="s">
        <v>321</v>
      </c>
      <c r="G7945" s="7">
        <v>100.5194</v>
      </c>
      <c r="H7945" s="7"/>
    </row>
    <row r="7946" spans="1:8" x14ac:dyDescent="0.35">
      <c r="A7946" s="7" t="s">
        <v>372</v>
      </c>
      <c r="B7946" s="7" t="s">
        <v>26</v>
      </c>
      <c r="C7946" s="7" t="s">
        <v>27</v>
      </c>
      <c r="D7946" s="7" t="s">
        <v>28</v>
      </c>
      <c r="E7946" s="7" t="s">
        <v>29</v>
      </c>
      <c r="F7946" s="7" t="s">
        <v>322</v>
      </c>
      <c r="G7946" s="7">
        <v>100.46469999999999</v>
      </c>
      <c r="H7946" s="7"/>
    </row>
    <row r="7947" spans="1:8" x14ac:dyDescent="0.35">
      <c r="A7947" s="7" t="s">
        <v>372</v>
      </c>
      <c r="B7947" s="7" t="s">
        <v>26</v>
      </c>
      <c r="C7947" s="7" t="s">
        <v>27</v>
      </c>
      <c r="D7947" s="7" t="s">
        <v>28</v>
      </c>
      <c r="E7947" s="7" t="s">
        <v>29</v>
      </c>
      <c r="F7947" s="7" t="s">
        <v>323</v>
      </c>
      <c r="G7947" s="7">
        <v>100.4721</v>
      </c>
      <c r="H7947" s="7"/>
    </row>
    <row r="7948" spans="1:8" x14ac:dyDescent="0.35">
      <c r="A7948" s="7" t="s">
        <v>372</v>
      </c>
      <c r="B7948" s="7" t="s">
        <v>26</v>
      </c>
      <c r="C7948" s="7" t="s">
        <v>27</v>
      </c>
      <c r="D7948" s="7" t="s">
        <v>28</v>
      </c>
      <c r="E7948" s="7" t="s">
        <v>29</v>
      </c>
      <c r="F7948" s="7" t="s">
        <v>324</v>
      </c>
      <c r="G7948" s="7">
        <v>100.5438</v>
      </c>
      <c r="H7948" s="7"/>
    </row>
    <row r="7949" spans="1:8" x14ac:dyDescent="0.35">
      <c r="A7949" s="7" t="s">
        <v>372</v>
      </c>
      <c r="B7949" s="7" t="s">
        <v>26</v>
      </c>
      <c r="C7949" s="7" t="s">
        <v>27</v>
      </c>
      <c r="D7949" s="7" t="s">
        <v>28</v>
      </c>
      <c r="E7949" s="7" t="s">
        <v>29</v>
      </c>
      <c r="F7949" s="7" t="s">
        <v>325</v>
      </c>
      <c r="G7949" s="7">
        <v>100.5202</v>
      </c>
      <c r="H7949" s="7"/>
    </row>
    <row r="7950" spans="1:8" x14ac:dyDescent="0.35">
      <c r="A7950" s="7" t="s">
        <v>372</v>
      </c>
      <c r="B7950" s="7" t="s">
        <v>26</v>
      </c>
      <c r="C7950" s="7" t="s">
        <v>27</v>
      </c>
      <c r="D7950" s="7" t="s">
        <v>28</v>
      </c>
      <c r="E7950" s="7" t="s">
        <v>29</v>
      </c>
      <c r="F7950" s="7" t="s">
        <v>326</v>
      </c>
      <c r="G7950" s="7">
        <v>100.4161</v>
      </c>
      <c r="H7950" s="7"/>
    </row>
    <row r="7951" spans="1:8" x14ac:dyDescent="0.35">
      <c r="A7951" s="7" t="s">
        <v>372</v>
      </c>
      <c r="B7951" s="7" t="s">
        <v>26</v>
      </c>
      <c r="C7951" s="7" t="s">
        <v>27</v>
      </c>
      <c r="D7951" s="7" t="s">
        <v>28</v>
      </c>
      <c r="E7951" s="7" t="s">
        <v>29</v>
      </c>
      <c r="F7951" s="7" t="s">
        <v>327</v>
      </c>
      <c r="G7951" s="7">
        <v>100.35980000000001</v>
      </c>
      <c r="H7951" s="7"/>
    </row>
    <row r="7952" spans="1:8" x14ac:dyDescent="0.35">
      <c r="A7952" s="7" t="s">
        <v>372</v>
      </c>
      <c r="B7952" s="7" t="s">
        <v>26</v>
      </c>
      <c r="C7952" s="7" t="s">
        <v>27</v>
      </c>
      <c r="D7952" s="7" t="s">
        <v>28</v>
      </c>
      <c r="E7952" s="7" t="s">
        <v>29</v>
      </c>
      <c r="F7952" s="7" t="s">
        <v>328</v>
      </c>
      <c r="G7952" s="7">
        <v>100.375</v>
      </c>
      <c r="H7952" s="7"/>
    </row>
    <row r="7953" spans="1:8" x14ac:dyDescent="0.35">
      <c r="A7953" s="7" t="s">
        <v>372</v>
      </c>
      <c r="B7953" s="7" t="s">
        <v>26</v>
      </c>
      <c r="C7953" s="7" t="s">
        <v>27</v>
      </c>
      <c r="D7953" s="7" t="s">
        <v>28</v>
      </c>
      <c r="E7953" s="7" t="s">
        <v>29</v>
      </c>
      <c r="F7953" s="7" t="s">
        <v>329</v>
      </c>
      <c r="G7953" s="7">
        <v>100.4285</v>
      </c>
      <c r="H7953" s="7"/>
    </row>
    <row r="7954" spans="1:8" x14ac:dyDescent="0.35">
      <c r="A7954" s="7" t="s">
        <v>372</v>
      </c>
      <c r="B7954" s="7" t="s">
        <v>26</v>
      </c>
      <c r="C7954" s="7" t="s">
        <v>27</v>
      </c>
      <c r="D7954" s="7" t="s">
        <v>28</v>
      </c>
      <c r="E7954" s="7" t="s">
        <v>29</v>
      </c>
      <c r="F7954" s="7" t="s">
        <v>330</v>
      </c>
      <c r="G7954" s="7">
        <v>100.6153</v>
      </c>
      <c r="H7954" s="7"/>
    </row>
    <row r="7955" spans="1:8" x14ac:dyDescent="0.35">
      <c r="A7955" s="7" t="s">
        <v>372</v>
      </c>
      <c r="B7955" s="7" t="s">
        <v>26</v>
      </c>
      <c r="C7955" s="7" t="s">
        <v>27</v>
      </c>
      <c r="D7955" s="7" t="s">
        <v>28</v>
      </c>
      <c r="E7955" s="7" t="s">
        <v>29</v>
      </c>
      <c r="F7955" s="7" t="s">
        <v>331</v>
      </c>
      <c r="G7955" s="7">
        <v>100.8276</v>
      </c>
      <c r="H7955" s="7"/>
    </row>
    <row r="7956" spans="1:8" x14ac:dyDescent="0.35">
      <c r="A7956" s="7" t="s">
        <v>372</v>
      </c>
      <c r="B7956" s="7" t="s">
        <v>26</v>
      </c>
      <c r="C7956" s="7" t="s">
        <v>27</v>
      </c>
      <c r="D7956" s="7" t="s">
        <v>28</v>
      </c>
      <c r="E7956" s="7" t="s">
        <v>29</v>
      </c>
      <c r="F7956" s="7" t="s">
        <v>332</v>
      </c>
      <c r="G7956" s="7">
        <v>100.9252</v>
      </c>
      <c r="H7956" s="7"/>
    </row>
    <row r="7957" spans="1:8" x14ac:dyDescent="0.35">
      <c r="A7957" s="7" t="s">
        <v>372</v>
      </c>
      <c r="B7957" s="7" t="s">
        <v>26</v>
      </c>
      <c r="C7957" s="7" t="s">
        <v>27</v>
      </c>
      <c r="D7957" s="7" t="s">
        <v>28</v>
      </c>
      <c r="E7957" s="7" t="s">
        <v>29</v>
      </c>
      <c r="F7957" s="7" t="s">
        <v>333</v>
      </c>
      <c r="G7957" s="7">
        <v>100.92789999999999</v>
      </c>
      <c r="H7957" s="7"/>
    </row>
    <row r="7958" spans="1:8" x14ac:dyDescent="0.35">
      <c r="A7958" s="7" t="s">
        <v>372</v>
      </c>
      <c r="B7958" s="7" t="s">
        <v>26</v>
      </c>
      <c r="C7958" s="7" t="s">
        <v>27</v>
      </c>
      <c r="D7958" s="7" t="s">
        <v>28</v>
      </c>
      <c r="E7958" s="7" t="s">
        <v>29</v>
      </c>
      <c r="F7958" s="7" t="s">
        <v>334</v>
      </c>
      <c r="G7958" s="7">
        <v>100.93429999999999</v>
      </c>
      <c r="H7958" s="7"/>
    </row>
    <row r="7959" spans="1:8" x14ac:dyDescent="0.35">
      <c r="A7959" s="7" t="s">
        <v>372</v>
      </c>
      <c r="B7959" s="7" t="s">
        <v>26</v>
      </c>
      <c r="C7959" s="7" t="s">
        <v>27</v>
      </c>
      <c r="D7959" s="7" t="s">
        <v>28</v>
      </c>
      <c r="E7959" s="7" t="s">
        <v>29</v>
      </c>
      <c r="F7959" s="7" t="s">
        <v>335</v>
      </c>
      <c r="G7959" s="7">
        <v>100.93470000000001</v>
      </c>
      <c r="H7959" s="7"/>
    </row>
    <row r="7960" spans="1:8" x14ac:dyDescent="0.35">
      <c r="A7960" s="7" t="s">
        <v>372</v>
      </c>
      <c r="B7960" s="7" t="s">
        <v>26</v>
      </c>
      <c r="C7960" s="7" t="s">
        <v>27</v>
      </c>
      <c r="D7960" s="7" t="s">
        <v>28</v>
      </c>
      <c r="E7960" s="7" t="s">
        <v>29</v>
      </c>
      <c r="F7960" s="7" t="s">
        <v>336</v>
      </c>
      <c r="G7960" s="7">
        <v>100.9178</v>
      </c>
      <c r="H7960" s="7"/>
    </row>
    <row r="7961" spans="1:8" x14ac:dyDescent="0.35">
      <c r="A7961" s="7" t="s">
        <v>372</v>
      </c>
      <c r="B7961" s="7" t="s">
        <v>26</v>
      </c>
      <c r="C7961" s="7" t="s">
        <v>27</v>
      </c>
      <c r="D7961" s="7" t="s">
        <v>28</v>
      </c>
      <c r="E7961" s="7" t="s">
        <v>29</v>
      </c>
      <c r="F7961" s="7" t="s">
        <v>337</v>
      </c>
      <c r="G7961" s="7">
        <v>100.88509999999999</v>
      </c>
      <c r="H7961" s="7"/>
    </row>
    <row r="7962" spans="1:8" x14ac:dyDescent="0.35">
      <c r="A7962" s="7" t="s">
        <v>372</v>
      </c>
      <c r="B7962" s="7" t="s">
        <v>26</v>
      </c>
      <c r="C7962" s="7" t="s">
        <v>27</v>
      </c>
      <c r="D7962" s="7" t="s">
        <v>28</v>
      </c>
      <c r="E7962" s="7" t="s">
        <v>29</v>
      </c>
      <c r="F7962" s="7" t="s">
        <v>338</v>
      </c>
      <c r="G7962" s="7">
        <v>100.8798</v>
      </c>
      <c r="H7962" s="7"/>
    </row>
    <row r="7963" spans="1:8" x14ac:dyDescent="0.35">
      <c r="A7963" s="7" t="s">
        <v>372</v>
      </c>
      <c r="B7963" s="7" t="s">
        <v>26</v>
      </c>
      <c r="C7963" s="7" t="s">
        <v>27</v>
      </c>
      <c r="D7963" s="7" t="s">
        <v>28</v>
      </c>
      <c r="E7963" s="7" t="s">
        <v>29</v>
      </c>
      <c r="F7963" s="7" t="s">
        <v>339</v>
      </c>
      <c r="G7963" s="7">
        <v>100.94970000000001</v>
      </c>
      <c r="H7963" s="7"/>
    </row>
    <row r="7964" spans="1:8" x14ac:dyDescent="0.35">
      <c r="A7964" s="7" t="s">
        <v>372</v>
      </c>
      <c r="B7964" s="7" t="s">
        <v>26</v>
      </c>
      <c r="C7964" s="7" t="s">
        <v>27</v>
      </c>
      <c r="D7964" s="7" t="s">
        <v>28</v>
      </c>
      <c r="E7964" s="7" t="s">
        <v>29</v>
      </c>
      <c r="F7964" s="7" t="s">
        <v>340</v>
      </c>
      <c r="G7964" s="7">
        <v>101.0527</v>
      </c>
      <c r="H7964" s="7"/>
    </row>
    <row r="7965" spans="1:8" x14ac:dyDescent="0.35">
      <c r="A7965" s="7" t="s">
        <v>372</v>
      </c>
      <c r="B7965" s="7" t="s">
        <v>26</v>
      </c>
      <c r="C7965" s="7" t="s">
        <v>27</v>
      </c>
      <c r="D7965" s="7" t="s">
        <v>28</v>
      </c>
      <c r="E7965" s="7" t="s">
        <v>29</v>
      </c>
      <c r="F7965" s="7" t="s">
        <v>341</v>
      </c>
      <c r="G7965" s="7">
        <v>101.1717</v>
      </c>
      <c r="H7965" s="7"/>
    </row>
    <row r="7966" spans="1:8" x14ac:dyDescent="0.35">
      <c r="A7966" s="7" t="s">
        <v>372</v>
      </c>
      <c r="B7966" s="7" t="s">
        <v>26</v>
      </c>
      <c r="C7966" s="7" t="s">
        <v>27</v>
      </c>
      <c r="D7966" s="7" t="s">
        <v>28</v>
      </c>
      <c r="E7966" s="7" t="s">
        <v>29</v>
      </c>
      <c r="F7966" s="7" t="s">
        <v>342</v>
      </c>
      <c r="G7966" s="7">
        <v>101.1962</v>
      </c>
      <c r="H7966" s="7"/>
    </row>
    <row r="7967" spans="1:8" x14ac:dyDescent="0.35">
      <c r="A7967" s="7" t="s">
        <v>372</v>
      </c>
      <c r="B7967" s="7" t="s">
        <v>26</v>
      </c>
      <c r="C7967" s="7" t="s">
        <v>27</v>
      </c>
      <c r="D7967" s="7" t="s">
        <v>28</v>
      </c>
      <c r="E7967" s="7" t="s">
        <v>29</v>
      </c>
      <c r="F7967" s="7" t="s">
        <v>343</v>
      </c>
      <c r="G7967" s="7">
        <v>101.1695</v>
      </c>
      <c r="H7967" s="7"/>
    </row>
    <row r="7968" spans="1:8" x14ac:dyDescent="0.35">
      <c r="A7968" s="7" t="s">
        <v>372</v>
      </c>
      <c r="B7968" s="7" t="s">
        <v>26</v>
      </c>
      <c r="C7968" s="7" t="s">
        <v>27</v>
      </c>
      <c r="D7968" s="7" t="s">
        <v>28</v>
      </c>
      <c r="E7968" s="7" t="s">
        <v>29</v>
      </c>
      <c r="F7968" s="7" t="s">
        <v>344</v>
      </c>
      <c r="G7968" s="7">
        <v>101.18810000000001</v>
      </c>
      <c r="H7968" s="7"/>
    </row>
    <row r="7969" spans="1:8" x14ac:dyDescent="0.35">
      <c r="A7969" s="7" t="s">
        <v>372</v>
      </c>
      <c r="B7969" s="7" t="s">
        <v>26</v>
      </c>
      <c r="C7969" s="7" t="s">
        <v>27</v>
      </c>
      <c r="D7969" s="7" t="s">
        <v>28</v>
      </c>
      <c r="E7969" s="7" t="s">
        <v>29</v>
      </c>
      <c r="F7969" s="7" t="s">
        <v>345</v>
      </c>
      <c r="G7969" s="7">
        <v>101.26300000000001</v>
      </c>
      <c r="H7969" s="7"/>
    </row>
    <row r="7970" spans="1:8" x14ac:dyDescent="0.35">
      <c r="A7970" s="7" t="s">
        <v>373</v>
      </c>
      <c r="B7970" s="7" t="s">
        <v>26</v>
      </c>
      <c r="C7970" s="7" t="s">
        <v>27</v>
      </c>
      <c r="D7970" s="7" t="s">
        <v>28</v>
      </c>
      <c r="E7970" s="7" t="s">
        <v>29</v>
      </c>
      <c r="F7970" s="7" t="s">
        <v>143</v>
      </c>
      <c r="G7970" s="7">
        <v>99.120769999999993</v>
      </c>
      <c r="H7970" s="7"/>
    </row>
    <row r="7971" spans="1:8" x14ac:dyDescent="0.35">
      <c r="A7971" s="7" t="s">
        <v>373</v>
      </c>
      <c r="B7971" s="7" t="s">
        <v>26</v>
      </c>
      <c r="C7971" s="7" t="s">
        <v>27</v>
      </c>
      <c r="D7971" s="7" t="s">
        <v>28</v>
      </c>
      <c r="E7971" s="7" t="s">
        <v>29</v>
      </c>
      <c r="F7971" s="7" t="s">
        <v>144</v>
      </c>
      <c r="G7971" s="7">
        <v>99.183170000000004</v>
      </c>
      <c r="H7971" s="7"/>
    </row>
    <row r="7972" spans="1:8" x14ac:dyDescent="0.35">
      <c r="A7972" s="7" t="s">
        <v>373</v>
      </c>
      <c r="B7972" s="7" t="s">
        <v>26</v>
      </c>
      <c r="C7972" s="7" t="s">
        <v>27</v>
      </c>
      <c r="D7972" s="7" t="s">
        <v>28</v>
      </c>
      <c r="E7972" s="7" t="s">
        <v>29</v>
      </c>
      <c r="F7972" s="7" t="s">
        <v>145</v>
      </c>
      <c r="G7972" s="7">
        <v>99.271190000000004</v>
      </c>
      <c r="H7972" s="7"/>
    </row>
    <row r="7973" spans="1:8" x14ac:dyDescent="0.35">
      <c r="A7973" s="7" t="s">
        <v>373</v>
      </c>
      <c r="B7973" s="7" t="s">
        <v>26</v>
      </c>
      <c r="C7973" s="7" t="s">
        <v>27</v>
      </c>
      <c r="D7973" s="7" t="s">
        <v>28</v>
      </c>
      <c r="E7973" s="7" t="s">
        <v>29</v>
      </c>
      <c r="F7973" s="7" t="s">
        <v>146</v>
      </c>
      <c r="G7973" s="7">
        <v>99.474080000000001</v>
      </c>
      <c r="H7973" s="7"/>
    </row>
    <row r="7974" spans="1:8" x14ac:dyDescent="0.35">
      <c r="A7974" s="7" t="s">
        <v>373</v>
      </c>
      <c r="B7974" s="7" t="s">
        <v>26</v>
      </c>
      <c r="C7974" s="7" t="s">
        <v>27</v>
      </c>
      <c r="D7974" s="7" t="s">
        <v>28</v>
      </c>
      <c r="E7974" s="7" t="s">
        <v>29</v>
      </c>
      <c r="F7974" s="7" t="s">
        <v>147</v>
      </c>
      <c r="G7974" s="7">
        <v>99.76849</v>
      </c>
      <c r="H7974" s="7"/>
    </row>
    <row r="7975" spans="1:8" x14ac:dyDescent="0.35">
      <c r="A7975" s="7" t="s">
        <v>373</v>
      </c>
      <c r="B7975" s="7" t="s">
        <v>26</v>
      </c>
      <c r="C7975" s="7" t="s">
        <v>27</v>
      </c>
      <c r="D7975" s="7" t="s">
        <v>28</v>
      </c>
      <c r="E7975" s="7" t="s">
        <v>29</v>
      </c>
      <c r="F7975" s="7" t="s">
        <v>148</v>
      </c>
      <c r="G7975" s="7">
        <v>99.869209999999995</v>
      </c>
      <c r="H7975" s="7"/>
    </row>
    <row r="7976" spans="1:8" x14ac:dyDescent="0.35">
      <c r="A7976" s="7" t="s">
        <v>373</v>
      </c>
      <c r="B7976" s="7" t="s">
        <v>26</v>
      </c>
      <c r="C7976" s="7" t="s">
        <v>27</v>
      </c>
      <c r="D7976" s="7" t="s">
        <v>28</v>
      </c>
      <c r="E7976" s="7" t="s">
        <v>29</v>
      </c>
      <c r="F7976" s="7" t="s">
        <v>149</v>
      </c>
      <c r="G7976" s="7">
        <v>99.752170000000007</v>
      </c>
      <c r="H7976" s="7"/>
    </row>
    <row r="7977" spans="1:8" x14ac:dyDescent="0.35">
      <c r="A7977" s="7" t="s">
        <v>373</v>
      </c>
      <c r="B7977" s="7" t="s">
        <v>26</v>
      </c>
      <c r="C7977" s="7" t="s">
        <v>27</v>
      </c>
      <c r="D7977" s="7" t="s">
        <v>28</v>
      </c>
      <c r="E7977" s="7" t="s">
        <v>29</v>
      </c>
      <c r="F7977" s="7" t="s">
        <v>150</v>
      </c>
      <c r="G7977" s="7">
        <v>99.580520000000007</v>
      </c>
      <c r="H7977" s="7"/>
    </row>
    <row r="7978" spans="1:8" x14ac:dyDescent="0.35">
      <c r="A7978" s="7" t="s">
        <v>373</v>
      </c>
      <c r="B7978" s="7" t="s">
        <v>26</v>
      </c>
      <c r="C7978" s="7" t="s">
        <v>27</v>
      </c>
      <c r="D7978" s="7" t="s">
        <v>28</v>
      </c>
      <c r="E7978" s="7" t="s">
        <v>29</v>
      </c>
      <c r="F7978" s="7" t="s">
        <v>151</v>
      </c>
      <c r="G7978" s="7">
        <v>99.44838</v>
      </c>
      <c r="H7978" s="7"/>
    </row>
    <row r="7979" spans="1:8" x14ac:dyDescent="0.35">
      <c r="A7979" s="7" t="s">
        <v>373</v>
      </c>
      <c r="B7979" s="7" t="s">
        <v>26</v>
      </c>
      <c r="C7979" s="7" t="s">
        <v>27</v>
      </c>
      <c r="D7979" s="7" t="s">
        <v>28</v>
      </c>
      <c r="E7979" s="7" t="s">
        <v>29</v>
      </c>
      <c r="F7979" s="7" t="s">
        <v>152</v>
      </c>
      <c r="G7979" s="7">
        <v>99.320719999999994</v>
      </c>
      <c r="H7979" s="7"/>
    </row>
    <row r="7980" spans="1:8" x14ac:dyDescent="0.35">
      <c r="A7980" s="7" t="s">
        <v>373</v>
      </c>
      <c r="B7980" s="7" t="s">
        <v>26</v>
      </c>
      <c r="C7980" s="7" t="s">
        <v>27</v>
      </c>
      <c r="D7980" s="7" t="s">
        <v>28</v>
      </c>
      <c r="E7980" s="7" t="s">
        <v>29</v>
      </c>
      <c r="F7980" s="7" t="s">
        <v>153</v>
      </c>
      <c r="G7980" s="7">
        <v>99.250140000000002</v>
      </c>
      <c r="H7980" s="7"/>
    </row>
    <row r="7981" spans="1:8" x14ac:dyDescent="0.35">
      <c r="A7981" s="7" t="s">
        <v>373</v>
      </c>
      <c r="B7981" s="7" t="s">
        <v>26</v>
      </c>
      <c r="C7981" s="7" t="s">
        <v>27</v>
      </c>
      <c r="D7981" s="7" t="s">
        <v>28</v>
      </c>
      <c r="E7981" s="7" t="s">
        <v>29</v>
      </c>
      <c r="F7981" s="7" t="s">
        <v>154</v>
      </c>
      <c r="G7981" s="7">
        <v>99.271950000000004</v>
      </c>
      <c r="H7981" s="7"/>
    </row>
    <row r="7982" spans="1:8" x14ac:dyDescent="0.35">
      <c r="A7982" s="7" t="s">
        <v>373</v>
      </c>
      <c r="B7982" s="7" t="s">
        <v>26</v>
      </c>
      <c r="C7982" s="7" t="s">
        <v>27</v>
      </c>
      <c r="D7982" s="7" t="s">
        <v>28</v>
      </c>
      <c r="E7982" s="7" t="s">
        <v>29</v>
      </c>
      <c r="F7982" s="7" t="s">
        <v>155</v>
      </c>
      <c r="G7982" s="7">
        <v>99.313429999999997</v>
      </c>
      <c r="H7982" s="7"/>
    </row>
    <row r="7983" spans="1:8" x14ac:dyDescent="0.35">
      <c r="A7983" s="7" t="s">
        <v>373</v>
      </c>
      <c r="B7983" s="7" t="s">
        <v>26</v>
      </c>
      <c r="C7983" s="7" t="s">
        <v>27</v>
      </c>
      <c r="D7983" s="7" t="s">
        <v>28</v>
      </c>
      <c r="E7983" s="7" t="s">
        <v>29</v>
      </c>
      <c r="F7983" s="7" t="s">
        <v>156</v>
      </c>
      <c r="G7983" s="7">
        <v>99.366389999999996</v>
      </c>
      <c r="H7983" s="7"/>
    </row>
    <row r="7984" spans="1:8" x14ac:dyDescent="0.35">
      <c r="A7984" s="7" t="s">
        <v>373</v>
      </c>
      <c r="B7984" s="7" t="s">
        <v>26</v>
      </c>
      <c r="C7984" s="7" t="s">
        <v>27</v>
      </c>
      <c r="D7984" s="7" t="s">
        <v>28</v>
      </c>
      <c r="E7984" s="7" t="s">
        <v>29</v>
      </c>
      <c r="F7984" s="7" t="s">
        <v>157</v>
      </c>
      <c r="G7984" s="7">
        <v>99.432079999999999</v>
      </c>
      <c r="H7984" s="7"/>
    </row>
    <row r="7985" spans="1:8" x14ac:dyDescent="0.35">
      <c r="A7985" s="7" t="s">
        <v>373</v>
      </c>
      <c r="B7985" s="7" t="s">
        <v>26</v>
      </c>
      <c r="C7985" s="7" t="s">
        <v>27</v>
      </c>
      <c r="D7985" s="7" t="s">
        <v>28</v>
      </c>
      <c r="E7985" s="7" t="s">
        <v>29</v>
      </c>
      <c r="F7985" s="7" t="s">
        <v>158</v>
      </c>
      <c r="G7985" s="7">
        <v>99.469970000000004</v>
      </c>
      <c r="H7985" s="7"/>
    </row>
    <row r="7986" spans="1:8" x14ac:dyDescent="0.35">
      <c r="A7986" s="7" t="s">
        <v>373</v>
      </c>
      <c r="B7986" s="7" t="s">
        <v>26</v>
      </c>
      <c r="C7986" s="7" t="s">
        <v>27</v>
      </c>
      <c r="D7986" s="7" t="s">
        <v>28</v>
      </c>
      <c r="E7986" s="7" t="s">
        <v>29</v>
      </c>
      <c r="F7986" s="7" t="s">
        <v>159</v>
      </c>
      <c r="G7986" s="7">
        <v>99.465549999999993</v>
      </c>
      <c r="H7986" s="7"/>
    </row>
    <row r="7987" spans="1:8" x14ac:dyDescent="0.35">
      <c r="A7987" s="7" t="s">
        <v>373</v>
      </c>
      <c r="B7987" s="7" t="s">
        <v>26</v>
      </c>
      <c r="C7987" s="7" t="s">
        <v>27</v>
      </c>
      <c r="D7987" s="7" t="s">
        <v>28</v>
      </c>
      <c r="E7987" s="7" t="s">
        <v>29</v>
      </c>
      <c r="F7987" s="7" t="s">
        <v>160</v>
      </c>
      <c r="G7987" s="7">
        <v>99.441580000000002</v>
      </c>
      <c r="H7987" s="7"/>
    </row>
    <row r="7988" spans="1:8" x14ac:dyDescent="0.35">
      <c r="A7988" s="7" t="s">
        <v>373</v>
      </c>
      <c r="B7988" s="7" t="s">
        <v>26</v>
      </c>
      <c r="C7988" s="7" t="s">
        <v>27</v>
      </c>
      <c r="D7988" s="7" t="s">
        <v>28</v>
      </c>
      <c r="E7988" s="7" t="s">
        <v>29</v>
      </c>
      <c r="F7988" s="7" t="s">
        <v>161</v>
      </c>
      <c r="G7988" s="7">
        <v>99.386020000000002</v>
      </c>
      <c r="H7988" s="7"/>
    </row>
    <row r="7989" spans="1:8" x14ac:dyDescent="0.35">
      <c r="A7989" s="7" t="s">
        <v>373</v>
      </c>
      <c r="B7989" s="7" t="s">
        <v>26</v>
      </c>
      <c r="C7989" s="7" t="s">
        <v>27</v>
      </c>
      <c r="D7989" s="7" t="s">
        <v>28</v>
      </c>
      <c r="E7989" s="7" t="s">
        <v>29</v>
      </c>
      <c r="F7989" s="7" t="s">
        <v>162</v>
      </c>
      <c r="G7989" s="7">
        <v>99.307590000000005</v>
      </c>
      <c r="H7989" s="7"/>
    </row>
    <row r="7990" spans="1:8" x14ac:dyDescent="0.35">
      <c r="A7990" s="7" t="s">
        <v>373</v>
      </c>
      <c r="B7990" s="7" t="s">
        <v>26</v>
      </c>
      <c r="C7990" s="7" t="s">
        <v>27</v>
      </c>
      <c r="D7990" s="7" t="s">
        <v>28</v>
      </c>
      <c r="E7990" s="7" t="s">
        <v>29</v>
      </c>
      <c r="F7990" s="7" t="s">
        <v>163</v>
      </c>
      <c r="G7990" s="7">
        <v>99.213170000000005</v>
      </c>
      <c r="H7990" s="7"/>
    </row>
    <row r="7991" spans="1:8" x14ac:dyDescent="0.35">
      <c r="A7991" s="7" t="s">
        <v>373</v>
      </c>
      <c r="B7991" s="7" t="s">
        <v>26</v>
      </c>
      <c r="C7991" s="7" t="s">
        <v>27</v>
      </c>
      <c r="D7991" s="7" t="s">
        <v>28</v>
      </c>
      <c r="E7991" s="7" t="s">
        <v>29</v>
      </c>
      <c r="F7991" s="7" t="s">
        <v>164</v>
      </c>
      <c r="G7991" s="7">
        <v>99.103020000000001</v>
      </c>
      <c r="H7991" s="7"/>
    </row>
    <row r="7992" spans="1:8" x14ac:dyDescent="0.35">
      <c r="A7992" s="7" t="s">
        <v>373</v>
      </c>
      <c r="B7992" s="7" t="s">
        <v>26</v>
      </c>
      <c r="C7992" s="7" t="s">
        <v>27</v>
      </c>
      <c r="D7992" s="7" t="s">
        <v>28</v>
      </c>
      <c r="E7992" s="7" t="s">
        <v>29</v>
      </c>
      <c r="F7992" s="7" t="s">
        <v>165</v>
      </c>
      <c r="G7992" s="7">
        <v>99.097170000000006</v>
      </c>
      <c r="H7992" s="7"/>
    </row>
    <row r="7993" spans="1:8" x14ac:dyDescent="0.35">
      <c r="A7993" s="7" t="s">
        <v>373</v>
      </c>
      <c r="B7993" s="7" t="s">
        <v>26</v>
      </c>
      <c r="C7993" s="7" t="s">
        <v>27</v>
      </c>
      <c r="D7993" s="7" t="s">
        <v>28</v>
      </c>
      <c r="E7993" s="7" t="s">
        <v>29</v>
      </c>
      <c r="F7993" s="7" t="s">
        <v>166</v>
      </c>
      <c r="G7993" s="7">
        <v>99.162660000000002</v>
      </c>
      <c r="H7993" s="7"/>
    </row>
    <row r="7994" spans="1:8" x14ac:dyDescent="0.35">
      <c r="A7994" s="7" t="s">
        <v>373</v>
      </c>
      <c r="B7994" s="7" t="s">
        <v>26</v>
      </c>
      <c r="C7994" s="7" t="s">
        <v>27</v>
      </c>
      <c r="D7994" s="7" t="s">
        <v>28</v>
      </c>
      <c r="E7994" s="7" t="s">
        <v>29</v>
      </c>
      <c r="F7994" s="7" t="s">
        <v>167</v>
      </c>
      <c r="G7994" s="7">
        <v>99.275940000000006</v>
      </c>
      <c r="H7994" s="7"/>
    </row>
    <row r="7995" spans="1:8" x14ac:dyDescent="0.35">
      <c r="A7995" s="7" t="s">
        <v>373</v>
      </c>
      <c r="B7995" s="7" t="s">
        <v>26</v>
      </c>
      <c r="C7995" s="7" t="s">
        <v>27</v>
      </c>
      <c r="D7995" s="7" t="s">
        <v>28</v>
      </c>
      <c r="E7995" s="7" t="s">
        <v>29</v>
      </c>
      <c r="F7995" s="7" t="s">
        <v>168</v>
      </c>
      <c r="G7995" s="7">
        <v>99.382549999999995</v>
      </c>
      <c r="H7995" s="7"/>
    </row>
    <row r="7996" spans="1:8" x14ac:dyDescent="0.35">
      <c r="A7996" s="7" t="s">
        <v>373</v>
      </c>
      <c r="B7996" s="7" t="s">
        <v>26</v>
      </c>
      <c r="C7996" s="7" t="s">
        <v>27</v>
      </c>
      <c r="D7996" s="7" t="s">
        <v>28</v>
      </c>
      <c r="E7996" s="7" t="s">
        <v>29</v>
      </c>
      <c r="F7996" s="7" t="s">
        <v>169</v>
      </c>
      <c r="G7996" s="7">
        <v>99.439989999999995</v>
      </c>
      <c r="H7996" s="7"/>
    </row>
    <row r="7997" spans="1:8" x14ac:dyDescent="0.35">
      <c r="A7997" s="7" t="s">
        <v>373</v>
      </c>
      <c r="B7997" s="7" t="s">
        <v>26</v>
      </c>
      <c r="C7997" s="7" t="s">
        <v>27</v>
      </c>
      <c r="D7997" s="7" t="s">
        <v>28</v>
      </c>
      <c r="E7997" s="7" t="s">
        <v>29</v>
      </c>
      <c r="F7997" s="7" t="s">
        <v>170</v>
      </c>
      <c r="G7997" s="7">
        <v>99.467190000000002</v>
      </c>
      <c r="H7997" s="7"/>
    </row>
    <row r="7998" spans="1:8" x14ac:dyDescent="0.35">
      <c r="A7998" s="7" t="s">
        <v>373</v>
      </c>
      <c r="B7998" s="7" t="s">
        <v>26</v>
      </c>
      <c r="C7998" s="7" t="s">
        <v>27</v>
      </c>
      <c r="D7998" s="7" t="s">
        <v>28</v>
      </c>
      <c r="E7998" s="7" t="s">
        <v>29</v>
      </c>
      <c r="F7998" s="7" t="s">
        <v>171</v>
      </c>
      <c r="G7998" s="7">
        <v>99.460369999999998</v>
      </c>
      <c r="H7998" s="7"/>
    </row>
    <row r="7999" spans="1:8" x14ac:dyDescent="0.35">
      <c r="A7999" s="7" t="s">
        <v>373</v>
      </c>
      <c r="B7999" s="7" t="s">
        <v>26</v>
      </c>
      <c r="C7999" s="7" t="s">
        <v>27</v>
      </c>
      <c r="D7999" s="7" t="s">
        <v>28</v>
      </c>
      <c r="E7999" s="7" t="s">
        <v>29</v>
      </c>
      <c r="F7999" s="7" t="s">
        <v>172</v>
      </c>
      <c r="G7999" s="7">
        <v>99.475480000000005</v>
      </c>
      <c r="H7999" s="7"/>
    </row>
    <row r="8000" spans="1:8" x14ac:dyDescent="0.35">
      <c r="A8000" s="7" t="s">
        <v>373</v>
      </c>
      <c r="B8000" s="7" t="s">
        <v>26</v>
      </c>
      <c r="C8000" s="7" t="s">
        <v>27</v>
      </c>
      <c r="D8000" s="7" t="s">
        <v>28</v>
      </c>
      <c r="E8000" s="7" t="s">
        <v>29</v>
      </c>
      <c r="F8000" s="7" t="s">
        <v>173</v>
      </c>
      <c r="G8000" s="7">
        <v>99.500950000000003</v>
      </c>
      <c r="H8000" s="7"/>
    </row>
    <row r="8001" spans="1:8" x14ac:dyDescent="0.35">
      <c r="A8001" s="7" t="s">
        <v>373</v>
      </c>
      <c r="B8001" s="7" t="s">
        <v>26</v>
      </c>
      <c r="C8001" s="7" t="s">
        <v>27</v>
      </c>
      <c r="D8001" s="7" t="s">
        <v>28</v>
      </c>
      <c r="E8001" s="7" t="s">
        <v>29</v>
      </c>
      <c r="F8001" s="7" t="s">
        <v>174</v>
      </c>
      <c r="G8001" s="7">
        <v>99.525490000000005</v>
      </c>
      <c r="H8001" s="7"/>
    </row>
    <row r="8002" spans="1:8" x14ac:dyDescent="0.35">
      <c r="A8002" s="7" t="s">
        <v>373</v>
      </c>
      <c r="B8002" s="7" t="s">
        <v>26</v>
      </c>
      <c r="C8002" s="7" t="s">
        <v>27</v>
      </c>
      <c r="D8002" s="7" t="s">
        <v>28</v>
      </c>
      <c r="E8002" s="7" t="s">
        <v>29</v>
      </c>
      <c r="F8002" s="7" t="s">
        <v>175</v>
      </c>
      <c r="G8002" s="7">
        <v>99.541870000000003</v>
      </c>
      <c r="H8002" s="7"/>
    </row>
    <row r="8003" spans="1:8" x14ac:dyDescent="0.35">
      <c r="A8003" s="7" t="s">
        <v>373</v>
      </c>
      <c r="B8003" s="7" t="s">
        <v>26</v>
      </c>
      <c r="C8003" s="7" t="s">
        <v>27</v>
      </c>
      <c r="D8003" s="7" t="s">
        <v>28</v>
      </c>
      <c r="E8003" s="7" t="s">
        <v>29</v>
      </c>
      <c r="F8003" s="7" t="s">
        <v>176</v>
      </c>
      <c r="G8003" s="7">
        <v>99.551689999999994</v>
      </c>
      <c r="H8003" s="7"/>
    </row>
    <row r="8004" spans="1:8" x14ac:dyDescent="0.35">
      <c r="A8004" s="7" t="s">
        <v>373</v>
      </c>
      <c r="B8004" s="7" t="s">
        <v>26</v>
      </c>
      <c r="C8004" s="7" t="s">
        <v>27</v>
      </c>
      <c r="D8004" s="7" t="s">
        <v>28</v>
      </c>
      <c r="E8004" s="7" t="s">
        <v>29</v>
      </c>
      <c r="F8004" s="7" t="s">
        <v>177</v>
      </c>
      <c r="G8004" s="7">
        <v>99.568510000000003</v>
      </c>
      <c r="H8004" s="7"/>
    </row>
    <row r="8005" spans="1:8" x14ac:dyDescent="0.35">
      <c r="A8005" s="7" t="s">
        <v>373</v>
      </c>
      <c r="B8005" s="7" t="s">
        <v>26</v>
      </c>
      <c r="C8005" s="7" t="s">
        <v>27</v>
      </c>
      <c r="D8005" s="7" t="s">
        <v>28</v>
      </c>
      <c r="E8005" s="7" t="s">
        <v>29</v>
      </c>
      <c r="F8005" s="7" t="s">
        <v>178</v>
      </c>
      <c r="G8005" s="7">
        <v>99.608059999999995</v>
      </c>
      <c r="H8005" s="7"/>
    </row>
    <row r="8006" spans="1:8" x14ac:dyDescent="0.35">
      <c r="A8006" s="7" t="s">
        <v>373</v>
      </c>
      <c r="B8006" s="7" t="s">
        <v>26</v>
      </c>
      <c r="C8006" s="7" t="s">
        <v>27</v>
      </c>
      <c r="D8006" s="7" t="s">
        <v>28</v>
      </c>
      <c r="E8006" s="7" t="s">
        <v>29</v>
      </c>
      <c r="F8006" s="7" t="s">
        <v>179</v>
      </c>
      <c r="G8006" s="7">
        <v>99.685969999999998</v>
      </c>
      <c r="H8006" s="7"/>
    </row>
    <row r="8007" spans="1:8" x14ac:dyDescent="0.35">
      <c r="A8007" s="7" t="s">
        <v>373</v>
      </c>
      <c r="B8007" s="7" t="s">
        <v>26</v>
      </c>
      <c r="C8007" s="7" t="s">
        <v>27</v>
      </c>
      <c r="D8007" s="7" t="s">
        <v>28</v>
      </c>
      <c r="E8007" s="7" t="s">
        <v>29</v>
      </c>
      <c r="F8007" s="7" t="s">
        <v>180</v>
      </c>
      <c r="G8007" s="7">
        <v>99.751509999999996</v>
      </c>
      <c r="H8007" s="7"/>
    </row>
    <row r="8008" spans="1:8" x14ac:dyDescent="0.35">
      <c r="A8008" s="7" t="s">
        <v>373</v>
      </c>
      <c r="B8008" s="7" t="s">
        <v>26</v>
      </c>
      <c r="C8008" s="7" t="s">
        <v>27</v>
      </c>
      <c r="D8008" s="7" t="s">
        <v>28</v>
      </c>
      <c r="E8008" s="7" t="s">
        <v>29</v>
      </c>
      <c r="F8008" s="7" t="s">
        <v>181</v>
      </c>
      <c r="G8008" s="7">
        <v>99.812089999999998</v>
      </c>
      <c r="H8008" s="7"/>
    </row>
    <row r="8009" spans="1:8" x14ac:dyDescent="0.35">
      <c r="A8009" s="7" t="s">
        <v>373</v>
      </c>
      <c r="B8009" s="7" t="s">
        <v>26</v>
      </c>
      <c r="C8009" s="7" t="s">
        <v>27</v>
      </c>
      <c r="D8009" s="7" t="s">
        <v>28</v>
      </c>
      <c r="E8009" s="7" t="s">
        <v>29</v>
      </c>
      <c r="F8009" s="7" t="s">
        <v>182</v>
      </c>
      <c r="G8009" s="7">
        <v>99.887569999999997</v>
      </c>
      <c r="H8009" s="7"/>
    </row>
    <row r="8010" spans="1:8" x14ac:dyDescent="0.35">
      <c r="A8010" s="7" t="s">
        <v>373</v>
      </c>
      <c r="B8010" s="7" t="s">
        <v>26</v>
      </c>
      <c r="C8010" s="7" t="s">
        <v>27</v>
      </c>
      <c r="D8010" s="7" t="s">
        <v>28</v>
      </c>
      <c r="E8010" s="7" t="s">
        <v>29</v>
      </c>
      <c r="F8010" s="7" t="s">
        <v>183</v>
      </c>
      <c r="G8010" s="7">
        <v>99.970759999999999</v>
      </c>
      <c r="H8010" s="7"/>
    </row>
    <row r="8011" spans="1:8" x14ac:dyDescent="0.35">
      <c r="A8011" s="7" t="s">
        <v>373</v>
      </c>
      <c r="B8011" s="7" t="s">
        <v>26</v>
      </c>
      <c r="C8011" s="7" t="s">
        <v>27</v>
      </c>
      <c r="D8011" s="7" t="s">
        <v>28</v>
      </c>
      <c r="E8011" s="7" t="s">
        <v>29</v>
      </c>
      <c r="F8011" s="7" t="s">
        <v>184</v>
      </c>
      <c r="G8011" s="7">
        <v>100.09990000000001</v>
      </c>
      <c r="H8011" s="7"/>
    </row>
    <row r="8012" spans="1:8" x14ac:dyDescent="0.35">
      <c r="A8012" s="7" t="s">
        <v>373</v>
      </c>
      <c r="B8012" s="7" t="s">
        <v>26</v>
      </c>
      <c r="C8012" s="7" t="s">
        <v>27</v>
      </c>
      <c r="D8012" s="7" t="s">
        <v>28</v>
      </c>
      <c r="E8012" s="7" t="s">
        <v>29</v>
      </c>
      <c r="F8012" s="7" t="s">
        <v>185</v>
      </c>
      <c r="G8012" s="7">
        <v>100.27500000000001</v>
      </c>
      <c r="H8012" s="7"/>
    </row>
    <row r="8013" spans="1:8" x14ac:dyDescent="0.35">
      <c r="A8013" s="7" t="s">
        <v>373</v>
      </c>
      <c r="B8013" s="7" t="s">
        <v>26</v>
      </c>
      <c r="C8013" s="7" t="s">
        <v>27</v>
      </c>
      <c r="D8013" s="7" t="s">
        <v>28</v>
      </c>
      <c r="E8013" s="7" t="s">
        <v>29</v>
      </c>
      <c r="F8013" s="7" t="s">
        <v>186</v>
      </c>
      <c r="G8013" s="7">
        <v>100.3836</v>
      </c>
      <c r="H8013" s="7"/>
    </row>
    <row r="8014" spans="1:8" x14ac:dyDescent="0.35">
      <c r="A8014" s="7" t="s">
        <v>373</v>
      </c>
      <c r="B8014" s="7" t="s">
        <v>26</v>
      </c>
      <c r="C8014" s="7" t="s">
        <v>27</v>
      </c>
      <c r="D8014" s="7" t="s">
        <v>28</v>
      </c>
      <c r="E8014" s="7" t="s">
        <v>29</v>
      </c>
      <c r="F8014" s="7" t="s">
        <v>187</v>
      </c>
      <c r="G8014" s="7">
        <v>100.3558</v>
      </c>
      <c r="H8014" s="7"/>
    </row>
    <row r="8015" spans="1:8" x14ac:dyDescent="0.35">
      <c r="A8015" s="7" t="s">
        <v>373</v>
      </c>
      <c r="B8015" s="7" t="s">
        <v>26</v>
      </c>
      <c r="C8015" s="7" t="s">
        <v>27</v>
      </c>
      <c r="D8015" s="7" t="s">
        <v>28</v>
      </c>
      <c r="E8015" s="7" t="s">
        <v>29</v>
      </c>
      <c r="F8015" s="7" t="s">
        <v>188</v>
      </c>
      <c r="G8015" s="7">
        <v>100.2063</v>
      </c>
      <c r="H8015" s="7"/>
    </row>
    <row r="8016" spans="1:8" x14ac:dyDescent="0.35">
      <c r="A8016" s="7" t="s">
        <v>373</v>
      </c>
      <c r="B8016" s="7" t="s">
        <v>26</v>
      </c>
      <c r="C8016" s="7" t="s">
        <v>27</v>
      </c>
      <c r="D8016" s="7" t="s">
        <v>28</v>
      </c>
      <c r="E8016" s="7" t="s">
        <v>29</v>
      </c>
      <c r="F8016" s="7" t="s">
        <v>189</v>
      </c>
      <c r="G8016" s="7">
        <v>100.0305</v>
      </c>
      <c r="H8016" s="7"/>
    </row>
    <row r="8017" spans="1:8" x14ac:dyDescent="0.35">
      <c r="A8017" s="7" t="s">
        <v>373</v>
      </c>
      <c r="B8017" s="7" t="s">
        <v>26</v>
      </c>
      <c r="C8017" s="7" t="s">
        <v>27</v>
      </c>
      <c r="D8017" s="7" t="s">
        <v>28</v>
      </c>
      <c r="E8017" s="7" t="s">
        <v>29</v>
      </c>
      <c r="F8017" s="7" t="s">
        <v>190</v>
      </c>
      <c r="G8017" s="7">
        <v>99.864549999999994</v>
      </c>
      <c r="H8017" s="7"/>
    </row>
    <row r="8018" spans="1:8" x14ac:dyDescent="0.35">
      <c r="A8018" s="7" t="s">
        <v>373</v>
      </c>
      <c r="B8018" s="7" t="s">
        <v>26</v>
      </c>
      <c r="C8018" s="7" t="s">
        <v>27</v>
      </c>
      <c r="D8018" s="7" t="s">
        <v>28</v>
      </c>
      <c r="E8018" s="7" t="s">
        <v>29</v>
      </c>
      <c r="F8018" s="7" t="s">
        <v>191</v>
      </c>
      <c r="G8018" s="7">
        <v>99.809709999999995</v>
      </c>
      <c r="H8018" s="7"/>
    </row>
    <row r="8019" spans="1:8" x14ac:dyDescent="0.35">
      <c r="A8019" s="7" t="s">
        <v>373</v>
      </c>
      <c r="B8019" s="7" t="s">
        <v>26</v>
      </c>
      <c r="C8019" s="7" t="s">
        <v>27</v>
      </c>
      <c r="D8019" s="7" t="s">
        <v>28</v>
      </c>
      <c r="E8019" s="7" t="s">
        <v>29</v>
      </c>
      <c r="F8019" s="7" t="s">
        <v>192</v>
      </c>
      <c r="G8019" s="7">
        <v>99.873649999999998</v>
      </c>
      <c r="H8019" s="7"/>
    </row>
    <row r="8020" spans="1:8" x14ac:dyDescent="0.35">
      <c r="A8020" s="7" t="s">
        <v>373</v>
      </c>
      <c r="B8020" s="7" t="s">
        <v>26</v>
      </c>
      <c r="C8020" s="7" t="s">
        <v>27</v>
      </c>
      <c r="D8020" s="7" t="s">
        <v>28</v>
      </c>
      <c r="E8020" s="7" t="s">
        <v>29</v>
      </c>
      <c r="F8020" s="7" t="s">
        <v>193</v>
      </c>
      <c r="G8020" s="7">
        <v>99.943190000000001</v>
      </c>
      <c r="H8020" s="7"/>
    </row>
    <row r="8021" spans="1:8" x14ac:dyDescent="0.35">
      <c r="A8021" s="7" t="s">
        <v>373</v>
      </c>
      <c r="B8021" s="7" t="s">
        <v>26</v>
      </c>
      <c r="C8021" s="7" t="s">
        <v>27</v>
      </c>
      <c r="D8021" s="7" t="s">
        <v>28</v>
      </c>
      <c r="E8021" s="7" t="s">
        <v>29</v>
      </c>
      <c r="F8021" s="7" t="s">
        <v>194</v>
      </c>
      <c r="G8021" s="7">
        <v>99.942819999999998</v>
      </c>
      <c r="H8021" s="7"/>
    </row>
    <row r="8022" spans="1:8" x14ac:dyDescent="0.35">
      <c r="A8022" s="7" t="s">
        <v>373</v>
      </c>
      <c r="B8022" s="7" t="s">
        <v>26</v>
      </c>
      <c r="C8022" s="7" t="s">
        <v>27</v>
      </c>
      <c r="D8022" s="7" t="s">
        <v>28</v>
      </c>
      <c r="E8022" s="7" t="s">
        <v>29</v>
      </c>
      <c r="F8022" s="7" t="s">
        <v>195</v>
      </c>
      <c r="G8022" s="7">
        <v>99.866380000000007</v>
      </c>
      <c r="H8022" s="7"/>
    </row>
    <row r="8023" spans="1:8" x14ac:dyDescent="0.35">
      <c r="A8023" s="7" t="s">
        <v>373</v>
      </c>
      <c r="B8023" s="7" t="s">
        <v>26</v>
      </c>
      <c r="C8023" s="7" t="s">
        <v>27</v>
      </c>
      <c r="D8023" s="7" t="s">
        <v>28</v>
      </c>
      <c r="E8023" s="7" t="s">
        <v>29</v>
      </c>
      <c r="F8023" s="7" t="s">
        <v>196</v>
      </c>
      <c r="G8023" s="7">
        <v>99.708500000000001</v>
      </c>
      <c r="H8023" s="7"/>
    </row>
    <row r="8024" spans="1:8" x14ac:dyDescent="0.35">
      <c r="A8024" s="7" t="s">
        <v>373</v>
      </c>
      <c r="B8024" s="7" t="s">
        <v>26</v>
      </c>
      <c r="C8024" s="7" t="s">
        <v>27</v>
      </c>
      <c r="D8024" s="7" t="s">
        <v>28</v>
      </c>
      <c r="E8024" s="7" t="s">
        <v>29</v>
      </c>
      <c r="F8024" s="7" t="s">
        <v>197</v>
      </c>
      <c r="G8024" s="7">
        <v>99.560329999999993</v>
      </c>
      <c r="H8024" s="7"/>
    </row>
    <row r="8025" spans="1:8" x14ac:dyDescent="0.35">
      <c r="A8025" s="7" t="s">
        <v>373</v>
      </c>
      <c r="B8025" s="7" t="s">
        <v>26</v>
      </c>
      <c r="C8025" s="7" t="s">
        <v>27</v>
      </c>
      <c r="D8025" s="7" t="s">
        <v>28</v>
      </c>
      <c r="E8025" s="7" t="s">
        <v>29</v>
      </c>
      <c r="F8025" s="7" t="s">
        <v>198</v>
      </c>
      <c r="G8025" s="7">
        <v>99.532970000000006</v>
      </c>
      <c r="H8025" s="7"/>
    </row>
    <row r="8026" spans="1:8" x14ac:dyDescent="0.35">
      <c r="A8026" s="7" t="s">
        <v>373</v>
      </c>
      <c r="B8026" s="7" t="s">
        <v>26</v>
      </c>
      <c r="C8026" s="7" t="s">
        <v>27</v>
      </c>
      <c r="D8026" s="7" t="s">
        <v>28</v>
      </c>
      <c r="E8026" s="7" t="s">
        <v>29</v>
      </c>
      <c r="F8026" s="7" t="s">
        <v>199</v>
      </c>
      <c r="G8026" s="7">
        <v>99.585589999999996</v>
      </c>
      <c r="H8026" s="7"/>
    </row>
    <row r="8027" spans="1:8" x14ac:dyDescent="0.35">
      <c r="A8027" s="7" t="s">
        <v>373</v>
      </c>
      <c r="B8027" s="7" t="s">
        <v>26</v>
      </c>
      <c r="C8027" s="7" t="s">
        <v>27</v>
      </c>
      <c r="D8027" s="7" t="s">
        <v>28</v>
      </c>
      <c r="E8027" s="7" t="s">
        <v>29</v>
      </c>
      <c r="F8027" s="7" t="s">
        <v>200</v>
      </c>
      <c r="G8027" s="7">
        <v>99.636189999999999</v>
      </c>
      <c r="H8027" s="7"/>
    </row>
    <row r="8028" spans="1:8" x14ac:dyDescent="0.35">
      <c r="A8028" s="7" t="s">
        <v>373</v>
      </c>
      <c r="B8028" s="7" t="s">
        <v>26</v>
      </c>
      <c r="C8028" s="7" t="s">
        <v>27</v>
      </c>
      <c r="D8028" s="7" t="s">
        <v>28</v>
      </c>
      <c r="E8028" s="7" t="s">
        <v>29</v>
      </c>
      <c r="F8028" s="7" t="s">
        <v>201</v>
      </c>
      <c r="G8028" s="7">
        <v>99.661090000000002</v>
      </c>
      <c r="H8028" s="7"/>
    </row>
    <row r="8029" spans="1:8" x14ac:dyDescent="0.35">
      <c r="A8029" s="7" t="s">
        <v>373</v>
      </c>
      <c r="B8029" s="7" t="s">
        <v>26</v>
      </c>
      <c r="C8029" s="7" t="s">
        <v>27</v>
      </c>
      <c r="D8029" s="7" t="s">
        <v>28</v>
      </c>
      <c r="E8029" s="7" t="s">
        <v>29</v>
      </c>
      <c r="F8029" s="7" t="s">
        <v>202</v>
      </c>
      <c r="G8029" s="7">
        <v>99.689340000000001</v>
      </c>
      <c r="H8029" s="7"/>
    </row>
    <row r="8030" spans="1:8" x14ac:dyDescent="0.35">
      <c r="A8030" s="7" t="s">
        <v>373</v>
      </c>
      <c r="B8030" s="7" t="s">
        <v>26</v>
      </c>
      <c r="C8030" s="7" t="s">
        <v>27</v>
      </c>
      <c r="D8030" s="7" t="s">
        <v>28</v>
      </c>
      <c r="E8030" s="7" t="s">
        <v>29</v>
      </c>
      <c r="F8030" s="7" t="s">
        <v>203</v>
      </c>
      <c r="G8030" s="7">
        <v>99.695819999999998</v>
      </c>
      <c r="H8030" s="7"/>
    </row>
    <row r="8031" spans="1:8" x14ac:dyDescent="0.35">
      <c r="A8031" s="7" t="s">
        <v>373</v>
      </c>
      <c r="B8031" s="7" t="s">
        <v>26</v>
      </c>
      <c r="C8031" s="7" t="s">
        <v>27</v>
      </c>
      <c r="D8031" s="7" t="s">
        <v>28</v>
      </c>
      <c r="E8031" s="7" t="s">
        <v>29</v>
      </c>
      <c r="F8031" s="7" t="s">
        <v>204</v>
      </c>
      <c r="G8031" s="7">
        <v>99.714439999999996</v>
      </c>
      <c r="H8031" s="7"/>
    </row>
    <row r="8032" spans="1:8" x14ac:dyDescent="0.35">
      <c r="A8032" s="7" t="s">
        <v>373</v>
      </c>
      <c r="B8032" s="7" t="s">
        <v>26</v>
      </c>
      <c r="C8032" s="7" t="s">
        <v>27</v>
      </c>
      <c r="D8032" s="7" t="s">
        <v>28</v>
      </c>
      <c r="E8032" s="7" t="s">
        <v>29</v>
      </c>
      <c r="F8032" s="7" t="s">
        <v>205</v>
      </c>
      <c r="G8032" s="7">
        <v>99.758579999999995</v>
      </c>
      <c r="H8032" s="7"/>
    </row>
    <row r="8033" spans="1:8" x14ac:dyDescent="0.35">
      <c r="A8033" s="7" t="s">
        <v>373</v>
      </c>
      <c r="B8033" s="7" t="s">
        <v>26</v>
      </c>
      <c r="C8033" s="7" t="s">
        <v>27</v>
      </c>
      <c r="D8033" s="7" t="s">
        <v>28</v>
      </c>
      <c r="E8033" s="7" t="s">
        <v>29</v>
      </c>
      <c r="F8033" s="7" t="s">
        <v>206</v>
      </c>
      <c r="G8033" s="7">
        <v>99.809200000000004</v>
      </c>
      <c r="H8033" s="7"/>
    </row>
    <row r="8034" spans="1:8" x14ac:dyDescent="0.35">
      <c r="A8034" s="7" t="s">
        <v>373</v>
      </c>
      <c r="B8034" s="7" t="s">
        <v>26</v>
      </c>
      <c r="C8034" s="7" t="s">
        <v>27</v>
      </c>
      <c r="D8034" s="7" t="s">
        <v>28</v>
      </c>
      <c r="E8034" s="7" t="s">
        <v>29</v>
      </c>
      <c r="F8034" s="7" t="s">
        <v>207</v>
      </c>
      <c r="G8034" s="7">
        <v>99.843019999999996</v>
      </c>
      <c r="H8034" s="7"/>
    </row>
    <row r="8035" spans="1:8" x14ac:dyDescent="0.35">
      <c r="A8035" s="7" t="s">
        <v>373</v>
      </c>
      <c r="B8035" s="7" t="s">
        <v>26</v>
      </c>
      <c r="C8035" s="7" t="s">
        <v>27</v>
      </c>
      <c r="D8035" s="7" t="s">
        <v>28</v>
      </c>
      <c r="E8035" s="7" t="s">
        <v>29</v>
      </c>
      <c r="F8035" s="7" t="s">
        <v>208</v>
      </c>
      <c r="G8035" s="7">
        <v>99.888040000000004</v>
      </c>
      <c r="H8035" s="7"/>
    </row>
    <row r="8036" spans="1:8" x14ac:dyDescent="0.35">
      <c r="A8036" s="7" t="s">
        <v>373</v>
      </c>
      <c r="B8036" s="7" t="s">
        <v>26</v>
      </c>
      <c r="C8036" s="7" t="s">
        <v>27</v>
      </c>
      <c r="D8036" s="7" t="s">
        <v>28</v>
      </c>
      <c r="E8036" s="7" t="s">
        <v>29</v>
      </c>
      <c r="F8036" s="7" t="s">
        <v>209</v>
      </c>
      <c r="G8036" s="7">
        <v>99.932860000000005</v>
      </c>
      <c r="H8036" s="7"/>
    </row>
    <row r="8037" spans="1:8" x14ac:dyDescent="0.35">
      <c r="A8037" s="7" t="s">
        <v>373</v>
      </c>
      <c r="B8037" s="7" t="s">
        <v>26</v>
      </c>
      <c r="C8037" s="7" t="s">
        <v>27</v>
      </c>
      <c r="D8037" s="7" t="s">
        <v>28</v>
      </c>
      <c r="E8037" s="7" t="s">
        <v>29</v>
      </c>
      <c r="F8037" s="7" t="s">
        <v>210</v>
      </c>
      <c r="G8037" s="7">
        <v>99.955119999999994</v>
      </c>
      <c r="H8037" s="7"/>
    </row>
    <row r="8038" spans="1:8" x14ac:dyDescent="0.35">
      <c r="A8038" s="7" t="s">
        <v>373</v>
      </c>
      <c r="B8038" s="7" t="s">
        <v>26</v>
      </c>
      <c r="C8038" s="7" t="s">
        <v>27</v>
      </c>
      <c r="D8038" s="7" t="s">
        <v>28</v>
      </c>
      <c r="E8038" s="7" t="s">
        <v>29</v>
      </c>
      <c r="F8038" s="7" t="s">
        <v>211</v>
      </c>
      <c r="G8038" s="7">
        <v>99.924570000000003</v>
      </c>
      <c r="H8038" s="7"/>
    </row>
    <row r="8039" spans="1:8" x14ac:dyDescent="0.35">
      <c r="A8039" s="7" t="s">
        <v>373</v>
      </c>
      <c r="B8039" s="7" t="s">
        <v>26</v>
      </c>
      <c r="C8039" s="7" t="s">
        <v>27</v>
      </c>
      <c r="D8039" s="7" t="s">
        <v>28</v>
      </c>
      <c r="E8039" s="7" t="s">
        <v>29</v>
      </c>
      <c r="F8039" s="7" t="s">
        <v>212</v>
      </c>
      <c r="G8039" s="7">
        <v>99.864699999999999</v>
      </c>
      <c r="H8039" s="7"/>
    </row>
    <row r="8040" spans="1:8" x14ac:dyDescent="0.35">
      <c r="A8040" s="7" t="s">
        <v>373</v>
      </c>
      <c r="B8040" s="7" t="s">
        <v>26</v>
      </c>
      <c r="C8040" s="7" t="s">
        <v>27</v>
      </c>
      <c r="D8040" s="7" t="s">
        <v>28</v>
      </c>
      <c r="E8040" s="7" t="s">
        <v>29</v>
      </c>
      <c r="F8040" s="7" t="s">
        <v>213</v>
      </c>
      <c r="G8040" s="7">
        <v>99.823809999999995</v>
      </c>
      <c r="H8040" s="7"/>
    </row>
    <row r="8041" spans="1:8" x14ac:dyDescent="0.35">
      <c r="A8041" s="7" t="s">
        <v>373</v>
      </c>
      <c r="B8041" s="7" t="s">
        <v>26</v>
      </c>
      <c r="C8041" s="7" t="s">
        <v>27</v>
      </c>
      <c r="D8041" s="7" t="s">
        <v>28</v>
      </c>
      <c r="E8041" s="7" t="s">
        <v>29</v>
      </c>
      <c r="F8041" s="7" t="s">
        <v>214</v>
      </c>
      <c r="G8041" s="7">
        <v>99.825710000000001</v>
      </c>
      <c r="H8041" s="7"/>
    </row>
    <row r="8042" spans="1:8" x14ac:dyDescent="0.35">
      <c r="A8042" s="7" t="s">
        <v>373</v>
      </c>
      <c r="B8042" s="7" t="s">
        <v>26</v>
      </c>
      <c r="C8042" s="7" t="s">
        <v>27</v>
      </c>
      <c r="D8042" s="7" t="s">
        <v>28</v>
      </c>
      <c r="E8042" s="7" t="s">
        <v>29</v>
      </c>
      <c r="F8042" s="7" t="s">
        <v>215</v>
      </c>
      <c r="G8042" s="7">
        <v>99.856539999999995</v>
      </c>
      <c r="H8042" s="7"/>
    </row>
    <row r="8043" spans="1:8" x14ac:dyDescent="0.35">
      <c r="A8043" s="7" t="s">
        <v>373</v>
      </c>
      <c r="B8043" s="7" t="s">
        <v>26</v>
      </c>
      <c r="C8043" s="7" t="s">
        <v>27</v>
      </c>
      <c r="D8043" s="7" t="s">
        <v>28</v>
      </c>
      <c r="E8043" s="7" t="s">
        <v>29</v>
      </c>
      <c r="F8043" s="7" t="s">
        <v>216</v>
      </c>
      <c r="G8043" s="7">
        <v>99.884929999999997</v>
      </c>
      <c r="H8043" s="7"/>
    </row>
    <row r="8044" spans="1:8" x14ac:dyDescent="0.35">
      <c r="A8044" s="7" t="s">
        <v>373</v>
      </c>
      <c r="B8044" s="7" t="s">
        <v>26</v>
      </c>
      <c r="C8044" s="7" t="s">
        <v>27</v>
      </c>
      <c r="D8044" s="7" t="s">
        <v>28</v>
      </c>
      <c r="E8044" s="7" t="s">
        <v>29</v>
      </c>
      <c r="F8044" s="7" t="s">
        <v>217</v>
      </c>
      <c r="G8044" s="7">
        <v>99.888279999999995</v>
      </c>
      <c r="H8044" s="7"/>
    </row>
    <row r="8045" spans="1:8" x14ac:dyDescent="0.35">
      <c r="A8045" s="7" t="s">
        <v>373</v>
      </c>
      <c r="B8045" s="7" t="s">
        <v>26</v>
      </c>
      <c r="C8045" s="7" t="s">
        <v>27</v>
      </c>
      <c r="D8045" s="7" t="s">
        <v>28</v>
      </c>
      <c r="E8045" s="7" t="s">
        <v>29</v>
      </c>
      <c r="F8045" s="7" t="s">
        <v>218</v>
      </c>
      <c r="G8045" s="7">
        <v>99.894580000000005</v>
      </c>
      <c r="H8045" s="7"/>
    </row>
    <row r="8046" spans="1:8" x14ac:dyDescent="0.35">
      <c r="A8046" s="7" t="s">
        <v>373</v>
      </c>
      <c r="B8046" s="7" t="s">
        <v>26</v>
      </c>
      <c r="C8046" s="7" t="s">
        <v>27</v>
      </c>
      <c r="D8046" s="7" t="s">
        <v>28</v>
      </c>
      <c r="E8046" s="7" t="s">
        <v>29</v>
      </c>
      <c r="F8046" s="7" t="s">
        <v>219</v>
      </c>
      <c r="G8046" s="7">
        <v>99.910960000000003</v>
      </c>
      <c r="H8046" s="7"/>
    </row>
    <row r="8047" spans="1:8" x14ac:dyDescent="0.35">
      <c r="A8047" s="7" t="s">
        <v>373</v>
      </c>
      <c r="B8047" s="7" t="s">
        <v>26</v>
      </c>
      <c r="C8047" s="7" t="s">
        <v>27</v>
      </c>
      <c r="D8047" s="7" t="s">
        <v>28</v>
      </c>
      <c r="E8047" s="7" t="s">
        <v>29</v>
      </c>
      <c r="F8047" s="7" t="s">
        <v>220</v>
      </c>
      <c r="G8047" s="7">
        <v>99.931550000000001</v>
      </c>
      <c r="H8047" s="7"/>
    </row>
    <row r="8048" spans="1:8" x14ac:dyDescent="0.35">
      <c r="A8048" s="7" t="s">
        <v>373</v>
      </c>
      <c r="B8048" s="7" t="s">
        <v>26</v>
      </c>
      <c r="C8048" s="7" t="s">
        <v>27</v>
      </c>
      <c r="D8048" s="7" t="s">
        <v>28</v>
      </c>
      <c r="E8048" s="7" t="s">
        <v>29</v>
      </c>
      <c r="F8048" s="7" t="s">
        <v>221</v>
      </c>
      <c r="G8048" s="7">
        <v>99.962760000000003</v>
      </c>
      <c r="H8048" s="7"/>
    </row>
    <row r="8049" spans="1:8" x14ac:dyDescent="0.35">
      <c r="A8049" s="7" t="s">
        <v>373</v>
      </c>
      <c r="B8049" s="7" t="s">
        <v>26</v>
      </c>
      <c r="C8049" s="7" t="s">
        <v>27</v>
      </c>
      <c r="D8049" s="7" t="s">
        <v>28</v>
      </c>
      <c r="E8049" s="7" t="s">
        <v>29</v>
      </c>
      <c r="F8049" s="7" t="s">
        <v>222</v>
      </c>
      <c r="G8049" s="7">
        <v>99.96996</v>
      </c>
      <c r="H8049" s="7"/>
    </row>
    <row r="8050" spans="1:8" x14ac:dyDescent="0.35">
      <c r="A8050" s="7" t="s">
        <v>373</v>
      </c>
      <c r="B8050" s="7" t="s">
        <v>26</v>
      </c>
      <c r="C8050" s="7" t="s">
        <v>27</v>
      </c>
      <c r="D8050" s="7" t="s">
        <v>28</v>
      </c>
      <c r="E8050" s="7" t="s">
        <v>29</v>
      </c>
      <c r="F8050" s="7" t="s">
        <v>223</v>
      </c>
      <c r="G8050" s="7">
        <v>99.932749999999999</v>
      </c>
      <c r="H8050" s="7"/>
    </row>
    <row r="8051" spans="1:8" x14ac:dyDescent="0.35">
      <c r="A8051" s="7" t="s">
        <v>373</v>
      </c>
      <c r="B8051" s="7" t="s">
        <v>26</v>
      </c>
      <c r="C8051" s="7" t="s">
        <v>27</v>
      </c>
      <c r="D8051" s="7" t="s">
        <v>28</v>
      </c>
      <c r="E8051" s="7" t="s">
        <v>29</v>
      </c>
      <c r="F8051" s="7" t="s">
        <v>224</v>
      </c>
      <c r="G8051" s="7">
        <v>99.862859999999998</v>
      </c>
      <c r="H8051" s="7"/>
    </row>
    <row r="8052" spans="1:8" x14ac:dyDescent="0.35">
      <c r="A8052" s="7" t="s">
        <v>373</v>
      </c>
      <c r="B8052" s="7" t="s">
        <v>26</v>
      </c>
      <c r="C8052" s="7" t="s">
        <v>27</v>
      </c>
      <c r="D8052" s="7" t="s">
        <v>28</v>
      </c>
      <c r="E8052" s="7" t="s">
        <v>29</v>
      </c>
      <c r="F8052" s="7" t="s">
        <v>225</v>
      </c>
      <c r="G8052" s="7">
        <v>99.787530000000004</v>
      </c>
      <c r="H8052" s="7"/>
    </row>
    <row r="8053" spans="1:8" x14ac:dyDescent="0.35">
      <c r="A8053" s="7" t="s">
        <v>373</v>
      </c>
      <c r="B8053" s="7" t="s">
        <v>26</v>
      </c>
      <c r="C8053" s="7" t="s">
        <v>27</v>
      </c>
      <c r="D8053" s="7" t="s">
        <v>28</v>
      </c>
      <c r="E8053" s="7" t="s">
        <v>29</v>
      </c>
      <c r="F8053" s="7" t="s">
        <v>226</v>
      </c>
      <c r="G8053" s="7">
        <v>99.708299999999994</v>
      </c>
      <c r="H8053" s="7"/>
    </row>
    <row r="8054" spans="1:8" x14ac:dyDescent="0.35">
      <c r="A8054" s="7" t="s">
        <v>373</v>
      </c>
      <c r="B8054" s="7" t="s">
        <v>26</v>
      </c>
      <c r="C8054" s="7" t="s">
        <v>27</v>
      </c>
      <c r="D8054" s="7" t="s">
        <v>28</v>
      </c>
      <c r="E8054" s="7" t="s">
        <v>29</v>
      </c>
      <c r="F8054" s="7" t="s">
        <v>227</v>
      </c>
      <c r="G8054" s="7">
        <v>99.623639999999995</v>
      </c>
      <c r="H8054" s="7"/>
    </row>
    <row r="8055" spans="1:8" x14ac:dyDescent="0.35">
      <c r="A8055" s="7" t="s">
        <v>373</v>
      </c>
      <c r="B8055" s="7" t="s">
        <v>26</v>
      </c>
      <c r="C8055" s="7" t="s">
        <v>27</v>
      </c>
      <c r="D8055" s="7" t="s">
        <v>28</v>
      </c>
      <c r="E8055" s="7" t="s">
        <v>29</v>
      </c>
      <c r="F8055" s="7" t="s">
        <v>228</v>
      </c>
      <c r="G8055" s="7">
        <v>99.547780000000003</v>
      </c>
      <c r="H8055" s="7"/>
    </row>
    <row r="8056" spans="1:8" x14ac:dyDescent="0.35">
      <c r="A8056" s="7" t="s">
        <v>373</v>
      </c>
      <c r="B8056" s="7" t="s">
        <v>26</v>
      </c>
      <c r="C8056" s="7" t="s">
        <v>27</v>
      </c>
      <c r="D8056" s="7" t="s">
        <v>28</v>
      </c>
      <c r="E8056" s="7" t="s">
        <v>29</v>
      </c>
      <c r="F8056" s="7" t="s">
        <v>229</v>
      </c>
      <c r="G8056" s="7">
        <v>99.519739999999999</v>
      </c>
      <c r="H8056" s="7"/>
    </row>
    <row r="8057" spans="1:8" x14ac:dyDescent="0.35">
      <c r="A8057" s="7" t="s">
        <v>373</v>
      </c>
      <c r="B8057" s="7" t="s">
        <v>26</v>
      </c>
      <c r="C8057" s="7" t="s">
        <v>27</v>
      </c>
      <c r="D8057" s="7" t="s">
        <v>28</v>
      </c>
      <c r="E8057" s="7" t="s">
        <v>29</v>
      </c>
      <c r="F8057" s="7" t="s">
        <v>230</v>
      </c>
      <c r="G8057" s="7">
        <v>99.572550000000007</v>
      </c>
      <c r="H8057" s="7"/>
    </row>
    <row r="8058" spans="1:8" x14ac:dyDescent="0.35">
      <c r="A8058" s="7" t="s">
        <v>373</v>
      </c>
      <c r="B8058" s="7" t="s">
        <v>26</v>
      </c>
      <c r="C8058" s="7" t="s">
        <v>27</v>
      </c>
      <c r="D8058" s="7" t="s">
        <v>28</v>
      </c>
      <c r="E8058" s="7" t="s">
        <v>29</v>
      </c>
      <c r="F8058" s="7" t="s">
        <v>231</v>
      </c>
      <c r="G8058" s="7">
        <v>99.679670000000002</v>
      </c>
      <c r="H8058" s="7"/>
    </row>
    <row r="8059" spans="1:8" x14ac:dyDescent="0.35">
      <c r="A8059" s="7" t="s">
        <v>373</v>
      </c>
      <c r="B8059" s="7" t="s">
        <v>26</v>
      </c>
      <c r="C8059" s="7" t="s">
        <v>27</v>
      </c>
      <c r="D8059" s="7" t="s">
        <v>28</v>
      </c>
      <c r="E8059" s="7" t="s">
        <v>29</v>
      </c>
      <c r="F8059" s="7" t="s">
        <v>232</v>
      </c>
      <c r="G8059" s="7">
        <v>99.776219999999995</v>
      </c>
      <c r="H8059" s="7"/>
    </row>
    <row r="8060" spans="1:8" x14ac:dyDescent="0.35">
      <c r="A8060" s="7" t="s">
        <v>373</v>
      </c>
      <c r="B8060" s="7" t="s">
        <v>26</v>
      </c>
      <c r="C8060" s="7" t="s">
        <v>27</v>
      </c>
      <c r="D8060" s="7" t="s">
        <v>28</v>
      </c>
      <c r="E8060" s="7" t="s">
        <v>29</v>
      </c>
      <c r="F8060" s="7" t="s">
        <v>233</v>
      </c>
      <c r="G8060" s="7">
        <v>99.826840000000004</v>
      </c>
      <c r="H8060" s="7"/>
    </row>
    <row r="8061" spans="1:8" x14ac:dyDescent="0.35">
      <c r="A8061" s="7" t="s">
        <v>373</v>
      </c>
      <c r="B8061" s="7" t="s">
        <v>26</v>
      </c>
      <c r="C8061" s="7" t="s">
        <v>27</v>
      </c>
      <c r="D8061" s="7" t="s">
        <v>28</v>
      </c>
      <c r="E8061" s="7" t="s">
        <v>29</v>
      </c>
      <c r="F8061" s="7" t="s">
        <v>234</v>
      </c>
      <c r="G8061" s="7">
        <v>99.831450000000004</v>
      </c>
      <c r="H8061" s="7"/>
    </row>
    <row r="8062" spans="1:8" x14ac:dyDescent="0.35">
      <c r="A8062" s="7" t="s">
        <v>373</v>
      </c>
      <c r="B8062" s="7" t="s">
        <v>26</v>
      </c>
      <c r="C8062" s="7" t="s">
        <v>27</v>
      </c>
      <c r="D8062" s="7" t="s">
        <v>28</v>
      </c>
      <c r="E8062" s="7" t="s">
        <v>29</v>
      </c>
      <c r="F8062" s="7" t="s">
        <v>235</v>
      </c>
      <c r="G8062" s="7">
        <v>99.806139999999999</v>
      </c>
      <c r="H8062" s="7"/>
    </row>
    <row r="8063" spans="1:8" x14ac:dyDescent="0.35">
      <c r="A8063" s="7" t="s">
        <v>373</v>
      </c>
      <c r="B8063" s="7" t="s">
        <v>26</v>
      </c>
      <c r="C8063" s="7" t="s">
        <v>27</v>
      </c>
      <c r="D8063" s="7" t="s">
        <v>28</v>
      </c>
      <c r="E8063" s="7" t="s">
        <v>29</v>
      </c>
      <c r="F8063" s="7" t="s">
        <v>236</v>
      </c>
      <c r="G8063" s="7">
        <v>99.81747</v>
      </c>
      <c r="H8063" s="7"/>
    </row>
    <row r="8064" spans="1:8" x14ac:dyDescent="0.35">
      <c r="A8064" s="7" t="s">
        <v>373</v>
      </c>
      <c r="B8064" s="7" t="s">
        <v>26</v>
      </c>
      <c r="C8064" s="7" t="s">
        <v>27</v>
      </c>
      <c r="D8064" s="7" t="s">
        <v>28</v>
      </c>
      <c r="E8064" s="7" t="s">
        <v>29</v>
      </c>
      <c r="F8064" s="7" t="s">
        <v>237</v>
      </c>
      <c r="G8064" s="7">
        <v>99.868700000000004</v>
      </c>
      <c r="H8064" s="7"/>
    </row>
    <row r="8065" spans="1:8" x14ac:dyDescent="0.35">
      <c r="A8065" s="7" t="s">
        <v>373</v>
      </c>
      <c r="B8065" s="7" t="s">
        <v>26</v>
      </c>
      <c r="C8065" s="7" t="s">
        <v>27</v>
      </c>
      <c r="D8065" s="7" t="s">
        <v>28</v>
      </c>
      <c r="E8065" s="7" t="s">
        <v>29</v>
      </c>
      <c r="F8065" s="7" t="s">
        <v>238</v>
      </c>
      <c r="G8065" s="7">
        <v>99.941190000000006</v>
      </c>
      <c r="H8065" s="7"/>
    </row>
    <row r="8066" spans="1:8" x14ac:dyDescent="0.35">
      <c r="A8066" s="7" t="s">
        <v>373</v>
      </c>
      <c r="B8066" s="7" t="s">
        <v>26</v>
      </c>
      <c r="C8066" s="7" t="s">
        <v>27</v>
      </c>
      <c r="D8066" s="7" t="s">
        <v>28</v>
      </c>
      <c r="E8066" s="7" t="s">
        <v>29</v>
      </c>
      <c r="F8066" s="7" t="s">
        <v>239</v>
      </c>
      <c r="G8066" s="7">
        <v>100.03</v>
      </c>
      <c r="H8066" s="7"/>
    </row>
    <row r="8067" spans="1:8" x14ac:dyDescent="0.35">
      <c r="A8067" s="7" t="s">
        <v>373</v>
      </c>
      <c r="B8067" s="7" t="s">
        <v>26</v>
      </c>
      <c r="C8067" s="7" t="s">
        <v>27</v>
      </c>
      <c r="D8067" s="7" t="s">
        <v>28</v>
      </c>
      <c r="E8067" s="7" t="s">
        <v>29</v>
      </c>
      <c r="F8067" s="7" t="s">
        <v>240</v>
      </c>
      <c r="G8067" s="7">
        <v>100.12520000000001</v>
      </c>
      <c r="H8067" s="7"/>
    </row>
    <row r="8068" spans="1:8" x14ac:dyDescent="0.35">
      <c r="A8068" s="7" t="s">
        <v>373</v>
      </c>
      <c r="B8068" s="7" t="s">
        <v>26</v>
      </c>
      <c r="C8068" s="7" t="s">
        <v>27</v>
      </c>
      <c r="D8068" s="7" t="s">
        <v>28</v>
      </c>
      <c r="E8068" s="7" t="s">
        <v>29</v>
      </c>
      <c r="F8068" s="7" t="s">
        <v>241</v>
      </c>
      <c r="G8068" s="7">
        <v>100.2183</v>
      </c>
      <c r="H8068" s="7"/>
    </row>
    <row r="8069" spans="1:8" x14ac:dyDescent="0.35">
      <c r="A8069" s="7" t="s">
        <v>373</v>
      </c>
      <c r="B8069" s="7" t="s">
        <v>26</v>
      </c>
      <c r="C8069" s="7" t="s">
        <v>27</v>
      </c>
      <c r="D8069" s="7" t="s">
        <v>28</v>
      </c>
      <c r="E8069" s="7" t="s">
        <v>29</v>
      </c>
      <c r="F8069" s="7" t="s">
        <v>242</v>
      </c>
      <c r="G8069" s="7">
        <v>100.2916</v>
      </c>
      <c r="H8069" s="7"/>
    </row>
    <row r="8070" spans="1:8" x14ac:dyDescent="0.35">
      <c r="A8070" s="7" t="s">
        <v>373</v>
      </c>
      <c r="B8070" s="7" t="s">
        <v>26</v>
      </c>
      <c r="C8070" s="7" t="s">
        <v>27</v>
      </c>
      <c r="D8070" s="7" t="s">
        <v>28</v>
      </c>
      <c r="E8070" s="7" t="s">
        <v>29</v>
      </c>
      <c r="F8070" s="7" t="s">
        <v>243</v>
      </c>
      <c r="G8070" s="7">
        <v>100.30119999999999</v>
      </c>
      <c r="H8070" s="7"/>
    </row>
    <row r="8071" spans="1:8" x14ac:dyDescent="0.35">
      <c r="A8071" s="7" t="s">
        <v>373</v>
      </c>
      <c r="B8071" s="7" t="s">
        <v>26</v>
      </c>
      <c r="C8071" s="7" t="s">
        <v>27</v>
      </c>
      <c r="D8071" s="7" t="s">
        <v>28</v>
      </c>
      <c r="E8071" s="7" t="s">
        <v>29</v>
      </c>
      <c r="F8071" s="7" t="s">
        <v>244</v>
      </c>
      <c r="G8071" s="7">
        <v>100.2594</v>
      </c>
      <c r="H8071" s="7"/>
    </row>
    <row r="8072" spans="1:8" x14ac:dyDescent="0.35">
      <c r="A8072" s="7" t="s">
        <v>373</v>
      </c>
      <c r="B8072" s="7" t="s">
        <v>26</v>
      </c>
      <c r="C8072" s="7" t="s">
        <v>27</v>
      </c>
      <c r="D8072" s="7" t="s">
        <v>28</v>
      </c>
      <c r="E8072" s="7" t="s">
        <v>29</v>
      </c>
      <c r="F8072" s="7" t="s">
        <v>245</v>
      </c>
      <c r="G8072" s="7">
        <v>100.1979</v>
      </c>
      <c r="H8072" s="7"/>
    </row>
    <row r="8073" spans="1:8" x14ac:dyDescent="0.35">
      <c r="A8073" s="7" t="s">
        <v>373</v>
      </c>
      <c r="B8073" s="7" t="s">
        <v>26</v>
      </c>
      <c r="C8073" s="7" t="s">
        <v>27</v>
      </c>
      <c r="D8073" s="7" t="s">
        <v>28</v>
      </c>
      <c r="E8073" s="7" t="s">
        <v>29</v>
      </c>
      <c r="F8073" s="7" t="s">
        <v>246</v>
      </c>
      <c r="G8073" s="7">
        <v>100.1247</v>
      </c>
      <c r="H8073" s="7"/>
    </row>
    <row r="8074" spans="1:8" x14ac:dyDescent="0.35">
      <c r="A8074" s="7" t="s">
        <v>373</v>
      </c>
      <c r="B8074" s="7" t="s">
        <v>26</v>
      </c>
      <c r="C8074" s="7" t="s">
        <v>27</v>
      </c>
      <c r="D8074" s="7" t="s">
        <v>28</v>
      </c>
      <c r="E8074" s="7" t="s">
        <v>29</v>
      </c>
      <c r="F8074" s="7" t="s">
        <v>247</v>
      </c>
      <c r="G8074" s="7">
        <v>100.06489999999999</v>
      </c>
      <c r="H8074" s="7"/>
    </row>
    <row r="8075" spans="1:8" x14ac:dyDescent="0.35">
      <c r="A8075" s="7" t="s">
        <v>373</v>
      </c>
      <c r="B8075" s="7" t="s">
        <v>26</v>
      </c>
      <c r="C8075" s="7" t="s">
        <v>27</v>
      </c>
      <c r="D8075" s="7" t="s">
        <v>28</v>
      </c>
      <c r="E8075" s="7" t="s">
        <v>29</v>
      </c>
      <c r="F8075" s="7" t="s">
        <v>248</v>
      </c>
      <c r="G8075" s="7">
        <v>100.05410000000001</v>
      </c>
      <c r="H8075" s="7"/>
    </row>
    <row r="8076" spans="1:8" x14ac:dyDescent="0.35">
      <c r="A8076" s="7" t="s">
        <v>373</v>
      </c>
      <c r="B8076" s="7" t="s">
        <v>26</v>
      </c>
      <c r="C8076" s="7" t="s">
        <v>27</v>
      </c>
      <c r="D8076" s="7" t="s">
        <v>28</v>
      </c>
      <c r="E8076" s="7" t="s">
        <v>29</v>
      </c>
      <c r="F8076" s="7" t="s">
        <v>249</v>
      </c>
      <c r="G8076" s="7">
        <v>100.0776</v>
      </c>
      <c r="H8076" s="7"/>
    </row>
    <row r="8077" spans="1:8" x14ac:dyDescent="0.35">
      <c r="A8077" s="7" t="s">
        <v>373</v>
      </c>
      <c r="B8077" s="7" t="s">
        <v>26</v>
      </c>
      <c r="C8077" s="7" t="s">
        <v>27</v>
      </c>
      <c r="D8077" s="7" t="s">
        <v>28</v>
      </c>
      <c r="E8077" s="7" t="s">
        <v>29</v>
      </c>
      <c r="F8077" s="7" t="s">
        <v>250</v>
      </c>
      <c r="G8077" s="7">
        <v>100.083</v>
      </c>
      <c r="H8077" s="7"/>
    </row>
    <row r="8078" spans="1:8" x14ac:dyDescent="0.35">
      <c r="A8078" s="7" t="s">
        <v>373</v>
      </c>
      <c r="B8078" s="7" t="s">
        <v>26</v>
      </c>
      <c r="C8078" s="7" t="s">
        <v>27</v>
      </c>
      <c r="D8078" s="7" t="s">
        <v>28</v>
      </c>
      <c r="E8078" s="7" t="s">
        <v>29</v>
      </c>
      <c r="F8078" s="7" t="s">
        <v>251</v>
      </c>
      <c r="G8078" s="7">
        <v>100.0489</v>
      </c>
      <c r="H8078" s="7"/>
    </row>
    <row r="8079" spans="1:8" x14ac:dyDescent="0.35">
      <c r="A8079" s="7" t="s">
        <v>373</v>
      </c>
      <c r="B8079" s="7" t="s">
        <v>26</v>
      </c>
      <c r="C8079" s="7" t="s">
        <v>27</v>
      </c>
      <c r="D8079" s="7" t="s">
        <v>28</v>
      </c>
      <c r="E8079" s="7" t="s">
        <v>29</v>
      </c>
      <c r="F8079" s="7" t="s">
        <v>252</v>
      </c>
      <c r="G8079" s="7">
        <v>99.994510000000005</v>
      </c>
      <c r="H8079" s="7"/>
    </row>
    <row r="8080" spans="1:8" x14ac:dyDescent="0.35">
      <c r="A8080" s="7" t="s">
        <v>373</v>
      </c>
      <c r="B8080" s="7" t="s">
        <v>26</v>
      </c>
      <c r="C8080" s="7" t="s">
        <v>27</v>
      </c>
      <c r="D8080" s="7" t="s">
        <v>28</v>
      </c>
      <c r="E8080" s="7" t="s">
        <v>29</v>
      </c>
      <c r="F8080" s="7" t="s">
        <v>253</v>
      </c>
      <c r="G8080" s="7">
        <v>99.977969999999999</v>
      </c>
      <c r="H8080" s="7"/>
    </row>
    <row r="8081" spans="1:8" x14ac:dyDescent="0.35">
      <c r="A8081" s="7" t="s">
        <v>373</v>
      </c>
      <c r="B8081" s="7" t="s">
        <v>26</v>
      </c>
      <c r="C8081" s="7" t="s">
        <v>27</v>
      </c>
      <c r="D8081" s="7" t="s">
        <v>28</v>
      </c>
      <c r="E8081" s="7" t="s">
        <v>29</v>
      </c>
      <c r="F8081" s="7" t="s">
        <v>254</v>
      </c>
      <c r="G8081" s="7">
        <v>100.00920000000001</v>
      </c>
      <c r="H8081" s="7"/>
    </row>
    <row r="8082" spans="1:8" x14ac:dyDescent="0.35">
      <c r="A8082" s="7" t="s">
        <v>373</v>
      </c>
      <c r="B8082" s="7" t="s">
        <v>26</v>
      </c>
      <c r="C8082" s="7" t="s">
        <v>27</v>
      </c>
      <c r="D8082" s="7" t="s">
        <v>28</v>
      </c>
      <c r="E8082" s="7" t="s">
        <v>29</v>
      </c>
      <c r="F8082" s="7" t="s">
        <v>255</v>
      </c>
      <c r="G8082" s="7">
        <v>100.0457</v>
      </c>
      <c r="H8082" s="7"/>
    </row>
    <row r="8083" spans="1:8" x14ac:dyDescent="0.35">
      <c r="A8083" s="7" t="s">
        <v>373</v>
      </c>
      <c r="B8083" s="7" t="s">
        <v>26</v>
      </c>
      <c r="C8083" s="7" t="s">
        <v>27</v>
      </c>
      <c r="D8083" s="7" t="s">
        <v>28</v>
      </c>
      <c r="E8083" s="7" t="s">
        <v>29</v>
      </c>
      <c r="F8083" s="7" t="s">
        <v>256</v>
      </c>
      <c r="G8083" s="7">
        <v>100.0519</v>
      </c>
      <c r="H8083" s="7"/>
    </row>
    <row r="8084" spans="1:8" x14ac:dyDescent="0.35">
      <c r="A8084" s="7" t="s">
        <v>373</v>
      </c>
      <c r="B8084" s="7" t="s">
        <v>26</v>
      </c>
      <c r="C8084" s="7" t="s">
        <v>27</v>
      </c>
      <c r="D8084" s="7" t="s">
        <v>28</v>
      </c>
      <c r="E8084" s="7" t="s">
        <v>29</v>
      </c>
      <c r="F8084" s="7" t="s">
        <v>257</v>
      </c>
      <c r="G8084" s="7">
        <v>100.06950000000001</v>
      </c>
      <c r="H8084" s="7"/>
    </row>
    <row r="8085" spans="1:8" x14ac:dyDescent="0.35">
      <c r="A8085" s="7" t="s">
        <v>373</v>
      </c>
      <c r="B8085" s="7" t="s">
        <v>26</v>
      </c>
      <c r="C8085" s="7" t="s">
        <v>27</v>
      </c>
      <c r="D8085" s="7" t="s">
        <v>28</v>
      </c>
      <c r="E8085" s="7" t="s">
        <v>29</v>
      </c>
      <c r="F8085" s="7" t="s">
        <v>258</v>
      </c>
      <c r="G8085" s="7">
        <v>100.11320000000001</v>
      </c>
      <c r="H8085" s="7"/>
    </row>
    <row r="8086" spans="1:8" x14ac:dyDescent="0.35">
      <c r="A8086" s="7" t="s">
        <v>373</v>
      </c>
      <c r="B8086" s="7" t="s">
        <v>26</v>
      </c>
      <c r="C8086" s="7" t="s">
        <v>27</v>
      </c>
      <c r="D8086" s="7" t="s">
        <v>28</v>
      </c>
      <c r="E8086" s="7" t="s">
        <v>29</v>
      </c>
      <c r="F8086" s="7" t="s">
        <v>259</v>
      </c>
      <c r="G8086" s="7">
        <v>100.173</v>
      </c>
      <c r="H8086" s="7"/>
    </row>
    <row r="8087" spans="1:8" x14ac:dyDescent="0.35">
      <c r="A8087" s="7" t="s">
        <v>373</v>
      </c>
      <c r="B8087" s="7" t="s">
        <v>26</v>
      </c>
      <c r="C8087" s="7" t="s">
        <v>27</v>
      </c>
      <c r="D8087" s="7" t="s">
        <v>28</v>
      </c>
      <c r="E8087" s="7" t="s">
        <v>29</v>
      </c>
      <c r="F8087" s="7" t="s">
        <v>260</v>
      </c>
      <c r="G8087" s="7">
        <v>100.2324</v>
      </c>
      <c r="H8087" s="7"/>
    </row>
    <row r="8088" spans="1:8" x14ac:dyDescent="0.35">
      <c r="A8088" s="7" t="s">
        <v>373</v>
      </c>
      <c r="B8088" s="7" t="s">
        <v>26</v>
      </c>
      <c r="C8088" s="7" t="s">
        <v>27</v>
      </c>
      <c r="D8088" s="7" t="s">
        <v>28</v>
      </c>
      <c r="E8088" s="7" t="s">
        <v>29</v>
      </c>
      <c r="F8088" s="7" t="s">
        <v>261</v>
      </c>
      <c r="G8088" s="7">
        <v>100.2302</v>
      </c>
      <c r="H8088" s="7"/>
    </row>
    <row r="8089" spans="1:8" x14ac:dyDescent="0.35">
      <c r="A8089" s="7" t="s">
        <v>373</v>
      </c>
      <c r="B8089" s="7" t="s">
        <v>26</v>
      </c>
      <c r="C8089" s="7" t="s">
        <v>27</v>
      </c>
      <c r="D8089" s="7" t="s">
        <v>28</v>
      </c>
      <c r="E8089" s="7" t="s">
        <v>29</v>
      </c>
      <c r="F8089" s="7" t="s">
        <v>262</v>
      </c>
      <c r="G8089" s="7">
        <v>100.1825</v>
      </c>
      <c r="H8089" s="7"/>
    </row>
    <row r="8090" spans="1:8" x14ac:dyDescent="0.35">
      <c r="A8090" s="7" t="s">
        <v>373</v>
      </c>
      <c r="B8090" s="7" t="s">
        <v>26</v>
      </c>
      <c r="C8090" s="7" t="s">
        <v>27</v>
      </c>
      <c r="D8090" s="7" t="s">
        <v>28</v>
      </c>
      <c r="E8090" s="7" t="s">
        <v>29</v>
      </c>
      <c r="F8090" s="7" t="s">
        <v>263</v>
      </c>
      <c r="G8090" s="7">
        <v>100.1468</v>
      </c>
      <c r="H8090" s="7"/>
    </row>
    <row r="8091" spans="1:8" x14ac:dyDescent="0.35">
      <c r="A8091" s="7" t="s">
        <v>373</v>
      </c>
      <c r="B8091" s="7" t="s">
        <v>26</v>
      </c>
      <c r="C8091" s="7" t="s">
        <v>27</v>
      </c>
      <c r="D8091" s="7" t="s">
        <v>28</v>
      </c>
      <c r="E8091" s="7" t="s">
        <v>29</v>
      </c>
      <c r="F8091" s="7" t="s">
        <v>264</v>
      </c>
      <c r="G8091" s="7">
        <v>100.14190000000001</v>
      </c>
      <c r="H8091" s="7"/>
    </row>
    <row r="8092" spans="1:8" x14ac:dyDescent="0.35">
      <c r="A8092" s="7" t="s">
        <v>373</v>
      </c>
      <c r="B8092" s="7" t="s">
        <v>26</v>
      </c>
      <c r="C8092" s="7" t="s">
        <v>27</v>
      </c>
      <c r="D8092" s="7" t="s">
        <v>28</v>
      </c>
      <c r="E8092" s="7" t="s">
        <v>29</v>
      </c>
      <c r="F8092" s="7" t="s">
        <v>265</v>
      </c>
      <c r="G8092" s="7">
        <v>100.1788</v>
      </c>
      <c r="H8092" s="7"/>
    </row>
    <row r="8093" spans="1:8" x14ac:dyDescent="0.35">
      <c r="A8093" s="7" t="s">
        <v>373</v>
      </c>
      <c r="B8093" s="7" t="s">
        <v>26</v>
      </c>
      <c r="C8093" s="7" t="s">
        <v>27</v>
      </c>
      <c r="D8093" s="7" t="s">
        <v>28</v>
      </c>
      <c r="E8093" s="7" t="s">
        <v>29</v>
      </c>
      <c r="F8093" s="7" t="s">
        <v>266</v>
      </c>
      <c r="G8093" s="7">
        <v>100.22669999999999</v>
      </c>
      <c r="H8093" s="7"/>
    </row>
    <row r="8094" spans="1:8" x14ac:dyDescent="0.35">
      <c r="A8094" s="7" t="s">
        <v>373</v>
      </c>
      <c r="B8094" s="7" t="s">
        <v>26</v>
      </c>
      <c r="C8094" s="7" t="s">
        <v>27</v>
      </c>
      <c r="D8094" s="7" t="s">
        <v>28</v>
      </c>
      <c r="E8094" s="7" t="s">
        <v>29</v>
      </c>
      <c r="F8094" s="7" t="s">
        <v>267</v>
      </c>
      <c r="G8094" s="7">
        <v>100.2677</v>
      </c>
      <c r="H8094" s="7"/>
    </row>
    <row r="8095" spans="1:8" x14ac:dyDescent="0.35">
      <c r="A8095" s="7" t="s">
        <v>373</v>
      </c>
      <c r="B8095" s="7" t="s">
        <v>26</v>
      </c>
      <c r="C8095" s="7" t="s">
        <v>27</v>
      </c>
      <c r="D8095" s="7" t="s">
        <v>28</v>
      </c>
      <c r="E8095" s="7" t="s">
        <v>29</v>
      </c>
      <c r="F8095" s="7" t="s">
        <v>268</v>
      </c>
      <c r="G8095" s="7">
        <v>100.31659999999999</v>
      </c>
      <c r="H8095" s="7"/>
    </row>
    <row r="8096" spans="1:8" x14ac:dyDescent="0.35">
      <c r="A8096" s="7" t="s">
        <v>373</v>
      </c>
      <c r="B8096" s="7" t="s">
        <v>26</v>
      </c>
      <c r="C8096" s="7" t="s">
        <v>27</v>
      </c>
      <c r="D8096" s="7" t="s">
        <v>28</v>
      </c>
      <c r="E8096" s="7" t="s">
        <v>29</v>
      </c>
      <c r="F8096" s="7" t="s">
        <v>269</v>
      </c>
      <c r="G8096" s="7">
        <v>100.3496</v>
      </c>
      <c r="H8096" s="7"/>
    </row>
    <row r="8097" spans="1:8" x14ac:dyDescent="0.35">
      <c r="A8097" s="7" t="s">
        <v>373</v>
      </c>
      <c r="B8097" s="7" t="s">
        <v>26</v>
      </c>
      <c r="C8097" s="7" t="s">
        <v>27</v>
      </c>
      <c r="D8097" s="7" t="s">
        <v>28</v>
      </c>
      <c r="E8097" s="7" t="s">
        <v>29</v>
      </c>
      <c r="F8097" s="7" t="s">
        <v>270</v>
      </c>
      <c r="G8097" s="7">
        <v>100.3644</v>
      </c>
      <c r="H8097" s="7"/>
    </row>
    <row r="8098" spans="1:8" x14ac:dyDescent="0.35">
      <c r="A8098" s="7" t="s">
        <v>373</v>
      </c>
      <c r="B8098" s="7" t="s">
        <v>26</v>
      </c>
      <c r="C8098" s="7" t="s">
        <v>27</v>
      </c>
      <c r="D8098" s="7" t="s">
        <v>28</v>
      </c>
      <c r="E8098" s="7" t="s">
        <v>29</v>
      </c>
      <c r="F8098" s="7" t="s">
        <v>271</v>
      </c>
      <c r="G8098" s="7">
        <v>100.3749</v>
      </c>
      <c r="H8098" s="7"/>
    </row>
    <row r="8099" spans="1:8" x14ac:dyDescent="0.35">
      <c r="A8099" s="7" t="s">
        <v>373</v>
      </c>
      <c r="B8099" s="7" t="s">
        <v>26</v>
      </c>
      <c r="C8099" s="7" t="s">
        <v>27</v>
      </c>
      <c r="D8099" s="7" t="s">
        <v>28</v>
      </c>
      <c r="E8099" s="7" t="s">
        <v>29</v>
      </c>
      <c r="F8099" s="7" t="s">
        <v>272</v>
      </c>
      <c r="G8099" s="7">
        <v>100.35</v>
      </c>
      <c r="H8099" s="7"/>
    </row>
    <row r="8100" spans="1:8" x14ac:dyDescent="0.35">
      <c r="A8100" s="7" t="s">
        <v>373</v>
      </c>
      <c r="B8100" s="7" t="s">
        <v>26</v>
      </c>
      <c r="C8100" s="7" t="s">
        <v>27</v>
      </c>
      <c r="D8100" s="7" t="s">
        <v>28</v>
      </c>
      <c r="E8100" s="7" t="s">
        <v>29</v>
      </c>
      <c r="F8100" s="7" t="s">
        <v>273</v>
      </c>
      <c r="G8100" s="7">
        <v>100.2612</v>
      </c>
      <c r="H8100" s="7"/>
    </row>
    <row r="8101" spans="1:8" x14ac:dyDescent="0.35">
      <c r="A8101" s="7" t="s">
        <v>373</v>
      </c>
      <c r="B8101" s="7" t="s">
        <v>26</v>
      </c>
      <c r="C8101" s="7" t="s">
        <v>27</v>
      </c>
      <c r="D8101" s="7" t="s">
        <v>28</v>
      </c>
      <c r="E8101" s="7" t="s">
        <v>29</v>
      </c>
      <c r="F8101" s="7" t="s">
        <v>274</v>
      </c>
      <c r="G8101" s="7">
        <v>100.169</v>
      </c>
      <c r="H8101" s="7"/>
    </row>
    <row r="8102" spans="1:8" x14ac:dyDescent="0.35">
      <c r="A8102" s="7" t="s">
        <v>373</v>
      </c>
      <c r="B8102" s="7" t="s">
        <v>26</v>
      </c>
      <c r="C8102" s="7" t="s">
        <v>27</v>
      </c>
      <c r="D8102" s="7" t="s">
        <v>28</v>
      </c>
      <c r="E8102" s="7" t="s">
        <v>29</v>
      </c>
      <c r="F8102" s="7" t="s">
        <v>275</v>
      </c>
      <c r="G8102" s="7">
        <v>100.13</v>
      </c>
      <c r="H8102" s="7"/>
    </row>
    <row r="8103" spans="1:8" x14ac:dyDescent="0.35">
      <c r="A8103" s="7" t="s">
        <v>373</v>
      </c>
      <c r="B8103" s="7" t="s">
        <v>26</v>
      </c>
      <c r="C8103" s="7" t="s">
        <v>27</v>
      </c>
      <c r="D8103" s="7" t="s">
        <v>28</v>
      </c>
      <c r="E8103" s="7" t="s">
        <v>29</v>
      </c>
      <c r="F8103" s="7" t="s">
        <v>276</v>
      </c>
      <c r="G8103" s="7">
        <v>100.1802</v>
      </c>
      <c r="H8103" s="7"/>
    </row>
    <row r="8104" spans="1:8" x14ac:dyDescent="0.35">
      <c r="A8104" s="7" t="s">
        <v>373</v>
      </c>
      <c r="B8104" s="7" t="s">
        <v>26</v>
      </c>
      <c r="C8104" s="7" t="s">
        <v>27</v>
      </c>
      <c r="D8104" s="7" t="s">
        <v>28</v>
      </c>
      <c r="E8104" s="7" t="s">
        <v>29</v>
      </c>
      <c r="F8104" s="7" t="s">
        <v>277</v>
      </c>
      <c r="G8104" s="7">
        <v>100.25839999999999</v>
      </c>
      <c r="H8104" s="7"/>
    </row>
    <row r="8105" spans="1:8" x14ac:dyDescent="0.35">
      <c r="A8105" s="7" t="s">
        <v>373</v>
      </c>
      <c r="B8105" s="7" t="s">
        <v>26</v>
      </c>
      <c r="C8105" s="7" t="s">
        <v>27</v>
      </c>
      <c r="D8105" s="7" t="s">
        <v>28</v>
      </c>
      <c r="E8105" s="7" t="s">
        <v>29</v>
      </c>
      <c r="F8105" s="7" t="s">
        <v>278</v>
      </c>
      <c r="G8105" s="7">
        <v>100.31480000000001</v>
      </c>
      <c r="H8105" s="7"/>
    </row>
    <row r="8106" spans="1:8" x14ac:dyDescent="0.35">
      <c r="A8106" s="7" t="s">
        <v>373</v>
      </c>
      <c r="B8106" s="7" t="s">
        <v>26</v>
      </c>
      <c r="C8106" s="7" t="s">
        <v>27</v>
      </c>
      <c r="D8106" s="7" t="s">
        <v>28</v>
      </c>
      <c r="E8106" s="7" t="s">
        <v>29</v>
      </c>
      <c r="F8106" s="7" t="s">
        <v>279</v>
      </c>
      <c r="G8106" s="7">
        <v>100.36409999999999</v>
      </c>
      <c r="H8106" s="7"/>
    </row>
    <row r="8107" spans="1:8" x14ac:dyDescent="0.35">
      <c r="A8107" s="7" t="s">
        <v>373</v>
      </c>
      <c r="B8107" s="7" t="s">
        <v>26</v>
      </c>
      <c r="C8107" s="7" t="s">
        <v>27</v>
      </c>
      <c r="D8107" s="7" t="s">
        <v>28</v>
      </c>
      <c r="E8107" s="7" t="s">
        <v>29</v>
      </c>
      <c r="F8107" s="7" t="s">
        <v>280</v>
      </c>
      <c r="G8107" s="7">
        <v>100.4064</v>
      </c>
      <c r="H8107" s="7"/>
    </row>
    <row r="8108" spans="1:8" x14ac:dyDescent="0.35">
      <c r="A8108" s="7" t="s">
        <v>373</v>
      </c>
      <c r="B8108" s="7" t="s">
        <v>26</v>
      </c>
      <c r="C8108" s="7" t="s">
        <v>27</v>
      </c>
      <c r="D8108" s="7" t="s">
        <v>28</v>
      </c>
      <c r="E8108" s="7" t="s">
        <v>29</v>
      </c>
      <c r="F8108" s="7" t="s">
        <v>281</v>
      </c>
      <c r="G8108" s="7">
        <v>100.4327</v>
      </c>
      <c r="H8108" s="7"/>
    </row>
    <row r="8109" spans="1:8" x14ac:dyDescent="0.35">
      <c r="A8109" s="7" t="s">
        <v>373</v>
      </c>
      <c r="B8109" s="7" t="s">
        <v>26</v>
      </c>
      <c r="C8109" s="7" t="s">
        <v>27</v>
      </c>
      <c r="D8109" s="7" t="s">
        <v>28</v>
      </c>
      <c r="E8109" s="7" t="s">
        <v>29</v>
      </c>
      <c r="F8109" s="7" t="s">
        <v>282</v>
      </c>
      <c r="G8109" s="7">
        <v>100.4307</v>
      </c>
      <c r="H8109" s="7"/>
    </row>
    <row r="8110" spans="1:8" x14ac:dyDescent="0.35">
      <c r="A8110" s="7" t="s">
        <v>373</v>
      </c>
      <c r="B8110" s="7" t="s">
        <v>26</v>
      </c>
      <c r="C8110" s="7" t="s">
        <v>27</v>
      </c>
      <c r="D8110" s="7" t="s">
        <v>28</v>
      </c>
      <c r="E8110" s="7" t="s">
        <v>29</v>
      </c>
      <c r="F8110" s="7" t="s">
        <v>283</v>
      </c>
      <c r="G8110" s="7">
        <v>100.40309999999999</v>
      </c>
      <c r="H8110" s="7"/>
    </row>
    <row r="8111" spans="1:8" x14ac:dyDescent="0.35">
      <c r="A8111" s="7" t="s">
        <v>373</v>
      </c>
      <c r="B8111" s="7" t="s">
        <v>26</v>
      </c>
      <c r="C8111" s="7" t="s">
        <v>27</v>
      </c>
      <c r="D8111" s="7" t="s">
        <v>28</v>
      </c>
      <c r="E8111" s="7" t="s">
        <v>29</v>
      </c>
      <c r="F8111" s="7" t="s">
        <v>284</v>
      </c>
      <c r="G8111" s="7">
        <v>100.3832</v>
      </c>
      <c r="H8111" s="7"/>
    </row>
    <row r="8112" spans="1:8" x14ac:dyDescent="0.35">
      <c r="A8112" s="7" t="s">
        <v>373</v>
      </c>
      <c r="B8112" s="7" t="s">
        <v>26</v>
      </c>
      <c r="C8112" s="7" t="s">
        <v>27</v>
      </c>
      <c r="D8112" s="7" t="s">
        <v>28</v>
      </c>
      <c r="E8112" s="7" t="s">
        <v>29</v>
      </c>
      <c r="F8112" s="7" t="s">
        <v>285</v>
      </c>
      <c r="G8112" s="7">
        <v>100.3724</v>
      </c>
      <c r="H8112" s="7"/>
    </row>
    <row r="8113" spans="1:8" x14ac:dyDescent="0.35">
      <c r="A8113" s="7" t="s">
        <v>373</v>
      </c>
      <c r="B8113" s="7" t="s">
        <v>26</v>
      </c>
      <c r="C8113" s="7" t="s">
        <v>27</v>
      </c>
      <c r="D8113" s="7" t="s">
        <v>28</v>
      </c>
      <c r="E8113" s="7" t="s">
        <v>29</v>
      </c>
      <c r="F8113" s="7" t="s">
        <v>286</v>
      </c>
      <c r="G8113" s="7">
        <v>100.3554</v>
      </c>
      <c r="H8113" s="7"/>
    </row>
    <row r="8114" spans="1:8" x14ac:dyDescent="0.35">
      <c r="A8114" s="7" t="s">
        <v>373</v>
      </c>
      <c r="B8114" s="7" t="s">
        <v>26</v>
      </c>
      <c r="C8114" s="7" t="s">
        <v>27</v>
      </c>
      <c r="D8114" s="7" t="s">
        <v>28</v>
      </c>
      <c r="E8114" s="7" t="s">
        <v>29</v>
      </c>
      <c r="F8114" s="7" t="s">
        <v>287</v>
      </c>
      <c r="G8114" s="7">
        <v>100.32550000000001</v>
      </c>
      <c r="H8114" s="7"/>
    </row>
    <row r="8115" spans="1:8" x14ac:dyDescent="0.35">
      <c r="A8115" s="7" t="s">
        <v>373</v>
      </c>
      <c r="B8115" s="7" t="s">
        <v>26</v>
      </c>
      <c r="C8115" s="7" t="s">
        <v>27</v>
      </c>
      <c r="D8115" s="7" t="s">
        <v>28</v>
      </c>
      <c r="E8115" s="7" t="s">
        <v>29</v>
      </c>
      <c r="F8115" s="7" t="s">
        <v>288</v>
      </c>
      <c r="G8115" s="7">
        <v>100.30119999999999</v>
      </c>
      <c r="H8115" s="7"/>
    </row>
    <row r="8116" spans="1:8" x14ac:dyDescent="0.35">
      <c r="A8116" s="7" t="s">
        <v>373</v>
      </c>
      <c r="B8116" s="7" t="s">
        <v>26</v>
      </c>
      <c r="C8116" s="7" t="s">
        <v>27</v>
      </c>
      <c r="D8116" s="7" t="s">
        <v>28</v>
      </c>
      <c r="E8116" s="7" t="s">
        <v>29</v>
      </c>
      <c r="F8116" s="7" t="s">
        <v>289</v>
      </c>
      <c r="G8116" s="7">
        <v>100.28100000000001</v>
      </c>
      <c r="H8116" s="7"/>
    </row>
    <row r="8117" spans="1:8" x14ac:dyDescent="0.35">
      <c r="A8117" s="7" t="s">
        <v>373</v>
      </c>
      <c r="B8117" s="7" t="s">
        <v>26</v>
      </c>
      <c r="C8117" s="7" t="s">
        <v>27</v>
      </c>
      <c r="D8117" s="7" t="s">
        <v>28</v>
      </c>
      <c r="E8117" s="7" t="s">
        <v>29</v>
      </c>
      <c r="F8117" s="7" t="s">
        <v>290</v>
      </c>
      <c r="G8117" s="7">
        <v>100.21939999999999</v>
      </c>
      <c r="H8117" s="7"/>
    </row>
    <row r="8118" spans="1:8" x14ac:dyDescent="0.35">
      <c r="A8118" s="7" t="s">
        <v>373</v>
      </c>
      <c r="B8118" s="7" t="s">
        <v>26</v>
      </c>
      <c r="C8118" s="7" t="s">
        <v>27</v>
      </c>
      <c r="D8118" s="7" t="s">
        <v>28</v>
      </c>
      <c r="E8118" s="7" t="s">
        <v>29</v>
      </c>
      <c r="F8118" s="7" t="s">
        <v>291</v>
      </c>
      <c r="G8118" s="7">
        <v>100.1768</v>
      </c>
      <c r="H8118" s="7"/>
    </row>
    <row r="8119" spans="1:8" x14ac:dyDescent="0.35">
      <c r="A8119" s="7" t="s">
        <v>373</v>
      </c>
      <c r="B8119" s="7" t="s">
        <v>26</v>
      </c>
      <c r="C8119" s="7" t="s">
        <v>27</v>
      </c>
      <c r="D8119" s="7" t="s">
        <v>28</v>
      </c>
      <c r="E8119" s="7" t="s">
        <v>29</v>
      </c>
      <c r="F8119" s="7" t="s">
        <v>292</v>
      </c>
      <c r="G8119" s="7">
        <v>100.17529999999999</v>
      </c>
      <c r="H8119" s="7"/>
    </row>
    <row r="8120" spans="1:8" x14ac:dyDescent="0.35">
      <c r="A8120" s="7" t="s">
        <v>373</v>
      </c>
      <c r="B8120" s="7" t="s">
        <v>26</v>
      </c>
      <c r="C8120" s="7" t="s">
        <v>27</v>
      </c>
      <c r="D8120" s="7" t="s">
        <v>28</v>
      </c>
      <c r="E8120" s="7" t="s">
        <v>29</v>
      </c>
      <c r="F8120" s="7" t="s">
        <v>293</v>
      </c>
      <c r="G8120" s="7">
        <v>100.2217</v>
      </c>
      <c r="H8120" s="7"/>
    </row>
    <row r="8121" spans="1:8" x14ac:dyDescent="0.35">
      <c r="A8121" s="7" t="s">
        <v>373</v>
      </c>
      <c r="B8121" s="7" t="s">
        <v>26</v>
      </c>
      <c r="C8121" s="7" t="s">
        <v>27</v>
      </c>
      <c r="D8121" s="7" t="s">
        <v>28</v>
      </c>
      <c r="E8121" s="7" t="s">
        <v>29</v>
      </c>
      <c r="F8121" s="7" t="s">
        <v>294</v>
      </c>
      <c r="G8121" s="7">
        <v>100.29340000000001</v>
      </c>
      <c r="H8121" s="7"/>
    </row>
    <row r="8122" spans="1:8" x14ac:dyDescent="0.35">
      <c r="A8122" s="7" t="s">
        <v>373</v>
      </c>
      <c r="B8122" s="7" t="s">
        <v>26</v>
      </c>
      <c r="C8122" s="7" t="s">
        <v>27</v>
      </c>
      <c r="D8122" s="7" t="s">
        <v>28</v>
      </c>
      <c r="E8122" s="7" t="s">
        <v>29</v>
      </c>
      <c r="F8122" s="7" t="s">
        <v>295</v>
      </c>
      <c r="G8122" s="7">
        <v>100.3492</v>
      </c>
      <c r="H8122" s="7"/>
    </row>
    <row r="8123" spans="1:8" x14ac:dyDescent="0.35">
      <c r="A8123" s="7" t="s">
        <v>373</v>
      </c>
      <c r="B8123" s="7" t="s">
        <v>26</v>
      </c>
      <c r="C8123" s="7" t="s">
        <v>27</v>
      </c>
      <c r="D8123" s="7" t="s">
        <v>28</v>
      </c>
      <c r="E8123" s="7" t="s">
        <v>29</v>
      </c>
      <c r="F8123" s="7" t="s">
        <v>296</v>
      </c>
      <c r="G8123" s="7">
        <v>100.37479999999999</v>
      </c>
      <c r="H8123" s="7"/>
    </row>
    <row r="8124" spans="1:8" x14ac:dyDescent="0.35">
      <c r="A8124" s="7" t="s">
        <v>373</v>
      </c>
      <c r="B8124" s="7" t="s">
        <v>26</v>
      </c>
      <c r="C8124" s="7" t="s">
        <v>27</v>
      </c>
      <c r="D8124" s="7" t="s">
        <v>28</v>
      </c>
      <c r="E8124" s="7" t="s">
        <v>29</v>
      </c>
      <c r="F8124" s="7" t="s">
        <v>297</v>
      </c>
      <c r="G8124" s="7">
        <v>100.37949999999999</v>
      </c>
      <c r="H8124" s="7"/>
    </row>
    <row r="8125" spans="1:8" x14ac:dyDescent="0.35">
      <c r="A8125" s="7" t="s">
        <v>373</v>
      </c>
      <c r="B8125" s="7" t="s">
        <v>26</v>
      </c>
      <c r="C8125" s="7" t="s">
        <v>27</v>
      </c>
      <c r="D8125" s="7" t="s">
        <v>28</v>
      </c>
      <c r="E8125" s="7" t="s">
        <v>29</v>
      </c>
      <c r="F8125" s="7" t="s">
        <v>298</v>
      </c>
      <c r="G8125" s="7">
        <v>100.37520000000001</v>
      </c>
      <c r="H8125" s="7"/>
    </row>
    <row r="8126" spans="1:8" x14ac:dyDescent="0.35">
      <c r="A8126" s="7" t="s">
        <v>373</v>
      </c>
      <c r="B8126" s="7" t="s">
        <v>26</v>
      </c>
      <c r="C8126" s="7" t="s">
        <v>27</v>
      </c>
      <c r="D8126" s="7" t="s">
        <v>28</v>
      </c>
      <c r="E8126" s="7" t="s">
        <v>29</v>
      </c>
      <c r="F8126" s="7" t="s">
        <v>299</v>
      </c>
      <c r="G8126" s="7">
        <v>100.3596</v>
      </c>
      <c r="H8126" s="7"/>
    </row>
    <row r="8127" spans="1:8" x14ac:dyDescent="0.35">
      <c r="A8127" s="7" t="s">
        <v>373</v>
      </c>
      <c r="B8127" s="7" t="s">
        <v>26</v>
      </c>
      <c r="C8127" s="7" t="s">
        <v>27</v>
      </c>
      <c r="D8127" s="7" t="s">
        <v>28</v>
      </c>
      <c r="E8127" s="7" t="s">
        <v>29</v>
      </c>
      <c r="F8127" s="7" t="s">
        <v>300</v>
      </c>
      <c r="G8127" s="7">
        <v>100.37009999999999</v>
      </c>
      <c r="H8127" s="7"/>
    </row>
    <row r="8128" spans="1:8" x14ac:dyDescent="0.35">
      <c r="A8128" s="7" t="s">
        <v>373</v>
      </c>
      <c r="B8128" s="7" t="s">
        <v>26</v>
      </c>
      <c r="C8128" s="7" t="s">
        <v>27</v>
      </c>
      <c r="D8128" s="7" t="s">
        <v>28</v>
      </c>
      <c r="E8128" s="7" t="s">
        <v>29</v>
      </c>
      <c r="F8128" s="7" t="s">
        <v>301</v>
      </c>
      <c r="G8128" s="7">
        <v>100.3939</v>
      </c>
      <c r="H8128" s="7"/>
    </row>
    <row r="8129" spans="1:8" x14ac:dyDescent="0.35">
      <c r="A8129" s="7" t="s">
        <v>373</v>
      </c>
      <c r="B8129" s="7" t="s">
        <v>26</v>
      </c>
      <c r="C8129" s="7" t="s">
        <v>27</v>
      </c>
      <c r="D8129" s="7" t="s">
        <v>28</v>
      </c>
      <c r="E8129" s="7" t="s">
        <v>29</v>
      </c>
      <c r="F8129" s="7" t="s">
        <v>302</v>
      </c>
      <c r="G8129" s="7">
        <v>100.4308</v>
      </c>
      <c r="H8129" s="7"/>
    </row>
    <row r="8130" spans="1:8" x14ac:dyDescent="0.35">
      <c r="A8130" s="7" t="s">
        <v>373</v>
      </c>
      <c r="B8130" s="7" t="s">
        <v>26</v>
      </c>
      <c r="C8130" s="7" t="s">
        <v>27</v>
      </c>
      <c r="D8130" s="7" t="s">
        <v>28</v>
      </c>
      <c r="E8130" s="7" t="s">
        <v>29</v>
      </c>
      <c r="F8130" s="7" t="s">
        <v>303</v>
      </c>
      <c r="G8130" s="7">
        <v>100.4547</v>
      </c>
      <c r="H8130" s="7"/>
    </row>
    <row r="8131" spans="1:8" x14ac:dyDescent="0.35">
      <c r="A8131" s="7" t="s">
        <v>373</v>
      </c>
      <c r="B8131" s="7" t="s">
        <v>26</v>
      </c>
      <c r="C8131" s="7" t="s">
        <v>27</v>
      </c>
      <c r="D8131" s="7" t="s">
        <v>28</v>
      </c>
      <c r="E8131" s="7" t="s">
        <v>29</v>
      </c>
      <c r="F8131" s="7" t="s">
        <v>304</v>
      </c>
      <c r="G8131" s="7">
        <v>100.4631</v>
      </c>
      <c r="H8131" s="7"/>
    </row>
    <row r="8132" spans="1:8" x14ac:dyDescent="0.35">
      <c r="A8132" s="7" t="s">
        <v>373</v>
      </c>
      <c r="B8132" s="7" t="s">
        <v>26</v>
      </c>
      <c r="C8132" s="7" t="s">
        <v>27</v>
      </c>
      <c r="D8132" s="7" t="s">
        <v>28</v>
      </c>
      <c r="E8132" s="7" t="s">
        <v>29</v>
      </c>
      <c r="F8132" s="7" t="s">
        <v>305</v>
      </c>
      <c r="G8132" s="7">
        <v>100.46259999999999</v>
      </c>
      <c r="H8132" s="7"/>
    </row>
    <row r="8133" spans="1:8" x14ac:dyDescent="0.35">
      <c r="A8133" s="7" t="s">
        <v>373</v>
      </c>
      <c r="B8133" s="7" t="s">
        <v>26</v>
      </c>
      <c r="C8133" s="7" t="s">
        <v>27</v>
      </c>
      <c r="D8133" s="7" t="s">
        <v>28</v>
      </c>
      <c r="E8133" s="7" t="s">
        <v>29</v>
      </c>
      <c r="F8133" s="7" t="s">
        <v>306</v>
      </c>
      <c r="G8133" s="7">
        <v>100.4504</v>
      </c>
      <c r="H8133" s="7"/>
    </row>
    <row r="8134" spans="1:8" x14ac:dyDescent="0.35">
      <c r="A8134" s="7" t="s">
        <v>373</v>
      </c>
      <c r="B8134" s="7" t="s">
        <v>26</v>
      </c>
      <c r="C8134" s="7" t="s">
        <v>27</v>
      </c>
      <c r="D8134" s="7" t="s">
        <v>28</v>
      </c>
      <c r="E8134" s="7" t="s">
        <v>29</v>
      </c>
      <c r="F8134" s="7" t="s">
        <v>307</v>
      </c>
      <c r="G8134" s="7">
        <v>100.4358</v>
      </c>
      <c r="H8134" s="7"/>
    </row>
    <row r="8135" spans="1:8" x14ac:dyDescent="0.35">
      <c r="A8135" s="7" t="s">
        <v>373</v>
      </c>
      <c r="B8135" s="7" t="s">
        <v>26</v>
      </c>
      <c r="C8135" s="7" t="s">
        <v>27</v>
      </c>
      <c r="D8135" s="7" t="s">
        <v>28</v>
      </c>
      <c r="E8135" s="7" t="s">
        <v>29</v>
      </c>
      <c r="F8135" s="7" t="s">
        <v>308</v>
      </c>
      <c r="G8135" s="7">
        <v>100.43810000000001</v>
      </c>
      <c r="H8135" s="7"/>
    </row>
    <row r="8136" spans="1:8" x14ac:dyDescent="0.35">
      <c r="A8136" s="7" t="s">
        <v>373</v>
      </c>
      <c r="B8136" s="7" t="s">
        <v>26</v>
      </c>
      <c r="C8136" s="7" t="s">
        <v>27</v>
      </c>
      <c r="D8136" s="7" t="s">
        <v>28</v>
      </c>
      <c r="E8136" s="7" t="s">
        <v>29</v>
      </c>
      <c r="F8136" s="7" t="s">
        <v>309</v>
      </c>
      <c r="G8136" s="7">
        <v>100.41459999999999</v>
      </c>
      <c r="H8136" s="7"/>
    </row>
    <row r="8137" spans="1:8" x14ac:dyDescent="0.35">
      <c r="A8137" s="7" t="s">
        <v>373</v>
      </c>
      <c r="B8137" s="7" t="s">
        <v>26</v>
      </c>
      <c r="C8137" s="7" t="s">
        <v>27</v>
      </c>
      <c r="D8137" s="7" t="s">
        <v>28</v>
      </c>
      <c r="E8137" s="7" t="s">
        <v>29</v>
      </c>
      <c r="F8137" s="7" t="s">
        <v>310</v>
      </c>
      <c r="G8137" s="7">
        <v>100.34829999999999</v>
      </c>
      <c r="H8137" s="7"/>
    </row>
    <row r="8138" spans="1:8" x14ac:dyDescent="0.35">
      <c r="A8138" s="7" t="s">
        <v>373</v>
      </c>
      <c r="B8138" s="7" t="s">
        <v>26</v>
      </c>
      <c r="C8138" s="7" t="s">
        <v>27</v>
      </c>
      <c r="D8138" s="7" t="s">
        <v>28</v>
      </c>
      <c r="E8138" s="7" t="s">
        <v>29</v>
      </c>
      <c r="F8138" s="7" t="s">
        <v>311</v>
      </c>
      <c r="G8138" s="7">
        <v>100.2722</v>
      </c>
      <c r="H8138" s="7"/>
    </row>
    <row r="8139" spans="1:8" x14ac:dyDescent="0.35">
      <c r="A8139" s="7" t="s">
        <v>373</v>
      </c>
      <c r="B8139" s="7" t="s">
        <v>26</v>
      </c>
      <c r="C8139" s="7" t="s">
        <v>27</v>
      </c>
      <c r="D8139" s="7" t="s">
        <v>28</v>
      </c>
      <c r="E8139" s="7" t="s">
        <v>29</v>
      </c>
      <c r="F8139" s="7" t="s">
        <v>312</v>
      </c>
      <c r="G8139" s="7">
        <v>100.25360000000001</v>
      </c>
      <c r="H8139" s="7"/>
    </row>
    <row r="8140" spans="1:8" x14ac:dyDescent="0.35">
      <c r="A8140" s="7" t="s">
        <v>373</v>
      </c>
      <c r="B8140" s="7" t="s">
        <v>26</v>
      </c>
      <c r="C8140" s="7" t="s">
        <v>27</v>
      </c>
      <c r="D8140" s="7" t="s">
        <v>28</v>
      </c>
      <c r="E8140" s="7" t="s">
        <v>29</v>
      </c>
      <c r="F8140" s="7" t="s">
        <v>313</v>
      </c>
      <c r="G8140" s="7">
        <v>100.23990000000001</v>
      </c>
      <c r="H8140" s="7"/>
    </row>
    <row r="8141" spans="1:8" x14ac:dyDescent="0.35">
      <c r="A8141" s="7" t="s">
        <v>373</v>
      </c>
      <c r="B8141" s="7" t="s">
        <v>26</v>
      </c>
      <c r="C8141" s="7" t="s">
        <v>27</v>
      </c>
      <c r="D8141" s="7" t="s">
        <v>28</v>
      </c>
      <c r="E8141" s="7" t="s">
        <v>29</v>
      </c>
      <c r="F8141" s="7" t="s">
        <v>314</v>
      </c>
      <c r="G8141" s="7">
        <v>100.20820000000001</v>
      </c>
      <c r="H8141" s="7"/>
    </row>
    <row r="8142" spans="1:8" x14ac:dyDescent="0.35">
      <c r="A8142" s="7" t="s">
        <v>373</v>
      </c>
      <c r="B8142" s="7" t="s">
        <v>26</v>
      </c>
      <c r="C8142" s="7" t="s">
        <v>27</v>
      </c>
      <c r="D8142" s="7" t="s">
        <v>28</v>
      </c>
      <c r="E8142" s="7" t="s">
        <v>29</v>
      </c>
      <c r="F8142" s="7" t="s">
        <v>315</v>
      </c>
      <c r="G8142" s="7">
        <v>100.1433</v>
      </c>
      <c r="H8142" s="7"/>
    </row>
    <row r="8143" spans="1:8" x14ac:dyDescent="0.35">
      <c r="A8143" s="7" t="s">
        <v>373</v>
      </c>
      <c r="B8143" s="7" t="s">
        <v>26</v>
      </c>
      <c r="C8143" s="7" t="s">
        <v>27</v>
      </c>
      <c r="D8143" s="7" t="s">
        <v>28</v>
      </c>
      <c r="E8143" s="7" t="s">
        <v>29</v>
      </c>
      <c r="F8143" s="7" t="s">
        <v>316</v>
      </c>
      <c r="G8143" s="7">
        <v>100.0341</v>
      </c>
      <c r="H8143" s="7"/>
    </row>
    <row r="8144" spans="1:8" x14ac:dyDescent="0.35">
      <c r="A8144" s="7" t="s">
        <v>373</v>
      </c>
      <c r="B8144" s="7" t="s">
        <v>26</v>
      </c>
      <c r="C8144" s="7" t="s">
        <v>27</v>
      </c>
      <c r="D8144" s="7" t="s">
        <v>28</v>
      </c>
      <c r="E8144" s="7" t="s">
        <v>29</v>
      </c>
      <c r="F8144" s="7" t="s">
        <v>317</v>
      </c>
      <c r="G8144" s="7">
        <v>100.0056</v>
      </c>
      <c r="H8144" s="7"/>
    </row>
    <row r="8145" spans="1:8" x14ac:dyDescent="0.35">
      <c r="A8145" s="7" t="s">
        <v>373</v>
      </c>
      <c r="B8145" s="7" t="s">
        <v>26</v>
      </c>
      <c r="C8145" s="7" t="s">
        <v>27</v>
      </c>
      <c r="D8145" s="7" t="s">
        <v>28</v>
      </c>
      <c r="E8145" s="7" t="s">
        <v>29</v>
      </c>
      <c r="F8145" s="7" t="s">
        <v>318</v>
      </c>
      <c r="G8145" s="7">
        <v>100.0583</v>
      </c>
      <c r="H8145" s="7"/>
    </row>
    <row r="8146" spans="1:8" x14ac:dyDescent="0.35">
      <c r="A8146" s="7" t="s">
        <v>373</v>
      </c>
      <c r="B8146" s="7" t="s">
        <v>26</v>
      </c>
      <c r="C8146" s="7" t="s">
        <v>27</v>
      </c>
      <c r="D8146" s="7" t="s">
        <v>28</v>
      </c>
      <c r="E8146" s="7" t="s">
        <v>29</v>
      </c>
      <c r="F8146" s="7" t="s">
        <v>319</v>
      </c>
      <c r="G8146" s="7">
        <v>100.142</v>
      </c>
      <c r="H8146" s="7"/>
    </row>
    <row r="8147" spans="1:8" x14ac:dyDescent="0.35">
      <c r="A8147" s="7" t="s">
        <v>373</v>
      </c>
      <c r="B8147" s="7" t="s">
        <v>26</v>
      </c>
      <c r="C8147" s="7" t="s">
        <v>27</v>
      </c>
      <c r="D8147" s="7" t="s">
        <v>28</v>
      </c>
      <c r="E8147" s="7" t="s">
        <v>29</v>
      </c>
      <c r="F8147" s="7" t="s">
        <v>320</v>
      </c>
      <c r="G8147" s="7">
        <v>100.209</v>
      </c>
      <c r="H8147" s="7"/>
    </row>
    <row r="8148" spans="1:8" x14ac:dyDescent="0.35">
      <c r="A8148" s="7" t="s">
        <v>373</v>
      </c>
      <c r="B8148" s="7" t="s">
        <v>26</v>
      </c>
      <c r="C8148" s="7" t="s">
        <v>27</v>
      </c>
      <c r="D8148" s="7" t="s">
        <v>28</v>
      </c>
      <c r="E8148" s="7" t="s">
        <v>29</v>
      </c>
      <c r="F8148" s="7" t="s">
        <v>321</v>
      </c>
      <c r="G8148" s="7">
        <v>100.22410000000001</v>
      </c>
      <c r="H8148" s="7"/>
    </row>
    <row r="8149" spans="1:8" x14ac:dyDescent="0.35">
      <c r="A8149" s="7" t="s">
        <v>373</v>
      </c>
      <c r="B8149" s="7" t="s">
        <v>26</v>
      </c>
      <c r="C8149" s="7" t="s">
        <v>27</v>
      </c>
      <c r="D8149" s="7" t="s">
        <v>28</v>
      </c>
      <c r="E8149" s="7" t="s">
        <v>29</v>
      </c>
      <c r="F8149" s="7" t="s">
        <v>322</v>
      </c>
      <c r="G8149" s="7">
        <v>100.2222</v>
      </c>
      <c r="H8149" s="7"/>
    </row>
    <row r="8150" spans="1:8" x14ac:dyDescent="0.35">
      <c r="A8150" s="7" t="s">
        <v>373</v>
      </c>
      <c r="B8150" s="7" t="s">
        <v>26</v>
      </c>
      <c r="C8150" s="7" t="s">
        <v>27</v>
      </c>
      <c r="D8150" s="7" t="s">
        <v>28</v>
      </c>
      <c r="E8150" s="7" t="s">
        <v>29</v>
      </c>
      <c r="F8150" s="7" t="s">
        <v>323</v>
      </c>
      <c r="G8150" s="7">
        <v>100.2287</v>
      </c>
      <c r="H8150" s="7"/>
    </row>
    <row r="8151" spans="1:8" x14ac:dyDescent="0.35">
      <c r="A8151" s="7" t="s">
        <v>373</v>
      </c>
      <c r="B8151" s="7" t="s">
        <v>26</v>
      </c>
      <c r="C8151" s="7" t="s">
        <v>27</v>
      </c>
      <c r="D8151" s="7" t="s">
        <v>28</v>
      </c>
      <c r="E8151" s="7" t="s">
        <v>29</v>
      </c>
      <c r="F8151" s="7" t="s">
        <v>324</v>
      </c>
      <c r="G8151" s="7">
        <v>100.25830000000001</v>
      </c>
      <c r="H8151" s="7"/>
    </row>
    <row r="8152" spans="1:8" x14ac:dyDescent="0.35">
      <c r="A8152" s="7" t="s">
        <v>373</v>
      </c>
      <c r="B8152" s="7" t="s">
        <v>26</v>
      </c>
      <c r="C8152" s="7" t="s">
        <v>27</v>
      </c>
      <c r="D8152" s="7" t="s">
        <v>28</v>
      </c>
      <c r="E8152" s="7" t="s">
        <v>29</v>
      </c>
      <c r="F8152" s="7" t="s">
        <v>325</v>
      </c>
      <c r="G8152" s="7">
        <v>100.28660000000001</v>
      </c>
      <c r="H8152" s="7"/>
    </row>
    <row r="8153" spans="1:8" x14ac:dyDescent="0.35">
      <c r="A8153" s="7" t="s">
        <v>373</v>
      </c>
      <c r="B8153" s="7" t="s">
        <v>26</v>
      </c>
      <c r="C8153" s="7" t="s">
        <v>27</v>
      </c>
      <c r="D8153" s="7" t="s">
        <v>28</v>
      </c>
      <c r="E8153" s="7" t="s">
        <v>29</v>
      </c>
      <c r="F8153" s="7" t="s">
        <v>326</v>
      </c>
      <c r="G8153" s="7">
        <v>100.29689999999999</v>
      </c>
      <c r="H8153" s="7"/>
    </row>
    <row r="8154" spans="1:8" x14ac:dyDescent="0.35">
      <c r="A8154" s="7" t="s">
        <v>373</v>
      </c>
      <c r="B8154" s="7" t="s">
        <v>26</v>
      </c>
      <c r="C8154" s="7" t="s">
        <v>27</v>
      </c>
      <c r="D8154" s="7" t="s">
        <v>28</v>
      </c>
      <c r="E8154" s="7" t="s">
        <v>29</v>
      </c>
      <c r="F8154" s="7" t="s">
        <v>327</v>
      </c>
      <c r="G8154" s="7">
        <v>100.29130000000001</v>
      </c>
      <c r="H8154" s="7"/>
    </row>
    <row r="8155" spans="1:8" x14ac:dyDescent="0.35">
      <c r="A8155" s="7" t="s">
        <v>373</v>
      </c>
      <c r="B8155" s="7" t="s">
        <v>26</v>
      </c>
      <c r="C8155" s="7" t="s">
        <v>27</v>
      </c>
      <c r="D8155" s="7" t="s">
        <v>28</v>
      </c>
      <c r="E8155" s="7" t="s">
        <v>29</v>
      </c>
      <c r="F8155" s="7" t="s">
        <v>328</v>
      </c>
      <c r="G8155" s="7">
        <v>100.29179999999999</v>
      </c>
      <c r="H8155" s="7"/>
    </row>
    <row r="8156" spans="1:8" x14ac:dyDescent="0.35">
      <c r="A8156" s="7" t="s">
        <v>373</v>
      </c>
      <c r="B8156" s="7" t="s">
        <v>26</v>
      </c>
      <c r="C8156" s="7" t="s">
        <v>27</v>
      </c>
      <c r="D8156" s="7" t="s">
        <v>28</v>
      </c>
      <c r="E8156" s="7" t="s">
        <v>29</v>
      </c>
      <c r="F8156" s="7" t="s">
        <v>329</v>
      </c>
      <c r="G8156" s="7">
        <v>100.3258</v>
      </c>
      <c r="H8156" s="7"/>
    </row>
    <row r="8157" spans="1:8" x14ac:dyDescent="0.35">
      <c r="A8157" s="7" t="s">
        <v>373</v>
      </c>
      <c r="B8157" s="7" t="s">
        <v>26</v>
      </c>
      <c r="C8157" s="7" t="s">
        <v>27</v>
      </c>
      <c r="D8157" s="7" t="s">
        <v>28</v>
      </c>
      <c r="E8157" s="7" t="s">
        <v>29</v>
      </c>
      <c r="F8157" s="7" t="s">
        <v>330</v>
      </c>
      <c r="G8157" s="7">
        <v>100.34350000000001</v>
      </c>
      <c r="H8157" s="7"/>
    </row>
    <row r="8158" spans="1:8" x14ac:dyDescent="0.35">
      <c r="A8158" s="7" t="s">
        <v>373</v>
      </c>
      <c r="B8158" s="7" t="s">
        <v>26</v>
      </c>
      <c r="C8158" s="7" t="s">
        <v>27</v>
      </c>
      <c r="D8158" s="7" t="s">
        <v>28</v>
      </c>
      <c r="E8158" s="7" t="s">
        <v>29</v>
      </c>
      <c r="F8158" s="7" t="s">
        <v>331</v>
      </c>
      <c r="G8158" s="7">
        <v>100.351</v>
      </c>
      <c r="H8158" s="7"/>
    </row>
    <row r="8159" spans="1:8" x14ac:dyDescent="0.35">
      <c r="A8159" s="7" t="s">
        <v>373</v>
      </c>
      <c r="B8159" s="7" t="s">
        <v>26</v>
      </c>
      <c r="C8159" s="7" t="s">
        <v>27</v>
      </c>
      <c r="D8159" s="7" t="s">
        <v>28</v>
      </c>
      <c r="E8159" s="7" t="s">
        <v>29</v>
      </c>
      <c r="F8159" s="7" t="s">
        <v>332</v>
      </c>
      <c r="G8159" s="7">
        <v>100.3691</v>
      </c>
      <c r="H8159" s="7"/>
    </row>
    <row r="8160" spans="1:8" x14ac:dyDescent="0.35">
      <c r="A8160" s="7" t="s">
        <v>373</v>
      </c>
      <c r="B8160" s="7" t="s">
        <v>26</v>
      </c>
      <c r="C8160" s="7" t="s">
        <v>27</v>
      </c>
      <c r="D8160" s="7" t="s">
        <v>28</v>
      </c>
      <c r="E8160" s="7" t="s">
        <v>29</v>
      </c>
      <c r="F8160" s="7" t="s">
        <v>333</v>
      </c>
      <c r="G8160" s="7">
        <v>100.4152</v>
      </c>
      <c r="H8160" s="7"/>
    </row>
    <row r="8161" spans="1:8" x14ac:dyDescent="0.35">
      <c r="A8161" s="7" t="s">
        <v>373</v>
      </c>
      <c r="B8161" s="7" t="s">
        <v>26</v>
      </c>
      <c r="C8161" s="7" t="s">
        <v>27</v>
      </c>
      <c r="D8161" s="7" t="s">
        <v>28</v>
      </c>
      <c r="E8161" s="7" t="s">
        <v>29</v>
      </c>
      <c r="F8161" s="7" t="s">
        <v>334</v>
      </c>
      <c r="G8161" s="7">
        <v>100.48220000000001</v>
      </c>
      <c r="H8161" s="7"/>
    </row>
    <row r="8162" spans="1:8" x14ac:dyDescent="0.35">
      <c r="A8162" s="7" t="s">
        <v>373</v>
      </c>
      <c r="B8162" s="7" t="s">
        <v>26</v>
      </c>
      <c r="C8162" s="7" t="s">
        <v>27</v>
      </c>
      <c r="D8162" s="7" t="s">
        <v>28</v>
      </c>
      <c r="E8162" s="7" t="s">
        <v>29</v>
      </c>
      <c r="F8162" s="7" t="s">
        <v>335</v>
      </c>
      <c r="G8162" s="7">
        <v>100.5373</v>
      </c>
      <c r="H8162" s="7"/>
    </row>
    <row r="8163" spans="1:8" x14ac:dyDescent="0.35">
      <c r="A8163" s="7" t="s">
        <v>373</v>
      </c>
      <c r="B8163" s="7" t="s">
        <v>26</v>
      </c>
      <c r="C8163" s="7" t="s">
        <v>27</v>
      </c>
      <c r="D8163" s="7" t="s">
        <v>28</v>
      </c>
      <c r="E8163" s="7" t="s">
        <v>29</v>
      </c>
      <c r="F8163" s="7" t="s">
        <v>336</v>
      </c>
      <c r="G8163" s="7">
        <v>100.56189999999999</v>
      </c>
      <c r="H8163" s="7"/>
    </row>
    <row r="8164" spans="1:8" x14ac:dyDescent="0.35">
      <c r="A8164" s="7" t="s">
        <v>373</v>
      </c>
      <c r="B8164" s="7" t="s">
        <v>26</v>
      </c>
      <c r="C8164" s="7" t="s">
        <v>27</v>
      </c>
      <c r="D8164" s="7" t="s">
        <v>28</v>
      </c>
      <c r="E8164" s="7" t="s">
        <v>29</v>
      </c>
      <c r="F8164" s="7" t="s">
        <v>337</v>
      </c>
      <c r="G8164" s="7">
        <v>100.54940000000001</v>
      </c>
      <c r="H8164" s="7"/>
    </row>
    <row r="8165" spans="1:8" x14ac:dyDescent="0.35">
      <c r="A8165" s="7" t="s">
        <v>373</v>
      </c>
      <c r="B8165" s="7" t="s">
        <v>26</v>
      </c>
      <c r="C8165" s="7" t="s">
        <v>27</v>
      </c>
      <c r="D8165" s="7" t="s">
        <v>28</v>
      </c>
      <c r="E8165" s="7" t="s">
        <v>29</v>
      </c>
      <c r="F8165" s="7" t="s">
        <v>338</v>
      </c>
      <c r="G8165" s="7">
        <v>100.53530000000001</v>
      </c>
      <c r="H8165" s="7"/>
    </row>
    <row r="8166" spans="1:8" x14ac:dyDescent="0.35">
      <c r="A8166" s="7" t="s">
        <v>373</v>
      </c>
      <c r="B8166" s="7" t="s">
        <v>26</v>
      </c>
      <c r="C8166" s="7" t="s">
        <v>27</v>
      </c>
      <c r="D8166" s="7" t="s">
        <v>28</v>
      </c>
      <c r="E8166" s="7" t="s">
        <v>29</v>
      </c>
      <c r="F8166" s="7" t="s">
        <v>339</v>
      </c>
      <c r="G8166" s="7">
        <v>100.5219</v>
      </c>
      <c r="H8166" s="7"/>
    </row>
    <row r="8167" spans="1:8" x14ac:dyDescent="0.35">
      <c r="A8167" s="7" t="s">
        <v>373</v>
      </c>
      <c r="B8167" s="7" t="s">
        <v>26</v>
      </c>
      <c r="C8167" s="7" t="s">
        <v>27</v>
      </c>
      <c r="D8167" s="7" t="s">
        <v>28</v>
      </c>
      <c r="E8167" s="7" t="s">
        <v>29</v>
      </c>
      <c r="F8167" s="7" t="s">
        <v>340</v>
      </c>
      <c r="G8167" s="7">
        <v>100.5179</v>
      </c>
      <c r="H8167" s="7"/>
    </row>
    <row r="8168" spans="1:8" x14ac:dyDescent="0.35">
      <c r="A8168" s="7" t="s">
        <v>373</v>
      </c>
      <c r="B8168" s="7" t="s">
        <v>26</v>
      </c>
      <c r="C8168" s="7" t="s">
        <v>27</v>
      </c>
      <c r="D8168" s="7" t="s">
        <v>28</v>
      </c>
      <c r="E8168" s="7" t="s">
        <v>29</v>
      </c>
      <c r="F8168" s="7" t="s">
        <v>341</v>
      </c>
      <c r="G8168" s="7">
        <v>100.51519999999999</v>
      </c>
      <c r="H8168" s="7"/>
    </row>
    <row r="8169" spans="1:8" x14ac:dyDescent="0.35">
      <c r="A8169" s="7" t="s">
        <v>373</v>
      </c>
      <c r="B8169" s="7" t="s">
        <v>26</v>
      </c>
      <c r="C8169" s="7" t="s">
        <v>27</v>
      </c>
      <c r="D8169" s="7" t="s">
        <v>28</v>
      </c>
      <c r="E8169" s="7" t="s">
        <v>29</v>
      </c>
      <c r="F8169" s="7" t="s">
        <v>342</v>
      </c>
      <c r="G8169" s="7">
        <v>100.5384</v>
      </c>
      <c r="H8169" s="7"/>
    </row>
    <row r="8170" spans="1:8" x14ac:dyDescent="0.35">
      <c r="A8170" s="7" t="s">
        <v>373</v>
      </c>
      <c r="B8170" s="7" t="s">
        <v>26</v>
      </c>
      <c r="C8170" s="7" t="s">
        <v>27</v>
      </c>
      <c r="D8170" s="7" t="s">
        <v>28</v>
      </c>
      <c r="E8170" s="7" t="s">
        <v>29</v>
      </c>
      <c r="F8170" s="7" t="s">
        <v>343</v>
      </c>
      <c r="G8170" s="7">
        <v>100.5728</v>
      </c>
      <c r="H8170" s="7"/>
    </row>
    <row r="8171" spans="1:8" x14ac:dyDescent="0.35">
      <c r="A8171" s="7" t="s">
        <v>373</v>
      </c>
      <c r="B8171" s="7" t="s">
        <v>26</v>
      </c>
      <c r="C8171" s="7" t="s">
        <v>27</v>
      </c>
      <c r="D8171" s="7" t="s">
        <v>28</v>
      </c>
      <c r="E8171" s="7" t="s">
        <v>29</v>
      </c>
      <c r="F8171" s="7" t="s">
        <v>344</v>
      </c>
      <c r="G8171" s="7">
        <v>100.577</v>
      </c>
      <c r="H8171" s="7"/>
    </row>
    <row r="8172" spans="1:8" x14ac:dyDescent="0.35">
      <c r="A8172" s="7" t="s">
        <v>373</v>
      </c>
      <c r="B8172" s="7" t="s">
        <v>26</v>
      </c>
      <c r="C8172" s="7" t="s">
        <v>27</v>
      </c>
      <c r="D8172" s="7" t="s">
        <v>28</v>
      </c>
      <c r="E8172" s="7" t="s">
        <v>29</v>
      </c>
      <c r="F8172" s="7" t="s">
        <v>345</v>
      </c>
      <c r="G8172" s="7">
        <v>100.5506</v>
      </c>
      <c r="H8172" s="7"/>
    </row>
    <row r="8173" spans="1:8" x14ac:dyDescent="0.35">
      <c r="A8173" s="7" t="s">
        <v>374</v>
      </c>
      <c r="B8173" s="7" t="s">
        <v>26</v>
      </c>
      <c r="C8173" s="7" t="s">
        <v>27</v>
      </c>
      <c r="D8173" s="7" t="s">
        <v>28</v>
      </c>
      <c r="E8173" s="7" t="s">
        <v>29</v>
      </c>
      <c r="F8173" s="7" t="s">
        <v>176</v>
      </c>
      <c r="G8173" s="7">
        <v>108.11069999999999</v>
      </c>
      <c r="H8173" s="7"/>
    </row>
    <row r="8174" spans="1:8" x14ac:dyDescent="0.35">
      <c r="A8174" s="7" t="s">
        <v>374</v>
      </c>
      <c r="B8174" s="7" t="s">
        <v>26</v>
      </c>
      <c r="C8174" s="7" t="s">
        <v>27</v>
      </c>
      <c r="D8174" s="7" t="s">
        <v>28</v>
      </c>
      <c r="E8174" s="7" t="s">
        <v>29</v>
      </c>
      <c r="F8174" s="7" t="s">
        <v>177</v>
      </c>
      <c r="G8174" s="7">
        <v>108.0539</v>
      </c>
      <c r="H8174" s="7"/>
    </row>
    <row r="8175" spans="1:8" x14ac:dyDescent="0.35">
      <c r="A8175" s="7" t="s">
        <v>374</v>
      </c>
      <c r="B8175" s="7" t="s">
        <v>26</v>
      </c>
      <c r="C8175" s="7" t="s">
        <v>27</v>
      </c>
      <c r="D8175" s="7" t="s">
        <v>28</v>
      </c>
      <c r="E8175" s="7" t="s">
        <v>29</v>
      </c>
      <c r="F8175" s="7" t="s">
        <v>178</v>
      </c>
      <c r="G8175" s="7">
        <v>107.8569</v>
      </c>
      <c r="H8175" s="7"/>
    </row>
    <row r="8176" spans="1:8" x14ac:dyDescent="0.35">
      <c r="A8176" s="7" t="s">
        <v>374</v>
      </c>
      <c r="B8176" s="7" t="s">
        <v>26</v>
      </c>
      <c r="C8176" s="7" t="s">
        <v>27</v>
      </c>
      <c r="D8176" s="7" t="s">
        <v>28</v>
      </c>
      <c r="E8176" s="7" t="s">
        <v>29</v>
      </c>
      <c r="F8176" s="7" t="s">
        <v>179</v>
      </c>
      <c r="G8176" s="7">
        <v>107.4712</v>
      </c>
      <c r="H8176" s="7"/>
    </row>
    <row r="8177" spans="1:8" x14ac:dyDescent="0.35">
      <c r="A8177" s="7" t="s">
        <v>374</v>
      </c>
      <c r="B8177" s="7" t="s">
        <v>26</v>
      </c>
      <c r="C8177" s="7" t="s">
        <v>27</v>
      </c>
      <c r="D8177" s="7" t="s">
        <v>28</v>
      </c>
      <c r="E8177" s="7" t="s">
        <v>29</v>
      </c>
      <c r="F8177" s="7" t="s">
        <v>180</v>
      </c>
      <c r="G8177" s="7">
        <v>106.8219</v>
      </c>
      <c r="H8177" s="7"/>
    </row>
    <row r="8178" spans="1:8" x14ac:dyDescent="0.35">
      <c r="A8178" s="7" t="s">
        <v>374</v>
      </c>
      <c r="B8178" s="7" t="s">
        <v>26</v>
      </c>
      <c r="C8178" s="7" t="s">
        <v>27</v>
      </c>
      <c r="D8178" s="7" t="s">
        <v>28</v>
      </c>
      <c r="E8178" s="7" t="s">
        <v>29</v>
      </c>
      <c r="F8178" s="7" t="s">
        <v>181</v>
      </c>
      <c r="G8178" s="7">
        <v>106.193</v>
      </c>
      <c r="H8178" s="7"/>
    </row>
    <row r="8179" spans="1:8" x14ac:dyDescent="0.35">
      <c r="A8179" s="7" t="s">
        <v>374</v>
      </c>
      <c r="B8179" s="7" t="s">
        <v>26</v>
      </c>
      <c r="C8179" s="7" t="s">
        <v>27</v>
      </c>
      <c r="D8179" s="7" t="s">
        <v>28</v>
      </c>
      <c r="E8179" s="7" t="s">
        <v>29</v>
      </c>
      <c r="F8179" s="7" t="s">
        <v>182</v>
      </c>
      <c r="G8179" s="7">
        <v>105.5629</v>
      </c>
      <c r="H8179" s="7"/>
    </row>
    <row r="8180" spans="1:8" x14ac:dyDescent="0.35">
      <c r="A8180" s="7" t="s">
        <v>374</v>
      </c>
      <c r="B8180" s="7" t="s">
        <v>26</v>
      </c>
      <c r="C8180" s="7" t="s">
        <v>27</v>
      </c>
      <c r="D8180" s="7" t="s">
        <v>28</v>
      </c>
      <c r="E8180" s="7" t="s">
        <v>29</v>
      </c>
      <c r="F8180" s="7" t="s">
        <v>183</v>
      </c>
      <c r="G8180" s="7">
        <v>105.01179999999999</v>
      </c>
      <c r="H8180" s="7"/>
    </row>
    <row r="8181" spans="1:8" x14ac:dyDescent="0.35">
      <c r="A8181" s="7" t="s">
        <v>374</v>
      </c>
      <c r="B8181" s="7" t="s">
        <v>26</v>
      </c>
      <c r="C8181" s="7" t="s">
        <v>27</v>
      </c>
      <c r="D8181" s="7" t="s">
        <v>28</v>
      </c>
      <c r="E8181" s="7" t="s">
        <v>29</v>
      </c>
      <c r="F8181" s="7" t="s">
        <v>184</v>
      </c>
      <c r="G8181" s="7">
        <v>104.9199</v>
      </c>
      <c r="H8181" s="7"/>
    </row>
    <row r="8182" spans="1:8" x14ac:dyDescent="0.35">
      <c r="A8182" s="7" t="s">
        <v>374</v>
      </c>
      <c r="B8182" s="7" t="s">
        <v>26</v>
      </c>
      <c r="C8182" s="7" t="s">
        <v>27</v>
      </c>
      <c r="D8182" s="7" t="s">
        <v>28</v>
      </c>
      <c r="E8182" s="7" t="s">
        <v>29</v>
      </c>
      <c r="F8182" s="7" t="s">
        <v>185</v>
      </c>
      <c r="G8182" s="7">
        <v>105.06570000000001</v>
      </c>
      <c r="H8182" s="7"/>
    </row>
    <row r="8183" spans="1:8" x14ac:dyDescent="0.35">
      <c r="A8183" s="7" t="s">
        <v>374</v>
      </c>
      <c r="B8183" s="7" t="s">
        <v>26</v>
      </c>
      <c r="C8183" s="7" t="s">
        <v>27</v>
      </c>
      <c r="D8183" s="7" t="s">
        <v>28</v>
      </c>
      <c r="E8183" s="7" t="s">
        <v>29</v>
      </c>
      <c r="F8183" s="7" t="s">
        <v>186</v>
      </c>
      <c r="G8183" s="7">
        <v>105.2804</v>
      </c>
      <c r="H8183" s="7"/>
    </row>
    <row r="8184" spans="1:8" x14ac:dyDescent="0.35">
      <c r="A8184" s="7" t="s">
        <v>374</v>
      </c>
      <c r="B8184" s="7" t="s">
        <v>26</v>
      </c>
      <c r="C8184" s="7" t="s">
        <v>27</v>
      </c>
      <c r="D8184" s="7" t="s">
        <v>28</v>
      </c>
      <c r="E8184" s="7" t="s">
        <v>29</v>
      </c>
      <c r="F8184" s="7" t="s">
        <v>187</v>
      </c>
      <c r="G8184" s="7">
        <v>105.6032</v>
      </c>
      <c r="H8184" s="7"/>
    </row>
    <row r="8185" spans="1:8" x14ac:dyDescent="0.35">
      <c r="A8185" s="7" t="s">
        <v>374</v>
      </c>
      <c r="B8185" s="7" t="s">
        <v>26</v>
      </c>
      <c r="C8185" s="7" t="s">
        <v>27</v>
      </c>
      <c r="D8185" s="7" t="s">
        <v>28</v>
      </c>
      <c r="E8185" s="7" t="s">
        <v>29</v>
      </c>
      <c r="F8185" s="7" t="s">
        <v>188</v>
      </c>
      <c r="G8185" s="7">
        <v>105.7131</v>
      </c>
      <c r="H8185" s="7"/>
    </row>
    <row r="8186" spans="1:8" x14ac:dyDescent="0.35">
      <c r="A8186" s="7" t="s">
        <v>374</v>
      </c>
      <c r="B8186" s="7" t="s">
        <v>26</v>
      </c>
      <c r="C8186" s="7" t="s">
        <v>27</v>
      </c>
      <c r="D8186" s="7" t="s">
        <v>28</v>
      </c>
      <c r="E8186" s="7" t="s">
        <v>29</v>
      </c>
      <c r="F8186" s="7" t="s">
        <v>189</v>
      </c>
      <c r="G8186" s="7">
        <v>105.47150000000001</v>
      </c>
      <c r="H8186" s="7"/>
    </row>
    <row r="8187" spans="1:8" x14ac:dyDescent="0.35">
      <c r="A8187" s="7" t="s">
        <v>374</v>
      </c>
      <c r="B8187" s="7" t="s">
        <v>26</v>
      </c>
      <c r="C8187" s="7" t="s">
        <v>27</v>
      </c>
      <c r="D8187" s="7" t="s">
        <v>28</v>
      </c>
      <c r="E8187" s="7" t="s">
        <v>29</v>
      </c>
      <c r="F8187" s="7" t="s">
        <v>190</v>
      </c>
      <c r="G8187" s="7">
        <v>104.9036</v>
      </c>
      <c r="H8187" s="7"/>
    </row>
    <row r="8188" spans="1:8" x14ac:dyDescent="0.35">
      <c r="A8188" s="7" t="s">
        <v>374</v>
      </c>
      <c r="B8188" s="7" t="s">
        <v>26</v>
      </c>
      <c r="C8188" s="7" t="s">
        <v>27</v>
      </c>
      <c r="D8188" s="7" t="s">
        <v>28</v>
      </c>
      <c r="E8188" s="7" t="s">
        <v>29</v>
      </c>
      <c r="F8188" s="7" t="s">
        <v>191</v>
      </c>
      <c r="G8188" s="7">
        <v>104.3646</v>
      </c>
      <c r="H8188" s="7"/>
    </row>
    <row r="8189" spans="1:8" x14ac:dyDescent="0.35">
      <c r="A8189" s="7" t="s">
        <v>374</v>
      </c>
      <c r="B8189" s="7" t="s">
        <v>26</v>
      </c>
      <c r="C8189" s="7" t="s">
        <v>27</v>
      </c>
      <c r="D8189" s="7" t="s">
        <v>28</v>
      </c>
      <c r="E8189" s="7" t="s">
        <v>29</v>
      </c>
      <c r="F8189" s="7" t="s">
        <v>192</v>
      </c>
      <c r="G8189" s="7">
        <v>103.9996</v>
      </c>
      <c r="H8189" s="7"/>
    </row>
    <row r="8190" spans="1:8" x14ac:dyDescent="0.35">
      <c r="A8190" s="7" t="s">
        <v>374</v>
      </c>
      <c r="B8190" s="7" t="s">
        <v>26</v>
      </c>
      <c r="C8190" s="7" t="s">
        <v>27</v>
      </c>
      <c r="D8190" s="7" t="s">
        <v>28</v>
      </c>
      <c r="E8190" s="7" t="s">
        <v>29</v>
      </c>
      <c r="F8190" s="7" t="s">
        <v>193</v>
      </c>
      <c r="G8190" s="7">
        <v>103.68770000000001</v>
      </c>
      <c r="H8190" s="7"/>
    </row>
    <row r="8191" spans="1:8" x14ac:dyDescent="0.35">
      <c r="A8191" s="7" t="s">
        <v>374</v>
      </c>
      <c r="B8191" s="7" t="s">
        <v>26</v>
      </c>
      <c r="C8191" s="7" t="s">
        <v>27</v>
      </c>
      <c r="D8191" s="7" t="s">
        <v>28</v>
      </c>
      <c r="E8191" s="7" t="s">
        <v>29</v>
      </c>
      <c r="F8191" s="7" t="s">
        <v>194</v>
      </c>
      <c r="G8191" s="7">
        <v>103.402</v>
      </c>
      <c r="H8191" s="7"/>
    </row>
    <row r="8192" spans="1:8" x14ac:dyDescent="0.35">
      <c r="A8192" s="7" t="s">
        <v>374</v>
      </c>
      <c r="B8192" s="7" t="s">
        <v>26</v>
      </c>
      <c r="C8192" s="7" t="s">
        <v>27</v>
      </c>
      <c r="D8192" s="7" t="s">
        <v>28</v>
      </c>
      <c r="E8192" s="7" t="s">
        <v>29</v>
      </c>
      <c r="F8192" s="7" t="s">
        <v>195</v>
      </c>
      <c r="G8192" s="7">
        <v>103.06959999999999</v>
      </c>
      <c r="H8192" s="7"/>
    </row>
    <row r="8193" spans="1:8" x14ac:dyDescent="0.35">
      <c r="A8193" s="7" t="s">
        <v>374</v>
      </c>
      <c r="B8193" s="7" t="s">
        <v>26</v>
      </c>
      <c r="C8193" s="7" t="s">
        <v>27</v>
      </c>
      <c r="D8193" s="7" t="s">
        <v>28</v>
      </c>
      <c r="E8193" s="7" t="s">
        <v>29</v>
      </c>
      <c r="F8193" s="7" t="s">
        <v>196</v>
      </c>
      <c r="G8193" s="7">
        <v>102.91800000000001</v>
      </c>
      <c r="H8193" s="7"/>
    </row>
    <row r="8194" spans="1:8" x14ac:dyDescent="0.35">
      <c r="A8194" s="7" t="s">
        <v>374</v>
      </c>
      <c r="B8194" s="7" t="s">
        <v>26</v>
      </c>
      <c r="C8194" s="7" t="s">
        <v>27</v>
      </c>
      <c r="D8194" s="7" t="s">
        <v>28</v>
      </c>
      <c r="E8194" s="7" t="s">
        <v>29</v>
      </c>
      <c r="F8194" s="7" t="s">
        <v>197</v>
      </c>
      <c r="G8194" s="7">
        <v>103.1895</v>
      </c>
      <c r="H8194" s="7"/>
    </row>
    <row r="8195" spans="1:8" x14ac:dyDescent="0.35">
      <c r="A8195" s="7" t="s">
        <v>374</v>
      </c>
      <c r="B8195" s="7" t="s">
        <v>26</v>
      </c>
      <c r="C8195" s="7" t="s">
        <v>27</v>
      </c>
      <c r="D8195" s="7" t="s">
        <v>28</v>
      </c>
      <c r="E8195" s="7" t="s">
        <v>29</v>
      </c>
      <c r="F8195" s="7" t="s">
        <v>198</v>
      </c>
      <c r="G8195" s="7">
        <v>103.60680000000001</v>
      </c>
      <c r="H8195" s="7"/>
    </row>
    <row r="8196" spans="1:8" x14ac:dyDescent="0.35">
      <c r="A8196" s="7" t="s">
        <v>374</v>
      </c>
      <c r="B8196" s="7" t="s">
        <v>26</v>
      </c>
      <c r="C8196" s="7" t="s">
        <v>27</v>
      </c>
      <c r="D8196" s="7" t="s">
        <v>28</v>
      </c>
      <c r="E8196" s="7" t="s">
        <v>29</v>
      </c>
      <c r="F8196" s="7" t="s">
        <v>199</v>
      </c>
      <c r="G8196" s="7">
        <v>103.9953</v>
      </c>
      <c r="H8196" s="7"/>
    </row>
    <row r="8197" spans="1:8" x14ac:dyDescent="0.35">
      <c r="A8197" s="7" t="s">
        <v>374</v>
      </c>
      <c r="B8197" s="7" t="s">
        <v>26</v>
      </c>
      <c r="C8197" s="7" t="s">
        <v>27</v>
      </c>
      <c r="D8197" s="7" t="s">
        <v>28</v>
      </c>
      <c r="E8197" s="7" t="s">
        <v>29</v>
      </c>
      <c r="F8197" s="7" t="s">
        <v>200</v>
      </c>
      <c r="G8197" s="7">
        <v>104.3848</v>
      </c>
      <c r="H8197" s="7"/>
    </row>
    <row r="8198" spans="1:8" x14ac:dyDescent="0.35">
      <c r="A8198" s="7" t="s">
        <v>374</v>
      </c>
      <c r="B8198" s="7" t="s">
        <v>26</v>
      </c>
      <c r="C8198" s="7" t="s">
        <v>27</v>
      </c>
      <c r="D8198" s="7" t="s">
        <v>28</v>
      </c>
      <c r="E8198" s="7" t="s">
        <v>29</v>
      </c>
      <c r="F8198" s="7" t="s">
        <v>201</v>
      </c>
      <c r="G8198" s="7">
        <v>104.5912</v>
      </c>
      <c r="H8198" s="7"/>
    </row>
    <row r="8199" spans="1:8" x14ac:dyDescent="0.35">
      <c r="A8199" s="7" t="s">
        <v>374</v>
      </c>
      <c r="B8199" s="7" t="s">
        <v>26</v>
      </c>
      <c r="C8199" s="7" t="s">
        <v>27</v>
      </c>
      <c r="D8199" s="7" t="s">
        <v>28</v>
      </c>
      <c r="E8199" s="7" t="s">
        <v>29</v>
      </c>
      <c r="F8199" s="7" t="s">
        <v>202</v>
      </c>
      <c r="G8199" s="7">
        <v>104.62909999999999</v>
      </c>
      <c r="H8199" s="7"/>
    </row>
    <row r="8200" spans="1:8" x14ac:dyDescent="0.35">
      <c r="A8200" s="7" t="s">
        <v>374</v>
      </c>
      <c r="B8200" s="7" t="s">
        <v>26</v>
      </c>
      <c r="C8200" s="7" t="s">
        <v>27</v>
      </c>
      <c r="D8200" s="7" t="s">
        <v>28</v>
      </c>
      <c r="E8200" s="7" t="s">
        <v>29</v>
      </c>
      <c r="F8200" s="7" t="s">
        <v>203</v>
      </c>
      <c r="G8200" s="7">
        <v>104.28279999999999</v>
      </c>
      <c r="H8200" s="7"/>
    </row>
    <row r="8201" spans="1:8" x14ac:dyDescent="0.35">
      <c r="A8201" s="7" t="s">
        <v>374</v>
      </c>
      <c r="B8201" s="7" t="s">
        <v>26</v>
      </c>
      <c r="C8201" s="7" t="s">
        <v>27</v>
      </c>
      <c r="D8201" s="7" t="s">
        <v>28</v>
      </c>
      <c r="E8201" s="7" t="s">
        <v>29</v>
      </c>
      <c r="F8201" s="7" t="s">
        <v>204</v>
      </c>
      <c r="G8201" s="7">
        <v>103.2753</v>
      </c>
      <c r="H8201" s="7"/>
    </row>
    <row r="8202" spans="1:8" x14ac:dyDescent="0.35">
      <c r="A8202" s="7" t="s">
        <v>374</v>
      </c>
      <c r="B8202" s="7" t="s">
        <v>26</v>
      </c>
      <c r="C8202" s="7" t="s">
        <v>27</v>
      </c>
      <c r="D8202" s="7" t="s">
        <v>28</v>
      </c>
      <c r="E8202" s="7" t="s">
        <v>29</v>
      </c>
      <c r="F8202" s="7" t="s">
        <v>205</v>
      </c>
      <c r="G8202" s="7">
        <v>101.8151</v>
      </c>
      <c r="H8202" s="7"/>
    </row>
    <row r="8203" spans="1:8" x14ac:dyDescent="0.35">
      <c r="A8203" s="7" t="s">
        <v>374</v>
      </c>
      <c r="B8203" s="7" t="s">
        <v>26</v>
      </c>
      <c r="C8203" s="7" t="s">
        <v>27</v>
      </c>
      <c r="D8203" s="7" t="s">
        <v>28</v>
      </c>
      <c r="E8203" s="7" t="s">
        <v>29</v>
      </c>
      <c r="F8203" s="7" t="s">
        <v>206</v>
      </c>
      <c r="G8203" s="7">
        <v>100.8342</v>
      </c>
      <c r="H8203" s="7"/>
    </row>
    <row r="8204" spans="1:8" x14ac:dyDescent="0.35">
      <c r="A8204" s="7" t="s">
        <v>374</v>
      </c>
      <c r="B8204" s="7" t="s">
        <v>26</v>
      </c>
      <c r="C8204" s="7" t="s">
        <v>27</v>
      </c>
      <c r="D8204" s="7" t="s">
        <v>28</v>
      </c>
      <c r="E8204" s="7" t="s">
        <v>29</v>
      </c>
      <c r="F8204" s="7" t="s">
        <v>207</v>
      </c>
      <c r="G8204" s="7">
        <v>100.6777</v>
      </c>
      <c r="H8204" s="7"/>
    </row>
    <row r="8205" spans="1:8" x14ac:dyDescent="0.35">
      <c r="A8205" s="7" t="s">
        <v>374</v>
      </c>
      <c r="B8205" s="7" t="s">
        <v>26</v>
      </c>
      <c r="C8205" s="7" t="s">
        <v>27</v>
      </c>
      <c r="D8205" s="7" t="s">
        <v>28</v>
      </c>
      <c r="E8205" s="7" t="s">
        <v>29</v>
      </c>
      <c r="F8205" s="7" t="s">
        <v>208</v>
      </c>
      <c r="G8205" s="7">
        <v>100.8331</v>
      </c>
      <c r="H8205" s="7"/>
    </row>
    <row r="8206" spans="1:8" x14ac:dyDescent="0.35">
      <c r="A8206" s="7" t="s">
        <v>374</v>
      </c>
      <c r="B8206" s="7" t="s">
        <v>26</v>
      </c>
      <c r="C8206" s="7" t="s">
        <v>27</v>
      </c>
      <c r="D8206" s="7" t="s">
        <v>28</v>
      </c>
      <c r="E8206" s="7" t="s">
        <v>29</v>
      </c>
      <c r="F8206" s="7" t="s">
        <v>209</v>
      </c>
      <c r="G8206" s="7">
        <v>101.07089999999999</v>
      </c>
      <c r="H8206" s="7"/>
    </row>
    <row r="8207" spans="1:8" x14ac:dyDescent="0.35">
      <c r="A8207" s="7" t="s">
        <v>374</v>
      </c>
      <c r="B8207" s="7" t="s">
        <v>26</v>
      </c>
      <c r="C8207" s="7" t="s">
        <v>27</v>
      </c>
      <c r="D8207" s="7" t="s">
        <v>28</v>
      </c>
      <c r="E8207" s="7" t="s">
        <v>29</v>
      </c>
      <c r="F8207" s="7" t="s">
        <v>210</v>
      </c>
      <c r="G8207" s="7">
        <v>101.2735</v>
      </c>
      <c r="H8207" s="7"/>
    </row>
    <row r="8208" spans="1:8" x14ac:dyDescent="0.35">
      <c r="A8208" s="7" t="s">
        <v>374</v>
      </c>
      <c r="B8208" s="7" t="s">
        <v>26</v>
      </c>
      <c r="C8208" s="7" t="s">
        <v>27</v>
      </c>
      <c r="D8208" s="7" t="s">
        <v>28</v>
      </c>
      <c r="E8208" s="7" t="s">
        <v>29</v>
      </c>
      <c r="F8208" s="7" t="s">
        <v>211</v>
      </c>
      <c r="G8208" s="7">
        <v>101.2688</v>
      </c>
      <c r="H8208" s="7"/>
    </row>
    <row r="8209" spans="1:8" x14ac:dyDescent="0.35">
      <c r="A8209" s="7" t="s">
        <v>374</v>
      </c>
      <c r="B8209" s="7" t="s">
        <v>26</v>
      </c>
      <c r="C8209" s="7" t="s">
        <v>27</v>
      </c>
      <c r="D8209" s="7" t="s">
        <v>28</v>
      </c>
      <c r="E8209" s="7" t="s">
        <v>29</v>
      </c>
      <c r="F8209" s="7" t="s">
        <v>212</v>
      </c>
      <c r="G8209" s="7">
        <v>101.2517</v>
      </c>
      <c r="H8209" s="7"/>
    </row>
    <row r="8210" spans="1:8" x14ac:dyDescent="0.35">
      <c r="A8210" s="7" t="s">
        <v>374</v>
      </c>
      <c r="B8210" s="7" t="s">
        <v>26</v>
      </c>
      <c r="C8210" s="7" t="s">
        <v>27</v>
      </c>
      <c r="D8210" s="7" t="s">
        <v>28</v>
      </c>
      <c r="E8210" s="7" t="s">
        <v>29</v>
      </c>
      <c r="F8210" s="7" t="s">
        <v>213</v>
      </c>
      <c r="G8210" s="7">
        <v>101.3323</v>
      </c>
      <c r="H8210" s="7"/>
    </row>
    <row r="8211" spans="1:8" x14ac:dyDescent="0.35">
      <c r="A8211" s="7" t="s">
        <v>374</v>
      </c>
      <c r="B8211" s="7" t="s">
        <v>26</v>
      </c>
      <c r="C8211" s="7" t="s">
        <v>27</v>
      </c>
      <c r="D8211" s="7" t="s">
        <v>28</v>
      </c>
      <c r="E8211" s="7" t="s">
        <v>29</v>
      </c>
      <c r="F8211" s="7" t="s">
        <v>214</v>
      </c>
      <c r="G8211" s="7">
        <v>101.4696</v>
      </c>
      <c r="H8211" s="7"/>
    </row>
    <row r="8212" spans="1:8" x14ac:dyDescent="0.35">
      <c r="A8212" s="7" t="s">
        <v>374</v>
      </c>
      <c r="B8212" s="7" t="s">
        <v>26</v>
      </c>
      <c r="C8212" s="7" t="s">
        <v>27</v>
      </c>
      <c r="D8212" s="7" t="s">
        <v>28</v>
      </c>
      <c r="E8212" s="7" t="s">
        <v>29</v>
      </c>
      <c r="F8212" s="7" t="s">
        <v>215</v>
      </c>
      <c r="G8212" s="7">
        <v>101.7197</v>
      </c>
      <c r="H8212" s="7"/>
    </row>
    <row r="8213" spans="1:8" x14ac:dyDescent="0.35">
      <c r="A8213" s="7" t="s">
        <v>374</v>
      </c>
      <c r="B8213" s="7" t="s">
        <v>26</v>
      </c>
      <c r="C8213" s="7" t="s">
        <v>27</v>
      </c>
      <c r="D8213" s="7" t="s">
        <v>28</v>
      </c>
      <c r="E8213" s="7" t="s">
        <v>29</v>
      </c>
      <c r="F8213" s="7" t="s">
        <v>216</v>
      </c>
      <c r="G8213" s="7">
        <v>101.99339999999999</v>
      </c>
      <c r="H8213" s="7"/>
    </row>
    <row r="8214" spans="1:8" x14ac:dyDescent="0.35">
      <c r="A8214" s="7" t="s">
        <v>374</v>
      </c>
      <c r="B8214" s="7" t="s">
        <v>26</v>
      </c>
      <c r="C8214" s="7" t="s">
        <v>27</v>
      </c>
      <c r="D8214" s="7" t="s">
        <v>28</v>
      </c>
      <c r="E8214" s="7" t="s">
        <v>29</v>
      </c>
      <c r="F8214" s="7" t="s">
        <v>217</v>
      </c>
      <c r="G8214" s="7">
        <v>102.23439999999999</v>
      </c>
      <c r="H8214" s="7"/>
    </row>
    <row r="8215" spans="1:8" x14ac:dyDescent="0.35">
      <c r="A8215" s="7" t="s">
        <v>374</v>
      </c>
      <c r="B8215" s="7" t="s">
        <v>26</v>
      </c>
      <c r="C8215" s="7" t="s">
        <v>27</v>
      </c>
      <c r="D8215" s="7" t="s">
        <v>28</v>
      </c>
      <c r="E8215" s="7" t="s">
        <v>29</v>
      </c>
      <c r="F8215" s="7" t="s">
        <v>218</v>
      </c>
      <c r="G8215" s="7">
        <v>102.5977</v>
      </c>
      <c r="H8215" s="7"/>
    </row>
    <row r="8216" spans="1:8" x14ac:dyDescent="0.35">
      <c r="A8216" s="7" t="s">
        <v>374</v>
      </c>
      <c r="B8216" s="7" t="s">
        <v>26</v>
      </c>
      <c r="C8216" s="7" t="s">
        <v>27</v>
      </c>
      <c r="D8216" s="7" t="s">
        <v>28</v>
      </c>
      <c r="E8216" s="7" t="s">
        <v>29</v>
      </c>
      <c r="F8216" s="7" t="s">
        <v>219</v>
      </c>
      <c r="G8216" s="7">
        <v>102.9348</v>
      </c>
      <c r="H8216" s="7"/>
    </row>
    <row r="8217" spans="1:8" x14ac:dyDescent="0.35">
      <c r="A8217" s="7" t="s">
        <v>374</v>
      </c>
      <c r="B8217" s="7" t="s">
        <v>26</v>
      </c>
      <c r="C8217" s="7" t="s">
        <v>27</v>
      </c>
      <c r="D8217" s="7" t="s">
        <v>28</v>
      </c>
      <c r="E8217" s="7" t="s">
        <v>29</v>
      </c>
      <c r="F8217" s="7" t="s">
        <v>220</v>
      </c>
      <c r="G8217" s="7">
        <v>102.8933</v>
      </c>
      <c r="H8217" s="7"/>
    </row>
    <row r="8218" spans="1:8" x14ac:dyDescent="0.35">
      <c r="A8218" s="7" t="s">
        <v>374</v>
      </c>
      <c r="B8218" s="7" t="s">
        <v>26</v>
      </c>
      <c r="C8218" s="7" t="s">
        <v>27</v>
      </c>
      <c r="D8218" s="7" t="s">
        <v>28</v>
      </c>
      <c r="E8218" s="7" t="s">
        <v>29</v>
      </c>
      <c r="F8218" s="7" t="s">
        <v>221</v>
      </c>
      <c r="G8218" s="7">
        <v>102.545</v>
      </c>
      <c r="H8218" s="7"/>
    </row>
    <row r="8219" spans="1:8" x14ac:dyDescent="0.35">
      <c r="A8219" s="7" t="s">
        <v>374</v>
      </c>
      <c r="B8219" s="7" t="s">
        <v>26</v>
      </c>
      <c r="C8219" s="7" t="s">
        <v>27</v>
      </c>
      <c r="D8219" s="7" t="s">
        <v>28</v>
      </c>
      <c r="E8219" s="7" t="s">
        <v>29</v>
      </c>
      <c r="F8219" s="7" t="s">
        <v>222</v>
      </c>
      <c r="G8219" s="7">
        <v>102.0287</v>
      </c>
      <c r="H8219" s="7"/>
    </row>
    <row r="8220" spans="1:8" x14ac:dyDescent="0.35">
      <c r="A8220" s="7" t="s">
        <v>374</v>
      </c>
      <c r="B8220" s="7" t="s">
        <v>26</v>
      </c>
      <c r="C8220" s="7" t="s">
        <v>27</v>
      </c>
      <c r="D8220" s="7" t="s">
        <v>28</v>
      </c>
      <c r="E8220" s="7" t="s">
        <v>29</v>
      </c>
      <c r="F8220" s="7" t="s">
        <v>223</v>
      </c>
      <c r="G8220" s="7">
        <v>101.57850000000001</v>
      </c>
      <c r="H8220" s="7"/>
    </row>
    <row r="8221" spans="1:8" x14ac:dyDescent="0.35">
      <c r="A8221" s="7" t="s">
        <v>374</v>
      </c>
      <c r="B8221" s="7" t="s">
        <v>26</v>
      </c>
      <c r="C8221" s="7" t="s">
        <v>27</v>
      </c>
      <c r="D8221" s="7" t="s">
        <v>28</v>
      </c>
      <c r="E8221" s="7" t="s">
        <v>29</v>
      </c>
      <c r="F8221" s="7" t="s">
        <v>224</v>
      </c>
      <c r="G8221" s="7">
        <v>100.7517</v>
      </c>
      <c r="H8221" s="7"/>
    </row>
    <row r="8222" spans="1:8" x14ac:dyDescent="0.35">
      <c r="A8222" s="7" t="s">
        <v>374</v>
      </c>
      <c r="B8222" s="7" t="s">
        <v>26</v>
      </c>
      <c r="C8222" s="7" t="s">
        <v>27</v>
      </c>
      <c r="D8222" s="7" t="s">
        <v>28</v>
      </c>
      <c r="E8222" s="7" t="s">
        <v>29</v>
      </c>
      <c r="F8222" s="7" t="s">
        <v>225</v>
      </c>
      <c r="G8222" s="7">
        <v>99.358279999999993</v>
      </c>
      <c r="H8222" s="7"/>
    </row>
    <row r="8223" spans="1:8" x14ac:dyDescent="0.35">
      <c r="A8223" s="7" t="s">
        <v>374</v>
      </c>
      <c r="B8223" s="7" t="s">
        <v>26</v>
      </c>
      <c r="C8223" s="7" t="s">
        <v>27</v>
      </c>
      <c r="D8223" s="7" t="s">
        <v>28</v>
      </c>
      <c r="E8223" s="7" t="s">
        <v>29</v>
      </c>
      <c r="F8223" s="7" t="s">
        <v>226</v>
      </c>
      <c r="G8223" s="7">
        <v>97.666309999999996</v>
      </c>
      <c r="H8223" s="7"/>
    </row>
    <row r="8224" spans="1:8" x14ac:dyDescent="0.35">
      <c r="A8224" s="7" t="s">
        <v>374</v>
      </c>
      <c r="B8224" s="7" t="s">
        <v>26</v>
      </c>
      <c r="C8224" s="7" t="s">
        <v>27</v>
      </c>
      <c r="D8224" s="7" t="s">
        <v>28</v>
      </c>
      <c r="E8224" s="7" t="s">
        <v>29</v>
      </c>
      <c r="F8224" s="7" t="s">
        <v>227</v>
      </c>
      <c r="G8224" s="7">
        <v>96.211780000000005</v>
      </c>
      <c r="H8224" s="7"/>
    </row>
    <row r="8225" spans="1:8" x14ac:dyDescent="0.35">
      <c r="A8225" s="7" t="s">
        <v>374</v>
      </c>
      <c r="B8225" s="7" t="s">
        <v>26</v>
      </c>
      <c r="C8225" s="7" t="s">
        <v>27</v>
      </c>
      <c r="D8225" s="7" t="s">
        <v>28</v>
      </c>
      <c r="E8225" s="7" t="s">
        <v>29</v>
      </c>
      <c r="F8225" s="7" t="s">
        <v>228</v>
      </c>
      <c r="G8225" s="7">
        <v>95.514179999999996</v>
      </c>
      <c r="H8225" s="7"/>
    </row>
    <row r="8226" spans="1:8" x14ac:dyDescent="0.35">
      <c r="A8226" s="7" t="s">
        <v>374</v>
      </c>
      <c r="B8226" s="7" t="s">
        <v>26</v>
      </c>
      <c r="C8226" s="7" t="s">
        <v>27</v>
      </c>
      <c r="D8226" s="7" t="s">
        <v>28</v>
      </c>
      <c r="E8226" s="7" t="s">
        <v>29</v>
      </c>
      <c r="F8226" s="7" t="s">
        <v>229</v>
      </c>
      <c r="G8226" s="7">
        <v>95.523589999999999</v>
      </c>
      <c r="H8226" s="7"/>
    </row>
    <row r="8227" spans="1:8" x14ac:dyDescent="0.35">
      <c r="A8227" s="7" t="s">
        <v>374</v>
      </c>
      <c r="B8227" s="7" t="s">
        <v>26</v>
      </c>
      <c r="C8227" s="7" t="s">
        <v>27</v>
      </c>
      <c r="D8227" s="7" t="s">
        <v>28</v>
      </c>
      <c r="E8227" s="7" t="s">
        <v>29</v>
      </c>
      <c r="F8227" s="7" t="s">
        <v>230</v>
      </c>
      <c r="G8227" s="7">
        <v>96.011790000000005</v>
      </c>
      <c r="H8227" s="7"/>
    </row>
    <row r="8228" spans="1:8" x14ac:dyDescent="0.35">
      <c r="A8228" s="7" t="s">
        <v>374</v>
      </c>
      <c r="B8228" s="7" t="s">
        <v>26</v>
      </c>
      <c r="C8228" s="7" t="s">
        <v>27</v>
      </c>
      <c r="D8228" s="7" t="s">
        <v>28</v>
      </c>
      <c r="E8228" s="7" t="s">
        <v>29</v>
      </c>
      <c r="F8228" s="7" t="s">
        <v>231</v>
      </c>
      <c r="G8228" s="7">
        <v>96.441029999999998</v>
      </c>
      <c r="H8228" s="7"/>
    </row>
    <row r="8229" spans="1:8" x14ac:dyDescent="0.35">
      <c r="A8229" s="7" t="s">
        <v>374</v>
      </c>
      <c r="B8229" s="7" t="s">
        <v>26</v>
      </c>
      <c r="C8229" s="7" t="s">
        <v>27</v>
      </c>
      <c r="D8229" s="7" t="s">
        <v>28</v>
      </c>
      <c r="E8229" s="7" t="s">
        <v>29</v>
      </c>
      <c r="F8229" s="7" t="s">
        <v>232</v>
      </c>
      <c r="G8229" s="7">
        <v>96.175250000000005</v>
      </c>
      <c r="H8229" s="7"/>
    </row>
    <row r="8230" spans="1:8" x14ac:dyDescent="0.35">
      <c r="A8230" s="7" t="s">
        <v>374</v>
      </c>
      <c r="B8230" s="7" t="s">
        <v>26</v>
      </c>
      <c r="C8230" s="7" t="s">
        <v>27</v>
      </c>
      <c r="D8230" s="7" t="s">
        <v>28</v>
      </c>
      <c r="E8230" s="7" t="s">
        <v>29</v>
      </c>
      <c r="F8230" s="7" t="s">
        <v>233</v>
      </c>
      <c r="G8230" s="7">
        <v>95.046639999999996</v>
      </c>
      <c r="H8230" s="7"/>
    </row>
    <row r="8231" spans="1:8" x14ac:dyDescent="0.35">
      <c r="A8231" s="7" t="s">
        <v>374</v>
      </c>
      <c r="B8231" s="7" t="s">
        <v>26</v>
      </c>
      <c r="C8231" s="7" t="s">
        <v>27</v>
      </c>
      <c r="D8231" s="7" t="s">
        <v>28</v>
      </c>
      <c r="E8231" s="7" t="s">
        <v>29</v>
      </c>
      <c r="F8231" s="7" t="s">
        <v>234</v>
      </c>
      <c r="G8231" s="7">
        <v>93.9268</v>
      </c>
      <c r="H8231" s="7"/>
    </row>
    <row r="8232" spans="1:8" x14ac:dyDescent="0.35">
      <c r="A8232" s="7" t="s">
        <v>374</v>
      </c>
      <c r="B8232" s="7" t="s">
        <v>26</v>
      </c>
      <c r="C8232" s="7" t="s">
        <v>27</v>
      </c>
      <c r="D8232" s="7" t="s">
        <v>28</v>
      </c>
      <c r="E8232" s="7" t="s">
        <v>29</v>
      </c>
      <c r="F8232" s="7" t="s">
        <v>235</v>
      </c>
      <c r="G8232" s="7">
        <v>93.583240000000004</v>
      </c>
      <c r="H8232" s="7"/>
    </row>
    <row r="8233" spans="1:8" x14ac:dyDescent="0.35">
      <c r="A8233" s="7" t="s">
        <v>374</v>
      </c>
      <c r="B8233" s="7" t="s">
        <v>26</v>
      </c>
      <c r="C8233" s="7" t="s">
        <v>27</v>
      </c>
      <c r="D8233" s="7" t="s">
        <v>28</v>
      </c>
      <c r="E8233" s="7" t="s">
        <v>29</v>
      </c>
      <c r="F8233" s="7" t="s">
        <v>236</v>
      </c>
      <c r="G8233" s="7">
        <v>93.920169999999999</v>
      </c>
      <c r="H8233" s="7"/>
    </row>
    <row r="8234" spans="1:8" x14ac:dyDescent="0.35">
      <c r="A8234" s="7" t="s">
        <v>374</v>
      </c>
      <c r="B8234" s="7" t="s">
        <v>26</v>
      </c>
      <c r="C8234" s="7" t="s">
        <v>27</v>
      </c>
      <c r="D8234" s="7" t="s">
        <v>28</v>
      </c>
      <c r="E8234" s="7" t="s">
        <v>29</v>
      </c>
      <c r="F8234" s="7" t="s">
        <v>237</v>
      </c>
      <c r="G8234" s="7">
        <v>94.679280000000006</v>
      </c>
      <c r="H8234" s="7"/>
    </row>
    <row r="8235" spans="1:8" x14ac:dyDescent="0.35">
      <c r="A8235" s="7" t="s">
        <v>374</v>
      </c>
      <c r="B8235" s="7" t="s">
        <v>26</v>
      </c>
      <c r="C8235" s="7" t="s">
        <v>27</v>
      </c>
      <c r="D8235" s="7" t="s">
        <v>28</v>
      </c>
      <c r="E8235" s="7" t="s">
        <v>29</v>
      </c>
      <c r="F8235" s="7" t="s">
        <v>238</v>
      </c>
      <c r="G8235" s="7">
        <v>95.684219999999996</v>
      </c>
      <c r="H8235" s="7"/>
    </row>
    <row r="8236" spans="1:8" x14ac:dyDescent="0.35">
      <c r="A8236" s="7" t="s">
        <v>374</v>
      </c>
      <c r="B8236" s="7" t="s">
        <v>26</v>
      </c>
      <c r="C8236" s="7" t="s">
        <v>27</v>
      </c>
      <c r="D8236" s="7" t="s">
        <v>28</v>
      </c>
      <c r="E8236" s="7" t="s">
        <v>29</v>
      </c>
      <c r="F8236" s="7" t="s">
        <v>239</v>
      </c>
      <c r="G8236" s="7">
        <v>96.940089999999998</v>
      </c>
      <c r="H8236" s="7"/>
    </row>
    <row r="8237" spans="1:8" x14ac:dyDescent="0.35">
      <c r="A8237" s="7" t="s">
        <v>374</v>
      </c>
      <c r="B8237" s="7" t="s">
        <v>26</v>
      </c>
      <c r="C8237" s="7" t="s">
        <v>27</v>
      </c>
      <c r="D8237" s="7" t="s">
        <v>28</v>
      </c>
      <c r="E8237" s="7" t="s">
        <v>29</v>
      </c>
      <c r="F8237" s="7" t="s">
        <v>240</v>
      </c>
      <c r="G8237" s="7">
        <v>97.897459999999995</v>
      </c>
      <c r="H8237" s="7"/>
    </row>
    <row r="8238" spans="1:8" x14ac:dyDescent="0.35">
      <c r="A8238" s="7" t="s">
        <v>374</v>
      </c>
      <c r="B8238" s="7" t="s">
        <v>26</v>
      </c>
      <c r="C8238" s="7" t="s">
        <v>27</v>
      </c>
      <c r="D8238" s="7" t="s">
        <v>28</v>
      </c>
      <c r="E8238" s="7" t="s">
        <v>29</v>
      </c>
      <c r="F8238" s="7" t="s">
        <v>241</v>
      </c>
      <c r="G8238" s="7">
        <v>98.293139999999994</v>
      </c>
      <c r="H8238" s="7"/>
    </row>
    <row r="8239" spans="1:8" x14ac:dyDescent="0.35">
      <c r="A8239" s="7" t="s">
        <v>374</v>
      </c>
      <c r="B8239" s="7" t="s">
        <v>26</v>
      </c>
      <c r="C8239" s="7" t="s">
        <v>27</v>
      </c>
      <c r="D8239" s="7" t="s">
        <v>28</v>
      </c>
      <c r="E8239" s="7" t="s">
        <v>29</v>
      </c>
      <c r="F8239" s="7" t="s">
        <v>242</v>
      </c>
      <c r="G8239" s="7">
        <v>98.077060000000003</v>
      </c>
      <c r="H8239" s="7"/>
    </row>
    <row r="8240" spans="1:8" x14ac:dyDescent="0.35">
      <c r="A8240" s="7" t="s">
        <v>374</v>
      </c>
      <c r="B8240" s="7" t="s">
        <v>26</v>
      </c>
      <c r="C8240" s="7" t="s">
        <v>27</v>
      </c>
      <c r="D8240" s="7" t="s">
        <v>28</v>
      </c>
      <c r="E8240" s="7" t="s">
        <v>29</v>
      </c>
      <c r="F8240" s="7" t="s">
        <v>243</v>
      </c>
      <c r="G8240" s="7">
        <v>97.715190000000007</v>
      </c>
      <c r="H8240" s="7"/>
    </row>
    <row r="8241" spans="1:8" x14ac:dyDescent="0.35">
      <c r="A8241" s="7" t="s">
        <v>374</v>
      </c>
      <c r="B8241" s="7" t="s">
        <v>26</v>
      </c>
      <c r="C8241" s="7" t="s">
        <v>27</v>
      </c>
      <c r="D8241" s="7" t="s">
        <v>28</v>
      </c>
      <c r="E8241" s="7" t="s">
        <v>29</v>
      </c>
      <c r="F8241" s="7" t="s">
        <v>244</v>
      </c>
      <c r="G8241" s="7">
        <v>97.388760000000005</v>
      </c>
      <c r="H8241" s="7"/>
    </row>
    <row r="8242" spans="1:8" x14ac:dyDescent="0.35">
      <c r="A8242" s="7" t="s">
        <v>374</v>
      </c>
      <c r="B8242" s="7" t="s">
        <v>26</v>
      </c>
      <c r="C8242" s="7" t="s">
        <v>27</v>
      </c>
      <c r="D8242" s="7" t="s">
        <v>28</v>
      </c>
      <c r="E8242" s="7" t="s">
        <v>29</v>
      </c>
      <c r="F8242" s="7" t="s">
        <v>245</v>
      </c>
      <c r="G8242" s="7">
        <v>96.982259999999997</v>
      </c>
      <c r="H8242" s="7"/>
    </row>
    <row r="8243" spans="1:8" x14ac:dyDescent="0.35">
      <c r="A8243" s="7" t="s">
        <v>374</v>
      </c>
      <c r="B8243" s="7" t="s">
        <v>26</v>
      </c>
      <c r="C8243" s="7" t="s">
        <v>27</v>
      </c>
      <c r="D8243" s="7" t="s">
        <v>28</v>
      </c>
      <c r="E8243" s="7" t="s">
        <v>29</v>
      </c>
      <c r="F8243" s="7" t="s">
        <v>246</v>
      </c>
      <c r="G8243" s="7">
        <v>96.627949999999998</v>
      </c>
      <c r="H8243" s="7"/>
    </row>
    <row r="8244" spans="1:8" x14ac:dyDescent="0.35">
      <c r="A8244" s="7" t="s">
        <v>374</v>
      </c>
      <c r="B8244" s="7" t="s">
        <v>26</v>
      </c>
      <c r="C8244" s="7" t="s">
        <v>27</v>
      </c>
      <c r="D8244" s="7" t="s">
        <v>28</v>
      </c>
      <c r="E8244" s="7" t="s">
        <v>29</v>
      </c>
      <c r="F8244" s="7" t="s">
        <v>247</v>
      </c>
      <c r="G8244" s="7">
        <v>96.598960000000005</v>
      </c>
      <c r="H8244" s="7"/>
    </row>
    <row r="8245" spans="1:8" x14ac:dyDescent="0.35">
      <c r="A8245" s="7" t="s">
        <v>374</v>
      </c>
      <c r="B8245" s="7" t="s">
        <v>26</v>
      </c>
      <c r="C8245" s="7" t="s">
        <v>27</v>
      </c>
      <c r="D8245" s="7" t="s">
        <v>28</v>
      </c>
      <c r="E8245" s="7" t="s">
        <v>29</v>
      </c>
      <c r="F8245" s="7" t="s">
        <v>248</v>
      </c>
      <c r="G8245" s="7">
        <v>96.933809999999994</v>
      </c>
      <c r="H8245" s="7"/>
    </row>
    <row r="8246" spans="1:8" x14ac:dyDescent="0.35">
      <c r="A8246" s="7" t="s">
        <v>374</v>
      </c>
      <c r="B8246" s="7" t="s">
        <v>26</v>
      </c>
      <c r="C8246" s="7" t="s">
        <v>27</v>
      </c>
      <c r="D8246" s="7" t="s">
        <v>28</v>
      </c>
      <c r="E8246" s="7" t="s">
        <v>29</v>
      </c>
      <c r="F8246" s="7" t="s">
        <v>249</v>
      </c>
      <c r="G8246" s="7">
        <v>97.610039999999998</v>
      </c>
      <c r="H8246" s="7"/>
    </row>
    <row r="8247" spans="1:8" x14ac:dyDescent="0.35">
      <c r="A8247" s="7" t="s">
        <v>374</v>
      </c>
      <c r="B8247" s="7" t="s">
        <v>26</v>
      </c>
      <c r="C8247" s="7" t="s">
        <v>27</v>
      </c>
      <c r="D8247" s="7" t="s">
        <v>28</v>
      </c>
      <c r="E8247" s="7" t="s">
        <v>29</v>
      </c>
      <c r="F8247" s="7" t="s">
        <v>250</v>
      </c>
      <c r="G8247" s="7">
        <v>98.365520000000004</v>
      </c>
      <c r="H8247" s="7"/>
    </row>
    <row r="8248" spans="1:8" x14ac:dyDescent="0.35">
      <c r="A8248" s="7" t="s">
        <v>374</v>
      </c>
      <c r="B8248" s="7" t="s">
        <v>26</v>
      </c>
      <c r="C8248" s="7" t="s">
        <v>27</v>
      </c>
      <c r="D8248" s="7" t="s">
        <v>28</v>
      </c>
      <c r="E8248" s="7" t="s">
        <v>29</v>
      </c>
      <c r="F8248" s="7" t="s">
        <v>251</v>
      </c>
      <c r="G8248" s="7">
        <v>98.938289999999995</v>
      </c>
      <c r="H8248" s="7"/>
    </row>
    <row r="8249" spans="1:8" x14ac:dyDescent="0.35">
      <c r="A8249" s="7" t="s">
        <v>374</v>
      </c>
      <c r="B8249" s="7" t="s">
        <v>26</v>
      </c>
      <c r="C8249" s="7" t="s">
        <v>27</v>
      </c>
      <c r="D8249" s="7" t="s">
        <v>28</v>
      </c>
      <c r="E8249" s="7" t="s">
        <v>29</v>
      </c>
      <c r="F8249" s="7" t="s">
        <v>252</v>
      </c>
      <c r="G8249" s="7">
        <v>99.325209999999998</v>
      </c>
      <c r="H8249" s="7"/>
    </row>
    <row r="8250" spans="1:8" x14ac:dyDescent="0.35">
      <c r="A8250" s="7" t="s">
        <v>374</v>
      </c>
      <c r="B8250" s="7" t="s">
        <v>26</v>
      </c>
      <c r="C8250" s="7" t="s">
        <v>27</v>
      </c>
      <c r="D8250" s="7" t="s">
        <v>28</v>
      </c>
      <c r="E8250" s="7" t="s">
        <v>29</v>
      </c>
      <c r="F8250" s="7" t="s">
        <v>253</v>
      </c>
      <c r="G8250" s="7">
        <v>99.579009999999997</v>
      </c>
      <c r="H8250" s="7"/>
    </row>
    <row r="8251" spans="1:8" x14ac:dyDescent="0.35">
      <c r="A8251" s="7" t="s">
        <v>374</v>
      </c>
      <c r="B8251" s="7" t="s">
        <v>26</v>
      </c>
      <c r="C8251" s="7" t="s">
        <v>27</v>
      </c>
      <c r="D8251" s="7" t="s">
        <v>28</v>
      </c>
      <c r="E8251" s="7" t="s">
        <v>29</v>
      </c>
      <c r="F8251" s="7" t="s">
        <v>254</v>
      </c>
      <c r="G8251" s="7">
        <v>99.696209999999994</v>
      </c>
      <c r="H8251" s="7"/>
    </row>
    <row r="8252" spans="1:8" x14ac:dyDescent="0.35">
      <c r="A8252" s="7" t="s">
        <v>374</v>
      </c>
      <c r="B8252" s="7" t="s">
        <v>26</v>
      </c>
      <c r="C8252" s="7" t="s">
        <v>27</v>
      </c>
      <c r="D8252" s="7" t="s">
        <v>28</v>
      </c>
      <c r="E8252" s="7" t="s">
        <v>29</v>
      </c>
      <c r="F8252" s="7" t="s">
        <v>255</v>
      </c>
      <c r="G8252" s="7">
        <v>99.874279999999999</v>
      </c>
      <c r="H8252" s="7"/>
    </row>
    <row r="8253" spans="1:8" x14ac:dyDescent="0.35">
      <c r="A8253" s="7" t="s">
        <v>374</v>
      </c>
      <c r="B8253" s="7" t="s">
        <v>26</v>
      </c>
      <c r="C8253" s="7" t="s">
        <v>27</v>
      </c>
      <c r="D8253" s="7" t="s">
        <v>28</v>
      </c>
      <c r="E8253" s="7" t="s">
        <v>29</v>
      </c>
      <c r="F8253" s="7" t="s">
        <v>256</v>
      </c>
      <c r="G8253" s="7">
        <v>100.1979</v>
      </c>
      <c r="H8253" s="7"/>
    </row>
    <row r="8254" spans="1:8" x14ac:dyDescent="0.35">
      <c r="A8254" s="7" t="s">
        <v>374</v>
      </c>
      <c r="B8254" s="7" t="s">
        <v>26</v>
      </c>
      <c r="C8254" s="7" t="s">
        <v>27</v>
      </c>
      <c r="D8254" s="7" t="s">
        <v>28</v>
      </c>
      <c r="E8254" s="7" t="s">
        <v>29</v>
      </c>
      <c r="F8254" s="7" t="s">
        <v>257</v>
      </c>
      <c r="G8254" s="7">
        <v>100.417</v>
      </c>
      <c r="H8254" s="7"/>
    </row>
    <row r="8255" spans="1:8" x14ac:dyDescent="0.35">
      <c r="A8255" s="7" t="s">
        <v>374</v>
      </c>
      <c r="B8255" s="7" t="s">
        <v>26</v>
      </c>
      <c r="C8255" s="7" t="s">
        <v>27</v>
      </c>
      <c r="D8255" s="7" t="s">
        <v>28</v>
      </c>
      <c r="E8255" s="7" t="s">
        <v>29</v>
      </c>
      <c r="F8255" s="7" t="s">
        <v>258</v>
      </c>
      <c r="G8255" s="7">
        <v>100.69410000000001</v>
      </c>
      <c r="H8255" s="7"/>
    </row>
    <row r="8256" spans="1:8" x14ac:dyDescent="0.35">
      <c r="A8256" s="7" t="s">
        <v>374</v>
      </c>
      <c r="B8256" s="7" t="s">
        <v>26</v>
      </c>
      <c r="C8256" s="7" t="s">
        <v>27</v>
      </c>
      <c r="D8256" s="7" t="s">
        <v>28</v>
      </c>
      <c r="E8256" s="7" t="s">
        <v>29</v>
      </c>
      <c r="F8256" s="7" t="s">
        <v>259</v>
      </c>
      <c r="G8256" s="7">
        <v>100.89830000000001</v>
      </c>
      <c r="H8256" s="7"/>
    </row>
    <row r="8257" spans="1:8" x14ac:dyDescent="0.35">
      <c r="A8257" s="7" t="s">
        <v>374</v>
      </c>
      <c r="B8257" s="7" t="s">
        <v>26</v>
      </c>
      <c r="C8257" s="7" t="s">
        <v>27</v>
      </c>
      <c r="D8257" s="7" t="s">
        <v>28</v>
      </c>
      <c r="E8257" s="7" t="s">
        <v>29</v>
      </c>
      <c r="F8257" s="7" t="s">
        <v>260</v>
      </c>
      <c r="G8257" s="7">
        <v>101.1417</v>
      </c>
      <c r="H8257" s="7"/>
    </row>
    <row r="8258" spans="1:8" x14ac:dyDescent="0.35">
      <c r="A8258" s="7" t="s">
        <v>374</v>
      </c>
      <c r="B8258" s="7" t="s">
        <v>26</v>
      </c>
      <c r="C8258" s="7" t="s">
        <v>27</v>
      </c>
      <c r="D8258" s="7" t="s">
        <v>28</v>
      </c>
      <c r="E8258" s="7" t="s">
        <v>29</v>
      </c>
      <c r="F8258" s="7" t="s">
        <v>261</v>
      </c>
      <c r="G8258" s="7">
        <v>101.4521</v>
      </c>
      <c r="H8258" s="7"/>
    </row>
    <row r="8259" spans="1:8" x14ac:dyDescent="0.35">
      <c r="A8259" s="7" t="s">
        <v>374</v>
      </c>
      <c r="B8259" s="7" t="s">
        <v>26</v>
      </c>
      <c r="C8259" s="7" t="s">
        <v>27</v>
      </c>
      <c r="D8259" s="7" t="s">
        <v>28</v>
      </c>
      <c r="E8259" s="7" t="s">
        <v>29</v>
      </c>
      <c r="F8259" s="7" t="s">
        <v>262</v>
      </c>
      <c r="G8259" s="7">
        <v>101.6347</v>
      </c>
      <c r="H8259" s="7"/>
    </row>
    <row r="8260" spans="1:8" x14ac:dyDescent="0.35">
      <c r="A8260" s="7" t="s">
        <v>374</v>
      </c>
      <c r="B8260" s="7" t="s">
        <v>26</v>
      </c>
      <c r="C8260" s="7" t="s">
        <v>27</v>
      </c>
      <c r="D8260" s="7" t="s">
        <v>28</v>
      </c>
      <c r="E8260" s="7" t="s">
        <v>29</v>
      </c>
      <c r="F8260" s="7" t="s">
        <v>263</v>
      </c>
      <c r="G8260" s="7">
        <v>101.75920000000001</v>
      </c>
      <c r="H8260" s="7"/>
    </row>
    <row r="8261" spans="1:8" x14ac:dyDescent="0.35">
      <c r="A8261" s="7" t="s">
        <v>374</v>
      </c>
      <c r="B8261" s="7" t="s">
        <v>26</v>
      </c>
      <c r="C8261" s="7" t="s">
        <v>27</v>
      </c>
      <c r="D8261" s="7" t="s">
        <v>28</v>
      </c>
      <c r="E8261" s="7" t="s">
        <v>29</v>
      </c>
      <c r="F8261" s="7" t="s">
        <v>264</v>
      </c>
      <c r="G8261" s="7">
        <v>101.9209</v>
      </c>
      <c r="H8261" s="7"/>
    </row>
    <row r="8262" spans="1:8" x14ac:dyDescent="0.35">
      <c r="A8262" s="7" t="s">
        <v>374</v>
      </c>
      <c r="B8262" s="7" t="s">
        <v>26</v>
      </c>
      <c r="C8262" s="7" t="s">
        <v>27</v>
      </c>
      <c r="D8262" s="7" t="s">
        <v>28</v>
      </c>
      <c r="E8262" s="7" t="s">
        <v>29</v>
      </c>
      <c r="F8262" s="7" t="s">
        <v>265</v>
      </c>
      <c r="G8262" s="7">
        <v>102.1358</v>
      </c>
      <c r="H8262" s="7"/>
    </row>
    <row r="8263" spans="1:8" x14ac:dyDescent="0.35">
      <c r="A8263" s="7" t="s">
        <v>374</v>
      </c>
      <c r="B8263" s="7" t="s">
        <v>26</v>
      </c>
      <c r="C8263" s="7" t="s">
        <v>27</v>
      </c>
      <c r="D8263" s="7" t="s">
        <v>28</v>
      </c>
      <c r="E8263" s="7" t="s">
        <v>29</v>
      </c>
      <c r="F8263" s="7" t="s">
        <v>266</v>
      </c>
      <c r="G8263" s="7">
        <v>101.9665</v>
      </c>
      <c r="H8263" s="7"/>
    </row>
    <row r="8264" spans="1:8" x14ac:dyDescent="0.35">
      <c r="A8264" s="7" t="s">
        <v>374</v>
      </c>
      <c r="B8264" s="7" t="s">
        <v>26</v>
      </c>
      <c r="C8264" s="7" t="s">
        <v>27</v>
      </c>
      <c r="D8264" s="7" t="s">
        <v>28</v>
      </c>
      <c r="E8264" s="7" t="s">
        <v>29</v>
      </c>
      <c r="F8264" s="7" t="s">
        <v>267</v>
      </c>
      <c r="G8264" s="7">
        <v>101.55710000000001</v>
      </c>
      <c r="H8264" s="7"/>
    </row>
    <row r="8265" spans="1:8" x14ac:dyDescent="0.35">
      <c r="A8265" s="7" t="s">
        <v>374</v>
      </c>
      <c r="B8265" s="7" t="s">
        <v>26</v>
      </c>
      <c r="C8265" s="7" t="s">
        <v>27</v>
      </c>
      <c r="D8265" s="7" t="s">
        <v>28</v>
      </c>
      <c r="E8265" s="7" t="s">
        <v>29</v>
      </c>
      <c r="F8265" s="7" t="s">
        <v>268</v>
      </c>
      <c r="G8265" s="7">
        <v>101.24760000000001</v>
      </c>
      <c r="H8265" s="7"/>
    </row>
    <row r="8266" spans="1:8" x14ac:dyDescent="0.35">
      <c r="A8266" s="7" t="s">
        <v>374</v>
      </c>
      <c r="B8266" s="7" t="s">
        <v>26</v>
      </c>
      <c r="C8266" s="7" t="s">
        <v>27</v>
      </c>
      <c r="D8266" s="7" t="s">
        <v>28</v>
      </c>
      <c r="E8266" s="7" t="s">
        <v>29</v>
      </c>
      <c r="F8266" s="7" t="s">
        <v>269</v>
      </c>
      <c r="G8266" s="7">
        <v>100.9006</v>
      </c>
      <c r="H8266" s="7"/>
    </row>
    <row r="8267" spans="1:8" x14ac:dyDescent="0.35">
      <c r="A8267" s="7" t="s">
        <v>374</v>
      </c>
      <c r="B8267" s="7" t="s">
        <v>26</v>
      </c>
      <c r="C8267" s="7" t="s">
        <v>27</v>
      </c>
      <c r="D8267" s="7" t="s">
        <v>28</v>
      </c>
      <c r="E8267" s="7" t="s">
        <v>29</v>
      </c>
      <c r="F8267" s="7" t="s">
        <v>270</v>
      </c>
      <c r="G8267" s="7">
        <v>100.8947</v>
      </c>
      <c r="H8267" s="7"/>
    </row>
    <row r="8268" spans="1:8" x14ac:dyDescent="0.35">
      <c r="A8268" s="7" t="s">
        <v>374</v>
      </c>
      <c r="B8268" s="7" t="s">
        <v>26</v>
      </c>
      <c r="C8268" s="7" t="s">
        <v>27</v>
      </c>
      <c r="D8268" s="7" t="s">
        <v>28</v>
      </c>
      <c r="E8268" s="7" t="s">
        <v>29</v>
      </c>
      <c r="F8268" s="7" t="s">
        <v>271</v>
      </c>
      <c r="G8268" s="7">
        <v>101.0806</v>
      </c>
      <c r="H8268" s="7"/>
    </row>
    <row r="8269" spans="1:8" x14ac:dyDescent="0.35">
      <c r="A8269" s="7" t="s">
        <v>374</v>
      </c>
      <c r="B8269" s="7" t="s">
        <v>26</v>
      </c>
      <c r="C8269" s="7" t="s">
        <v>27</v>
      </c>
      <c r="D8269" s="7" t="s">
        <v>28</v>
      </c>
      <c r="E8269" s="7" t="s">
        <v>29</v>
      </c>
      <c r="F8269" s="7" t="s">
        <v>272</v>
      </c>
      <c r="G8269" s="7">
        <v>101.2469</v>
      </c>
      <c r="H8269" s="7"/>
    </row>
    <row r="8270" spans="1:8" x14ac:dyDescent="0.35">
      <c r="A8270" s="7" t="s">
        <v>374</v>
      </c>
      <c r="B8270" s="7" t="s">
        <v>26</v>
      </c>
      <c r="C8270" s="7" t="s">
        <v>27</v>
      </c>
      <c r="D8270" s="7" t="s">
        <v>28</v>
      </c>
      <c r="E8270" s="7" t="s">
        <v>29</v>
      </c>
      <c r="F8270" s="7" t="s">
        <v>273</v>
      </c>
      <c r="G8270" s="7">
        <v>101.28579999999999</v>
      </c>
      <c r="H8270" s="7"/>
    </row>
    <row r="8271" spans="1:8" x14ac:dyDescent="0.35">
      <c r="A8271" s="7" t="s">
        <v>374</v>
      </c>
      <c r="B8271" s="7" t="s">
        <v>26</v>
      </c>
      <c r="C8271" s="7" t="s">
        <v>27</v>
      </c>
      <c r="D8271" s="7" t="s">
        <v>28</v>
      </c>
      <c r="E8271" s="7" t="s">
        <v>29</v>
      </c>
      <c r="F8271" s="7" t="s">
        <v>274</v>
      </c>
      <c r="G8271" s="7">
        <v>101.10039999999999</v>
      </c>
      <c r="H8271" s="7"/>
    </row>
    <row r="8272" spans="1:8" x14ac:dyDescent="0.35">
      <c r="A8272" s="7" t="s">
        <v>374</v>
      </c>
      <c r="B8272" s="7" t="s">
        <v>26</v>
      </c>
      <c r="C8272" s="7" t="s">
        <v>27</v>
      </c>
      <c r="D8272" s="7" t="s">
        <v>28</v>
      </c>
      <c r="E8272" s="7" t="s">
        <v>29</v>
      </c>
      <c r="F8272" s="7" t="s">
        <v>275</v>
      </c>
      <c r="G8272" s="7">
        <v>100.7829</v>
      </c>
      <c r="H8272" s="7"/>
    </row>
    <row r="8273" spans="1:8" x14ac:dyDescent="0.35">
      <c r="A8273" s="7" t="s">
        <v>374</v>
      </c>
      <c r="B8273" s="7" t="s">
        <v>26</v>
      </c>
      <c r="C8273" s="7" t="s">
        <v>27</v>
      </c>
      <c r="D8273" s="7" t="s">
        <v>28</v>
      </c>
      <c r="E8273" s="7" t="s">
        <v>29</v>
      </c>
      <c r="F8273" s="7" t="s">
        <v>276</v>
      </c>
      <c r="G8273" s="7">
        <v>100.69159999999999</v>
      </c>
      <c r="H8273" s="7"/>
    </row>
    <row r="8274" spans="1:8" x14ac:dyDescent="0.35">
      <c r="A8274" s="7" t="s">
        <v>374</v>
      </c>
      <c r="B8274" s="7" t="s">
        <v>26</v>
      </c>
      <c r="C8274" s="7" t="s">
        <v>27</v>
      </c>
      <c r="D8274" s="7" t="s">
        <v>28</v>
      </c>
      <c r="E8274" s="7" t="s">
        <v>29</v>
      </c>
      <c r="F8274" s="7" t="s">
        <v>277</v>
      </c>
      <c r="G8274" s="7">
        <v>100.50960000000001</v>
      </c>
      <c r="H8274" s="7"/>
    </row>
    <row r="8275" spans="1:8" x14ac:dyDescent="0.35">
      <c r="A8275" s="7" t="s">
        <v>374</v>
      </c>
      <c r="B8275" s="7" t="s">
        <v>26</v>
      </c>
      <c r="C8275" s="7" t="s">
        <v>27</v>
      </c>
      <c r="D8275" s="7" t="s">
        <v>28</v>
      </c>
      <c r="E8275" s="7" t="s">
        <v>29</v>
      </c>
      <c r="F8275" s="7" t="s">
        <v>278</v>
      </c>
      <c r="G8275" s="7">
        <v>100.1635</v>
      </c>
      <c r="H8275" s="7"/>
    </row>
    <row r="8276" spans="1:8" x14ac:dyDescent="0.35">
      <c r="A8276" s="7" t="s">
        <v>374</v>
      </c>
      <c r="B8276" s="7" t="s">
        <v>26</v>
      </c>
      <c r="C8276" s="7" t="s">
        <v>27</v>
      </c>
      <c r="D8276" s="7" t="s">
        <v>28</v>
      </c>
      <c r="E8276" s="7" t="s">
        <v>29</v>
      </c>
      <c r="F8276" s="7" t="s">
        <v>279</v>
      </c>
      <c r="G8276" s="7">
        <v>99.532259999999994</v>
      </c>
      <c r="H8276" s="7"/>
    </row>
    <row r="8277" spans="1:8" x14ac:dyDescent="0.35">
      <c r="A8277" s="7" t="s">
        <v>374</v>
      </c>
      <c r="B8277" s="7" t="s">
        <v>26</v>
      </c>
      <c r="C8277" s="7" t="s">
        <v>27</v>
      </c>
      <c r="D8277" s="7" t="s">
        <v>28</v>
      </c>
      <c r="E8277" s="7" t="s">
        <v>29</v>
      </c>
      <c r="F8277" s="7" t="s">
        <v>280</v>
      </c>
      <c r="G8277" s="7">
        <v>98.88091</v>
      </c>
      <c r="H8277" s="7"/>
    </row>
    <row r="8278" spans="1:8" x14ac:dyDescent="0.35">
      <c r="A8278" s="7" t="s">
        <v>374</v>
      </c>
      <c r="B8278" s="7" t="s">
        <v>26</v>
      </c>
      <c r="C8278" s="7" t="s">
        <v>27</v>
      </c>
      <c r="D8278" s="7" t="s">
        <v>28</v>
      </c>
      <c r="E8278" s="7" t="s">
        <v>29</v>
      </c>
      <c r="F8278" s="7" t="s">
        <v>281</v>
      </c>
      <c r="G8278" s="7">
        <v>98.552019999999999</v>
      </c>
      <c r="H8278" s="7"/>
    </row>
    <row r="8279" spans="1:8" x14ac:dyDescent="0.35">
      <c r="A8279" s="7" t="s">
        <v>374</v>
      </c>
      <c r="B8279" s="7" t="s">
        <v>26</v>
      </c>
      <c r="C8279" s="7" t="s">
        <v>27</v>
      </c>
      <c r="D8279" s="7" t="s">
        <v>28</v>
      </c>
      <c r="E8279" s="7" t="s">
        <v>29</v>
      </c>
      <c r="F8279" s="7" t="s">
        <v>282</v>
      </c>
      <c r="G8279" s="7">
        <v>98.842439999999996</v>
      </c>
      <c r="H8279" s="7"/>
    </row>
    <row r="8280" spans="1:8" x14ac:dyDescent="0.35">
      <c r="A8280" s="7" t="s">
        <v>374</v>
      </c>
      <c r="B8280" s="7" t="s">
        <v>26</v>
      </c>
      <c r="C8280" s="7" t="s">
        <v>27</v>
      </c>
      <c r="D8280" s="7" t="s">
        <v>28</v>
      </c>
      <c r="E8280" s="7" t="s">
        <v>29</v>
      </c>
      <c r="F8280" s="7" t="s">
        <v>283</v>
      </c>
      <c r="G8280" s="7">
        <v>99.357410000000002</v>
      </c>
      <c r="H8280" s="7"/>
    </row>
    <row r="8281" spans="1:8" x14ac:dyDescent="0.35">
      <c r="A8281" s="7" t="s">
        <v>374</v>
      </c>
      <c r="B8281" s="7" t="s">
        <v>26</v>
      </c>
      <c r="C8281" s="7" t="s">
        <v>27</v>
      </c>
      <c r="D8281" s="7" t="s">
        <v>28</v>
      </c>
      <c r="E8281" s="7" t="s">
        <v>29</v>
      </c>
      <c r="F8281" s="7" t="s">
        <v>284</v>
      </c>
      <c r="G8281" s="7">
        <v>99.86318</v>
      </c>
      <c r="H8281" s="7"/>
    </row>
    <row r="8282" spans="1:8" x14ac:dyDescent="0.35">
      <c r="A8282" s="7" t="s">
        <v>374</v>
      </c>
      <c r="B8282" s="7" t="s">
        <v>26</v>
      </c>
      <c r="C8282" s="7" t="s">
        <v>27</v>
      </c>
      <c r="D8282" s="7" t="s">
        <v>28</v>
      </c>
      <c r="E8282" s="7" t="s">
        <v>29</v>
      </c>
      <c r="F8282" s="7" t="s">
        <v>285</v>
      </c>
      <c r="G8282" s="7">
        <v>100.119</v>
      </c>
      <c r="H8282" s="7"/>
    </row>
    <row r="8283" spans="1:8" x14ac:dyDescent="0.35">
      <c r="A8283" s="7" t="s">
        <v>374</v>
      </c>
      <c r="B8283" s="7" t="s">
        <v>26</v>
      </c>
      <c r="C8283" s="7" t="s">
        <v>27</v>
      </c>
      <c r="D8283" s="7" t="s">
        <v>28</v>
      </c>
      <c r="E8283" s="7" t="s">
        <v>29</v>
      </c>
      <c r="F8283" s="7" t="s">
        <v>286</v>
      </c>
      <c r="G8283" s="7">
        <v>100.14279999999999</v>
      </c>
      <c r="H8283" s="7"/>
    </row>
    <row r="8284" spans="1:8" x14ac:dyDescent="0.35">
      <c r="A8284" s="7" t="s">
        <v>374</v>
      </c>
      <c r="B8284" s="7" t="s">
        <v>26</v>
      </c>
      <c r="C8284" s="7" t="s">
        <v>27</v>
      </c>
      <c r="D8284" s="7" t="s">
        <v>28</v>
      </c>
      <c r="E8284" s="7" t="s">
        <v>29</v>
      </c>
      <c r="F8284" s="7" t="s">
        <v>287</v>
      </c>
      <c r="G8284" s="7">
        <v>100.2602</v>
      </c>
      <c r="H8284" s="7"/>
    </row>
    <row r="8285" spans="1:8" x14ac:dyDescent="0.35">
      <c r="A8285" s="7" t="s">
        <v>374</v>
      </c>
      <c r="B8285" s="7" t="s">
        <v>26</v>
      </c>
      <c r="C8285" s="7" t="s">
        <v>27</v>
      </c>
      <c r="D8285" s="7" t="s">
        <v>28</v>
      </c>
      <c r="E8285" s="7" t="s">
        <v>29</v>
      </c>
      <c r="F8285" s="7" t="s">
        <v>288</v>
      </c>
      <c r="G8285" s="7">
        <v>100.46720000000001</v>
      </c>
      <c r="H8285" s="7"/>
    </row>
    <row r="8286" spans="1:8" x14ac:dyDescent="0.35">
      <c r="A8286" s="7" t="s">
        <v>374</v>
      </c>
      <c r="B8286" s="7" t="s">
        <v>26</v>
      </c>
      <c r="C8286" s="7" t="s">
        <v>27</v>
      </c>
      <c r="D8286" s="7" t="s">
        <v>28</v>
      </c>
      <c r="E8286" s="7" t="s">
        <v>29</v>
      </c>
      <c r="F8286" s="7" t="s">
        <v>289</v>
      </c>
      <c r="G8286" s="7">
        <v>100.56189999999999</v>
      </c>
      <c r="H8286" s="7"/>
    </row>
    <row r="8287" spans="1:8" x14ac:dyDescent="0.35">
      <c r="A8287" s="7" t="s">
        <v>374</v>
      </c>
      <c r="B8287" s="7" t="s">
        <v>26</v>
      </c>
      <c r="C8287" s="7" t="s">
        <v>27</v>
      </c>
      <c r="D8287" s="7" t="s">
        <v>28</v>
      </c>
      <c r="E8287" s="7" t="s">
        <v>29</v>
      </c>
      <c r="F8287" s="7" t="s">
        <v>290</v>
      </c>
      <c r="G8287" s="7">
        <v>100.58240000000001</v>
      </c>
      <c r="H8287" s="7"/>
    </row>
    <row r="8288" spans="1:8" x14ac:dyDescent="0.35">
      <c r="A8288" s="7" t="s">
        <v>374</v>
      </c>
      <c r="B8288" s="7" t="s">
        <v>26</v>
      </c>
      <c r="C8288" s="7" t="s">
        <v>27</v>
      </c>
      <c r="D8288" s="7" t="s">
        <v>28</v>
      </c>
      <c r="E8288" s="7" t="s">
        <v>29</v>
      </c>
      <c r="F8288" s="7" t="s">
        <v>291</v>
      </c>
      <c r="G8288" s="7">
        <v>100.2807</v>
      </c>
      <c r="H8288" s="7"/>
    </row>
    <row r="8289" spans="1:8" x14ac:dyDescent="0.35">
      <c r="A8289" s="7" t="s">
        <v>374</v>
      </c>
      <c r="B8289" s="7" t="s">
        <v>26</v>
      </c>
      <c r="C8289" s="7" t="s">
        <v>27</v>
      </c>
      <c r="D8289" s="7" t="s">
        <v>28</v>
      </c>
      <c r="E8289" s="7" t="s">
        <v>29</v>
      </c>
      <c r="F8289" s="7" t="s">
        <v>292</v>
      </c>
      <c r="G8289" s="7">
        <v>99.887990000000002</v>
      </c>
      <c r="H8289" s="7"/>
    </row>
    <row r="8290" spans="1:8" x14ac:dyDescent="0.35">
      <c r="A8290" s="7" t="s">
        <v>374</v>
      </c>
      <c r="B8290" s="7" t="s">
        <v>26</v>
      </c>
      <c r="C8290" s="7" t="s">
        <v>27</v>
      </c>
      <c r="D8290" s="7" t="s">
        <v>28</v>
      </c>
      <c r="E8290" s="7" t="s">
        <v>29</v>
      </c>
      <c r="F8290" s="7" t="s">
        <v>293</v>
      </c>
      <c r="G8290" s="7">
        <v>99.96396</v>
      </c>
      <c r="H8290" s="7"/>
    </row>
    <row r="8291" spans="1:8" x14ac:dyDescent="0.35">
      <c r="A8291" s="7" t="s">
        <v>374</v>
      </c>
      <c r="B8291" s="7" t="s">
        <v>26</v>
      </c>
      <c r="C8291" s="7" t="s">
        <v>27</v>
      </c>
      <c r="D8291" s="7" t="s">
        <v>28</v>
      </c>
      <c r="E8291" s="7" t="s">
        <v>29</v>
      </c>
      <c r="F8291" s="7" t="s">
        <v>294</v>
      </c>
      <c r="G8291" s="7">
        <v>100.0117</v>
      </c>
      <c r="H8291" s="7"/>
    </row>
    <row r="8292" spans="1:8" x14ac:dyDescent="0.35">
      <c r="A8292" s="7" t="s">
        <v>374</v>
      </c>
      <c r="B8292" s="7" t="s">
        <v>26</v>
      </c>
      <c r="C8292" s="7" t="s">
        <v>27</v>
      </c>
      <c r="D8292" s="7" t="s">
        <v>28</v>
      </c>
      <c r="E8292" s="7" t="s">
        <v>29</v>
      </c>
      <c r="F8292" s="7" t="s">
        <v>295</v>
      </c>
      <c r="G8292" s="7">
        <v>99.604709999999997</v>
      </c>
      <c r="H8292" s="7"/>
    </row>
    <row r="8293" spans="1:8" x14ac:dyDescent="0.35">
      <c r="A8293" s="7" t="s">
        <v>374</v>
      </c>
      <c r="B8293" s="7" t="s">
        <v>26</v>
      </c>
      <c r="C8293" s="7" t="s">
        <v>27</v>
      </c>
      <c r="D8293" s="7" t="s">
        <v>28</v>
      </c>
      <c r="E8293" s="7" t="s">
        <v>29</v>
      </c>
      <c r="F8293" s="7" t="s">
        <v>296</v>
      </c>
      <c r="G8293" s="7">
        <v>99.025760000000005</v>
      </c>
      <c r="H8293" s="7"/>
    </row>
    <row r="8294" spans="1:8" x14ac:dyDescent="0.35">
      <c r="A8294" s="7" t="s">
        <v>374</v>
      </c>
      <c r="B8294" s="7" t="s">
        <v>26</v>
      </c>
      <c r="C8294" s="7" t="s">
        <v>27</v>
      </c>
      <c r="D8294" s="7" t="s">
        <v>28</v>
      </c>
      <c r="E8294" s="7" t="s">
        <v>29</v>
      </c>
      <c r="F8294" s="7" t="s">
        <v>297</v>
      </c>
      <c r="G8294" s="7">
        <v>98.787350000000004</v>
      </c>
      <c r="H8294" s="7"/>
    </row>
    <row r="8295" spans="1:8" x14ac:dyDescent="0.35">
      <c r="A8295" s="7" t="s">
        <v>374</v>
      </c>
      <c r="B8295" s="7" t="s">
        <v>26</v>
      </c>
      <c r="C8295" s="7" t="s">
        <v>27</v>
      </c>
      <c r="D8295" s="7" t="s">
        <v>28</v>
      </c>
      <c r="E8295" s="7" t="s">
        <v>29</v>
      </c>
      <c r="F8295" s="7" t="s">
        <v>298</v>
      </c>
      <c r="G8295" s="7">
        <v>99.295479999999998</v>
      </c>
      <c r="H8295" s="7"/>
    </row>
    <row r="8296" spans="1:8" x14ac:dyDescent="0.35">
      <c r="A8296" s="7" t="s">
        <v>374</v>
      </c>
      <c r="B8296" s="7" t="s">
        <v>26</v>
      </c>
      <c r="C8296" s="7" t="s">
        <v>27</v>
      </c>
      <c r="D8296" s="7" t="s">
        <v>28</v>
      </c>
      <c r="E8296" s="7" t="s">
        <v>29</v>
      </c>
      <c r="F8296" s="7" t="s">
        <v>299</v>
      </c>
      <c r="G8296" s="7">
        <v>99.994159999999994</v>
      </c>
      <c r="H8296" s="7"/>
    </row>
    <row r="8297" spans="1:8" x14ac:dyDescent="0.35">
      <c r="A8297" s="7" t="s">
        <v>374</v>
      </c>
      <c r="B8297" s="7" t="s">
        <v>26</v>
      </c>
      <c r="C8297" s="7" t="s">
        <v>27</v>
      </c>
      <c r="D8297" s="7" t="s">
        <v>28</v>
      </c>
      <c r="E8297" s="7" t="s">
        <v>29</v>
      </c>
      <c r="F8297" s="7" t="s">
        <v>300</v>
      </c>
      <c r="G8297" s="7">
        <v>100.07389999999999</v>
      </c>
      <c r="H8297" s="7"/>
    </row>
    <row r="8298" spans="1:8" x14ac:dyDescent="0.35">
      <c r="A8298" s="7" t="s">
        <v>374</v>
      </c>
      <c r="B8298" s="7" t="s">
        <v>26</v>
      </c>
      <c r="C8298" s="7" t="s">
        <v>27</v>
      </c>
      <c r="D8298" s="7" t="s">
        <v>28</v>
      </c>
      <c r="E8298" s="7" t="s">
        <v>29</v>
      </c>
      <c r="F8298" s="7" t="s">
        <v>301</v>
      </c>
      <c r="G8298" s="7">
        <v>99.795990000000003</v>
      </c>
      <c r="H8298" s="7"/>
    </row>
    <row r="8299" spans="1:8" x14ac:dyDescent="0.35">
      <c r="A8299" s="7" t="s">
        <v>374</v>
      </c>
      <c r="B8299" s="7" t="s">
        <v>26</v>
      </c>
      <c r="C8299" s="7" t="s">
        <v>27</v>
      </c>
      <c r="D8299" s="7" t="s">
        <v>28</v>
      </c>
      <c r="E8299" s="7" t="s">
        <v>29</v>
      </c>
      <c r="F8299" s="7" t="s">
        <v>302</v>
      </c>
      <c r="G8299" s="7">
        <v>99.546509999999998</v>
      </c>
      <c r="H8299" s="7"/>
    </row>
    <row r="8300" spans="1:8" x14ac:dyDescent="0.35">
      <c r="A8300" s="7" t="s">
        <v>374</v>
      </c>
      <c r="B8300" s="7" t="s">
        <v>26</v>
      </c>
      <c r="C8300" s="7" t="s">
        <v>27</v>
      </c>
      <c r="D8300" s="7" t="s">
        <v>28</v>
      </c>
      <c r="E8300" s="7" t="s">
        <v>29</v>
      </c>
      <c r="F8300" s="7" t="s">
        <v>303</v>
      </c>
      <c r="G8300" s="7">
        <v>99.308229999999995</v>
      </c>
      <c r="H8300" s="7"/>
    </row>
    <row r="8301" spans="1:8" x14ac:dyDescent="0.35">
      <c r="A8301" s="7" t="s">
        <v>374</v>
      </c>
      <c r="B8301" s="7" t="s">
        <v>26</v>
      </c>
      <c r="C8301" s="7" t="s">
        <v>27</v>
      </c>
      <c r="D8301" s="7" t="s">
        <v>28</v>
      </c>
      <c r="E8301" s="7" t="s">
        <v>29</v>
      </c>
      <c r="F8301" s="7" t="s">
        <v>304</v>
      </c>
      <c r="G8301" s="7">
        <v>98.980040000000002</v>
      </c>
      <c r="H8301" s="7"/>
    </row>
    <row r="8302" spans="1:8" x14ac:dyDescent="0.35">
      <c r="A8302" s="7" t="s">
        <v>374</v>
      </c>
      <c r="B8302" s="7" t="s">
        <v>26</v>
      </c>
      <c r="C8302" s="7" t="s">
        <v>27</v>
      </c>
      <c r="D8302" s="7" t="s">
        <v>28</v>
      </c>
      <c r="E8302" s="7" t="s">
        <v>29</v>
      </c>
      <c r="F8302" s="7" t="s">
        <v>305</v>
      </c>
      <c r="G8302" s="7">
        <v>98.37688</v>
      </c>
      <c r="H8302" s="7"/>
    </row>
    <row r="8303" spans="1:8" x14ac:dyDescent="0.35">
      <c r="A8303" s="7" t="s">
        <v>374</v>
      </c>
      <c r="B8303" s="7" t="s">
        <v>26</v>
      </c>
      <c r="C8303" s="7" t="s">
        <v>27</v>
      </c>
      <c r="D8303" s="7" t="s">
        <v>28</v>
      </c>
      <c r="E8303" s="7" t="s">
        <v>29</v>
      </c>
      <c r="F8303" s="7" t="s">
        <v>306</v>
      </c>
      <c r="G8303" s="7">
        <v>97.813820000000007</v>
      </c>
      <c r="H8303" s="7"/>
    </row>
    <row r="8304" spans="1:8" x14ac:dyDescent="0.35">
      <c r="A8304" s="7" t="s">
        <v>374</v>
      </c>
      <c r="B8304" s="7" t="s">
        <v>26</v>
      </c>
      <c r="C8304" s="7" t="s">
        <v>27</v>
      </c>
      <c r="D8304" s="7" t="s">
        <v>28</v>
      </c>
      <c r="E8304" s="7" t="s">
        <v>29</v>
      </c>
      <c r="F8304" s="7" t="s">
        <v>307</v>
      </c>
      <c r="G8304" s="7">
        <v>97.440119999999993</v>
      </c>
      <c r="H8304" s="7"/>
    </row>
    <row r="8305" spans="1:8" x14ac:dyDescent="0.35">
      <c r="A8305" s="7" t="s">
        <v>374</v>
      </c>
      <c r="B8305" s="7" t="s">
        <v>26</v>
      </c>
      <c r="C8305" s="7" t="s">
        <v>27</v>
      </c>
      <c r="D8305" s="7" t="s">
        <v>28</v>
      </c>
      <c r="E8305" s="7" t="s">
        <v>29</v>
      </c>
      <c r="F8305" s="7" t="s">
        <v>308</v>
      </c>
      <c r="G8305" s="7">
        <v>97.216800000000006</v>
      </c>
      <c r="H8305" s="7"/>
    </row>
    <row r="8306" spans="1:8" x14ac:dyDescent="0.35">
      <c r="A8306" s="7" t="s">
        <v>374</v>
      </c>
      <c r="B8306" s="7" t="s">
        <v>26</v>
      </c>
      <c r="C8306" s="7" t="s">
        <v>27</v>
      </c>
      <c r="D8306" s="7" t="s">
        <v>28</v>
      </c>
      <c r="E8306" s="7" t="s">
        <v>29</v>
      </c>
      <c r="F8306" s="7" t="s">
        <v>309</v>
      </c>
      <c r="G8306" s="7">
        <v>96.967799999999997</v>
      </c>
      <c r="H8306" s="7"/>
    </row>
    <row r="8307" spans="1:8" x14ac:dyDescent="0.35">
      <c r="A8307" s="7" t="s">
        <v>374</v>
      </c>
      <c r="B8307" s="7" t="s">
        <v>26</v>
      </c>
      <c r="C8307" s="7" t="s">
        <v>27</v>
      </c>
      <c r="D8307" s="7" t="s">
        <v>28</v>
      </c>
      <c r="E8307" s="7" t="s">
        <v>29</v>
      </c>
      <c r="F8307" s="7" t="s">
        <v>310</v>
      </c>
      <c r="G8307" s="7">
        <v>96.589269999999999</v>
      </c>
      <c r="H8307" s="7"/>
    </row>
    <row r="8308" spans="1:8" x14ac:dyDescent="0.35">
      <c r="A8308" s="7" t="s">
        <v>374</v>
      </c>
      <c r="B8308" s="7" t="s">
        <v>26</v>
      </c>
      <c r="C8308" s="7" t="s">
        <v>27</v>
      </c>
      <c r="D8308" s="7" t="s">
        <v>28</v>
      </c>
      <c r="E8308" s="7" t="s">
        <v>29</v>
      </c>
      <c r="F8308" s="7" t="s">
        <v>311</v>
      </c>
      <c r="G8308" s="7">
        <v>96.421270000000007</v>
      </c>
      <c r="H8308" s="7"/>
    </row>
    <row r="8309" spans="1:8" x14ac:dyDescent="0.35">
      <c r="A8309" s="7" t="s">
        <v>374</v>
      </c>
      <c r="B8309" s="7" t="s">
        <v>26</v>
      </c>
      <c r="C8309" s="7" t="s">
        <v>27</v>
      </c>
      <c r="D8309" s="7" t="s">
        <v>28</v>
      </c>
      <c r="E8309" s="7" t="s">
        <v>29</v>
      </c>
      <c r="F8309" s="7" t="s">
        <v>312</v>
      </c>
      <c r="G8309" s="7">
        <v>96.339659999999995</v>
      </c>
      <c r="H8309" s="7"/>
    </row>
    <row r="8310" spans="1:8" x14ac:dyDescent="0.35">
      <c r="A8310" s="7" t="s">
        <v>374</v>
      </c>
      <c r="B8310" s="7" t="s">
        <v>26</v>
      </c>
      <c r="C8310" s="7" t="s">
        <v>27</v>
      </c>
      <c r="D8310" s="7" t="s">
        <v>28</v>
      </c>
      <c r="E8310" s="7" t="s">
        <v>29</v>
      </c>
      <c r="F8310" s="7" t="s">
        <v>313</v>
      </c>
      <c r="G8310" s="7">
        <v>96.260670000000005</v>
      </c>
      <c r="H8310" s="7"/>
    </row>
    <row r="8311" spans="1:8" x14ac:dyDescent="0.35">
      <c r="A8311" s="7" t="s">
        <v>374</v>
      </c>
      <c r="B8311" s="7" t="s">
        <v>26</v>
      </c>
      <c r="C8311" s="7" t="s">
        <v>27</v>
      </c>
      <c r="D8311" s="7" t="s">
        <v>28</v>
      </c>
      <c r="E8311" s="7" t="s">
        <v>29</v>
      </c>
      <c r="F8311" s="7" t="s">
        <v>314</v>
      </c>
      <c r="G8311" s="7">
        <v>95.850840000000005</v>
      </c>
      <c r="H8311" s="7"/>
    </row>
    <row r="8312" spans="1:8" x14ac:dyDescent="0.35">
      <c r="A8312" s="7" t="s">
        <v>374</v>
      </c>
      <c r="B8312" s="7" t="s">
        <v>26</v>
      </c>
      <c r="C8312" s="7" t="s">
        <v>27</v>
      </c>
      <c r="D8312" s="7" t="s">
        <v>28</v>
      </c>
      <c r="E8312" s="7" t="s">
        <v>29</v>
      </c>
      <c r="F8312" s="7" t="s">
        <v>315</v>
      </c>
      <c r="G8312" s="7">
        <v>95.363330000000005</v>
      </c>
      <c r="H8312" s="7"/>
    </row>
    <row r="8313" spans="1:8" x14ac:dyDescent="0.35">
      <c r="A8313" s="7" t="s">
        <v>374</v>
      </c>
      <c r="B8313" s="7" t="s">
        <v>26</v>
      </c>
      <c r="C8313" s="7" t="s">
        <v>27</v>
      </c>
      <c r="D8313" s="7" t="s">
        <v>28</v>
      </c>
      <c r="E8313" s="7" t="s">
        <v>29</v>
      </c>
      <c r="F8313" s="7" t="s">
        <v>316</v>
      </c>
      <c r="G8313" s="7">
        <v>95.420199999999994</v>
      </c>
      <c r="H8313" s="7"/>
    </row>
    <row r="8314" spans="1:8" x14ac:dyDescent="0.35">
      <c r="A8314" s="7" t="s">
        <v>374</v>
      </c>
      <c r="B8314" s="7" t="s">
        <v>26</v>
      </c>
      <c r="C8314" s="7" t="s">
        <v>27</v>
      </c>
      <c r="D8314" s="7" t="s">
        <v>28</v>
      </c>
      <c r="E8314" s="7" t="s">
        <v>29</v>
      </c>
      <c r="F8314" s="7" t="s">
        <v>317</v>
      </c>
      <c r="G8314" s="7">
        <v>96.690029999999993</v>
      </c>
      <c r="H8314" s="7"/>
    </row>
    <row r="8315" spans="1:8" x14ac:dyDescent="0.35">
      <c r="A8315" s="7" t="s">
        <v>374</v>
      </c>
      <c r="B8315" s="7" t="s">
        <v>26</v>
      </c>
      <c r="C8315" s="7" t="s">
        <v>27</v>
      </c>
      <c r="D8315" s="7" t="s">
        <v>28</v>
      </c>
      <c r="E8315" s="7" t="s">
        <v>29</v>
      </c>
      <c r="F8315" s="7" t="s">
        <v>318</v>
      </c>
      <c r="G8315" s="7">
        <v>98.488309999999998</v>
      </c>
      <c r="H8315" s="7"/>
    </row>
    <row r="8316" spans="1:8" x14ac:dyDescent="0.35">
      <c r="A8316" s="7" t="s">
        <v>374</v>
      </c>
      <c r="B8316" s="7" t="s">
        <v>26</v>
      </c>
      <c r="C8316" s="7" t="s">
        <v>27</v>
      </c>
      <c r="D8316" s="7" t="s">
        <v>28</v>
      </c>
      <c r="E8316" s="7" t="s">
        <v>29</v>
      </c>
      <c r="F8316" s="7" t="s">
        <v>319</v>
      </c>
      <c r="G8316" s="7">
        <v>99.001080000000002</v>
      </c>
      <c r="H8316" s="7"/>
    </row>
    <row r="8317" spans="1:8" x14ac:dyDescent="0.35">
      <c r="A8317" s="7" t="s">
        <v>374</v>
      </c>
      <c r="B8317" s="7" t="s">
        <v>26</v>
      </c>
      <c r="C8317" s="7" t="s">
        <v>27</v>
      </c>
      <c r="D8317" s="7" t="s">
        <v>28</v>
      </c>
      <c r="E8317" s="7" t="s">
        <v>29</v>
      </c>
      <c r="F8317" s="7" t="s">
        <v>320</v>
      </c>
      <c r="G8317" s="7">
        <v>98.52467</v>
      </c>
      <c r="H8317" s="7"/>
    </row>
    <row r="8318" spans="1:8" x14ac:dyDescent="0.35">
      <c r="A8318" s="7" t="s">
        <v>374</v>
      </c>
      <c r="B8318" s="7" t="s">
        <v>26</v>
      </c>
      <c r="C8318" s="7" t="s">
        <v>27</v>
      </c>
      <c r="D8318" s="7" t="s">
        <v>28</v>
      </c>
      <c r="E8318" s="7" t="s">
        <v>29</v>
      </c>
      <c r="F8318" s="7" t="s">
        <v>321</v>
      </c>
      <c r="G8318" s="7">
        <v>97.701300000000003</v>
      </c>
      <c r="H8318" s="7"/>
    </row>
    <row r="8319" spans="1:8" x14ac:dyDescent="0.35">
      <c r="A8319" s="7" t="s">
        <v>374</v>
      </c>
      <c r="B8319" s="7" t="s">
        <v>26</v>
      </c>
      <c r="C8319" s="7" t="s">
        <v>27</v>
      </c>
      <c r="D8319" s="7" t="s">
        <v>28</v>
      </c>
      <c r="E8319" s="7" t="s">
        <v>29</v>
      </c>
      <c r="F8319" s="7" t="s">
        <v>322</v>
      </c>
      <c r="G8319" s="7">
        <v>97.308310000000006</v>
      </c>
      <c r="H8319" s="7"/>
    </row>
    <row r="8320" spans="1:8" x14ac:dyDescent="0.35">
      <c r="A8320" s="7" t="s">
        <v>374</v>
      </c>
      <c r="B8320" s="7" t="s">
        <v>26</v>
      </c>
      <c r="C8320" s="7" t="s">
        <v>27</v>
      </c>
      <c r="D8320" s="7" t="s">
        <v>28</v>
      </c>
      <c r="E8320" s="7" t="s">
        <v>29</v>
      </c>
      <c r="F8320" s="7" t="s">
        <v>323</v>
      </c>
      <c r="G8320" s="7">
        <v>97.335629999999995</v>
      </c>
      <c r="H8320" s="7"/>
    </row>
    <row r="8321" spans="1:8" x14ac:dyDescent="0.35">
      <c r="A8321" s="7" t="s">
        <v>374</v>
      </c>
      <c r="B8321" s="7" t="s">
        <v>26</v>
      </c>
      <c r="C8321" s="7" t="s">
        <v>27</v>
      </c>
      <c r="D8321" s="7" t="s">
        <v>28</v>
      </c>
      <c r="E8321" s="7" t="s">
        <v>29</v>
      </c>
      <c r="F8321" s="7" t="s">
        <v>324</v>
      </c>
      <c r="G8321" s="7">
        <v>97.504990000000006</v>
      </c>
      <c r="H8321" s="7"/>
    </row>
    <row r="8322" spans="1:8" x14ac:dyDescent="0.35">
      <c r="A8322" s="7" t="s">
        <v>374</v>
      </c>
      <c r="B8322" s="7" t="s">
        <v>26</v>
      </c>
      <c r="C8322" s="7" t="s">
        <v>27</v>
      </c>
      <c r="D8322" s="7" t="s">
        <v>28</v>
      </c>
      <c r="E8322" s="7" t="s">
        <v>29</v>
      </c>
      <c r="F8322" s="7" t="s">
        <v>325</v>
      </c>
      <c r="G8322" s="7">
        <v>97.754429999999999</v>
      </c>
      <c r="H8322" s="7"/>
    </row>
    <row r="8323" spans="1:8" x14ac:dyDescent="0.35">
      <c r="A8323" s="7" t="s">
        <v>374</v>
      </c>
      <c r="B8323" s="7" t="s">
        <v>26</v>
      </c>
      <c r="C8323" s="7" t="s">
        <v>27</v>
      </c>
      <c r="D8323" s="7" t="s">
        <v>28</v>
      </c>
      <c r="E8323" s="7" t="s">
        <v>29</v>
      </c>
      <c r="F8323" s="7" t="s">
        <v>326</v>
      </c>
      <c r="G8323" s="7">
        <v>98.170630000000003</v>
      </c>
      <c r="H8323" s="7"/>
    </row>
    <row r="8324" spans="1:8" x14ac:dyDescent="0.35">
      <c r="A8324" s="7" t="s">
        <v>374</v>
      </c>
      <c r="B8324" s="7" t="s">
        <v>26</v>
      </c>
      <c r="C8324" s="7" t="s">
        <v>27</v>
      </c>
      <c r="D8324" s="7" t="s">
        <v>28</v>
      </c>
      <c r="E8324" s="7" t="s">
        <v>29</v>
      </c>
      <c r="F8324" s="7" t="s">
        <v>327</v>
      </c>
      <c r="G8324" s="7">
        <v>98.977900000000005</v>
      </c>
      <c r="H8324" s="7"/>
    </row>
    <row r="8325" spans="1:8" x14ac:dyDescent="0.35">
      <c r="A8325" s="7" t="s">
        <v>374</v>
      </c>
      <c r="B8325" s="7" t="s">
        <v>26</v>
      </c>
      <c r="C8325" s="7" t="s">
        <v>27</v>
      </c>
      <c r="D8325" s="7" t="s">
        <v>28</v>
      </c>
      <c r="E8325" s="7" t="s">
        <v>29</v>
      </c>
      <c r="F8325" s="7" t="s">
        <v>328</v>
      </c>
      <c r="G8325" s="7">
        <v>99.280500000000004</v>
      </c>
      <c r="H8325" s="7"/>
    </row>
    <row r="8326" spans="1:8" x14ac:dyDescent="0.35">
      <c r="A8326" s="7" t="s">
        <v>374</v>
      </c>
      <c r="B8326" s="7" t="s">
        <v>26</v>
      </c>
      <c r="C8326" s="7" t="s">
        <v>27</v>
      </c>
      <c r="D8326" s="7" t="s">
        <v>28</v>
      </c>
      <c r="E8326" s="7" t="s">
        <v>29</v>
      </c>
      <c r="F8326" s="7" t="s">
        <v>329</v>
      </c>
      <c r="G8326" s="7">
        <v>98.853309999999993</v>
      </c>
      <c r="H8326" s="7"/>
    </row>
    <row r="8327" spans="1:8" x14ac:dyDescent="0.35">
      <c r="A8327" s="7" t="s">
        <v>374</v>
      </c>
      <c r="B8327" s="7" t="s">
        <v>26</v>
      </c>
      <c r="C8327" s="7" t="s">
        <v>27</v>
      </c>
      <c r="D8327" s="7" t="s">
        <v>28</v>
      </c>
      <c r="E8327" s="7" t="s">
        <v>29</v>
      </c>
      <c r="F8327" s="7" t="s">
        <v>330</v>
      </c>
      <c r="G8327" s="7">
        <v>97.786559999999994</v>
      </c>
      <c r="H8327" s="7"/>
    </row>
    <row r="8328" spans="1:8" x14ac:dyDescent="0.35">
      <c r="A8328" s="7" t="s">
        <v>374</v>
      </c>
      <c r="B8328" s="7" t="s">
        <v>26</v>
      </c>
      <c r="C8328" s="7" t="s">
        <v>27</v>
      </c>
      <c r="D8328" s="7" t="s">
        <v>28</v>
      </c>
      <c r="E8328" s="7" t="s">
        <v>29</v>
      </c>
      <c r="F8328" s="7" t="s">
        <v>331</v>
      </c>
      <c r="G8328" s="7">
        <v>96.825450000000004</v>
      </c>
      <c r="H8328" s="7"/>
    </row>
    <row r="8329" spans="1:8" x14ac:dyDescent="0.35">
      <c r="A8329" s="7" t="s">
        <v>374</v>
      </c>
      <c r="B8329" s="7" t="s">
        <v>26</v>
      </c>
      <c r="C8329" s="7" t="s">
        <v>27</v>
      </c>
      <c r="D8329" s="7" t="s">
        <v>28</v>
      </c>
      <c r="E8329" s="7" t="s">
        <v>29</v>
      </c>
      <c r="F8329" s="7" t="s">
        <v>332</v>
      </c>
      <c r="G8329" s="7">
        <v>96.645319999999998</v>
      </c>
      <c r="H8329" s="7"/>
    </row>
    <row r="8330" spans="1:8" x14ac:dyDescent="0.35">
      <c r="A8330" s="7" t="s">
        <v>374</v>
      </c>
      <c r="B8330" s="7" t="s">
        <v>26</v>
      </c>
      <c r="C8330" s="7" t="s">
        <v>27</v>
      </c>
      <c r="D8330" s="7" t="s">
        <v>28</v>
      </c>
      <c r="E8330" s="7" t="s">
        <v>29</v>
      </c>
      <c r="F8330" s="7" t="s">
        <v>333</v>
      </c>
      <c r="G8330" s="7">
        <v>96.867040000000003</v>
      </c>
      <c r="H8330" s="7"/>
    </row>
    <row r="8331" spans="1:8" x14ac:dyDescent="0.35">
      <c r="A8331" s="7" t="s">
        <v>374</v>
      </c>
      <c r="B8331" s="7" t="s">
        <v>26</v>
      </c>
      <c r="C8331" s="7" t="s">
        <v>27</v>
      </c>
      <c r="D8331" s="7" t="s">
        <v>28</v>
      </c>
      <c r="E8331" s="7" t="s">
        <v>29</v>
      </c>
      <c r="F8331" s="7" t="s">
        <v>334</v>
      </c>
      <c r="G8331" s="7">
        <v>97.481740000000002</v>
      </c>
      <c r="H8331" s="7"/>
    </row>
    <row r="8332" spans="1:8" x14ac:dyDescent="0.35">
      <c r="A8332" s="7" t="s">
        <v>374</v>
      </c>
      <c r="B8332" s="7" t="s">
        <v>26</v>
      </c>
      <c r="C8332" s="7" t="s">
        <v>27</v>
      </c>
      <c r="D8332" s="7" t="s">
        <v>28</v>
      </c>
      <c r="E8332" s="7" t="s">
        <v>29</v>
      </c>
      <c r="F8332" s="7" t="s">
        <v>335</v>
      </c>
      <c r="G8332" s="7">
        <v>98.208340000000007</v>
      </c>
      <c r="H8332" s="7"/>
    </row>
    <row r="8333" spans="1:8" x14ac:dyDescent="0.35">
      <c r="A8333" s="7" t="s">
        <v>374</v>
      </c>
      <c r="B8333" s="7" t="s">
        <v>26</v>
      </c>
      <c r="C8333" s="7" t="s">
        <v>27</v>
      </c>
      <c r="D8333" s="7" t="s">
        <v>28</v>
      </c>
      <c r="E8333" s="7" t="s">
        <v>29</v>
      </c>
      <c r="F8333" s="7" t="s">
        <v>336</v>
      </c>
      <c r="G8333" s="7">
        <v>98.608069999999998</v>
      </c>
      <c r="H8333" s="7"/>
    </row>
    <row r="8334" spans="1:8" x14ac:dyDescent="0.35">
      <c r="A8334" s="7" t="s">
        <v>374</v>
      </c>
      <c r="B8334" s="7" t="s">
        <v>26</v>
      </c>
      <c r="C8334" s="7" t="s">
        <v>27</v>
      </c>
      <c r="D8334" s="7" t="s">
        <v>28</v>
      </c>
      <c r="E8334" s="7" t="s">
        <v>29</v>
      </c>
      <c r="F8334" s="7" t="s">
        <v>337</v>
      </c>
      <c r="G8334" s="7">
        <v>98.57799</v>
      </c>
      <c r="H8334" s="7"/>
    </row>
    <row r="8335" spans="1:8" x14ac:dyDescent="0.35">
      <c r="A8335" s="7" t="s">
        <v>374</v>
      </c>
      <c r="B8335" s="7" t="s">
        <v>26</v>
      </c>
      <c r="C8335" s="7" t="s">
        <v>27</v>
      </c>
      <c r="D8335" s="7" t="s">
        <v>28</v>
      </c>
      <c r="E8335" s="7" t="s">
        <v>29</v>
      </c>
      <c r="F8335" s="7" t="s">
        <v>338</v>
      </c>
      <c r="G8335" s="7">
        <v>98.477069999999998</v>
      </c>
      <c r="H8335" s="7"/>
    </row>
    <row r="8336" spans="1:8" x14ac:dyDescent="0.35">
      <c r="A8336" s="7" t="s">
        <v>374</v>
      </c>
      <c r="B8336" s="7" t="s">
        <v>26</v>
      </c>
      <c r="C8336" s="7" t="s">
        <v>27</v>
      </c>
      <c r="D8336" s="7" t="s">
        <v>28</v>
      </c>
      <c r="E8336" s="7" t="s">
        <v>29</v>
      </c>
      <c r="F8336" s="7" t="s">
        <v>339</v>
      </c>
      <c r="G8336" s="7">
        <v>98.178160000000005</v>
      </c>
      <c r="H8336" s="7"/>
    </row>
    <row r="8337" spans="1:8" x14ac:dyDescent="0.35">
      <c r="A8337" s="7" t="s">
        <v>374</v>
      </c>
      <c r="B8337" s="7" t="s">
        <v>26</v>
      </c>
      <c r="C8337" s="7" t="s">
        <v>27</v>
      </c>
      <c r="D8337" s="7" t="s">
        <v>28</v>
      </c>
      <c r="E8337" s="7" t="s">
        <v>29</v>
      </c>
      <c r="F8337" s="7" t="s">
        <v>340</v>
      </c>
      <c r="G8337" s="7">
        <v>97.628190000000004</v>
      </c>
      <c r="H8337" s="7"/>
    </row>
    <row r="8338" spans="1:8" x14ac:dyDescent="0.35">
      <c r="A8338" s="7" t="s">
        <v>374</v>
      </c>
      <c r="B8338" s="7" t="s">
        <v>26</v>
      </c>
      <c r="C8338" s="7" t="s">
        <v>27</v>
      </c>
      <c r="D8338" s="7" t="s">
        <v>28</v>
      </c>
      <c r="E8338" s="7" t="s">
        <v>29</v>
      </c>
      <c r="F8338" s="7" t="s">
        <v>341</v>
      </c>
      <c r="G8338" s="7">
        <v>97.083950000000002</v>
      </c>
      <c r="H8338" s="7"/>
    </row>
    <row r="8339" spans="1:8" x14ac:dyDescent="0.35">
      <c r="A8339" s="7" t="s">
        <v>374</v>
      </c>
      <c r="B8339" s="7" t="s">
        <v>26</v>
      </c>
      <c r="C8339" s="7" t="s">
        <v>27</v>
      </c>
      <c r="D8339" s="7" t="s">
        <v>28</v>
      </c>
      <c r="E8339" s="7" t="s">
        <v>29</v>
      </c>
      <c r="F8339" s="7" t="s">
        <v>342</v>
      </c>
      <c r="G8339" s="7">
        <v>96.813649999999996</v>
      </c>
      <c r="H8339" s="7"/>
    </row>
    <row r="8340" spans="1:8" x14ac:dyDescent="0.35">
      <c r="A8340" s="7" t="s">
        <v>374</v>
      </c>
      <c r="B8340" s="7" t="s">
        <v>26</v>
      </c>
      <c r="C8340" s="7" t="s">
        <v>27</v>
      </c>
      <c r="D8340" s="7" t="s">
        <v>28</v>
      </c>
      <c r="E8340" s="7" t="s">
        <v>29</v>
      </c>
      <c r="F8340" s="7" t="s">
        <v>343</v>
      </c>
      <c r="G8340" s="7">
        <v>97.157330000000002</v>
      </c>
      <c r="H8340" s="7"/>
    </row>
    <row r="8341" spans="1:8" x14ac:dyDescent="0.35">
      <c r="A8341" s="7" t="s">
        <v>374</v>
      </c>
      <c r="B8341" s="7" t="s">
        <v>26</v>
      </c>
      <c r="C8341" s="7" t="s">
        <v>27</v>
      </c>
      <c r="D8341" s="7" t="s">
        <v>28</v>
      </c>
      <c r="E8341" s="7" t="s">
        <v>29</v>
      </c>
      <c r="F8341" s="7" t="s">
        <v>344</v>
      </c>
      <c r="G8341" s="7">
        <v>98.0364</v>
      </c>
      <c r="H8341" s="7"/>
    </row>
    <row r="8342" spans="1:8" x14ac:dyDescent="0.35">
      <c r="A8342" s="7" t="s">
        <v>374</v>
      </c>
      <c r="B8342" s="7" t="s">
        <v>26</v>
      </c>
      <c r="C8342" s="7" t="s">
        <v>27</v>
      </c>
      <c r="D8342" s="7" t="s">
        <v>28</v>
      </c>
      <c r="E8342" s="7" t="s">
        <v>29</v>
      </c>
      <c r="F8342" s="7" t="s">
        <v>345</v>
      </c>
      <c r="G8342" s="7">
        <v>98.595920000000007</v>
      </c>
      <c r="H8342" s="7"/>
    </row>
    <row r="8343" spans="1:8" x14ac:dyDescent="0.35">
      <c r="A8343" s="7" t="s">
        <v>374</v>
      </c>
      <c r="B8343" s="7" t="s">
        <v>26</v>
      </c>
      <c r="C8343" s="7" t="s">
        <v>27</v>
      </c>
      <c r="D8343" s="7" t="s">
        <v>28</v>
      </c>
      <c r="E8343" s="7" t="s">
        <v>29</v>
      </c>
      <c r="F8343" s="7" t="s">
        <v>346</v>
      </c>
      <c r="G8343" s="7">
        <v>98.853290000000001</v>
      </c>
      <c r="H8343" s="7"/>
    </row>
    <row r="8344" spans="1:8" x14ac:dyDescent="0.35">
      <c r="A8344" s="7" t="s">
        <v>375</v>
      </c>
      <c r="B8344" s="7" t="s">
        <v>26</v>
      </c>
      <c r="C8344" s="7" t="s">
        <v>27</v>
      </c>
      <c r="D8344" s="7" t="s">
        <v>28</v>
      </c>
      <c r="E8344" s="7" t="s">
        <v>29</v>
      </c>
      <c r="F8344" s="7" t="s">
        <v>30</v>
      </c>
      <c r="G8344" s="7">
        <v>100.5988</v>
      </c>
      <c r="H8344" s="7"/>
    </row>
    <row r="8345" spans="1:8" x14ac:dyDescent="0.35">
      <c r="A8345" s="7" t="s">
        <v>375</v>
      </c>
      <c r="B8345" s="7" t="s">
        <v>26</v>
      </c>
      <c r="C8345" s="7" t="s">
        <v>27</v>
      </c>
      <c r="D8345" s="7" t="s">
        <v>28</v>
      </c>
      <c r="E8345" s="7" t="s">
        <v>29</v>
      </c>
      <c r="F8345" s="7" t="s">
        <v>31</v>
      </c>
      <c r="G8345" s="7">
        <v>100.6049</v>
      </c>
      <c r="H8345" s="7"/>
    </row>
    <row r="8346" spans="1:8" x14ac:dyDescent="0.35">
      <c r="A8346" s="7" t="s">
        <v>375</v>
      </c>
      <c r="B8346" s="7" t="s">
        <v>26</v>
      </c>
      <c r="C8346" s="7" t="s">
        <v>27</v>
      </c>
      <c r="D8346" s="7" t="s">
        <v>28</v>
      </c>
      <c r="E8346" s="7" t="s">
        <v>29</v>
      </c>
      <c r="F8346" s="7" t="s">
        <v>32</v>
      </c>
      <c r="G8346" s="7">
        <v>100.64319999999999</v>
      </c>
      <c r="H8346" s="7"/>
    </row>
    <row r="8347" spans="1:8" x14ac:dyDescent="0.35">
      <c r="A8347" s="7" t="s">
        <v>375</v>
      </c>
      <c r="B8347" s="7" t="s">
        <v>26</v>
      </c>
      <c r="C8347" s="7" t="s">
        <v>27</v>
      </c>
      <c r="D8347" s="7" t="s">
        <v>28</v>
      </c>
      <c r="E8347" s="7" t="s">
        <v>29</v>
      </c>
      <c r="F8347" s="7" t="s">
        <v>33</v>
      </c>
      <c r="G8347" s="7">
        <v>100.6053</v>
      </c>
      <c r="H8347" s="7"/>
    </row>
    <row r="8348" spans="1:8" x14ac:dyDescent="0.35">
      <c r="A8348" s="7" t="s">
        <v>375</v>
      </c>
      <c r="B8348" s="7" t="s">
        <v>26</v>
      </c>
      <c r="C8348" s="7" t="s">
        <v>27</v>
      </c>
      <c r="D8348" s="7" t="s">
        <v>28</v>
      </c>
      <c r="E8348" s="7" t="s">
        <v>29</v>
      </c>
      <c r="F8348" s="7" t="s">
        <v>34</v>
      </c>
      <c r="G8348" s="7">
        <v>100.5063</v>
      </c>
      <c r="H8348" s="7"/>
    </row>
    <row r="8349" spans="1:8" x14ac:dyDescent="0.35">
      <c r="A8349" s="7" t="s">
        <v>375</v>
      </c>
      <c r="B8349" s="7" t="s">
        <v>26</v>
      </c>
      <c r="C8349" s="7" t="s">
        <v>27</v>
      </c>
      <c r="D8349" s="7" t="s">
        <v>28</v>
      </c>
      <c r="E8349" s="7" t="s">
        <v>29</v>
      </c>
      <c r="F8349" s="7" t="s">
        <v>35</v>
      </c>
      <c r="G8349" s="7">
        <v>100.4134</v>
      </c>
      <c r="H8349" s="7"/>
    </row>
    <row r="8350" spans="1:8" x14ac:dyDescent="0.35">
      <c r="A8350" s="7" t="s">
        <v>375</v>
      </c>
      <c r="B8350" s="7" t="s">
        <v>26</v>
      </c>
      <c r="C8350" s="7" t="s">
        <v>27</v>
      </c>
      <c r="D8350" s="7" t="s">
        <v>28</v>
      </c>
      <c r="E8350" s="7" t="s">
        <v>29</v>
      </c>
      <c r="F8350" s="7" t="s">
        <v>36</v>
      </c>
      <c r="G8350" s="7">
        <v>100.4366</v>
      </c>
      <c r="H8350" s="7"/>
    </row>
    <row r="8351" spans="1:8" x14ac:dyDescent="0.35">
      <c r="A8351" s="7" t="s">
        <v>375</v>
      </c>
      <c r="B8351" s="7" t="s">
        <v>26</v>
      </c>
      <c r="C8351" s="7" t="s">
        <v>27</v>
      </c>
      <c r="D8351" s="7" t="s">
        <v>28</v>
      </c>
      <c r="E8351" s="7" t="s">
        <v>29</v>
      </c>
      <c r="F8351" s="7" t="s">
        <v>37</v>
      </c>
      <c r="G8351" s="7">
        <v>100.4945</v>
      </c>
      <c r="H8351" s="7"/>
    </row>
    <row r="8352" spans="1:8" x14ac:dyDescent="0.35">
      <c r="A8352" s="7" t="s">
        <v>375</v>
      </c>
      <c r="B8352" s="7" t="s">
        <v>26</v>
      </c>
      <c r="C8352" s="7" t="s">
        <v>27</v>
      </c>
      <c r="D8352" s="7" t="s">
        <v>28</v>
      </c>
      <c r="E8352" s="7" t="s">
        <v>29</v>
      </c>
      <c r="F8352" s="7" t="s">
        <v>38</v>
      </c>
      <c r="G8352" s="7">
        <v>100.50920000000001</v>
      </c>
      <c r="H8352" s="7"/>
    </row>
    <row r="8353" spans="1:8" x14ac:dyDescent="0.35">
      <c r="A8353" s="7" t="s">
        <v>375</v>
      </c>
      <c r="B8353" s="7" t="s">
        <v>26</v>
      </c>
      <c r="C8353" s="7" t="s">
        <v>27</v>
      </c>
      <c r="D8353" s="7" t="s">
        <v>28</v>
      </c>
      <c r="E8353" s="7" t="s">
        <v>29</v>
      </c>
      <c r="F8353" s="7" t="s">
        <v>39</v>
      </c>
      <c r="G8353" s="7">
        <v>100.4571</v>
      </c>
      <c r="H8353" s="7"/>
    </row>
    <row r="8354" spans="1:8" x14ac:dyDescent="0.35">
      <c r="A8354" s="7" t="s">
        <v>375</v>
      </c>
      <c r="B8354" s="7" t="s">
        <v>26</v>
      </c>
      <c r="C8354" s="7" t="s">
        <v>27</v>
      </c>
      <c r="D8354" s="7" t="s">
        <v>28</v>
      </c>
      <c r="E8354" s="7" t="s">
        <v>29</v>
      </c>
      <c r="F8354" s="7" t="s">
        <v>40</v>
      </c>
      <c r="G8354" s="7">
        <v>100.3541</v>
      </c>
      <c r="H8354" s="7"/>
    </row>
    <row r="8355" spans="1:8" x14ac:dyDescent="0.35">
      <c r="A8355" s="7" t="s">
        <v>375</v>
      </c>
      <c r="B8355" s="7" t="s">
        <v>26</v>
      </c>
      <c r="C8355" s="7" t="s">
        <v>27</v>
      </c>
      <c r="D8355" s="7" t="s">
        <v>28</v>
      </c>
      <c r="E8355" s="7" t="s">
        <v>29</v>
      </c>
      <c r="F8355" s="7" t="s">
        <v>41</v>
      </c>
      <c r="G8355" s="7">
        <v>100.199</v>
      </c>
      <c r="H8355" s="7"/>
    </row>
    <row r="8356" spans="1:8" x14ac:dyDescent="0.35">
      <c r="A8356" s="7" t="s">
        <v>375</v>
      </c>
      <c r="B8356" s="7" t="s">
        <v>26</v>
      </c>
      <c r="C8356" s="7" t="s">
        <v>27</v>
      </c>
      <c r="D8356" s="7" t="s">
        <v>28</v>
      </c>
      <c r="E8356" s="7" t="s">
        <v>29</v>
      </c>
      <c r="F8356" s="7" t="s">
        <v>42</v>
      </c>
      <c r="G8356" s="7">
        <v>99.967749999999995</v>
      </c>
      <c r="H8356" s="7"/>
    </row>
    <row r="8357" spans="1:8" x14ac:dyDescent="0.35">
      <c r="A8357" s="7" t="s">
        <v>375</v>
      </c>
      <c r="B8357" s="7" t="s">
        <v>26</v>
      </c>
      <c r="C8357" s="7" t="s">
        <v>27</v>
      </c>
      <c r="D8357" s="7" t="s">
        <v>28</v>
      </c>
      <c r="E8357" s="7" t="s">
        <v>29</v>
      </c>
      <c r="F8357" s="7" t="s">
        <v>43</v>
      </c>
      <c r="G8357" s="7">
        <v>99.768230000000003</v>
      </c>
      <c r="H8357" s="7"/>
    </row>
    <row r="8358" spans="1:8" x14ac:dyDescent="0.35">
      <c r="A8358" s="7" t="s">
        <v>375</v>
      </c>
      <c r="B8358" s="7" t="s">
        <v>26</v>
      </c>
      <c r="C8358" s="7" t="s">
        <v>27</v>
      </c>
      <c r="D8358" s="7" t="s">
        <v>28</v>
      </c>
      <c r="E8358" s="7" t="s">
        <v>29</v>
      </c>
      <c r="F8358" s="7" t="s">
        <v>44</v>
      </c>
      <c r="G8358" s="7">
        <v>99.636269999999996</v>
      </c>
      <c r="H8358" s="7"/>
    </row>
    <row r="8359" spans="1:8" x14ac:dyDescent="0.35">
      <c r="A8359" s="7" t="s">
        <v>375</v>
      </c>
      <c r="B8359" s="7" t="s">
        <v>26</v>
      </c>
      <c r="C8359" s="7" t="s">
        <v>27</v>
      </c>
      <c r="D8359" s="7" t="s">
        <v>28</v>
      </c>
      <c r="E8359" s="7" t="s">
        <v>29</v>
      </c>
      <c r="F8359" s="7" t="s">
        <v>45</v>
      </c>
      <c r="G8359" s="7">
        <v>99.517399999999995</v>
      </c>
      <c r="H8359" s="7"/>
    </row>
    <row r="8360" spans="1:8" x14ac:dyDescent="0.35">
      <c r="A8360" s="7" t="s">
        <v>375</v>
      </c>
      <c r="B8360" s="7" t="s">
        <v>26</v>
      </c>
      <c r="C8360" s="7" t="s">
        <v>27</v>
      </c>
      <c r="D8360" s="7" t="s">
        <v>28</v>
      </c>
      <c r="E8360" s="7" t="s">
        <v>29</v>
      </c>
      <c r="F8360" s="7" t="s">
        <v>46</v>
      </c>
      <c r="G8360" s="7">
        <v>99.398849999999996</v>
      </c>
      <c r="H8360" s="7"/>
    </row>
    <row r="8361" spans="1:8" x14ac:dyDescent="0.35">
      <c r="A8361" s="7" t="s">
        <v>375</v>
      </c>
      <c r="B8361" s="7" t="s">
        <v>26</v>
      </c>
      <c r="C8361" s="7" t="s">
        <v>27</v>
      </c>
      <c r="D8361" s="7" t="s">
        <v>28</v>
      </c>
      <c r="E8361" s="7" t="s">
        <v>29</v>
      </c>
      <c r="F8361" s="7" t="s">
        <v>47</v>
      </c>
      <c r="G8361" s="7">
        <v>99.319479999999999</v>
      </c>
      <c r="H8361" s="7"/>
    </row>
    <row r="8362" spans="1:8" x14ac:dyDescent="0.35">
      <c r="A8362" s="7" t="s">
        <v>375</v>
      </c>
      <c r="B8362" s="7" t="s">
        <v>26</v>
      </c>
      <c r="C8362" s="7" t="s">
        <v>27</v>
      </c>
      <c r="D8362" s="7" t="s">
        <v>28</v>
      </c>
      <c r="E8362" s="7" t="s">
        <v>29</v>
      </c>
      <c r="F8362" s="7" t="s">
        <v>48</v>
      </c>
      <c r="G8362" s="7">
        <v>99.379589999999993</v>
      </c>
      <c r="H8362" s="7"/>
    </row>
    <row r="8363" spans="1:8" x14ac:dyDescent="0.35">
      <c r="A8363" s="7" t="s">
        <v>375</v>
      </c>
      <c r="B8363" s="7" t="s">
        <v>26</v>
      </c>
      <c r="C8363" s="7" t="s">
        <v>27</v>
      </c>
      <c r="D8363" s="7" t="s">
        <v>28</v>
      </c>
      <c r="E8363" s="7" t="s">
        <v>29</v>
      </c>
      <c r="F8363" s="7" t="s">
        <v>49</v>
      </c>
      <c r="G8363" s="7">
        <v>99.493610000000004</v>
      </c>
      <c r="H8363" s="7"/>
    </row>
    <row r="8364" spans="1:8" x14ac:dyDescent="0.35">
      <c r="A8364" s="7" t="s">
        <v>375</v>
      </c>
      <c r="B8364" s="7" t="s">
        <v>26</v>
      </c>
      <c r="C8364" s="7" t="s">
        <v>27</v>
      </c>
      <c r="D8364" s="7" t="s">
        <v>28</v>
      </c>
      <c r="E8364" s="7" t="s">
        <v>29</v>
      </c>
      <c r="F8364" s="7" t="s">
        <v>50</v>
      </c>
      <c r="G8364" s="7">
        <v>99.547790000000006</v>
      </c>
      <c r="H8364" s="7"/>
    </row>
    <row r="8365" spans="1:8" x14ac:dyDescent="0.35">
      <c r="A8365" s="7" t="s">
        <v>375</v>
      </c>
      <c r="B8365" s="7" t="s">
        <v>26</v>
      </c>
      <c r="C8365" s="7" t="s">
        <v>27</v>
      </c>
      <c r="D8365" s="7" t="s">
        <v>28</v>
      </c>
      <c r="E8365" s="7" t="s">
        <v>29</v>
      </c>
      <c r="F8365" s="7" t="s">
        <v>51</v>
      </c>
      <c r="G8365" s="7">
        <v>99.503820000000005</v>
      </c>
      <c r="H8365" s="7"/>
    </row>
    <row r="8366" spans="1:8" x14ac:dyDescent="0.35">
      <c r="A8366" s="7" t="s">
        <v>375</v>
      </c>
      <c r="B8366" s="7" t="s">
        <v>26</v>
      </c>
      <c r="C8366" s="7" t="s">
        <v>27</v>
      </c>
      <c r="D8366" s="7" t="s">
        <v>28</v>
      </c>
      <c r="E8366" s="7" t="s">
        <v>29</v>
      </c>
      <c r="F8366" s="7" t="s">
        <v>52</v>
      </c>
      <c r="G8366" s="7">
        <v>99.453580000000002</v>
      </c>
      <c r="H8366" s="7"/>
    </row>
    <row r="8367" spans="1:8" x14ac:dyDescent="0.35">
      <c r="A8367" s="7" t="s">
        <v>375</v>
      </c>
      <c r="B8367" s="7" t="s">
        <v>26</v>
      </c>
      <c r="C8367" s="7" t="s">
        <v>27</v>
      </c>
      <c r="D8367" s="7" t="s">
        <v>28</v>
      </c>
      <c r="E8367" s="7" t="s">
        <v>29</v>
      </c>
      <c r="F8367" s="7" t="s">
        <v>53</v>
      </c>
      <c r="G8367" s="7">
        <v>99.554169999999999</v>
      </c>
      <c r="H8367" s="7"/>
    </row>
    <row r="8368" spans="1:8" x14ac:dyDescent="0.35">
      <c r="A8368" s="7" t="s">
        <v>375</v>
      </c>
      <c r="B8368" s="7" t="s">
        <v>26</v>
      </c>
      <c r="C8368" s="7" t="s">
        <v>27</v>
      </c>
      <c r="D8368" s="7" t="s">
        <v>28</v>
      </c>
      <c r="E8368" s="7" t="s">
        <v>29</v>
      </c>
      <c r="F8368" s="7" t="s">
        <v>54</v>
      </c>
      <c r="G8368" s="7">
        <v>99.860529999999997</v>
      </c>
      <c r="H8368" s="7"/>
    </row>
    <row r="8369" spans="1:8" x14ac:dyDescent="0.35">
      <c r="A8369" s="7" t="s">
        <v>375</v>
      </c>
      <c r="B8369" s="7" t="s">
        <v>26</v>
      </c>
      <c r="C8369" s="7" t="s">
        <v>27</v>
      </c>
      <c r="D8369" s="7" t="s">
        <v>28</v>
      </c>
      <c r="E8369" s="7" t="s">
        <v>29</v>
      </c>
      <c r="F8369" s="7" t="s">
        <v>55</v>
      </c>
      <c r="G8369" s="7">
        <v>100.3336</v>
      </c>
      <c r="H8369" s="7"/>
    </row>
    <row r="8370" spans="1:8" x14ac:dyDescent="0.35">
      <c r="A8370" s="7" t="s">
        <v>375</v>
      </c>
      <c r="B8370" s="7" t="s">
        <v>26</v>
      </c>
      <c r="C8370" s="7" t="s">
        <v>27</v>
      </c>
      <c r="D8370" s="7" t="s">
        <v>28</v>
      </c>
      <c r="E8370" s="7" t="s">
        <v>29</v>
      </c>
      <c r="F8370" s="7" t="s">
        <v>56</v>
      </c>
      <c r="G8370" s="7">
        <v>100.8608</v>
      </c>
      <c r="H8370" s="7"/>
    </row>
    <row r="8371" spans="1:8" x14ac:dyDescent="0.35">
      <c r="A8371" s="7" t="s">
        <v>375</v>
      </c>
      <c r="B8371" s="7" t="s">
        <v>26</v>
      </c>
      <c r="C8371" s="7" t="s">
        <v>27</v>
      </c>
      <c r="D8371" s="7" t="s">
        <v>28</v>
      </c>
      <c r="E8371" s="7" t="s">
        <v>29</v>
      </c>
      <c r="F8371" s="7" t="s">
        <v>57</v>
      </c>
      <c r="G8371" s="7">
        <v>101.2178</v>
      </c>
      <c r="H8371" s="7"/>
    </row>
    <row r="8372" spans="1:8" x14ac:dyDescent="0.35">
      <c r="A8372" s="7" t="s">
        <v>375</v>
      </c>
      <c r="B8372" s="7" t="s">
        <v>26</v>
      </c>
      <c r="C8372" s="7" t="s">
        <v>27</v>
      </c>
      <c r="D8372" s="7" t="s">
        <v>28</v>
      </c>
      <c r="E8372" s="7" t="s">
        <v>29</v>
      </c>
      <c r="F8372" s="7" t="s">
        <v>58</v>
      </c>
      <c r="G8372" s="7">
        <v>101.4128</v>
      </c>
      <c r="H8372" s="7"/>
    </row>
    <row r="8373" spans="1:8" x14ac:dyDescent="0.35">
      <c r="A8373" s="7" t="s">
        <v>375</v>
      </c>
      <c r="B8373" s="7" t="s">
        <v>26</v>
      </c>
      <c r="C8373" s="7" t="s">
        <v>27</v>
      </c>
      <c r="D8373" s="7" t="s">
        <v>28</v>
      </c>
      <c r="E8373" s="7" t="s">
        <v>29</v>
      </c>
      <c r="F8373" s="7" t="s">
        <v>59</v>
      </c>
      <c r="G8373" s="7">
        <v>101.54689999999999</v>
      </c>
      <c r="H8373" s="7"/>
    </row>
    <row r="8374" spans="1:8" x14ac:dyDescent="0.35">
      <c r="A8374" s="7" t="s">
        <v>375</v>
      </c>
      <c r="B8374" s="7" t="s">
        <v>26</v>
      </c>
      <c r="C8374" s="7" t="s">
        <v>27</v>
      </c>
      <c r="D8374" s="7" t="s">
        <v>28</v>
      </c>
      <c r="E8374" s="7" t="s">
        <v>29</v>
      </c>
      <c r="F8374" s="7" t="s">
        <v>60</v>
      </c>
      <c r="G8374" s="7">
        <v>101.7283</v>
      </c>
      <c r="H8374" s="7"/>
    </row>
    <row r="8375" spans="1:8" x14ac:dyDescent="0.35">
      <c r="A8375" s="7" t="s">
        <v>375</v>
      </c>
      <c r="B8375" s="7" t="s">
        <v>26</v>
      </c>
      <c r="C8375" s="7" t="s">
        <v>27</v>
      </c>
      <c r="D8375" s="7" t="s">
        <v>28</v>
      </c>
      <c r="E8375" s="7" t="s">
        <v>29</v>
      </c>
      <c r="F8375" s="7" t="s">
        <v>61</v>
      </c>
      <c r="G8375" s="7">
        <v>101.9376</v>
      </c>
      <c r="H8375" s="7"/>
    </row>
    <row r="8376" spans="1:8" x14ac:dyDescent="0.35">
      <c r="A8376" s="7" t="s">
        <v>375</v>
      </c>
      <c r="B8376" s="7" t="s">
        <v>26</v>
      </c>
      <c r="C8376" s="7" t="s">
        <v>27</v>
      </c>
      <c r="D8376" s="7" t="s">
        <v>28</v>
      </c>
      <c r="E8376" s="7" t="s">
        <v>29</v>
      </c>
      <c r="F8376" s="7" t="s">
        <v>62</v>
      </c>
      <c r="G8376" s="7">
        <v>102.0647</v>
      </c>
      <c r="H8376" s="7"/>
    </row>
    <row r="8377" spans="1:8" x14ac:dyDescent="0.35">
      <c r="A8377" s="7" t="s">
        <v>375</v>
      </c>
      <c r="B8377" s="7" t="s">
        <v>26</v>
      </c>
      <c r="C8377" s="7" t="s">
        <v>27</v>
      </c>
      <c r="D8377" s="7" t="s">
        <v>28</v>
      </c>
      <c r="E8377" s="7" t="s">
        <v>29</v>
      </c>
      <c r="F8377" s="7" t="s">
        <v>63</v>
      </c>
      <c r="G8377" s="7">
        <v>102.0258</v>
      </c>
      <c r="H8377" s="7"/>
    </row>
    <row r="8378" spans="1:8" x14ac:dyDescent="0.35">
      <c r="A8378" s="7" t="s">
        <v>375</v>
      </c>
      <c r="B8378" s="7" t="s">
        <v>26</v>
      </c>
      <c r="C8378" s="7" t="s">
        <v>27</v>
      </c>
      <c r="D8378" s="7" t="s">
        <v>28</v>
      </c>
      <c r="E8378" s="7" t="s">
        <v>29</v>
      </c>
      <c r="F8378" s="7" t="s">
        <v>64</v>
      </c>
      <c r="G8378" s="7">
        <v>101.8539</v>
      </c>
      <c r="H8378" s="7"/>
    </row>
    <row r="8379" spans="1:8" x14ac:dyDescent="0.35">
      <c r="A8379" s="7" t="s">
        <v>375</v>
      </c>
      <c r="B8379" s="7" t="s">
        <v>26</v>
      </c>
      <c r="C8379" s="7" t="s">
        <v>27</v>
      </c>
      <c r="D8379" s="7" t="s">
        <v>28</v>
      </c>
      <c r="E8379" s="7" t="s">
        <v>29</v>
      </c>
      <c r="F8379" s="7" t="s">
        <v>65</v>
      </c>
      <c r="G8379" s="7">
        <v>101.6292</v>
      </c>
      <c r="H8379" s="7"/>
    </row>
    <row r="8380" spans="1:8" x14ac:dyDescent="0.35">
      <c r="A8380" s="7" t="s">
        <v>375</v>
      </c>
      <c r="B8380" s="7" t="s">
        <v>26</v>
      </c>
      <c r="C8380" s="7" t="s">
        <v>27</v>
      </c>
      <c r="D8380" s="7" t="s">
        <v>28</v>
      </c>
      <c r="E8380" s="7" t="s">
        <v>29</v>
      </c>
      <c r="F8380" s="7" t="s">
        <v>66</v>
      </c>
      <c r="G8380" s="7">
        <v>101.324</v>
      </c>
      <c r="H8380" s="7"/>
    </row>
    <row r="8381" spans="1:8" x14ac:dyDescent="0.35">
      <c r="A8381" s="7" t="s">
        <v>375</v>
      </c>
      <c r="B8381" s="7" t="s">
        <v>26</v>
      </c>
      <c r="C8381" s="7" t="s">
        <v>27</v>
      </c>
      <c r="D8381" s="7" t="s">
        <v>28</v>
      </c>
      <c r="E8381" s="7" t="s">
        <v>29</v>
      </c>
      <c r="F8381" s="7" t="s">
        <v>67</v>
      </c>
      <c r="G8381" s="7">
        <v>101.0279</v>
      </c>
      <c r="H8381" s="7"/>
    </row>
    <row r="8382" spans="1:8" x14ac:dyDescent="0.35">
      <c r="A8382" s="7" t="s">
        <v>375</v>
      </c>
      <c r="B8382" s="7" t="s">
        <v>26</v>
      </c>
      <c r="C8382" s="7" t="s">
        <v>27</v>
      </c>
      <c r="D8382" s="7" t="s">
        <v>28</v>
      </c>
      <c r="E8382" s="7" t="s">
        <v>29</v>
      </c>
      <c r="F8382" s="7" t="s">
        <v>68</v>
      </c>
      <c r="G8382" s="7">
        <v>100.8169</v>
      </c>
      <c r="H8382" s="7"/>
    </row>
    <row r="8383" spans="1:8" x14ac:dyDescent="0.35">
      <c r="A8383" s="7" t="s">
        <v>375</v>
      </c>
      <c r="B8383" s="7" t="s">
        <v>26</v>
      </c>
      <c r="C8383" s="7" t="s">
        <v>27</v>
      </c>
      <c r="D8383" s="7" t="s">
        <v>28</v>
      </c>
      <c r="E8383" s="7" t="s">
        <v>29</v>
      </c>
      <c r="F8383" s="7" t="s">
        <v>69</v>
      </c>
      <c r="G8383" s="7">
        <v>100.6147</v>
      </c>
      <c r="H8383" s="7"/>
    </row>
    <row r="8384" spans="1:8" x14ac:dyDescent="0.35">
      <c r="A8384" s="7" t="s">
        <v>375</v>
      </c>
      <c r="B8384" s="7" t="s">
        <v>26</v>
      </c>
      <c r="C8384" s="7" t="s">
        <v>27</v>
      </c>
      <c r="D8384" s="7" t="s">
        <v>28</v>
      </c>
      <c r="E8384" s="7" t="s">
        <v>29</v>
      </c>
      <c r="F8384" s="7" t="s">
        <v>70</v>
      </c>
      <c r="G8384" s="7">
        <v>100.4033</v>
      </c>
      <c r="H8384" s="7"/>
    </row>
    <row r="8385" spans="1:8" x14ac:dyDescent="0.35">
      <c r="A8385" s="7" t="s">
        <v>375</v>
      </c>
      <c r="B8385" s="7" t="s">
        <v>26</v>
      </c>
      <c r="C8385" s="7" t="s">
        <v>27</v>
      </c>
      <c r="D8385" s="7" t="s">
        <v>28</v>
      </c>
      <c r="E8385" s="7" t="s">
        <v>29</v>
      </c>
      <c r="F8385" s="7" t="s">
        <v>71</v>
      </c>
      <c r="G8385" s="7">
        <v>100.20780000000001</v>
      </c>
      <c r="H8385" s="7"/>
    </row>
    <row r="8386" spans="1:8" x14ac:dyDescent="0.35">
      <c r="A8386" s="7" t="s">
        <v>375</v>
      </c>
      <c r="B8386" s="7" t="s">
        <v>26</v>
      </c>
      <c r="C8386" s="7" t="s">
        <v>27</v>
      </c>
      <c r="D8386" s="7" t="s">
        <v>28</v>
      </c>
      <c r="E8386" s="7" t="s">
        <v>29</v>
      </c>
      <c r="F8386" s="7" t="s">
        <v>72</v>
      </c>
      <c r="G8386" s="7">
        <v>100.09</v>
      </c>
      <c r="H8386" s="7"/>
    </row>
    <row r="8387" spans="1:8" x14ac:dyDescent="0.35">
      <c r="A8387" s="7" t="s">
        <v>375</v>
      </c>
      <c r="B8387" s="7" t="s">
        <v>26</v>
      </c>
      <c r="C8387" s="7" t="s">
        <v>27</v>
      </c>
      <c r="D8387" s="7" t="s">
        <v>28</v>
      </c>
      <c r="E8387" s="7" t="s">
        <v>29</v>
      </c>
      <c r="F8387" s="7" t="s">
        <v>73</v>
      </c>
      <c r="G8387" s="7">
        <v>100.0171</v>
      </c>
      <c r="H8387" s="7"/>
    </row>
    <row r="8388" spans="1:8" x14ac:dyDescent="0.35">
      <c r="A8388" s="7" t="s">
        <v>375</v>
      </c>
      <c r="B8388" s="7" t="s">
        <v>26</v>
      </c>
      <c r="C8388" s="7" t="s">
        <v>27</v>
      </c>
      <c r="D8388" s="7" t="s">
        <v>28</v>
      </c>
      <c r="E8388" s="7" t="s">
        <v>29</v>
      </c>
      <c r="F8388" s="7" t="s">
        <v>74</v>
      </c>
      <c r="G8388" s="7">
        <v>99.871189999999999</v>
      </c>
      <c r="H8388" s="7"/>
    </row>
    <row r="8389" spans="1:8" x14ac:dyDescent="0.35">
      <c r="A8389" s="7" t="s">
        <v>375</v>
      </c>
      <c r="B8389" s="7" t="s">
        <v>26</v>
      </c>
      <c r="C8389" s="7" t="s">
        <v>27</v>
      </c>
      <c r="D8389" s="7" t="s">
        <v>28</v>
      </c>
      <c r="E8389" s="7" t="s">
        <v>29</v>
      </c>
      <c r="F8389" s="7" t="s">
        <v>75</v>
      </c>
      <c r="G8389" s="7">
        <v>99.630229999999997</v>
      </c>
      <c r="H8389" s="7"/>
    </row>
    <row r="8390" spans="1:8" x14ac:dyDescent="0.35">
      <c r="A8390" s="7" t="s">
        <v>375</v>
      </c>
      <c r="B8390" s="7" t="s">
        <v>26</v>
      </c>
      <c r="C8390" s="7" t="s">
        <v>27</v>
      </c>
      <c r="D8390" s="7" t="s">
        <v>28</v>
      </c>
      <c r="E8390" s="7" t="s">
        <v>29</v>
      </c>
      <c r="F8390" s="7" t="s">
        <v>76</v>
      </c>
      <c r="G8390" s="7">
        <v>99.405699999999996</v>
      </c>
      <c r="H8390" s="7"/>
    </row>
    <row r="8391" spans="1:8" x14ac:dyDescent="0.35">
      <c r="A8391" s="7" t="s">
        <v>375</v>
      </c>
      <c r="B8391" s="7" t="s">
        <v>26</v>
      </c>
      <c r="C8391" s="7" t="s">
        <v>27</v>
      </c>
      <c r="D8391" s="7" t="s">
        <v>28</v>
      </c>
      <c r="E8391" s="7" t="s">
        <v>29</v>
      </c>
      <c r="F8391" s="7" t="s">
        <v>77</v>
      </c>
      <c r="G8391" s="7">
        <v>99.356740000000002</v>
      </c>
      <c r="H8391" s="7"/>
    </row>
    <row r="8392" spans="1:8" x14ac:dyDescent="0.35">
      <c r="A8392" s="7" t="s">
        <v>375</v>
      </c>
      <c r="B8392" s="7" t="s">
        <v>26</v>
      </c>
      <c r="C8392" s="7" t="s">
        <v>27</v>
      </c>
      <c r="D8392" s="7" t="s">
        <v>28</v>
      </c>
      <c r="E8392" s="7" t="s">
        <v>29</v>
      </c>
      <c r="F8392" s="7" t="s">
        <v>78</v>
      </c>
      <c r="G8392" s="7">
        <v>99.479320000000001</v>
      </c>
      <c r="H8392" s="7"/>
    </row>
    <row r="8393" spans="1:8" x14ac:dyDescent="0.35">
      <c r="A8393" s="7" t="s">
        <v>375</v>
      </c>
      <c r="B8393" s="7" t="s">
        <v>26</v>
      </c>
      <c r="C8393" s="7" t="s">
        <v>27</v>
      </c>
      <c r="D8393" s="7" t="s">
        <v>28</v>
      </c>
      <c r="E8393" s="7" t="s">
        <v>29</v>
      </c>
      <c r="F8393" s="7" t="s">
        <v>79</v>
      </c>
      <c r="G8393" s="7">
        <v>99.564830000000001</v>
      </c>
      <c r="H8393" s="7"/>
    </row>
    <row r="8394" spans="1:8" x14ac:dyDescent="0.35">
      <c r="A8394" s="7" t="s">
        <v>375</v>
      </c>
      <c r="B8394" s="7" t="s">
        <v>26</v>
      </c>
      <c r="C8394" s="7" t="s">
        <v>27</v>
      </c>
      <c r="D8394" s="7" t="s">
        <v>28</v>
      </c>
      <c r="E8394" s="7" t="s">
        <v>29</v>
      </c>
      <c r="F8394" s="7" t="s">
        <v>80</v>
      </c>
      <c r="G8394" s="7">
        <v>99.393190000000004</v>
      </c>
      <c r="H8394" s="7"/>
    </row>
    <row r="8395" spans="1:8" x14ac:dyDescent="0.35">
      <c r="A8395" s="7" t="s">
        <v>375</v>
      </c>
      <c r="B8395" s="7" t="s">
        <v>26</v>
      </c>
      <c r="C8395" s="7" t="s">
        <v>27</v>
      </c>
      <c r="D8395" s="7" t="s">
        <v>28</v>
      </c>
      <c r="E8395" s="7" t="s">
        <v>29</v>
      </c>
      <c r="F8395" s="7" t="s">
        <v>81</v>
      </c>
      <c r="G8395" s="7">
        <v>99.137150000000005</v>
      </c>
      <c r="H8395" s="7"/>
    </row>
    <row r="8396" spans="1:8" x14ac:dyDescent="0.35">
      <c r="A8396" s="7" t="s">
        <v>375</v>
      </c>
      <c r="B8396" s="7" t="s">
        <v>26</v>
      </c>
      <c r="C8396" s="7" t="s">
        <v>27</v>
      </c>
      <c r="D8396" s="7" t="s">
        <v>28</v>
      </c>
      <c r="E8396" s="7" t="s">
        <v>29</v>
      </c>
      <c r="F8396" s="7" t="s">
        <v>82</v>
      </c>
      <c r="G8396" s="7">
        <v>98.924430000000001</v>
      </c>
      <c r="H8396" s="7"/>
    </row>
    <row r="8397" spans="1:8" x14ac:dyDescent="0.35">
      <c r="A8397" s="7" t="s">
        <v>375</v>
      </c>
      <c r="B8397" s="7" t="s">
        <v>26</v>
      </c>
      <c r="C8397" s="7" t="s">
        <v>27</v>
      </c>
      <c r="D8397" s="7" t="s">
        <v>28</v>
      </c>
      <c r="E8397" s="7" t="s">
        <v>29</v>
      </c>
      <c r="F8397" s="7" t="s">
        <v>83</v>
      </c>
      <c r="G8397" s="7">
        <v>98.821539999999999</v>
      </c>
      <c r="H8397" s="7"/>
    </row>
    <row r="8398" spans="1:8" x14ac:dyDescent="0.35">
      <c r="A8398" s="7" t="s">
        <v>375</v>
      </c>
      <c r="B8398" s="7" t="s">
        <v>26</v>
      </c>
      <c r="C8398" s="7" t="s">
        <v>27</v>
      </c>
      <c r="D8398" s="7" t="s">
        <v>28</v>
      </c>
      <c r="E8398" s="7" t="s">
        <v>29</v>
      </c>
      <c r="F8398" s="7" t="s">
        <v>84</v>
      </c>
      <c r="G8398" s="7">
        <v>98.883250000000004</v>
      </c>
      <c r="H8398" s="7"/>
    </row>
    <row r="8399" spans="1:8" x14ac:dyDescent="0.35">
      <c r="A8399" s="7" t="s">
        <v>375</v>
      </c>
      <c r="B8399" s="7" t="s">
        <v>26</v>
      </c>
      <c r="C8399" s="7" t="s">
        <v>27</v>
      </c>
      <c r="D8399" s="7" t="s">
        <v>28</v>
      </c>
      <c r="E8399" s="7" t="s">
        <v>29</v>
      </c>
      <c r="F8399" s="7" t="s">
        <v>85</v>
      </c>
      <c r="G8399" s="7">
        <v>98.972430000000003</v>
      </c>
      <c r="H8399" s="7"/>
    </row>
    <row r="8400" spans="1:8" x14ac:dyDescent="0.35">
      <c r="A8400" s="7" t="s">
        <v>375</v>
      </c>
      <c r="B8400" s="7" t="s">
        <v>26</v>
      </c>
      <c r="C8400" s="7" t="s">
        <v>27</v>
      </c>
      <c r="D8400" s="7" t="s">
        <v>28</v>
      </c>
      <c r="E8400" s="7" t="s">
        <v>29</v>
      </c>
      <c r="F8400" s="7" t="s">
        <v>86</v>
      </c>
      <c r="G8400" s="7">
        <v>98.97054</v>
      </c>
      <c r="H8400" s="7"/>
    </row>
    <row r="8401" spans="1:8" x14ac:dyDescent="0.35">
      <c r="A8401" s="7" t="s">
        <v>375</v>
      </c>
      <c r="B8401" s="7" t="s">
        <v>26</v>
      </c>
      <c r="C8401" s="7" t="s">
        <v>27</v>
      </c>
      <c r="D8401" s="7" t="s">
        <v>28</v>
      </c>
      <c r="E8401" s="7" t="s">
        <v>29</v>
      </c>
      <c r="F8401" s="7" t="s">
        <v>87</v>
      </c>
      <c r="G8401" s="7">
        <v>98.960470000000001</v>
      </c>
      <c r="H8401" s="7"/>
    </row>
    <row r="8402" spans="1:8" x14ac:dyDescent="0.35">
      <c r="A8402" s="7" t="s">
        <v>375</v>
      </c>
      <c r="B8402" s="7" t="s">
        <v>26</v>
      </c>
      <c r="C8402" s="7" t="s">
        <v>27</v>
      </c>
      <c r="D8402" s="7" t="s">
        <v>28</v>
      </c>
      <c r="E8402" s="7" t="s">
        <v>29</v>
      </c>
      <c r="F8402" s="7" t="s">
        <v>88</v>
      </c>
      <c r="G8402" s="7">
        <v>98.912909999999997</v>
      </c>
      <c r="H8402" s="7"/>
    </row>
    <row r="8403" spans="1:8" x14ac:dyDescent="0.35">
      <c r="A8403" s="7" t="s">
        <v>375</v>
      </c>
      <c r="B8403" s="7" t="s">
        <v>26</v>
      </c>
      <c r="C8403" s="7" t="s">
        <v>27</v>
      </c>
      <c r="D8403" s="7" t="s">
        <v>28</v>
      </c>
      <c r="E8403" s="7" t="s">
        <v>29</v>
      </c>
      <c r="F8403" s="7" t="s">
        <v>89</v>
      </c>
      <c r="G8403" s="7">
        <v>98.881349999999998</v>
      </c>
      <c r="H8403" s="7"/>
    </row>
    <row r="8404" spans="1:8" x14ac:dyDescent="0.35">
      <c r="A8404" s="7" t="s">
        <v>375</v>
      </c>
      <c r="B8404" s="7" t="s">
        <v>26</v>
      </c>
      <c r="C8404" s="7" t="s">
        <v>27</v>
      </c>
      <c r="D8404" s="7" t="s">
        <v>28</v>
      </c>
      <c r="E8404" s="7" t="s">
        <v>29</v>
      </c>
      <c r="F8404" s="7" t="s">
        <v>90</v>
      </c>
      <c r="G8404" s="7">
        <v>98.831980000000001</v>
      </c>
      <c r="H8404" s="7"/>
    </row>
    <row r="8405" spans="1:8" x14ac:dyDescent="0.35">
      <c r="A8405" s="7" t="s">
        <v>375</v>
      </c>
      <c r="B8405" s="7" t="s">
        <v>26</v>
      </c>
      <c r="C8405" s="7" t="s">
        <v>27</v>
      </c>
      <c r="D8405" s="7" t="s">
        <v>28</v>
      </c>
      <c r="E8405" s="7" t="s">
        <v>29</v>
      </c>
      <c r="F8405" s="7" t="s">
        <v>91</v>
      </c>
      <c r="G8405" s="7">
        <v>98.816760000000002</v>
      </c>
      <c r="H8405" s="7"/>
    </row>
    <row r="8406" spans="1:8" x14ac:dyDescent="0.35">
      <c r="A8406" s="7" t="s">
        <v>375</v>
      </c>
      <c r="B8406" s="7" t="s">
        <v>26</v>
      </c>
      <c r="C8406" s="7" t="s">
        <v>27</v>
      </c>
      <c r="D8406" s="7" t="s">
        <v>28</v>
      </c>
      <c r="E8406" s="7" t="s">
        <v>29</v>
      </c>
      <c r="F8406" s="7" t="s">
        <v>92</v>
      </c>
      <c r="G8406" s="7">
        <v>98.946600000000004</v>
      </c>
      <c r="H8406" s="7"/>
    </row>
    <row r="8407" spans="1:8" x14ac:dyDescent="0.35">
      <c r="A8407" s="7" t="s">
        <v>375</v>
      </c>
      <c r="B8407" s="7" t="s">
        <v>26</v>
      </c>
      <c r="C8407" s="7" t="s">
        <v>27</v>
      </c>
      <c r="D8407" s="7" t="s">
        <v>28</v>
      </c>
      <c r="E8407" s="7" t="s">
        <v>29</v>
      </c>
      <c r="F8407" s="7" t="s">
        <v>93</v>
      </c>
      <c r="G8407" s="7">
        <v>99.14528</v>
      </c>
      <c r="H8407" s="7"/>
    </row>
    <row r="8408" spans="1:8" x14ac:dyDescent="0.35">
      <c r="A8408" s="7" t="s">
        <v>375</v>
      </c>
      <c r="B8408" s="7" t="s">
        <v>26</v>
      </c>
      <c r="C8408" s="7" t="s">
        <v>27</v>
      </c>
      <c r="D8408" s="7" t="s">
        <v>28</v>
      </c>
      <c r="E8408" s="7" t="s">
        <v>29</v>
      </c>
      <c r="F8408" s="7" t="s">
        <v>94</v>
      </c>
      <c r="G8408" s="7">
        <v>99.357100000000003</v>
      </c>
      <c r="H8408" s="7"/>
    </row>
    <row r="8409" spans="1:8" x14ac:dyDescent="0.35">
      <c r="A8409" s="7" t="s">
        <v>375</v>
      </c>
      <c r="B8409" s="7" t="s">
        <v>26</v>
      </c>
      <c r="C8409" s="7" t="s">
        <v>27</v>
      </c>
      <c r="D8409" s="7" t="s">
        <v>28</v>
      </c>
      <c r="E8409" s="7" t="s">
        <v>29</v>
      </c>
      <c r="F8409" s="7" t="s">
        <v>95</v>
      </c>
      <c r="G8409" s="7">
        <v>99.457059999999998</v>
      </c>
      <c r="H8409" s="7"/>
    </row>
    <row r="8410" spans="1:8" x14ac:dyDescent="0.35">
      <c r="A8410" s="7" t="s">
        <v>375</v>
      </c>
      <c r="B8410" s="7" t="s">
        <v>26</v>
      </c>
      <c r="C8410" s="7" t="s">
        <v>27</v>
      </c>
      <c r="D8410" s="7" t="s">
        <v>28</v>
      </c>
      <c r="E8410" s="7" t="s">
        <v>29</v>
      </c>
      <c r="F8410" s="7" t="s">
        <v>96</v>
      </c>
      <c r="G8410" s="7">
        <v>99.398219999999995</v>
      </c>
      <c r="H8410" s="7"/>
    </row>
    <row r="8411" spans="1:8" x14ac:dyDescent="0.35">
      <c r="A8411" s="7" t="s">
        <v>375</v>
      </c>
      <c r="B8411" s="7" t="s">
        <v>26</v>
      </c>
      <c r="C8411" s="7" t="s">
        <v>27</v>
      </c>
      <c r="D8411" s="7" t="s">
        <v>28</v>
      </c>
      <c r="E8411" s="7" t="s">
        <v>29</v>
      </c>
      <c r="F8411" s="7" t="s">
        <v>97</v>
      </c>
      <c r="G8411" s="7">
        <v>99.242440000000002</v>
      </c>
      <c r="H8411" s="7"/>
    </row>
    <row r="8412" spans="1:8" x14ac:dyDescent="0.35">
      <c r="A8412" s="7" t="s">
        <v>375</v>
      </c>
      <c r="B8412" s="7" t="s">
        <v>26</v>
      </c>
      <c r="C8412" s="7" t="s">
        <v>27</v>
      </c>
      <c r="D8412" s="7" t="s">
        <v>28</v>
      </c>
      <c r="E8412" s="7" t="s">
        <v>29</v>
      </c>
      <c r="F8412" s="7" t="s">
        <v>98</v>
      </c>
      <c r="G8412" s="7">
        <v>99.186459999999997</v>
      </c>
      <c r="H8412" s="7"/>
    </row>
    <row r="8413" spans="1:8" x14ac:dyDescent="0.35">
      <c r="A8413" s="7" t="s">
        <v>375</v>
      </c>
      <c r="B8413" s="7" t="s">
        <v>26</v>
      </c>
      <c r="C8413" s="7" t="s">
        <v>27</v>
      </c>
      <c r="D8413" s="7" t="s">
        <v>28</v>
      </c>
      <c r="E8413" s="7" t="s">
        <v>29</v>
      </c>
      <c r="F8413" s="7" t="s">
        <v>99</v>
      </c>
      <c r="G8413" s="7">
        <v>99.227950000000007</v>
      </c>
      <c r="H8413" s="7"/>
    </row>
    <row r="8414" spans="1:8" x14ac:dyDescent="0.35">
      <c r="A8414" s="7" t="s">
        <v>375</v>
      </c>
      <c r="B8414" s="7" t="s">
        <v>26</v>
      </c>
      <c r="C8414" s="7" t="s">
        <v>27</v>
      </c>
      <c r="D8414" s="7" t="s">
        <v>28</v>
      </c>
      <c r="E8414" s="7" t="s">
        <v>29</v>
      </c>
      <c r="F8414" s="7" t="s">
        <v>100</v>
      </c>
      <c r="G8414" s="7">
        <v>99.37379</v>
      </c>
      <c r="H8414" s="7"/>
    </row>
    <row r="8415" spans="1:8" x14ac:dyDescent="0.35">
      <c r="A8415" s="7" t="s">
        <v>375</v>
      </c>
      <c r="B8415" s="7" t="s">
        <v>26</v>
      </c>
      <c r="C8415" s="7" t="s">
        <v>27</v>
      </c>
      <c r="D8415" s="7" t="s">
        <v>28</v>
      </c>
      <c r="E8415" s="7" t="s">
        <v>29</v>
      </c>
      <c r="F8415" s="7" t="s">
        <v>101</v>
      </c>
      <c r="G8415" s="7">
        <v>99.435370000000006</v>
      </c>
      <c r="H8415" s="7"/>
    </row>
    <row r="8416" spans="1:8" x14ac:dyDescent="0.35">
      <c r="A8416" s="7" t="s">
        <v>375</v>
      </c>
      <c r="B8416" s="7" t="s">
        <v>26</v>
      </c>
      <c r="C8416" s="7" t="s">
        <v>27</v>
      </c>
      <c r="D8416" s="7" t="s">
        <v>28</v>
      </c>
      <c r="E8416" s="7" t="s">
        <v>29</v>
      </c>
      <c r="F8416" s="7" t="s">
        <v>102</v>
      </c>
      <c r="G8416" s="7">
        <v>99.448719999999994</v>
      </c>
      <c r="H8416" s="7"/>
    </row>
    <row r="8417" spans="1:8" x14ac:dyDescent="0.35">
      <c r="A8417" s="7" t="s">
        <v>375</v>
      </c>
      <c r="B8417" s="7" t="s">
        <v>26</v>
      </c>
      <c r="C8417" s="7" t="s">
        <v>27</v>
      </c>
      <c r="D8417" s="7" t="s">
        <v>28</v>
      </c>
      <c r="E8417" s="7" t="s">
        <v>29</v>
      </c>
      <c r="F8417" s="7" t="s">
        <v>103</v>
      </c>
      <c r="G8417" s="7">
        <v>99.580359999999999</v>
      </c>
      <c r="H8417" s="7"/>
    </row>
    <row r="8418" spans="1:8" x14ac:dyDescent="0.35">
      <c r="A8418" s="7" t="s">
        <v>375</v>
      </c>
      <c r="B8418" s="7" t="s">
        <v>26</v>
      </c>
      <c r="C8418" s="7" t="s">
        <v>27</v>
      </c>
      <c r="D8418" s="7" t="s">
        <v>28</v>
      </c>
      <c r="E8418" s="7" t="s">
        <v>29</v>
      </c>
      <c r="F8418" s="7" t="s">
        <v>104</v>
      </c>
      <c r="G8418" s="7">
        <v>99.852599999999995</v>
      </c>
      <c r="H8418" s="7"/>
    </row>
    <row r="8419" spans="1:8" x14ac:dyDescent="0.35">
      <c r="A8419" s="7" t="s">
        <v>375</v>
      </c>
      <c r="B8419" s="7" t="s">
        <v>26</v>
      </c>
      <c r="C8419" s="7" t="s">
        <v>27</v>
      </c>
      <c r="D8419" s="7" t="s">
        <v>28</v>
      </c>
      <c r="E8419" s="7" t="s">
        <v>29</v>
      </c>
      <c r="F8419" s="7" t="s">
        <v>105</v>
      </c>
      <c r="G8419" s="7">
        <v>100.1426</v>
      </c>
      <c r="H8419" s="7"/>
    </row>
    <row r="8420" spans="1:8" x14ac:dyDescent="0.35">
      <c r="A8420" s="7" t="s">
        <v>375</v>
      </c>
      <c r="B8420" s="7" t="s">
        <v>26</v>
      </c>
      <c r="C8420" s="7" t="s">
        <v>27</v>
      </c>
      <c r="D8420" s="7" t="s">
        <v>28</v>
      </c>
      <c r="E8420" s="7" t="s">
        <v>29</v>
      </c>
      <c r="F8420" s="7" t="s">
        <v>106</v>
      </c>
      <c r="G8420" s="7">
        <v>100.2912</v>
      </c>
      <c r="H8420" s="7"/>
    </row>
    <row r="8421" spans="1:8" x14ac:dyDescent="0.35">
      <c r="A8421" s="7" t="s">
        <v>375</v>
      </c>
      <c r="B8421" s="7" t="s">
        <v>26</v>
      </c>
      <c r="C8421" s="7" t="s">
        <v>27</v>
      </c>
      <c r="D8421" s="7" t="s">
        <v>28</v>
      </c>
      <c r="E8421" s="7" t="s">
        <v>29</v>
      </c>
      <c r="F8421" s="7" t="s">
        <v>107</v>
      </c>
      <c r="G8421" s="7">
        <v>100.3242</v>
      </c>
      <c r="H8421" s="7"/>
    </row>
    <row r="8422" spans="1:8" x14ac:dyDescent="0.35">
      <c r="A8422" s="7" t="s">
        <v>375</v>
      </c>
      <c r="B8422" s="7" t="s">
        <v>26</v>
      </c>
      <c r="C8422" s="7" t="s">
        <v>27</v>
      </c>
      <c r="D8422" s="7" t="s">
        <v>28</v>
      </c>
      <c r="E8422" s="7" t="s">
        <v>29</v>
      </c>
      <c r="F8422" s="7" t="s">
        <v>108</v>
      </c>
      <c r="G8422" s="7">
        <v>100.2717</v>
      </c>
      <c r="H8422" s="7"/>
    </row>
    <row r="8423" spans="1:8" x14ac:dyDescent="0.35">
      <c r="A8423" s="7" t="s">
        <v>375</v>
      </c>
      <c r="B8423" s="7" t="s">
        <v>26</v>
      </c>
      <c r="C8423" s="7" t="s">
        <v>27</v>
      </c>
      <c r="D8423" s="7" t="s">
        <v>28</v>
      </c>
      <c r="E8423" s="7" t="s">
        <v>29</v>
      </c>
      <c r="F8423" s="7" t="s">
        <v>109</v>
      </c>
      <c r="G8423" s="7">
        <v>100.2213</v>
      </c>
      <c r="H8423" s="7"/>
    </row>
    <row r="8424" spans="1:8" x14ac:dyDescent="0.35">
      <c r="A8424" s="7" t="s">
        <v>375</v>
      </c>
      <c r="B8424" s="7" t="s">
        <v>26</v>
      </c>
      <c r="C8424" s="7" t="s">
        <v>27</v>
      </c>
      <c r="D8424" s="7" t="s">
        <v>28</v>
      </c>
      <c r="E8424" s="7" t="s">
        <v>29</v>
      </c>
      <c r="F8424" s="7" t="s">
        <v>110</v>
      </c>
      <c r="G8424" s="7">
        <v>100.1648</v>
      </c>
      <c r="H8424" s="7"/>
    </row>
    <row r="8425" spans="1:8" x14ac:dyDescent="0.35">
      <c r="A8425" s="7" t="s">
        <v>375</v>
      </c>
      <c r="B8425" s="7" t="s">
        <v>26</v>
      </c>
      <c r="C8425" s="7" t="s">
        <v>27</v>
      </c>
      <c r="D8425" s="7" t="s">
        <v>28</v>
      </c>
      <c r="E8425" s="7" t="s">
        <v>29</v>
      </c>
      <c r="F8425" s="7" t="s">
        <v>111</v>
      </c>
      <c r="G8425" s="7">
        <v>100.0806</v>
      </c>
      <c r="H8425" s="7"/>
    </row>
    <row r="8426" spans="1:8" x14ac:dyDescent="0.35">
      <c r="A8426" s="7" t="s">
        <v>375</v>
      </c>
      <c r="B8426" s="7" t="s">
        <v>26</v>
      </c>
      <c r="C8426" s="7" t="s">
        <v>27</v>
      </c>
      <c r="D8426" s="7" t="s">
        <v>28</v>
      </c>
      <c r="E8426" s="7" t="s">
        <v>29</v>
      </c>
      <c r="F8426" s="7" t="s">
        <v>112</v>
      </c>
      <c r="G8426" s="7">
        <v>100.02290000000001</v>
      </c>
      <c r="H8426" s="7"/>
    </row>
    <row r="8427" spans="1:8" x14ac:dyDescent="0.35">
      <c r="A8427" s="7" t="s">
        <v>375</v>
      </c>
      <c r="B8427" s="7" t="s">
        <v>26</v>
      </c>
      <c r="C8427" s="7" t="s">
        <v>27</v>
      </c>
      <c r="D8427" s="7" t="s">
        <v>28</v>
      </c>
      <c r="E8427" s="7" t="s">
        <v>29</v>
      </c>
      <c r="F8427" s="7" t="s">
        <v>113</v>
      </c>
      <c r="G8427" s="7">
        <v>100.0429</v>
      </c>
      <c r="H8427" s="7"/>
    </row>
    <row r="8428" spans="1:8" x14ac:dyDescent="0.35">
      <c r="A8428" s="7" t="s">
        <v>375</v>
      </c>
      <c r="B8428" s="7" t="s">
        <v>26</v>
      </c>
      <c r="C8428" s="7" t="s">
        <v>27</v>
      </c>
      <c r="D8428" s="7" t="s">
        <v>28</v>
      </c>
      <c r="E8428" s="7" t="s">
        <v>29</v>
      </c>
      <c r="F8428" s="7" t="s">
        <v>114</v>
      </c>
      <c r="G8428" s="7">
        <v>100.07210000000001</v>
      </c>
      <c r="H8428" s="7"/>
    </row>
    <row r="8429" spans="1:8" x14ac:dyDescent="0.35">
      <c r="A8429" s="7" t="s">
        <v>375</v>
      </c>
      <c r="B8429" s="7" t="s">
        <v>26</v>
      </c>
      <c r="C8429" s="7" t="s">
        <v>27</v>
      </c>
      <c r="D8429" s="7" t="s">
        <v>28</v>
      </c>
      <c r="E8429" s="7" t="s">
        <v>29</v>
      </c>
      <c r="F8429" s="7" t="s">
        <v>115</v>
      </c>
      <c r="G8429" s="7">
        <v>100.1309</v>
      </c>
      <c r="H8429" s="7"/>
    </row>
    <row r="8430" spans="1:8" x14ac:dyDescent="0.35">
      <c r="A8430" s="7" t="s">
        <v>375</v>
      </c>
      <c r="B8430" s="7" t="s">
        <v>26</v>
      </c>
      <c r="C8430" s="7" t="s">
        <v>27</v>
      </c>
      <c r="D8430" s="7" t="s">
        <v>28</v>
      </c>
      <c r="E8430" s="7" t="s">
        <v>29</v>
      </c>
      <c r="F8430" s="7" t="s">
        <v>116</v>
      </c>
      <c r="G8430" s="7">
        <v>100.2561</v>
      </c>
      <c r="H8430" s="7"/>
    </row>
    <row r="8431" spans="1:8" x14ac:dyDescent="0.35">
      <c r="A8431" s="7" t="s">
        <v>375</v>
      </c>
      <c r="B8431" s="7" t="s">
        <v>26</v>
      </c>
      <c r="C8431" s="7" t="s">
        <v>27</v>
      </c>
      <c r="D8431" s="7" t="s">
        <v>28</v>
      </c>
      <c r="E8431" s="7" t="s">
        <v>29</v>
      </c>
      <c r="F8431" s="7" t="s">
        <v>117</v>
      </c>
      <c r="G8431" s="7">
        <v>100.36539999999999</v>
      </c>
      <c r="H8431" s="7"/>
    </row>
    <row r="8432" spans="1:8" x14ac:dyDescent="0.35">
      <c r="A8432" s="7" t="s">
        <v>375</v>
      </c>
      <c r="B8432" s="7" t="s">
        <v>26</v>
      </c>
      <c r="C8432" s="7" t="s">
        <v>27</v>
      </c>
      <c r="D8432" s="7" t="s">
        <v>28</v>
      </c>
      <c r="E8432" s="7" t="s">
        <v>29</v>
      </c>
      <c r="F8432" s="7" t="s">
        <v>118</v>
      </c>
      <c r="G8432" s="7">
        <v>100.4049</v>
      </c>
      <c r="H8432" s="7"/>
    </row>
    <row r="8433" spans="1:8" x14ac:dyDescent="0.35">
      <c r="A8433" s="7" t="s">
        <v>375</v>
      </c>
      <c r="B8433" s="7" t="s">
        <v>26</v>
      </c>
      <c r="C8433" s="7" t="s">
        <v>27</v>
      </c>
      <c r="D8433" s="7" t="s">
        <v>28</v>
      </c>
      <c r="E8433" s="7" t="s">
        <v>29</v>
      </c>
      <c r="F8433" s="7" t="s">
        <v>119</v>
      </c>
      <c r="G8433" s="7">
        <v>100.4901</v>
      </c>
      <c r="H8433" s="7"/>
    </row>
    <row r="8434" spans="1:8" x14ac:dyDescent="0.35">
      <c r="A8434" s="7" t="s">
        <v>375</v>
      </c>
      <c r="B8434" s="7" t="s">
        <v>26</v>
      </c>
      <c r="C8434" s="7" t="s">
        <v>27</v>
      </c>
      <c r="D8434" s="7" t="s">
        <v>28</v>
      </c>
      <c r="E8434" s="7" t="s">
        <v>29</v>
      </c>
      <c r="F8434" s="7" t="s">
        <v>120</v>
      </c>
      <c r="G8434" s="7">
        <v>100.5937</v>
      </c>
      <c r="H8434" s="7"/>
    </row>
    <row r="8435" spans="1:8" x14ac:dyDescent="0.35">
      <c r="A8435" s="7" t="s">
        <v>375</v>
      </c>
      <c r="B8435" s="7" t="s">
        <v>26</v>
      </c>
      <c r="C8435" s="7" t="s">
        <v>27</v>
      </c>
      <c r="D8435" s="7" t="s">
        <v>28</v>
      </c>
      <c r="E8435" s="7" t="s">
        <v>29</v>
      </c>
      <c r="F8435" s="7" t="s">
        <v>121</v>
      </c>
      <c r="G8435" s="7">
        <v>100.7333</v>
      </c>
      <c r="H8435" s="7"/>
    </row>
    <row r="8436" spans="1:8" x14ac:dyDescent="0.35">
      <c r="A8436" s="7" t="s">
        <v>375</v>
      </c>
      <c r="B8436" s="7" t="s">
        <v>26</v>
      </c>
      <c r="C8436" s="7" t="s">
        <v>27</v>
      </c>
      <c r="D8436" s="7" t="s">
        <v>28</v>
      </c>
      <c r="E8436" s="7" t="s">
        <v>29</v>
      </c>
      <c r="F8436" s="7" t="s">
        <v>122</v>
      </c>
      <c r="G8436" s="7">
        <v>100.911</v>
      </c>
      <c r="H8436" s="7"/>
    </row>
    <row r="8437" spans="1:8" x14ac:dyDescent="0.35">
      <c r="A8437" s="7" t="s">
        <v>375</v>
      </c>
      <c r="B8437" s="7" t="s">
        <v>26</v>
      </c>
      <c r="C8437" s="7" t="s">
        <v>27</v>
      </c>
      <c r="D8437" s="7" t="s">
        <v>28</v>
      </c>
      <c r="E8437" s="7" t="s">
        <v>29</v>
      </c>
      <c r="F8437" s="7" t="s">
        <v>123</v>
      </c>
      <c r="G8437" s="7">
        <v>101.09310000000001</v>
      </c>
      <c r="H8437" s="7"/>
    </row>
    <row r="8438" spans="1:8" x14ac:dyDescent="0.35">
      <c r="A8438" s="7" t="s">
        <v>375</v>
      </c>
      <c r="B8438" s="7" t="s">
        <v>26</v>
      </c>
      <c r="C8438" s="7" t="s">
        <v>27</v>
      </c>
      <c r="D8438" s="7" t="s">
        <v>28</v>
      </c>
      <c r="E8438" s="7" t="s">
        <v>29</v>
      </c>
      <c r="F8438" s="7" t="s">
        <v>124</v>
      </c>
      <c r="G8438" s="7">
        <v>101.1965</v>
      </c>
      <c r="H8438" s="7"/>
    </row>
    <row r="8439" spans="1:8" x14ac:dyDescent="0.35">
      <c r="A8439" s="7" t="s">
        <v>375</v>
      </c>
      <c r="B8439" s="7" t="s">
        <v>26</v>
      </c>
      <c r="C8439" s="7" t="s">
        <v>27</v>
      </c>
      <c r="D8439" s="7" t="s">
        <v>28</v>
      </c>
      <c r="E8439" s="7" t="s">
        <v>29</v>
      </c>
      <c r="F8439" s="7" t="s">
        <v>125</v>
      </c>
      <c r="G8439" s="7">
        <v>101.23269999999999</v>
      </c>
      <c r="H8439" s="7"/>
    </row>
    <row r="8440" spans="1:8" x14ac:dyDescent="0.35">
      <c r="A8440" s="7" t="s">
        <v>375</v>
      </c>
      <c r="B8440" s="7" t="s">
        <v>26</v>
      </c>
      <c r="C8440" s="7" t="s">
        <v>27</v>
      </c>
      <c r="D8440" s="7" t="s">
        <v>28</v>
      </c>
      <c r="E8440" s="7" t="s">
        <v>29</v>
      </c>
      <c r="F8440" s="7" t="s">
        <v>126</v>
      </c>
      <c r="G8440" s="7">
        <v>101.1717</v>
      </c>
      <c r="H8440" s="7"/>
    </row>
    <row r="8441" spans="1:8" x14ac:dyDescent="0.35">
      <c r="A8441" s="7" t="s">
        <v>375</v>
      </c>
      <c r="B8441" s="7" t="s">
        <v>26</v>
      </c>
      <c r="C8441" s="7" t="s">
        <v>27</v>
      </c>
      <c r="D8441" s="7" t="s">
        <v>28</v>
      </c>
      <c r="E8441" s="7" t="s">
        <v>29</v>
      </c>
      <c r="F8441" s="7" t="s">
        <v>127</v>
      </c>
      <c r="G8441" s="7">
        <v>101.0368</v>
      </c>
      <c r="H8441" s="7"/>
    </row>
    <row r="8442" spans="1:8" x14ac:dyDescent="0.35">
      <c r="A8442" s="7" t="s">
        <v>375</v>
      </c>
      <c r="B8442" s="7" t="s">
        <v>26</v>
      </c>
      <c r="C8442" s="7" t="s">
        <v>27</v>
      </c>
      <c r="D8442" s="7" t="s">
        <v>28</v>
      </c>
      <c r="E8442" s="7" t="s">
        <v>29</v>
      </c>
      <c r="F8442" s="7" t="s">
        <v>128</v>
      </c>
      <c r="G8442" s="7">
        <v>100.9435</v>
      </c>
      <c r="H8442" s="7"/>
    </row>
    <row r="8443" spans="1:8" x14ac:dyDescent="0.35">
      <c r="A8443" s="7" t="s">
        <v>375</v>
      </c>
      <c r="B8443" s="7" t="s">
        <v>26</v>
      </c>
      <c r="C8443" s="7" t="s">
        <v>27</v>
      </c>
      <c r="D8443" s="7" t="s">
        <v>28</v>
      </c>
      <c r="E8443" s="7" t="s">
        <v>29</v>
      </c>
      <c r="F8443" s="7" t="s">
        <v>129</v>
      </c>
      <c r="G8443" s="7">
        <v>100.8098</v>
      </c>
      <c r="H8443" s="7"/>
    </row>
    <row r="8444" spans="1:8" x14ac:dyDescent="0.35">
      <c r="A8444" s="7" t="s">
        <v>375</v>
      </c>
      <c r="B8444" s="7" t="s">
        <v>26</v>
      </c>
      <c r="C8444" s="7" t="s">
        <v>27</v>
      </c>
      <c r="D8444" s="7" t="s">
        <v>28</v>
      </c>
      <c r="E8444" s="7" t="s">
        <v>29</v>
      </c>
      <c r="F8444" s="7" t="s">
        <v>130</v>
      </c>
      <c r="G8444" s="7">
        <v>100.84180000000001</v>
      </c>
      <c r="H8444" s="7"/>
    </row>
    <row r="8445" spans="1:8" x14ac:dyDescent="0.35">
      <c r="A8445" s="7" t="s">
        <v>375</v>
      </c>
      <c r="B8445" s="7" t="s">
        <v>26</v>
      </c>
      <c r="C8445" s="7" t="s">
        <v>27</v>
      </c>
      <c r="D8445" s="7" t="s">
        <v>28</v>
      </c>
      <c r="E8445" s="7" t="s">
        <v>29</v>
      </c>
      <c r="F8445" s="7" t="s">
        <v>131</v>
      </c>
      <c r="G8445" s="7">
        <v>100.9593</v>
      </c>
      <c r="H8445" s="7"/>
    </row>
    <row r="8446" spans="1:8" x14ac:dyDescent="0.35">
      <c r="A8446" s="7" t="s">
        <v>375</v>
      </c>
      <c r="B8446" s="7" t="s">
        <v>26</v>
      </c>
      <c r="C8446" s="7" t="s">
        <v>27</v>
      </c>
      <c r="D8446" s="7" t="s">
        <v>28</v>
      </c>
      <c r="E8446" s="7" t="s">
        <v>29</v>
      </c>
      <c r="F8446" s="7" t="s">
        <v>132</v>
      </c>
      <c r="G8446" s="7">
        <v>101.1452</v>
      </c>
      <c r="H8446" s="7"/>
    </row>
    <row r="8447" spans="1:8" x14ac:dyDescent="0.35">
      <c r="A8447" s="7" t="s">
        <v>375</v>
      </c>
      <c r="B8447" s="7" t="s">
        <v>26</v>
      </c>
      <c r="C8447" s="7" t="s">
        <v>27</v>
      </c>
      <c r="D8447" s="7" t="s">
        <v>28</v>
      </c>
      <c r="E8447" s="7" t="s">
        <v>29</v>
      </c>
      <c r="F8447" s="7" t="s">
        <v>133</v>
      </c>
      <c r="G8447" s="7">
        <v>101.26260000000001</v>
      </c>
      <c r="H8447" s="7"/>
    </row>
    <row r="8448" spans="1:8" x14ac:dyDescent="0.35">
      <c r="A8448" s="7" t="s">
        <v>375</v>
      </c>
      <c r="B8448" s="7" t="s">
        <v>26</v>
      </c>
      <c r="C8448" s="7" t="s">
        <v>27</v>
      </c>
      <c r="D8448" s="7" t="s">
        <v>28</v>
      </c>
      <c r="E8448" s="7" t="s">
        <v>29</v>
      </c>
      <c r="F8448" s="7" t="s">
        <v>134</v>
      </c>
      <c r="G8448" s="7">
        <v>101.33669999999999</v>
      </c>
      <c r="H8448" s="7"/>
    </row>
    <row r="8449" spans="1:8" x14ac:dyDescent="0.35">
      <c r="A8449" s="7" t="s">
        <v>375</v>
      </c>
      <c r="B8449" s="7" t="s">
        <v>26</v>
      </c>
      <c r="C8449" s="7" t="s">
        <v>27</v>
      </c>
      <c r="D8449" s="7" t="s">
        <v>28</v>
      </c>
      <c r="E8449" s="7" t="s">
        <v>29</v>
      </c>
      <c r="F8449" s="7" t="s">
        <v>135</v>
      </c>
      <c r="G8449" s="7">
        <v>101.19840000000001</v>
      </c>
      <c r="H8449" s="7"/>
    </row>
    <row r="8450" spans="1:8" x14ac:dyDescent="0.35">
      <c r="A8450" s="7" t="s">
        <v>375</v>
      </c>
      <c r="B8450" s="7" t="s">
        <v>26</v>
      </c>
      <c r="C8450" s="7" t="s">
        <v>27</v>
      </c>
      <c r="D8450" s="7" t="s">
        <v>28</v>
      </c>
      <c r="E8450" s="7" t="s">
        <v>29</v>
      </c>
      <c r="F8450" s="7" t="s">
        <v>136</v>
      </c>
      <c r="G8450" s="7">
        <v>100.86669999999999</v>
      </c>
      <c r="H8450" s="7"/>
    </row>
    <row r="8451" spans="1:8" x14ac:dyDescent="0.35">
      <c r="A8451" s="7" t="s">
        <v>375</v>
      </c>
      <c r="B8451" s="7" t="s">
        <v>26</v>
      </c>
      <c r="C8451" s="7" t="s">
        <v>27</v>
      </c>
      <c r="D8451" s="7" t="s">
        <v>28</v>
      </c>
      <c r="E8451" s="7" t="s">
        <v>29</v>
      </c>
      <c r="F8451" s="7" t="s">
        <v>137</v>
      </c>
      <c r="G8451" s="7">
        <v>100.5681</v>
      </c>
      <c r="H8451" s="7"/>
    </row>
    <row r="8452" spans="1:8" x14ac:dyDescent="0.35">
      <c r="A8452" s="7" t="s">
        <v>375</v>
      </c>
      <c r="B8452" s="7" t="s">
        <v>26</v>
      </c>
      <c r="C8452" s="7" t="s">
        <v>27</v>
      </c>
      <c r="D8452" s="7" t="s">
        <v>28</v>
      </c>
      <c r="E8452" s="7" t="s">
        <v>29</v>
      </c>
      <c r="F8452" s="7" t="s">
        <v>138</v>
      </c>
      <c r="G8452" s="7">
        <v>100.44710000000001</v>
      </c>
      <c r="H8452" s="7"/>
    </row>
    <row r="8453" spans="1:8" x14ac:dyDescent="0.35">
      <c r="A8453" s="7" t="s">
        <v>375</v>
      </c>
      <c r="B8453" s="7" t="s">
        <v>26</v>
      </c>
      <c r="C8453" s="7" t="s">
        <v>27</v>
      </c>
      <c r="D8453" s="7" t="s">
        <v>28</v>
      </c>
      <c r="E8453" s="7" t="s">
        <v>29</v>
      </c>
      <c r="F8453" s="7" t="s">
        <v>139</v>
      </c>
      <c r="G8453" s="7">
        <v>100.6367</v>
      </c>
      <c r="H8453" s="7"/>
    </row>
    <row r="8454" spans="1:8" x14ac:dyDescent="0.35">
      <c r="A8454" s="7" t="s">
        <v>375</v>
      </c>
      <c r="B8454" s="7" t="s">
        <v>26</v>
      </c>
      <c r="C8454" s="7" t="s">
        <v>27</v>
      </c>
      <c r="D8454" s="7" t="s">
        <v>28</v>
      </c>
      <c r="E8454" s="7" t="s">
        <v>29</v>
      </c>
      <c r="F8454" s="7" t="s">
        <v>140</v>
      </c>
      <c r="G8454" s="7">
        <v>100.8565</v>
      </c>
      <c r="H8454" s="7"/>
    </row>
    <row r="8455" spans="1:8" x14ac:dyDescent="0.35">
      <c r="A8455" s="7" t="s">
        <v>375</v>
      </c>
      <c r="B8455" s="7" t="s">
        <v>26</v>
      </c>
      <c r="C8455" s="7" t="s">
        <v>27</v>
      </c>
      <c r="D8455" s="7" t="s">
        <v>28</v>
      </c>
      <c r="E8455" s="7" t="s">
        <v>29</v>
      </c>
      <c r="F8455" s="7" t="s">
        <v>141</v>
      </c>
      <c r="G8455" s="7">
        <v>101.1163</v>
      </c>
      <c r="H8455" s="7"/>
    </row>
    <row r="8456" spans="1:8" x14ac:dyDescent="0.35">
      <c r="A8456" s="7" t="s">
        <v>375</v>
      </c>
      <c r="B8456" s="7" t="s">
        <v>26</v>
      </c>
      <c r="C8456" s="7" t="s">
        <v>27</v>
      </c>
      <c r="D8456" s="7" t="s">
        <v>28</v>
      </c>
      <c r="E8456" s="7" t="s">
        <v>29</v>
      </c>
      <c r="F8456" s="7" t="s">
        <v>142</v>
      </c>
      <c r="G8456" s="7">
        <v>101.28870000000001</v>
      </c>
      <c r="H8456" s="7"/>
    </row>
    <row r="8457" spans="1:8" x14ac:dyDescent="0.35">
      <c r="A8457" s="7" t="s">
        <v>375</v>
      </c>
      <c r="B8457" s="7" t="s">
        <v>26</v>
      </c>
      <c r="C8457" s="7" t="s">
        <v>27</v>
      </c>
      <c r="D8457" s="7" t="s">
        <v>28</v>
      </c>
      <c r="E8457" s="7" t="s">
        <v>29</v>
      </c>
      <c r="F8457" s="7" t="s">
        <v>143</v>
      </c>
      <c r="G8457" s="7">
        <v>101.2743</v>
      </c>
      <c r="H8457" s="7"/>
    </row>
    <row r="8458" spans="1:8" x14ac:dyDescent="0.35">
      <c r="A8458" s="7" t="s">
        <v>375</v>
      </c>
      <c r="B8458" s="7" t="s">
        <v>26</v>
      </c>
      <c r="C8458" s="7" t="s">
        <v>27</v>
      </c>
      <c r="D8458" s="7" t="s">
        <v>28</v>
      </c>
      <c r="E8458" s="7" t="s">
        <v>29</v>
      </c>
      <c r="F8458" s="7" t="s">
        <v>144</v>
      </c>
      <c r="G8458" s="7">
        <v>101.13420000000001</v>
      </c>
      <c r="H8458" s="7"/>
    </row>
    <row r="8459" spans="1:8" x14ac:dyDescent="0.35">
      <c r="A8459" s="7" t="s">
        <v>375</v>
      </c>
      <c r="B8459" s="7" t="s">
        <v>26</v>
      </c>
      <c r="C8459" s="7" t="s">
        <v>27</v>
      </c>
      <c r="D8459" s="7" t="s">
        <v>28</v>
      </c>
      <c r="E8459" s="7" t="s">
        <v>29</v>
      </c>
      <c r="F8459" s="7" t="s">
        <v>145</v>
      </c>
      <c r="G8459" s="7">
        <v>100.86450000000001</v>
      </c>
      <c r="H8459" s="7"/>
    </row>
    <row r="8460" spans="1:8" x14ac:dyDescent="0.35">
      <c r="A8460" s="7" t="s">
        <v>375</v>
      </c>
      <c r="B8460" s="7" t="s">
        <v>26</v>
      </c>
      <c r="C8460" s="7" t="s">
        <v>27</v>
      </c>
      <c r="D8460" s="7" t="s">
        <v>28</v>
      </c>
      <c r="E8460" s="7" t="s">
        <v>29</v>
      </c>
      <c r="F8460" s="7" t="s">
        <v>146</v>
      </c>
      <c r="G8460" s="7">
        <v>100.5043</v>
      </c>
      <c r="H8460" s="7"/>
    </row>
    <row r="8461" spans="1:8" x14ac:dyDescent="0.35">
      <c r="A8461" s="7" t="s">
        <v>375</v>
      </c>
      <c r="B8461" s="7" t="s">
        <v>26</v>
      </c>
      <c r="C8461" s="7" t="s">
        <v>27</v>
      </c>
      <c r="D8461" s="7" t="s">
        <v>28</v>
      </c>
      <c r="E8461" s="7" t="s">
        <v>29</v>
      </c>
      <c r="F8461" s="7" t="s">
        <v>147</v>
      </c>
      <c r="G8461" s="7">
        <v>100.1652</v>
      </c>
      <c r="H8461" s="7"/>
    </row>
    <row r="8462" spans="1:8" x14ac:dyDescent="0.35">
      <c r="A8462" s="7" t="s">
        <v>375</v>
      </c>
      <c r="B8462" s="7" t="s">
        <v>26</v>
      </c>
      <c r="C8462" s="7" t="s">
        <v>27</v>
      </c>
      <c r="D8462" s="7" t="s">
        <v>28</v>
      </c>
      <c r="E8462" s="7" t="s">
        <v>29</v>
      </c>
      <c r="F8462" s="7" t="s">
        <v>148</v>
      </c>
      <c r="G8462" s="7">
        <v>99.913300000000007</v>
      </c>
      <c r="H8462" s="7"/>
    </row>
    <row r="8463" spans="1:8" x14ac:dyDescent="0.35">
      <c r="A8463" s="7" t="s">
        <v>375</v>
      </c>
      <c r="B8463" s="7" t="s">
        <v>26</v>
      </c>
      <c r="C8463" s="7" t="s">
        <v>27</v>
      </c>
      <c r="D8463" s="7" t="s">
        <v>28</v>
      </c>
      <c r="E8463" s="7" t="s">
        <v>29</v>
      </c>
      <c r="F8463" s="7" t="s">
        <v>149</v>
      </c>
      <c r="G8463" s="7">
        <v>99.846429999999998</v>
      </c>
      <c r="H8463" s="7"/>
    </row>
    <row r="8464" spans="1:8" x14ac:dyDescent="0.35">
      <c r="A8464" s="7" t="s">
        <v>375</v>
      </c>
      <c r="B8464" s="7" t="s">
        <v>26</v>
      </c>
      <c r="C8464" s="7" t="s">
        <v>27</v>
      </c>
      <c r="D8464" s="7" t="s">
        <v>28</v>
      </c>
      <c r="E8464" s="7" t="s">
        <v>29</v>
      </c>
      <c r="F8464" s="7" t="s">
        <v>150</v>
      </c>
      <c r="G8464" s="7">
        <v>99.987179999999995</v>
      </c>
      <c r="H8464" s="7"/>
    </row>
    <row r="8465" spans="1:8" x14ac:dyDescent="0.35">
      <c r="A8465" s="7" t="s">
        <v>375</v>
      </c>
      <c r="B8465" s="7" t="s">
        <v>26</v>
      </c>
      <c r="C8465" s="7" t="s">
        <v>27</v>
      </c>
      <c r="D8465" s="7" t="s">
        <v>28</v>
      </c>
      <c r="E8465" s="7" t="s">
        <v>29</v>
      </c>
      <c r="F8465" s="7" t="s">
        <v>151</v>
      </c>
      <c r="G8465" s="7">
        <v>100.20820000000001</v>
      </c>
      <c r="H8465" s="7"/>
    </row>
    <row r="8466" spans="1:8" x14ac:dyDescent="0.35">
      <c r="A8466" s="7" t="s">
        <v>375</v>
      </c>
      <c r="B8466" s="7" t="s">
        <v>26</v>
      </c>
      <c r="C8466" s="7" t="s">
        <v>27</v>
      </c>
      <c r="D8466" s="7" t="s">
        <v>28</v>
      </c>
      <c r="E8466" s="7" t="s">
        <v>29</v>
      </c>
      <c r="F8466" s="7" t="s">
        <v>152</v>
      </c>
      <c r="G8466" s="7">
        <v>100.53749999999999</v>
      </c>
      <c r="H8466" s="7"/>
    </row>
    <row r="8467" spans="1:8" x14ac:dyDescent="0.35">
      <c r="A8467" s="7" t="s">
        <v>375</v>
      </c>
      <c r="B8467" s="7" t="s">
        <v>26</v>
      </c>
      <c r="C8467" s="7" t="s">
        <v>27</v>
      </c>
      <c r="D8467" s="7" t="s">
        <v>28</v>
      </c>
      <c r="E8467" s="7" t="s">
        <v>29</v>
      </c>
      <c r="F8467" s="7" t="s">
        <v>153</v>
      </c>
      <c r="G8467" s="7">
        <v>100.9053</v>
      </c>
      <c r="H8467" s="7"/>
    </row>
    <row r="8468" spans="1:8" x14ac:dyDescent="0.35">
      <c r="A8468" s="7" t="s">
        <v>375</v>
      </c>
      <c r="B8468" s="7" t="s">
        <v>26</v>
      </c>
      <c r="C8468" s="7" t="s">
        <v>27</v>
      </c>
      <c r="D8468" s="7" t="s">
        <v>28</v>
      </c>
      <c r="E8468" s="7" t="s">
        <v>29</v>
      </c>
      <c r="F8468" s="7" t="s">
        <v>154</v>
      </c>
      <c r="G8468" s="7">
        <v>101.1409</v>
      </c>
      <c r="H8468" s="7"/>
    </row>
    <row r="8469" spans="1:8" x14ac:dyDescent="0.35">
      <c r="A8469" s="7" t="s">
        <v>375</v>
      </c>
      <c r="B8469" s="7" t="s">
        <v>26</v>
      </c>
      <c r="C8469" s="7" t="s">
        <v>27</v>
      </c>
      <c r="D8469" s="7" t="s">
        <v>28</v>
      </c>
      <c r="E8469" s="7" t="s">
        <v>29</v>
      </c>
      <c r="F8469" s="7" t="s">
        <v>155</v>
      </c>
      <c r="G8469" s="7">
        <v>101.09480000000001</v>
      </c>
      <c r="H8469" s="7"/>
    </row>
    <row r="8470" spans="1:8" x14ac:dyDescent="0.35">
      <c r="A8470" s="7" t="s">
        <v>375</v>
      </c>
      <c r="B8470" s="7" t="s">
        <v>26</v>
      </c>
      <c r="C8470" s="7" t="s">
        <v>27</v>
      </c>
      <c r="D8470" s="7" t="s">
        <v>28</v>
      </c>
      <c r="E8470" s="7" t="s">
        <v>29</v>
      </c>
      <c r="F8470" s="7" t="s">
        <v>156</v>
      </c>
      <c r="G8470" s="7">
        <v>100.9363</v>
      </c>
      <c r="H8470" s="7"/>
    </row>
    <row r="8471" spans="1:8" x14ac:dyDescent="0.35">
      <c r="A8471" s="7" t="s">
        <v>375</v>
      </c>
      <c r="B8471" s="7" t="s">
        <v>26</v>
      </c>
      <c r="C8471" s="7" t="s">
        <v>27</v>
      </c>
      <c r="D8471" s="7" t="s">
        <v>28</v>
      </c>
      <c r="E8471" s="7" t="s">
        <v>29</v>
      </c>
      <c r="F8471" s="7" t="s">
        <v>157</v>
      </c>
      <c r="G8471" s="7">
        <v>100.7539</v>
      </c>
      <c r="H8471" s="7"/>
    </row>
    <row r="8472" spans="1:8" x14ac:dyDescent="0.35">
      <c r="A8472" s="7" t="s">
        <v>375</v>
      </c>
      <c r="B8472" s="7" t="s">
        <v>26</v>
      </c>
      <c r="C8472" s="7" t="s">
        <v>27</v>
      </c>
      <c r="D8472" s="7" t="s">
        <v>28</v>
      </c>
      <c r="E8472" s="7" t="s">
        <v>29</v>
      </c>
      <c r="F8472" s="7" t="s">
        <v>158</v>
      </c>
      <c r="G8472" s="7">
        <v>100.5716</v>
      </c>
      <c r="H8472" s="7"/>
    </row>
    <row r="8473" spans="1:8" x14ac:dyDescent="0.35">
      <c r="A8473" s="7" t="s">
        <v>375</v>
      </c>
      <c r="B8473" s="7" t="s">
        <v>26</v>
      </c>
      <c r="C8473" s="7" t="s">
        <v>27</v>
      </c>
      <c r="D8473" s="7" t="s">
        <v>28</v>
      </c>
      <c r="E8473" s="7" t="s">
        <v>29</v>
      </c>
      <c r="F8473" s="7" t="s">
        <v>159</v>
      </c>
      <c r="G8473" s="7">
        <v>100.52070000000001</v>
      </c>
      <c r="H8473" s="7"/>
    </row>
    <row r="8474" spans="1:8" x14ac:dyDescent="0.35">
      <c r="A8474" s="7" t="s">
        <v>375</v>
      </c>
      <c r="B8474" s="7" t="s">
        <v>26</v>
      </c>
      <c r="C8474" s="7" t="s">
        <v>27</v>
      </c>
      <c r="D8474" s="7" t="s">
        <v>28</v>
      </c>
      <c r="E8474" s="7" t="s">
        <v>29</v>
      </c>
      <c r="F8474" s="7" t="s">
        <v>160</v>
      </c>
      <c r="G8474" s="7">
        <v>100.6846</v>
      </c>
      <c r="H8474" s="7"/>
    </row>
    <row r="8475" spans="1:8" x14ac:dyDescent="0.35">
      <c r="A8475" s="7" t="s">
        <v>375</v>
      </c>
      <c r="B8475" s="7" t="s">
        <v>26</v>
      </c>
      <c r="C8475" s="7" t="s">
        <v>27</v>
      </c>
      <c r="D8475" s="7" t="s">
        <v>28</v>
      </c>
      <c r="E8475" s="7" t="s">
        <v>29</v>
      </c>
      <c r="F8475" s="7" t="s">
        <v>161</v>
      </c>
      <c r="G8475" s="7">
        <v>100.8233</v>
      </c>
      <c r="H8475" s="7"/>
    </row>
    <row r="8476" spans="1:8" x14ac:dyDescent="0.35">
      <c r="A8476" s="7" t="s">
        <v>375</v>
      </c>
      <c r="B8476" s="7" t="s">
        <v>26</v>
      </c>
      <c r="C8476" s="7" t="s">
        <v>27</v>
      </c>
      <c r="D8476" s="7" t="s">
        <v>28</v>
      </c>
      <c r="E8476" s="7" t="s">
        <v>29</v>
      </c>
      <c r="F8476" s="7" t="s">
        <v>162</v>
      </c>
      <c r="G8476" s="7">
        <v>100.9169</v>
      </c>
      <c r="H8476" s="7"/>
    </row>
    <row r="8477" spans="1:8" x14ac:dyDescent="0.35">
      <c r="A8477" s="7" t="s">
        <v>375</v>
      </c>
      <c r="B8477" s="7" t="s">
        <v>26</v>
      </c>
      <c r="C8477" s="7" t="s">
        <v>27</v>
      </c>
      <c r="D8477" s="7" t="s">
        <v>28</v>
      </c>
      <c r="E8477" s="7" t="s">
        <v>29</v>
      </c>
      <c r="F8477" s="7" t="s">
        <v>163</v>
      </c>
      <c r="G8477" s="7">
        <v>100.8526</v>
      </c>
      <c r="H8477" s="7"/>
    </row>
    <row r="8478" spans="1:8" x14ac:dyDescent="0.35">
      <c r="A8478" s="7" t="s">
        <v>375</v>
      </c>
      <c r="B8478" s="7" t="s">
        <v>26</v>
      </c>
      <c r="C8478" s="7" t="s">
        <v>27</v>
      </c>
      <c r="D8478" s="7" t="s">
        <v>28</v>
      </c>
      <c r="E8478" s="7" t="s">
        <v>29</v>
      </c>
      <c r="F8478" s="7" t="s">
        <v>164</v>
      </c>
      <c r="G8478" s="7">
        <v>100.63639999999999</v>
      </c>
      <c r="H8478" s="7"/>
    </row>
    <row r="8479" spans="1:8" x14ac:dyDescent="0.35">
      <c r="A8479" s="7" t="s">
        <v>375</v>
      </c>
      <c r="B8479" s="7" t="s">
        <v>26</v>
      </c>
      <c r="C8479" s="7" t="s">
        <v>27</v>
      </c>
      <c r="D8479" s="7" t="s">
        <v>28</v>
      </c>
      <c r="E8479" s="7" t="s">
        <v>29</v>
      </c>
      <c r="F8479" s="7" t="s">
        <v>165</v>
      </c>
      <c r="G8479" s="7">
        <v>100.38079999999999</v>
      </c>
      <c r="H8479" s="7"/>
    </row>
    <row r="8480" spans="1:8" x14ac:dyDescent="0.35">
      <c r="A8480" s="7" t="s">
        <v>375</v>
      </c>
      <c r="B8480" s="7" t="s">
        <v>26</v>
      </c>
      <c r="C8480" s="7" t="s">
        <v>27</v>
      </c>
      <c r="D8480" s="7" t="s">
        <v>28</v>
      </c>
      <c r="E8480" s="7" t="s">
        <v>29</v>
      </c>
      <c r="F8480" s="7" t="s">
        <v>166</v>
      </c>
      <c r="G8480" s="7">
        <v>100.0309</v>
      </c>
      <c r="H8480" s="7"/>
    </row>
    <row r="8481" spans="1:8" x14ac:dyDescent="0.35">
      <c r="A8481" s="7" t="s">
        <v>375</v>
      </c>
      <c r="B8481" s="7" t="s">
        <v>26</v>
      </c>
      <c r="C8481" s="7" t="s">
        <v>27</v>
      </c>
      <c r="D8481" s="7" t="s">
        <v>28</v>
      </c>
      <c r="E8481" s="7" t="s">
        <v>29</v>
      </c>
      <c r="F8481" s="7" t="s">
        <v>167</v>
      </c>
      <c r="G8481" s="7">
        <v>99.773250000000004</v>
      </c>
      <c r="H8481" s="7"/>
    </row>
    <row r="8482" spans="1:8" x14ac:dyDescent="0.35">
      <c r="A8482" s="7" t="s">
        <v>375</v>
      </c>
      <c r="B8482" s="7" t="s">
        <v>26</v>
      </c>
      <c r="C8482" s="7" t="s">
        <v>27</v>
      </c>
      <c r="D8482" s="7" t="s">
        <v>28</v>
      </c>
      <c r="E8482" s="7" t="s">
        <v>29</v>
      </c>
      <c r="F8482" s="7" t="s">
        <v>168</v>
      </c>
      <c r="G8482" s="7">
        <v>99.590190000000007</v>
      </c>
      <c r="H8482" s="7"/>
    </row>
    <row r="8483" spans="1:8" x14ac:dyDescent="0.35">
      <c r="A8483" s="7" t="s">
        <v>375</v>
      </c>
      <c r="B8483" s="7" t="s">
        <v>26</v>
      </c>
      <c r="C8483" s="7" t="s">
        <v>27</v>
      </c>
      <c r="D8483" s="7" t="s">
        <v>28</v>
      </c>
      <c r="E8483" s="7" t="s">
        <v>29</v>
      </c>
      <c r="F8483" s="7" t="s">
        <v>169</v>
      </c>
      <c r="G8483" s="7">
        <v>99.507090000000005</v>
      </c>
      <c r="H8483" s="7"/>
    </row>
    <row r="8484" spans="1:8" x14ac:dyDescent="0.35">
      <c r="A8484" s="7" t="s">
        <v>375</v>
      </c>
      <c r="B8484" s="7" t="s">
        <v>26</v>
      </c>
      <c r="C8484" s="7" t="s">
        <v>27</v>
      </c>
      <c r="D8484" s="7" t="s">
        <v>28</v>
      </c>
      <c r="E8484" s="7" t="s">
        <v>29</v>
      </c>
      <c r="F8484" s="7" t="s">
        <v>170</v>
      </c>
      <c r="G8484" s="7">
        <v>99.557640000000006</v>
      </c>
      <c r="H8484" s="7"/>
    </row>
    <row r="8485" spans="1:8" x14ac:dyDescent="0.35">
      <c r="A8485" s="7" t="s">
        <v>375</v>
      </c>
      <c r="B8485" s="7" t="s">
        <v>26</v>
      </c>
      <c r="C8485" s="7" t="s">
        <v>27</v>
      </c>
      <c r="D8485" s="7" t="s">
        <v>28</v>
      </c>
      <c r="E8485" s="7" t="s">
        <v>29</v>
      </c>
      <c r="F8485" s="7" t="s">
        <v>171</v>
      </c>
      <c r="G8485" s="7">
        <v>99.703620000000001</v>
      </c>
      <c r="H8485" s="7"/>
    </row>
    <row r="8486" spans="1:8" x14ac:dyDescent="0.35">
      <c r="A8486" s="7" t="s">
        <v>375</v>
      </c>
      <c r="B8486" s="7" t="s">
        <v>26</v>
      </c>
      <c r="C8486" s="7" t="s">
        <v>27</v>
      </c>
      <c r="D8486" s="7" t="s">
        <v>28</v>
      </c>
      <c r="E8486" s="7" t="s">
        <v>29</v>
      </c>
      <c r="F8486" s="7" t="s">
        <v>172</v>
      </c>
      <c r="G8486" s="7">
        <v>99.882320000000007</v>
      </c>
      <c r="H8486" s="7"/>
    </row>
    <row r="8487" spans="1:8" x14ac:dyDescent="0.35">
      <c r="A8487" s="7" t="s">
        <v>375</v>
      </c>
      <c r="B8487" s="7" t="s">
        <v>26</v>
      </c>
      <c r="C8487" s="7" t="s">
        <v>27</v>
      </c>
      <c r="D8487" s="7" t="s">
        <v>28</v>
      </c>
      <c r="E8487" s="7" t="s">
        <v>29</v>
      </c>
      <c r="F8487" s="7" t="s">
        <v>173</v>
      </c>
      <c r="G8487" s="7">
        <v>100.0021</v>
      </c>
      <c r="H8487" s="7"/>
    </row>
    <row r="8488" spans="1:8" x14ac:dyDescent="0.35">
      <c r="A8488" s="7" t="s">
        <v>375</v>
      </c>
      <c r="B8488" s="7" t="s">
        <v>26</v>
      </c>
      <c r="C8488" s="7" t="s">
        <v>27</v>
      </c>
      <c r="D8488" s="7" t="s">
        <v>28</v>
      </c>
      <c r="E8488" s="7" t="s">
        <v>29</v>
      </c>
      <c r="F8488" s="7" t="s">
        <v>174</v>
      </c>
      <c r="G8488" s="7">
        <v>100.0467</v>
      </c>
      <c r="H8488" s="7"/>
    </row>
    <row r="8489" spans="1:8" x14ac:dyDescent="0.35">
      <c r="A8489" s="7" t="s">
        <v>375</v>
      </c>
      <c r="B8489" s="7" t="s">
        <v>26</v>
      </c>
      <c r="C8489" s="7" t="s">
        <v>27</v>
      </c>
      <c r="D8489" s="7" t="s">
        <v>28</v>
      </c>
      <c r="E8489" s="7" t="s">
        <v>29</v>
      </c>
      <c r="F8489" s="7" t="s">
        <v>175</v>
      </c>
      <c r="G8489" s="7">
        <v>100.0534</v>
      </c>
      <c r="H8489" s="7"/>
    </row>
    <row r="8490" spans="1:8" x14ac:dyDescent="0.35">
      <c r="A8490" s="7" t="s">
        <v>375</v>
      </c>
      <c r="B8490" s="7" t="s">
        <v>26</v>
      </c>
      <c r="C8490" s="7" t="s">
        <v>27</v>
      </c>
      <c r="D8490" s="7" t="s">
        <v>28</v>
      </c>
      <c r="E8490" s="7" t="s">
        <v>29</v>
      </c>
      <c r="F8490" s="7" t="s">
        <v>176</v>
      </c>
      <c r="G8490" s="7">
        <v>100.07940000000001</v>
      </c>
      <c r="H8490" s="7"/>
    </row>
    <row r="8491" spans="1:8" x14ac:dyDescent="0.35">
      <c r="A8491" s="7" t="s">
        <v>375</v>
      </c>
      <c r="B8491" s="7" t="s">
        <v>26</v>
      </c>
      <c r="C8491" s="7" t="s">
        <v>27</v>
      </c>
      <c r="D8491" s="7" t="s">
        <v>28</v>
      </c>
      <c r="E8491" s="7" t="s">
        <v>29</v>
      </c>
      <c r="F8491" s="7" t="s">
        <v>177</v>
      </c>
      <c r="G8491" s="7">
        <v>100.1405</v>
      </c>
      <c r="H8491" s="7"/>
    </row>
    <row r="8492" spans="1:8" x14ac:dyDescent="0.35">
      <c r="A8492" s="7" t="s">
        <v>375</v>
      </c>
      <c r="B8492" s="7" t="s">
        <v>26</v>
      </c>
      <c r="C8492" s="7" t="s">
        <v>27</v>
      </c>
      <c r="D8492" s="7" t="s">
        <v>28</v>
      </c>
      <c r="E8492" s="7" t="s">
        <v>29</v>
      </c>
      <c r="F8492" s="7" t="s">
        <v>178</v>
      </c>
      <c r="G8492" s="7">
        <v>100.13079999999999</v>
      </c>
      <c r="H8492" s="7"/>
    </row>
    <row r="8493" spans="1:8" x14ac:dyDescent="0.35">
      <c r="A8493" s="7" t="s">
        <v>375</v>
      </c>
      <c r="B8493" s="7" t="s">
        <v>26</v>
      </c>
      <c r="C8493" s="7" t="s">
        <v>27</v>
      </c>
      <c r="D8493" s="7" t="s">
        <v>28</v>
      </c>
      <c r="E8493" s="7" t="s">
        <v>29</v>
      </c>
      <c r="F8493" s="7" t="s">
        <v>179</v>
      </c>
      <c r="G8493" s="7">
        <v>100.0448</v>
      </c>
      <c r="H8493" s="7"/>
    </row>
    <row r="8494" spans="1:8" x14ac:dyDescent="0.35">
      <c r="A8494" s="7" t="s">
        <v>375</v>
      </c>
      <c r="B8494" s="7" t="s">
        <v>26</v>
      </c>
      <c r="C8494" s="7" t="s">
        <v>27</v>
      </c>
      <c r="D8494" s="7" t="s">
        <v>28</v>
      </c>
      <c r="E8494" s="7" t="s">
        <v>29</v>
      </c>
      <c r="F8494" s="7" t="s">
        <v>180</v>
      </c>
      <c r="G8494" s="7">
        <v>99.997609999999995</v>
      </c>
      <c r="H8494" s="7"/>
    </row>
    <row r="8495" spans="1:8" x14ac:dyDescent="0.35">
      <c r="A8495" s="7" t="s">
        <v>375</v>
      </c>
      <c r="B8495" s="7" t="s">
        <v>26</v>
      </c>
      <c r="C8495" s="7" t="s">
        <v>27</v>
      </c>
      <c r="D8495" s="7" t="s">
        <v>28</v>
      </c>
      <c r="E8495" s="7" t="s">
        <v>29</v>
      </c>
      <c r="F8495" s="7" t="s">
        <v>181</v>
      </c>
      <c r="G8495" s="7">
        <v>100.0284</v>
      </c>
      <c r="H8495" s="7"/>
    </row>
    <row r="8496" spans="1:8" x14ac:dyDescent="0.35">
      <c r="A8496" s="7" t="s">
        <v>375</v>
      </c>
      <c r="B8496" s="7" t="s">
        <v>26</v>
      </c>
      <c r="C8496" s="7" t="s">
        <v>27</v>
      </c>
      <c r="D8496" s="7" t="s">
        <v>28</v>
      </c>
      <c r="E8496" s="7" t="s">
        <v>29</v>
      </c>
      <c r="F8496" s="7" t="s">
        <v>182</v>
      </c>
      <c r="G8496" s="7">
        <v>100.0382</v>
      </c>
      <c r="H8496" s="7"/>
    </row>
    <row r="8497" spans="1:8" x14ac:dyDescent="0.35">
      <c r="A8497" s="7" t="s">
        <v>375</v>
      </c>
      <c r="B8497" s="7" t="s">
        <v>26</v>
      </c>
      <c r="C8497" s="7" t="s">
        <v>27</v>
      </c>
      <c r="D8497" s="7" t="s">
        <v>28</v>
      </c>
      <c r="E8497" s="7" t="s">
        <v>29</v>
      </c>
      <c r="F8497" s="7" t="s">
        <v>183</v>
      </c>
      <c r="G8497" s="7">
        <v>99.999139999999997</v>
      </c>
      <c r="H8497" s="7"/>
    </row>
    <row r="8498" spans="1:8" x14ac:dyDescent="0.35">
      <c r="A8498" s="7" t="s">
        <v>375</v>
      </c>
      <c r="B8498" s="7" t="s">
        <v>26</v>
      </c>
      <c r="C8498" s="7" t="s">
        <v>27</v>
      </c>
      <c r="D8498" s="7" t="s">
        <v>28</v>
      </c>
      <c r="E8498" s="7" t="s">
        <v>29</v>
      </c>
      <c r="F8498" s="7" t="s">
        <v>184</v>
      </c>
      <c r="G8498" s="7">
        <v>99.965890000000002</v>
      </c>
      <c r="H8498" s="7"/>
    </row>
    <row r="8499" spans="1:8" x14ac:dyDescent="0.35">
      <c r="A8499" s="7" t="s">
        <v>375</v>
      </c>
      <c r="B8499" s="7" t="s">
        <v>26</v>
      </c>
      <c r="C8499" s="7" t="s">
        <v>27</v>
      </c>
      <c r="D8499" s="7" t="s">
        <v>28</v>
      </c>
      <c r="E8499" s="7" t="s">
        <v>29</v>
      </c>
      <c r="F8499" s="7" t="s">
        <v>185</v>
      </c>
      <c r="G8499" s="7">
        <v>99.962680000000006</v>
      </c>
      <c r="H8499" s="7"/>
    </row>
    <row r="8500" spans="1:8" x14ac:dyDescent="0.35">
      <c r="A8500" s="7" t="s">
        <v>375</v>
      </c>
      <c r="B8500" s="7" t="s">
        <v>26</v>
      </c>
      <c r="C8500" s="7" t="s">
        <v>27</v>
      </c>
      <c r="D8500" s="7" t="s">
        <v>28</v>
      </c>
      <c r="E8500" s="7" t="s">
        <v>29</v>
      </c>
      <c r="F8500" s="7" t="s">
        <v>186</v>
      </c>
      <c r="G8500" s="7">
        <v>99.972880000000004</v>
      </c>
      <c r="H8500" s="7"/>
    </row>
    <row r="8501" spans="1:8" x14ac:dyDescent="0.35">
      <c r="A8501" s="7" t="s">
        <v>375</v>
      </c>
      <c r="B8501" s="7" t="s">
        <v>26</v>
      </c>
      <c r="C8501" s="7" t="s">
        <v>27</v>
      </c>
      <c r="D8501" s="7" t="s">
        <v>28</v>
      </c>
      <c r="E8501" s="7" t="s">
        <v>29</v>
      </c>
      <c r="F8501" s="7" t="s">
        <v>187</v>
      </c>
      <c r="G8501" s="7">
        <v>100.051</v>
      </c>
      <c r="H8501" s="7"/>
    </row>
    <row r="8502" spans="1:8" x14ac:dyDescent="0.35">
      <c r="A8502" s="7" t="s">
        <v>375</v>
      </c>
      <c r="B8502" s="7" t="s">
        <v>26</v>
      </c>
      <c r="C8502" s="7" t="s">
        <v>27</v>
      </c>
      <c r="D8502" s="7" t="s">
        <v>28</v>
      </c>
      <c r="E8502" s="7" t="s">
        <v>29</v>
      </c>
      <c r="F8502" s="7" t="s">
        <v>188</v>
      </c>
      <c r="G8502" s="7">
        <v>100.1712</v>
      </c>
      <c r="H8502" s="7"/>
    </row>
    <row r="8503" spans="1:8" x14ac:dyDescent="0.35">
      <c r="A8503" s="7" t="s">
        <v>375</v>
      </c>
      <c r="B8503" s="7" t="s">
        <v>26</v>
      </c>
      <c r="C8503" s="7" t="s">
        <v>27</v>
      </c>
      <c r="D8503" s="7" t="s">
        <v>28</v>
      </c>
      <c r="E8503" s="7" t="s">
        <v>29</v>
      </c>
      <c r="F8503" s="7" t="s">
        <v>189</v>
      </c>
      <c r="G8503" s="7">
        <v>100.1925</v>
      </c>
      <c r="H8503" s="7"/>
    </row>
    <row r="8504" spans="1:8" x14ac:dyDescent="0.35">
      <c r="A8504" s="7" t="s">
        <v>375</v>
      </c>
      <c r="B8504" s="7" t="s">
        <v>26</v>
      </c>
      <c r="C8504" s="7" t="s">
        <v>27</v>
      </c>
      <c r="D8504" s="7" t="s">
        <v>28</v>
      </c>
      <c r="E8504" s="7" t="s">
        <v>29</v>
      </c>
      <c r="F8504" s="7" t="s">
        <v>190</v>
      </c>
      <c r="G8504" s="7">
        <v>100.20650000000001</v>
      </c>
      <c r="H8504" s="7"/>
    </row>
    <row r="8505" spans="1:8" x14ac:dyDescent="0.35">
      <c r="A8505" s="7" t="s">
        <v>375</v>
      </c>
      <c r="B8505" s="7" t="s">
        <v>26</v>
      </c>
      <c r="C8505" s="7" t="s">
        <v>27</v>
      </c>
      <c r="D8505" s="7" t="s">
        <v>28</v>
      </c>
      <c r="E8505" s="7" t="s">
        <v>29</v>
      </c>
      <c r="F8505" s="7" t="s">
        <v>191</v>
      </c>
      <c r="G8505" s="7">
        <v>100.179</v>
      </c>
      <c r="H8505" s="7"/>
    </row>
    <row r="8506" spans="1:8" x14ac:dyDescent="0.35">
      <c r="A8506" s="7" t="s">
        <v>375</v>
      </c>
      <c r="B8506" s="7" t="s">
        <v>26</v>
      </c>
      <c r="C8506" s="7" t="s">
        <v>27</v>
      </c>
      <c r="D8506" s="7" t="s">
        <v>28</v>
      </c>
      <c r="E8506" s="7" t="s">
        <v>29</v>
      </c>
      <c r="F8506" s="7" t="s">
        <v>192</v>
      </c>
      <c r="G8506" s="7">
        <v>100.0667</v>
      </c>
      <c r="H8506" s="7"/>
    </row>
    <row r="8507" spans="1:8" x14ac:dyDescent="0.35">
      <c r="A8507" s="7" t="s">
        <v>375</v>
      </c>
      <c r="B8507" s="7" t="s">
        <v>26</v>
      </c>
      <c r="C8507" s="7" t="s">
        <v>27</v>
      </c>
      <c r="D8507" s="7" t="s">
        <v>28</v>
      </c>
      <c r="E8507" s="7" t="s">
        <v>29</v>
      </c>
      <c r="F8507" s="7" t="s">
        <v>193</v>
      </c>
      <c r="G8507" s="7">
        <v>99.953069999999997</v>
      </c>
      <c r="H8507" s="7"/>
    </row>
    <row r="8508" spans="1:8" x14ac:dyDescent="0.35">
      <c r="A8508" s="7" t="s">
        <v>375</v>
      </c>
      <c r="B8508" s="7" t="s">
        <v>26</v>
      </c>
      <c r="C8508" s="7" t="s">
        <v>27</v>
      </c>
      <c r="D8508" s="7" t="s">
        <v>28</v>
      </c>
      <c r="E8508" s="7" t="s">
        <v>29</v>
      </c>
      <c r="F8508" s="7" t="s">
        <v>194</v>
      </c>
      <c r="G8508" s="7">
        <v>99.834299999999999</v>
      </c>
      <c r="H8508" s="7"/>
    </row>
    <row r="8509" spans="1:8" x14ac:dyDescent="0.35">
      <c r="A8509" s="7" t="s">
        <v>375</v>
      </c>
      <c r="B8509" s="7" t="s">
        <v>26</v>
      </c>
      <c r="C8509" s="7" t="s">
        <v>27</v>
      </c>
      <c r="D8509" s="7" t="s">
        <v>28</v>
      </c>
      <c r="E8509" s="7" t="s">
        <v>29</v>
      </c>
      <c r="F8509" s="7" t="s">
        <v>195</v>
      </c>
      <c r="G8509" s="7">
        <v>99.754869999999997</v>
      </c>
      <c r="H8509" s="7"/>
    </row>
    <row r="8510" spans="1:8" x14ac:dyDescent="0.35">
      <c r="A8510" s="7" t="s">
        <v>375</v>
      </c>
      <c r="B8510" s="7" t="s">
        <v>26</v>
      </c>
      <c r="C8510" s="7" t="s">
        <v>27</v>
      </c>
      <c r="D8510" s="7" t="s">
        <v>28</v>
      </c>
      <c r="E8510" s="7" t="s">
        <v>29</v>
      </c>
      <c r="F8510" s="7" t="s">
        <v>196</v>
      </c>
      <c r="G8510" s="7">
        <v>99.751959999999997</v>
      </c>
      <c r="H8510" s="7"/>
    </row>
    <row r="8511" spans="1:8" x14ac:dyDescent="0.35">
      <c r="A8511" s="7" t="s">
        <v>375</v>
      </c>
      <c r="B8511" s="7" t="s">
        <v>26</v>
      </c>
      <c r="C8511" s="7" t="s">
        <v>27</v>
      </c>
      <c r="D8511" s="7" t="s">
        <v>28</v>
      </c>
      <c r="E8511" s="7" t="s">
        <v>29</v>
      </c>
      <c r="F8511" s="7" t="s">
        <v>197</v>
      </c>
      <c r="G8511" s="7">
        <v>99.847890000000007</v>
      </c>
      <c r="H8511" s="7"/>
    </row>
    <row r="8512" spans="1:8" x14ac:dyDescent="0.35">
      <c r="A8512" s="7" t="s">
        <v>375</v>
      </c>
      <c r="B8512" s="7" t="s">
        <v>26</v>
      </c>
      <c r="C8512" s="7" t="s">
        <v>27</v>
      </c>
      <c r="D8512" s="7" t="s">
        <v>28</v>
      </c>
      <c r="E8512" s="7" t="s">
        <v>29</v>
      </c>
      <c r="F8512" s="7" t="s">
        <v>198</v>
      </c>
      <c r="G8512" s="7">
        <v>99.976839999999996</v>
      </c>
      <c r="H8512" s="7"/>
    </row>
    <row r="8513" spans="1:8" x14ac:dyDescent="0.35">
      <c r="A8513" s="7" t="s">
        <v>375</v>
      </c>
      <c r="B8513" s="7" t="s">
        <v>26</v>
      </c>
      <c r="C8513" s="7" t="s">
        <v>27</v>
      </c>
      <c r="D8513" s="7" t="s">
        <v>28</v>
      </c>
      <c r="E8513" s="7" t="s">
        <v>29</v>
      </c>
      <c r="F8513" s="7" t="s">
        <v>199</v>
      </c>
      <c r="G8513" s="7">
        <v>100.1174</v>
      </c>
      <c r="H8513" s="7"/>
    </row>
    <row r="8514" spans="1:8" x14ac:dyDescent="0.35">
      <c r="A8514" s="7" t="s">
        <v>375</v>
      </c>
      <c r="B8514" s="7" t="s">
        <v>26</v>
      </c>
      <c r="C8514" s="7" t="s">
        <v>27</v>
      </c>
      <c r="D8514" s="7" t="s">
        <v>28</v>
      </c>
      <c r="E8514" s="7" t="s">
        <v>29</v>
      </c>
      <c r="F8514" s="7" t="s">
        <v>200</v>
      </c>
      <c r="G8514" s="7">
        <v>100.31619999999999</v>
      </c>
      <c r="H8514" s="7"/>
    </row>
    <row r="8515" spans="1:8" x14ac:dyDescent="0.35">
      <c r="A8515" s="7" t="s">
        <v>375</v>
      </c>
      <c r="B8515" s="7" t="s">
        <v>26</v>
      </c>
      <c r="C8515" s="7" t="s">
        <v>27</v>
      </c>
      <c r="D8515" s="7" t="s">
        <v>28</v>
      </c>
      <c r="E8515" s="7" t="s">
        <v>29</v>
      </c>
      <c r="F8515" s="7" t="s">
        <v>201</v>
      </c>
      <c r="G8515" s="7">
        <v>100.4166</v>
      </c>
      <c r="H8515" s="7"/>
    </row>
    <row r="8516" spans="1:8" x14ac:dyDescent="0.35">
      <c r="A8516" s="7" t="s">
        <v>375</v>
      </c>
      <c r="B8516" s="7" t="s">
        <v>26</v>
      </c>
      <c r="C8516" s="7" t="s">
        <v>27</v>
      </c>
      <c r="D8516" s="7" t="s">
        <v>28</v>
      </c>
      <c r="E8516" s="7" t="s">
        <v>29</v>
      </c>
      <c r="F8516" s="7" t="s">
        <v>202</v>
      </c>
      <c r="G8516" s="7">
        <v>100.52379999999999</v>
      </c>
      <c r="H8516" s="7"/>
    </row>
    <row r="8517" spans="1:8" x14ac:dyDescent="0.35">
      <c r="A8517" s="7" t="s">
        <v>375</v>
      </c>
      <c r="B8517" s="7" t="s">
        <v>26</v>
      </c>
      <c r="C8517" s="7" t="s">
        <v>27</v>
      </c>
      <c r="D8517" s="7" t="s">
        <v>28</v>
      </c>
      <c r="E8517" s="7" t="s">
        <v>29</v>
      </c>
      <c r="F8517" s="7" t="s">
        <v>203</v>
      </c>
      <c r="G8517" s="7">
        <v>100.6326</v>
      </c>
      <c r="H8517" s="7"/>
    </row>
    <row r="8518" spans="1:8" x14ac:dyDescent="0.35">
      <c r="A8518" s="7" t="s">
        <v>375</v>
      </c>
      <c r="B8518" s="7" t="s">
        <v>26</v>
      </c>
      <c r="C8518" s="7" t="s">
        <v>27</v>
      </c>
      <c r="D8518" s="7" t="s">
        <v>28</v>
      </c>
      <c r="E8518" s="7" t="s">
        <v>29</v>
      </c>
      <c r="F8518" s="7" t="s">
        <v>204</v>
      </c>
      <c r="G8518" s="7">
        <v>100.7484</v>
      </c>
      <c r="H8518" s="7"/>
    </row>
    <row r="8519" spans="1:8" x14ac:dyDescent="0.35">
      <c r="A8519" s="7" t="s">
        <v>375</v>
      </c>
      <c r="B8519" s="7" t="s">
        <v>26</v>
      </c>
      <c r="C8519" s="7" t="s">
        <v>27</v>
      </c>
      <c r="D8519" s="7" t="s">
        <v>28</v>
      </c>
      <c r="E8519" s="7" t="s">
        <v>29</v>
      </c>
      <c r="F8519" s="7" t="s">
        <v>205</v>
      </c>
      <c r="G8519" s="7">
        <v>100.8439</v>
      </c>
      <c r="H8519" s="7"/>
    </row>
    <row r="8520" spans="1:8" x14ac:dyDescent="0.35">
      <c r="A8520" s="7" t="s">
        <v>375</v>
      </c>
      <c r="B8520" s="7" t="s">
        <v>26</v>
      </c>
      <c r="C8520" s="7" t="s">
        <v>27</v>
      </c>
      <c r="D8520" s="7" t="s">
        <v>28</v>
      </c>
      <c r="E8520" s="7" t="s">
        <v>29</v>
      </c>
      <c r="F8520" s="7" t="s">
        <v>206</v>
      </c>
      <c r="G8520" s="7">
        <v>100.9288</v>
      </c>
      <c r="H8520" s="7"/>
    </row>
    <row r="8521" spans="1:8" x14ac:dyDescent="0.35">
      <c r="A8521" s="7" t="s">
        <v>375</v>
      </c>
      <c r="B8521" s="7" t="s">
        <v>26</v>
      </c>
      <c r="C8521" s="7" t="s">
        <v>27</v>
      </c>
      <c r="D8521" s="7" t="s">
        <v>28</v>
      </c>
      <c r="E8521" s="7" t="s">
        <v>29</v>
      </c>
      <c r="F8521" s="7" t="s">
        <v>207</v>
      </c>
      <c r="G8521" s="7">
        <v>100.9969</v>
      </c>
      <c r="H8521" s="7"/>
    </row>
    <row r="8522" spans="1:8" x14ac:dyDescent="0.35">
      <c r="A8522" s="7" t="s">
        <v>375</v>
      </c>
      <c r="B8522" s="7" t="s">
        <v>26</v>
      </c>
      <c r="C8522" s="7" t="s">
        <v>27</v>
      </c>
      <c r="D8522" s="7" t="s">
        <v>28</v>
      </c>
      <c r="E8522" s="7" t="s">
        <v>29</v>
      </c>
      <c r="F8522" s="7" t="s">
        <v>208</v>
      </c>
      <c r="G8522" s="7">
        <v>101.10550000000001</v>
      </c>
      <c r="H8522" s="7"/>
    </row>
    <row r="8523" spans="1:8" x14ac:dyDescent="0.35">
      <c r="A8523" s="7" t="s">
        <v>375</v>
      </c>
      <c r="B8523" s="7" t="s">
        <v>26</v>
      </c>
      <c r="C8523" s="7" t="s">
        <v>27</v>
      </c>
      <c r="D8523" s="7" t="s">
        <v>28</v>
      </c>
      <c r="E8523" s="7" t="s">
        <v>29</v>
      </c>
      <c r="F8523" s="7" t="s">
        <v>209</v>
      </c>
      <c r="G8523" s="7">
        <v>101.1977</v>
      </c>
      <c r="H8523" s="7"/>
    </row>
    <row r="8524" spans="1:8" x14ac:dyDescent="0.35">
      <c r="A8524" s="7" t="s">
        <v>375</v>
      </c>
      <c r="B8524" s="7" t="s">
        <v>26</v>
      </c>
      <c r="C8524" s="7" t="s">
        <v>27</v>
      </c>
      <c r="D8524" s="7" t="s">
        <v>28</v>
      </c>
      <c r="E8524" s="7" t="s">
        <v>29</v>
      </c>
      <c r="F8524" s="7" t="s">
        <v>210</v>
      </c>
      <c r="G8524" s="7">
        <v>101.2664</v>
      </c>
      <c r="H8524" s="7"/>
    </row>
    <row r="8525" spans="1:8" x14ac:dyDescent="0.35">
      <c r="A8525" s="7" t="s">
        <v>375</v>
      </c>
      <c r="B8525" s="7" t="s">
        <v>26</v>
      </c>
      <c r="C8525" s="7" t="s">
        <v>27</v>
      </c>
      <c r="D8525" s="7" t="s">
        <v>28</v>
      </c>
      <c r="E8525" s="7" t="s">
        <v>29</v>
      </c>
      <c r="F8525" s="7" t="s">
        <v>211</v>
      </c>
      <c r="G8525" s="7">
        <v>101.3707</v>
      </c>
      <c r="H8525" s="7"/>
    </row>
    <row r="8526" spans="1:8" x14ac:dyDescent="0.35">
      <c r="A8526" s="7" t="s">
        <v>375</v>
      </c>
      <c r="B8526" s="7" t="s">
        <v>26</v>
      </c>
      <c r="C8526" s="7" t="s">
        <v>27</v>
      </c>
      <c r="D8526" s="7" t="s">
        <v>28</v>
      </c>
      <c r="E8526" s="7" t="s">
        <v>29</v>
      </c>
      <c r="F8526" s="7" t="s">
        <v>212</v>
      </c>
      <c r="G8526" s="7">
        <v>101.578</v>
      </c>
      <c r="H8526" s="7"/>
    </row>
    <row r="8527" spans="1:8" x14ac:dyDescent="0.35">
      <c r="A8527" s="7" t="s">
        <v>375</v>
      </c>
      <c r="B8527" s="7" t="s">
        <v>26</v>
      </c>
      <c r="C8527" s="7" t="s">
        <v>27</v>
      </c>
      <c r="D8527" s="7" t="s">
        <v>28</v>
      </c>
      <c r="E8527" s="7" t="s">
        <v>29</v>
      </c>
      <c r="F8527" s="7" t="s">
        <v>213</v>
      </c>
      <c r="G8527" s="7">
        <v>101.69670000000001</v>
      </c>
      <c r="H8527" s="7"/>
    </row>
    <row r="8528" spans="1:8" x14ac:dyDescent="0.35">
      <c r="A8528" s="7" t="s">
        <v>375</v>
      </c>
      <c r="B8528" s="7" t="s">
        <v>26</v>
      </c>
      <c r="C8528" s="7" t="s">
        <v>27</v>
      </c>
      <c r="D8528" s="7" t="s">
        <v>28</v>
      </c>
      <c r="E8528" s="7" t="s">
        <v>29</v>
      </c>
      <c r="F8528" s="7" t="s">
        <v>214</v>
      </c>
      <c r="G8528" s="7">
        <v>101.7435</v>
      </c>
      <c r="H8528" s="7"/>
    </row>
    <row r="8529" spans="1:8" x14ac:dyDescent="0.35">
      <c r="A8529" s="7" t="s">
        <v>375</v>
      </c>
      <c r="B8529" s="7" t="s">
        <v>26</v>
      </c>
      <c r="C8529" s="7" t="s">
        <v>27</v>
      </c>
      <c r="D8529" s="7" t="s">
        <v>28</v>
      </c>
      <c r="E8529" s="7" t="s">
        <v>29</v>
      </c>
      <c r="F8529" s="7" t="s">
        <v>215</v>
      </c>
      <c r="G8529" s="7">
        <v>101.836</v>
      </c>
      <c r="H8529" s="7"/>
    </row>
    <row r="8530" spans="1:8" x14ac:dyDescent="0.35">
      <c r="A8530" s="7" t="s">
        <v>375</v>
      </c>
      <c r="B8530" s="7" t="s">
        <v>26</v>
      </c>
      <c r="C8530" s="7" t="s">
        <v>27</v>
      </c>
      <c r="D8530" s="7" t="s">
        <v>28</v>
      </c>
      <c r="E8530" s="7" t="s">
        <v>29</v>
      </c>
      <c r="F8530" s="7" t="s">
        <v>216</v>
      </c>
      <c r="G8530" s="7">
        <v>101.9278</v>
      </c>
      <c r="H8530" s="7"/>
    </row>
    <row r="8531" spans="1:8" x14ac:dyDescent="0.35">
      <c r="A8531" s="7" t="s">
        <v>375</v>
      </c>
      <c r="B8531" s="7" t="s">
        <v>26</v>
      </c>
      <c r="C8531" s="7" t="s">
        <v>27</v>
      </c>
      <c r="D8531" s="7" t="s">
        <v>28</v>
      </c>
      <c r="E8531" s="7" t="s">
        <v>29</v>
      </c>
      <c r="F8531" s="7" t="s">
        <v>217</v>
      </c>
      <c r="G8531" s="7">
        <v>101.98860000000001</v>
      </c>
      <c r="H8531" s="7"/>
    </row>
    <row r="8532" spans="1:8" x14ac:dyDescent="0.35">
      <c r="A8532" s="7" t="s">
        <v>375</v>
      </c>
      <c r="B8532" s="7" t="s">
        <v>26</v>
      </c>
      <c r="C8532" s="7" t="s">
        <v>27</v>
      </c>
      <c r="D8532" s="7" t="s">
        <v>28</v>
      </c>
      <c r="E8532" s="7" t="s">
        <v>29</v>
      </c>
      <c r="F8532" s="7" t="s">
        <v>218</v>
      </c>
      <c r="G8532" s="7">
        <v>101.96599999999999</v>
      </c>
      <c r="H8532" s="7"/>
    </row>
    <row r="8533" spans="1:8" x14ac:dyDescent="0.35">
      <c r="A8533" s="7" t="s">
        <v>375</v>
      </c>
      <c r="B8533" s="7" t="s">
        <v>26</v>
      </c>
      <c r="C8533" s="7" t="s">
        <v>27</v>
      </c>
      <c r="D8533" s="7" t="s">
        <v>28</v>
      </c>
      <c r="E8533" s="7" t="s">
        <v>29</v>
      </c>
      <c r="F8533" s="7" t="s">
        <v>219</v>
      </c>
      <c r="G8533" s="7">
        <v>101.889</v>
      </c>
      <c r="H8533" s="7"/>
    </row>
    <row r="8534" spans="1:8" x14ac:dyDescent="0.35">
      <c r="A8534" s="7" t="s">
        <v>375</v>
      </c>
      <c r="B8534" s="7" t="s">
        <v>26</v>
      </c>
      <c r="C8534" s="7" t="s">
        <v>27</v>
      </c>
      <c r="D8534" s="7" t="s">
        <v>28</v>
      </c>
      <c r="E8534" s="7" t="s">
        <v>29</v>
      </c>
      <c r="F8534" s="7" t="s">
        <v>220</v>
      </c>
      <c r="G8534" s="7">
        <v>101.7265</v>
      </c>
      <c r="H8534" s="7"/>
    </row>
    <row r="8535" spans="1:8" x14ac:dyDescent="0.35">
      <c r="A8535" s="7" t="s">
        <v>375</v>
      </c>
      <c r="B8535" s="7" t="s">
        <v>26</v>
      </c>
      <c r="C8535" s="7" t="s">
        <v>27</v>
      </c>
      <c r="D8535" s="7" t="s">
        <v>28</v>
      </c>
      <c r="E8535" s="7" t="s">
        <v>29</v>
      </c>
      <c r="F8535" s="7" t="s">
        <v>221</v>
      </c>
      <c r="G8535" s="7">
        <v>101.5193</v>
      </c>
      <c r="H8535" s="7"/>
    </row>
    <row r="8536" spans="1:8" x14ac:dyDescent="0.35">
      <c r="A8536" s="7" t="s">
        <v>375</v>
      </c>
      <c r="B8536" s="7" t="s">
        <v>26</v>
      </c>
      <c r="C8536" s="7" t="s">
        <v>27</v>
      </c>
      <c r="D8536" s="7" t="s">
        <v>28</v>
      </c>
      <c r="E8536" s="7" t="s">
        <v>29</v>
      </c>
      <c r="F8536" s="7" t="s">
        <v>222</v>
      </c>
      <c r="G8536" s="7">
        <v>101.3245</v>
      </c>
      <c r="H8536" s="7"/>
    </row>
    <row r="8537" spans="1:8" x14ac:dyDescent="0.35">
      <c r="A8537" s="7" t="s">
        <v>375</v>
      </c>
      <c r="B8537" s="7" t="s">
        <v>26</v>
      </c>
      <c r="C8537" s="7" t="s">
        <v>27</v>
      </c>
      <c r="D8537" s="7" t="s">
        <v>28</v>
      </c>
      <c r="E8537" s="7" t="s">
        <v>29</v>
      </c>
      <c r="F8537" s="7" t="s">
        <v>223</v>
      </c>
      <c r="G8537" s="7">
        <v>101.09650000000001</v>
      </c>
      <c r="H8537" s="7"/>
    </row>
    <row r="8538" spans="1:8" x14ac:dyDescent="0.35">
      <c r="A8538" s="7" t="s">
        <v>375</v>
      </c>
      <c r="B8538" s="7" t="s">
        <v>26</v>
      </c>
      <c r="C8538" s="7" t="s">
        <v>27</v>
      </c>
      <c r="D8538" s="7" t="s">
        <v>28</v>
      </c>
      <c r="E8538" s="7" t="s">
        <v>29</v>
      </c>
      <c r="F8538" s="7" t="s">
        <v>224</v>
      </c>
      <c r="G8538" s="7">
        <v>100.9141</v>
      </c>
      <c r="H8538" s="7"/>
    </row>
    <row r="8539" spans="1:8" x14ac:dyDescent="0.35">
      <c r="A8539" s="7" t="s">
        <v>375</v>
      </c>
      <c r="B8539" s="7" t="s">
        <v>26</v>
      </c>
      <c r="C8539" s="7" t="s">
        <v>27</v>
      </c>
      <c r="D8539" s="7" t="s">
        <v>28</v>
      </c>
      <c r="E8539" s="7" t="s">
        <v>29</v>
      </c>
      <c r="F8539" s="7" t="s">
        <v>225</v>
      </c>
      <c r="G8539" s="7">
        <v>100.8275</v>
      </c>
      <c r="H8539" s="7"/>
    </row>
    <row r="8540" spans="1:8" x14ac:dyDescent="0.35">
      <c r="A8540" s="7" t="s">
        <v>375</v>
      </c>
      <c r="B8540" s="7" t="s">
        <v>26</v>
      </c>
      <c r="C8540" s="7" t="s">
        <v>27</v>
      </c>
      <c r="D8540" s="7" t="s">
        <v>28</v>
      </c>
      <c r="E8540" s="7" t="s">
        <v>29</v>
      </c>
      <c r="F8540" s="7" t="s">
        <v>226</v>
      </c>
      <c r="G8540" s="7">
        <v>100.73609999999999</v>
      </c>
      <c r="H8540" s="7"/>
    </row>
    <row r="8541" spans="1:8" x14ac:dyDescent="0.35">
      <c r="A8541" s="7" t="s">
        <v>375</v>
      </c>
      <c r="B8541" s="7" t="s">
        <v>26</v>
      </c>
      <c r="C8541" s="7" t="s">
        <v>27</v>
      </c>
      <c r="D8541" s="7" t="s">
        <v>28</v>
      </c>
      <c r="E8541" s="7" t="s">
        <v>29</v>
      </c>
      <c r="F8541" s="7" t="s">
        <v>227</v>
      </c>
      <c r="G8541" s="7">
        <v>100.5949</v>
      </c>
      <c r="H8541" s="7"/>
    </row>
    <row r="8542" spans="1:8" x14ac:dyDescent="0.35">
      <c r="A8542" s="7" t="s">
        <v>375</v>
      </c>
      <c r="B8542" s="7" t="s">
        <v>26</v>
      </c>
      <c r="C8542" s="7" t="s">
        <v>27</v>
      </c>
      <c r="D8542" s="7" t="s">
        <v>28</v>
      </c>
      <c r="E8542" s="7" t="s">
        <v>29</v>
      </c>
      <c r="F8542" s="7" t="s">
        <v>228</v>
      </c>
      <c r="G8542" s="7">
        <v>100.37520000000001</v>
      </c>
      <c r="H8542" s="7"/>
    </row>
    <row r="8543" spans="1:8" x14ac:dyDescent="0.35">
      <c r="A8543" s="7" t="s">
        <v>375</v>
      </c>
      <c r="B8543" s="7" t="s">
        <v>26</v>
      </c>
      <c r="C8543" s="7" t="s">
        <v>27</v>
      </c>
      <c r="D8543" s="7" t="s">
        <v>28</v>
      </c>
      <c r="E8543" s="7" t="s">
        <v>29</v>
      </c>
      <c r="F8543" s="7" t="s">
        <v>229</v>
      </c>
      <c r="G8543" s="7">
        <v>100.0966</v>
      </c>
      <c r="H8543" s="7"/>
    </row>
    <row r="8544" spans="1:8" x14ac:dyDescent="0.35">
      <c r="A8544" s="7" t="s">
        <v>375</v>
      </c>
      <c r="B8544" s="7" t="s">
        <v>26</v>
      </c>
      <c r="C8544" s="7" t="s">
        <v>27</v>
      </c>
      <c r="D8544" s="7" t="s">
        <v>28</v>
      </c>
      <c r="E8544" s="7" t="s">
        <v>29</v>
      </c>
      <c r="F8544" s="7" t="s">
        <v>230</v>
      </c>
      <c r="G8544" s="7">
        <v>99.894990000000007</v>
      </c>
      <c r="H8544" s="7"/>
    </row>
    <row r="8545" spans="1:8" x14ac:dyDescent="0.35">
      <c r="A8545" s="7" t="s">
        <v>375</v>
      </c>
      <c r="B8545" s="7" t="s">
        <v>26</v>
      </c>
      <c r="C8545" s="7" t="s">
        <v>27</v>
      </c>
      <c r="D8545" s="7" t="s">
        <v>28</v>
      </c>
      <c r="E8545" s="7" t="s">
        <v>29</v>
      </c>
      <c r="F8545" s="7" t="s">
        <v>231</v>
      </c>
      <c r="G8545" s="7">
        <v>99.767080000000007</v>
      </c>
      <c r="H8545" s="7"/>
    </row>
    <row r="8546" spans="1:8" x14ac:dyDescent="0.35">
      <c r="A8546" s="7" t="s">
        <v>375</v>
      </c>
      <c r="B8546" s="7" t="s">
        <v>26</v>
      </c>
      <c r="C8546" s="7" t="s">
        <v>27</v>
      </c>
      <c r="D8546" s="7" t="s">
        <v>28</v>
      </c>
      <c r="E8546" s="7" t="s">
        <v>29</v>
      </c>
      <c r="F8546" s="7" t="s">
        <v>232</v>
      </c>
      <c r="G8546" s="7">
        <v>99.576449999999994</v>
      </c>
      <c r="H8546" s="7"/>
    </row>
    <row r="8547" spans="1:8" x14ac:dyDescent="0.35">
      <c r="A8547" s="7" t="s">
        <v>375</v>
      </c>
      <c r="B8547" s="7" t="s">
        <v>26</v>
      </c>
      <c r="C8547" s="7" t="s">
        <v>27</v>
      </c>
      <c r="D8547" s="7" t="s">
        <v>28</v>
      </c>
      <c r="E8547" s="7" t="s">
        <v>29</v>
      </c>
      <c r="F8547" s="7" t="s">
        <v>233</v>
      </c>
      <c r="G8547" s="7">
        <v>99.137799999999999</v>
      </c>
      <c r="H8547" s="7"/>
    </row>
    <row r="8548" spans="1:8" x14ac:dyDescent="0.35">
      <c r="A8548" s="7" t="s">
        <v>375</v>
      </c>
      <c r="B8548" s="7" t="s">
        <v>26</v>
      </c>
      <c r="C8548" s="7" t="s">
        <v>27</v>
      </c>
      <c r="D8548" s="7" t="s">
        <v>28</v>
      </c>
      <c r="E8548" s="7" t="s">
        <v>29</v>
      </c>
      <c r="F8548" s="7" t="s">
        <v>234</v>
      </c>
      <c r="G8548" s="7">
        <v>98.668859999999995</v>
      </c>
      <c r="H8548" s="7"/>
    </row>
    <row r="8549" spans="1:8" x14ac:dyDescent="0.35">
      <c r="A8549" s="7" t="s">
        <v>375</v>
      </c>
      <c r="B8549" s="7" t="s">
        <v>26</v>
      </c>
      <c r="C8549" s="7" t="s">
        <v>27</v>
      </c>
      <c r="D8549" s="7" t="s">
        <v>28</v>
      </c>
      <c r="E8549" s="7" t="s">
        <v>29</v>
      </c>
      <c r="F8549" s="7" t="s">
        <v>235</v>
      </c>
      <c r="G8549" s="7">
        <v>98.358189999999993</v>
      </c>
      <c r="H8549" s="7"/>
    </row>
    <row r="8550" spans="1:8" x14ac:dyDescent="0.35">
      <c r="A8550" s="7" t="s">
        <v>375</v>
      </c>
      <c r="B8550" s="7" t="s">
        <v>26</v>
      </c>
      <c r="C8550" s="7" t="s">
        <v>27</v>
      </c>
      <c r="D8550" s="7" t="s">
        <v>28</v>
      </c>
      <c r="E8550" s="7" t="s">
        <v>29</v>
      </c>
      <c r="F8550" s="7" t="s">
        <v>236</v>
      </c>
      <c r="G8550" s="7">
        <v>98.159210000000002</v>
      </c>
      <c r="H8550" s="7"/>
    </row>
    <row r="8551" spans="1:8" x14ac:dyDescent="0.35">
      <c r="A8551" s="7" t="s">
        <v>375</v>
      </c>
      <c r="B8551" s="7" t="s">
        <v>26</v>
      </c>
      <c r="C8551" s="7" t="s">
        <v>27</v>
      </c>
      <c r="D8551" s="7" t="s">
        <v>28</v>
      </c>
      <c r="E8551" s="7" t="s">
        <v>29</v>
      </c>
      <c r="F8551" s="7" t="s">
        <v>237</v>
      </c>
      <c r="G8551" s="7">
        <v>98.057289999999995</v>
      </c>
      <c r="H8551" s="7"/>
    </row>
    <row r="8552" spans="1:8" x14ac:dyDescent="0.35">
      <c r="A8552" s="7" t="s">
        <v>375</v>
      </c>
      <c r="B8552" s="7" t="s">
        <v>26</v>
      </c>
      <c r="C8552" s="7" t="s">
        <v>27</v>
      </c>
      <c r="D8552" s="7" t="s">
        <v>28</v>
      </c>
      <c r="E8552" s="7" t="s">
        <v>29</v>
      </c>
      <c r="F8552" s="7" t="s">
        <v>238</v>
      </c>
      <c r="G8552" s="7">
        <v>97.953130000000002</v>
      </c>
      <c r="H8552" s="7"/>
    </row>
    <row r="8553" spans="1:8" x14ac:dyDescent="0.35">
      <c r="A8553" s="7" t="s">
        <v>375</v>
      </c>
      <c r="B8553" s="7" t="s">
        <v>26</v>
      </c>
      <c r="C8553" s="7" t="s">
        <v>27</v>
      </c>
      <c r="D8553" s="7" t="s">
        <v>28</v>
      </c>
      <c r="E8553" s="7" t="s">
        <v>29</v>
      </c>
      <c r="F8553" s="7" t="s">
        <v>239</v>
      </c>
      <c r="G8553" s="7">
        <v>97.971429999999998</v>
      </c>
      <c r="H8553" s="7"/>
    </row>
    <row r="8554" spans="1:8" x14ac:dyDescent="0.35">
      <c r="A8554" s="7" t="s">
        <v>375</v>
      </c>
      <c r="B8554" s="7" t="s">
        <v>26</v>
      </c>
      <c r="C8554" s="7" t="s">
        <v>27</v>
      </c>
      <c r="D8554" s="7" t="s">
        <v>28</v>
      </c>
      <c r="E8554" s="7" t="s">
        <v>29</v>
      </c>
      <c r="F8554" s="7" t="s">
        <v>240</v>
      </c>
      <c r="G8554" s="7">
        <v>98.216769999999997</v>
      </c>
      <c r="H8554" s="7"/>
    </row>
    <row r="8555" spans="1:8" x14ac:dyDescent="0.35">
      <c r="A8555" s="7" t="s">
        <v>375</v>
      </c>
      <c r="B8555" s="7" t="s">
        <v>26</v>
      </c>
      <c r="C8555" s="7" t="s">
        <v>27</v>
      </c>
      <c r="D8555" s="7" t="s">
        <v>28</v>
      </c>
      <c r="E8555" s="7" t="s">
        <v>29</v>
      </c>
      <c r="F8555" s="7" t="s">
        <v>241</v>
      </c>
      <c r="G8555" s="7">
        <v>98.613749999999996</v>
      </c>
      <c r="H8555" s="7"/>
    </row>
    <row r="8556" spans="1:8" x14ac:dyDescent="0.35">
      <c r="A8556" s="7" t="s">
        <v>375</v>
      </c>
      <c r="B8556" s="7" t="s">
        <v>26</v>
      </c>
      <c r="C8556" s="7" t="s">
        <v>27</v>
      </c>
      <c r="D8556" s="7" t="s">
        <v>28</v>
      </c>
      <c r="E8556" s="7" t="s">
        <v>29</v>
      </c>
      <c r="F8556" s="7" t="s">
        <v>242</v>
      </c>
      <c r="G8556" s="7">
        <v>99.010040000000004</v>
      </c>
      <c r="H8556" s="7"/>
    </row>
    <row r="8557" spans="1:8" x14ac:dyDescent="0.35">
      <c r="A8557" s="7" t="s">
        <v>375</v>
      </c>
      <c r="B8557" s="7" t="s">
        <v>26</v>
      </c>
      <c r="C8557" s="7" t="s">
        <v>27</v>
      </c>
      <c r="D8557" s="7" t="s">
        <v>28</v>
      </c>
      <c r="E8557" s="7" t="s">
        <v>29</v>
      </c>
      <c r="F8557" s="7" t="s">
        <v>243</v>
      </c>
      <c r="G8557" s="7">
        <v>99.399829999999994</v>
      </c>
      <c r="H8557" s="7"/>
    </row>
    <row r="8558" spans="1:8" x14ac:dyDescent="0.35">
      <c r="A8558" s="7" t="s">
        <v>375</v>
      </c>
      <c r="B8558" s="7" t="s">
        <v>26</v>
      </c>
      <c r="C8558" s="7" t="s">
        <v>27</v>
      </c>
      <c r="D8558" s="7" t="s">
        <v>28</v>
      </c>
      <c r="E8558" s="7" t="s">
        <v>29</v>
      </c>
      <c r="F8558" s="7" t="s">
        <v>244</v>
      </c>
      <c r="G8558" s="7">
        <v>99.690799999999996</v>
      </c>
      <c r="H8558" s="7"/>
    </row>
    <row r="8559" spans="1:8" x14ac:dyDescent="0.35">
      <c r="A8559" s="7" t="s">
        <v>375</v>
      </c>
      <c r="B8559" s="7" t="s">
        <v>26</v>
      </c>
      <c r="C8559" s="7" t="s">
        <v>27</v>
      </c>
      <c r="D8559" s="7" t="s">
        <v>28</v>
      </c>
      <c r="E8559" s="7" t="s">
        <v>29</v>
      </c>
      <c r="F8559" s="7" t="s">
        <v>245</v>
      </c>
      <c r="G8559" s="7">
        <v>99.880510000000001</v>
      </c>
      <c r="H8559" s="7"/>
    </row>
    <row r="8560" spans="1:8" x14ac:dyDescent="0.35">
      <c r="A8560" s="7" t="s">
        <v>375</v>
      </c>
      <c r="B8560" s="7" t="s">
        <v>26</v>
      </c>
      <c r="C8560" s="7" t="s">
        <v>27</v>
      </c>
      <c r="D8560" s="7" t="s">
        <v>28</v>
      </c>
      <c r="E8560" s="7" t="s">
        <v>29</v>
      </c>
      <c r="F8560" s="7" t="s">
        <v>246</v>
      </c>
      <c r="G8560" s="7">
        <v>100.0047</v>
      </c>
      <c r="H8560" s="7"/>
    </row>
    <row r="8561" spans="1:8" x14ac:dyDescent="0.35">
      <c r="A8561" s="7" t="s">
        <v>375</v>
      </c>
      <c r="B8561" s="7" t="s">
        <v>26</v>
      </c>
      <c r="C8561" s="7" t="s">
        <v>27</v>
      </c>
      <c r="D8561" s="7" t="s">
        <v>28</v>
      </c>
      <c r="E8561" s="7" t="s">
        <v>29</v>
      </c>
      <c r="F8561" s="7" t="s">
        <v>247</v>
      </c>
      <c r="G8561" s="7">
        <v>100.1003</v>
      </c>
      <c r="H8561" s="7"/>
    </row>
    <row r="8562" spans="1:8" x14ac:dyDescent="0.35">
      <c r="A8562" s="7" t="s">
        <v>375</v>
      </c>
      <c r="B8562" s="7" t="s">
        <v>26</v>
      </c>
      <c r="C8562" s="7" t="s">
        <v>27</v>
      </c>
      <c r="D8562" s="7" t="s">
        <v>28</v>
      </c>
      <c r="E8562" s="7" t="s">
        <v>29</v>
      </c>
      <c r="F8562" s="7" t="s">
        <v>248</v>
      </c>
      <c r="G8562" s="7">
        <v>100.17870000000001</v>
      </c>
      <c r="H8562" s="7"/>
    </row>
    <row r="8563" spans="1:8" x14ac:dyDescent="0.35">
      <c r="A8563" s="7" t="s">
        <v>375</v>
      </c>
      <c r="B8563" s="7" t="s">
        <v>26</v>
      </c>
      <c r="C8563" s="7" t="s">
        <v>27</v>
      </c>
      <c r="D8563" s="7" t="s">
        <v>28</v>
      </c>
      <c r="E8563" s="7" t="s">
        <v>29</v>
      </c>
      <c r="F8563" s="7" t="s">
        <v>249</v>
      </c>
      <c r="G8563" s="7">
        <v>100.26130000000001</v>
      </c>
      <c r="H8563" s="7"/>
    </row>
    <row r="8564" spans="1:8" x14ac:dyDescent="0.35">
      <c r="A8564" s="7" t="s">
        <v>375</v>
      </c>
      <c r="B8564" s="7" t="s">
        <v>26</v>
      </c>
      <c r="C8564" s="7" t="s">
        <v>27</v>
      </c>
      <c r="D8564" s="7" t="s">
        <v>28</v>
      </c>
      <c r="E8564" s="7" t="s">
        <v>29</v>
      </c>
      <c r="F8564" s="7" t="s">
        <v>250</v>
      </c>
      <c r="G8564" s="7">
        <v>100.33369999999999</v>
      </c>
      <c r="H8564" s="7"/>
    </row>
    <row r="8565" spans="1:8" x14ac:dyDescent="0.35">
      <c r="A8565" s="7" t="s">
        <v>375</v>
      </c>
      <c r="B8565" s="7" t="s">
        <v>26</v>
      </c>
      <c r="C8565" s="7" t="s">
        <v>27</v>
      </c>
      <c r="D8565" s="7" t="s">
        <v>28</v>
      </c>
      <c r="E8565" s="7" t="s">
        <v>29</v>
      </c>
      <c r="F8565" s="7" t="s">
        <v>251</v>
      </c>
      <c r="G8565" s="7">
        <v>100.4804</v>
      </c>
      <c r="H8565" s="7"/>
    </row>
    <row r="8566" spans="1:8" x14ac:dyDescent="0.35">
      <c r="A8566" s="7" t="s">
        <v>375</v>
      </c>
      <c r="B8566" s="7" t="s">
        <v>26</v>
      </c>
      <c r="C8566" s="7" t="s">
        <v>27</v>
      </c>
      <c r="D8566" s="7" t="s">
        <v>28</v>
      </c>
      <c r="E8566" s="7" t="s">
        <v>29</v>
      </c>
      <c r="F8566" s="7" t="s">
        <v>252</v>
      </c>
      <c r="G8566" s="7">
        <v>100.54049999999999</v>
      </c>
      <c r="H8566" s="7"/>
    </row>
    <row r="8567" spans="1:8" x14ac:dyDescent="0.35">
      <c r="A8567" s="7" t="s">
        <v>375</v>
      </c>
      <c r="B8567" s="7" t="s">
        <v>26</v>
      </c>
      <c r="C8567" s="7" t="s">
        <v>27</v>
      </c>
      <c r="D8567" s="7" t="s">
        <v>28</v>
      </c>
      <c r="E8567" s="7" t="s">
        <v>29</v>
      </c>
      <c r="F8567" s="7" t="s">
        <v>253</v>
      </c>
      <c r="G8567" s="7">
        <v>100.7123</v>
      </c>
      <c r="H8567" s="7"/>
    </row>
    <row r="8568" spans="1:8" x14ac:dyDescent="0.35">
      <c r="A8568" s="7" t="s">
        <v>375</v>
      </c>
      <c r="B8568" s="7" t="s">
        <v>26</v>
      </c>
      <c r="C8568" s="7" t="s">
        <v>27</v>
      </c>
      <c r="D8568" s="7" t="s">
        <v>28</v>
      </c>
      <c r="E8568" s="7" t="s">
        <v>29</v>
      </c>
      <c r="F8568" s="7" t="s">
        <v>254</v>
      </c>
      <c r="G8568" s="7">
        <v>100.9705</v>
      </c>
      <c r="H8568" s="7"/>
    </row>
    <row r="8569" spans="1:8" x14ac:dyDescent="0.35">
      <c r="A8569" s="7" t="s">
        <v>375</v>
      </c>
      <c r="B8569" s="7" t="s">
        <v>26</v>
      </c>
      <c r="C8569" s="7" t="s">
        <v>27</v>
      </c>
      <c r="D8569" s="7" t="s">
        <v>28</v>
      </c>
      <c r="E8569" s="7" t="s">
        <v>29</v>
      </c>
      <c r="F8569" s="7" t="s">
        <v>255</v>
      </c>
      <c r="G8569" s="7">
        <v>101.1884</v>
      </c>
      <c r="H8569" s="7"/>
    </row>
    <row r="8570" spans="1:8" x14ac:dyDescent="0.35">
      <c r="A8570" s="7" t="s">
        <v>375</v>
      </c>
      <c r="B8570" s="7" t="s">
        <v>26</v>
      </c>
      <c r="C8570" s="7" t="s">
        <v>27</v>
      </c>
      <c r="D8570" s="7" t="s">
        <v>28</v>
      </c>
      <c r="E8570" s="7" t="s">
        <v>29</v>
      </c>
      <c r="F8570" s="7" t="s">
        <v>256</v>
      </c>
      <c r="G8570" s="7">
        <v>101.315</v>
      </c>
      <c r="H8570" s="7"/>
    </row>
    <row r="8571" spans="1:8" x14ac:dyDescent="0.35">
      <c r="A8571" s="7" t="s">
        <v>375</v>
      </c>
      <c r="B8571" s="7" t="s">
        <v>26</v>
      </c>
      <c r="C8571" s="7" t="s">
        <v>27</v>
      </c>
      <c r="D8571" s="7" t="s">
        <v>28</v>
      </c>
      <c r="E8571" s="7" t="s">
        <v>29</v>
      </c>
      <c r="F8571" s="7" t="s">
        <v>257</v>
      </c>
      <c r="G8571" s="7">
        <v>101.3642</v>
      </c>
      <c r="H8571" s="7"/>
    </row>
    <row r="8572" spans="1:8" x14ac:dyDescent="0.35">
      <c r="A8572" s="7" t="s">
        <v>375</v>
      </c>
      <c r="B8572" s="7" t="s">
        <v>26</v>
      </c>
      <c r="C8572" s="7" t="s">
        <v>27</v>
      </c>
      <c r="D8572" s="7" t="s">
        <v>28</v>
      </c>
      <c r="E8572" s="7" t="s">
        <v>29</v>
      </c>
      <c r="F8572" s="7" t="s">
        <v>258</v>
      </c>
      <c r="G8572" s="7">
        <v>101.3094</v>
      </c>
      <c r="H8572" s="7"/>
    </row>
    <row r="8573" spans="1:8" x14ac:dyDescent="0.35">
      <c r="A8573" s="7" t="s">
        <v>375</v>
      </c>
      <c r="B8573" s="7" t="s">
        <v>26</v>
      </c>
      <c r="C8573" s="7" t="s">
        <v>27</v>
      </c>
      <c r="D8573" s="7" t="s">
        <v>28</v>
      </c>
      <c r="E8573" s="7" t="s">
        <v>29</v>
      </c>
      <c r="F8573" s="7" t="s">
        <v>259</v>
      </c>
      <c r="G8573" s="7">
        <v>101.23099999999999</v>
      </c>
      <c r="H8573" s="7"/>
    </row>
    <row r="8574" spans="1:8" x14ac:dyDescent="0.35">
      <c r="A8574" s="7" t="s">
        <v>375</v>
      </c>
      <c r="B8574" s="7" t="s">
        <v>26</v>
      </c>
      <c r="C8574" s="7" t="s">
        <v>27</v>
      </c>
      <c r="D8574" s="7" t="s">
        <v>28</v>
      </c>
      <c r="E8574" s="7" t="s">
        <v>29</v>
      </c>
      <c r="F8574" s="7" t="s">
        <v>260</v>
      </c>
      <c r="G8574" s="7">
        <v>101.2727</v>
      </c>
      <c r="H8574" s="7"/>
    </row>
    <row r="8575" spans="1:8" x14ac:dyDescent="0.35">
      <c r="A8575" s="7" t="s">
        <v>375</v>
      </c>
      <c r="B8575" s="7" t="s">
        <v>26</v>
      </c>
      <c r="C8575" s="7" t="s">
        <v>27</v>
      </c>
      <c r="D8575" s="7" t="s">
        <v>28</v>
      </c>
      <c r="E8575" s="7" t="s">
        <v>29</v>
      </c>
      <c r="F8575" s="7" t="s">
        <v>261</v>
      </c>
      <c r="G8575" s="7">
        <v>101.3171</v>
      </c>
      <c r="H8575" s="7"/>
    </row>
    <row r="8576" spans="1:8" x14ac:dyDescent="0.35">
      <c r="A8576" s="7" t="s">
        <v>375</v>
      </c>
      <c r="B8576" s="7" t="s">
        <v>26</v>
      </c>
      <c r="C8576" s="7" t="s">
        <v>27</v>
      </c>
      <c r="D8576" s="7" t="s">
        <v>28</v>
      </c>
      <c r="E8576" s="7" t="s">
        <v>29</v>
      </c>
      <c r="F8576" s="7" t="s">
        <v>262</v>
      </c>
      <c r="G8576" s="7">
        <v>101.3034</v>
      </c>
      <c r="H8576" s="7"/>
    </row>
    <row r="8577" spans="1:8" x14ac:dyDescent="0.35">
      <c r="A8577" s="7" t="s">
        <v>375</v>
      </c>
      <c r="B8577" s="7" t="s">
        <v>26</v>
      </c>
      <c r="C8577" s="7" t="s">
        <v>27</v>
      </c>
      <c r="D8577" s="7" t="s">
        <v>28</v>
      </c>
      <c r="E8577" s="7" t="s">
        <v>29</v>
      </c>
      <c r="F8577" s="7" t="s">
        <v>263</v>
      </c>
      <c r="G8577" s="7">
        <v>101.21599999999999</v>
      </c>
      <c r="H8577" s="7"/>
    </row>
    <row r="8578" spans="1:8" x14ac:dyDescent="0.35">
      <c r="A8578" s="7" t="s">
        <v>375</v>
      </c>
      <c r="B8578" s="7" t="s">
        <v>26</v>
      </c>
      <c r="C8578" s="7" t="s">
        <v>27</v>
      </c>
      <c r="D8578" s="7" t="s">
        <v>28</v>
      </c>
      <c r="E8578" s="7" t="s">
        <v>29</v>
      </c>
      <c r="F8578" s="7" t="s">
        <v>264</v>
      </c>
      <c r="G8578" s="7">
        <v>101.11920000000001</v>
      </c>
      <c r="H8578" s="7"/>
    </row>
    <row r="8579" spans="1:8" x14ac:dyDescent="0.35">
      <c r="A8579" s="7" t="s">
        <v>375</v>
      </c>
      <c r="B8579" s="7" t="s">
        <v>26</v>
      </c>
      <c r="C8579" s="7" t="s">
        <v>27</v>
      </c>
      <c r="D8579" s="7" t="s">
        <v>28</v>
      </c>
      <c r="E8579" s="7" t="s">
        <v>29</v>
      </c>
      <c r="F8579" s="7" t="s">
        <v>265</v>
      </c>
      <c r="G8579" s="7">
        <v>101.00579999999999</v>
      </c>
      <c r="H8579" s="7"/>
    </row>
    <row r="8580" spans="1:8" x14ac:dyDescent="0.35">
      <c r="A8580" s="7" t="s">
        <v>375</v>
      </c>
      <c r="B8580" s="7" t="s">
        <v>26</v>
      </c>
      <c r="C8580" s="7" t="s">
        <v>27</v>
      </c>
      <c r="D8580" s="7" t="s">
        <v>28</v>
      </c>
      <c r="E8580" s="7" t="s">
        <v>29</v>
      </c>
      <c r="F8580" s="7" t="s">
        <v>266</v>
      </c>
      <c r="G8580" s="7">
        <v>100.73009999999999</v>
      </c>
      <c r="H8580" s="7"/>
    </row>
    <row r="8581" spans="1:8" x14ac:dyDescent="0.35">
      <c r="A8581" s="7" t="s">
        <v>375</v>
      </c>
      <c r="B8581" s="7" t="s">
        <v>26</v>
      </c>
      <c r="C8581" s="7" t="s">
        <v>27</v>
      </c>
      <c r="D8581" s="7" t="s">
        <v>28</v>
      </c>
      <c r="E8581" s="7" t="s">
        <v>29</v>
      </c>
      <c r="F8581" s="7" t="s">
        <v>267</v>
      </c>
      <c r="G8581" s="7">
        <v>100.27419999999999</v>
      </c>
      <c r="H8581" s="7"/>
    </row>
    <row r="8582" spans="1:8" x14ac:dyDescent="0.35">
      <c r="A8582" s="7" t="s">
        <v>375</v>
      </c>
      <c r="B8582" s="7" t="s">
        <v>26</v>
      </c>
      <c r="C8582" s="7" t="s">
        <v>27</v>
      </c>
      <c r="D8582" s="7" t="s">
        <v>28</v>
      </c>
      <c r="E8582" s="7" t="s">
        <v>29</v>
      </c>
      <c r="F8582" s="7" t="s">
        <v>268</v>
      </c>
      <c r="G8582" s="7">
        <v>99.729420000000005</v>
      </c>
      <c r="H8582" s="7"/>
    </row>
    <row r="8583" spans="1:8" x14ac:dyDescent="0.35">
      <c r="A8583" s="7" t="s">
        <v>375</v>
      </c>
      <c r="B8583" s="7" t="s">
        <v>26</v>
      </c>
      <c r="C8583" s="7" t="s">
        <v>27</v>
      </c>
      <c r="D8583" s="7" t="s">
        <v>28</v>
      </c>
      <c r="E8583" s="7" t="s">
        <v>29</v>
      </c>
      <c r="F8583" s="7" t="s">
        <v>269</v>
      </c>
      <c r="G8583" s="7">
        <v>99.306079999999994</v>
      </c>
      <c r="H8583" s="7"/>
    </row>
    <row r="8584" spans="1:8" x14ac:dyDescent="0.35">
      <c r="A8584" s="7" t="s">
        <v>375</v>
      </c>
      <c r="B8584" s="7" t="s">
        <v>26</v>
      </c>
      <c r="C8584" s="7" t="s">
        <v>27</v>
      </c>
      <c r="D8584" s="7" t="s">
        <v>28</v>
      </c>
      <c r="E8584" s="7" t="s">
        <v>29</v>
      </c>
      <c r="F8584" s="7" t="s">
        <v>270</v>
      </c>
      <c r="G8584" s="7">
        <v>99.105289999999997</v>
      </c>
      <c r="H8584" s="7"/>
    </row>
    <row r="8585" spans="1:8" x14ac:dyDescent="0.35">
      <c r="A8585" s="7" t="s">
        <v>375</v>
      </c>
      <c r="B8585" s="7" t="s">
        <v>26</v>
      </c>
      <c r="C8585" s="7" t="s">
        <v>27</v>
      </c>
      <c r="D8585" s="7" t="s">
        <v>28</v>
      </c>
      <c r="E8585" s="7" t="s">
        <v>29</v>
      </c>
      <c r="F8585" s="7" t="s">
        <v>271</v>
      </c>
      <c r="G8585" s="7">
        <v>99.052499999999995</v>
      </c>
      <c r="H8585" s="7"/>
    </row>
    <row r="8586" spans="1:8" x14ac:dyDescent="0.35">
      <c r="A8586" s="7" t="s">
        <v>375</v>
      </c>
      <c r="B8586" s="7" t="s">
        <v>26</v>
      </c>
      <c r="C8586" s="7" t="s">
        <v>27</v>
      </c>
      <c r="D8586" s="7" t="s">
        <v>28</v>
      </c>
      <c r="E8586" s="7" t="s">
        <v>29</v>
      </c>
      <c r="F8586" s="7" t="s">
        <v>272</v>
      </c>
      <c r="G8586" s="7">
        <v>99.163589999999999</v>
      </c>
      <c r="H8586" s="7"/>
    </row>
    <row r="8587" spans="1:8" x14ac:dyDescent="0.35">
      <c r="A8587" s="7" t="s">
        <v>375</v>
      </c>
      <c r="B8587" s="7" t="s">
        <v>26</v>
      </c>
      <c r="C8587" s="7" t="s">
        <v>27</v>
      </c>
      <c r="D8587" s="7" t="s">
        <v>28</v>
      </c>
      <c r="E8587" s="7" t="s">
        <v>29</v>
      </c>
      <c r="F8587" s="7" t="s">
        <v>273</v>
      </c>
      <c r="G8587" s="7">
        <v>99.303749999999994</v>
      </c>
      <c r="H8587" s="7"/>
    </row>
    <row r="8588" spans="1:8" x14ac:dyDescent="0.35">
      <c r="A8588" s="7" t="s">
        <v>375</v>
      </c>
      <c r="B8588" s="7" t="s">
        <v>26</v>
      </c>
      <c r="C8588" s="7" t="s">
        <v>27</v>
      </c>
      <c r="D8588" s="7" t="s">
        <v>28</v>
      </c>
      <c r="E8588" s="7" t="s">
        <v>29</v>
      </c>
      <c r="F8588" s="7" t="s">
        <v>274</v>
      </c>
      <c r="G8588" s="7">
        <v>99.511780000000002</v>
      </c>
      <c r="H8588" s="7"/>
    </row>
    <row r="8589" spans="1:8" x14ac:dyDescent="0.35">
      <c r="A8589" s="7" t="s">
        <v>375</v>
      </c>
      <c r="B8589" s="7" t="s">
        <v>26</v>
      </c>
      <c r="C8589" s="7" t="s">
        <v>27</v>
      </c>
      <c r="D8589" s="7" t="s">
        <v>28</v>
      </c>
      <c r="E8589" s="7" t="s">
        <v>29</v>
      </c>
      <c r="F8589" s="7" t="s">
        <v>275</v>
      </c>
      <c r="G8589" s="7">
        <v>99.729349999999997</v>
      </c>
      <c r="H8589" s="7"/>
    </row>
    <row r="8590" spans="1:8" x14ac:dyDescent="0.35">
      <c r="A8590" s="7" t="s">
        <v>375</v>
      </c>
      <c r="B8590" s="7" t="s">
        <v>26</v>
      </c>
      <c r="C8590" s="7" t="s">
        <v>27</v>
      </c>
      <c r="D8590" s="7" t="s">
        <v>28</v>
      </c>
      <c r="E8590" s="7" t="s">
        <v>29</v>
      </c>
      <c r="F8590" s="7" t="s">
        <v>276</v>
      </c>
      <c r="G8590" s="7">
        <v>99.810649999999995</v>
      </c>
      <c r="H8590" s="7"/>
    </row>
    <row r="8591" spans="1:8" x14ac:dyDescent="0.35">
      <c r="A8591" s="7" t="s">
        <v>375</v>
      </c>
      <c r="B8591" s="7" t="s">
        <v>26</v>
      </c>
      <c r="C8591" s="7" t="s">
        <v>27</v>
      </c>
      <c r="D8591" s="7" t="s">
        <v>28</v>
      </c>
      <c r="E8591" s="7" t="s">
        <v>29</v>
      </c>
      <c r="F8591" s="7" t="s">
        <v>277</v>
      </c>
      <c r="G8591" s="7">
        <v>99.685789999999997</v>
      </c>
      <c r="H8591" s="7"/>
    </row>
    <row r="8592" spans="1:8" x14ac:dyDescent="0.35">
      <c r="A8592" s="7" t="s">
        <v>375</v>
      </c>
      <c r="B8592" s="7" t="s">
        <v>26</v>
      </c>
      <c r="C8592" s="7" t="s">
        <v>27</v>
      </c>
      <c r="D8592" s="7" t="s">
        <v>28</v>
      </c>
      <c r="E8592" s="7" t="s">
        <v>29</v>
      </c>
      <c r="F8592" s="7" t="s">
        <v>278</v>
      </c>
      <c r="G8592" s="7">
        <v>99.464650000000006</v>
      </c>
      <c r="H8592" s="7"/>
    </row>
    <row r="8593" spans="1:8" x14ac:dyDescent="0.35">
      <c r="A8593" s="7" t="s">
        <v>375</v>
      </c>
      <c r="B8593" s="7" t="s">
        <v>26</v>
      </c>
      <c r="C8593" s="7" t="s">
        <v>27</v>
      </c>
      <c r="D8593" s="7" t="s">
        <v>28</v>
      </c>
      <c r="E8593" s="7" t="s">
        <v>29</v>
      </c>
      <c r="F8593" s="7" t="s">
        <v>279</v>
      </c>
      <c r="G8593" s="7">
        <v>99.191509999999994</v>
      </c>
      <c r="H8593" s="7"/>
    </row>
    <row r="8594" spans="1:8" x14ac:dyDescent="0.35">
      <c r="A8594" s="7" t="s">
        <v>375</v>
      </c>
      <c r="B8594" s="7" t="s">
        <v>26</v>
      </c>
      <c r="C8594" s="7" t="s">
        <v>27</v>
      </c>
      <c r="D8594" s="7" t="s">
        <v>28</v>
      </c>
      <c r="E8594" s="7" t="s">
        <v>29</v>
      </c>
      <c r="F8594" s="7" t="s">
        <v>280</v>
      </c>
      <c r="G8594" s="7">
        <v>99.022760000000005</v>
      </c>
      <c r="H8594" s="7"/>
    </row>
    <row r="8595" spans="1:8" x14ac:dyDescent="0.35">
      <c r="A8595" s="7" t="s">
        <v>375</v>
      </c>
      <c r="B8595" s="7" t="s">
        <v>26</v>
      </c>
      <c r="C8595" s="7" t="s">
        <v>27</v>
      </c>
      <c r="D8595" s="7" t="s">
        <v>28</v>
      </c>
      <c r="E8595" s="7" t="s">
        <v>29</v>
      </c>
      <c r="F8595" s="7" t="s">
        <v>281</v>
      </c>
      <c r="G8595" s="7">
        <v>99.042749999999998</v>
      </c>
      <c r="H8595" s="7"/>
    </row>
    <row r="8596" spans="1:8" x14ac:dyDescent="0.35">
      <c r="A8596" s="7" t="s">
        <v>375</v>
      </c>
      <c r="B8596" s="7" t="s">
        <v>26</v>
      </c>
      <c r="C8596" s="7" t="s">
        <v>27</v>
      </c>
      <c r="D8596" s="7" t="s">
        <v>28</v>
      </c>
      <c r="E8596" s="7" t="s">
        <v>29</v>
      </c>
      <c r="F8596" s="7" t="s">
        <v>282</v>
      </c>
      <c r="G8596" s="7">
        <v>99.127780000000001</v>
      </c>
      <c r="H8596" s="7"/>
    </row>
    <row r="8597" spans="1:8" x14ac:dyDescent="0.35">
      <c r="A8597" s="7" t="s">
        <v>375</v>
      </c>
      <c r="B8597" s="7" t="s">
        <v>26</v>
      </c>
      <c r="C8597" s="7" t="s">
        <v>27</v>
      </c>
      <c r="D8597" s="7" t="s">
        <v>28</v>
      </c>
      <c r="E8597" s="7" t="s">
        <v>29</v>
      </c>
      <c r="F8597" s="7" t="s">
        <v>283</v>
      </c>
      <c r="G8597" s="7">
        <v>99.285390000000007</v>
      </c>
      <c r="H8597" s="7"/>
    </row>
    <row r="8598" spans="1:8" x14ac:dyDescent="0.35">
      <c r="A8598" s="7" t="s">
        <v>375</v>
      </c>
      <c r="B8598" s="7" t="s">
        <v>26</v>
      </c>
      <c r="C8598" s="7" t="s">
        <v>27</v>
      </c>
      <c r="D8598" s="7" t="s">
        <v>28</v>
      </c>
      <c r="E8598" s="7" t="s">
        <v>29</v>
      </c>
      <c r="F8598" s="7" t="s">
        <v>284</v>
      </c>
      <c r="G8598" s="7">
        <v>99.536550000000005</v>
      </c>
      <c r="H8598" s="7"/>
    </row>
    <row r="8599" spans="1:8" x14ac:dyDescent="0.35">
      <c r="A8599" s="7" t="s">
        <v>375</v>
      </c>
      <c r="B8599" s="7" t="s">
        <v>26</v>
      </c>
      <c r="C8599" s="7" t="s">
        <v>27</v>
      </c>
      <c r="D8599" s="7" t="s">
        <v>28</v>
      </c>
      <c r="E8599" s="7" t="s">
        <v>29</v>
      </c>
      <c r="F8599" s="7" t="s">
        <v>285</v>
      </c>
      <c r="G8599" s="7">
        <v>99.769099999999995</v>
      </c>
      <c r="H8599" s="7"/>
    </row>
    <row r="8600" spans="1:8" x14ac:dyDescent="0.35">
      <c r="A8600" s="7" t="s">
        <v>375</v>
      </c>
      <c r="B8600" s="7" t="s">
        <v>26</v>
      </c>
      <c r="C8600" s="7" t="s">
        <v>27</v>
      </c>
      <c r="D8600" s="7" t="s">
        <v>28</v>
      </c>
      <c r="E8600" s="7" t="s">
        <v>29</v>
      </c>
      <c r="F8600" s="7" t="s">
        <v>286</v>
      </c>
      <c r="G8600" s="7">
        <v>99.845640000000003</v>
      </c>
      <c r="H8600" s="7"/>
    </row>
    <row r="8601" spans="1:8" x14ac:dyDescent="0.35">
      <c r="A8601" s="7" t="s">
        <v>375</v>
      </c>
      <c r="B8601" s="7" t="s">
        <v>26</v>
      </c>
      <c r="C8601" s="7" t="s">
        <v>27</v>
      </c>
      <c r="D8601" s="7" t="s">
        <v>28</v>
      </c>
      <c r="E8601" s="7" t="s">
        <v>29</v>
      </c>
      <c r="F8601" s="7" t="s">
        <v>287</v>
      </c>
      <c r="G8601" s="7">
        <v>99.741219999999998</v>
      </c>
      <c r="H8601" s="7"/>
    </row>
    <row r="8602" spans="1:8" x14ac:dyDescent="0.35">
      <c r="A8602" s="7" t="s">
        <v>375</v>
      </c>
      <c r="B8602" s="7" t="s">
        <v>26</v>
      </c>
      <c r="C8602" s="7" t="s">
        <v>27</v>
      </c>
      <c r="D8602" s="7" t="s">
        <v>28</v>
      </c>
      <c r="E8602" s="7" t="s">
        <v>29</v>
      </c>
      <c r="F8602" s="7" t="s">
        <v>288</v>
      </c>
      <c r="G8602" s="7">
        <v>99.597340000000003</v>
      </c>
      <c r="H8602" s="7"/>
    </row>
    <row r="8603" spans="1:8" x14ac:dyDescent="0.35">
      <c r="A8603" s="7" t="s">
        <v>375</v>
      </c>
      <c r="B8603" s="7" t="s">
        <v>26</v>
      </c>
      <c r="C8603" s="7" t="s">
        <v>27</v>
      </c>
      <c r="D8603" s="7" t="s">
        <v>28</v>
      </c>
      <c r="E8603" s="7" t="s">
        <v>29</v>
      </c>
      <c r="F8603" s="7" t="s">
        <v>289</v>
      </c>
      <c r="G8603" s="7">
        <v>99.434579999999997</v>
      </c>
      <c r="H8603" s="7"/>
    </row>
    <row r="8604" spans="1:8" x14ac:dyDescent="0.35">
      <c r="A8604" s="7" t="s">
        <v>375</v>
      </c>
      <c r="B8604" s="7" t="s">
        <v>26</v>
      </c>
      <c r="C8604" s="7" t="s">
        <v>27</v>
      </c>
      <c r="D8604" s="7" t="s">
        <v>28</v>
      </c>
      <c r="E8604" s="7" t="s">
        <v>29</v>
      </c>
      <c r="F8604" s="7" t="s">
        <v>290</v>
      </c>
      <c r="G8604" s="7">
        <v>99.361680000000007</v>
      </c>
      <c r="H8604" s="7"/>
    </row>
    <row r="8605" spans="1:8" x14ac:dyDescent="0.35">
      <c r="A8605" s="7" t="s">
        <v>375</v>
      </c>
      <c r="B8605" s="7" t="s">
        <v>26</v>
      </c>
      <c r="C8605" s="7" t="s">
        <v>27</v>
      </c>
      <c r="D8605" s="7" t="s">
        <v>28</v>
      </c>
      <c r="E8605" s="7" t="s">
        <v>29</v>
      </c>
      <c r="F8605" s="7" t="s">
        <v>291</v>
      </c>
      <c r="G8605" s="7">
        <v>99.542469999999994</v>
      </c>
      <c r="H8605" s="7"/>
    </row>
    <row r="8606" spans="1:8" x14ac:dyDescent="0.35">
      <c r="A8606" s="7" t="s">
        <v>375</v>
      </c>
      <c r="B8606" s="7" t="s">
        <v>26</v>
      </c>
      <c r="C8606" s="7" t="s">
        <v>27</v>
      </c>
      <c r="D8606" s="7" t="s">
        <v>28</v>
      </c>
      <c r="E8606" s="7" t="s">
        <v>29</v>
      </c>
      <c r="F8606" s="7" t="s">
        <v>292</v>
      </c>
      <c r="G8606" s="7">
        <v>99.735290000000006</v>
      </c>
      <c r="H8606" s="7"/>
    </row>
    <row r="8607" spans="1:8" x14ac:dyDescent="0.35">
      <c r="A8607" s="7" t="s">
        <v>375</v>
      </c>
      <c r="B8607" s="7" t="s">
        <v>26</v>
      </c>
      <c r="C8607" s="7" t="s">
        <v>27</v>
      </c>
      <c r="D8607" s="7" t="s">
        <v>28</v>
      </c>
      <c r="E8607" s="7" t="s">
        <v>29</v>
      </c>
      <c r="F8607" s="7" t="s">
        <v>293</v>
      </c>
      <c r="G8607" s="7">
        <v>99.830730000000003</v>
      </c>
      <c r="H8607" s="7"/>
    </row>
    <row r="8608" spans="1:8" x14ac:dyDescent="0.35">
      <c r="A8608" s="7" t="s">
        <v>375</v>
      </c>
      <c r="B8608" s="7" t="s">
        <v>26</v>
      </c>
      <c r="C8608" s="7" t="s">
        <v>27</v>
      </c>
      <c r="D8608" s="7" t="s">
        <v>28</v>
      </c>
      <c r="E8608" s="7" t="s">
        <v>29</v>
      </c>
      <c r="F8608" s="7" t="s">
        <v>294</v>
      </c>
      <c r="G8608" s="7">
        <v>99.800250000000005</v>
      </c>
      <c r="H8608" s="7"/>
    </row>
    <row r="8609" spans="1:8" x14ac:dyDescent="0.35">
      <c r="A8609" s="7" t="s">
        <v>375</v>
      </c>
      <c r="B8609" s="7" t="s">
        <v>26</v>
      </c>
      <c r="C8609" s="7" t="s">
        <v>27</v>
      </c>
      <c r="D8609" s="7" t="s">
        <v>28</v>
      </c>
      <c r="E8609" s="7" t="s">
        <v>29</v>
      </c>
      <c r="F8609" s="7" t="s">
        <v>295</v>
      </c>
      <c r="G8609" s="7">
        <v>99.687870000000004</v>
      </c>
      <c r="H8609" s="7"/>
    </row>
    <row r="8610" spans="1:8" x14ac:dyDescent="0.35">
      <c r="A8610" s="7" t="s">
        <v>375</v>
      </c>
      <c r="B8610" s="7" t="s">
        <v>26</v>
      </c>
      <c r="C8610" s="7" t="s">
        <v>27</v>
      </c>
      <c r="D8610" s="7" t="s">
        <v>28</v>
      </c>
      <c r="E8610" s="7" t="s">
        <v>29</v>
      </c>
      <c r="F8610" s="7" t="s">
        <v>296</v>
      </c>
      <c r="G8610" s="7">
        <v>99.607939999999999</v>
      </c>
      <c r="H8610" s="7"/>
    </row>
    <row r="8611" spans="1:8" x14ac:dyDescent="0.35">
      <c r="A8611" s="7" t="s">
        <v>375</v>
      </c>
      <c r="B8611" s="7" t="s">
        <v>26</v>
      </c>
      <c r="C8611" s="7" t="s">
        <v>27</v>
      </c>
      <c r="D8611" s="7" t="s">
        <v>28</v>
      </c>
      <c r="E8611" s="7" t="s">
        <v>29</v>
      </c>
      <c r="F8611" s="7" t="s">
        <v>297</v>
      </c>
      <c r="G8611" s="7">
        <v>99.585430000000002</v>
      </c>
      <c r="H8611" s="7"/>
    </row>
    <row r="8612" spans="1:8" x14ac:dyDescent="0.35">
      <c r="A8612" s="7" t="s">
        <v>375</v>
      </c>
      <c r="B8612" s="7" t="s">
        <v>26</v>
      </c>
      <c r="C8612" s="7" t="s">
        <v>27</v>
      </c>
      <c r="D8612" s="7" t="s">
        <v>28</v>
      </c>
      <c r="E8612" s="7" t="s">
        <v>29</v>
      </c>
      <c r="F8612" s="7" t="s">
        <v>298</v>
      </c>
      <c r="G8612" s="7">
        <v>99.581429999999997</v>
      </c>
      <c r="H8612" s="7"/>
    </row>
    <row r="8613" spans="1:8" x14ac:dyDescent="0.35">
      <c r="A8613" s="7" t="s">
        <v>375</v>
      </c>
      <c r="B8613" s="7" t="s">
        <v>26</v>
      </c>
      <c r="C8613" s="7" t="s">
        <v>27</v>
      </c>
      <c r="D8613" s="7" t="s">
        <v>28</v>
      </c>
      <c r="E8613" s="7" t="s">
        <v>29</v>
      </c>
      <c r="F8613" s="7" t="s">
        <v>299</v>
      </c>
      <c r="G8613" s="7">
        <v>99.559169999999995</v>
      </c>
      <c r="H8613" s="7"/>
    </row>
    <row r="8614" spans="1:8" x14ac:dyDescent="0.35">
      <c r="A8614" s="7" t="s">
        <v>375</v>
      </c>
      <c r="B8614" s="7" t="s">
        <v>26</v>
      </c>
      <c r="C8614" s="7" t="s">
        <v>27</v>
      </c>
      <c r="D8614" s="7" t="s">
        <v>28</v>
      </c>
      <c r="E8614" s="7" t="s">
        <v>29</v>
      </c>
      <c r="F8614" s="7" t="s">
        <v>300</v>
      </c>
      <c r="G8614" s="7">
        <v>99.520700000000005</v>
      </c>
      <c r="H8614" s="7"/>
    </row>
    <row r="8615" spans="1:8" x14ac:dyDescent="0.35">
      <c r="A8615" s="7" t="s">
        <v>375</v>
      </c>
      <c r="B8615" s="7" t="s">
        <v>26</v>
      </c>
      <c r="C8615" s="7" t="s">
        <v>27</v>
      </c>
      <c r="D8615" s="7" t="s">
        <v>28</v>
      </c>
      <c r="E8615" s="7" t="s">
        <v>29</v>
      </c>
      <c r="F8615" s="7" t="s">
        <v>301</v>
      </c>
      <c r="G8615" s="7">
        <v>99.474729999999994</v>
      </c>
      <c r="H8615" s="7"/>
    </row>
    <row r="8616" spans="1:8" x14ac:dyDescent="0.35">
      <c r="A8616" s="7" t="s">
        <v>375</v>
      </c>
      <c r="B8616" s="7" t="s">
        <v>26</v>
      </c>
      <c r="C8616" s="7" t="s">
        <v>27</v>
      </c>
      <c r="D8616" s="7" t="s">
        <v>28</v>
      </c>
      <c r="E8616" s="7" t="s">
        <v>29</v>
      </c>
      <c r="F8616" s="7" t="s">
        <v>302</v>
      </c>
      <c r="G8616" s="7">
        <v>99.344449999999995</v>
      </c>
      <c r="H8616" s="7"/>
    </row>
    <row r="8617" spans="1:8" x14ac:dyDescent="0.35">
      <c r="A8617" s="7" t="s">
        <v>375</v>
      </c>
      <c r="B8617" s="7" t="s">
        <v>26</v>
      </c>
      <c r="C8617" s="7" t="s">
        <v>27</v>
      </c>
      <c r="D8617" s="7" t="s">
        <v>28</v>
      </c>
      <c r="E8617" s="7" t="s">
        <v>29</v>
      </c>
      <c r="F8617" s="7" t="s">
        <v>303</v>
      </c>
      <c r="G8617" s="7">
        <v>99.155029999999996</v>
      </c>
      <c r="H8617" s="7"/>
    </row>
    <row r="8618" spans="1:8" x14ac:dyDescent="0.35">
      <c r="A8618" s="7" t="s">
        <v>375</v>
      </c>
      <c r="B8618" s="7" t="s">
        <v>26</v>
      </c>
      <c r="C8618" s="7" t="s">
        <v>27</v>
      </c>
      <c r="D8618" s="7" t="s">
        <v>28</v>
      </c>
      <c r="E8618" s="7" t="s">
        <v>29</v>
      </c>
      <c r="F8618" s="7" t="s">
        <v>304</v>
      </c>
      <c r="G8618" s="7">
        <v>99.022379999999998</v>
      </c>
      <c r="H8618" s="7"/>
    </row>
    <row r="8619" spans="1:8" x14ac:dyDescent="0.35">
      <c r="A8619" s="7" t="s">
        <v>375</v>
      </c>
      <c r="B8619" s="7" t="s">
        <v>26</v>
      </c>
      <c r="C8619" s="7" t="s">
        <v>27</v>
      </c>
      <c r="D8619" s="7" t="s">
        <v>28</v>
      </c>
      <c r="E8619" s="7" t="s">
        <v>29</v>
      </c>
      <c r="F8619" s="7" t="s">
        <v>305</v>
      </c>
      <c r="G8619" s="7">
        <v>98.983350000000002</v>
      </c>
      <c r="H8619" s="7"/>
    </row>
    <row r="8620" spans="1:8" x14ac:dyDescent="0.35">
      <c r="A8620" s="7" t="s">
        <v>375</v>
      </c>
      <c r="B8620" s="7" t="s">
        <v>26</v>
      </c>
      <c r="C8620" s="7" t="s">
        <v>27</v>
      </c>
      <c r="D8620" s="7" t="s">
        <v>28</v>
      </c>
      <c r="E8620" s="7" t="s">
        <v>29</v>
      </c>
      <c r="F8620" s="7" t="s">
        <v>306</v>
      </c>
      <c r="G8620" s="7">
        <v>98.986859999999993</v>
      </c>
      <c r="H8620" s="7"/>
    </row>
    <row r="8621" spans="1:8" x14ac:dyDescent="0.35">
      <c r="A8621" s="7" t="s">
        <v>375</v>
      </c>
      <c r="B8621" s="7" t="s">
        <v>26</v>
      </c>
      <c r="C8621" s="7" t="s">
        <v>27</v>
      </c>
      <c r="D8621" s="7" t="s">
        <v>28</v>
      </c>
      <c r="E8621" s="7" t="s">
        <v>29</v>
      </c>
      <c r="F8621" s="7" t="s">
        <v>307</v>
      </c>
      <c r="G8621" s="7">
        <v>98.965639999999993</v>
      </c>
      <c r="H8621" s="7"/>
    </row>
    <row r="8622" spans="1:8" x14ac:dyDescent="0.35">
      <c r="A8622" s="7" t="s">
        <v>375</v>
      </c>
      <c r="B8622" s="7" t="s">
        <v>26</v>
      </c>
      <c r="C8622" s="7" t="s">
        <v>27</v>
      </c>
      <c r="D8622" s="7" t="s">
        <v>28</v>
      </c>
      <c r="E8622" s="7" t="s">
        <v>29</v>
      </c>
      <c r="F8622" s="7" t="s">
        <v>308</v>
      </c>
      <c r="G8622" s="7">
        <v>98.985010000000003</v>
      </c>
      <c r="H8622" s="7"/>
    </row>
    <row r="8623" spans="1:8" x14ac:dyDescent="0.35">
      <c r="A8623" s="7" t="s">
        <v>375</v>
      </c>
      <c r="B8623" s="7" t="s">
        <v>26</v>
      </c>
      <c r="C8623" s="7" t="s">
        <v>27</v>
      </c>
      <c r="D8623" s="7" t="s">
        <v>28</v>
      </c>
      <c r="E8623" s="7" t="s">
        <v>29</v>
      </c>
      <c r="F8623" s="7" t="s">
        <v>309</v>
      </c>
      <c r="G8623" s="7">
        <v>99.035600000000002</v>
      </c>
      <c r="H8623" s="7"/>
    </row>
    <row r="8624" spans="1:8" x14ac:dyDescent="0.35">
      <c r="A8624" s="7" t="s">
        <v>375</v>
      </c>
      <c r="B8624" s="7" t="s">
        <v>26</v>
      </c>
      <c r="C8624" s="7" t="s">
        <v>27</v>
      </c>
      <c r="D8624" s="7" t="s">
        <v>28</v>
      </c>
      <c r="E8624" s="7" t="s">
        <v>29</v>
      </c>
      <c r="F8624" s="7" t="s">
        <v>310</v>
      </c>
      <c r="G8624" s="7">
        <v>99.111890000000002</v>
      </c>
      <c r="H8624" s="7"/>
    </row>
    <row r="8625" spans="1:8" x14ac:dyDescent="0.35">
      <c r="A8625" s="7" t="s">
        <v>375</v>
      </c>
      <c r="B8625" s="7" t="s">
        <v>26</v>
      </c>
      <c r="C8625" s="7" t="s">
        <v>27</v>
      </c>
      <c r="D8625" s="7" t="s">
        <v>28</v>
      </c>
      <c r="E8625" s="7" t="s">
        <v>29</v>
      </c>
      <c r="F8625" s="7" t="s">
        <v>311</v>
      </c>
      <c r="G8625" s="7">
        <v>99.129009999999994</v>
      </c>
      <c r="H8625" s="7"/>
    </row>
    <row r="8626" spans="1:8" x14ac:dyDescent="0.35">
      <c r="A8626" s="7" t="s">
        <v>375</v>
      </c>
      <c r="B8626" s="7" t="s">
        <v>26</v>
      </c>
      <c r="C8626" s="7" t="s">
        <v>27</v>
      </c>
      <c r="D8626" s="7" t="s">
        <v>28</v>
      </c>
      <c r="E8626" s="7" t="s">
        <v>29</v>
      </c>
      <c r="F8626" s="7" t="s">
        <v>312</v>
      </c>
      <c r="G8626" s="7">
        <v>99.118570000000005</v>
      </c>
      <c r="H8626" s="7"/>
    </row>
    <row r="8627" spans="1:8" x14ac:dyDescent="0.35">
      <c r="A8627" s="7" t="s">
        <v>375</v>
      </c>
      <c r="B8627" s="7" t="s">
        <v>26</v>
      </c>
      <c r="C8627" s="7" t="s">
        <v>27</v>
      </c>
      <c r="D8627" s="7" t="s">
        <v>28</v>
      </c>
      <c r="E8627" s="7" t="s">
        <v>29</v>
      </c>
      <c r="F8627" s="7" t="s">
        <v>313</v>
      </c>
      <c r="G8627" s="7">
        <v>99.091769999999997</v>
      </c>
      <c r="H8627" s="7"/>
    </row>
    <row r="8628" spans="1:8" x14ac:dyDescent="0.35">
      <c r="A8628" s="7" t="s">
        <v>375</v>
      </c>
      <c r="B8628" s="7" t="s">
        <v>26</v>
      </c>
      <c r="C8628" s="7" t="s">
        <v>27</v>
      </c>
      <c r="D8628" s="7" t="s">
        <v>28</v>
      </c>
      <c r="E8628" s="7" t="s">
        <v>29</v>
      </c>
      <c r="F8628" s="7" t="s">
        <v>314</v>
      </c>
      <c r="G8628" s="7">
        <v>99.049890000000005</v>
      </c>
      <c r="H8628" s="7"/>
    </row>
    <row r="8629" spans="1:8" x14ac:dyDescent="0.35">
      <c r="A8629" s="7" t="s">
        <v>375</v>
      </c>
      <c r="B8629" s="7" t="s">
        <v>26</v>
      </c>
      <c r="C8629" s="7" t="s">
        <v>27</v>
      </c>
      <c r="D8629" s="7" t="s">
        <v>28</v>
      </c>
      <c r="E8629" s="7" t="s">
        <v>29</v>
      </c>
      <c r="F8629" s="7" t="s">
        <v>315</v>
      </c>
      <c r="G8629" s="7">
        <v>98.989260000000002</v>
      </c>
      <c r="H8629" s="7"/>
    </row>
    <row r="8630" spans="1:8" x14ac:dyDescent="0.35">
      <c r="A8630" s="7" t="s">
        <v>375</v>
      </c>
      <c r="B8630" s="7" t="s">
        <v>26</v>
      </c>
      <c r="C8630" s="7" t="s">
        <v>27</v>
      </c>
      <c r="D8630" s="7" t="s">
        <v>28</v>
      </c>
      <c r="E8630" s="7" t="s">
        <v>29</v>
      </c>
      <c r="F8630" s="7" t="s">
        <v>316</v>
      </c>
      <c r="G8630" s="7">
        <v>98.867019999999997</v>
      </c>
      <c r="H8630" s="7"/>
    </row>
    <row r="8631" spans="1:8" x14ac:dyDescent="0.35">
      <c r="A8631" s="7" t="s">
        <v>375</v>
      </c>
      <c r="B8631" s="7" t="s">
        <v>26</v>
      </c>
      <c r="C8631" s="7" t="s">
        <v>27</v>
      </c>
      <c r="D8631" s="7" t="s">
        <v>28</v>
      </c>
      <c r="E8631" s="7" t="s">
        <v>29</v>
      </c>
      <c r="F8631" s="7" t="s">
        <v>317</v>
      </c>
      <c r="G8631" s="7">
        <v>98.716099999999997</v>
      </c>
      <c r="H8631" s="7"/>
    </row>
    <row r="8632" spans="1:8" x14ac:dyDescent="0.35">
      <c r="A8632" s="7" t="s">
        <v>375</v>
      </c>
      <c r="B8632" s="7" t="s">
        <v>26</v>
      </c>
      <c r="C8632" s="7" t="s">
        <v>27</v>
      </c>
      <c r="D8632" s="7" t="s">
        <v>28</v>
      </c>
      <c r="E8632" s="7" t="s">
        <v>29</v>
      </c>
      <c r="F8632" s="7" t="s">
        <v>318</v>
      </c>
      <c r="G8632" s="7">
        <v>98.636880000000005</v>
      </c>
      <c r="H8632" s="7"/>
    </row>
    <row r="8633" spans="1:8" x14ac:dyDescent="0.35">
      <c r="A8633" s="7" t="s">
        <v>375</v>
      </c>
      <c r="B8633" s="7" t="s">
        <v>26</v>
      </c>
      <c r="C8633" s="7" t="s">
        <v>27</v>
      </c>
      <c r="D8633" s="7" t="s">
        <v>28</v>
      </c>
      <c r="E8633" s="7" t="s">
        <v>29</v>
      </c>
      <c r="F8633" s="7" t="s">
        <v>319</v>
      </c>
      <c r="G8633" s="7">
        <v>98.66507</v>
      </c>
      <c r="H8633" s="7"/>
    </row>
    <row r="8634" spans="1:8" x14ac:dyDescent="0.35">
      <c r="A8634" s="7" t="s">
        <v>375</v>
      </c>
      <c r="B8634" s="7" t="s">
        <v>26</v>
      </c>
      <c r="C8634" s="7" t="s">
        <v>27</v>
      </c>
      <c r="D8634" s="7" t="s">
        <v>28</v>
      </c>
      <c r="E8634" s="7" t="s">
        <v>29</v>
      </c>
      <c r="F8634" s="7" t="s">
        <v>320</v>
      </c>
      <c r="G8634" s="7">
        <v>98.720299999999995</v>
      </c>
      <c r="H8634" s="7"/>
    </row>
    <row r="8635" spans="1:8" x14ac:dyDescent="0.35">
      <c r="A8635" s="7" t="s">
        <v>375</v>
      </c>
      <c r="B8635" s="7" t="s">
        <v>26</v>
      </c>
      <c r="C8635" s="7" t="s">
        <v>27</v>
      </c>
      <c r="D8635" s="7" t="s">
        <v>28</v>
      </c>
      <c r="E8635" s="7" t="s">
        <v>29</v>
      </c>
      <c r="F8635" s="7" t="s">
        <v>321</v>
      </c>
      <c r="G8635" s="7">
        <v>98.795649999999995</v>
      </c>
      <c r="H8635" s="7"/>
    </row>
    <row r="8636" spans="1:8" x14ac:dyDescent="0.35">
      <c r="A8636" s="7" t="s">
        <v>375</v>
      </c>
      <c r="B8636" s="7" t="s">
        <v>26</v>
      </c>
      <c r="C8636" s="7" t="s">
        <v>27</v>
      </c>
      <c r="D8636" s="7" t="s">
        <v>28</v>
      </c>
      <c r="E8636" s="7" t="s">
        <v>29</v>
      </c>
      <c r="F8636" s="7" t="s">
        <v>322</v>
      </c>
      <c r="G8636" s="7">
        <v>98.880650000000003</v>
      </c>
      <c r="H8636" s="7"/>
    </row>
    <row r="8637" spans="1:8" x14ac:dyDescent="0.35">
      <c r="A8637" s="7" t="s">
        <v>375</v>
      </c>
      <c r="B8637" s="7" t="s">
        <v>26</v>
      </c>
      <c r="C8637" s="7" t="s">
        <v>27</v>
      </c>
      <c r="D8637" s="7" t="s">
        <v>28</v>
      </c>
      <c r="E8637" s="7" t="s">
        <v>29</v>
      </c>
      <c r="F8637" s="7" t="s">
        <v>323</v>
      </c>
      <c r="G8637" s="7">
        <v>98.951210000000003</v>
      </c>
      <c r="H8637" s="7"/>
    </row>
    <row r="8638" spans="1:8" x14ac:dyDescent="0.35">
      <c r="A8638" s="7" t="s">
        <v>375</v>
      </c>
      <c r="B8638" s="7" t="s">
        <v>26</v>
      </c>
      <c r="C8638" s="7" t="s">
        <v>27</v>
      </c>
      <c r="D8638" s="7" t="s">
        <v>28</v>
      </c>
      <c r="E8638" s="7" t="s">
        <v>29</v>
      </c>
      <c r="F8638" s="7" t="s">
        <v>324</v>
      </c>
      <c r="G8638" s="7">
        <v>99.091499999999996</v>
      </c>
      <c r="H8638" s="7"/>
    </row>
    <row r="8639" spans="1:8" x14ac:dyDescent="0.35">
      <c r="A8639" s="7" t="s">
        <v>375</v>
      </c>
      <c r="B8639" s="7" t="s">
        <v>26</v>
      </c>
      <c r="C8639" s="7" t="s">
        <v>27</v>
      </c>
      <c r="D8639" s="7" t="s">
        <v>28</v>
      </c>
      <c r="E8639" s="7" t="s">
        <v>29</v>
      </c>
      <c r="F8639" s="7" t="s">
        <v>325</v>
      </c>
      <c r="G8639" s="7">
        <v>99.249170000000007</v>
      </c>
      <c r="H8639" s="7"/>
    </row>
    <row r="8640" spans="1:8" x14ac:dyDescent="0.35">
      <c r="A8640" s="7" t="s">
        <v>375</v>
      </c>
      <c r="B8640" s="7" t="s">
        <v>26</v>
      </c>
      <c r="C8640" s="7" t="s">
        <v>27</v>
      </c>
      <c r="D8640" s="7" t="s">
        <v>28</v>
      </c>
      <c r="E8640" s="7" t="s">
        <v>29</v>
      </c>
      <c r="F8640" s="7" t="s">
        <v>326</v>
      </c>
      <c r="G8640" s="7">
        <v>99.323700000000002</v>
      </c>
      <c r="H8640" s="7"/>
    </row>
    <row r="8641" spans="1:8" x14ac:dyDescent="0.35">
      <c r="A8641" s="7" t="s">
        <v>375</v>
      </c>
      <c r="B8641" s="7" t="s">
        <v>26</v>
      </c>
      <c r="C8641" s="7" t="s">
        <v>27</v>
      </c>
      <c r="D8641" s="7" t="s">
        <v>28</v>
      </c>
      <c r="E8641" s="7" t="s">
        <v>29</v>
      </c>
      <c r="F8641" s="7" t="s">
        <v>327</v>
      </c>
      <c r="G8641" s="7">
        <v>99.302620000000005</v>
      </c>
      <c r="H8641" s="7"/>
    </row>
    <row r="8642" spans="1:8" x14ac:dyDescent="0.35">
      <c r="A8642" s="7" t="s">
        <v>375</v>
      </c>
      <c r="B8642" s="7" t="s">
        <v>26</v>
      </c>
      <c r="C8642" s="7" t="s">
        <v>27</v>
      </c>
      <c r="D8642" s="7" t="s">
        <v>28</v>
      </c>
      <c r="E8642" s="7" t="s">
        <v>29</v>
      </c>
      <c r="F8642" s="7" t="s">
        <v>328</v>
      </c>
      <c r="G8642" s="7">
        <v>99.263170000000002</v>
      </c>
      <c r="H8642" s="7"/>
    </row>
    <row r="8643" spans="1:8" x14ac:dyDescent="0.35">
      <c r="A8643" s="7" t="s">
        <v>375</v>
      </c>
      <c r="B8643" s="7" t="s">
        <v>26</v>
      </c>
      <c r="C8643" s="7" t="s">
        <v>27</v>
      </c>
      <c r="D8643" s="7" t="s">
        <v>28</v>
      </c>
      <c r="E8643" s="7" t="s">
        <v>29</v>
      </c>
      <c r="F8643" s="7" t="s">
        <v>329</v>
      </c>
      <c r="G8643" s="7">
        <v>99.328100000000006</v>
      </c>
      <c r="H8643" s="7"/>
    </row>
    <row r="8644" spans="1:8" x14ac:dyDescent="0.35">
      <c r="A8644" s="7" t="s">
        <v>375</v>
      </c>
      <c r="B8644" s="7" t="s">
        <v>26</v>
      </c>
      <c r="C8644" s="7" t="s">
        <v>27</v>
      </c>
      <c r="D8644" s="7" t="s">
        <v>28</v>
      </c>
      <c r="E8644" s="7" t="s">
        <v>29</v>
      </c>
      <c r="F8644" s="7" t="s">
        <v>330</v>
      </c>
      <c r="G8644" s="7">
        <v>99.498260000000002</v>
      </c>
      <c r="H8644" s="7"/>
    </row>
    <row r="8645" spans="1:8" x14ac:dyDescent="0.35">
      <c r="A8645" s="7" t="s">
        <v>375</v>
      </c>
      <c r="B8645" s="7" t="s">
        <v>26</v>
      </c>
      <c r="C8645" s="7" t="s">
        <v>27</v>
      </c>
      <c r="D8645" s="7" t="s">
        <v>28</v>
      </c>
      <c r="E8645" s="7" t="s">
        <v>29</v>
      </c>
      <c r="F8645" s="7" t="s">
        <v>331</v>
      </c>
      <c r="G8645" s="7">
        <v>99.761859999999999</v>
      </c>
      <c r="H8645" s="7"/>
    </row>
    <row r="8646" spans="1:8" x14ac:dyDescent="0.35">
      <c r="A8646" s="7" t="s">
        <v>375</v>
      </c>
      <c r="B8646" s="7" t="s">
        <v>26</v>
      </c>
      <c r="C8646" s="7" t="s">
        <v>27</v>
      </c>
      <c r="D8646" s="7" t="s">
        <v>28</v>
      </c>
      <c r="E8646" s="7" t="s">
        <v>29</v>
      </c>
      <c r="F8646" s="7" t="s">
        <v>332</v>
      </c>
      <c r="G8646" s="7">
        <v>99.96781</v>
      </c>
      <c r="H8646" s="7"/>
    </row>
    <row r="8647" spans="1:8" x14ac:dyDescent="0.35">
      <c r="A8647" s="7" t="s">
        <v>375</v>
      </c>
      <c r="B8647" s="7" t="s">
        <v>26</v>
      </c>
      <c r="C8647" s="7" t="s">
        <v>27</v>
      </c>
      <c r="D8647" s="7" t="s">
        <v>28</v>
      </c>
      <c r="E8647" s="7" t="s">
        <v>29</v>
      </c>
      <c r="F8647" s="7" t="s">
        <v>333</v>
      </c>
      <c r="G8647" s="7">
        <v>100.1174</v>
      </c>
      <c r="H8647" s="7"/>
    </row>
    <row r="8648" spans="1:8" x14ac:dyDescent="0.35">
      <c r="A8648" s="7" t="s">
        <v>375</v>
      </c>
      <c r="B8648" s="7" t="s">
        <v>26</v>
      </c>
      <c r="C8648" s="7" t="s">
        <v>27</v>
      </c>
      <c r="D8648" s="7" t="s">
        <v>28</v>
      </c>
      <c r="E8648" s="7" t="s">
        <v>29</v>
      </c>
      <c r="F8648" s="7" t="s">
        <v>334</v>
      </c>
      <c r="G8648" s="7">
        <v>100.2561</v>
      </c>
      <c r="H8648" s="7"/>
    </row>
    <row r="8649" spans="1:8" x14ac:dyDescent="0.35">
      <c r="A8649" s="7" t="s">
        <v>375</v>
      </c>
      <c r="B8649" s="7" t="s">
        <v>26</v>
      </c>
      <c r="C8649" s="7" t="s">
        <v>27</v>
      </c>
      <c r="D8649" s="7" t="s">
        <v>28</v>
      </c>
      <c r="E8649" s="7" t="s">
        <v>29</v>
      </c>
      <c r="F8649" s="7" t="s">
        <v>335</v>
      </c>
      <c r="G8649" s="7">
        <v>100.444</v>
      </c>
      <c r="H8649" s="7"/>
    </row>
    <row r="8650" spans="1:8" x14ac:dyDescent="0.35">
      <c r="A8650" s="7" t="s">
        <v>375</v>
      </c>
      <c r="B8650" s="7" t="s">
        <v>26</v>
      </c>
      <c r="C8650" s="7" t="s">
        <v>27</v>
      </c>
      <c r="D8650" s="7" t="s">
        <v>28</v>
      </c>
      <c r="E8650" s="7" t="s">
        <v>29</v>
      </c>
      <c r="F8650" s="7" t="s">
        <v>336</v>
      </c>
      <c r="G8650" s="7">
        <v>100.6279</v>
      </c>
      <c r="H8650" s="7"/>
    </row>
    <row r="8651" spans="1:8" x14ac:dyDescent="0.35">
      <c r="A8651" s="7" t="s">
        <v>375</v>
      </c>
      <c r="B8651" s="7" t="s">
        <v>26</v>
      </c>
      <c r="C8651" s="7" t="s">
        <v>27</v>
      </c>
      <c r="D8651" s="7" t="s">
        <v>28</v>
      </c>
      <c r="E8651" s="7" t="s">
        <v>29</v>
      </c>
      <c r="F8651" s="7" t="s">
        <v>337</v>
      </c>
      <c r="G8651" s="7">
        <v>100.7251</v>
      </c>
      <c r="H8651" s="7"/>
    </row>
    <row r="8652" spans="1:8" x14ac:dyDescent="0.35">
      <c r="A8652" s="7" t="s">
        <v>375</v>
      </c>
      <c r="B8652" s="7" t="s">
        <v>26</v>
      </c>
      <c r="C8652" s="7" t="s">
        <v>27</v>
      </c>
      <c r="D8652" s="7" t="s">
        <v>28</v>
      </c>
      <c r="E8652" s="7" t="s">
        <v>29</v>
      </c>
      <c r="F8652" s="7" t="s">
        <v>338</v>
      </c>
      <c r="G8652" s="7">
        <v>100.78870000000001</v>
      </c>
      <c r="H8652" s="7"/>
    </row>
    <row r="8653" spans="1:8" x14ac:dyDescent="0.35">
      <c r="A8653" s="7" t="s">
        <v>375</v>
      </c>
      <c r="B8653" s="7" t="s">
        <v>26</v>
      </c>
      <c r="C8653" s="7" t="s">
        <v>27</v>
      </c>
      <c r="D8653" s="7" t="s">
        <v>28</v>
      </c>
      <c r="E8653" s="7" t="s">
        <v>29</v>
      </c>
      <c r="F8653" s="7" t="s">
        <v>339</v>
      </c>
      <c r="G8653" s="7">
        <v>100.8552</v>
      </c>
      <c r="H8653" s="7"/>
    </row>
    <row r="8654" spans="1:8" x14ac:dyDescent="0.35">
      <c r="A8654" s="7" t="s">
        <v>375</v>
      </c>
      <c r="B8654" s="7" t="s">
        <v>26</v>
      </c>
      <c r="C8654" s="7" t="s">
        <v>27</v>
      </c>
      <c r="D8654" s="7" t="s">
        <v>28</v>
      </c>
      <c r="E8654" s="7" t="s">
        <v>29</v>
      </c>
      <c r="F8654" s="7" t="s">
        <v>340</v>
      </c>
      <c r="G8654" s="7">
        <v>100.9794</v>
      </c>
      <c r="H8654" s="7"/>
    </row>
    <row r="8655" spans="1:8" x14ac:dyDescent="0.35">
      <c r="A8655" s="7" t="s">
        <v>375</v>
      </c>
      <c r="B8655" s="7" t="s">
        <v>26</v>
      </c>
      <c r="C8655" s="7" t="s">
        <v>27</v>
      </c>
      <c r="D8655" s="7" t="s">
        <v>28</v>
      </c>
      <c r="E8655" s="7" t="s">
        <v>29</v>
      </c>
      <c r="F8655" s="7" t="s">
        <v>341</v>
      </c>
      <c r="G8655" s="7">
        <v>101.1891</v>
      </c>
      <c r="H8655" s="7"/>
    </row>
    <row r="8656" spans="1:8" x14ac:dyDescent="0.35">
      <c r="A8656" s="7" t="s">
        <v>375</v>
      </c>
      <c r="B8656" s="7" t="s">
        <v>26</v>
      </c>
      <c r="C8656" s="7" t="s">
        <v>27</v>
      </c>
      <c r="D8656" s="7" t="s">
        <v>28</v>
      </c>
      <c r="E8656" s="7" t="s">
        <v>29</v>
      </c>
      <c r="F8656" s="7" t="s">
        <v>342</v>
      </c>
      <c r="G8656" s="7">
        <v>101.38330000000001</v>
      </c>
      <c r="H8656" s="7"/>
    </row>
    <row r="8657" spans="1:8" x14ac:dyDescent="0.35">
      <c r="A8657" s="7" t="s">
        <v>375</v>
      </c>
      <c r="B8657" s="7" t="s">
        <v>26</v>
      </c>
      <c r="C8657" s="7" t="s">
        <v>27</v>
      </c>
      <c r="D8657" s="7" t="s">
        <v>28</v>
      </c>
      <c r="E8657" s="7" t="s">
        <v>29</v>
      </c>
      <c r="F8657" s="7" t="s">
        <v>343</v>
      </c>
      <c r="G8657" s="7">
        <v>101.52509999999999</v>
      </c>
      <c r="H8657" s="7"/>
    </row>
    <row r="8658" spans="1:8" x14ac:dyDescent="0.35">
      <c r="A8658" s="7" t="s">
        <v>375</v>
      </c>
      <c r="B8658" s="7" t="s">
        <v>26</v>
      </c>
      <c r="C8658" s="7" t="s">
        <v>27</v>
      </c>
      <c r="D8658" s="7" t="s">
        <v>28</v>
      </c>
      <c r="E8658" s="7" t="s">
        <v>29</v>
      </c>
      <c r="F8658" s="7" t="s">
        <v>344</v>
      </c>
      <c r="G8658" s="7">
        <v>101.59950000000001</v>
      </c>
      <c r="H8658" s="7"/>
    </row>
    <row r="8659" spans="1:8" x14ac:dyDescent="0.35">
      <c r="A8659" s="7" t="s">
        <v>375</v>
      </c>
      <c r="B8659" s="7" t="s">
        <v>26</v>
      </c>
      <c r="C8659" s="7" t="s">
        <v>27</v>
      </c>
      <c r="D8659" s="7" t="s">
        <v>28</v>
      </c>
      <c r="E8659" s="7" t="s">
        <v>29</v>
      </c>
      <c r="F8659" s="7" t="s">
        <v>345</v>
      </c>
      <c r="G8659" s="7">
        <v>101.6463</v>
      </c>
      <c r="H8659" s="7"/>
    </row>
    <row r="8660" spans="1:8" x14ac:dyDescent="0.35">
      <c r="A8660" s="7" t="s">
        <v>375</v>
      </c>
      <c r="B8660" s="7" t="s">
        <v>26</v>
      </c>
      <c r="C8660" s="7" t="s">
        <v>27</v>
      </c>
      <c r="D8660" s="7" t="s">
        <v>28</v>
      </c>
      <c r="E8660" s="7" t="s">
        <v>29</v>
      </c>
      <c r="F8660" s="7" t="s">
        <v>346</v>
      </c>
      <c r="G8660" s="7">
        <v>101.67449999999999</v>
      </c>
      <c r="H8660" s="7"/>
    </row>
    <row r="8661" spans="1:8" x14ac:dyDescent="0.35">
      <c r="A8661" s="7" t="s">
        <v>376</v>
      </c>
      <c r="B8661" s="7" t="s">
        <v>26</v>
      </c>
      <c r="C8661" s="7" t="s">
        <v>27</v>
      </c>
      <c r="D8661" s="7" t="s">
        <v>28</v>
      </c>
      <c r="E8661" s="7" t="s">
        <v>29</v>
      </c>
      <c r="F8661" s="7" t="s">
        <v>30</v>
      </c>
      <c r="G8661" s="7">
        <v>100.2069</v>
      </c>
      <c r="H8661" s="7"/>
    </row>
    <row r="8662" spans="1:8" x14ac:dyDescent="0.35">
      <c r="A8662" s="7" t="s">
        <v>376</v>
      </c>
      <c r="B8662" s="7" t="s">
        <v>26</v>
      </c>
      <c r="C8662" s="7" t="s">
        <v>27</v>
      </c>
      <c r="D8662" s="7" t="s">
        <v>28</v>
      </c>
      <c r="E8662" s="7" t="s">
        <v>29</v>
      </c>
      <c r="F8662" s="7" t="s">
        <v>31</v>
      </c>
      <c r="G8662" s="7">
        <v>100.0919</v>
      </c>
      <c r="H8662" s="7"/>
    </row>
    <row r="8663" spans="1:8" x14ac:dyDescent="0.35">
      <c r="A8663" s="7" t="s">
        <v>376</v>
      </c>
      <c r="B8663" s="7" t="s">
        <v>26</v>
      </c>
      <c r="C8663" s="7" t="s">
        <v>27</v>
      </c>
      <c r="D8663" s="7" t="s">
        <v>28</v>
      </c>
      <c r="E8663" s="7" t="s">
        <v>29</v>
      </c>
      <c r="F8663" s="7" t="s">
        <v>32</v>
      </c>
      <c r="G8663" s="7">
        <v>100.0339</v>
      </c>
      <c r="H8663" s="7"/>
    </row>
    <row r="8664" spans="1:8" x14ac:dyDescent="0.35">
      <c r="A8664" s="7" t="s">
        <v>376</v>
      </c>
      <c r="B8664" s="7" t="s">
        <v>26</v>
      </c>
      <c r="C8664" s="7" t="s">
        <v>27</v>
      </c>
      <c r="D8664" s="7" t="s">
        <v>28</v>
      </c>
      <c r="E8664" s="7" t="s">
        <v>29</v>
      </c>
      <c r="F8664" s="7" t="s">
        <v>33</v>
      </c>
      <c r="G8664" s="7">
        <v>99.999690000000001</v>
      </c>
      <c r="H8664" s="7"/>
    </row>
    <row r="8665" spans="1:8" x14ac:dyDescent="0.35">
      <c r="A8665" s="7" t="s">
        <v>376</v>
      </c>
      <c r="B8665" s="7" t="s">
        <v>26</v>
      </c>
      <c r="C8665" s="7" t="s">
        <v>27</v>
      </c>
      <c r="D8665" s="7" t="s">
        <v>28</v>
      </c>
      <c r="E8665" s="7" t="s">
        <v>29</v>
      </c>
      <c r="F8665" s="7" t="s">
        <v>34</v>
      </c>
      <c r="G8665" s="7">
        <v>100.0715</v>
      </c>
      <c r="H8665" s="7"/>
    </row>
    <row r="8666" spans="1:8" x14ac:dyDescent="0.35">
      <c r="A8666" s="7" t="s">
        <v>376</v>
      </c>
      <c r="B8666" s="7" t="s">
        <v>26</v>
      </c>
      <c r="C8666" s="7" t="s">
        <v>27</v>
      </c>
      <c r="D8666" s="7" t="s">
        <v>28</v>
      </c>
      <c r="E8666" s="7" t="s">
        <v>29</v>
      </c>
      <c r="F8666" s="7" t="s">
        <v>35</v>
      </c>
      <c r="G8666" s="7">
        <v>100.1506</v>
      </c>
      <c r="H8666" s="7"/>
    </row>
    <row r="8667" spans="1:8" x14ac:dyDescent="0.35">
      <c r="A8667" s="7" t="s">
        <v>376</v>
      </c>
      <c r="B8667" s="7" t="s">
        <v>26</v>
      </c>
      <c r="C8667" s="7" t="s">
        <v>27</v>
      </c>
      <c r="D8667" s="7" t="s">
        <v>28</v>
      </c>
      <c r="E8667" s="7" t="s">
        <v>29</v>
      </c>
      <c r="F8667" s="7" t="s">
        <v>36</v>
      </c>
      <c r="G8667" s="7">
        <v>100.10590000000001</v>
      </c>
      <c r="H8667" s="7"/>
    </row>
    <row r="8668" spans="1:8" x14ac:dyDescent="0.35">
      <c r="A8668" s="7" t="s">
        <v>376</v>
      </c>
      <c r="B8668" s="7" t="s">
        <v>26</v>
      </c>
      <c r="C8668" s="7" t="s">
        <v>27</v>
      </c>
      <c r="D8668" s="7" t="s">
        <v>28</v>
      </c>
      <c r="E8668" s="7" t="s">
        <v>29</v>
      </c>
      <c r="F8668" s="7" t="s">
        <v>37</v>
      </c>
      <c r="G8668" s="7">
        <v>99.884010000000004</v>
      </c>
      <c r="H8668" s="7"/>
    </row>
    <row r="8669" spans="1:8" x14ac:dyDescent="0.35">
      <c r="A8669" s="7" t="s">
        <v>376</v>
      </c>
      <c r="B8669" s="7" t="s">
        <v>26</v>
      </c>
      <c r="C8669" s="7" t="s">
        <v>27</v>
      </c>
      <c r="D8669" s="7" t="s">
        <v>28</v>
      </c>
      <c r="E8669" s="7" t="s">
        <v>29</v>
      </c>
      <c r="F8669" s="7" t="s">
        <v>38</v>
      </c>
      <c r="G8669" s="7">
        <v>99.585340000000002</v>
      </c>
      <c r="H8669" s="7"/>
    </row>
    <row r="8670" spans="1:8" x14ac:dyDescent="0.35">
      <c r="A8670" s="7" t="s">
        <v>376</v>
      </c>
      <c r="B8670" s="7" t="s">
        <v>26</v>
      </c>
      <c r="C8670" s="7" t="s">
        <v>27</v>
      </c>
      <c r="D8670" s="7" t="s">
        <v>28</v>
      </c>
      <c r="E8670" s="7" t="s">
        <v>29</v>
      </c>
      <c r="F8670" s="7" t="s">
        <v>39</v>
      </c>
      <c r="G8670" s="7">
        <v>99.134699999999995</v>
      </c>
      <c r="H8670" s="7"/>
    </row>
    <row r="8671" spans="1:8" x14ac:dyDescent="0.35">
      <c r="A8671" s="7" t="s">
        <v>376</v>
      </c>
      <c r="B8671" s="7" t="s">
        <v>26</v>
      </c>
      <c r="C8671" s="7" t="s">
        <v>27</v>
      </c>
      <c r="D8671" s="7" t="s">
        <v>28</v>
      </c>
      <c r="E8671" s="7" t="s">
        <v>29</v>
      </c>
      <c r="F8671" s="7" t="s">
        <v>40</v>
      </c>
      <c r="G8671" s="7">
        <v>98.469700000000003</v>
      </c>
      <c r="H8671" s="7"/>
    </row>
    <row r="8672" spans="1:8" x14ac:dyDescent="0.35">
      <c r="A8672" s="7" t="s">
        <v>376</v>
      </c>
      <c r="B8672" s="7" t="s">
        <v>26</v>
      </c>
      <c r="C8672" s="7" t="s">
        <v>27</v>
      </c>
      <c r="D8672" s="7" t="s">
        <v>28</v>
      </c>
      <c r="E8672" s="7" t="s">
        <v>29</v>
      </c>
      <c r="F8672" s="7" t="s">
        <v>41</v>
      </c>
      <c r="G8672" s="7">
        <v>97.991479999999996</v>
      </c>
      <c r="H8672" s="7"/>
    </row>
    <row r="8673" spans="1:8" x14ac:dyDescent="0.35">
      <c r="A8673" s="7" t="s">
        <v>376</v>
      </c>
      <c r="B8673" s="7" t="s">
        <v>26</v>
      </c>
      <c r="C8673" s="7" t="s">
        <v>27</v>
      </c>
      <c r="D8673" s="7" t="s">
        <v>28</v>
      </c>
      <c r="E8673" s="7" t="s">
        <v>29</v>
      </c>
      <c r="F8673" s="7" t="s">
        <v>42</v>
      </c>
      <c r="G8673" s="7">
        <v>97.827770000000001</v>
      </c>
      <c r="H8673" s="7"/>
    </row>
    <row r="8674" spans="1:8" x14ac:dyDescent="0.35">
      <c r="A8674" s="7" t="s">
        <v>376</v>
      </c>
      <c r="B8674" s="7" t="s">
        <v>26</v>
      </c>
      <c r="C8674" s="7" t="s">
        <v>27</v>
      </c>
      <c r="D8674" s="7" t="s">
        <v>28</v>
      </c>
      <c r="E8674" s="7" t="s">
        <v>29</v>
      </c>
      <c r="F8674" s="7" t="s">
        <v>43</v>
      </c>
      <c r="G8674" s="7">
        <v>97.72842</v>
      </c>
      <c r="H8674" s="7"/>
    </row>
    <row r="8675" spans="1:8" x14ac:dyDescent="0.35">
      <c r="A8675" s="7" t="s">
        <v>376</v>
      </c>
      <c r="B8675" s="7" t="s">
        <v>26</v>
      </c>
      <c r="C8675" s="7" t="s">
        <v>27</v>
      </c>
      <c r="D8675" s="7" t="s">
        <v>28</v>
      </c>
      <c r="E8675" s="7" t="s">
        <v>29</v>
      </c>
      <c r="F8675" s="7" t="s">
        <v>44</v>
      </c>
      <c r="G8675" s="7">
        <v>97.607089999999999</v>
      </c>
      <c r="H8675" s="7"/>
    </row>
    <row r="8676" spans="1:8" x14ac:dyDescent="0.35">
      <c r="A8676" s="7" t="s">
        <v>376</v>
      </c>
      <c r="B8676" s="7" t="s">
        <v>26</v>
      </c>
      <c r="C8676" s="7" t="s">
        <v>27</v>
      </c>
      <c r="D8676" s="7" t="s">
        <v>28</v>
      </c>
      <c r="E8676" s="7" t="s">
        <v>29</v>
      </c>
      <c r="F8676" s="7" t="s">
        <v>45</v>
      </c>
      <c r="G8676" s="7">
        <v>97.435890000000001</v>
      </c>
      <c r="H8676" s="7"/>
    </row>
    <row r="8677" spans="1:8" x14ac:dyDescent="0.35">
      <c r="A8677" s="7" t="s">
        <v>376</v>
      </c>
      <c r="B8677" s="7" t="s">
        <v>26</v>
      </c>
      <c r="C8677" s="7" t="s">
        <v>27</v>
      </c>
      <c r="D8677" s="7" t="s">
        <v>28</v>
      </c>
      <c r="E8677" s="7" t="s">
        <v>29</v>
      </c>
      <c r="F8677" s="7" t="s">
        <v>46</v>
      </c>
      <c r="G8677" s="7">
        <v>97.287880000000001</v>
      </c>
      <c r="H8677" s="7"/>
    </row>
    <row r="8678" spans="1:8" x14ac:dyDescent="0.35">
      <c r="A8678" s="7" t="s">
        <v>376</v>
      </c>
      <c r="B8678" s="7" t="s">
        <v>26</v>
      </c>
      <c r="C8678" s="7" t="s">
        <v>27</v>
      </c>
      <c r="D8678" s="7" t="s">
        <v>28</v>
      </c>
      <c r="E8678" s="7" t="s">
        <v>29</v>
      </c>
      <c r="F8678" s="7" t="s">
        <v>47</v>
      </c>
      <c r="G8678" s="7">
        <v>97.350809999999996</v>
      </c>
      <c r="H8678" s="7"/>
    </row>
    <row r="8679" spans="1:8" x14ac:dyDescent="0.35">
      <c r="A8679" s="7" t="s">
        <v>376</v>
      </c>
      <c r="B8679" s="7" t="s">
        <v>26</v>
      </c>
      <c r="C8679" s="7" t="s">
        <v>27</v>
      </c>
      <c r="D8679" s="7" t="s">
        <v>28</v>
      </c>
      <c r="E8679" s="7" t="s">
        <v>29</v>
      </c>
      <c r="F8679" s="7" t="s">
        <v>48</v>
      </c>
      <c r="G8679" s="7">
        <v>97.697119999999998</v>
      </c>
      <c r="H8679" s="7"/>
    </row>
    <row r="8680" spans="1:8" x14ac:dyDescent="0.35">
      <c r="A8680" s="7" t="s">
        <v>376</v>
      </c>
      <c r="B8680" s="7" t="s">
        <v>26</v>
      </c>
      <c r="C8680" s="7" t="s">
        <v>27</v>
      </c>
      <c r="D8680" s="7" t="s">
        <v>28</v>
      </c>
      <c r="E8680" s="7" t="s">
        <v>29</v>
      </c>
      <c r="F8680" s="7" t="s">
        <v>49</v>
      </c>
      <c r="G8680" s="7">
        <v>97.874449999999996</v>
      </c>
      <c r="H8680" s="7"/>
    </row>
    <row r="8681" spans="1:8" x14ac:dyDescent="0.35">
      <c r="A8681" s="7" t="s">
        <v>376</v>
      </c>
      <c r="B8681" s="7" t="s">
        <v>26</v>
      </c>
      <c r="C8681" s="7" t="s">
        <v>27</v>
      </c>
      <c r="D8681" s="7" t="s">
        <v>28</v>
      </c>
      <c r="E8681" s="7" t="s">
        <v>29</v>
      </c>
      <c r="F8681" s="7" t="s">
        <v>50</v>
      </c>
      <c r="G8681" s="7">
        <v>97.992670000000004</v>
      </c>
      <c r="H8681" s="7"/>
    </row>
    <row r="8682" spans="1:8" x14ac:dyDescent="0.35">
      <c r="A8682" s="7" t="s">
        <v>376</v>
      </c>
      <c r="B8682" s="7" t="s">
        <v>26</v>
      </c>
      <c r="C8682" s="7" t="s">
        <v>27</v>
      </c>
      <c r="D8682" s="7" t="s">
        <v>28</v>
      </c>
      <c r="E8682" s="7" t="s">
        <v>29</v>
      </c>
      <c r="F8682" s="7" t="s">
        <v>51</v>
      </c>
      <c r="G8682" s="7">
        <v>97.96378</v>
      </c>
      <c r="H8682" s="7"/>
    </row>
    <row r="8683" spans="1:8" x14ac:dyDescent="0.35">
      <c r="A8683" s="7" t="s">
        <v>376</v>
      </c>
      <c r="B8683" s="7" t="s">
        <v>26</v>
      </c>
      <c r="C8683" s="7" t="s">
        <v>27</v>
      </c>
      <c r="D8683" s="7" t="s">
        <v>28</v>
      </c>
      <c r="E8683" s="7" t="s">
        <v>29</v>
      </c>
      <c r="F8683" s="7" t="s">
        <v>52</v>
      </c>
      <c r="G8683" s="7">
        <v>97.824719999999999</v>
      </c>
      <c r="H8683" s="7"/>
    </row>
    <row r="8684" spans="1:8" x14ac:dyDescent="0.35">
      <c r="A8684" s="7" t="s">
        <v>376</v>
      </c>
      <c r="B8684" s="7" t="s">
        <v>26</v>
      </c>
      <c r="C8684" s="7" t="s">
        <v>27</v>
      </c>
      <c r="D8684" s="7" t="s">
        <v>28</v>
      </c>
      <c r="E8684" s="7" t="s">
        <v>29</v>
      </c>
      <c r="F8684" s="7" t="s">
        <v>53</v>
      </c>
      <c r="G8684" s="7">
        <v>97.781980000000004</v>
      </c>
      <c r="H8684" s="7"/>
    </row>
    <row r="8685" spans="1:8" x14ac:dyDescent="0.35">
      <c r="A8685" s="7" t="s">
        <v>376</v>
      </c>
      <c r="B8685" s="7" t="s">
        <v>26</v>
      </c>
      <c r="C8685" s="7" t="s">
        <v>27</v>
      </c>
      <c r="D8685" s="7" t="s">
        <v>28</v>
      </c>
      <c r="E8685" s="7" t="s">
        <v>29</v>
      </c>
      <c r="F8685" s="7" t="s">
        <v>54</v>
      </c>
      <c r="G8685" s="7">
        <v>97.720650000000006</v>
      </c>
      <c r="H8685" s="7"/>
    </row>
    <row r="8686" spans="1:8" x14ac:dyDescent="0.35">
      <c r="A8686" s="7" t="s">
        <v>376</v>
      </c>
      <c r="B8686" s="7" t="s">
        <v>26</v>
      </c>
      <c r="C8686" s="7" t="s">
        <v>27</v>
      </c>
      <c r="D8686" s="7" t="s">
        <v>28</v>
      </c>
      <c r="E8686" s="7" t="s">
        <v>29</v>
      </c>
      <c r="F8686" s="7" t="s">
        <v>55</v>
      </c>
      <c r="G8686" s="7">
        <v>97.924419999999998</v>
      </c>
      <c r="H8686" s="7"/>
    </row>
    <row r="8687" spans="1:8" x14ac:dyDescent="0.35">
      <c r="A8687" s="7" t="s">
        <v>376</v>
      </c>
      <c r="B8687" s="7" t="s">
        <v>26</v>
      </c>
      <c r="C8687" s="7" t="s">
        <v>27</v>
      </c>
      <c r="D8687" s="7" t="s">
        <v>28</v>
      </c>
      <c r="E8687" s="7" t="s">
        <v>29</v>
      </c>
      <c r="F8687" s="7" t="s">
        <v>56</v>
      </c>
      <c r="G8687" s="7">
        <v>98.286420000000007</v>
      </c>
      <c r="H8687" s="7"/>
    </row>
    <row r="8688" spans="1:8" x14ac:dyDescent="0.35">
      <c r="A8688" s="7" t="s">
        <v>376</v>
      </c>
      <c r="B8688" s="7" t="s">
        <v>26</v>
      </c>
      <c r="C8688" s="7" t="s">
        <v>27</v>
      </c>
      <c r="D8688" s="7" t="s">
        <v>28</v>
      </c>
      <c r="E8688" s="7" t="s">
        <v>29</v>
      </c>
      <c r="F8688" s="7" t="s">
        <v>57</v>
      </c>
      <c r="G8688" s="7">
        <v>98.782690000000002</v>
      </c>
      <c r="H8688" s="7"/>
    </row>
    <row r="8689" spans="1:8" x14ac:dyDescent="0.35">
      <c r="A8689" s="7" t="s">
        <v>376</v>
      </c>
      <c r="B8689" s="7" t="s">
        <v>26</v>
      </c>
      <c r="C8689" s="7" t="s">
        <v>27</v>
      </c>
      <c r="D8689" s="7" t="s">
        <v>28</v>
      </c>
      <c r="E8689" s="7" t="s">
        <v>29</v>
      </c>
      <c r="F8689" s="7" t="s">
        <v>58</v>
      </c>
      <c r="G8689" s="7">
        <v>99.409419999999997</v>
      </c>
      <c r="H8689" s="7"/>
    </row>
    <row r="8690" spans="1:8" x14ac:dyDescent="0.35">
      <c r="A8690" s="7" t="s">
        <v>376</v>
      </c>
      <c r="B8690" s="7" t="s">
        <v>26</v>
      </c>
      <c r="C8690" s="7" t="s">
        <v>27</v>
      </c>
      <c r="D8690" s="7" t="s">
        <v>28</v>
      </c>
      <c r="E8690" s="7" t="s">
        <v>29</v>
      </c>
      <c r="F8690" s="7" t="s">
        <v>59</v>
      </c>
      <c r="G8690" s="7">
        <v>100.2223</v>
      </c>
      <c r="H8690" s="7"/>
    </row>
    <row r="8691" spans="1:8" x14ac:dyDescent="0.35">
      <c r="A8691" s="7" t="s">
        <v>376</v>
      </c>
      <c r="B8691" s="7" t="s">
        <v>26</v>
      </c>
      <c r="C8691" s="7" t="s">
        <v>27</v>
      </c>
      <c r="D8691" s="7" t="s">
        <v>28</v>
      </c>
      <c r="E8691" s="7" t="s">
        <v>29</v>
      </c>
      <c r="F8691" s="7" t="s">
        <v>60</v>
      </c>
      <c r="G8691" s="7">
        <v>100.9144</v>
      </c>
      <c r="H8691" s="7"/>
    </row>
    <row r="8692" spans="1:8" x14ac:dyDescent="0.35">
      <c r="A8692" s="7" t="s">
        <v>376</v>
      </c>
      <c r="B8692" s="7" t="s">
        <v>26</v>
      </c>
      <c r="C8692" s="7" t="s">
        <v>27</v>
      </c>
      <c r="D8692" s="7" t="s">
        <v>28</v>
      </c>
      <c r="E8692" s="7" t="s">
        <v>29</v>
      </c>
      <c r="F8692" s="7" t="s">
        <v>61</v>
      </c>
      <c r="G8692" s="7">
        <v>101.4211</v>
      </c>
      <c r="H8692" s="7"/>
    </row>
    <row r="8693" spans="1:8" x14ac:dyDescent="0.35">
      <c r="A8693" s="7" t="s">
        <v>376</v>
      </c>
      <c r="B8693" s="7" t="s">
        <v>26</v>
      </c>
      <c r="C8693" s="7" t="s">
        <v>27</v>
      </c>
      <c r="D8693" s="7" t="s">
        <v>28</v>
      </c>
      <c r="E8693" s="7" t="s">
        <v>29</v>
      </c>
      <c r="F8693" s="7" t="s">
        <v>62</v>
      </c>
      <c r="G8693" s="7">
        <v>101.5583</v>
      </c>
      <c r="H8693" s="7"/>
    </row>
    <row r="8694" spans="1:8" x14ac:dyDescent="0.35">
      <c r="A8694" s="7" t="s">
        <v>376</v>
      </c>
      <c r="B8694" s="7" t="s">
        <v>26</v>
      </c>
      <c r="C8694" s="7" t="s">
        <v>27</v>
      </c>
      <c r="D8694" s="7" t="s">
        <v>28</v>
      </c>
      <c r="E8694" s="7" t="s">
        <v>29</v>
      </c>
      <c r="F8694" s="7" t="s">
        <v>63</v>
      </c>
      <c r="G8694" s="7">
        <v>101.5403</v>
      </c>
      <c r="H8694" s="7"/>
    </row>
    <row r="8695" spans="1:8" x14ac:dyDescent="0.35">
      <c r="A8695" s="7" t="s">
        <v>376</v>
      </c>
      <c r="B8695" s="7" t="s">
        <v>26</v>
      </c>
      <c r="C8695" s="7" t="s">
        <v>27</v>
      </c>
      <c r="D8695" s="7" t="s">
        <v>28</v>
      </c>
      <c r="E8695" s="7" t="s">
        <v>29</v>
      </c>
      <c r="F8695" s="7" t="s">
        <v>64</v>
      </c>
      <c r="G8695" s="7">
        <v>101.4478</v>
      </c>
      <c r="H8695" s="7"/>
    </row>
    <row r="8696" spans="1:8" x14ac:dyDescent="0.35">
      <c r="A8696" s="7" t="s">
        <v>376</v>
      </c>
      <c r="B8696" s="7" t="s">
        <v>26</v>
      </c>
      <c r="C8696" s="7" t="s">
        <v>27</v>
      </c>
      <c r="D8696" s="7" t="s">
        <v>28</v>
      </c>
      <c r="E8696" s="7" t="s">
        <v>29</v>
      </c>
      <c r="F8696" s="7" t="s">
        <v>65</v>
      </c>
      <c r="G8696" s="7">
        <v>101.2783</v>
      </c>
      <c r="H8696" s="7"/>
    </row>
    <row r="8697" spans="1:8" x14ac:dyDescent="0.35">
      <c r="A8697" s="7" t="s">
        <v>376</v>
      </c>
      <c r="B8697" s="7" t="s">
        <v>26</v>
      </c>
      <c r="C8697" s="7" t="s">
        <v>27</v>
      </c>
      <c r="D8697" s="7" t="s">
        <v>28</v>
      </c>
      <c r="E8697" s="7" t="s">
        <v>29</v>
      </c>
      <c r="F8697" s="7" t="s">
        <v>66</v>
      </c>
      <c r="G8697" s="7">
        <v>101.2745</v>
      </c>
      <c r="H8697" s="7"/>
    </row>
    <row r="8698" spans="1:8" x14ac:dyDescent="0.35">
      <c r="A8698" s="7" t="s">
        <v>376</v>
      </c>
      <c r="B8698" s="7" t="s">
        <v>26</v>
      </c>
      <c r="C8698" s="7" t="s">
        <v>27</v>
      </c>
      <c r="D8698" s="7" t="s">
        <v>28</v>
      </c>
      <c r="E8698" s="7" t="s">
        <v>29</v>
      </c>
      <c r="F8698" s="7" t="s">
        <v>67</v>
      </c>
      <c r="G8698" s="7">
        <v>101.47929999999999</v>
      </c>
      <c r="H8698" s="7"/>
    </row>
    <row r="8699" spans="1:8" x14ac:dyDescent="0.35">
      <c r="A8699" s="7" t="s">
        <v>376</v>
      </c>
      <c r="B8699" s="7" t="s">
        <v>26</v>
      </c>
      <c r="C8699" s="7" t="s">
        <v>27</v>
      </c>
      <c r="D8699" s="7" t="s">
        <v>28</v>
      </c>
      <c r="E8699" s="7" t="s">
        <v>29</v>
      </c>
      <c r="F8699" s="7" t="s">
        <v>68</v>
      </c>
      <c r="G8699" s="7">
        <v>101.803</v>
      </c>
      <c r="H8699" s="7"/>
    </row>
    <row r="8700" spans="1:8" x14ac:dyDescent="0.35">
      <c r="A8700" s="7" t="s">
        <v>376</v>
      </c>
      <c r="B8700" s="7" t="s">
        <v>26</v>
      </c>
      <c r="C8700" s="7" t="s">
        <v>27</v>
      </c>
      <c r="D8700" s="7" t="s">
        <v>28</v>
      </c>
      <c r="E8700" s="7" t="s">
        <v>29</v>
      </c>
      <c r="F8700" s="7" t="s">
        <v>69</v>
      </c>
      <c r="G8700" s="7">
        <v>101.8655</v>
      </c>
      <c r="H8700" s="7"/>
    </row>
    <row r="8701" spans="1:8" x14ac:dyDescent="0.35">
      <c r="A8701" s="7" t="s">
        <v>376</v>
      </c>
      <c r="B8701" s="7" t="s">
        <v>26</v>
      </c>
      <c r="C8701" s="7" t="s">
        <v>27</v>
      </c>
      <c r="D8701" s="7" t="s">
        <v>28</v>
      </c>
      <c r="E8701" s="7" t="s">
        <v>29</v>
      </c>
      <c r="F8701" s="7" t="s">
        <v>70</v>
      </c>
      <c r="G8701" s="7">
        <v>101.68089999999999</v>
      </c>
      <c r="H8701" s="7"/>
    </row>
    <row r="8702" spans="1:8" x14ac:dyDescent="0.35">
      <c r="A8702" s="7" t="s">
        <v>376</v>
      </c>
      <c r="B8702" s="7" t="s">
        <v>26</v>
      </c>
      <c r="C8702" s="7" t="s">
        <v>27</v>
      </c>
      <c r="D8702" s="7" t="s">
        <v>28</v>
      </c>
      <c r="E8702" s="7" t="s">
        <v>29</v>
      </c>
      <c r="F8702" s="7" t="s">
        <v>71</v>
      </c>
      <c r="G8702" s="7">
        <v>101.6893</v>
      </c>
      <c r="H8702" s="7"/>
    </row>
    <row r="8703" spans="1:8" x14ac:dyDescent="0.35">
      <c r="A8703" s="7" t="s">
        <v>376</v>
      </c>
      <c r="B8703" s="7" t="s">
        <v>26</v>
      </c>
      <c r="C8703" s="7" t="s">
        <v>27</v>
      </c>
      <c r="D8703" s="7" t="s">
        <v>28</v>
      </c>
      <c r="E8703" s="7" t="s">
        <v>29</v>
      </c>
      <c r="F8703" s="7" t="s">
        <v>72</v>
      </c>
      <c r="G8703" s="7">
        <v>101.8073</v>
      </c>
      <c r="H8703" s="7"/>
    </row>
    <row r="8704" spans="1:8" x14ac:dyDescent="0.35">
      <c r="A8704" s="7" t="s">
        <v>376</v>
      </c>
      <c r="B8704" s="7" t="s">
        <v>26</v>
      </c>
      <c r="C8704" s="7" t="s">
        <v>27</v>
      </c>
      <c r="D8704" s="7" t="s">
        <v>28</v>
      </c>
      <c r="E8704" s="7" t="s">
        <v>29</v>
      </c>
      <c r="F8704" s="7" t="s">
        <v>73</v>
      </c>
      <c r="G8704" s="7">
        <v>101.9081</v>
      </c>
      <c r="H8704" s="7"/>
    </row>
    <row r="8705" spans="1:8" x14ac:dyDescent="0.35">
      <c r="A8705" s="7" t="s">
        <v>376</v>
      </c>
      <c r="B8705" s="7" t="s">
        <v>26</v>
      </c>
      <c r="C8705" s="7" t="s">
        <v>27</v>
      </c>
      <c r="D8705" s="7" t="s">
        <v>28</v>
      </c>
      <c r="E8705" s="7" t="s">
        <v>29</v>
      </c>
      <c r="F8705" s="7" t="s">
        <v>74</v>
      </c>
      <c r="G8705" s="7">
        <v>102.0026</v>
      </c>
      <c r="H8705" s="7"/>
    </row>
    <row r="8706" spans="1:8" x14ac:dyDescent="0.35">
      <c r="A8706" s="7" t="s">
        <v>376</v>
      </c>
      <c r="B8706" s="7" t="s">
        <v>26</v>
      </c>
      <c r="C8706" s="7" t="s">
        <v>27</v>
      </c>
      <c r="D8706" s="7" t="s">
        <v>28</v>
      </c>
      <c r="E8706" s="7" t="s">
        <v>29</v>
      </c>
      <c r="F8706" s="7" t="s">
        <v>75</v>
      </c>
      <c r="G8706" s="7">
        <v>101.9969</v>
      </c>
      <c r="H8706" s="7"/>
    </row>
    <row r="8707" spans="1:8" x14ac:dyDescent="0.35">
      <c r="A8707" s="7" t="s">
        <v>376</v>
      </c>
      <c r="B8707" s="7" t="s">
        <v>26</v>
      </c>
      <c r="C8707" s="7" t="s">
        <v>27</v>
      </c>
      <c r="D8707" s="7" t="s">
        <v>28</v>
      </c>
      <c r="E8707" s="7" t="s">
        <v>29</v>
      </c>
      <c r="F8707" s="7" t="s">
        <v>76</v>
      </c>
      <c r="G8707" s="7">
        <v>101.8811</v>
      </c>
      <c r="H8707" s="7"/>
    </row>
    <row r="8708" spans="1:8" x14ac:dyDescent="0.35">
      <c r="A8708" s="7" t="s">
        <v>376</v>
      </c>
      <c r="B8708" s="7" t="s">
        <v>26</v>
      </c>
      <c r="C8708" s="7" t="s">
        <v>27</v>
      </c>
      <c r="D8708" s="7" t="s">
        <v>28</v>
      </c>
      <c r="E8708" s="7" t="s">
        <v>29</v>
      </c>
      <c r="F8708" s="7" t="s">
        <v>77</v>
      </c>
      <c r="G8708" s="7">
        <v>101.7826</v>
      </c>
      <c r="H8708" s="7"/>
    </row>
    <row r="8709" spans="1:8" x14ac:dyDescent="0.35">
      <c r="A8709" s="7" t="s">
        <v>376</v>
      </c>
      <c r="B8709" s="7" t="s">
        <v>26</v>
      </c>
      <c r="C8709" s="7" t="s">
        <v>27</v>
      </c>
      <c r="D8709" s="7" t="s">
        <v>28</v>
      </c>
      <c r="E8709" s="7" t="s">
        <v>29</v>
      </c>
      <c r="F8709" s="7" t="s">
        <v>78</v>
      </c>
      <c r="G8709" s="7">
        <v>101.5933</v>
      </c>
      <c r="H8709" s="7"/>
    </row>
    <row r="8710" spans="1:8" x14ac:dyDescent="0.35">
      <c r="A8710" s="7" t="s">
        <v>376</v>
      </c>
      <c r="B8710" s="7" t="s">
        <v>26</v>
      </c>
      <c r="C8710" s="7" t="s">
        <v>27</v>
      </c>
      <c r="D8710" s="7" t="s">
        <v>28</v>
      </c>
      <c r="E8710" s="7" t="s">
        <v>29</v>
      </c>
      <c r="F8710" s="7" t="s">
        <v>79</v>
      </c>
      <c r="G8710" s="7">
        <v>101.3048</v>
      </c>
      <c r="H8710" s="7"/>
    </row>
    <row r="8711" spans="1:8" x14ac:dyDescent="0.35">
      <c r="A8711" s="7" t="s">
        <v>376</v>
      </c>
      <c r="B8711" s="7" t="s">
        <v>26</v>
      </c>
      <c r="C8711" s="7" t="s">
        <v>27</v>
      </c>
      <c r="D8711" s="7" t="s">
        <v>28</v>
      </c>
      <c r="E8711" s="7" t="s">
        <v>29</v>
      </c>
      <c r="F8711" s="7" t="s">
        <v>80</v>
      </c>
      <c r="G8711" s="7">
        <v>101.0082</v>
      </c>
      <c r="H8711" s="7"/>
    </row>
    <row r="8712" spans="1:8" x14ac:dyDescent="0.35">
      <c r="A8712" s="7" t="s">
        <v>376</v>
      </c>
      <c r="B8712" s="7" t="s">
        <v>26</v>
      </c>
      <c r="C8712" s="7" t="s">
        <v>27</v>
      </c>
      <c r="D8712" s="7" t="s">
        <v>28</v>
      </c>
      <c r="E8712" s="7" t="s">
        <v>29</v>
      </c>
      <c r="F8712" s="7" t="s">
        <v>81</v>
      </c>
      <c r="G8712" s="7">
        <v>100.85209999999999</v>
      </c>
      <c r="H8712" s="7"/>
    </row>
    <row r="8713" spans="1:8" x14ac:dyDescent="0.35">
      <c r="A8713" s="7" t="s">
        <v>376</v>
      </c>
      <c r="B8713" s="7" t="s">
        <v>26</v>
      </c>
      <c r="C8713" s="7" t="s">
        <v>27</v>
      </c>
      <c r="D8713" s="7" t="s">
        <v>28</v>
      </c>
      <c r="E8713" s="7" t="s">
        <v>29</v>
      </c>
      <c r="F8713" s="7" t="s">
        <v>82</v>
      </c>
      <c r="G8713" s="7">
        <v>100.8035</v>
      </c>
      <c r="H8713" s="7"/>
    </row>
    <row r="8714" spans="1:8" x14ac:dyDescent="0.35">
      <c r="A8714" s="7" t="s">
        <v>376</v>
      </c>
      <c r="B8714" s="7" t="s">
        <v>26</v>
      </c>
      <c r="C8714" s="7" t="s">
        <v>27</v>
      </c>
      <c r="D8714" s="7" t="s">
        <v>28</v>
      </c>
      <c r="E8714" s="7" t="s">
        <v>29</v>
      </c>
      <c r="F8714" s="7" t="s">
        <v>83</v>
      </c>
      <c r="G8714" s="7">
        <v>100.94580000000001</v>
      </c>
      <c r="H8714" s="7"/>
    </row>
    <row r="8715" spans="1:8" x14ac:dyDescent="0.35">
      <c r="A8715" s="7" t="s">
        <v>376</v>
      </c>
      <c r="B8715" s="7" t="s">
        <v>26</v>
      </c>
      <c r="C8715" s="7" t="s">
        <v>27</v>
      </c>
      <c r="D8715" s="7" t="s">
        <v>28</v>
      </c>
      <c r="E8715" s="7" t="s">
        <v>29</v>
      </c>
      <c r="F8715" s="7" t="s">
        <v>84</v>
      </c>
      <c r="G8715" s="7">
        <v>101.2127</v>
      </c>
      <c r="H8715" s="7"/>
    </row>
    <row r="8716" spans="1:8" x14ac:dyDescent="0.35">
      <c r="A8716" s="7" t="s">
        <v>376</v>
      </c>
      <c r="B8716" s="7" t="s">
        <v>26</v>
      </c>
      <c r="C8716" s="7" t="s">
        <v>27</v>
      </c>
      <c r="D8716" s="7" t="s">
        <v>28</v>
      </c>
      <c r="E8716" s="7" t="s">
        <v>29</v>
      </c>
      <c r="F8716" s="7" t="s">
        <v>85</v>
      </c>
      <c r="G8716" s="7">
        <v>101.324</v>
      </c>
      <c r="H8716" s="7"/>
    </row>
    <row r="8717" spans="1:8" x14ac:dyDescent="0.35">
      <c r="A8717" s="7" t="s">
        <v>376</v>
      </c>
      <c r="B8717" s="7" t="s">
        <v>26</v>
      </c>
      <c r="C8717" s="7" t="s">
        <v>27</v>
      </c>
      <c r="D8717" s="7" t="s">
        <v>28</v>
      </c>
      <c r="E8717" s="7" t="s">
        <v>29</v>
      </c>
      <c r="F8717" s="7" t="s">
        <v>86</v>
      </c>
      <c r="G8717" s="7">
        <v>101.18049999999999</v>
      </c>
      <c r="H8717" s="7"/>
    </row>
    <row r="8718" spans="1:8" x14ac:dyDescent="0.35">
      <c r="A8718" s="7" t="s">
        <v>376</v>
      </c>
      <c r="B8718" s="7" t="s">
        <v>26</v>
      </c>
      <c r="C8718" s="7" t="s">
        <v>27</v>
      </c>
      <c r="D8718" s="7" t="s">
        <v>28</v>
      </c>
      <c r="E8718" s="7" t="s">
        <v>29</v>
      </c>
      <c r="F8718" s="7" t="s">
        <v>87</v>
      </c>
      <c r="G8718" s="7">
        <v>101.0206</v>
      </c>
      <c r="H8718" s="7"/>
    </row>
    <row r="8719" spans="1:8" x14ac:dyDescent="0.35">
      <c r="A8719" s="7" t="s">
        <v>376</v>
      </c>
      <c r="B8719" s="7" t="s">
        <v>26</v>
      </c>
      <c r="C8719" s="7" t="s">
        <v>27</v>
      </c>
      <c r="D8719" s="7" t="s">
        <v>28</v>
      </c>
      <c r="E8719" s="7" t="s">
        <v>29</v>
      </c>
      <c r="F8719" s="7" t="s">
        <v>88</v>
      </c>
      <c r="G8719" s="7">
        <v>100.8079</v>
      </c>
      <c r="H8719" s="7"/>
    </row>
    <row r="8720" spans="1:8" x14ac:dyDescent="0.35">
      <c r="A8720" s="7" t="s">
        <v>376</v>
      </c>
      <c r="B8720" s="7" t="s">
        <v>26</v>
      </c>
      <c r="C8720" s="7" t="s">
        <v>27</v>
      </c>
      <c r="D8720" s="7" t="s">
        <v>28</v>
      </c>
      <c r="E8720" s="7" t="s">
        <v>29</v>
      </c>
      <c r="F8720" s="7" t="s">
        <v>89</v>
      </c>
      <c r="G8720" s="7">
        <v>100.5324</v>
      </c>
      <c r="H8720" s="7"/>
    </row>
    <row r="8721" spans="1:8" x14ac:dyDescent="0.35">
      <c r="A8721" s="7" t="s">
        <v>376</v>
      </c>
      <c r="B8721" s="7" t="s">
        <v>26</v>
      </c>
      <c r="C8721" s="7" t="s">
        <v>27</v>
      </c>
      <c r="D8721" s="7" t="s">
        <v>28</v>
      </c>
      <c r="E8721" s="7" t="s">
        <v>29</v>
      </c>
      <c r="F8721" s="7" t="s">
        <v>90</v>
      </c>
      <c r="G8721" s="7">
        <v>100.3133</v>
      </c>
      <c r="H8721" s="7"/>
    </row>
    <row r="8722" spans="1:8" x14ac:dyDescent="0.35">
      <c r="A8722" s="7" t="s">
        <v>376</v>
      </c>
      <c r="B8722" s="7" t="s">
        <v>26</v>
      </c>
      <c r="C8722" s="7" t="s">
        <v>27</v>
      </c>
      <c r="D8722" s="7" t="s">
        <v>28</v>
      </c>
      <c r="E8722" s="7" t="s">
        <v>29</v>
      </c>
      <c r="F8722" s="7" t="s">
        <v>91</v>
      </c>
      <c r="G8722" s="7">
        <v>100.2805</v>
      </c>
      <c r="H8722" s="7"/>
    </row>
    <row r="8723" spans="1:8" x14ac:dyDescent="0.35">
      <c r="A8723" s="7" t="s">
        <v>376</v>
      </c>
      <c r="B8723" s="7" t="s">
        <v>26</v>
      </c>
      <c r="C8723" s="7" t="s">
        <v>27</v>
      </c>
      <c r="D8723" s="7" t="s">
        <v>28</v>
      </c>
      <c r="E8723" s="7" t="s">
        <v>29</v>
      </c>
      <c r="F8723" s="7" t="s">
        <v>92</v>
      </c>
      <c r="G8723" s="7">
        <v>100.3056</v>
      </c>
      <c r="H8723" s="7"/>
    </row>
    <row r="8724" spans="1:8" x14ac:dyDescent="0.35">
      <c r="A8724" s="7" t="s">
        <v>376</v>
      </c>
      <c r="B8724" s="7" t="s">
        <v>26</v>
      </c>
      <c r="C8724" s="7" t="s">
        <v>27</v>
      </c>
      <c r="D8724" s="7" t="s">
        <v>28</v>
      </c>
      <c r="E8724" s="7" t="s">
        <v>29</v>
      </c>
      <c r="F8724" s="7" t="s">
        <v>93</v>
      </c>
      <c r="G8724" s="7">
        <v>100.2551</v>
      </c>
      <c r="H8724" s="7"/>
    </row>
    <row r="8725" spans="1:8" x14ac:dyDescent="0.35">
      <c r="A8725" s="7" t="s">
        <v>376</v>
      </c>
      <c r="B8725" s="7" t="s">
        <v>26</v>
      </c>
      <c r="C8725" s="7" t="s">
        <v>27</v>
      </c>
      <c r="D8725" s="7" t="s">
        <v>28</v>
      </c>
      <c r="E8725" s="7" t="s">
        <v>29</v>
      </c>
      <c r="F8725" s="7" t="s">
        <v>94</v>
      </c>
      <c r="G8725" s="7">
        <v>100.1863</v>
      </c>
      <c r="H8725" s="7"/>
    </row>
    <row r="8726" spans="1:8" x14ac:dyDescent="0.35">
      <c r="A8726" s="7" t="s">
        <v>376</v>
      </c>
      <c r="B8726" s="7" t="s">
        <v>26</v>
      </c>
      <c r="C8726" s="7" t="s">
        <v>27</v>
      </c>
      <c r="D8726" s="7" t="s">
        <v>28</v>
      </c>
      <c r="E8726" s="7" t="s">
        <v>29</v>
      </c>
      <c r="F8726" s="7" t="s">
        <v>95</v>
      </c>
      <c r="G8726" s="7">
        <v>99.971410000000006</v>
      </c>
      <c r="H8726" s="7"/>
    </row>
    <row r="8727" spans="1:8" x14ac:dyDescent="0.35">
      <c r="A8727" s="7" t="s">
        <v>376</v>
      </c>
      <c r="B8727" s="7" t="s">
        <v>26</v>
      </c>
      <c r="C8727" s="7" t="s">
        <v>27</v>
      </c>
      <c r="D8727" s="7" t="s">
        <v>28</v>
      </c>
      <c r="E8727" s="7" t="s">
        <v>29</v>
      </c>
      <c r="F8727" s="7" t="s">
        <v>96</v>
      </c>
      <c r="G8727" s="7">
        <v>99.84008</v>
      </c>
      <c r="H8727" s="7"/>
    </row>
    <row r="8728" spans="1:8" x14ac:dyDescent="0.35">
      <c r="A8728" s="7" t="s">
        <v>376</v>
      </c>
      <c r="B8728" s="7" t="s">
        <v>26</v>
      </c>
      <c r="C8728" s="7" t="s">
        <v>27</v>
      </c>
      <c r="D8728" s="7" t="s">
        <v>28</v>
      </c>
      <c r="E8728" s="7" t="s">
        <v>29</v>
      </c>
      <c r="F8728" s="7" t="s">
        <v>97</v>
      </c>
      <c r="G8728" s="7">
        <v>99.916300000000007</v>
      </c>
      <c r="H8728" s="7"/>
    </row>
    <row r="8729" spans="1:8" x14ac:dyDescent="0.35">
      <c r="A8729" s="7" t="s">
        <v>376</v>
      </c>
      <c r="B8729" s="7" t="s">
        <v>26</v>
      </c>
      <c r="C8729" s="7" t="s">
        <v>27</v>
      </c>
      <c r="D8729" s="7" t="s">
        <v>28</v>
      </c>
      <c r="E8729" s="7" t="s">
        <v>29</v>
      </c>
      <c r="F8729" s="7" t="s">
        <v>98</v>
      </c>
      <c r="G8729" s="7">
        <v>100.25539999999999</v>
      </c>
      <c r="H8729" s="7"/>
    </row>
    <row r="8730" spans="1:8" x14ac:dyDescent="0.35">
      <c r="A8730" s="7" t="s">
        <v>376</v>
      </c>
      <c r="B8730" s="7" t="s">
        <v>26</v>
      </c>
      <c r="C8730" s="7" t="s">
        <v>27</v>
      </c>
      <c r="D8730" s="7" t="s">
        <v>28</v>
      </c>
      <c r="E8730" s="7" t="s">
        <v>29</v>
      </c>
      <c r="F8730" s="7" t="s">
        <v>99</v>
      </c>
      <c r="G8730" s="7">
        <v>100.705</v>
      </c>
      <c r="H8730" s="7"/>
    </row>
    <row r="8731" spans="1:8" x14ac:dyDescent="0.35">
      <c r="A8731" s="7" t="s">
        <v>376</v>
      </c>
      <c r="B8731" s="7" t="s">
        <v>26</v>
      </c>
      <c r="C8731" s="7" t="s">
        <v>27</v>
      </c>
      <c r="D8731" s="7" t="s">
        <v>28</v>
      </c>
      <c r="E8731" s="7" t="s">
        <v>29</v>
      </c>
      <c r="F8731" s="7" t="s">
        <v>100</v>
      </c>
      <c r="G8731" s="7">
        <v>101.11669999999999</v>
      </c>
      <c r="H8731" s="7"/>
    </row>
    <row r="8732" spans="1:8" x14ac:dyDescent="0.35">
      <c r="A8732" s="7" t="s">
        <v>376</v>
      </c>
      <c r="B8732" s="7" t="s">
        <v>26</v>
      </c>
      <c r="C8732" s="7" t="s">
        <v>27</v>
      </c>
      <c r="D8732" s="7" t="s">
        <v>28</v>
      </c>
      <c r="E8732" s="7" t="s">
        <v>29</v>
      </c>
      <c r="F8732" s="7" t="s">
        <v>101</v>
      </c>
      <c r="G8732" s="7">
        <v>101.35380000000001</v>
      </c>
      <c r="H8732" s="7"/>
    </row>
    <row r="8733" spans="1:8" x14ac:dyDescent="0.35">
      <c r="A8733" s="7" t="s">
        <v>376</v>
      </c>
      <c r="B8733" s="7" t="s">
        <v>26</v>
      </c>
      <c r="C8733" s="7" t="s">
        <v>27</v>
      </c>
      <c r="D8733" s="7" t="s">
        <v>28</v>
      </c>
      <c r="E8733" s="7" t="s">
        <v>29</v>
      </c>
      <c r="F8733" s="7" t="s">
        <v>102</v>
      </c>
      <c r="G8733" s="7">
        <v>101.47799999999999</v>
      </c>
      <c r="H8733" s="7"/>
    </row>
    <row r="8734" spans="1:8" x14ac:dyDescent="0.35">
      <c r="A8734" s="7" t="s">
        <v>376</v>
      </c>
      <c r="B8734" s="7" t="s">
        <v>26</v>
      </c>
      <c r="C8734" s="7" t="s">
        <v>27</v>
      </c>
      <c r="D8734" s="7" t="s">
        <v>28</v>
      </c>
      <c r="E8734" s="7" t="s">
        <v>29</v>
      </c>
      <c r="F8734" s="7" t="s">
        <v>103</v>
      </c>
      <c r="G8734" s="7">
        <v>101.4648</v>
      </c>
      <c r="H8734" s="7"/>
    </row>
    <row r="8735" spans="1:8" x14ac:dyDescent="0.35">
      <c r="A8735" s="7" t="s">
        <v>376</v>
      </c>
      <c r="B8735" s="7" t="s">
        <v>26</v>
      </c>
      <c r="C8735" s="7" t="s">
        <v>27</v>
      </c>
      <c r="D8735" s="7" t="s">
        <v>28</v>
      </c>
      <c r="E8735" s="7" t="s">
        <v>29</v>
      </c>
      <c r="F8735" s="7" t="s">
        <v>104</v>
      </c>
      <c r="G8735" s="7">
        <v>101.489</v>
      </c>
      <c r="H8735" s="7"/>
    </row>
    <row r="8736" spans="1:8" x14ac:dyDescent="0.35">
      <c r="A8736" s="7" t="s">
        <v>376</v>
      </c>
      <c r="B8736" s="7" t="s">
        <v>26</v>
      </c>
      <c r="C8736" s="7" t="s">
        <v>27</v>
      </c>
      <c r="D8736" s="7" t="s">
        <v>28</v>
      </c>
      <c r="E8736" s="7" t="s">
        <v>29</v>
      </c>
      <c r="F8736" s="7" t="s">
        <v>105</v>
      </c>
      <c r="G8736" s="7">
        <v>101.5129</v>
      </c>
      <c r="H8736" s="7"/>
    </row>
    <row r="8737" spans="1:8" x14ac:dyDescent="0.35">
      <c r="A8737" s="7" t="s">
        <v>376</v>
      </c>
      <c r="B8737" s="7" t="s">
        <v>26</v>
      </c>
      <c r="C8737" s="7" t="s">
        <v>27</v>
      </c>
      <c r="D8737" s="7" t="s">
        <v>28</v>
      </c>
      <c r="E8737" s="7" t="s">
        <v>29</v>
      </c>
      <c r="F8737" s="7" t="s">
        <v>106</v>
      </c>
      <c r="G8737" s="7">
        <v>101.6236</v>
      </c>
      <c r="H8737" s="7"/>
    </row>
    <row r="8738" spans="1:8" x14ac:dyDescent="0.35">
      <c r="A8738" s="7" t="s">
        <v>376</v>
      </c>
      <c r="B8738" s="7" t="s">
        <v>26</v>
      </c>
      <c r="C8738" s="7" t="s">
        <v>27</v>
      </c>
      <c r="D8738" s="7" t="s">
        <v>28</v>
      </c>
      <c r="E8738" s="7" t="s">
        <v>29</v>
      </c>
      <c r="F8738" s="7" t="s">
        <v>107</v>
      </c>
      <c r="G8738" s="7">
        <v>101.8052</v>
      </c>
      <c r="H8738" s="7"/>
    </row>
    <row r="8739" spans="1:8" x14ac:dyDescent="0.35">
      <c r="A8739" s="7" t="s">
        <v>376</v>
      </c>
      <c r="B8739" s="7" t="s">
        <v>26</v>
      </c>
      <c r="C8739" s="7" t="s">
        <v>27</v>
      </c>
      <c r="D8739" s="7" t="s">
        <v>28</v>
      </c>
      <c r="E8739" s="7" t="s">
        <v>29</v>
      </c>
      <c r="F8739" s="7" t="s">
        <v>108</v>
      </c>
      <c r="G8739" s="7">
        <v>101.8432</v>
      </c>
      <c r="H8739" s="7"/>
    </row>
    <row r="8740" spans="1:8" x14ac:dyDescent="0.35">
      <c r="A8740" s="7" t="s">
        <v>376</v>
      </c>
      <c r="B8740" s="7" t="s">
        <v>26</v>
      </c>
      <c r="C8740" s="7" t="s">
        <v>27</v>
      </c>
      <c r="D8740" s="7" t="s">
        <v>28</v>
      </c>
      <c r="E8740" s="7" t="s">
        <v>29</v>
      </c>
      <c r="F8740" s="7" t="s">
        <v>109</v>
      </c>
      <c r="G8740" s="7">
        <v>101.6001</v>
      </c>
      <c r="H8740" s="7"/>
    </row>
    <row r="8741" spans="1:8" x14ac:dyDescent="0.35">
      <c r="A8741" s="7" t="s">
        <v>376</v>
      </c>
      <c r="B8741" s="7" t="s">
        <v>26</v>
      </c>
      <c r="C8741" s="7" t="s">
        <v>27</v>
      </c>
      <c r="D8741" s="7" t="s">
        <v>28</v>
      </c>
      <c r="E8741" s="7" t="s">
        <v>29</v>
      </c>
      <c r="F8741" s="7" t="s">
        <v>110</v>
      </c>
      <c r="G8741" s="7">
        <v>101.2448</v>
      </c>
      <c r="H8741" s="7"/>
    </row>
    <row r="8742" spans="1:8" x14ac:dyDescent="0.35">
      <c r="A8742" s="7" t="s">
        <v>376</v>
      </c>
      <c r="B8742" s="7" t="s">
        <v>26</v>
      </c>
      <c r="C8742" s="7" t="s">
        <v>27</v>
      </c>
      <c r="D8742" s="7" t="s">
        <v>28</v>
      </c>
      <c r="E8742" s="7" t="s">
        <v>29</v>
      </c>
      <c r="F8742" s="7" t="s">
        <v>111</v>
      </c>
      <c r="G8742" s="7">
        <v>101.0236</v>
      </c>
      <c r="H8742" s="7"/>
    </row>
    <row r="8743" spans="1:8" x14ac:dyDescent="0.35">
      <c r="A8743" s="7" t="s">
        <v>376</v>
      </c>
      <c r="B8743" s="7" t="s">
        <v>26</v>
      </c>
      <c r="C8743" s="7" t="s">
        <v>27</v>
      </c>
      <c r="D8743" s="7" t="s">
        <v>28</v>
      </c>
      <c r="E8743" s="7" t="s">
        <v>29</v>
      </c>
      <c r="F8743" s="7" t="s">
        <v>112</v>
      </c>
      <c r="G8743" s="7">
        <v>101.0638</v>
      </c>
      <c r="H8743" s="7"/>
    </row>
    <row r="8744" spans="1:8" x14ac:dyDescent="0.35">
      <c r="A8744" s="7" t="s">
        <v>376</v>
      </c>
      <c r="B8744" s="7" t="s">
        <v>26</v>
      </c>
      <c r="C8744" s="7" t="s">
        <v>27</v>
      </c>
      <c r="D8744" s="7" t="s">
        <v>28</v>
      </c>
      <c r="E8744" s="7" t="s">
        <v>29</v>
      </c>
      <c r="F8744" s="7" t="s">
        <v>113</v>
      </c>
      <c r="G8744" s="7">
        <v>101.2959</v>
      </c>
      <c r="H8744" s="7"/>
    </row>
    <row r="8745" spans="1:8" x14ac:dyDescent="0.35">
      <c r="A8745" s="7" t="s">
        <v>376</v>
      </c>
      <c r="B8745" s="7" t="s">
        <v>26</v>
      </c>
      <c r="C8745" s="7" t="s">
        <v>27</v>
      </c>
      <c r="D8745" s="7" t="s">
        <v>28</v>
      </c>
      <c r="E8745" s="7" t="s">
        <v>29</v>
      </c>
      <c r="F8745" s="7" t="s">
        <v>114</v>
      </c>
      <c r="G8745" s="7">
        <v>101.5548</v>
      </c>
      <c r="H8745" s="7"/>
    </row>
    <row r="8746" spans="1:8" x14ac:dyDescent="0.35">
      <c r="A8746" s="7" t="s">
        <v>376</v>
      </c>
      <c r="B8746" s="7" t="s">
        <v>26</v>
      </c>
      <c r="C8746" s="7" t="s">
        <v>27</v>
      </c>
      <c r="D8746" s="7" t="s">
        <v>28</v>
      </c>
      <c r="E8746" s="7" t="s">
        <v>29</v>
      </c>
      <c r="F8746" s="7" t="s">
        <v>115</v>
      </c>
      <c r="G8746" s="7">
        <v>101.6319</v>
      </c>
      <c r="H8746" s="7"/>
    </row>
    <row r="8747" spans="1:8" x14ac:dyDescent="0.35">
      <c r="A8747" s="7" t="s">
        <v>376</v>
      </c>
      <c r="B8747" s="7" t="s">
        <v>26</v>
      </c>
      <c r="C8747" s="7" t="s">
        <v>27</v>
      </c>
      <c r="D8747" s="7" t="s">
        <v>28</v>
      </c>
      <c r="E8747" s="7" t="s">
        <v>29</v>
      </c>
      <c r="F8747" s="7" t="s">
        <v>116</v>
      </c>
      <c r="G8747" s="7">
        <v>101.6296</v>
      </c>
      <c r="H8747" s="7"/>
    </row>
    <row r="8748" spans="1:8" x14ac:dyDescent="0.35">
      <c r="A8748" s="7" t="s">
        <v>376</v>
      </c>
      <c r="B8748" s="7" t="s">
        <v>26</v>
      </c>
      <c r="C8748" s="7" t="s">
        <v>27</v>
      </c>
      <c r="D8748" s="7" t="s">
        <v>28</v>
      </c>
      <c r="E8748" s="7" t="s">
        <v>29</v>
      </c>
      <c r="F8748" s="7" t="s">
        <v>117</v>
      </c>
      <c r="G8748" s="7">
        <v>101.4756</v>
      </c>
      <c r="H8748" s="7"/>
    </row>
    <row r="8749" spans="1:8" x14ac:dyDescent="0.35">
      <c r="A8749" s="7" t="s">
        <v>376</v>
      </c>
      <c r="B8749" s="7" t="s">
        <v>26</v>
      </c>
      <c r="C8749" s="7" t="s">
        <v>27</v>
      </c>
      <c r="D8749" s="7" t="s">
        <v>28</v>
      </c>
      <c r="E8749" s="7" t="s">
        <v>29</v>
      </c>
      <c r="F8749" s="7" t="s">
        <v>118</v>
      </c>
      <c r="G8749" s="7">
        <v>101.23950000000001</v>
      </c>
      <c r="H8749" s="7"/>
    </row>
    <row r="8750" spans="1:8" x14ac:dyDescent="0.35">
      <c r="A8750" s="7" t="s">
        <v>376</v>
      </c>
      <c r="B8750" s="7" t="s">
        <v>26</v>
      </c>
      <c r="C8750" s="7" t="s">
        <v>27</v>
      </c>
      <c r="D8750" s="7" t="s">
        <v>28</v>
      </c>
      <c r="E8750" s="7" t="s">
        <v>29</v>
      </c>
      <c r="F8750" s="7" t="s">
        <v>119</v>
      </c>
      <c r="G8750" s="7">
        <v>100.925</v>
      </c>
      <c r="H8750" s="7"/>
    </row>
    <row r="8751" spans="1:8" x14ac:dyDescent="0.35">
      <c r="A8751" s="7" t="s">
        <v>376</v>
      </c>
      <c r="B8751" s="7" t="s">
        <v>26</v>
      </c>
      <c r="C8751" s="7" t="s">
        <v>27</v>
      </c>
      <c r="D8751" s="7" t="s">
        <v>28</v>
      </c>
      <c r="E8751" s="7" t="s">
        <v>29</v>
      </c>
      <c r="F8751" s="7" t="s">
        <v>120</v>
      </c>
      <c r="G8751" s="7">
        <v>100.7371</v>
      </c>
      <c r="H8751" s="7"/>
    </row>
    <row r="8752" spans="1:8" x14ac:dyDescent="0.35">
      <c r="A8752" s="7" t="s">
        <v>376</v>
      </c>
      <c r="B8752" s="7" t="s">
        <v>26</v>
      </c>
      <c r="C8752" s="7" t="s">
        <v>27</v>
      </c>
      <c r="D8752" s="7" t="s">
        <v>28</v>
      </c>
      <c r="E8752" s="7" t="s">
        <v>29</v>
      </c>
      <c r="F8752" s="7" t="s">
        <v>121</v>
      </c>
      <c r="G8752" s="7">
        <v>100.8141</v>
      </c>
      <c r="H8752" s="7"/>
    </row>
    <row r="8753" spans="1:8" x14ac:dyDescent="0.35">
      <c r="A8753" s="7" t="s">
        <v>376</v>
      </c>
      <c r="B8753" s="7" t="s">
        <v>26</v>
      </c>
      <c r="C8753" s="7" t="s">
        <v>27</v>
      </c>
      <c r="D8753" s="7" t="s">
        <v>28</v>
      </c>
      <c r="E8753" s="7" t="s">
        <v>29</v>
      </c>
      <c r="F8753" s="7" t="s">
        <v>122</v>
      </c>
      <c r="G8753" s="7">
        <v>100.9903</v>
      </c>
      <c r="H8753" s="7"/>
    </row>
    <row r="8754" spans="1:8" x14ac:dyDescent="0.35">
      <c r="A8754" s="7" t="s">
        <v>376</v>
      </c>
      <c r="B8754" s="7" t="s">
        <v>26</v>
      </c>
      <c r="C8754" s="7" t="s">
        <v>27</v>
      </c>
      <c r="D8754" s="7" t="s">
        <v>28</v>
      </c>
      <c r="E8754" s="7" t="s">
        <v>29</v>
      </c>
      <c r="F8754" s="7" t="s">
        <v>123</v>
      </c>
      <c r="G8754" s="7">
        <v>101.0808</v>
      </c>
      <c r="H8754" s="7"/>
    </row>
    <row r="8755" spans="1:8" x14ac:dyDescent="0.35">
      <c r="A8755" s="7" t="s">
        <v>376</v>
      </c>
      <c r="B8755" s="7" t="s">
        <v>26</v>
      </c>
      <c r="C8755" s="7" t="s">
        <v>27</v>
      </c>
      <c r="D8755" s="7" t="s">
        <v>28</v>
      </c>
      <c r="E8755" s="7" t="s">
        <v>29</v>
      </c>
      <c r="F8755" s="7" t="s">
        <v>124</v>
      </c>
      <c r="G8755" s="7">
        <v>101.1155</v>
      </c>
      <c r="H8755" s="7"/>
    </row>
    <row r="8756" spans="1:8" x14ac:dyDescent="0.35">
      <c r="A8756" s="7" t="s">
        <v>376</v>
      </c>
      <c r="B8756" s="7" t="s">
        <v>26</v>
      </c>
      <c r="C8756" s="7" t="s">
        <v>27</v>
      </c>
      <c r="D8756" s="7" t="s">
        <v>28</v>
      </c>
      <c r="E8756" s="7" t="s">
        <v>29</v>
      </c>
      <c r="F8756" s="7" t="s">
        <v>125</v>
      </c>
      <c r="G8756" s="7">
        <v>101.1692</v>
      </c>
      <c r="H8756" s="7"/>
    </row>
    <row r="8757" spans="1:8" x14ac:dyDescent="0.35">
      <c r="A8757" s="7" t="s">
        <v>376</v>
      </c>
      <c r="B8757" s="7" t="s">
        <v>26</v>
      </c>
      <c r="C8757" s="7" t="s">
        <v>27</v>
      </c>
      <c r="D8757" s="7" t="s">
        <v>28</v>
      </c>
      <c r="E8757" s="7" t="s">
        <v>29</v>
      </c>
      <c r="F8757" s="7" t="s">
        <v>126</v>
      </c>
      <c r="G8757" s="7">
        <v>101.154</v>
      </c>
      <c r="H8757" s="7"/>
    </row>
    <row r="8758" spans="1:8" x14ac:dyDescent="0.35">
      <c r="A8758" s="7" t="s">
        <v>376</v>
      </c>
      <c r="B8758" s="7" t="s">
        <v>26</v>
      </c>
      <c r="C8758" s="7" t="s">
        <v>27</v>
      </c>
      <c r="D8758" s="7" t="s">
        <v>28</v>
      </c>
      <c r="E8758" s="7" t="s">
        <v>29</v>
      </c>
      <c r="F8758" s="7" t="s">
        <v>127</v>
      </c>
      <c r="G8758" s="7">
        <v>101.1752</v>
      </c>
      <c r="H8758" s="7"/>
    </row>
    <row r="8759" spans="1:8" x14ac:dyDescent="0.35">
      <c r="A8759" s="7" t="s">
        <v>376</v>
      </c>
      <c r="B8759" s="7" t="s">
        <v>26</v>
      </c>
      <c r="C8759" s="7" t="s">
        <v>27</v>
      </c>
      <c r="D8759" s="7" t="s">
        <v>28</v>
      </c>
      <c r="E8759" s="7" t="s">
        <v>29</v>
      </c>
      <c r="F8759" s="7" t="s">
        <v>128</v>
      </c>
      <c r="G8759" s="7">
        <v>101.19970000000001</v>
      </c>
      <c r="H8759" s="7"/>
    </row>
    <row r="8760" spans="1:8" x14ac:dyDescent="0.35">
      <c r="A8760" s="7" t="s">
        <v>376</v>
      </c>
      <c r="B8760" s="7" t="s">
        <v>26</v>
      </c>
      <c r="C8760" s="7" t="s">
        <v>27</v>
      </c>
      <c r="D8760" s="7" t="s">
        <v>28</v>
      </c>
      <c r="E8760" s="7" t="s">
        <v>29</v>
      </c>
      <c r="F8760" s="7" t="s">
        <v>129</v>
      </c>
      <c r="G8760" s="7">
        <v>101.1925</v>
      </c>
      <c r="H8760" s="7"/>
    </row>
    <row r="8761" spans="1:8" x14ac:dyDescent="0.35">
      <c r="A8761" s="7" t="s">
        <v>376</v>
      </c>
      <c r="B8761" s="7" t="s">
        <v>26</v>
      </c>
      <c r="C8761" s="7" t="s">
        <v>27</v>
      </c>
      <c r="D8761" s="7" t="s">
        <v>28</v>
      </c>
      <c r="E8761" s="7" t="s">
        <v>29</v>
      </c>
      <c r="F8761" s="7" t="s">
        <v>130</v>
      </c>
      <c r="G8761" s="7">
        <v>101.2499</v>
      </c>
      <c r="H8761" s="7"/>
    </row>
    <row r="8762" spans="1:8" x14ac:dyDescent="0.35">
      <c r="A8762" s="7" t="s">
        <v>376</v>
      </c>
      <c r="B8762" s="7" t="s">
        <v>26</v>
      </c>
      <c r="C8762" s="7" t="s">
        <v>27</v>
      </c>
      <c r="D8762" s="7" t="s">
        <v>28</v>
      </c>
      <c r="E8762" s="7" t="s">
        <v>29</v>
      </c>
      <c r="F8762" s="7" t="s">
        <v>131</v>
      </c>
      <c r="G8762" s="7">
        <v>101.2912</v>
      </c>
      <c r="H8762" s="7"/>
    </row>
    <row r="8763" spans="1:8" x14ac:dyDescent="0.35">
      <c r="A8763" s="7" t="s">
        <v>376</v>
      </c>
      <c r="B8763" s="7" t="s">
        <v>26</v>
      </c>
      <c r="C8763" s="7" t="s">
        <v>27</v>
      </c>
      <c r="D8763" s="7" t="s">
        <v>28</v>
      </c>
      <c r="E8763" s="7" t="s">
        <v>29</v>
      </c>
      <c r="F8763" s="7" t="s">
        <v>132</v>
      </c>
      <c r="G8763" s="7">
        <v>101.285</v>
      </c>
      <c r="H8763" s="7"/>
    </row>
    <row r="8764" spans="1:8" x14ac:dyDescent="0.35">
      <c r="A8764" s="7" t="s">
        <v>376</v>
      </c>
      <c r="B8764" s="7" t="s">
        <v>26</v>
      </c>
      <c r="C8764" s="7" t="s">
        <v>27</v>
      </c>
      <c r="D8764" s="7" t="s">
        <v>28</v>
      </c>
      <c r="E8764" s="7" t="s">
        <v>29</v>
      </c>
      <c r="F8764" s="7" t="s">
        <v>133</v>
      </c>
      <c r="G8764" s="7">
        <v>101.46</v>
      </c>
      <c r="H8764" s="7"/>
    </row>
    <row r="8765" spans="1:8" x14ac:dyDescent="0.35">
      <c r="A8765" s="7" t="s">
        <v>376</v>
      </c>
      <c r="B8765" s="7" t="s">
        <v>26</v>
      </c>
      <c r="C8765" s="7" t="s">
        <v>27</v>
      </c>
      <c r="D8765" s="7" t="s">
        <v>28</v>
      </c>
      <c r="E8765" s="7" t="s">
        <v>29</v>
      </c>
      <c r="F8765" s="7" t="s">
        <v>134</v>
      </c>
      <c r="G8765" s="7">
        <v>101.6814</v>
      </c>
      <c r="H8765" s="7"/>
    </row>
    <row r="8766" spans="1:8" x14ac:dyDescent="0.35">
      <c r="A8766" s="7" t="s">
        <v>376</v>
      </c>
      <c r="B8766" s="7" t="s">
        <v>26</v>
      </c>
      <c r="C8766" s="7" t="s">
        <v>27</v>
      </c>
      <c r="D8766" s="7" t="s">
        <v>28</v>
      </c>
      <c r="E8766" s="7" t="s">
        <v>29</v>
      </c>
      <c r="F8766" s="7" t="s">
        <v>135</v>
      </c>
      <c r="G8766" s="7">
        <v>101.7636</v>
      </c>
      <c r="H8766" s="7"/>
    </row>
    <row r="8767" spans="1:8" x14ac:dyDescent="0.35">
      <c r="A8767" s="7" t="s">
        <v>376</v>
      </c>
      <c r="B8767" s="7" t="s">
        <v>26</v>
      </c>
      <c r="C8767" s="7" t="s">
        <v>27</v>
      </c>
      <c r="D8767" s="7" t="s">
        <v>28</v>
      </c>
      <c r="E8767" s="7" t="s">
        <v>29</v>
      </c>
      <c r="F8767" s="7" t="s">
        <v>136</v>
      </c>
      <c r="G8767" s="7">
        <v>101.7217</v>
      </c>
      <c r="H8767" s="7"/>
    </row>
    <row r="8768" spans="1:8" x14ac:dyDescent="0.35">
      <c r="A8768" s="7" t="s">
        <v>376</v>
      </c>
      <c r="B8768" s="7" t="s">
        <v>26</v>
      </c>
      <c r="C8768" s="7" t="s">
        <v>27</v>
      </c>
      <c r="D8768" s="7" t="s">
        <v>28</v>
      </c>
      <c r="E8768" s="7" t="s">
        <v>29</v>
      </c>
      <c r="F8768" s="7" t="s">
        <v>137</v>
      </c>
      <c r="G8768" s="7">
        <v>101.7837</v>
      </c>
      <c r="H8768" s="7"/>
    </row>
    <row r="8769" spans="1:8" x14ac:dyDescent="0.35">
      <c r="A8769" s="7" t="s">
        <v>376</v>
      </c>
      <c r="B8769" s="7" t="s">
        <v>26</v>
      </c>
      <c r="C8769" s="7" t="s">
        <v>27</v>
      </c>
      <c r="D8769" s="7" t="s">
        <v>28</v>
      </c>
      <c r="E8769" s="7" t="s">
        <v>29</v>
      </c>
      <c r="F8769" s="7" t="s">
        <v>138</v>
      </c>
      <c r="G8769" s="7">
        <v>101.7081</v>
      </c>
      <c r="H8769" s="7"/>
    </row>
    <row r="8770" spans="1:8" x14ac:dyDescent="0.35">
      <c r="A8770" s="7" t="s">
        <v>376</v>
      </c>
      <c r="B8770" s="7" t="s">
        <v>26</v>
      </c>
      <c r="C8770" s="7" t="s">
        <v>27</v>
      </c>
      <c r="D8770" s="7" t="s">
        <v>28</v>
      </c>
      <c r="E8770" s="7" t="s">
        <v>29</v>
      </c>
      <c r="F8770" s="7" t="s">
        <v>139</v>
      </c>
      <c r="G8770" s="7">
        <v>101.6981</v>
      </c>
      <c r="H8770" s="7"/>
    </row>
    <row r="8771" spans="1:8" x14ac:dyDescent="0.35">
      <c r="A8771" s="7" t="s">
        <v>376</v>
      </c>
      <c r="B8771" s="7" t="s">
        <v>26</v>
      </c>
      <c r="C8771" s="7" t="s">
        <v>27</v>
      </c>
      <c r="D8771" s="7" t="s">
        <v>28</v>
      </c>
      <c r="E8771" s="7" t="s">
        <v>29</v>
      </c>
      <c r="F8771" s="7" t="s">
        <v>140</v>
      </c>
      <c r="G8771" s="7">
        <v>101.7212</v>
      </c>
      <c r="H8771" s="7"/>
    </row>
    <row r="8772" spans="1:8" x14ac:dyDescent="0.35">
      <c r="A8772" s="7" t="s">
        <v>376</v>
      </c>
      <c r="B8772" s="7" t="s">
        <v>26</v>
      </c>
      <c r="C8772" s="7" t="s">
        <v>27</v>
      </c>
      <c r="D8772" s="7" t="s">
        <v>28</v>
      </c>
      <c r="E8772" s="7" t="s">
        <v>29</v>
      </c>
      <c r="F8772" s="7" t="s">
        <v>141</v>
      </c>
      <c r="G8772" s="7">
        <v>101.8819</v>
      </c>
      <c r="H8772" s="7"/>
    </row>
    <row r="8773" spans="1:8" x14ac:dyDescent="0.35">
      <c r="A8773" s="7" t="s">
        <v>376</v>
      </c>
      <c r="B8773" s="7" t="s">
        <v>26</v>
      </c>
      <c r="C8773" s="7" t="s">
        <v>27</v>
      </c>
      <c r="D8773" s="7" t="s">
        <v>28</v>
      </c>
      <c r="E8773" s="7" t="s">
        <v>29</v>
      </c>
      <c r="F8773" s="7" t="s">
        <v>142</v>
      </c>
      <c r="G8773" s="7">
        <v>102.1931</v>
      </c>
      <c r="H8773" s="7"/>
    </row>
    <row r="8774" spans="1:8" x14ac:dyDescent="0.35">
      <c r="A8774" s="7" t="s">
        <v>376</v>
      </c>
      <c r="B8774" s="7" t="s">
        <v>26</v>
      </c>
      <c r="C8774" s="7" t="s">
        <v>27</v>
      </c>
      <c r="D8774" s="7" t="s">
        <v>28</v>
      </c>
      <c r="E8774" s="7" t="s">
        <v>29</v>
      </c>
      <c r="F8774" s="7" t="s">
        <v>143</v>
      </c>
      <c r="G8774" s="7">
        <v>102.5579</v>
      </c>
      <c r="H8774" s="7"/>
    </row>
    <row r="8775" spans="1:8" x14ac:dyDescent="0.35">
      <c r="A8775" s="7" t="s">
        <v>376</v>
      </c>
      <c r="B8775" s="7" t="s">
        <v>26</v>
      </c>
      <c r="C8775" s="7" t="s">
        <v>27</v>
      </c>
      <c r="D8775" s="7" t="s">
        <v>28</v>
      </c>
      <c r="E8775" s="7" t="s">
        <v>29</v>
      </c>
      <c r="F8775" s="7" t="s">
        <v>144</v>
      </c>
      <c r="G8775" s="7">
        <v>102.85169999999999</v>
      </c>
      <c r="H8775" s="7"/>
    </row>
    <row r="8776" spans="1:8" x14ac:dyDescent="0.35">
      <c r="A8776" s="7" t="s">
        <v>376</v>
      </c>
      <c r="B8776" s="7" t="s">
        <v>26</v>
      </c>
      <c r="C8776" s="7" t="s">
        <v>27</v>
      </c>
      <c r="D8776" s="7" t="s">
        <v>28</v>
      </c>
      <c r="E8776" s="7" t="s">
        <v>29</v>
      </c>
      <c r="F8776" s="7" t="s">
        <v>145</v>
      </c>
      <c r="G8776" s="7">
        <v>102.9357</v>
      </c>
      <c r="H8776" s="7"/>
    </row>
    <row r="8777" spans="1:8" x14ac:dyDescent="0.35">
      <c r="A8777" s="7" t="s">
        <v>376</v>
      </c>
      <c r="B8777" s="7" t="s">
        <v>26</v>
      </c>
      <c r="C8777" s="7" t="s">
        <v>27</v>
      </c>
      <c r="D8777" s="7" t="s">
        <v>28</v>
      </c>
      <c r="E8777" s="7" t="s">
        <v>29</v>
      </c>
      <c r="F8777" s="7" t="s">
        <v>146</v>
      </c>
      <c r="G8777" s="7">
        <v>102.75660000000001</v>
      </c>
      <c r="H8777" s="7"/>
    </row>
    <row r="8778" spans="1:8" x14ac:dyDescent="0.35">
      <c r="A8778" s="7" t="s">
        <v>376</v>
      </c>
      <c r="B8778" s="7" t="s">
        <v>26</v>
      </c>
      <c r="C8778" s="7" t="s">
        <v>27</v>
      </c>
      <c r="D8778" s="7" t="s">
        <v>28</v>
      </c>
      <c r="E8778" s="7" t="s">
        <v>29</v>
      </c>
      <c r="F8778" s="7" t="s">
        <v>147</v>
      </c>
      <c r="G8778" s="7">
        <v>102.4045</v>
      </c>
      <c r="H8778" s="7"/>
    </row>
    <row r="8779" spans="1:8" x14ac:dyDescent="0.35">
      <c r="A8779" s="7" t="s">
        <v>376</v>
      </c>
      <c r="B8779" s="7" t="s">
        <v>26</v>
      </c>
      <c r="C8779" s="7" t="s">
        <v>27</v>
      </c>
      <c r="D8779" s="7" t="s">
        <v>28</v>
      </c>
      <c r="E8779" s="7" t="s">
        <v>29</v>
      </c>
      <c r="F8779" s="7" t="s">
        <v>148</v>
      </c>
      <c r="G8779" s="7">
        <v>102.0874</v>
      </c>
      <c r="H8779" s="7"/>
    </row>
    <row r="8780" spans="1:8" x14ac:dyDescent="0.35">
      <c r="A8780" s="7" t="s">
        <v>376</v>
      </c>
      <c r="B8780" s="7" t="s">
        <v>26</v>
      </c>
      <c r="C8780" s="7" t="s">
        <v>27</v>
      </c>
      <c r="D8780" s="7" t="s">
        <v>28</v>
      </c>
      <c r="E8780" s="7" t="s">
        <v>29</v>
      </c>
      <c r="F8780" s="7" t="s">
        <v>149</v>
      </c>
      <c r="G8780" s="7">
        <v>101.8372</v>
      </c>
      <c r="H8780" s="7"/>
    </row>
    <row r="8781" spans="1:8" x14ac:dyDescent="0.35">
      <c r="A8781" s="7" t="s">
        <v>376</v>
      </c>
      <c r="B8781" s="7" t="s">
        <v>26</v>
      </c>
      <c r="C8781" s="7" t="s">
        <v>27</v>
      </c>
      <c r="D8781" s="7" t="s">
        <v>28</v>
      </c>
      <c r="E8781" s="7" t="s">
        <v>29</v>
      </c>
      <c r="F8781" s="7" t="s">
        <v>150</v>
      </c>
      <c r="G8781" s="7">
        <v>101.748</v>
      </c>
      <c r="H8781" s="7"/>
    </row>
    <row r="8782" spans="1:8" x14ac:dyDescent="0.35">
      <c r="A8782" s="7" t="s">
        <v>376</v>
      </c>
      <c r="B8782" s="7" t="s">
        <v>26</v>
      </c>
      <c r="C8782" s="7" t="s">
        <v>27</v>
      </c>
      <c r="D8782" s="7" t="s">
        <v>28</v>
      </c>
      <c r="E8782" s="7" t="s">
        <v>29</v>
      </c>
      <c r="F8782" s="7" t="s">
        <v>151</v>
      </c>
      <c r="G8782" s="7">
        <v>101.9118</v>
      </c>
      <c r="H8782" s="7"/>
    </row>
    <row r="8783" spans="1:8" x14ac:dyDescent="0.35">
      <c r="A8783" s="7" t="s">
        <v>376</v>
      </c>
      <c r="B8783" s="7" t="s">
        <v>26</v>
      </c>
      <c r="C8783" s="7" t="s">
        <v>27</v>
      </c>
      <c r="D8783" s="7" t="s">
        <v>28</v>
      </c>
      <c r="E8783" s="7" t="s">
        <v>29</v>
      </c>
      <c r="F8783" s="7" t="s">
        <v>152</v>
      </c>
      <c r="G8783" s="7">
        <v>102.09739999999999</v>
      </c>
      <c r="H8783" s="7"/>
    </row>
    <row r="8784" spans="1:8" x14ac:dyDescent="0.35">
      <c r="A8784" s="7" t="s">
        <v>376</v>
      </c>
      <c r="B8784" s="7" t="s">
        <v>26</v>
      </c>
      <c r="C8784" s="7" t="s">
        <v>27</v>
      </c>
      <c r="D8784" s="7" t="s">
        <v>28</v>
      </c>
      <c r="E8784" s="7" t="s">
        <v>29</v>
      </c>
      <c r="F8784" s="7" t="s">
        <v>153</v>
      </c>
      <c r="G8784" s="7">
        <v>102.1861</v>
      </c>
      <c r="H8784" s="7"/>
    </row>
    <row r="8785" spans="1:8" x14ac:dyDescent="0.35">
      <c r="A8785" s="7" t="s">
        <v>376</v>
      </c>
      <c r="B8785" s="7" t="s">
        <v>26</v>
      </c>
      <c r="C8785" s="7" t="s">
        <v>27</v>
      </c>
      <c r="D8785" s="7" t="s">
        <v>28</v>
      </c>
      <c r="E8785" s="7" t="s">
        <v>29</v>
      </c>
      <c r="F8785" s="7" t="s">
        <v>154</v>
      </c>
      <c r="G8785" s="7">
        <v>102.048</v>
      </c>
      <c r="H8785" s="7"/>
    </row>
    <row r="8786" spans="1:8" x14ac:dyDescent="0.35">
      <c r="A8786" s="7" t="s">
        <v>376</v>
      </c>
      <c r="B8786" s="7" t="s">
        <v>26</v>
      </c>
      <c r="C8786" s="7" t="s">
        <v>27</v>
      </c>
      <c r="D8786" s="7" t="s">
        <v>28</v>
      </c>
      <c r="E8786" s="7" t="s">
        <v>29</v>
      </c>
      <c r="F8786" s="7" t="s">
        <v>155</v>
      </c>
      <c r="G8786" s="7">
        <v>101.864</v>
      </c>
      <c r="H8786" s="7"/>
    </row>
    <row r="8787" spans="1:8" x14ac:dyDescent="0.35">
      <c r="A8787" s="7" t="s">
        <v>376</v>
      </c>
      <c r="B8787" s="7" t="s">
        <v>26</v>
      </c>
      <c r="C8787" s="7" t="s">
        <v>27</v>
      </c>
      <c r="D8787" s="7" t="s">
        <v>28</v>
      </c>
      <c r="E8787" s="7" t="s">
        <v>29</v>
      </c>
      <c r="F8787" s="7" t="s">
        <v>156</v>
      </c>
      <c r="G8787" s="7">
        <v>101.69589999999999</v>
      </c>
      <c r="H8787" s="7"/>
    </row>
    <row r="8788" spans="1:8" x14ac:dyDescent="0.35">
      <c r="A8788" s="7" t="s">
        <v>376</v>
      </c>
      <c r="B8788" s="7" t="s">
        <v>26</v>
      </c>
      <c r="C8788" s="7" t="s">
        <v>27</v>
      </c>
      <c r="D8788" s="7" t="s">
        <v>28</v>
      </c>
      <c r="E8788" s="7" t="s">
        <v>29</v>
      </c>
      <c r="F8788" s="7" t="s">
        <v>157</v>
      </c>
      <c r="G8788" s="7">
        <v>101.48180000000001</v>
      </c>
      <c r="H8788" s="7"/>
    </row>
    <row r="8789" spans="1:8" x14ac:dyDescent="0.35">
      <c r="A8789" s="7" t="s">
        <v>376</v>
      </c>
      <c r="B8789" s="7" t="s">
        <v>26</v>
      </c>
      <c r="C8789" s="7" t="s">
        <v>27</v>
      </c>
      <c r="D8789" s="7" t="s">
        <v>28</v>
      </c>
      <c r="E8789" s="7" t="s">
        <v>29</v>
      </c>
      <c r="F8789" s="7" t="s">
        <v>158</v>
      </c>
      <c r="G8789" s="7">
        <v>101.2833</v>
      </c>
      <c r="H8789" s="7"/>
    </row>
    <row r="8790" spans="1:8" x14ac:dyDescent="0.35">
      <c r="A8790" s="7" t="s">
        <v>376</v>
      </c>
      <c r="B8790" s="7" t="s">
        <v>26</v>
      </c>
      <c r="C8790" s="7" t="s">
        <v>27</v>
      </c>
      <c r="D8790" s="7" t="s">
        <v>28</v>
      </c>
      <c r="E8790" s="7" t="s">
        <v>29</v>
      </c>
      <c r="F8790" s="7" t="s">
        <v>159</v>
      </c>
      <c r="G8790" s="7">
        <v>101.1523</v>
      </c>
      <c r="H8790" s="7"/>
    </row>
    <row r="8791" spans="1:8" x14ac:dyDescent="0.35">
      <c r="A8791" s="7" t="s">
        <v>376</v>
      </c>
      <c r="B8791" s="7" t="s">
        <v>26</v>
      </c>
      <c r="C8791" s="7" t="s">
        <v>27</v>
      </c>
      <c r="D8791" s="7" t="s">
        <v>28</v>
      </c>
      <c r="E8791" s="7" t="s">
        <v>29</v>
      </c>
      <c r="F8791" s="7" t="s">
        <v>160</v>
      </c>
      <c r="G8791" s="7">
        <v>100.9836</v>
      </c>
      <c r="H8791" s="7"/>
    </row>
    <row r="8792" spans="1:8" x14ac:dyDescent="0.35">
      <c r="A8792" s="7" t="s">
        <v>376</v>
      </c>
      <c r="B8792" s="7" t="s">
        <v>26</v>
      </c>
      <c r="C8792" s="7" t="s">
        <v>27</v>
      </c>
      <c r="D8792" s="7" t="s">
        <v>28</v>
      </c>
      <c r="E8792" s="7" t="s">
        <v>29</v>
      </c>
      <c r="F8792" s="7" t="s">
        <v>161</v>
      </c>
      <c r="G8792" s="7">
        <v>100.7242</v>
      </c>
      <c r="H8792" s="7"/>
    </row>
    <row r="8793" spans="1:8" x14ac:dyDescent="0.35">
      <c r="A8793" s="7" t="s">
        <v>376</v>
      </c>
      <c r="B8793" s="7" t="s">
        <v>26</v>
      </c>
      <c r="C8793" s="7" t="s">
        <v>27</v>
      </c>
      <c r="D8793" s="7" t="s">
        <v>28</v>
      </c>
      <c r="E8793" s="7" t="s">
        <v>29</v>
      </c>
      <c r="F8793" s="7" t="s">
        <v>162</v>
      </c>
      <c r="G8793" s="7">
        <v>100.4796</v>
      </c>
      <c r="H8793" s="7"/>
    </row>
    <row r="8794" spans="1:8" x14ac:dyDescent="0.35">
      <c r="A8794" s="7" t="s">
        <v>376</v>
      </c>
      <c r="B8794" s="7" t="s">
        <v>26</v>
      </c>
      <c r="C8794" s="7" t="s">
        <v>27</v>
      </c>
      <c r="D8794" s="7" t="s">
        <v>28</v>
      </c>
      <c r="E8794" s="7" t="s">
        <v>29</v>
      </c>
      <c r="F8794" s="7" t="s">
        <v>163</v>
      </c>
      <c r="G8794" s="7">
        <v>100.23699999999999</v>
      </c>
      <c r="H8794" s="7"/>
    </row>
    <row r="8795" spans="1:8" x14ac:dyDescent="0.35">
      <c r="A8795" s="7" t="s">
        <v>376</v>
      </c>
      <c r="B8795" s="7" t="s">
        <v>26</v>
      </c>
      <c r="C8795" s="7" t="s">
        <v>27</v>
      </c>
      <c r="D8795" s="7" t="s">
        <v>28</v>
      </c>
      <c r="E8795" s="7" t="s">
        <v>29</v>
      </c>
      <c r="F8795" s="7" t="s">
        <v>164</v>
      </c>
      <c r="G8795" s="7">
        <v>100.2521</v>
      </c>
      <c r="H8795" s="7"/>
    </row>
    <row r="8796" spans="1:8" x14ac:dyDescent="0.35">
      <c r="A8796" s="7" t="s">
        <v>376</v>
      </c>
      <c r="B8796" s="7" t="s">
        <v>26</v>
      </c>
      <c r="C8796" s="7" t="s">
        <v>27</v>
      </c>
      <c r="D8796" s="7" t="s">
        <v>28</v>
      </c>
      <c r="E8796" s="7" t="s">
        <v>29</v>
      </c>
      <c r="F8796" s="7" t="s">
        <v>165</v>
      </c>
      <c r="G8796" s="7">
        <v>100.39360000000001</v>
      </c>
      <c r="H8796" s="7"/>
    </row>
    <row r="8797" spans="1:8" x14ac:dyDescent="0.35">
      <c r="A8797" s="7" t="s">
        <v>376</v>
      </c>
      <c r="B8797" s="7" t="s">
        <v>26</v>
      </c>
      <c r="C8797" s="7" t="s">
        <v>27</v>
      </c>
      <c r="D8797" s="7" t="s">
        <v>28</v>
      </c>
      <c r="E8797" s="7" t="s">
        <v>29</v>
      </c>
      <c r="F8797" s="7" t="s">
        <v>166</v>
      </c>
      <c r="G8797" s="7">
        <v>100.5067</v>
      </c>
      <c r="H8797" s="7"/>
    </row>
    <row r="8798" spans="1:8" x14ac:dyDescent="0.35">
      <c r="A8798" s="7" t="s">
        <v>376</v>
      </c>
      <c r="B8798" s="7" t="s">
        <v>26</v>
      </c>
      <c r="C8798" s="7" t="s">
        <v>27</v>
      </c>
      <c r="D8798" s="7" t="s">
        <v>28</v>
      </c>
      <c r="E8798" s="7" t="s">
        <v>29</v>
      </c>
      <c r="F8798" s="7" t="s">
        <v>167</v>
      </c>
      <c r="G8798" s="7">
        <v>100.6015</v>
      </c>
      <c r="H8798" s="7"/>
    </row>
    <row r="8799" spans="1:8" x14ac:dyDescent="0.35">
      <c r="A8799" s="7" t="s">
        <v>376</v>
      </c>
      <c r="B8799" s="7" t="s">
        <v>26</v>
      </c>
      <c r="C8799" s="7" t="s">
        <v>27</v>
      </c>
      <c r="D8799" s="7" t="s">
        <v>28</v>
      </c>
      <c r="E8799" s="7" t="s">
        <v>29</v>
      </c>
      <c r="F8799" s="7" t="s">
        <v>168</v>
      </c>
      <c r="G8799" s="7">
        <v>100.6147</v>
      </c>
      <c r="H8799" s="7"/>
    </row>
    <row r="8800" spans="1:8" x14ac:dyDescent="0.35">
      <c r="A8800" s="7" t="s">
        <v>376</v>
      </c>
      <c r="B8800" s="7" t="s">
        <v>26</v>
      </c>
      <c r="C8800" s="7" t="s">
        <v>27</v>
      </c>
      <c r="D8800" s="7" t="s">
        <v>28</v>
      </c>
      <c r="E8800" s="7" t="s">
        <v>29</v>
      </c>
      <c r="F8800" s="7" t="s">
        <v>169</v>
      </c>
      <c r="G8800" s="7">
        <v>100.5665</v>
      </c>
      <c r="H8800" s="7"/>
    </row>
    <row r="8801" spans="1:8" x14ac:dyDescent="0.35">
      <c r="A8801" s="7" t="s">
        <v>376</v>
      </c>
      <c r="B8801" s="7" t="s">
        <v>26</v>
      </c>
      <c r="C8801" s="7" t="s">
        <v>27</v>
      </c>
      <c r="D8801" s="7" t="s">
        <v>28</v>
      </c>
      <c r="E8801" s="7" t="s">
        <v>29</v>
      </c>
      <c r="F8801" s="7" t="s">
        <v>170</v>
      </c>
      <c r="G8801" s="7">
        <v>100.5472</v>
      </c>
      <c r="H8801" s="7"/>
    </row>
    <row r="8802" spans="1:8" x14ac:dyDescent="0.35">
      <c r="A8802" s="7" t="s">
        <v>376</v>
      </c>
      <c r="B8802" s="7" t="s">
        <v>26</v>
      </c>
      <c r="C8802" s="7" t="s">
        <v>27</v>
      </c>
      <c r="D8802" s="7" t="s">
        <v>28</v>
      </c>
      <c r="E8802" s="7" t="s">
        <v>29</v>
      </c>
      <c r="F8802" s="7" t="s">
        <v>171</v>
      </c>
      <c r="G8802" s="7">
        <v>100.59229999999999</v>
      </c>
      <c r="H8802" s="7"/>
    </row>
    <row r="8803" spans="1:8" x14ac:dyDescent="0.35">
      <c r="A8803" s="7" t="s">
        <v>376</v>
      </c>
      <c r="B8803" s="7" t="s">
        <v>26</v>
      </c>
      <c r="C8803" s="7" t="s">
        <v>27</v>
      </c>
      <c r="D8803" s="7" t="s">
        <v>28</v>
      </c>
      <c r="E8803" s="7" t="s">
        <v>29</v>
      </c>
      <c r="F8803" s="7" t="s">
        <v>172</v>
      </c>
      <c r="G8803" s="7">
        <v>100.62309999999999</v>
      </c>
      <c r="H8803" s="7"/>
    </row>
    <row r="8804" spans="1:8" x14ac:dyDescent="0.35">
      <c r="A8804" s="7" t="s">
        <v>376</v>
      </c>
      <c r="B8804" s="7" t="s">
        <v>26</v>
      </c>
      <c r="C8804" s="7" t="s">
        <v>27</v>
      </c>
      <c r="D8804" s="7" t="s">
        <v>28</v>
      </c>
      <c r="E8804" s="7" t="s">
        <v>29</v>
      </c>
      <c r="F8804" s="7" t="s">
        <v>173</v>
      </c>
      <c r="G8804" s="7">
        <v>100.5275</v>
      </c>
      <c r="H8804" s="7"/>
    </row>
    <row r="8805" spans="1:8" x14ac:dyDescent="0.35">
      <c r="A8805" s="7" t="s">
        <v>376</v>
      </c>
      <c r="B8805" s="7" t="s">
        <v>26</v>
      </c>
      <c r="C8805" s="7" t="s">
        <v>27</v>
      </c>
      <c r="D8805" s="7" t="s">
        <v>28</v>
      </c>
      <c r="E8805" s="7" t="s">
        <v>29</v>
      </c>
      <c r="F8805" s="7" t="s">
        <v>174</v>
      </c>
      <c r="G8805" s="7">
        <v>100.3657</v>
      </c>
      <c r="H8805" s="7"/>
    </row>
    <row r="8806" spans="1:8" x14ac:dyDescent="0.35">
      <c r="A8806" s="7" t="s">
        <v>376</v>
      </c>
      <c r="B8806" s="7" t="s">
        <v>26</v>
      </c>
      <c r="C8806" s="7" t="s">
        <v>27</v>
      </c>
      <c r="D8806" s="7" t="s">
        <v>28</v>
      </c>
      <c r="E8806" s="7" t="s">
        <v>29</v>
      </c>
      <c r="F8806" s="7" t="s">
        <v>175</v>
      </c>
      <c r="G8806" s="7">
        <v>100.1347</v>
      </c>
      <c r="H8806" s="7"/>
    </row>
    <row r="8807" spans="1:8" x14ac:dyDescent="0.35">
      <c r="A8807" s="7" t="s">
        <v>376</v>
      </c>
      <c r="B8807" s="7" t="s">
        <v>26</v>
      </c>
      <c r="C8807" s="7" t="s">
        <v>27</v>
      </c>
      <c r="D8807" s="7" t="s">
        <v>28</v>
      </c>
      <c r="E8807" s="7" t="s">
        <v>29</v>
      </c>
      <c r="F8807" s="7" t="s">
        <v>176</v>
      </c>
      <c r="G8807" s="7">
        <v>99.867260000000002</v>
      </c>
      <c r="H8807" s="7"/>
    </row>
    <row r="8808" spans="1:8" x14ac:dyDescent="0.35">
      <c r="A8808" s="7" t="s">
        <v>376</v>
      </c>
      <c r="B8808" s="7" t="s">
        <v>26</v>
      </c>
      <c r="C8808" s="7" t="s">
        <v>27</v>
      </c>
      <c r="D8808" s="7" t="s">
        <v>28</v>
      </c>
      <c r="E8808" s="7" t="s">
        <v>29</v>
      </c>
      <c r="F8808" s="7" t="s">
        <v>177</v>
      </c>
      <c r="G8808" s="7">
        <v>99.673910000000006</v>
      </c>
      <c r="H8808" s="7"/>
    </row>
    <row r="8809" spans="1:8" x14ac:dyDescent="0.35">
      <c r="A8809" s="7" t="s">
        <v>376</v>
      </c>
      <c r="B8809" s="7" t="s">
        <v>26</v>
      </c>
      <c r="C8809" s="7" t="s">
        <v>27</v>
      </c>
      <c r="D8809" s="7" t="s">
        <v>28</v>
      </c>
      <c r="E8809" s="7" t="s">
        <v>29</v>
      </c>
      <c r="F8809" s="7" t="s">
        <v>178</v>
      </c>
      <c r="G8809" s="7">
        <v>99.695319999999995</v>
      </c>
      <c r="H8809" s="7"/>
    </row>
    <row r="8810" spans="1:8" x14ac:dyDescent="0.35">
      <c r="A8810" s="7" t="s">
        <v>376</v>
      </c>
      <c r="B8810" s="7" t="s">
        <v>26</v>
      </c>
      <c r="C8810" s="7" t="s">
        <v>27</v>
      </c>
      <c r="D8810" s="7" t="s">
        <v>28</v>
      </c>
      <c r="E8810" s="7" t="s">
        <v>29</v>
      </c>
      <c r="F8810" s="7" t="s">
        <v>179</v>
      </c>
      <c r="G8810" s="7">
        <v>99.775919999999999</v>
      </c>
      <c r="H8810" s="7"/>
    </row>
    <row r="8811" spans="1:8" x14ac:dyDescent="0.35">
      <c r="A8811" s="7" t="s">
        <v>376</v>
      </c>
      <c r="B8811" s="7" t="s">
        <v>26</v>
      </c>
      <c r="C8811" s="7" t="s">
        <v>27</v>
      </c>
      <c r="D8811" s="7" t="s">
        <v>28</v>
      </c>
      <c r="E8811" s="7" t="s">
        <v>29</v>
      </c>
      <c r="F8811" s="7" t="s">
        <v>180</v>
      </c>
      <c r="G8811" s="7">
        <v>99.788989999999998</v>
      </c>
      <c r="H8811" s="7"/>
    </row>
    <row r="8812" spans="1:8" x14ac:dyDescent="0.35">
      <c r="A8812" s="7" t="s">
        <v>376</v>
      </c>
      <c r="B8812" s="7" t="s">
        <v>26</v>
      </c>
      <c r="C8812" s="7" t="s">
        <v>27</v>
      </c>
      <c r="D8812" s="7" t="s">
        <v>28</v>
      </c>
      <c r="E8812" s="7" t="s">
        <v>29</v>
      </c>
      <c r="F8812" s="7" t="s">
        <v>181</v>
      </c>
      <c r="G8812" s="7">
        <v>99.760829999999999</v>
      </c>
      <c r="H8812" s="7"/>
    </row>
    <row r="8813" spans="1:8" x14ac:dyDescent="0.35">
      <c r="A8813" s="7" t="s">
        <v>376</v>
      </c>
      <c r="B8813" s="7" t="s">
        <v>26</v>
      </c>
      <c r="C8813" s="7" t="s">
        <v>27</v>
      </c>
      <c r="D8813" s="7" t="s">
        <v>28</v>
      </c>
      <c r="E8813" s="7" t="s">
        <v>29</v>
      </c>
      <c r="F8813" s="7" t="s">
        <v>182</v>
      </c>
      <c r="G8813" s="7">
        <v>99.700159999999997</v>
      </c>
      <c r="H8813" s="7"/>
    </row>
    <row r="8814" spans="1:8" x14ac:dyDescent="0.35">
      <c r="A8814" s="7" t="s">
        <v>376</v>
      </c>
      <c r="B8814" s="7" t="s">
        <v>26</v>
      </c>
      <c r="C8814" s="7" t="s">
        <v>27</v>
      </c>
      <c r="D8814" s="7" t="s">
        <v>28</v>
      </c>
      <c r="E8814" s="7" t="s">
        <v>29</v>
      </c>
      <c r="F8814" s="7" t="s">
        <v>183</v>
      </c>
      <c r="G8814" s="7">
        <v>99.673609999999996</v>
      </c>
      <c r="H8814" s="7"/>
    </row>
    <row r="8815" spans="1:8" x14ac:dyDescent="0.35">
      <c r="A8815" s="7" t="s">
        <v>376</v>
      </c>
      <c r="B8815" s="7" t="s">
        <v>26</v>
      </c>
      <c r="C8815" s="7" t="s">
        <v>27</v>
      </c>
      <c r="D8815" s="7" t="s">
        <v>28</v>
      </c>
      <c r="E8815" s="7" t="s">
        <v>29</v>
      </c>
      <c r="F8815" s="7" t="s">
        <v>184</v>
      </c>
      <c r="G8815" s="7">
        <v>99.72448</v>
      </c>
      <c r="H8815" s="7"/>
    </row>
    <row r="8816" spans="1:8" x14ac:dyDescent="0.35">
      <c r="A8816" s="7" t="s">
        <v>376</v>
      </c>
      <c r="B8816" s="7" t="s">
        <v>26</v>
      </c>
      <c r="C8816" s="7" t="s">
        <v>27</v>
      </c>
      <c r="D8816" s="7" t="s">
        <v>28</v>
      </c>
      <c r="E8816" s="7" t="s">
        <v>29</v>
      </c>
      <c r="F8816" s="7" t="s">
        <v>185</v>
      </c>
      <c r="G8816" s="7">
        <v>99.867940000000004</v>
      </c>
      <c r="H8816" s="7"/>
    </row>
    <row r="8817" spans="1:8" x14ac:dyDescent="0.35">
      <c r="A8817" s="7" t="s">
        <v>376</v>
      </c>
      <c r="B8817" s="7" t="s">
        <v>26</v>
      </c>
      <c r="C8817" s="7" t="s">
        <v>27</v>
      </c>
      <c r="D8817" s="7" t="s">
        <v>28</v>
      </c>
      <c r="E8817" s="7" t="s">
        <v>29</v>
      </c>
      <c r="F8817" s="7" t="s">
        <v>186</v>
      </c>
      <c r="G8817" s="7">
        <v>100.0086</v>
      </c>
      <c r="H8817" s="7"/>
    </row>
    <row r="8818" spans="1:8" x14ac:dyDescent="0.35">
      <c r="A8818" s="7" t="s">
        <v>376</v>
      </c>
      <c r="B8818" s="7" t="s">
        <v>26</v>
      </c>
      <c r="C8818" s="7" t="s">
        <v>27</v>
      </c>
      <c r="D8818" s="7" t="s">
        <v>28</v>
      </c>
      <c r="E8818" s="7" t="s">
        <v>29</v>
      </c>
      <c r="F8818" s="7" t="s">
        <v>187</v>
      </c>
      <c r="G8818" s="7">
        <v>100.0018</v>
      </c>
      <c r="H8818" s="7"/>
    </row>
    <row r="8819" spans="1:8" x14ac:dyDescent="0.35">
      <c r="A8819" s="7" t="s">
        <v>376</v>
      </c>
      <c r="B8819" s="7" t="s">
        <v>26</v>
      </c>
      <c r="C8819" s="7" t="s">
        <v>27</v>
      </c>
      <c r="D8819" s="7" t="s">
        <v>28</v>
      </c>
      <c r="E8819" s="7" t="s">
        <v>29</v>
      </c>
      <c r="F8819" s="7" t="s">
        <v>188</v>
      </c>
      <c r="G8819" s="7">
        <v>99.969639999999998</v>
      </c>
      <c r="H8819" s="7"/>
    </row>
    <row r="8820" spans="1:8" x14ac:dyDescent="0.35">
      <c r="A8820" s="7" t="s">
        <v>376</v>
      </c>
      <c r="B8820" s="7" t="s">
        <v>26</v>
      </c>
      <c r="C8820" s="7" t="s">
        <v>27</v>
      </c>
      <c r="D8820" s="7" t="s">
        <v>28</v>
      </c>
      <c r="E8820" s="7" t="s">
        <v>29</v>
      </c>
      <c r="F8820" s="7" t="s">
        <v>189</v>
      </c>
      <c r="G8820" s="7">
        <v>99.898510000000002</v>
      </c>
      <c r="H8820" s="7"/>
    </row>
    <row r="8821" spans="1:8" x14ac:dyDescent="0.35">
      <c r="A8821" s="7" t="s">
        <v>376</v>
      </c>
      <c r="B8821" s="7" t="s">
        <v>26</v>
      </c>
      <c r="C8821" s="7" t="s">
        <v>27</v>
      </c>
      <c r="D8821" s="7" t="s">
        <v>28</v>
      </c>
      <c r="E8821" s="7" t="s">
        <v>29</v>
      </c>
      <c r="F8821" s="7" t="s">
        <v>190</v>
      </c>
      <c r="G8821" s="7">
        <v>99.923069999999996</v>
      </c>
      <c r="H8821" s="7"/>
    </row>
    <row r="8822" spans="1:8" x14ac:dyDescent="0.35">
      <c r="A8822" s="7" t="s">
        <v>376</v>
      </c>
      <c r="B8822" s="7" t="s">
        <v>26</v>
      </c>
      <c r="C8822" s="7" t="s">
        <v>27</v>
      </c>
      <c r="D8822" s="7" t="s">
        <v>28</v>
      </c>
      <c r="E8822" s="7" t="s">
        <v>29</v>
      </c>
      <c r="F8822" s="7" t="s">
        <v>191</v>
      </c>
      <c r="G8822" s="7">
        <v>100.0351</v>
      </c>
      <c r="H8822" s="7"/>
    </row>
    <row r="8823" spans="1:8" x14ac:dyDescent="0.35">
      <c r="A8823" s="7" t="s">
        <v>376</v>
      </c>
      <c r="B8823" s="7" t="s">
        <v>26</v>
      </c>
      <c r="C8823" s="7" t="s">
        <v>27</v>
      </c>
      <c r="D8823" s="7" t="s">
        <v>28</v>
      </c>
      <c r="E8823" s="7" t="s">
        <v>29</v>
      </c>
      <c r="F8823" s="7" t="s">
        <v>192</v>
      </c>
      <c r="G8823" s="7">
        <v>99.995999999999995</v>
      </c>
      <c r="H8823" s="7"/>
    </row>
    <row r="8824" spans="1:8" x14ac:dyDescent="0.35">
      <c r="A8824" s="7" t="s">
        <v>376</v>
      </c>
      <c r="B8824" s="7" t="s">
        <v>26</v>
      </c>
      <c r="C8824" s="7" t="s">
        <v>27</v>
      </c>
      <c r="D8824" s="7" t="s">
        <v>28</v>
      </c>
      <c r="E8824" s="7" t="s">
        <v>29</v>
      </c>
      <c r="F8824" s="7" t="s">
        <v>193</v>
      </c>
      <c r="G8824" s="7">
        <v>99.791790000000006</v>
      </c>
      <c r="H8824" s="7"/>
    </row>
    <row r="8825" spans="1:8" x14ac:dyDescent="0.35">
      <c r="A8825" s="7" t="s">
        <v>376</v>
      </c>
      <c r="B8825" s="7" t="s">
        <v>26</v>
      </c>
      <c r="C8825" s="7" t="s">
        <v>27</v>
      </c>
      <c r="D8825" s="7" t="s">
        <v>28</v>
      </c>
      <c r="E8825" s="7" t="s">
        <v>29</v>
      </c>
      <c r="F8825" s="7" t="s">
        <v>194</v>
      </c>
      <c r="G8825" s="7">
        <v>99.577659999999995</v>
      </c>
      <c r="H8825" s="7"/>
    </row>
    <row r="8826" spans="1:8" x14ac:dyDescent="0.35">
      <c r="A8826" s="7" t="s">
        <v>376</v>
      </c>
      <c r="B8826" s="7" t="s">
        <v>26</v>
      </c>
      <c r="C8826" s="7" t="s">
        <v>27</v>
      </c>
      <c r="D8826" s="7" t="s">
        <v>28</v>
      </c>
      <c r="E8826" s="7" t="s">
        <v>29</v>
      </c>
      <c r="F8826" s="7" t="s">
        <v>195</v>
      </c>
      <c r="G8826" s="7">
        <v>99.488439999999997</v>
      </c>
      <c r="H8826" s="7"/>
    </row>
    <row r="8827" spans="1:8" x14ac:dyDescent="0.35">
      <c r="A8827" s="7" t="s">
        <v>376</v>
      </c>
      <c r="B8827" s="7" t="s">
        <v>26</v>
      </c>
      <c r="C8827" s="7" t="s">
        <v>27</v>
      </c>
      <c r="D8827" s="7" t="s">
        <v>28</v>
      </c>
      <c r="E8827" s="7" t="s">
        <v>29</v>
      </c>
      <c r="F8827" s="7" t="s">
        <v>196</v>
      </c>
      <c r="G8827" s="7">
        <v>99.521969999999996</v>
      </c>
      <c r="H8827" s="7"/>
    </row>
    <row r="8828" spans="1:8" x14ac:dyDescent="0.35">
      <c r="A8828" s="7" t="s">
        <v>376</v>
      </c>
      <c r="B8828" s="7" t="s">
        <v>26</v>
      </c>
      <c r="C8828" s="7" t="s">
        <v>27</v>
      </c>
      <c r="D8828" s="7" t="s">
        <v>28</v>
      </c>
      <c r="E8828" s="7" t="s">
        <v>29</v>
      </c>
      <c r="F8828" s="7" t="s">
        <v>197</v>
      </c>
      <c r="G8828" s="7">
        <v>99.644040000000004</v>
      </c>
      <c r="H8828" s="7"/>
    </row>
    <row r="8829" spans="1:8" x14ac:dyDescent="0.35">
      <c r="A8829" s="7" t="s">
        <v>376</v>
      </c>
      <c r="B8829" s="7" t="s">
        <v>26</v>
      </c>
      <c r="C8829" s="7" t="s">
        <v>27</v>
      </c>
      <c r="D8829" s="7" t="s">
        <v>28</v>
      </c>
      <c r="E8829" s="7" t="s">
        <v>29</v>
      </c>
      <c r="F8829" s="7" t="s">
        <v>198</v>
      </c>
      <c r="G8829" s="7">
        <v>99.802149999999997</v>
      </c>
      <c r="H8829" s="7"/>
    </row>
    <row r="8830" spans="1:8" x14ac:dyDescent="0.35">
      <c r="A8830" s="7" t="s">
        <v>376</v>
      </c>
      <c r="B8830" s="7" t="s">
        <v>26</v>
      </c>
      <c r="C8830" s="7" t="s">
        <v>27</v>
      </c>
      <c r="D8830" s="7" t="s">
        <v>28</v>
      </c>
      <c r="E8830" s="7" t="s">
        <v>29</v>
      </c>
      <c r="F8830" s="7" t="s">
        <v>199</v>
      </c>
      <c r="G8830" s="7">
        <v>99.882189999999994</v>
      </c>
      <c r="H8830" s="7"/>
    </row>
    <row r="8831" spans="1:8" x14ac:dyDescent="0.35">
      <c r="A8831" s="7" t="s">
        <v>376</v>
      </c>
      <c r="B8831" s="7" t="s">
        <v>26</v>
      </c>
      <c r="C8831" s="7" t="s">
        <v>27</v>
      </c>
      <c r="D8831" s="7" t="s">
        <v>28</v>
      </c>
      <c r="E8831" s="7" t="s">
        <v>29</v>
      </c>
      <c r="F8831" s="7" t="s">
        <v>200</v>
      </c>
      <c r="G8831" s="7">
        <v>99.959850000000003</v>
      </c>
      <c r="H8831" s="7"/>
    </row>
    <row r="8832" spans="1:8" x14ac:dyDescent="0.35">
      <c r="A8832" s="7" t="s">
        <v>376</v>
      </c>
      <c r="B8832" s="7" t="s">
        <v>26</v>
      </c>
      <c r="C8832" s="7" t="s">
        <v>27</v>
      </c>
      <c r="D8832" s="7" t="s">
        <v>28</v>
      </c>
      <c r="E8832" s="7" t="s">
        <v>29</v>
      </c>
      <c r="F8832" s="7" t="s">
        <v>201</v>
      </c>
      <c r="G8832" s="7">
        <v>100.126</v>
      </c>
      <c r="H8832" s="7"/>
    </row>
    <row r="8833" spans="1:8" x14ac:dyDescent="0.35">
      <c r="A8833" s="7" t="s">
        <v>376</v>
      </c>
      <c r="B8833" s="7" t="s">
        <v>26</v>
      </c>
      <c r="C8833" s="7" t="s">
        <v>27</v>
      </c>
      <c r="D8833" s="7" t="s">
        <v>28</v>
      </c>
      <c r="E8833" s="7" t="s">
        <v>29</v>
      </c>
      <c r="F8833" s="7" t="s">
        <v>202</v>
      </c>
      <c r="G8833" s="7">
        <v>100.22020000000001</v>
      </c>
      <c r="H8833" s="7"/>
    </row>
    <row r="8834" spans="1:8" x14ac:dyDescent="0.35">
      <c r="A8834" s="7" t="s">
        <v>376</v>
      </c>
      <c r="B8834" s="7" t="s">
        <v>26</v>
      </c>
      <c r="C8834" s="7" t="s">
        <v>27</v>
      </c>
      <c r="D8834" s="7" t="s">
        <v>28</v>
      </c>
      <c r="E8834" s="7" t="s">
        <v>29</v>
      </c>
      <c r="F8834" s="7" t="s">
        <v>203</v>
      </c>
      <c r="G8834" s="7">
        <v>100.2786</v>
      </c>
      <c r="H8834" s="7"/>
    </row>
    <row r="8835" spans="1:8" x14ac:dyDescent="0.35">
      <c r="A8835" s="7" t="s">
        <v>376</v>
      </c>
      <c r="B8835" s="7" t="s">
        <v>26</v>
      </c>
      <c r="C8835" s="7" t="s">
        <v>27</v>
      </c>
      <c r="D8835" s="7" t="s">
        <v>28</v>
      </c>
      <c r="E8835" s="7" t="s">
        <v>29</v>
      </c>
      <c r="F8835" s="7" t="s">
        <v>204</v>
      </c>
      <c r="G8835" s="7">
        <v>100.3768</v>
      </c>
      <c r="H8835" s="7"/>
    </row>
    <row r="8836" spans="1:8" x14ac:dyDescent="0.35">
      <c r="A8836" s="7" t="s">
        <v>376</v>
      </c>
      <c r="B8836" s="7" t="s">
        <v>26</v>
      </c>
      <c r="C8836" s="7" t="s">
        <v>27</v>
      </c>
      <c r="D8836" s="7" t="s">
        <v>28</v>
      </c>
      <c r="E8836" s="7" t="s">
        <v>29</v>
      </c>
      <c r="F8836" s="7" t="s">
        <v>205</v>
      </c>
      <c r="G8836" s="7">
        <v>100.39830000000001</v>
      </c>
      <c r="H8836" s="7"/>
    </row>
    <row r="8837" spans="1:8" x14ac:dyDescent="0.35">
      <c r="A8837" s="7" t="s">
        <v>376</v>
      </c>
      <c r="B8837" s="7" t="s">
        <v>26</v>
      </c>
      <c r="C8837" s="7" t="s">
        <v>27</v>
      </c>
      <c r="D8837" s="7" t="s">
        <v>28</v>
      </c>
      <c r="E8837" s="7" t="s">
        <v>29</v>
      </c>
      <c r="F8837" s="7" t="s">
        <v>206</v>
      </c>
      <c r="G8837" s="7">
        <v>100.4088</v>
      </c>
      <c r="H8837" s="7"/>
    </row>
    <row r="8838" spans="1:8" x14ac:dyDescent="0.35">
      <c r="A8838" s="7" t="s">
        <v>376</v>
      </c>
      <c r="B8838" s="7" t="s">
        <v>26</v>
      </c>
      <c r="C8838" s="7" t="s">
        <v>27</v>
      </c>
      <c r="D8838" s="7" t="s">
        <v>28</v>
      </c>
      <c r="E8838" s="7" t="s">
        <v>29</v>
      </c>
      <c r="F8838" s="7" t="s">
        <v>207</v>
      </c>
      <c r="G8838" s="7">
        <v>100.3355</v>
      </c>
      <c r="H8838" s="7"/>
    </row>
    <row r="8839" spans="1:8" x14ac:dyDescent="0.35">
      <c r="A8839" s="7" t="s">
        <v>376</v>
      </c>
      <c r="B8839" s="7" t="s">
        <v>26</v>
      </c>
      <c r="C8839" s="7" t="s">
        <v>27</v>
      </c>
      <c r="D8839" s="7" t="s">
        <v>28</v>
      </c>
      <c r="E8839" s="7" t="s">
        <v>29</v>
      </c>
      <c r="F8839" s="7" t="s">
        <v>208</v>
      </c>
      <c r="G8839" s="7">
        <v>100.2242</v>
      </c>
      <c r="H8839" s="7"/>
    </row>
    <row r="8840" spans="1:8" x14ac:dyDescent="0.35">
      <c r="A8840" s="7" t="s">
        <v>376</v>
      </c>
      <c r="B8840" s="7" t="s">
        <v>26</v>
      </c>
      <c r="C8840" s="7" t="s">
        <v>27</v>
      </c>
      <c r="D8840" s="7" t="s">
        <v>28</v>
      </c>
      <c r="E8840" s="7" t="s">
        <v>29</v>
      </c>
      <c r="F8840" s="7" t="s">
        <v>209</v>
      </c>
      <c r="G8840" s="7">
        <v>100.0607</v>
      </c>
      <c r="H8840" s="7"/>
    </row>
    <row r="8841" spans="1:8" x14ac:dyDescent="0.35">
      <c r="A8841" s="7" t="s">
        <v>376</v>
      </c>
      <c r="B8841" s="7" t="s">
        <v>26</v>
      </c>
      <c r="C8841" s="7" t="s">
        <v>27</v>
      </c>
      <c r="D8841" s="7" t="s">
        <v>28</v>
      </c>
      <c r="E8841" s="7" t="s">
        <v>29</v>
      </c>
      <c r="F8841" s="7" t="s">
        <v>210</v>
      </c>
      <c r="G8841" s="7">
        <v>100.0552</v>
      </c>
      <c r="H8841" s="7"/>
    </row>
    <row r="8842" spans="1:8" x14ac:dyDescent="0.35">
      <c r="A8842" s="7" t="s">
        <v>376</v>
      </c>
      <c r="B8842" s="7" t="s">
        <v>26</v>
      </c>
      <c r="C8842" s="7" t="s">
        <v>27</v>
      </c>
      <c r="D8842" s="7" t="s">
        <v>28</v>
      </c>
      <c r="E8842" s="7" t="s">
        <v>29</v>
      </c>
      <c r="F8842" s="7" t="s">
        <v>211</v>
      </c>
      <c r="G8842" s="7">
        <v>100.19159999999999</v>
      </c>
      <c r="H8842" s="7"/>
    </row>
    <row r="8843" spans="1:8" x14ac:dyDescent="0.35">
      <c r="A8843" s="7" t="s">
        <v>376</v>
      </c>
      <c r="B8843" s="7" t="s">
        <v>26</v>
      </c>
      <c r="C8843" s="7" t="s">
        <v>27</v>
      </c>
      <c r="D8843" s="7" t="s">
        <v>28</v>
      </c>
      <c r="E8843" s="7" t="s">
        <v>29</v>
      </c>
      <c r="F8843" s="7" t="s">
        <v>212</v>
      </c>
      <c r="G8843" s="7">
        <v>100.24890000000001</v>
      </c>
      <c r="H8843" s="7"/>
    </row>
    <row r="8844" spans="1:8" x14ac:dyDescent="0.35">
      <c r="A8844" s="7" t="s">
        <v>376</v>
      </c>
      <c r="B8844" s="7" t="s">
        <v>26</v>
      </c>
      <c r="C8844" s="7" t="s">
        <v>27</v>
      </c>
      <c r="D8844" s="7" t="s">
        <v>28</v>
      </c>
      <c r="E8844" s="7" t="s">
        <v>29</v>
      </c>
      <c r="F8844" s="7" t="s">
        <v>213</v>
      </c>
      <c r="G8844" s="7">
        <v>100.2945</v>
      </c>
      <c r="H8844" s="7"/>
    </row>
    <row r="8845" spans="1:8" x14ac:dyDescent="0.35">
      <c r="A8845" s="7" t="s">
        <v>376</v>
      </c>
      <c r="B8845" s="7" t="s">
        <v>26</v>
      </c>
      <c r="C8845" s="7" t="s">
        <v>27</v>
      </c>
      <c r="D8845" s="7" t="s">
        <v>28</v>
      </c>
      <c r="E8845" s="7" t="s">
        <v>29</v>
      </c>
      <c r="F8845" s="7" t="s">
        <v>214</v>
      </c>
      <c r="G8845" s="7">
        <v>100.2492</v>
      </c>
      <c r="H8845" s="7"/>
    </row>
    <row r="8846" spans="1:8" x14ac:dyDescent="0.35">
      <c r="A8846" s="7" t="s">
        <v>376</v>
      </c>
      <c r="B8846" s="7" t="s">
        <v>26</v>
      </c>
      <c r="C8846" s="7" t="s">
        <v>27</v>
      </c>
      <c r="D8846" s="7" t="s">
        <v>28</v>
      </c>
      <c r="E8846" s="7" t="s">
        <v>29</v>
      </c>
      <c r="F8846" s="7" t="s">
        <v>215</v>
      </c>
      <c r="G8846" s="7">
        <v>100.0463</v>
      </c>
      <c r="H8846" s="7"/>
    </row>
    <row r="8847" spans="1:8" x14ac:dyDescent="0.35">
      <c r="A8847" s="7" t="s">
        <v>376</v>
      </c>
      <c r="B8847" s="7" t="s">
        <v>26</v>
      </c>
      <c r="C8847" s="7" t="s">
        <v>27</v>
      </c>
      <c r="D8847" s="7" t="s">
        <v>28</v>
      </c>
      <c r="E8847" s="7" t="s">
        <v>29</v>
      </c>
      <c r="F8847" s="7" t="s">
        <v>216</v>
      </c>
      <c r="G8847" s="7">
        <v>99.881609999999995</v>
      </c>
      <c r="H8847" s="7"/>
    </row>
    <row r="8848" spans="1:8" x14ac:dyDescent="0.35">
      <c r="A8848" s="7" t="s">
        <v>376</v>
      </c>
      <c r="B8848" s="7" t="s">
        <v>26</v>
      </c>
      <c r="C8848" s="7" t="s">
        <v>27</v>
      </c>
      <c r="D8848" s="7" t="s">
        <v>28</v>
      </c>
      <c r="E8848" s="7" t="s">
        <v>29</v>
      </c>
      <c r="F8848" s="7" t="s">
        <v>217</v>
      </c>
      <c r="G8848" s="7">
        <v>99.738929999999996</v>
      </c>
      <c r="H8848" s="7"/>
    </row>
    <row r="8849" spans="1:8" x14ac:dyDescent="0.35">
      <c r="A8849" s="7" t="s">
        <v>376</v>
      </c>
      <c r="B8849" s="7" t="s">
        <v>26</v>
      </c>
      <c r="C8849" s="7" t="s">
        <v>27</v>
      </c>
      <c r="D8849" s="7" t="s">
        <v>28</v>
      </c>
      <c r="E8849" s="7" t="s">
        <v>29</v>
      </c>
      <c r="F8849" s="7" t="s">
        <v>218</v>
      </c>
      <c r="G8849" s="7">
        <v>99.665220000000005</v>
      </c>
      <c r="H8849" s="7"/>
    </row>
    <row r="8850" spans="1:8" x14ac:dyDescent="0.35">
      <c r="A8850" s="7" t="s">
        <v>376</v>
      </c>
      <c r="B8850" s="7" t="s">
        <v>26</v>
      </c>
      <c r="C8850" s="7" t="s">
        <v>27</v>
      </c>
      <c r="D8850" s="7" t="s">
        <v>28</v>
      </c>
      <c r="E8850" s="7" t="s">
        <v>29</v>
      </c>
      <c r="F8850" s="7" t="s">
        <v>219</v>
      </c>
      <c r="G8850" s="7">
        <v>99.582440000000005</v>
      </c>
      <c r="H8850" s="7"/>
    </row>
    <row r="8851" spans="1:8" x14ac:dyDescent="0.35">
      <c r="A8851" s="7" t="s">
        <v>376</v>
      </c>
      <c r="B8851" s="7" t="s">
        <v>26</v>
      </c>
      <c r="C8851" s="7" t="s">
        <v>27</v>
      </c>
      <c r="D8851" s="7" t="s">
        <v>28</v>
      </c>
      <c r="E8851" s="7" t="s">
        <v>29</v>
      </c>
      <c r="F8851" s="7" t="s">
        <v>220</v>
      </c>
      <c r="G8851" s="7">
        <v>99.502939999999995</v>
      </c>
      <c r="H8851" s="7"/>
    </row>
    <row r="8852" spans="1:8" x14ac:dyDescent="0.35">
      <c r="A8852" s="7" t="s">
        <v>376</v>
      </c>
      <c r="B8852" s="7" t="s">
        <v>26</v>
      </c>
      <c r="C8852" s="7" t="s">
        <v>27</v>
      </c>
      <c r="D8852" s="7" t="s">
        <v>28</v>
      </c>
      <c r="E8852" s="7" t="s">
        <v>29</v>
      </c>
      <c r="F8852" s="7" t="s">
        <v>221</v>
      </c>
      <c r="G8852" s="7">
        <v>99.376109999999997</v>
      </c>
      <c r="H8852" s="7"/>
    </row>
    <row r="8853" spans="1:8" x14ac:dyDescent="0.35">
      <c r="A8853" s="7" t="s">
        <v>376</v>
      </c>
      <c r="B8853" s="7" t="s">
        <v>26</v>
      </c>
      <c r="C8853" s="7" t="s">
        <v>27</v>
      </c>
      <c r="D8853" s="7" t="s">
        <v>28</v>
      </c>
      <c r="E8853" s="7" t="s">
        <v>29</v>
      </c>
      <c r="F8853" s="7" t="s">
        <v>222</v>
      </c>
      <c r="G8853" s="7">
        <v>99.262280000000004</v>
      </c>
      <c r="H8853" s="7"/>
    </row>
    <row r="8854" spans="1:8" x14ac:dyDescent="0.35">
      <c r="A8854" s="7" t="s">
        <v>376</v>
      </c>
      <c r="B8854" s="7" t="s">
        <v>26</v>
      </c>
      <c r="C8854" s="7" t="s">
        <v>27</v>
      </c>
      <c r="D8854" s="7" t="s">
        <v>28</v>
      </c>
      <c r="E8854" s="7" t="s">
        <v>29</v>
      </c>
      <c r="F8854" s="7" t="s">
        <v>223</v>
      </c>
      <c r="G8854" s="7">
        <v>99.191829999999996</v>
      </c>
      <c r="H8854" s="7"/>
    </row>
    <row r="8855" spans="1:8" x14ac:dyDescent="0.35">
      <c r="A8855" s="7" t="s">
        <v>376</v>
      </c>
      <c r="B8855" s="7" t="s">
        <v>26</v>
      </c>
      <c r="C8855" s="7" t="s">
        <v>27</v>
      </c>
      <c r="D8855" s="7" t="s">
        <v>28</v>
      </c>
      <c r="E8855" s="7" t="s">
        <v>29</v>
      </c>
      <c r="F8855" s="7" t="s">
        <v>224</v>
      </c>
      <c r="G8855" s="7">
        <v>99.137240000000006</v>
      </c>
      <c r="H8855" s="7"/>
    </row>
    <row r="8856" spans="1:8" x14ac:dyDescent="0.35">
      <c r="A8856" s="7" t="s">
        <v>376</v>
      </c>
      <c r="B8856" s="7" t="s">
        <v>26</v>
      </c>
      <c r="C8856" s="7" t="s">
        <v>27</v>
      </c>
      <c r="D8856" s="7" t="s">
        <v>28</v>
      </c>
      <c r="E8856" s="7" t="s">
        <v>29</v>
      </c>
      <c r="F8856" s="7" t="s">
        <v>225</v>
      </c>
      <c r="G8856" s="7">
        <v>99.052080000000004</v>
      </c>
      <c r="H8856" s="7"/>
    </row>
    <row r="8857" spans="1:8" x14ac:dyDescent="0.35">
      <c r="A8857" s="7" t="s">
        <v>376</v>
      </c>
      <c r="B8857" s="7" t="s">
        <v>26</v>
      </c>
      <c r="C8857" s="7" t="s">
        <v>27</v>
      </c>
      <c r="D8857" s="7" t="s">
        <v>28</v>
      </c>
      <c r="E8857" s="7" t="s">
        <v>29</v>
      </c>
      <c r="F8857" s="7" t="s">
        <v>226</v>
      </c>
      <c r="G8857" s="7">
        <v>99.035830000000004</v>
      </c>
      <c r="H8857" s="7"/>
    </row>
    <row r="8858" spans="1:8" x14ac:dyDescent="0.35">
      <c r="A8858" s="7" t="s">
        <v>376</v>
      </c>
      <c r="B8858" s="7" t="s">
        <v>26</v>
      </c>
      <c r="C8858" s="7" t="s">
        <v>27</v>
      </c>
      <c r="D8858" s="7" t="s">
        <v>28</v>
      </c>
      <c r="E8858" s="7" t="s">
        <v>29</v>
      </c>
      <c r="F8858" s="7" t="s">
        <v>227</v>
      </c>
      <c r="G8858" s="7">
        <v>99.214290000000005</v>
      </c>
      <c r="H8858" s="7"/>
    </row>
    <row r="8859" spans="1:8" x14ac:dyDescent="0.35">
      <c r="A8859" s="7" t="s">
        <v>376</v>
      </c>
      <c r="B8859" s="7" t="s">
        <v>26</v>
      </c>
      <c r="C8859" s="7" t="s">
        <v>27</v>
      </c>
      <c r="D8859" s="7" t="s">
        <v>28</v>
      </c>
      <c r="E8859" s="7" t="s">
        <v>29</v>
      </c>
      <c r="F8859" s="7" t="s">
        <v>228</v>
      </c>
      <c r="G8859" s="7">
        <v>99.377790000000005</v>
      </c>
      <c r="H8859" s="7"/>
    </row>
    <row r="8860" spans="1:8" x14ac:dyDescent="0.35">
      <c r="A8860" s="7" t="s">
        <v>376</v>
      </c>
      <c r="B8860" s="7" t="s">
        <v>26</v>
      </c>
      <c r="C8860" s="7" t="s">
        <v>27</v>
      </c>
      <c r="D8860" s="7" t="s">
        <v>28</v>
      </c>
      <c r="E8860" s="7" t="s">
        <v>29</v>
      </c>
      <c r="F8860" s="7" t="s">
        <v>229</v>
      </c>
      <c r="G8860" s="7">
        <v>99.259540000000001</v>
      </c>
      <c r="H8860" s="7"/>
    </row>
    <row r="8861" spans="1:8" x14ac:dyDescent="0.35">
      <c r="A8861" s="7" t="s">
        <v>376</v>
      </c>
      <c r="B8861" s="7" t="s">
        <v>26</v>
      </c>
      <c r="C8861" s="7" t="s">
        <v>27</v>
      </c>
      <c r="D8861" s="7" t="s">
        <v>28</v>
      </c>
      <c r="E8861" s="7" t="s">
        <v>29</v>
      </c>
      <c r="F8861" s="7" t="s">
        <v>230</v>
      </c>
      <c r="G8861" s="7">
        <v>98.986350000000002</v>
      </c>
      <c r="H8861" s="7"/>
    </row>
    <row r="8862" spans="1:8" x14ac:dyDescent="0.35">
      <c r="A8862" s="7" t="s">
        <v>376</v>
      </c>
      <c r="B8862" s="7" t="s">
        <v>26</v>
      </c>
      <c r="C8862" s="7" t="s">
        <v>27</v>
      </c>
      <c r="D8862" s="7" t="s">
        <v>28</v>
      </c>
      <c r="E8862" s="7" t="s">
        <v>29</v>
      </c>
      <c r="F8862" s="7" t="s">
        <v>231</v>
      </c>
      <c r="G8862" s="7">
        <v>98.913409999999999</v>
      </c>
      <c r="H8862" s="7"/>
    </row>
    <row r="8863" spans="1:8" x14ac:dyDescent="0.35">
      <c r="A8863" s="7" t="s">
        <v>376</v>
      </c>
      <c r="B8863" s="7" t="s">
        <v>26</v>
      </c>
      <c r="C8863" s="7" t="s">
        <v>27</v>
      </c>
      <c r="D8863" s="7" t="s">
        <v>28</v>
      </c>
      <c r="E8863" s="7" t="s">
        <v>29</v>
      </c>
      <c r="F8863" s="7" t="s">
        <v>232</v>
      </c>
      <c r="G8863" s="7">
        <v>98.905199999999994</v>
      </c>
      <c r="H8863" s="7"/>
    </row>
    <row r="8864" spans="1:8" x14ac:dyDescent="0.35">
      <c r="A8864" s="7" t="s">
        <v>376</v>
      </c>
      <c r="B8864" s="7" t="s">
        <v>26</v>
      </c>
      <c r="C8864" s="7" t="s">
        <v>27</v>
      </c>
      <c r="D8864" s="7" t="s">
        <v>28</v>
      </c>
      <c r="E8864" s="7" t="s">
        <v>29</v>
      </c>
      <c r="F8864" s="7" t="s">
        <v>233</v>
      </c>
      <c r="G8864" s="7">
        <v>98.75488</v>
      </c>
      <c r="H8864" s="7"/>
    </row>
    <row r="8865" spans="1:8" x14ac:dyDescent="0.35">
      <c r="A8865" s="7" t="s">
        <v>376</v>
      </c>
      <c r="B8865" s="7" t="s">
        <v>26</v>
      </c>
      <c r="C8865" s="7" t="s">
        <v>27</v>
      </c>
      <c r="D8865" s="7" t="s">
        <v>28</v>
      </c>
      <c r="E8865" s="7" t="s">
        <v>29</v>
      </c>
      <c r="F8865" s="7" t="s">
        <v>234</v>
      </c>
      <c r="G8865" s="7">
        <v>98.476079999999996</v>
      </c>
      <c r="H8865" s="7"/>
    </row>
    <row r="8866" spans="1:8" x14ac:dyDescent="0.35">
      <c r="A8866" s="7" t="s">
        <v>376</v>
      </c>
      <c r="B8866" s="7" t="s">
        <v>26</v>
      </c>
      <c r="C8866" s="7" t="s">
        <v>27</v>
      </c>
      <c r="D8866" s="7" t="s">
        <v>28</v>
      </c>
      <c r="E8866" s="7" t="s">
        <v>29</v>
      </c>
      <c r="F8866" s="7" t="s">
        <v>235</v>
      </c>
      <c r="G8866" s="7">
        <v>98.248450000000005</v>
      </c>
      <c r="H8866" s="7"/>
    </row>
    <row r="8867" spans="1:8" x14ac:dyDescent="0.35">
      <c r="A8867" s="7" t="s">
        <v>376</v>
      </c>
      <c r="B8867" s="7" t="s">
        <v>26</v>
      </c>
      <c r="C8867" s="7" t="s">
        <v>27</v>
      </c>
      <c r="D8867" s="7" t="s">
        <v>28</v>
      </c>
      <c r="E8867" s="7" t="s">
        <v>29</v>
      </c>
      <c r="F8867" s="7" t="s">
        <v>236</v>
      </c>
      <c r="G8867" s="7">
        <v>98.223910000000004</v>
      </c>
      <c r="H8867" s="7"/>
    </row>
    <row r="8868" spans="1:8" x14ac:dyDescent="0.35">
      <c r="A8868" s="7" t="s">
        <v>376</v>
      </c>
      <c r="B8868" s="7" t="s">
        <v>26</v>
      </c>
      <c r="C8868" s="7" t="s">
        <v>27</v>
      </c>
      <c r="D8868" s="7" t="s">
        <v>28</v>
      </c>
      <c r="E8868" s="7" t="s">
        <v>29</v>
      </c>
      <c r="F8868" s="7" t="s">
        <v>237</v>
      </c>
      <c r="G8868" s="7">
        <v>98.171490000000006</v>
      </c>
      <c r="H8868" s="7"/>
    </row>
    <row r="8869" spans="1:8" x14ac:dyDescent="0.35">
      <c r="A8869" s="7" t="s">
        <v>376</v>
      </c>
      <c r="B8869" s="7" t="s">
        <v>26</v>
      </c>
      <c r="C8869" s="7" t="s">
        <v>27</v>
      </c>
      <c r="D8869" s="7" t="s">
        <v>28</v>
      </c>
      <c r="E8869" s="7" t="s">
        <v>29</v>
      </c>
      <c r="F8869" s="7" t="s">
        <v>238</v>
      </c>
      <c r="G8869" s="7">
        <v>98.22645</v>
      </c>
      <c r="H8869" s="7"/>
    </row>
    <row r="8870" spans="1:8" x14ac:dyDescent="0.35">
      <c r="A8870" s="7" t="s">
        <v>376</v>
      </c>
      <c r="B8870" s="7" t="s">
        <v>26</v>
      </c>
      <c r="C8870" s="7" t="s">
        <v>27</v>
      </c>
      <c r="D8870" s="7" t="s">
        <v>28</v>
      </c>
      <c r="E8870" s="7" t="s">
        <v>29</v>
      </c>
      <c r="F8870" s="7" t="s">
        <v>239</v>
      </c>
      <c r="G8870" s="7">
        <v>98.627679999999998</v>
      </c>
      <c r="H8870" s="7"/>
    </row>
    <row r="8871" spans="1:8" x14ac:dyDescent="0.35">
      <c r="A8871" s="7" t="s">
        <v>376</v>
      </c>
      <c r="B8871" s="7" t="s">
        <v>26</v>
      </c>
      <c r="C8871" s="7" t="s">
        <v>27</v>
      </c>
      <c r="D8871" s="7" t="s">
        <v>28</v>
      </c>
      <c r="E8871" s="7" t="s">
        <v>29</v>
      </c>
      <c r="F8871" s="7" t="s">
        <v>240</v>
      </c>
      <c r="G8871" s="7">
        <v>99.048439999999999</v>
      </c>
      <c r="H8871" s="7"/>
    </row>
    <row r="8872" spans="1:8" x14ac:dyDescent="0.35">
      <c r="A8872" s="7" t="s">
        <v>376</v>
      </c>
      <c r="B8872" s="7" t="s">
        <v>26</v>
      </c>
      <c r="C8872" s="7" t="s">
        <v>27</v>
      </c>
      <c r="D8872" s="7" t="s">
        <v>28</v>
      </c>
      <c r="E8872" s="7" t="s">
        <v>29</v>
      </c>
      <c r="F8872" s="7" t="s">
        <v>241</v>
      </c>
      <c r="G8872" s="7">
        <v>99.518199999999993</v>
      </c>
      <c r="H8872" s="7"/>
    </row>
    <row r="8873" spans="1:8" x14ac:dyDescent="0.35">
      <c r="A8873" s="7" t="s">
        <v>376</v>
      </c>
      <c r="B8873" s="7" t="s">
        <v>26</v>
      </c>
      <c r="C8873" s="7" t="s">
        <v>27</v>
      </c>
      <c r="D8873" s="7" t="s">
        <v>28</v>
      </c>
      <c r="E8873" s="7" t="s">
        <v>29</v>
      </c>
      <c r="F8873" s="7" t="s">
        <v>242</v>
      </c>
      <c r="G8873" s="7">
        <v>99.938860000000005</v>
      </c>
      <c r="H8873" s="7"/>
    </row>
    <row r="8874" spans="1:8" x14ac:dyDescent="0.35">
      <c r="A8874" s="7" t="s">
        <v>376</v>
      </c>
      <c r="B8874" s="7" t="s">
        <v>26</v>
      </c>
      <c r="C8874" s="7" t="s">
        <v>27</v>
      </c>
      <c r="D8874" s="7" t="s">
        <v>28</v>
      </c>
      <c r="E8874" s="7" t="s">
        <v>29</v>
      </c>
      <c r="F8874" s="7" t="s">
        <v>243</v>
      </c>
      <c r="G8874" s="7">
        <v>100.16630000000001</v>
      </c>
      <c r="H8874" s="7"/>
    </row>
    <row r="8875" spans="1:8" x14ac:dyDescent="0.35">
      <c r="A8875" s="7" t="s">
        <v>376</v>
      </c>
      <c r="B8875" s="7" t="s">
        <v>26</v>
      </c>
      <c r="C8875" s="7" t="s">
        <v>27</v>
      </c>
      <c r="D8875" s="7" t="s">
        <v>28</v>
      </c>
      <c r="E8875" s="7" t="s">
        <v>29</v>
      </c>
      <c r="F8875" s="7" t="s">
        <v>244</v>
      </c>
      <c r="G8875" s="7">
        <v>100.1725</v>
      </c>
      <c r="H8875" s="7"/>
    </row>
    <row r="8876" spans="1:8" x14ac:dyDescent="0.35">
      <c r="A8876" s="7" t="s">
        <v>376</v>
      </c>
      <c r="B8876" s="7" t="s">
        <v>26</v>
      </c>
      <c r="C8876" s="7" t="s">
        <v>27</v>
      </c>
      <c r="D8876" s="7" t="s">
        <v>28</v>
      </c>
      <c r="E8876" s="7" t="s">
        <v>29</v>
      </c>
      <c r="F8876" s="7" t="s">
        <v>245</v>
      </c>
      <c r="G8876" s="7">
        <v>100.08580000000001</v>
      </c>
      <c r="H8876" s="7"/>
    </row>
    <row r="8877" spans="1:8" x14ac:dyDescent="0.35">
      <c r="A8877" s="7" t="s">
        <v>376</v>
      </c>
      <c r="B8877" s="7" t="s">
        <v>26</v>
      </c>
      <c r="C8877" s="7" t="s">
        <v>27</v>
      </c>
      <c r="D8877" s="7" t="s">
        <v>28</v>
      </c>
      <c r="E8877" s="7" t="s">
        <v>29</v>
      </c>
      <c r="F8877" s="7" t="s">
        <v>246</v>
      </c>
      <c r="G8877" s="7">
        <v>100.0745</v>
      </c>
      <c r="H8877" s="7"/>
    </row>
    <row r="8878" spans="1:8" x14ac:dyDescent="0.35">
      <c r="A8878" s="7" t="s">
        <v>376</v>
      </c>
      <c r="B8878" s="7" t="s">
        <v>26</v>
      </c>
      <c r="C8878" s="7" t="s">
        <v>27</v>
      </c>
      <c r="D8878" s="7" t="s">
        <v>28</v>
      </c>
      <c r="E8878" s="7" t="s">
        <v>29</v>
      </c>
      <c r="F8878" s="7" t="s">
        <v>247</v>
      </c>
      <c r="G8878" s="7">
        <v>100.0239</v>
      </c>
      <c r="H8878" s="7"/>
    </row>
    <row r="8879" spans="1:8" x14ac:dyDescent="0.35">
      <c r="A8879" s="7" t="s">
        <v>376</v>
      </c>
      <c r="B8879" s="7" t="s">
        <v>26</v>
      </c>
      <c r="C8879" s="7" t="s">
        <v>27</v>
      </c>
      <c r="D8879" s="7" t="s">
        <v>28</v>
      </c>
      <c r="E8879" s="7" t="s">
        <v>29</v>
      </c>
      <c r="F8879" s="7" t="s">
        <v>248</v>
      </c>
      <c r="G8879" s="7">
        <v>99.815700000000007</v>
      </c>
      <c r="H8879" s="7"/>
    </row>
    <row r="8880" spans="1:8" x14ac:dyDescent="0.35">
      <c r="A8880" s="7" t="s">
        <v>376</v>
      </c>
      <c r="B8880" s="7" t="s">
        <v>26</v>
      </c>
      <c r="C8880" s="7" t="s">
        <v>27</v>
      </c>
      <c r="D8880" s="7" t="s">
        <v>28</v>
      </c>
      <c r="E8880" s="7" t="s">
        <v>29</v>
      </c>
      <c r="F8880" s="7" t="s">
        <v>249</v>
      </c>
      <c r="G8880" s="7">
        <v>99.488460000000003</v>
      </c>
      <c r="H8880" s="7"/>
    </row>
    <row r="8881" spans="1:8" x14ac:dyDescent="0.35">
      <c r="A8881" s="7" t="s">
        <v>376</v>
      </c>
      <c r="B8881" s="7" t="s">
        <v>26</v>
      </c>
      <c r="C8881" s="7" t="s">
        <v>27</v>
      </c>
      <c r="D8881" s="7" t="s">
        <v>28</v>
      </c>
      <c r="E8881" s="7" t="s">
        <v>29</v>
      </c>
      <c r="F8881" s="7" t="s">
        <v>250</v>
      </c>
      <c r="G8881" s="7">
        <v>99.272829999999999</v>
      </c>
      <c r="H8881" s="7"/>
    </row>
    <row r="8882" spans="1:8" x14ac:dyDescent="0.35">
      <c r="A8882" s="7" t="s">
        <v>376</v>
      </c>
      <c r="B8882" s="7" t="s">
        <v>26</v>
      </c>
      <c r="C8882" s="7" t="s">
        <v>27</v>
      </c>
      <c r="D8882" s="7" t="s">
        <v>28</v>
      </c>
      <c r="E8882" s="7" t="s">
        <v>29</v>
      </c>
      <c r="F8882" s="7" t="s">
        <v>251</v>
      </c>
      <c r="G8882" s="7">
        <v>99.162620000000004</v>
      </c>
      <c r="H8882" s="7"/>
    </row>
    <row r="8883" spans="1:8" x14ac:dyDescent="0.35">
      <c r="A8883" s="7" t="s">
        <v>376</v>
      </c>
      <c r="B8883" s="7" t="s">
        <v>26</v>
      </c>
      <c r="C8883" s="7" t="s">
        <v>27</v>
      </c>
      <c r="D8883" s="7" t="s">
        <v>28</v>
      </c>
      <c r="E8883" s="7" t="s">
        <v>29</v>
      </c>
      <c r="F8883" s="7" t="s">
        <v>252</v>
      </c>
      <c r="G8883" s="7">
        <v>99.098939999999999</v>
      </c>
      <c r="H8883" s="7"/>
    </row>
    <row r="8884" spans="1:8" x14ac:dyDescent="0.35">
      <c r="A8884" s="7" t="s">
        <v>376</v>
      </c>
      <c r="B8884" s="7" t="s">
        <v>26</v>
      </c>
      <c r="C8884" s="7" t="s">
        <v>27</v>
      </c>
      <c r="D8884" s="7" t="s">
        <v>28</v>
      </c>
      <c r="E8884" s="7" t="s">
        <v>29</v>
      </c>
      <c r="F8884" s="7" t="s">
        <v>253</v>
      </c>
      <c r="G8884" s="7">
        <v>99.206460000000007</v>
      </c>
      <c r="H8884" s="7"/>
    </row>
    <row r="8885" spans="1:8" x14ac:dyDescent="0.35">
      <c r="A8885" s="7" t="s">
        <v>376</v>
      </c>
      <c r="B8885" s="7" t="s">
        <v>26</v>
      </c>
      <c r="C8885" s="7" t="s">
        <v>27</v>
      </c>
      <c r="D8885" s="7" t="s">
        <v>28</v>
      </c>
      <c r="E8885" s="7" t="s">
        <v>29</v>
      </c>
      <c r="F8885" s="7" t="s">
        <v>254</v>
      </c>
      <c r="G8885" s="7">
        <v>99.321520000000007</v>
      </c>
      <c r="H8885" s="7"/>
    </row>
    <row r="8886" spans="1:8" x14ac:dyDescent="0.35">
      <c r="A8886" s="7" t="s">
        <v>376</v>
      </c>
      <c r="B8886" s="7" t="s">
        <v>26</v>
      </c>
      <c r="C8886" s="7" t="s">
        <v>27</v>
      </c>
      <c r="D8886" s="7" t="s">
        <v>28</v>
      </c>
      <c r="E8886" s="7" t="s">
        <v>29</v>
      </c>
      <c r="F8886" s="7" t="s">
        <v>255</v>
      </c>
      <c r="G8886" s="7">
        <v>99.325659999999999</v>
      </c>
      <c r="H8886" s="7"/>
    </row>
    <row r="8887" spans="1:8" x14ac:dyDescent="0.35">
      <c r="A8887" s="7" t="s">
        <v>376</v>
      </c>
      <c r="B8887" s="7" t="s">
        <v>26</v>
      </c>
      <c r="C8887" s="7" t="s">
        <v>27</v>
      </c>
      <c r="D8887" s="7" t="s">
        <v>28</v>
      </c>
      <c r="E8887" s="7" t="s">
        <v>29</v>
      </c>
      <c r="F8887" s="7" t="s">
        <v>256</v>
      </c>
      <c r="G8887" s="7">
        <v>99.266829999999999</v>
      </c>
      <c r="H8887" s="7"/>
    </row>
    <row r="8888" spans="1:8" x14ac:dyDescent="0.35">
      <c r="A8888" s="7" t="s">
        <v>376</v>
      </c>
      <c r="B8888" s="7" t="s">
        <v>26</v>
      </c>
      <c r="C8888" s="7" t="s">
        <v>27</v>
      </c>
      <c r="D8888" s="7" t="s">
        <v>28</v>
      </c>
      <c r="E8888" s="7" t="s">
        <v>29</v>
      </c>
      <c r="F8888" s="7" t="s">
        <v>257</v>
      </c>
      <c r="G8888" s="7">
        <v>99.197710000000001</v>
      </c>
      <c r="H8888" s="7"/>
    </row>
    <row r="8889" spans="1:8" x14ac:dyDescent="0.35">
      <c r="A8889" s="7" t="s">
        <v>376</v>
      </c>
      <c r="B8889" s="7" t="s">
        <v>26</v>
      </c>
      <c r="C8889" s="7" t="s">
        <v>27</v>
      </c>
      <c r="D8889" s="7" t="s">
        <v>28</v>
      </c>
      <c r="E8889" s="7" t="s">
        <v>29</v>
      </c>
      <c r="F8889" s="7" t="s">
        <v>258</v>
      </c>
      <c r="G8889" s="7">
        <v>99.108549999999994</v>
      </c>
      <c r="H8889" s="7"/>
    </row>
    <row r="8890" spans="1:8" x14ac:dyDescent="0.35">
      <c r="A8890" s="7" t="s">
        <v>376</v>
      </c>
      <c r="B8890" s="7" t="s">
        <v>26</v>
      </c>
      <c r="C8890" s="7" t="s">
        <v>27</v>
      </c>
      <c r="D8890" s="7" t="s">
        <v>28</v>
      </c>
      <c r="E8890" s="7" t="s">
        <v>29</v>
      </c>
      <c r="F8890" s="7" t="s">
        <v>259</v>
      </c>
      <c r="G8890" s="7">
        <v>98.98057</v>
      </c>
      <c r="H8890" s="7"/>
    </row>
    <row r="8891" spans="1:8" x14ac:dyDescent="0.35">
      <c r="A8891" s="7" t="s">
        <v>376</v>
      </c>
      <c r="B8891" s="7" t="s">
        <v>26</v>
      </c>
      <c r="C8891" s="7" t="s">
        <v>27</v>
      </c>
      <c r="D8891" s="7" t="s">
        <v>28</v>
      </c>
      <c r="E8891" s="7" t="s">
        <v>29</v>
      </c>
      <c r="F8891" s="7" t="s">
        <v>260</v>
      </c>
      <c r="G8891" s="7">
        <v>98.843530000000001</v>
      </c>
      <c r="H8891" s="7"/>
    </row>
    <row r="8892" spans="1:8" x14ac:dyDescent="0.35">
      <c r="A8892" s="7" t="s">
        <v>376</v>
      </c>
      <c r="B8892" s="7" t="s">
        <v>26</v>
      </c>
      <c r="C8892" s="7" t="s">
        <v>27</v>
      </c>
      <c r="D8892" s="7" t="s">
        <v>28</v>
      </c>
      <c r="E8892" s="7" t="s">
        <v>29</v>
      </c>
      <c r="F8892" s="7" t="s">
        <v>261</v>
      </c>
      <c r="G8892" s="7">
        <v>98.825069999999997</v>
      </c>
      <c r="H8892" s="7"/>
    </row>
    <row r="8893" spans="1:8" x14ac:dyDescent="0.35">
      <c r="A8893" s="7" t="s">
        <v>376</v>
      </c>
      <c r="B8893" s="7" t="s">
        <v>26</v>
      </c>
      <c r="C8893" s="7" t="s">
        <v>27</v>
      </c>
      <c r="D8893" s="7" t="s">
        <v>28</v>
      </c>
      <c r="E8893" s="7" t="s">
        <v>29</v>
      </c>
      <c r="F8893" s="7" t="s">
        <v>262</v>
      </c>
      <c r="G8893" s="7">
        <v>98.81514</v>
      </c>
      <c r="H8893" s="7"/>
    </row>
    <row r="8894" spans="1:8" x14ac:dyDescent="0.35">
      <c r="A8894" s="7" t="s">
        <v>376</v>
      </c>
      <c r="B8894" s="7" t="s">
        <v>26</v>
      </c>
      <c r="C8894" s="7" t="s">
        <v>27</v>
      </c>
      <c r="D8894" s="7" t="s">
        <v>28</v>
      </c>
      <c r="E8894" s="7" t="s">
        <v>29</v>
      </c>
      <c r="F8894" s="7" t="s">
        <v>263</v>
      </c>
      <c r="G8894" s="7">
        <v>98.799509999999998</v>
      </c>
      <c r="H8894" s="7"/>
    </row>
    <row r="8895" spans="1:8" x14ac:dyDescent="0.35">
      <c r="A8895" s="7" t="s">
        <v>376</v>
      </c>
      <c r="B8895" s="7" t="s">
        <v>26</v>
      </c>
      <c r="C8895" s="7" t="s">
        <v>27</v>
      </c>
      <c r="D8895" s="7" t="s">
        <v>28</v>
      </c>
      <c r="E8895" s="7" t="s">
        <v>29</v>
      </c>
      <c r="F8895" s="7" t="s">
        <v>264</v>
      </c>
      <c r="G8895" s="7">
        <v>98.822460000000007</v>
      </c>
      <c r="H8895" s="7"/>
    </row>
    <row r="8896" spans="1:8" x14ac:dyDescent="0.35">
      <c r="A8896" s="7" t="s">
        <v>376</v>
      </c>
      <c r="B8896" s="7" t="s">
        <v>26</v>
      </c>
      <c r="C8896" s="7" t="s">
        <v>27</v>
      </c>
      <c r="D8896" s="7" t="s">
        <v>28</v>
      </c>
      <c r="E8896" s="7" t="s">
        <v>29</v>
      </c>
      <c r="F8896" s="7" t="s">
        <v>265</v>
      </c>
      <c r="G8896" s="7">
        <v>98.734570000000005</v>
      </c>
      <c r="H8896" s="7"/>
    </row>
    <row r="8897" spans="1:8" x14ac:dyDescent="0.35">
      <c r="A8897" s="7" t="s">
        <v>376</v>
      </c>
      <c r="B8897" s="7" t="s">
        <v>26</v>
      </c>
      <c r="C8897" s="7" t="s">
        <v>27</v>
      </c>
      <c r="D8897" s="7" t="s">
        <v>28</v>
      </c>
      <c r="E8897" s="7" t="s">
        <v>29</v>
      </c>
      <c r="F8897" s="7" t="s">
        <v>266</v>
      </c>
      <c r="G8897" s="7">
        <v>98.453440000000001</v>
      </c>
      <c r="H8897" s="7"/>
    </row>
    <row r="8898" spans="1:8" x14ac:dyDescent="0.35">
      <c r="A8898" s="7" t="s">
        <v>376</v>
      </c>
      <c r="B8898" s="7" t="s">
        <v>26</v>
      </c>
      <c r="C8898" s="7" t="s">
        <v>27</v>
      </c>
      <c r="D8898" s="7" t="s">
        <v>28</v>
      </c>
      <c r="E8898" s="7" t="s">
        <v>29</v>
      </c>
      <c r="F8898" s="7" t="s">
        <v>267</v>
      </c>
      <c r="G8898" s="7">
        <v>98.130139999999997</v>
      </c>
      <c r="H8898" s="7"/>
    </row>
    <row r="8899" spans="1:8" x14ac:dyDescent="0.35">
      <c r="A8899" s="7" t="s">
        <v>376</v>
      </c>
      <c r="B8899" s="7" t="s">
        <v>26</v>
      </c>
      <c r="C8899" s="7" t="s">
        <v>27</v>
      </c>
      <c r="D8899" s="7" t="s">
        <v>28</v>
      </c>
      <c r="E8899" s="7" t="s">
        <v>29</v>
      </c>
      <c r="F8899" s="7" t="s">
        <v>268</v>
      </c>
      <c r="G8899" s="7">
        <v>97.831969999999998</v>
      </c>
      <c r="H8899" s="7"/>
    </row>
    <row r="8900" spans="1:8" x14ac:dyDescent="0.35">
      <c r="A8900" s="7" t="s">
        <v>376</v>
      </c>
      <c r="B8900" s="7" t="s">
        <v>26</v>
      </c>
      <c r="C8900" s="7" t="s">
        <v>27</v>
      </c>
      <c r="D8900" s="7" t="s">
        <v>28</v>
      </c>
      <c r="E8900" s="7" t="s">
        <v>29</v>
      </c>
      <c r="F8900" s="7" t="s">
        <v>269</v>
      </c>
      <c r="G8900" s="7">
        <v>97.645169999999993</v>
      </c>
      <c r="H8900" s="7"/>
    </row>
    <row r="8901" spans="1:8" x14ac:dyDescent="0.35">
      <c r="A8901" s="7" t="s">
        <v>376</v>
      </c>
      <c r="B8901" s="7" t="s">
        <v>26</v>
      </c>
      <c r="C8901" s="7" t="s">
        <v>27</v>
      </c>
      <c r="D8901" s="7" t="s">
        <v>28</v>
      </c>
      <c r="E8901" s="7" t="s">
        <v>29</v>
      </c>
      <c r="F8901" s="7" t="s">
        <v>270</v>
      </c>
      <c r="G8901" s="7">
        <v>97.610820000000004</v>
      </c>
      <c r="H8901" s="7"/>
    </row>
    <row r="8902" spans="1:8" x14ac:dyDescent="0.35">
      <c r="A8902" s="7" t="s">
        <v>376</v>
      </c>
      <c r="B8902" s="7" t="s">
        <v>26</v>
      </c>
      <c r="C8902" s="7" t="s">
        <v>27</v>
      </c>
      <c r="D8902" s="7" t="s">
        <v>28</v>
      </c>
      <c r="E8902" s="7" t="s">
        <v>29</v>
      </c>
      <c r="F8902" s="7" t="s">
        <v>271</v>
      </c>
      <c r="G8902" s="7">
        <v>97.470680000000002</v>
      </c>
      <c r="H8902" s="7"/>
    </row>
    <row r="8903" spans="1:8" x14ac:dyDescent="0.35">
      <c r="A8903" s="7" t="s">
        <v>376</v>
      </c>
      <c r="B8903" s="7" t="s">
        <v>26</v>
      </c>
      <c r="C8903" s="7" t="s">
        <v>27</v>
      </c>
      <c r="D8903" s="7" t="s">
        <v>28</v>
      </c>
      <c r="E8903" s="7" t="s">
        <v>29</v>
      </c>
      <c r="F8903" s="7" t="s">
        <v>272</v>
      </c>
      <c r="G8903" s="7">
        <v>97.441730000000007</v>
      </c>
      <c r="H8903" s="7"/>
    </row>
    <row r="8904" spans="1:8" x14ac:dyDescent="0.35">
      <c r="A8904" s="7" t="s">
        <v>376</v>
      </c>
      <c r="B8904" s="7" t="s">
        <v>26</v>
      </c>
      <c r="C8904" s="7" t="s">
        <v>27</v>
      </c>
      <c r="D8904" s="7" t="s">
        <v>28</v>
      </c>
      <c r="E8904" s="7" t="s">
        <v>29</v>
      </c>
      <c r="F8904" s="7" t="s">
        <v>273</v>
      </c>
      <c r="G8904" s="7">
        <v>97.600350000000006</v>
      </c>
      <c r="H8904" s="7"/>
    </row>
    <row r="8905" spans="1:8" x14ac:dyDescent="0.35">
      <c r="A8905" s="7" t="s">
        <v>376</v>
      </c>
      <c r="B8905" s="7" t="s">
        <v>26</v>
      </c>
      <c r="C8905" s="7" t="s">
        <v>27</v>
      </c>
      <c r="D8905" s="7" t="s">
        <v>28</v>
      </c>
      <c r="E8905" s="7" t="s">
        <v>29</v>
      </c>
      <c r="F8905" s="7" t="s">
        <v>274</v>
      </c>
      <c r="G8905" s="7">
        <v>97.549000000000007</v>
      </c>
      <c r="H8905" s="7"/>
    </row>
    <row r="8906" spans="1:8" x14ac:dyDescent="0.35">
      <c r="A8906" s="7" t="s">
        <v>376</v>
      </c>
      <c r="B8906" s="7" t="s">
        <v>26</v>
      </c>
      <c r="C8906" s="7" t="s">
        <v>27</v>
      </c>
      <c r="D8906" s="7" t="s">
        <v>28</v>
      </c>
      <c r="E8906" s="7" t="s">
        <v>29</v>
      </c>
      <c r="F8906" s="7" t="s">
        <v>275</v>
      </c>
      <c r="G8906" s="7">
        <v>97.139610000000005</v>
      </c>
      <c r="H8906" s="7"/>
    </row>
    <row r="8907" spans="1:8" x14ac:dyDescent="0.35">
      <c r="A8907" s="7" t="s">
        <v>376</v>
      </c>
      <c r="B8907" s="7" t="s">
        <v>26</v>
      </c>
      <c r="C8907" s="7" t="s">
        <v>27</v>
      </c>
      <c r="D8907" s="7" t="s">
        <v>28</v>
      </c>
      <c r="E8907" s="7" t="s">
        <v>29</v>
      </c>
      <c r="F8907" s="7" t="s">
        <v>276</v>
      </c>
      <c r="G8907" s="7">
        <v>96.745440000000002</v>
      </c>
      <c r="H8907" s="7"/>
    </row>
    <row r="8908" spans="1:8" x14ac:dyDescent="0.35">
      <c r="A8908" s="7" t="s">
        <v>376</v>
      </c>
      <c r="B8908" s="7" t="s">
        <v>26</v>
      </c>
      <c r="C8908" s="7" t="s">
        <v>27</v>
      </c>
      <c r="D8908" s="7" t="s">
        <v>28</v>
      </c>
      <c r="E8908" s="7" t="s">
        <v>29</v>
      </c>
      <c r="F8908" s="7" t="s">
        <v>277</v>
      </c>
      <c r="G8908" s="7">
        <v>96.567949999999996</v>
      </c>
      <c r="H8908" s="7"/>
    </row>
    <row r="8909" spans="1:8" x14ac:dyDescent="0.35">
      <c r="A8909" s="7" t="s">
        <v>376</v>
      </c>
      <c r="B8909" s="7" t="s">
        <v>26</v>
      </c>
      <c r="C8909" s="7" t="s">
        <v>27</v>
      </c>
      <c r="D8909" s="7" t="s">
        <v>28</v>
      </c>
      <c r="E8909" s="7" t="s">
        <v>29</v>
      </c>
      <c r="F8909" s="7" t="s">
        <v>278</v>
      </c>
      <c r="G8909" s="7">
        <v>96.668660000000003</v>
      </c>
      <c r="H8909" s="7"/>
    </row>
    <row r="8910" spans="1:8" x14ac:dyDescent="0.35">
      <c r="A8910" s="7" t="s">
        <v>376</v>
      </c>
      <c r="B8910" s="7" t="s">
        <v>26</v>
      </c>
      <c r="C8910" s="7" t="s">
        <v>27</v>
      </c>
      <c r="D8910" s="7" t="s">
        <v>28</v>
      </c>
      <c r="E8910" s="7" t="s">
        <v>29</v>
      </c>
      <c r="F8910" s="7" t="s">
        <v>279</v>
      </c>
      <c r="G8910" s="7">
        <v>96.689930000000004</v>
      </c>
      <c r="H8910" s="7"/>
    </row>
    <row r="8911" spans="1:8" x14ac:dyDescent="0.35">
      <c r="A8911" s="7" t="s">
        <v>376</v>
      </c>
      <c r="B8911" s="7" t="s">
        <v>26</v>
      </c>
      <c r="C8911" s="7" t="s">
        <v>27</v>
      </c>
      <c r="D8911" s="7" t="s">
        <v>28</v>
      </c>
      <c r="E8911" s="7" t="s">
        <v>29</v>
      </c>
      <c r="F8911" s="7" t="s">
        <v>280</v>
      </c>
      <c r="G8911" s="7">
        <v>96.667720000000003</v>
      </c>
      <c r="H8911" s="7"/>
    </row>
    <row r="8912" spans="1:8" x14ac:dyDescent="0.35">
      <c r="A8912" s="7" t="s">
        <v>376</v>
      </c>
      <c r="B8912" s="7" t="s">
        <v>26</v>
      </c>
      <c r="C8912" s="7" t="s">
        <v>27</v>
      </c>
      <c r="D8912" s="7" t="s">
        <v>28</v>
      </c>
      <c r="E8912" s="7" t="s">
        <v>29</v>
      </c>
      <c r="F8912" s="7" t="s">
        <v>281</v>
      </c>
      <c r="G8912" s="7">
        <v>96.648099999999999</v>
      </c>
      <c r="H8912" s="7"/>
    </row>
    <row r="8913" spans="1:8" x14ac:dyDescent="0.35">
      <c r="A8913" s="7" t="s">
        <v>376</v>
      </c>
      <c r="B8913" s="7" t="s">
        <v>26</v>
      </c>
      <c r="C8913" s="7" t="s">
        <v>27</v>
      </c>
      <c r="D8913" s="7" t="s">
        <v>28</v>
      </c>
      <c r="E8913" s="7" t="s">
        <v>29</v>
      </c>
      <c r="F8913" s="7" t="s">
        <v>282</v>
      </c>
      <c r="G8913" s="7">
        <v>96.583470000000005</v>
      </c>
      <c r="H8913" s="7"/>
    </row>
    <row r="8914" spans="1:8" x14ac:dyDescent="0.35">
      <c r="A8914" s="7" t="s">
        <v>376</v>
      </c>
      <c r="B8914" s="7" t="s">
        <v>26</v>
      </c>
      <c r="C8914" s="7" t="s">
        <v>27</v>
      </c>
      <c r="D8914" s="7" t="s">
        <v>28</v>
      </c>
      <c r="E8914" s="7" t="s">
        <v>29</v>
      </c>
      <c r="F8914" s="7" t="s">
        <v>283</v>
      </c>
      <c r="G8914" s="7">
        <v>96.651399999999995</v>
      </c>
      <c r="H8914" s="7"/>
    </row>
    <row r="8915" spans="1:8" x14ac:dyDescent="0.35">
      <c r="A8915" s="7" t="s">
        <v>376</v>
      </c>
      <c r="B8915" s="7" t="s">
        <v>26</v>
      </c>
      <c r="C8915" s="7" t="s">
        <v>27</v>
      </c>
      <c r="D8915" s="7" t="s">
        <v>28</v>
      </c>
      <c r="E8915" s="7" t="s">
        <v>29</v>
      </c>
      <c r="F8915" s="7" t="s">
        <v>284</v>
      </c>
      <c r="G8915" s="7">
        <v>96.767970000000005</v>
      </c>
      <c r="H8915" s="7"/>
    </row>
    <row r="8916" spans="1:8" x14ac:dyDescent="0.35">
      <c r="A8916" s="7" t="s">
        <v>376</v>
      </c>
      <c r="B8916" s="7" t="s">
        <v>26</v>
      </c>
      <c r="C8916" s="7" t="s">
        <v>27</v>
      </c>
      <c r="D8916" s="7" t="s">
        <v>28</v>
      </c>
      <c r="E8916" s="7" t="s">
        <v>29</v>
      </c>
      <c r="F8916" s="7" t="s">
        <v>285</v>
      </c>
      <c r="G8916" s="7">
        <v>96.897940000000006</v>
      </c>
      <c r="H8916" s="7"/>
    </row>
    <row r="8917" spans="1:8" x14ac:dyDescent="0.35">
      <c r="A8917" s="7" t="s">
        <v>376</v>
      </c>
      <c r="B8917" s="7" t="s">
        <v>26</v>
      </c>
      <c r="C8917" s="7" t="s">
        <v>27</v>
      </c>
      <c r="D8917" s="7" t="s">
        <v>28</v>
      </c>
      <c r="E8917" s="7" t="s">
        <v>29</v>
      </c>
      <c r="F8917" s="7" t="s">
        <v>286</v>
      </c>
      <c r="G8917" s="7">
        <v>97.064089999999993</v>
      </c>
      <c r="H8917" s="7"/>
    </row>
    <row r="8918" spans="1:8" x14ac:dyDescent="0.35">
      <c r="A8918" s="7" t="s">
        <v>376</v>
      </c>
      <c r="B8918" s="7" t="s">
        <v>26</v>
      </c>
      <c r="C8918" s="7" t="s">
        <v>27</v>
      </c>
      <c r="D8918" s="7" t="s">
        <v>28</v>
      </c>
      <c r="E8918" s="7" t="s">
        <v>29</v>
      </c>
      <c r="F8918" s="7" t="s">
        <v>287</v>
      </c>
      <c r="G8918" s="7">
        <v>97.437830000000005</v>
      </c>
      <c r="H8918" s="7"/>
    </row>
    <row r="8919" spans="1:8" x14ac:dyDescent="0.35">
      <c r="A8919" s="7" t="s">
        <v>376</v>
      </c>
      <c r="B8919" s="7" t="s">
        <v>26</v>
      </c>
      <c r="C8919" s="7" t="s">
        <v>27</v>
      </c>
      <c r="D8919" s="7" t="s">
        <v>28</v>
      </c>
      <c r="E8919" s="7" t="s">
        <v>29</v>
      </c>
      <c r="F8919" s="7" t="s">
        <v>288</v>
      </c>
      <c r="G8919" s="7">
        <v>98.110010000000003</v>
      </c>
      <c r="H8919" s="7"/>
    </row>
    <row r="8920" spans="1:8" x14ac:dyDescent="0.35">
      <c r="A8920" s="7" t="s">
        <v>376</v>
      </c>
      <c r="B8920" s="7" t="s">
        <v>26</v>
      </c>
      <c r="C8920" s="7" t="s">
        <v>27</v>
      </c>
      <c r="D8920" s="7" t="s">
        <v>28</v>
      </c>
      <c r="E8920" s="7" t="s">
        <v>29</v>
      </c>
      <c r="F8920" s="7" t="s">
        <v>289</v>
      </c>
      <c r="G8920" s="7">
        <v>99.06371</v>
      </c>
      <c r="H8920" s="7"/>
    </row>
    <row r="8921" spans="1:8" x14ac:dyDescent="0.35">
      <c r="A8921" s="7" t="s">
        <v>376</v>
      </c>
      <c r="B8921" s="7" t="s">
        <v>26</v>
      </c>
      <c r="C8921" s="7" t="s">
        <v>27</v>
      </c>
      <c r="D8921" s="7" t="s">
        <v>28</v>
      </c>
      <c r="E8921" s="7" t="s">
        <v>29</v>
      </c>
      <c r="F8921" s="7" t="s">
        <v>290</v>
      </c>
      <c r="G8921" s="7">
        <v>99.675319999999999</v>
      </c>
      <c r="H8921" s="7"/>
    </row>
    <row r="8922" spans="1:8" x14ac:dyDescent="0.35">
      <c r="A8922" s="7" t="s">
        <v>376</v>
      </c>
      <c r="B8922" s="7" t="s">
        <v>26</v>
      </c>
      <c r="C8922" s="7" t="s">
        <v>27</v>
      </c>
      <c r="D8922" s="7" t="s">
        <v>28</v>
      </c>
      <c r="E8922" s="7" t="s">
        <v>29</v>
      </c>
      <c r="F8922" s="7" t="s">
        <v>291</v>
      </c>
      <c r="G8922" s="7">
        <v>99.918689999999998</v>
      </c>
      <c r="H8922" s="7"/>
    </row>
    <row r="8923" spans="1:8" x14ac:dyDescent="0.35">
      <c r="A8923" s="7" t="s">
        <v>376</v>
      </c>
      <c r="B8923" s="7" t="s">
        <v>26</v>
      </c>
      <c r="C8923" s="7" t="s">
        <v>27</v>
      </c>
      <c r="D8923" s="7" t="s">
        <v>28</v>
      </c>
      <c r="E8923" s="7" t="s">
        <v>29</v>
      </c>
      <c r="F8923" s="7" t="s">
        <v>292</v>
      </c>
      <c r="G8923" s="7">
        <v>99.863799999999998</v>
      </c>
      <c r="H8923" s="7"/>
    </row>
    <row r="8924" spans="1:8" x14ac:dyDescent="0.35">
      <c r="A8924" s="7" t="s">
        <v>376</v>
      </c>
      <c r="B8924" s="7" t="s">
        <v>26</v>
      </c>
      <c r="C8924" s="7" t="s">
        <v>27</v>
      </c>
      <c r="D8924" s="7" t="s">
        <v>28</v>
      </c>
      <c r="E8924" s="7" t="s">
        <v>29</v>
      </c>
      <c r="F8924" s="7" t="s">
        <v>293</v>
      </c>
      <c r="G8924" s="7">
        <v>99.68535</v>
      </c>
      <c r="H8924" s="7"/>
    </row>
    <row r="8925" spans="1:8" x14ac:dyDescent="0.35">
      <c r="A8925" s="7" t="s">
        <v>376</v>
      </c>
      <c r="B8925" s="7" t="s">
        <v>26</v>
      </c>
      <c r="C8925" s="7" t="s">
        <v>27</v>
      </c>
      <c r="D8925" s="7" t="s">
        <v>28</v>
      </c>
      <c r="E8925" s="7" t="s">
        <v>29</v>
      </c>
      <c r="F8925" s="7" t="s">
        <v>294</v>
      </c>
      <c r="G8925" s="7">
        <v>99.528689999999997</v>
      </c>
      <c r="H8925" s="7"/>
    </row>
    <row r="8926" spans="1:8" x14ac:dyDescent="0.35">
      <c r="A8926" s="7" t="s">
        <v>376</v>
      </c>
      <c r="B8926" s="7" t="s">
        <v>26</v>
      </c>
      <c r="C8926" s="7" t="s">
        <v>27</v>
      </c>
      <c r="D8926" s="7" t="s">
        <v>28</v>
      </c>
      <c r="E8926" s="7" t="s">
        <v>29</v>
      </c>
      <c r="F8926" s="7" t="s">
        <v>295</v>
      </c>
      <c r="G8926" s="7">
        <v>99.530720000000002</v>
      </c>
      <c r="H8926" s="7"/>
    </row>
    <row r="8927" spans="1:8" x14ac:dyDescent="0.35">
      <c r="A8927" s="7" t="s">
        <v>376</v>
      </c>
      <c r="B8927" s="7" t="s">
        <v>26</v>
      </c>
      <c r="C8927" s="7" t="s">
        <v>27</v>
      </c>
      <c r="D8927" s="7" t="s">
        <v>28</v>
      </c>
      <c r="E8927" s="7" t="s">
        <v>29</v>
      </c>
      <c r="F8927" s="7" t="s">
        <v>296</v>
      </c>
      <c r="G8927" s="7">
        <v>99.693089999999998</v>
      </c>
      <c r="H8927" s="7"/>
    </row>
    <row r="8928" spans="1:8" x14ac:dyDescent="0.35">
      <c r="A8928" s="7" t="s">
        <v>376</v>
      </c>
      <c r="B8928" s="7" t="s">
        <v>26</v>
      </c>
      <c r="C8928" s="7" t="s">
        <v>27</v>
      </c>
      <c r="D8928" s="7" t="s">
        <v>28</v>
      </c>
      <c r="E8928" s="7" t="s">
        <v>29</v>
      </c>
      <c r="F8928" s="7" t="s">
        <v>297</v>
      </c>
      <c r="G8928" s="7">
        <v>99.990390000000005</v>
      </c>
      <c r="H8928" s="7"/>
    </row>
    <row r="8929" spans="1:8" x14ac:dyDescent="0.35">
      <c r="A8929" s="7" t="s">
        <v>376</v>
      </c>
      <c r="B8929" s="7" t="s">
        <v>26</v>
      </c>
      <c r="C8929" s="7" t="s">
        <v>27</v>
      </c>
      <c r="D8929" s="7" t="s">
        <v>28</v>
      </c>
      <c r="E8929" s="7" t="s">
        <v>29</v>
      </c>
      <c r="F8929" s="7" t="s">
        <v>298</v>
      </c>
      <c r="G8929" s="7">
        <v>100.4755</v>
      </c>
      <c r="H8929" s="7"/>
    </row>
    <row r="8930" spans="1:8" x14ac:dyDescent="0.35">
      <c r="A8930" s="7" t="s">
        <v>376</v>
      </c>
      <c r="B8930" s="7" t="s">
        <v>26</v>
      </c>
      <c r="C8930" s="7" t="s">
        <v>27</v>
      </c>
      <c r="D8930" s="7" t="s">
        <v>28</v>
      </c>
      <c r="E8930" s="7" t="s">
        <v>29</v>
      </c>
      <c r="F8930" s="7" t="s">
        <v>299</v>
      </c>
      <c r="G8930" s="7">
        <v>100.93519999999999</v>
      </c>
      <c r="H8930" s="7"/>
    </row>
    <row r="8931" spans="1:8" x14ac:dyDescent="0.35">
      <c r="A8931" s="7" t="s">
        <v>376</v>
      </c>
      <c r="B8931" s="7" t="s">
        <v>26</v>
      </c>
      <c r="C8931" s="7" t="s">
        <v>27</v>
      </c>
      <c r="D8931" s="7" t="s">
        <v>28</v>
      </c>
      <c r="E8931" s="7" t="s">
        <v>29</v>
      </c>
      <c r="F8931" s="7" t="s">
        <v>300</v>
      </c>
      <c r="G8931" s="7">
        <v>101.11360000000001</v>
      </c>
      <c r="H8931" s="7"/>
    </row>
    <row r="8932" spans="1:8" x14ac:dyDescent="0.35">
      <c r="A8932" s="7" t="s">
        <v>376</v>
      </c>
      <c r="B8932" s="7" t="s">
        <v>26</v>
      </c>
      <c r="C8932" s="7" t="s">
        <v>27</v>
      </c>
      <c r="D8932" s="7" t="s">
        <v>28</v>
      </c>
      <c r="E8932" s="7" t="s">
        <v>29</v>
      </c>
      <c r="F8932" s="7" t="s">
        <v>301</v>
      </c>
      <c r="G8932" s="7">
        <v>100.9928</v>
      </c>
      <c r="H8932" s="7"/>
    </row>
    <row r="8933" spans="1:8" x14ac:dyDescent="0.35">
      <c r="A8933" s="7" t="s">
        <v>376</v>
      </c>
      <c r="B8933" s="7" t="s">
        <v>26</v>
      </c>
      <c r="C8933" s="7" t="s">
        <v>27</v>
      </c>
      <c r="D8933" s="7" t="s">
        <v>28</v>
      </c>
      <c r="E8933" s="7" t="s">
        <v>29</v>
      </c>
      <c r="F8933" s="7" t="s">
        <v>302</v>
      </c>
      <c r="G8933" s="7">
        <v>100.75660000000001</v>
      </c>
      <c r="H8933" s="7"/>
    </row>
    <row r="8934" spans="1:8" x14ac:dyDescent="0.35">
      <c r="A8934" s="7" t="s">
        <v>376</v>
      </c>
      <c r="B8934" s="7" t="s">
        <v>26</v>
      </c>
      <c r="C8934" s="7" t="s">
        <v>27</v>
      </c>
      <c r="D8934" s="7" t="s">
        <v>28</v>
      </c>
      <c r="E8934" s="7" t="s">
        <v>29</v>
      </c>
      <c r="F8934" s="7" t="s">
        <v>303</v>
      </c>
      <c r="G8934" s="7">
        <v>100.4853</v>
      </c>
      <c r="H8934" s="7"/>
    </row>
    <row r="8935" spans="1:8" x14ac:dyDescent="0.35">
      <c r="A8935" s="7" t="s">
        <v>376</v>
      </c>
      <c r="B8935" s="7" t="s">
        <v>26</v>
      </c>
      <c r="C8935" s="7" t="s">
        <v>27</v>
      </c>
      <c r="D8935" s="7" t="s">
        <v>28</v>
      </c>
      <c r="E8935" s="7" t="s">
        <v>29</v>
      </c>
      <c r="F8935" s="7" t="s">
        <v>304</v>
      </c>
      <c r="G8935" s="7">
        <v>100.2508</v>
      </c>
      <c r="H8935" s="7"/>
    </row>
    <row r="8936" spans="1:8" x14ac:dyDescent="0.35">
      <c r="A8936" s="7" t="s">
        <v>376</v>
      </c>
      <c r="B8936" s="7" t="s">
        <v>26</v>
      </c>
      <c r="C8936" s="7" t="s">
        <v>27</v>
      </c>
      <c r="D8936" s="7" t="s">
        <v>28</v>
      </c>
      <c r="E8936" s="7" t="s">
        <v>29</v>
      </c>
      <c r="F8936" s="7" t="s">
        <v>305</v>
      </c>
      <c r="G8936" s="7">
        <v>100.10429999999999</v>
      </c>
      <c r="H8936" s="7"/>
    </row>
    <row r="8937" spans="1:8" x14ac:dyDescent="0.35">
      <c r="A8937" s="7" t="s">
        <v>376</v>
      </c>
      <c r="B8937" s="7" t="s">
        <v>26</v>
      </c>
      <c r="C8937" s="7" t="s">
        <v>27</v>
      </c>
      <c r="D8937" s="7" t="s">
        <v>28</v>
      </c>
      <c r="E8937" s="7" t="s">
        <v>29</v>
      </c>
      <c r="F8937" s="7" t="s">
        <v>306</v>
      </c>
      <c r="G8937" s="7">
        <v>100.1057</v>
      </c>
      <c r="H8937" s="7"/>
    </row>
    <row r="8938" spans="1:8" x14ac:dyDescent="0.35">
      <c r="A8938" s="7" t="s">
        <v>376</v>
      </c>
      <c r="B8938" s="7" t="s">
        <v>26</v>
      </c>
      <c r="C8938" s="7" t="s">
        <v>27</v>
      </c>
      <c r="D8938" s="7" t="s">
        <v>28</v>
      </c>
      <c r="E8938" s="7" t="s">
        <v>29</v>
      </c>
      <c r="F8938" s="7" t="s">
        <v>307</v>
      </c>
      <c r="G8938" s="7">
        <v>100.3758</v>
      </c>
      <c r="H8938" s="7"/>
    </row>
    <row r="8939" spans="1:8" x14ac:dyDescent="0.35">
      <c r="A8939" s="7" t="s">
        <v>376</v>
      </c>
      <c r="B8939" s="7" t="s">
        <v>26</v>
      </c>
      <c r="C8939" s="7" t="s">
        <v>27</v>
      </c>
      <c r="D8939" s="7" t="s">
        <v>28</v>
      </c>
      <c r="E8939" s="7" t="s">
        <v>29</v>
      </c>
      <c r="F8939" s="7" t="s">
        <v>308</v>
      </c>
      <c r="G8939" s="7">
        <v>100.9375</v>
      </c>
      <c r="H8939" s="7"/>
    </row>
    <row r="8940" spans="1:8" x14ac:dyDescent="0.35">
      <c r="A8940" s="7" t="s">
        <v>376</v>
      </c>
      <c r="B8940" s="7" t="s">
        <v>26</v>
      </c>
      <c r="C8940" s="7" t="s">
        <v>27</v>
      </c>
      <c r="D8940" s="7" t="s">
        <v>28</v>
      </c>
      <c r="E8940" s="7" t="s">
        <v>29</v>
      </c>
      <c r="F8940" s="7" t="s">
        <v>309</v>
      </c>
      <c r="G8940" s="7">
        <v>101.50839999999999</v>
      </c>
      <c r="H8940" s="7"/>
    </row>
    <row r="8941" spans="1:8" x14ac:dyDescent="0.35">
      <c r="A8941" s="7" t="s">
        <v>376</v>
      </c>
      <c r="B8941" s="7" t="s">
        <v>26</v>
      </c>
      <c r="C8941" s="7" t="s">
        <v>27</v>
      </c>
      <c r="D8941" s="7" t="s">
        <v>28</v>
      </c>
      <c r="E8941" s="7" t="s">
        <v>29</v>
      </c>
      <c r="F8941" s="7" t="s">
        <v>310</v>
      </c>
      <c r="G8941" s="7">
        <v>101.74299999999999</v>
      </c>
      <c r="H8941" s="7"/>
    </row>
    <row r="8942" spans="1:8" x14ac:dyDescent="0.35">
      <c r="A8942" s="7" t="s">
        <v>376</v>
      </c>
      <c r="B8942" s="7" t="s">
        <v>26</v>
      </c>
      <c r="C8942" s="7" t="s">
        <v>27</v>
      </c>
      <c r="D8942" s="7" t="s">
        <v>28</v>
      </c>
      <c r="E8942" s="7" t="s">
        <v>29</v>
      </c>
      <c r="F8942" s="7" t="s">
        <v>311</v>
      </c>
      <c r="G8942" s="7">
        <v>101.6375</v>
      </c>
      <c r="H8942" s="7"/>
    </row>
    <row r="8943" spans="1:8" x14ac:dyDescent="0.35">
      <c r="A8943" s="7" t="s">
        <v>376</v>
      </c>
      <c r="B8943" s="7" t="s">
        <v>26</v>
      </c>
      <c r="C8943" s="7" t="s">
        <v>27</v>
      </c>
      <c r="D8943" s="7" t="s">
        <v>28</v>
      </c>
      <c r="E8943" s="7" t="s">
        <v>29</v>
      </c>
      <c r="F8943" s="7" t="s">
        <v>312</v>
      </c>
      <c r="G8943" s="7">
        <v>101.4217</v>
      </c>
      <c r="H8943" s="7"/>
    </row>
    <row r="8944" spans="1:8" x14ac:dyDescent="0.35">
      <c r="A8944" s="7" t="s">
        <v>376</v>
      </c>
      <c r="B8944" s="7" t="s">
        <v>26</v>
      </c>
      <c r="C8944" s="7" t="s">
        <v>27</v>
      </c>
      <c r="D8944" s="7" t="s">
        <v>28</v>
      </c>
      <c r="E8944" s="7" t="s">
        <v>29</v>
      </c>
      <c r="F8944" s="7" t="s">
        <v>313</v>
      </c>
      <c r="G8944" s="7">
        <v>101.2551</v>
      </c>
      <c r="H8944" s="7"/>
    </row>
    <row r="8945" spans="1:8" x14ac:dyDescent="0.35">
      <c r="A8945" s="7" t="s">
        <v>376</v>
      </c>
      <c r="B8945" s="7" t="s">
        <v>26</v>
      </c>
      <c r="C8945" s="7" t="s">
        <v>27</v>
      </c>
      <c r="D8945" s="7" t="s">
        <v>28</v>
      </c>
      <c r="E8945" s="7" t="s">
        <v>29</v>
      </c>
      <c r="F8945" s="7" t="s">
        <v>314</v>
      </c>
      <c r="G8945" s="7">
        <v>101.1589</v>
      </c>
      <c r="H8945" s="7"/>
    </row>
    <row r="8946" spans="1:8" x14ac:dyDescent="0.35">
      <c r="A8946" s="7" t="s">
        <v>376</v>
      </c>
      <c r="B8946" s="7" t="s">
        <v>26</v>
      </c>
      <c r="C8946" s="7" t="s">
        <v>27</v>
      </c>
      <c r="D8946" s="7" t="s">
        <v>28</v>
      </c>
      <c r="E8946" s="7" t="s">
        <v>29</v>
      </c>
      <c r="F8946" s="7" t="s">
        <v>315</v>
      </c>
      <c r="G8946" s="7">
        <v>101.3561</v>
      </c>
      <c r="H8946" s="7"/>
    </row>
    <row r="8947" spans="1:8" x14ac:dyDescent="0.35">
      <c r="A8947" s="7" t="s">
        <v>376</v>
      </c>
      <c r="B8947" s="7" t="s">
        <v>26</v>
      </c>
      <c r="C8947" s="7" t="s">
        <v>27</v>
      </c>
      <c r="D8947" s="7" t="s">
        <v>28</v>
      </c>
      <c r="E8947" s="7" t="s">
        <v>29</v>
      </c>
      <c r="F8947" s="7" t="s">
        <v>316</v>
      </c>
      <c r="G8947" s="7">
        <v>101.7689</v>
      </c>
      <c r="H8947" s="7"/>
    </row>
    <row r="8948" spans="1:8" x14ac:dyDescent="0.35">
      <c r="A8948" s="7" t="s">
        <v>376</v>
      </c>
      <c r="B8948" s="7" t="s">
        <v>26</v>
      </c>
      <c r="C8948" s="7" t="s">
        <v>27</v>
      </c>
      <c r="D8948" s="7" t="s">
        <v>28</v>
      </c>
      <c r="E8948" s="7" t="s">
        <v>29</v>
      </c>
      <c r="F8948" s="7" t="s">
        <v>317</v>
      </c>
      <c r="G8948" s="7">
        <v>102.1998</v>
      </c>
      <c r="H8948" s="7"/>
    </row>
    <row r="8949" spans="1:8" x14ac:dyDescent="0.35">
      <c r="A8949" s="7" t="s">
        <v>376</v>
      </c>
      <c r="B8949" s="7" t="s">
        <v>26</v>
      </c>
      <c r="C8949" s="7" t="s">
        <v>27</v>
      </c>
      <c r="D8949" s="7" t="s">
        <v>28</v>
      </c>
      <c r="E8949" s="7" t="s">
        <v>29</v>
      </c>
      <c r="F8949" s="7" t="s">
        <v>318</v>
      </c>
      <c r="G8949" s="7">
        <v>102.45399999999999</v>
      </c>
      <c r="H8949" s="7"/>
    </row>
    <row r="8950" spans="1:8" x14ac:dyDescent="0.35">
      <c r="A8950" s="7" t="s">
        <v>376</v>
      </c>
      <c r="B8950" s="7" t="s">
        <v>26</v>
      </c>
      <c r="C8950" s="7" t="s">
        <v>27</v>
      </c>
      <c r="D8950" s="7" t="s">
        <v>28</v>
      </c>
      <c r="E8950" s="7" t="s">
        <v>29</v>
      </c>
      <c r="F8950" s="7" t="s">
        <v>319</v>
      </c>
      <c r="G8950" s="7">
        <v>102.50749999999999</v>
      </c>
      <c r="H8950" s="7"/>
    </row>
    <row r="8951" spans="1:8" x14ac:dyDescent="0.35">
      <c r="A8951" s="7" t="s">
        <v>376</v>
      </c>
      <c r="B8951" s="7" t="s">
        <v>26</v>
      </c>
      <c r="C8951" s="7" t="s">
        <v>27</v>
      </c>
      <c r="D8951" s="7" t="s">
        <v>28</v>
      </c>
      <c r="E8951" s="7" t="s">
        <v>29</v>
      </c>
      <c r="F8951" s="7" t="s">
        <v>320</v>
      </c>
      <c r="G8951" s="7">
        <v>102.3784</v>
      </c>
      <c r="H8951" s="7"/>
    </row>
    <row r="8952" spans="1:8" x14ac:dyDescent="0.35">
      <c r="A8952" s="7" t="s">
        <v>376</v>
      </c>
      <c r="B8952" s="7" t="s">
        <v>26</v>
      </c>
      <c r="C8952" s="7" t="s">
        <v>27</v>
      </c>
      <c r="D8952" s="7" t="s">
        <v>28</v>
      </c>
      <c r="E8952" s="7" t="s">
        <v>29</v>
      </c>
      <c r="F8952" s="7" t="s">
        <v>321</v>
      </c>
      <c r="G8952" s="7">
        <v>102.0421</v>
      </c>
      <c r="H8952" s="7"/>
    </row>
    <row r="8953" spans="1:8" x14ac:dyDescent="0.35">
      <c r="A8953" s="7" t="s">
        <v>376</v>
      </c>
      <c r="B8953" s="7" t="s">
        <v>26</v>
      </c>
      <c r="C8953" s="7" t="s">
        <v>27</v>
      </c>
      <c r="D8953" s="7" t="s">
        <v>28</v>
      </c>
      <c r="E8953" s="7" t="s">
        <v>29</v>
      </c>
      <c r="F8953" s="7" t="s">
        <v>322</v>
      </c>
      <c r="G8953" s="7">
        <v>101.7966</v>
      </c>
      <c r="H8953" s="7"/>
    </row>
    <row r="8954" spans="1:8" x14ac:dyDescent="0.35">
      <c r="A8954" s="7" t="s">
        <v>376</v>
      </c>
      <c r="B8954" s="7" t="s">
        <v>26</v>
      </c>
      <c r="C8954" s="7" t="s">
        <v>27</v>
      </c>
      <c r="D8954" s="7" t="s">
        <v>28</v>
      </c>
      <c r="E8954" s="7" t="s">
        <v>29</v>
      </c>
      <c r="F8954" s="7" t="s">
        <v>323</v>
      </c>
      <c r="G8954" s="7">
        <v>101.6382</v>
      </c>
      <c r="H8954" s="7"/>
    </row>
    <row r="8955" spans="1:8" x14ac:dyDescent="0.35">
      <c r="A8955" s="7" t="s">
        <v>376</v>
      </c>
      <c r="B8955" s="7" t="s">
        <v>26</v>
      </c>
      <c r="C8955" s="7" t="s">
        <v>27</v>
      </c>
      <c r="D8955" s="7" t="s">
        <v>28</v>
      </c>
      <c r="E8955" s="7" t="s">
        <v>29</v>
      </c>
      <c r="F8955" s="7" t="s">
        <v>324</v>
      </c>
      <c r="G8955" s="7">
        <v>101.4123</v>
      </c>
      <c r="H8955" s="7"/>
    </row>
    <row r="8956" spans="1:8" x14ac:dyDescent="0.35">
      <c r="A8956" s="7" t="s">
        <v>376</v>
      </c>
      <c r="B8956" s="7" t="s">
        <v>26</v>
      </c>
      <c r="C8956" s="7" t="s">
        <v>27</v>
      </c>
      <c r="D8956" s="7" t="s">
        <v>28</v>
      </c>
      <c r="E8956" s="7" t="s">
        <v>29</v>
      </c>
      <c r="F8956" s="7" t="s">
        <v>325</v>
      </c>
      <c r="G8956" s="7">
        <v>101.0663</v>
      </c>
      <c r="H8956" s="7"/>
    </row>
    <row r="8957" spans="1:8" x14ac:dyDescent="0.35">
      <c r="A8957" s="7" t="s">
        <v>376</v>
      </c>
      <c r="B8957" s="7" t="s">
        <v>26</v>
      </c>
      <c r="C8957" s="7" t="s">
        <v>27</v>
      </c>
      <c r="D8957" s="7" t="s">
        <v>28</v>
      </c>
      <c r="E8957" s="7" t="s">
        <v>29</v>
      </c>
      <c r="F8957" s="7" t="s">
        <v>326</v>
      </c>
      <c r="G8957" s="7">
        <v>100.86</v>
      </c>
      <c r="H8957" s="7"/>
    </row>
    <row r="8958" spans="1:8" x14ac:dyDescent="0.35">
      <c r="A8958" s="7" t="s">
        <v>376</v>
      </c>
      <c r="B8958" s="7" t="s">
        <v>26</v>
      </c>
      <c r="C8958" s="7" t="s">
        <v>27</v>
      </c>
      <c r="D8958" s="7" t="s">
        <v>28</v>
      </c>
      <c r="E8958" s="7" t="s">
        <v>29</v>
      </c>
      <c r="F8958" s="7" t="s">
        <v>327</v>
      </c>
      <c r="G8958" s="7">
        <v>100.73480000000001</v>
      </c>
      <c r="H8958" s="7"/>
    </row>
    <row r="8959" spans="1:8" x14ac:dyDescent="0.35">
      <c r="A8959" s="7" t="s">
        <v>376</v>
      </c>
      <c r="B8959" s="7" t="s">
        <v>26</v>
      </c>
      <c r="C8959" s="7" t="s">
        <v>27</v>
      </c>
      <c r="D8959" s="7" t="s">
        <v>28</v>
      </c>
      <c r="E8959" s="7" t="s">
        <v>29</v>
      </c>
      <c r="F8959" s="7" t="s">
        <v>328</v>
      </c>
      <c r="G8959" s="7">
        <v>100.72499999999999</v>
      </c>
      <c r="H8959" s="7"/>
    </row>
    <row r="8960" spans="1:8" x14ac:dyDescent="0.35">
      <c r="A8960" s="7" t="s">
        <v>376</v>
      </c>
      <c r="B8960" s="7" t="s">
        <v>26</v>
      </c>
      <c r="C8960" s="7" t="s">
        <v>27</v>
      </c>
      <c r="D8960" s="7" t="s">
        <v>28</v>
      </c>
      <c r="E8960" s="7" t="s">
        <v>29</v>
      </c>
      <c r="F8960" s="7" t="s">
        <v>329</v>
      </c>
      <c r="G8960" s="7">
        <v>100.7833</v>
      </c>
      <c r="H8960" s="7"/>
    </row>
    <row r="8961" spans="1:8" x14ac:dyDescent="0.35">
      <c r="A8961" s="7" t="s">
        <v>376</v>
      </c>
      <c r="B8961" s="7" t="s">
        <v>26</v>
      </c>
      <c r="C8961" s="7" t="s">
        <v>27</v>
      </c>
      <c r="D8961" s="7" t="s">
        <v>28</v>
      </c>
      <c r="E8961" s="7" t="s">
        <v>29</v>
      </c>
      <c r="F8961" s="7" t="s">
        <v>330</v>
      </c>
      <c r="G8961" s="7">
        <v>100.83839999999999</v>
      </c>
      <c r="H8961" s="7"/>
    </row>
    <row r="8962" spans="1:8" x14ac:dyDescent="0.35">
      <c r="A8962" s="7" t="s">
        <v>376</v>
      </c>
      <c r="B8962" s="7" t="s">
        <v>26</v>
      </c>
      <c r="C8962" s="7" t="s">
        <v>27</v>
      </c>
      <c r="D8962" s="7" t="s">
        <v>28</v>
      </c>
      <c r="E8962" s="7" t="s">
        <v>29</v>
      </c>
      <c r="F8962" s="7" t="s">
        <v>331</v>
      </c>
      <c r="G8962" s="7">
        <v>100.8463</v>
      </c>
      <c r="H8962" s="7"/>
    </row>
    <row r="8963" spans="1:8" x14ac:dyDescent="0.35">
      <c r="A8963" s="7" t="s">
        <v>376</v>
      </c>
      <c r="B8963" s="7" t="s">
        <v>26</v>
      </c>
      <c r="C8963" s="7" t="s">
        <v>27</v>
      </c>
      <c r="D8963" s="7" t="s">
        <v>28</v>
      </c>
      <c r="E8963" s="7" t="s">
        <v>29</v>
      </c>
      <c r="F8963" s="7" t="s">
        <v>332</v>
      </c>
      <c r="G8963" s="7">
        <v>100.70440000000001</v>
      </c>
      <c r="H8963" s="7"/>
    </row>
    <row r="8964" spans="1:8" x14ac:dyDescent="0.35">
      <c r="A8964" s="7" t="s">
        <v>376</v>
      </c>
      <c r="B8964" s="7" t="s">
        <v>26</v>
      </c>
      <c r="C8964" s="7" t="s">
        <v>27</v>
      </c>
      <c r="D8964" s="7" t="s">
        <v>28</v>
      </c>
      <c r="E8964" s="7" t="s">
        <v>29</v>
      </c>
      <c r="F8964" s="7" t="s">
        <v>333</v>
      </c>
      <c r="G8964" s="7">
        <v>100.5423</v>
      </c>
      <c r="H8964" s="7"/>
    </row>
    <row r="8965" spans="1:8" x14ac:dyDescent="0.35">
      <c r="A8965" s="7" t="s">
        <v>376</v>
      </c>
      <c r="B8965" s="7" t="s">
        <v>26</v>
      </c>
      <c r="C8965" s="7" t="s">
        <v>27</v>
      </c>
      <c r="D8965" s="7" t="s">
        <v>28</v>
      </c>
      <c r="E8965" s="7" t="s">
        <v>29</v>
      </c>
      <c r="F8965" s="7" t="s">
        <v>334</v>
      </c>
      <c r="G8965" s="7">
        <v>100.43899999999999</v>
      </c>
      <c r="H8965" s="7"/>
    </row>
    <row r="8966" spans="1:8" x14ac:dyDescent="0.35">
      <c r="A8966" s="7" t="s">
        <v>376</v>
      </c>
      <c r="B8966" s="7" t="s">
        <v>26</v>
      </c>
      <c r="C8966" s="7" t="s">
        <v>27</v>
      </c>
      <c r="D8966" s="7" t="s">
        <v>28</v>
      </c>
      <c r="E8966" s="7" t="s">
        <v>29</v>
      </c>
      <c r="F8966" s="7" t="s">
        <v>335</v>
      </c>
      <c r="G8966" s="7">
        <v>100.31659999999999</v>
      </c>
      <c r="H8966" s="7"/>
    </row>
    <row r="8967" spans="1:8" x14ac:dyDescent="0.35">
      <c r="A8967" s="7" t="s">
        <v>376</v>
      </c>
      <c r="B8967" s="7" t="s">
        <v>26</v>
      </c>
      <c r="C8967" s="7" t="s">
        <v>27</v>
      </c>
      <c r="D8967" s="7" t="s">
        <v>28</v>
      </c>
      <c r="E8967" s="7" t="s">
        <v>29</v>
      </c>
      <c r="F8967" s="7" t="s">
        <v>336</v>
      </c>
      <c r="G8967" s="7">
        <v>100.2015</v>
      </c>
      <c r="H8967" s="7"/>
    </row>
    <row r="8968" spans="1:8" x14ac:dyDescent="0.35">
      <c r="A8968" s="7" t="s">
        <v>376</v>
      </c>
      <c r="B8968" s="7" t="s">
        <v>26</v>
      </c>
      <c r="C8968" s="7" t="s">
        <v>27</v>
      </c>
      <c r="D8968" s="7" t="s">
        <v>28</v>
      </c>
      <c r="E8968" s="7" t="s">
        <v>29</v>
      </c>
      <c r="F8968" s="7" t="s">
        <v>337</v>
      </c>
      <c r="G8968" s="7">
        <v>100.1892</v>
      </c>
      <c r="H8968" s="7"/>
    </row>
    <row r="8969" spans="1:8" x14ac:dyDescent="0.35">
      <c r="A8969" s="7" t="s">
        <v>376</v>
      </c>
      <c r="B8969" s="7" t="s">
        <v>26</v>
      </c>
      <c r="C8969" s="7" t="s">
        <v>27</v>
      </c>
      <c r="D8969" s="7" t="s">
        <v>28</v>
      </c>
      <c r="E8969" s="7" t="s">
        <v>29</v>
      </c>
      <c r="F8969" s="7" t="s">
        <v>338</v>
      </c>
      <c r="G8969" s="7">
        <v>100.3862</v>
      </c>
      <c r="H8969" s="7"/>
    </row>
    <row r="8970" spans="1:8" x14ac:dyDescent="0.35">
      <c r="A8970" s="7" t="s">
        <v>376</v>
      </c>
      <c r="B8970" s="7" t="s">
        <v>26</v>
      </c>
      <c r="C8970" s="7" t="s">
        <v>27</v>
      </c>
      <c r="D8970" s="7" t="s">
        <v>28</v>
      </c>
      <c r="E8970" s="7" t="s">
        <v>29</v>
      </c>
      <c r="F8970" s="7" t="s">
        <v>339</v>
      </c>
      <c r="G8970" s="7">
        <v>100.8278</v>
      </c>
      <c r="H8970" s="7"/>
    </row>
    <row r="8971" spans="1:8" x14ac:dyDescent="0.35">
      <c r="A8971" s="7" t="s">
        <v>376</v>
      </c>
      <c r="B8971" s="7" t="s">
        <v>26</v>
      </c>
      <c r="C8971" s="7" t="s">
        <v>27</v>
      </c>
      <c r="D8971" s="7" t="s">
        <v>28</v>
      </c>
      <c r="E8971" s="7" t="s">
        <v>29</v>
      </c>
      <c r="F8971" s="7" t="s">
        <v>340</v>
      </c>
      <c r="G8971" s="7">
        <v>101.29649999999999</v>
      </c>
      <c r="H8971" s="7"/>
    </row>
    <row r="8972" spans="1:8" x14ac:dyDescent="0.35">
      <c r="A8972" s="7" t="s">
        <v>376</v>
      </c>
      <c r="B8972" s="7" t="s">
        <v>26</v>
      </c>
      <c r="C8972" s="7" t="s">
        <v>27</v>
      </c>
      <c r="D8972" s="7" t="s">
        <v>28</v>
      </c>
      <c r="E8972" s="7" t="s">
        <v>29</v>
      </c>
      <c r="F8972" s="7" t="s">
        <v>341</v>
      </c>
      <c r="G8972" s="7">
        <v>101.5266</v>
      </c>
      <c r="H8972" s="7"/>
    </row>
    <row r="8973" spans="1:8" x14ac:dyDescent="0.35">
      <c r="A8973" s="7" t="s">
        <v>376</v>
      </c>
      <c r="B8973" s="7" t="s">
        <v>26</v>
      </c>
      <c r="C8973" s="7" t="s">
        <v>27</v>
      </c>
      <c r="D8973" s="7" t="s">
        <v>28</v>
      </c>
      <c r="E8973" s="7" t="s">
        <v>29</v>
      </c>
      <c r="F8973" s="7" t="s">
        <v>342</v>
      </c>
      <c r="G8973" s="7">
        <v>101.6019</v>
      </c>
      <c r="H8973" s="7"/>
    </row>
    <row r="8974" spans="1:8" x14ac:dyDescent="0.35">
      <c r="A8974" s="7" t="s">
        <v>376</v>
      </c>
      <c r="B8974" s="7" t="s">
        <v>26</v>
      </c>
      <c r="C8974" s="7" t="s">
        <v>27</v>
      </c>
      <c r="D8974" s="7" t="s">
        <v>28</v>
      </c>
      <c r="E8974" s="7" t="s">
        <v>29</v>
      </c>
      <c r="F8974" s="7" t="s">
        <v>343</v>
      </c>
      <c r="G8974" s="7">
        <v>101.6622</v>
      </c>
      <c r="H8974" s="7"/>
    </row>
    <row r="8975" spans="1:8" x14ac:dyDescent="0.35">
      <c r="A8975" s="7" t="s">
        <v>376</v>
      </c>
      <c r="B8975" s="7" t="s">
        <v>26</v>
      </c>
      <c r="C8975" s="7" t="s">
        <v>27</v>
      </c>
      <c r="D8975" s="7" t="s">
        <v>28</v>
      </c>
      <c r="E8975" s="7" t="s">
        <v>29</v>
      </c>
      <c r="F8975" s="7" t="s">
        <v>344</v>
      </c>
      <c r="G8975" s="7">
        <v>101.702</v>
      </c>
      <c r="H8975" s="7"/>
    </row>
    <row r="8976" spans="1:8" x14ac:dyDescent="0.35">
      <c r="A8976" s="7" t="s">
        <v>376</v>
      </c>
      <c r="B8976" s="7" t="s">
        <v>26</v>
      </c>
      <c r="C8976" s="7" t="s">
        <v>27</v>
      </c>
      <c r="D8976" s="7" t="s">
        <v>28</v>
      </c>
      <c r="E8976" s="7" t="s">
        <v>29</v>
      </c>
      <c r="F8976" s="7" t="s">
        <v>345</v>
      </c>
      <c r="G8976" s="7">
        <v>101.7311</v>
      </c>
      <c r="H8976" s="7"/>
    </row>
    <row r="8977" spans="1:8" x14ac:dyDescent="0.35">
      <c r="A8977" s="7" t="s">
        <v>376</v>
      </c>
      <c r="B8977" s="7" t="s">
        <v>26</v>
      </c>
      <c r="C8977" s="7" t="s">
        <v>27</v>
      </c>
      <c r="D8977" s="7" t="s">
        <v>28</v>
      </c>
      <c r="E8977" s="7" t="s">
        <v>29</v>
      </c>
      <c r="F8977" s="7" t="s">
        <v>346</v>
      </c>
      <c r="G8977" s="7">
        <v>101.7817</v>
      </c>
      <c r="H8977" s="7"/>
    </row>
    <row r="8978" spans="1:8" x14ac:dyDescent="0.35">
      <c r="A8978" s="7" t="s">
        <v>377</v>
      </c>
      <c r="B8978" s="7" t="s">
        <v>26</v>
      </c>
      <c r="C8978" s="7" t="s">
        <v>27</v>
      </c>
      <c r="D8978" s="7" t="s">
        <v>28</v>
      </c>
      <c r="E8978" s="7" t="s">
        <v>29</v>
      </c>
      <c r="F8978" s="7" t="s">
        <v>30</v>
      </c>
      <c r="G8978" s="7">
        <v>98.414150000000006</v>
      </c>
      <c r="H8978" s="7"/>
    </row>
    <row r="8979" spans="1:8" x14ac:dyDescent="0.35">
      <c r="A8979" s="7" t="s">
        <v>377</v>
      </c>
      <c r="B8979" s="7" t="s">
        <v>26</v>
      </c>
      <c r="C8979" s="7" t="s">
        <v>27</v>
      </c>
      <c r="D8979" s="7" t="s">
        <v>28</v>
      </c>
      <c r="E8979" s="7" t="s">
        <v>29</v>
      </c>
      <c r="F8979" s="7" t="s">
        <v>31</v>
      </c>
      <c r="G8979" s="7">
        <v>98.425269999999998</v>
      </c>
      <c r="H8979" s="7"/>
    </row>
    <row r="8980" spans="1:8" x14ac:dyDescent="0.35">
      <c r="A8980" s="7" t="s">
        <v>377</v>
      </c>
      <c r="B8980" s="7" t="s">
        <v>26</v>
      </c>
      <c r="C8980" s="7" t="s">
        <v>27</v>
      </c>
      <c r="D8980" s="7" t="s">
        <v>28</v>
      </c>
      <c r="E8980" s="7" t="s">
        <v>29</v>
      </c>
      <c r="F8980" s="7" t="s">
        <v>32</v>
      </c>
      <c r="G8980" s="7">
        <v>98.555549999999997</v>
      </c>
      <c r="H8980" s="7"/>
    </row>
    <row r="8981" spans="1:8" x14ac:dyDescent="0.35">
      <c r="A8981" s="7" t="s">
        <v>377</v>
      </c>
      <c r="B8981" s="7" t="s">
        <v>26</v>
      </c>
      <c r="C8981" s="7" t="s">
        <v>27</v>
      </c>
      <c r="D8981" s="7" t="s">
        <v>28</v>
      </c>
      <c r="E8981" s="7" t="s">
        <v>29</v>
      </c>
      <c r="F8981" s="7" t="s">
        <v>33</v>
      </c>
      <c r="G8981" s="7">
        <v>98.653000000000006</v>
      </c>
      <c r="H8981" s="7"/>
    </row>
    <row r="8982" spans="1:8" x14ac:dyDescent="0.35">
      <c r="A8982" s="7" t="s">
        <v>377</v>
      </c>
      <c r="B8982" s="7" t="s">
        <v>26</v>
      </c>
      <c r="C8982" s="7" t="s">
        <v>27</v>
      </c>
      <c r="D8982" s="7" t="s">
        <v>28</v>
      </c>
      <c r="E8982" s="7" t="s">
        <v>29</v>
      </c>
      <c r="F8982" s="7" t="s">
        <v>34</v>
      </c>
      <c r="G8982" s="7">
        <v>98.58717</v>
      </c>
      <c r="H8982" s="7"/>
    </row>
    <row r="8983" spans="1:8" x14ac:dyDescent="0.35">
      <c r="A8983" s="7" t="s">
        <v>377</v>
      </c>
      <c r="B8983" s="7" t="s">
        <v>26</v>
      </c>
      <c r="C8983" s="7" t="s">
        <v>27</v>
      </c>
      <c r="D8983" s="7" t="s">
        <v>28</v>
      </c>
      <c r="E8983" s="7" t="s">
        <v>29</v>
      </c>
      <c r="F8983" s="7" t="s">
        <v>35</v>
      </c>
      <c r="G8983" s="7">
        <v>98.376339999999999</v>
      </c>
      <c r="H8983" s="7"/>
    </row>
    <row r="8984" spans="1:8" x14ac:dyDescent="0.35">
      <c r="A8984" s="7" t="s">
        <v>377</v>
      </c>
      <c r="B8984" s="7" t="s">
        <v>26</v>
      </c>
      <c r="C8984" s="7" t="s">
        <v>27</v>
      </c>
      <c r="D8984" s="7" t="s">
        <v>28</v>
      </c>
      <c r="E8984" s="7" t="s">
        <v>29</v>
      </c>
      <c r="F8984" s="7" t="s">
        <v>36</v>
      </c>
      <c r="G8984" s="7">
        <v>98.4499</v>
      </c>
      <c r="H8984" s="7"/>
    </row>
    <row r="8985" spans="1:8" x14ac:dyDescent="0.35">
      <c r="A8985" s="7" t="s">
        <v>377</v>
      </c>
      <c r="B8985" s="7" t="s">
        <v>26</v>
      </c>
      <c r="C8985" s="7" t="s">
        <v>27</v>
      </c>
      <c r="D8985" s="7" t="s">
        <v>28</v>
      </c>
      <c r="E8985" s="7" t="s">
        <v>29</v>
      </c>
      <c r="F8985" s="7" t="s">
        <v>37</v>
      </c>
      <c r="G8985" s="7">
        <v>98.595680000000002</v>
      </c>
      <c r="H8985" s="7"/>
    </row>
    <row r="8986" spans="1:8" x14ac:dyDescent="0.35">
      <c r="A8986" s="7" t="s">
        <v>377</v>
      </c>
      <c r="B8986" s="7" t="s">
        <v>26</v>
      </c>
      <c r="C8986" s="7" t="s">
        <v>27</v>
      </c>
      <c r="D8986" s="7" t="s">
        <v>28</v>
      </c>
      <c r="E8986" s="7" t="s">
        <v>29</v>
      </c>
      <c r="F8986" s="7" t="s">
        <v>38</v>
      </c>
      <c r="G8986" s="7">
        <v>98.60239</v>
      </c>
      <c r="H8986" s="7"/>
    </row>
    <row r="8987" spans="1:8" x14ac:dyDescent="0.35">
      <c r="A8987" s="7" t="s">
        <v>377</v>
      </c>
      <c r="B8987" s="7" t="s">
        <v>26</v>
      </c>
      <c r="C8987" s="7" t="s">
        <v>27</v>
      </c>
      <c r="D8987" s="7" t="s">
        <v>28</v>
      </c>
      <c r="E8987" s="7" t="s">
        <v>29</v>
      </c>
      <c r="F8987" s="7" t="s">
        <v>39</v>
      </c>
      <c r="G8987" s="7">
        <v>98.506900000000002</v>
      </c>
      <c r="H8987" s="7"/>
    </row>
    <row r="8988" spans="1:8" x14ac:dyDescent="0.35">
      <c r="A8988" s="7" t="s">
        <v>377</v>
      </c>
      <c r="B8988" s="7" t="s">
        <v>26</v>
      </c>
      <c r="C8988" s="7" t="s">
        <v>27</v>
      </c>
      <c r="D8988" s="7" t="s">
        <v>28</v>
      </c>
      <c r="E8988" s="7" t="s">
        <v>29</v>
      </c>
      <c r="F8988" s="7" t="s">
        <v>40</v>
      </c>
      <c r="G8988" s="7">
        <v>98.292730000000006</v>
      </c>
      <c r="H8988" s="7"/>
    </row>
    <row r="8989" spans="1:8" x14ac:dyDescent="0.35">
      <c r="A8989" s="7" t="s">
        <v>377</v>
      </c>
      <c r="B8989" s="7" t="s">
        <v>26</v>
      </c>
      <c r="C8989" s="7" t="s">
        <v>27</v>
      </c>
      <c r="D8989" s="7" t="s">
        <v>28</v>
      </c>
      <c r="E8989" s="7" t="s">
        <v>29</v>
      </c>
      <c r="F8989" s="7" t="s">
        <v>41</v>
      </c>
      <c r="G8989" s="7">
        <v>98.083770000000001</v>
      </c>
      <c r="H8989" s="7"/>
    </row>
    <row r="8990" spans="1:8" x14ac:dyDescent="0.35">
      <c r="A8990" s="7" t="s">
        <v>377</v>
      </c>
      <c r="B8990" s="7" t="s">
        <v>26</v>
      </c>
      <c r="C8990" s="7" t="s">
        <v>27</v>
      </c>
      <c r="D8990" s="7" t="s">
        <v>28</v>
      </c>
      <c r="E8990" s="7" t="s">
        <v>29</v>
      </c>
      <c r="F8990" s="7" t="s">
        <v>42</v>
      </c>
      <c r="G8990" s="7">
        <v>98.161959999999993</v>
      </c>
      <c r="H8990" s="7"/>
    </row>
    <row r="8991" spans="1:8" x14ac:dyDescent="0.35">
      <c r="A8991" s="7" t="s">
        <v>377</v>
      </c>
      <c r="B8991" s="7" t="s">
        <v>26</v>
      </c>
      <c r="C8991" s="7" t="s">
        <v>27</v>
      </c>
      <c r="D8991" s="7" t="s">
        <v>28</v>
      </c>
      <c r="E8991" s="7" t="s">
        <v>29</v>
      </c>
      <c r="F8991" s="7" t="s">
        <v>43</v>
      </c>
      <c r="G8991" s="7">
        <v>98.3339</v>
      </c>
      <c r="H8991" s="7"/>
    </row>
    <row r="8992" spans="1:8" x14ac:dyDescent="0.35">
      <c r="A8992" s="7" t="s">
        <v>377</v>
      </c>
      <c r="B8992" s="7" t="s">
        <v>26</v>
      </c>
      <c r="C8992" s="7" t="s">
        <v>27</v>
      </c>
      <c r="D8992" s="7" t="s">
        <v>28</v>
      </c>
      <c r="E8992" s="7" t="s">
        <v>29</v>
      </c>
      <c r="F8992" s="7" t="s">
        <v>44</v>
      </c>
      <c r="G8992" s="7">
        <v>98.301950000000005</v>
      </c>
      <c r="H8992" s="7"/>
    </row>
    <row r="8993" spans="1:8" x14ac:dyDescent="0.35">
      <c r="A8993" s="7" t="s">
        <v>377</v>
      </c>
      <c r="B8993" s="7" t="s">
        <v>26</v>
      </c>
      <c r="C8993" s="7" t="s">
        <v>27</v>
      </c>
      <c r="D8993" s="7" t="s">
        <v>28</v>
      </c>
      <c r="E8993" s="7" t="s">
        <v>29</v>
      </c>
      <c r="F8993" s="7" t="s">
        <v>45</v>
      </c>
      <c r="G8993" s="7">
        <v>98.137990000000002</v>
      </c>
      <c r="H8993" s="7"/>
    </row>
    <row r="8994" spans="1:8" x14ac:dyDescent="0.35">
      <c r="A8994" s="7" t="s">
        <v>377</v>
      </c>
      <c r="B8994" s="7" t="s">
        <v>26</v>
      </c>
      <c r="C8994" s="7" t="s">
        <v>27</v>
      </c>
      <c r="D8994" s="7" t="s">
        <v>28</v>
      </c>
      <c r="E8994" s="7" t="s">
        <v>29</v>
      </c>
      <c r="F8994" s="7" t="s">
        <v>46</v>
      </c>
      <c r="G8994" s="7">
        <v>98.301379999999995</v>
      </c>
      <c r="H8994" s="7"/>
    </row>
    <row r="8995" spans="1:8" x14ac:dyDescent="0.35">
      <c r="A8995" s="7" t="s">
        <v>377</v>
      </c>
      <c r="B8995" s="7" t="s">
        <v>26</v>
      </c>
      <c r="C8995" s="7" t="s">
        <v>27</v>
      </c>
      <c r="D8995" s="7" t="s">
        <v>28</v>
      </c>
      <c r="E8995" s="7" t="s">
        <v>29</v>
      </c>
      <c r="F8995" s="7" t="s">
        <v>47</v>
      </c>
      <c r="G8995" s="7">
        <v>98.834270000000004</v>
      </c>
      <c r="H8995" s="7"/>
    </row>
    <row r="8996" spans="1:8" x14ac:dyDescent="0.35">
      <c r="A8996" s="7" t="s">
        <v>377</v>
      </c>
      <c r="B8996" s="7" t="s">
        <v>26</v>
      </c>
      <c r="C8996" s="7" t="s">
        <v>27</v>
      </c>
      <c r="D8996" s="7" t="s">
        <v>28</v>
      </c>
      <c r="E8996" s="7" t="s">
        <v>29</v>
      </c>
      <c r="F8996" s="7" t="s">
        <v>48</v>
      </c>
      <c r="G8996" s="7">
        <v>99.113929999999996</v>
      </c>
      <c r="H8996" s="7"/>
    </row>
    <row r="8997" spans="1:8" x14ac:dyDescent="0.35">
      <c r="A8997" s="7" t="s">
        <v>377</v>
      </c>
      <c r="B8997" s="7" t="s">
        <v>26</v>
      </c>
      <c r="C8997" s="7" t="s">
        <v>27</v>
      </c>
      <c r="D8997" s="7" t="s">
        <v>28</v>
      </c>
      <c r="E8997" s="7" t="s">
        <v>29</v>
      </c>
      <c r="F8997" s="7" t="s">
        <v>49</v>
      </c>
      <c r="G8997" s="7">
        <v>99.243200000000002</v>
      </c>
      <c r="H8997" s="7"/>
    </row>
    <row r="8998" spans="1:8" x14ac:dyDescent="0.35">
      <c r="A8998" s="7" t="s">
        <v>377</v>
      </c>
      <c r="B8998" s="7" t="s">
        <v>26</v>
      </c>
      <c r="C8998" s="7" t="s">
        <v>27</v>
      </c>
      <c r="D8998" s="7" t="s">
        <v>28</v>
      </c>
      <c r="E8998" s="7" t="s">
        <v>29</v>
      </c>
      <c r="F8998" s="7" t="s">
        <v>50</v>
      </c>
      <c r="G8998" s="7">
        <v>99.377709999999993</v>
      </c>
      <c r="H8998" s="7"/>
    </row>
    <row r="8999" spans="1:8" x14ac:dyDescent="0.35">
      <c r="A8999" s="7" t="s">
        <v>377</v>
      </c>
      <c r="B8999" s="7" t="s">
        <v>26</v>
      </c>
      <c r="C8999" s="7" t="s">
        <v>27</v>
      </c>
      <c r="D8999" s="7" t="s">
        <v>28</v>
      </c>
      <c r="E8999" s="7" t="s">
        <v>29</v>
      </c>
      <c r="F8999" s="7" t="s">
        <v>51</v>
      </c>
      <c r="G8999" s="7">
        <v>99.624660000000006</v>
      </c>
      <c r="H8999" s="7"/>
    </row>
    <row r="9000" spans="1:8" x14ac:dyDescent="0.35">
      <c r="A9000" s="7" t="s">
        <v>377</v>
      </c>
      <c r="B9000" s="7" t="s">
        <v>26</v>
      </c>
      <c r="C9000" s="7" t="s">
        <v>27</v>
      </c>
      <c r="D9000" s="7" t="s">
        <v>28</v>
      </c>
      <c r="E9000" s="7" t="s">
        <v>29</v>
      </c>
      <c r="F9000" s="7" t="s">
        <v>52</v>
      </c>
      <c r="G9000" s="7">
        <v>99.866240000000005</v>
      </c>
      <c r="H9000" s="7"/>
    </row>
    <row r="9001" spans="1:8" x14ac:dyDescent="0.35">
      <c r="A9001" s="7" t="s">
        <v>377</v>
      </c>
      <c r="B9001" s="7" t="s">
        <v>26</v>
      </c>
      <c r="C9001" s="7" t="s">
        <v>27</v>
      </c>
      <c r="D9001" s="7" t="s">
        <v>28</v>
      </c>
      <c r="E9001" s="7" t="s">
        <v>29</v>
      </c>
      <c r="F9001" s="7" t="s">
        <v>53</v>
      </c>
      <c r="G9001" s="7">
        <v>100.0462</v>
      </c>
      <c r="H9001" s="7"/>
    </row>
    <row r="9002" spans="1:8" x14ac:dyDescent="0.35">
      <c r="A9002" s="7" t="s">
        <v>377</v>
      </c>
      <c r="B9002" s="7" t="s">
        <v>26</v>
      </c>
      <c r="C9002" s="7" t="s">
        <v>27</v>
      </c>
      <c r="D9002" s="7" t="s">
        <v>28</v>
      </c>
      <c r="E9002" s="7" t="s">
        <v>29</v>
      </c>
      <c r="F9002" s="7" t="s">
        <v>54</v>
      </c>
      <c r="G9002" s="7">
        <v>100.02630000000001</v>
      </c>
      <c r="H9002" s="7"/>
    </row>
    <row r="9003" spans="1:8" x14ac:dyDescent="0.35">
      <c r="A9003" s="7" t="s">
        <v>377</v>
      </c>
      <c r="B9003" s="7" t="s">
        <v>26</v>
      </c>
      <c r="C9003" s="7" t="s">
        <v>27</v>
      </c>
      <c r="D9003" s="7" t="s">
        <v>28</v>
      </c>
      <c r="E9003" s="7" t="s">
        <v>29</v>
      </c>
      <c r="F9003" s="7" t="s">
        <v>55</v>
      </c>
      <c r="G9003" s="7">
        <v>100.1507</v>
      </c>
      <c r="H9003" s="7"/>
    </row>
    <row r="9004" spans="1:8" x14ac:dyDescent="0.35">
      <c r="A9004" s="7" t="s">
        <v>377</v>
      </c>
      <c r="B9004" s="7" t="s">
        <v>26</v>
      </c>
      <c r="C9004" s="7" t="s">
        <v>27</v>
      </c>
      <c r="D9004" s="7" t="s">
        <v>28</v>
      </c>
      <c r="E9004" s="7" t="s">
        <v>29</v>
      </c>
      <c r="F9004" s="7" t="s">
        <v>56</v>
      </c>
      <c r="G9004" s="7">
        <v>100.4516</v>
      </c>
      <c r="H9004" s="7"/>
    </row>
    <row r="9005" spans="1:8" x14ac:dyDescent="0.35">
      <c r="A9005" s="7" t="s">
        <v>377</v>
      </c>
      <c r="B9005" s="7" t="s">
        <v>26</v>
      </c>
      <c r="C9005" s="7" t="s">
        <v>27</v>
      </c>
      <c r="D9005" s="7" t="s">
        <v>28</v>
      </c>
      <c r="E9005" s="7" t="s">
        <v>29</v>
      </c>
      <c r="F9005" s="7" t="s">
        <v>57</v>
      </c>
      <c r="G9005" s="7">
        <v>100.5667</v>
      </c>
      <c r="H9005" s="7"/>
    </row>
    <row r="9006" spans="1:8" x14ac:dyDescent="0.35">
      <c r="A9006" s="7" t="s">
        <v>377</v>
      </c>
      <c r="B9006" s="7" t="s">
        <v>26</v>
      </c>
      <c r="C9006" s="7" t="s">
        <v>27</v>
      </c>
      <c r="D9006" s="7" t="s">
        <v>28</v>
      </c>
      <c r="E9006" s="7" t="s">
        <v>29</v>
      </c>
      <c r="F9006" s="7" t="s">
        <v>58</v>
      </c>
      <c r="G9006" s="7">
        <v>100.5896</v>
      </c>
      <c r="H9006" s="7"/>
    </row>
    <row r="9007" spans="1:8" x14ac:dyDescent="0.35">
      <c r="A9007" s="7" t="s">
        <v>377</v>
      </c>
      <c r="B9007" s="7" t="s">
        <v>26</v>
      </c>
      <c r="C9007" s="7" t="s">
        <v>27</v>
      </c>
      <c r="D9007" s="7" t="s">
        <v>28</v>
      </c>
      <c r="E9007" s="7" t="s">
        <v>29</v>
      </c>
      <c r="F9007" s="7" t="s">
        <v>59</v>
      </c>
      <c r="G9007" s="7">
        <v>100.64570000000001</v>
      </c>
      <c r="H9007" s="7"/>
    </row>
    <row r="9008" spans="1:8" x14ac:dyDescent="0.35">
      <c r="A9008" s="7" t="s">
        <v>377</v>
      </c>
      <c r="B9008" s="7" t="s">
        <v>26</v>
      </c>
      <c r="C9008" s="7" t="s">
        <v>27</v>
      </c>
      <c r="D9008" s="7" t="s">
        <v>28</v>
      </c>
      <c r="E9008" s="7" t="s">
        <v>29</v>
      </c>
      <c r="F9008" s="7" t="s">
        <v>60</v>
      </c>
      <c r="G9008" s="7">
        <v>100.79949999999999</v>
      </c>
      <c r="H9008" s="7"/>
    </row>
    <row r="9009" spans="1:8" x14ac:dyDescent="0.35">
      <c r="A9009" s="7" t="s">
        <v>377</v>
      </c>
      <c r="B9009" s="7" t="s">
        <v>26</v>
      </c>
      <c r="C9009" s="7" t="s">
        <v>27</v>
      </c>
      <c r="D9009" s="7" t="s">
        <v>28</v>
      </c>
      <c r="E9009" s="7" t="s">
        <v>29</v>
      </c>
      <c r="F9009" s="7" t="s">
        <v>61</v>
      </c>
      <c r="G9009" s="7">
        <v>100.81570000000001</v>
      </c>
      <c r="H9009" s="7"/>
    </row>
    <row r="9010" spans="1:8" x14ac:dyDescent="0.35">
      <c r="A9010" s="7" t="s">
        <v>377</v>
      </c>
      <c r="B9010" s="7" t="s">
        <v>26</v>
      </c>
      <c r="C9010" s="7" t="s">
        <v>27</v>
      </c>
      <c r="D9010" s="7" t="s">
        <v>28</v>
      </c>
      <c r="E9010" s="7" t="s">
        <v>29</v>
      </c>
      <c r="F9010" s="7" t="s">
        <v>62</v>
      </c>
      <c r="G9010" s="7">
        <v>100.74939999999999</v>
      </c>
      <c r="H9010" s="7"/>
    </row>
    <row r="9011" spans="1:8" x14ac:dyDescent="0.35">
      <c r="A9011" s="7" t="s">
        <v>377</v>
      </c>
      <c r="B9011" s="7" t="s">
        <v>26</v>
      </c>
      <c r="C9011" s="7" t="s">
        <v>27</v>
      </c>
      <c r="D9011" s="7" t="s">
        <v>28</v>
      </c>
      <c r="E9011" s="7" t="s">
        <v>29</v>
      </c>
      <c r="F9011" s="7" t="s">
        <v>63</v>
      </c>
      <c r="G9011" s="7">
        <v>100.88800000000001</v>
      </c>
      <c r="H9011" s="7"/>
    </row>
    <row r="9012" spans="1:8" x14ac:dyDescent="0.35">
      <c r="A9012" s="7" t="s">
        <v>377</v>
      </c>
      <c r="B9012" s="7" t="s">
        <v>26</v>
      </c>
      <c r="C9012" s="7" t="s">
        <v>27</v>
      </c>
      <c r="D9012" s="7" t="s">
        <v>28</v>
      </c>
      <c r="E9012" s="7" t="s">
        <v>29</v>
      </c>
      <c r="F9012" s="7" t="s">
        <v>64</v>
      </c>
      <c r="G9012" s="7">
        <v>101.1857</v>
      </c>
      <c r="H9012" s="7"/>
    </row>
    <row r="9013" spans="1:8" x14ac:dyDescent="0.35">
      <c r="A9013" s="7" t="s">
        <v>377</v>
      </c>
      <c r="B9013" s="7" t="s">
        <v>26</v>
      </c>
      <c r="C9013" s="7" t="s">
        <v>27</v>
      </c>
      <c r="D9013" s="7" t="s">
        <v>28</v>
      </c>
      <c r="E9013" s="7" t="s">
        <v>29</v>
      </c>
      <c r="F9013" s="7" t="s">
        <v>65</v>
      </c>
      <c r="G9013" s="7">
        <v>101.4614</v>
      </c>
      <c r="H9013" s="7"/>
    </row>
    <row r="9014" spans="1:8" x14ac:dyDescent="0.35">
      <c r="A9014" s="7" t="s">
        <v>377</v>
      </c>
      <c r="B9014" s="7" t="s">
        <v>26</v>
      </c>
      <c r="C9014" s="7" t="s">
        <v>27</v>
      </c>
      <c r="D9014" s="7" t="s">
        <v>28</v>
      </c>
      <c r="E9014" s="7" t="s">
        <v>29</v>
      </c>
      <c r="F9014" s="7" t="s">
        <v>66</v>
      </c>
      <c r="G9014" s="7">
        <v>101.6634</v>
      </c>
      <c r="H9014" s="7"/>
    </row>
    <row r="9015" spans="1:8" x14ac:dyDescent="0.35">
      <c r="A9015" s="7" t="s">
        <v>377</v>
      </c>
      <c r="B9015" s="7" t="s">
        <v>26</v>
      </c>
      <c r="C9015" s="7" t="s">
        <v>27</v>
      </c>
      <c r="D9015" s="7" t="s">
        <v>28</v>
      </c>
      <c r="E9015" s="7" t="s">
        <v>29</v>
      </c>
      <c r="F9015" s="7" t="s">
        <v>67</v>
      </c>
      <c r="G9015" s="7">
        <v>101.8737</v>
      </c>
      <c r="H9015" s="7"/>
    </row>
    <row r="9016" spans="1:8" x14ac:dyDescent="0.35">
      <c r="A9016" s="7" t="s">
        <v>377</v>
      </c>
      <c r="B9016" s="7" t="s">
        <v>26</v>
      </c>
      <c r="C9016" s="7" t="s">
        <v>27</v>
      </c>
      <c r="D9016" s="7" t="s">
        <v>28</v>
      </c>
      <c r="E9016" s="7" t="s">
        <v>29</v>
      </c>
      <c r="F9016" s="7" t="s">
        <v>68</v>
      </c>
      <c r="G9016" s="7">
        <v>102.00790000000001</v>
      </c>
      <c r="H9016" s="7"/>
    </row>
    <row r="9017" spans="1:8" x14ac:dyDescent="0.35">
      <c r="A9017" s="7" t="s">
        <v>377</v>
      </c>
      <c r="B9017" s="7" t="s">
        <v>26</v>
      </c>
      <c r="C9017" s="7" t="s">
        <v>27</v>
      </c>
      <c r="D9017" s="7" t="s">
        <v>28</v>
      </c>
      <c r="E9017" s="7" t="s">
        <v>29</v>
      </c>
      <c r="F9017" s="7" t="s">
        <v>69</v>
      </c>
      <c r="G9017" s="7">
        <v>101.9842</v>
      </c>
      <c r="H9017" s="7"/>
    </row>
    <row r="9018" spans="1:8" x14ac:dyDescent="0.35">
      <c r="A9018" s="7" t="s">
        <v>377</v>
      </c>
      <c r="B9018" s="7" t="s">
        <v>26</v>
      </c>
      <c r="C9018" s="7" t="s">
        <v>27</v>
      </c>
      <c r="D9018" s="7" t="s">
        <v>28</v>
      </c>
      <c r="E9018" s="7" t="s">
        <v>29</v>
      </c>
      <c r="F9018" s="7" t="s">
        <v>70</v>
      </c>
      <c r="G9018" s="7">
        <v>101.7714</v>
      </c>
      <c r="H9018" s="7"/>
    </row>
    <row r="9019" spans="1:8" x14ac:dyDescent="0.35">
      <c r="A9019" s="7" t="s">
        <v>377</v>
      </c>
      <c r="B9019" s="7" t="s">
        <v>26</v>
      </c>
      <c r="C9019" s="7" t="s">
        <v>27</v>
      </c>
      <c r="D9019" s="7" t="s">
        <v>28</v>
      </c>
      <c r="E9019" s="7" t="s">
        <v>29</v>
      </c>
      <c r="F9019" s="7" t="s">
        <v>71</v>
      </c>
      <c r="G9019" s="7">
        <v>101.3989</v>
      </c>
      <c r="H9019" s="7"/>
    </row>
    <row r="9020" spans="1:8" x14ac:dyDescent="0.35">
      <c r="A9020" s="7" t="s">
        <v>377</v>
      </c>
      <c r="B9020" s="7" t="s">
        <v>26</v>
      </c>
      <c r="C9020" s="7" t="s">
        <v>27</v>
      </c>
      <c r="D9020" s="7" t="s">
        <v>28</v>
      </c>
      <c r="E9020" s="7" t="s">
        <v>29</v>
      </c>
      <c r="F9020" s="7" t="s">
        <v>72</v>
      </c>
      <c r="G9020" s="7">
        <v>101.1832</v>
      </c>
      <c r="H9020" s="7"/>
    </row>
    <row r="9021" spans="1:8" x14ac:dyDescent="0.35">
      <c r="A9021" s="7" t="s">
        <v>377</v>
      </c>
      <c r="B9021" s="7" t="s">
        <v>26</v>
      </c>
      <c r="C9021" s="7" t="s">
        <v>27</v>
      </c>
      <c r="D9021" s="7" t="s">
        <v>28</v>
      </c>
      <c r="E9021" s="7" t="s">
        <v>29</v>
      </c>
      <c r="F9021" s="7" t="s">
        <v>73</v>
      </c>
      <c r="G9021" s="7">
        <v>101.1461</v>
      </c>
      <c r="H9021" s="7"/>
    </row>
    <row r="9022" spans="1:8" x14ac:dyDescent="0.35">
      <c r="A9022" s="7" t="s">
        <v>377</v>
      </c>
      <c r="B9022" s="7" t="s">
        <v>26</v>
      </c>
      <c r="C9022" s="7" t="s">
        <v>27</v>
      </c>
      <c r="D9022" s="7" t="s">
        <v>28</v>
      </c>
      <c r="E9022" s="7" t="s">
        <v>29</v>
      </c>
      <c r="F9022" s="7" t="s">
        <v>74</v>
      </c>
      <c r="G9022" s="7">
        <v>101.2581</v>
      </c>
      <c r="H9022" s="7"/>
    </row>
    <row r="9023" spans="1:8" x14ac:dyDescent="0.35">
      <c r="A9023" s="7" t="s">
        <v>377</v>
      </c>
      <c r="B9023" s="7" t="s">
        <v>26</v>
      </c>
      <c r="C9023" s="7" t="s">
        <v>27</v>
      </c>
      <c r="D9023" s="7" t="s">
        <v>28</v>
      </c>
      <c r="E9023" s="7" t="s">
        <v>29</v>
      </c>
      <c r="F9023" s="7" t="s">
        <v>75</v>
      </c>
      <c r="G9023" s="7">
        <v>101.41970000000001</v>
      </c>
      <c r="H9023" s="7"/>
    </row>
    <row r="9024" spans="1:8" x14ac:dyDescent="0.35">
      <c r="A9024" s="7" t="s">
        <v>377</v>
      </c>
      <c r="B9024" s="7" t="s">
        <v>26</v>
      </c>
      <c r="C9024" s="7" t="s">
        <v>27</v>
      </c>
      <c r="D9024" s="7" t="s">
        <v>28</v>
      </c>
      <c r="E9024" s="7" t="s">
        <v>29</v>
      </c>
      <c r="F9024" s="7" t="s">
        <v>76</v>
      </c>
      <c r="G9024" s="7">
        <v>101.61579999999999</v>
      </c>
      <c r="H9024" s="7"/>
    </row>
    <row r="9025" spans="1:8" x14ac:dyDescent="0.35">
      <c r="A9025" s="7" t="s">
        <v>377</v>
      </c>
      <c r="B9025" s="7" t="s">
        <v>26</v>
      </c>
      <c r="C9025" s="7" t="s">
        <v>27</v>
      </c>
      <c r="D9025" s="7" t="s">
        <v>28</v>
      </c>
      <c r="E9025" s="7" t="s">
        <v>29</v>
      </c>
      <c r="F9025" s="7" t="s">
        <v>77</v>
      </c>
      <c r="G9025" s="7">
        <v>101.8245</v>
      </c>
      <c r="H9025" s="7"/>
    </row>
    <row r="9026" spans="1:8" x14ac:dyDescent="0.35">
      <c r="A9026" s="7" t="s">
        <v>377</v>
      </c>
      <c r="B9026" s="7" t="s">
        <v>26</v>
      </c>
      <c r="C9026" s="7" t="s">
        <v>27</v>
      </c>
      <c r="D9026" s="7" t="s">
        <v>28</v>
      </c>
      <c r="E9026" s="7" t="s">
        <v>29</v>
      </c>
      <c r="F9026" s="7" t="s">
        <v>78</v>
      </c>
      <c r="G9026" s="7">
        <v>102.102</v>
      </c>
      <c r="H9026" s="7"/>
    </row>
    <row r="9027" spans="1:8" x14ac:dyDescent="0.35">
      <c r="A9027" s="7" t="s">
        <v>377</v>
      </c>
      <c r="B9027" s="7" t="s">
        <v>26</v>
      </c>
      <c r="C9027" s="7" t="s">
        <v>27</v>
      </c>
      <c r="D9027" s="7" t="s">
        <v>28</v>
      </c>
      <c r="E9027" s="7" t="s">
        <v>29</v>
      </c>
      <c r="F9027" s="7" t="s">
        <v>79</v>
      </c>
      <c r="G9027" s="7">
        <v>102.2891</v>
      </c>
      <c r="H9027" s="7"/>
    </row>
    <row r="9028" spans="1:8" x14ac:dyDescent="0.35">
      <c r="A9028" s="7" t="s">
        <v>377</v>
      </c>
      <c r="B9028" s="7" t="s">
        <v>26</v>
      </c>
      <c r="C9028" s="7" t="s">
        <v>27</v>
      </c>
      <c r="D9028" s="7" t="s">
        <v>28</v>
      </c>
      <c r="E9028" s="7" t="s">
        <v>29</v>
      </c>
      <c r="F9028" s="7" t="s">
        <v>80</v>
      </c>
      <c r="G9028" s="7">
        <v>102.3519</v>
      </c>
      <c r="H9028" s="7"/>
    </row>
    <row r="9029" spans="1:8" x14ac:dyDescent="0.35">
      <c r="A9029" s="7" t="s">
        <v>377</v>
      </c>
      <c r="B9029" s="7" t="s">
        <v>26</v>
      </c>
      <c r="C9029" s="7" t="s">
        <v>27</v>
      </c>
      <c r="D9029" s="7" t="s">
        <v>28</v>
      </c>
      <c r="E9029" s="7" t="s">
        <v>29</v>
      </c>
      <c r="F9029" s="7" t="s">
        <v>81</v>
      </c>
      <c r="G9029" s="7">
        <v>102.2927</v>
      </c>
      <c r="H9029" s="7"/>
    </row>
    <row r="9030" spans="1:8" x14ac:dyDescent="0.35">
      <c r="A9030" s="7" t="s">
        <v>377</v>
      </c>
      <c r="B9030" s="7" t="s">
        <v>26</v>
      </c>
      <c r="C9030" s="7" t="s">
        <v>27</v>
      </c>
      <c r="D9030" s="7" t="s">
        <v>28</v>
      </c>
      <c r="E9030" s="7" t="s">
        <v>29</v>
      </c>
      <c r="F9030" s="7" t="s">
        <v>82</v>
      </c>
      <c r="G9030" s="7">
        <v>102.11539999999999</v>
      </c>
      <c r="H9030" s="7"/>
    </row>
    <row r="9031" spans="1:8" x14ac:dyDescent="0.35">
      <c r="A9031" s="7" t="s">
        <v>377</v>
      </c>
      <c r="B9031" s="7" t="s">
        <v>26</v>
      </c>
      <c r="C9031" s="7" t="s">
        <v>27</v>
      </c>
      <c r="D9031" s="7" t="s">
        <v>28</v>
      </c>
      <c r="E9031" s="7" t="s">
        <v>29</v>
      </c>
      <c r="F9031" s="7" t="s">
        <v>83</v>
      </c>
      <c r="G9031" s="7">
        <v>101.91289999999999</v>
      </c>
      <c r="H9031" s="7"/>
    </row>
    <row r="9032" spans="1:8" x14ac:dyDescent="0.35">
      <c r="A9032" s="7" t="s">
        <v>377</v>
      </c>
      <c r="B9032" s="7" t="s">
        <v>26</v>
      </c>
      <c r="C9032" s="7" t="s">
        <v>27</v>
      </c>
      <c r="D9032" s="7" t="s">
        <v>28</v>
      </c>
      <c r="E9032" s="7" t="s">
        <v>29</v>
      </c>
      <c r="F9032" s="7" t="s">
        <v>84</v>
      </c>
      <c r="G9032" s="7">
        <v>101.73520000000001</v>
      </c>
      <c r="H9032" s="7"/>
    </row>
    <row r="9033" spans="1:8" x14ac:dyDescent="0.35">
      <c r="A9033" s="7" t="s">
        <v>377</v>
      </c>
      <c r="B9033" s="7" t="s">
        <v>26</v>
      </c>
      <c r="C9033" s="7" t="s">
        <v>27</v>
      </c>
      <c r="D9033" s="7" t="s">
        <v>28</v>
      </c>
      <c r="E9033" s="7" t="s">
        <v>29</v>
      </c>
      <c r="F9033" s="7" t="s">
        <v>85</v>
      </c>
      <c r="G9033" s="7">
        <v>101.694</v>
      </c>
      <c r="H9033" s="7"/>
    </row>
    <row r="9034" spans="1:8" x14ac:dyDescent="0.35">
      <c r="A9034" s="7" t="s">
        <v>377</v>
      </c>
      <c r="B9034" s="7" t="s">
        <v>26</v>
      </c>
      <c r="C9034" s="7" t="s">
        <v>27</v>
      </c>
      <c r="D9034" s="7" t="s">
        <v>28</v>
      </c>
      <c r="E9034" s="7" t="s">
        <v>29</v>
      </c>
      <c r="F9034" s="7" t="s">
        <v>86</v>
      </c>
      <c r="G9034" s="7">
        <v>101.6628</v>
      </c>
      <c r="H9034" s="7"/>
    </row>
    <row r="9035" spans="1:8" x14ac:dyDescent="0.35">
      <c r="A9035" s="7" t="s">
        <v>377</v>
      </c>
      <c r="B9035" s="7" t="s">
        <v>26</v>
      </c>
      <c r="C9035" s="7" t="s">
        <v>27</v>
      </c>
      <c r="D9035" s="7" t="s">
        <v>28</v>
      </c>
      <c r="E9035" s="7" t="s">
        <v>29</v>
      </c>
      <c r="F9035" s="7" t="s">
        <v>87</v>
      </c>
      <c r="G9035" s="7">
        <v>101.655</v>
      </c>
      <c r="H9035" s="7"/>
    </row>
    <row r="9036" spans="1:8" x14ac:dyDescent="0.35">
      <c r="A9036" s="7" t="s">
        <v>377</v>
      </c>
      <c r="B9036" s="7" t="s">
        <v>26</v>
      </c>
      <c r="C9036" s="7" t="s">
        <v>27</v>
      </c>
      <c r="D9036" s="7" t="s">
        <v>28</v>
      </c>
      <c r="E9036" s="7" t="s">
        <v>29</v>
      </c>
      <c r="F9036" s="7" t="s">
        <v>88</v>
      </c>
      <c r="G9036" s="7">
        <v>101.9255</v>
      </c>
      <c r="H9036" s="7"/>
    </row>
    <row r="9037" spans="1:8" x14ac:dyDescent="0.35">
      <c r="A9037" s="7" t="s">
        <v>377</v>
      </c>
      <c r="B9037" s="7" t="s">
        <v>26</v>
      </c>
      <c r="C9037" s="7" t="s">
        <v>27</v>
      </c>
      <c r="D9037" s="7" t="s">
        <v>28</v>
      </c>
      <c r="E9037" s="7" t="s">
        <v>29</v>
      </c>
      <c r="F9037" s="7" t="s">
        <v>89</v>
      </c>
      <c r="G9037" s="7">
        <v>102.33280000000001</v>
      </c>
      <c r="H9037" s="7"/>
    </row>
    <row r="9038" spans="1:8" x14ac:dyDescent="0.35">
      <c r="A9038" s="7" t="s">
        <v>377</v>
      </c>
      <c r="B9038" s="7" t="s">
        <v>26</v>
      </c>
      <c r="C9038" s="7" t="s">
        <v>27</v>
      </c>
      <c r="D9038" s="7" t="s">
        <v>28</v>
      </c>
      <c r="E9038" s="7" t="s">
        <v>29</v>
      </c>
      <c r="F9038" s="7" t="s">
        <v>90</v>
      </c>
      <c r="G9038" s="7">
        <v>102.67189999999999</v>
      </c>
      <c r="H9038" s="7"/>
    </row>
    <row r="9039" spans="1:8" x14ac:dyDescent="0.35">
      <c r="A9039" s="7" t="s">
        <v>377</v>
      </c>
      <c r="B9039" s="7" t="s">
        <v>26</v>
      </c>
      <c r="C9039" s="7" t="s">
        <v>27</v>
      </c>
      <c r="D9039" s="7" t="s">
        <v>28</v>
      </c>
      <c r="E9039" s="7" t="s">
        <v>29</v>
      </c>
      <c r="F9039" s="7" t="s">
        <v>91</v>
      </c>
      <c r="G9039" s="7">
        <v>102.96899999999999</v>
      </c>
      <c r="H9039" s="7"/>
    </row>
    <row r="9040" spans="1:8" x14ac:dyDescent="0.35">
      <c r="A9040" s="7" t="s">
        <v>377</v>
      </c>
      <c r="B9040" s="7" t="s">
        <v>26</v>
      </c>
      <c r="C9040" s="7" t="s">
        <v>27</v>
      </c>
      <c r="D9040" s="7" t="s">
        <v>28</v>
      </c>
      <c r="E9040" s="7" t="s">
        <v>29</v>
      </c>
      <c r="F9040" s="7" t="s">
        <v>92</v>
      </c>
      <c r="G9040" s="7">
        <v>103.1708</v>
      </c>
      <c r="H9040" s="7"/>
    </row>
    <row r="9041" spans="1:8" x14ac:dyDescent="0.35">
      <c r="A9041" s="7" t="s">
        <v>377</v>
      </c>
      <c r="B9041" s="7" t="s">
        <v>26</v>
      </c>
      <c r="C9041" s="7" t="s">
        <v>27</v>
      </c>
      <c r="D9041" s="7" t="s">
        <v>28</v>
      </c>
      <c r="E9041" s="7" t="s">
        <v>29</v>
      </c>
      <c r="F9041" s="7" t="s">
        <v>93</v>
      </c>
      <c r="G9041" s="7">
        <v>103.4084</v>
      </c>
      <c r="H9041" s="7"/>
    </row>
    <row r="9042" spans="1:8" x14ac:dyDescent="0.35">
      <c r="A9042" s="7" t="s">
        <v>377</v>
      </c>
      <c r="B9042" s="7" t="s">
        <v>26</v>
      </c>
      <c r="C9042" s="7" t="s">
        <v>27</v>
      </c>
      <c r="D9042" s="7" t="s">
        <v>28</v>
      </c>
      <c r="E9042" s="7" t="s">
        <v>29</v>
      </c>
      <c r="F9042" s="7" t="s">
        <v>94</v>
      </c>
      <c r="G9042" s="7">
        <v>103.5569</v>
      </c>
      <c r="H9042" s="7"/>
    </row>
    <row r="9043" spans="1:8" x14ac:dyDescent="0.35">
      <c r="A9043" s="7" t="s">
        <v>377</v>
      </c>
      <c r="B9043" s="7" t="s">
        <v>26</v>
      </c>
      <c r="C9043" s="7" t="s">
        <v>27</v>
      </c>
      <c r="D9043" s="7" t="s">
        <v>28</v>
      </c>
      <c r="E9043" s="7" t="s">
        <v>29</v>
      </c>
      <c r="F9043" s="7" t="s">
        <v>95</v>
      </c>
      <c r="G9043" s="7">
        <v>103.6722</v>
      </c>
      <c r="H9043" s="7"/>
    </row>
    <row r="9044" spans="1:8" x14ac:dyDescent="0.35">
      <c r="A9044" s="7" t="s">
        <v>377</v>
      </c>
      <c r="B9044" s="7" t="s">
        <v>26</v>
      </c>
      <c r="C9044" s="7" t="s">
        <v>27</v>
      </c>
      <c r="D9044" s="7" t="s">
        <v>28</v>
      </c>
      <c r="E9044" s="7" t="s">
        <v>29</v>
      </c>
      <c r="F9044" s="7" t="s">
        <v>96</v>
      </c>
      <c r="G9044" s="7">
        <v>103.7436</v>
      </c>
      <c r="H9044" s="7"/>
    </row>
    <row r="9045" spans="1:8" x14ac:dyDescent="0.35">
      <c r="A9045" s="7" t="s">
        <v>377</v>
      </c>
      <c r="B9045" s="7" t="s">
        <v>26</v>
      </c>
      <c r="C9045" s="7" t="s">
        <v>27</v>
      </c>
      <c r="D9045" s="7" t="s">
        <v>28</v>
      </c>
      <c r="E9045" s="7" t="s">
        <v>29</v>
      </c>
      <c r="F9045" s="7" t="s">
        <v>97</v>
      </c>
      <c r="G9045" s="7">
        <v>103.7756</v>
      </c>
      <c r="H9045" s="7"/>
    </row>
    <row r="9046" spans="1:8" x14ac:dyDescent="0.35">
      <c r="A9046" s="7" t="s">
        <v>377</v>
      </c>
      <c r="B9046" s="7" t="s">
        <v>26</v>
      </c>
      <c r="C9046" s="7" t="s">
        <v>27</v>
      </c>
      <c r="D9046" s="7" t="s">
        <v>28</v>
      </c>
      <c r="E9046" s="7" t="s">
        <v>29</v>
      </c>
      <c r="F9046" s="7" t="s">
        <v>98</v>
      </c>
      <c r="G9046" s="7">
        <v>103.786</v>
      </c>
      <c r="H9046" s="7"/>
    </row>
    <row r="9047" spans="1:8" x14ac:dyDescent="0.35">
      <c r="A9047" s="7" t="s">
        <v>377</v>
      </c>
      <c r="B9047" s="7" t="s">
        <v>26</v>
      </c>
      <c r="C9047" s="7" t="s">
        <v>27</v>
      </c>
      <c r="D9047" s="7" t="s">
        <v>28</v>
      </c>
      <c r="E9047" s="7" t="s">
        <v>29</v>
      </c>
      <c r="F9047" s="7" t="s">
        <v>99</v>
      </c>
      <c r="G9047" s="7">
        <v>103.9011</v>
      </c>
      <c r="H9047" s="7"/>
    </row>
    <row r="9048" spans="1:8" x14ac:dyDescent="0.35">
      <c r="A9048" s="7" t="s">
        <v>377</v>
      </c>
      <c r="B9048" s="7" t="s">
        <v>26</v>
      </c>
      <c r="C9048" s="7" t="s">
        <v>27</v>
      </c>
      <c r="D9048" s="7" t="s">
        <v>28</v>
      </c>
      <c r="E9048" s="7" t="s">
        <v>29</v>
      </c>
      <c r="F9048" s="7" t="s">
        <v>100</v>
      </c>
      <c r="G9048" s="7">
        <v>104.134</v>
      </c>
      <c r="H9048" s="7"/>
    </row>
    <row r="9049" spans="1:8" x14ac:dyDescent="0.35">
      <c r="A9049" s="7" t="s">
        <v>377</v>
      </c>
      <c r="B9049" s="7" t="s">
        <v>26</v>
      </c>
      <c r="C9049" s="7" t="s">
        <v>27</v>
      </c>
      <c r="D9049" s="7" t="s">
        <v>28</v>
      </c>
      <c r="E9049" s="7" t="s">
        <v>29</v>
      </c>
      <c r="F9049" s="7" t="s">
        <v>101</v>
      </c>
      <c r="G9049" s="7">
        <v>104.27</v>
      </c>
      <c r="H9049" s="7"/>
    </row>
    <row r="9050" spans="1:8" x14ac:dyDescent="0.35">
      <c r="A9050" s="7" t="s">
        <v>377</v>
      </c>
      <c r="B9050" s="7" t="s">
        <v>26</v>
      </c>
      <c r="C9050" s="7" t="s">
        <v>27</v>
      </c>
      <c r="D9050" s="7" t="s">
        <v>28</v>
      </c>
      <c r="E9050" s="7" t="s">
        <v>29</v>
      </c>
      <c r="F9050" s="7" t="s">
        <v>102</v>
      </c>
      <c r="G9050" s="7">
        <v>104.25069999999999</v>
      </c>
      <c r="H9050" s="7"/>
    </row>
    <row r="9051" spans="1:8" x14ac:dyDescent="0.35">
      <c r="A9051" s="7" t="s">
        <v>377</v>
      </c>
      <c r="B9051" s="7" t="s">
        <v>26</v>
      </c>
      <c r="C9051" s="7" t="s">
        <v>27</v>
      </c>
      <c r="D9051" s="7" t="s">
        <v>28</v>
      </c>
      <c r="E9051" s="7" t="s">
        <v>29</v>
      </c>
      <c r="F9051" s="7" t="s">
        <v>103</v>
      </c>
      <c r="G9051" s="7">
        <v>104.06699999999999</v>
      </c>
      <c r="H9051" s="7"/>
    </row>
    <row r="9052" spans="1:8" x14ac:dyDescent="0.35">
      <c r="A9052" s="7" t="s">
        <v>377</v>
      </c>
      <c r="B9052" s="7" t="s">
        <v>26</v>
      </c>
      <c r="C9052" s="7" t="s">
        <v>27</v>
      </c>
      <c r="D9052" s="7" t="s">
        <v>28</v>
      </c>
      <c r="E9052" s="7" t="s">
        <v>29</v>
      </c>
      <c r="F9052" s="7" t="s">
        <v>104</v>
      </c>
      <c r="G9052" s="7">
        <v>103.86199999999999</v>
      </c>
      <c r="H9052" s="7"/>
    </row>
    <row r="9053" spans="1:8" x14ac:dyDescent="0.35">
      <c r="A9053" s="7" t="s">
        <v>377</v>
      </c>
      <c r="B9053" s="7" t="s">
        <v>26</v>
      </c>
      <c r="C9053" s="7" t="s">
        <v>27</v>
      </c>
      <c r="D9053" s="7" t="s">
        <v>28</v>
      </c>
      <c r="E9053" s="7" t="s">
        <v>29</v>
      </c>
      <c r="F9053" s="7" t="s">
        <v>105</v>
      </c>
      <c r="G9053" s="7">
        <v>103.9183</v>
      </c>
      <c r="H9053" s="7"/>
    </row>
    <row r="9054" spans="1:8" x14ac:dyDescent="0.35">
      <c r="A9054" s="7" t="s">
        <v>377</v>
      </c>
      <c r="B9054" s="7" t="s">
        <v>26</v>
      </c>
      <c r="C9054" s="7" t="s">
        <v>27</v>
      </c>
      <c r="D9054" s="7" t="s">
        <v>28</v>
      </c>
      <c r="E9054" s="7" t="s">
        <v>29</v>
      </c>
      <c r="F9054" s="7" t="s">
        <v>106</v>
      </c>
      <c r="G9054" s="7">
        <v>104.0351</v>
      </c>
      <c r="H9054" s="7"/>
    </row>
    <row r="9055" spans="1:8" x14ac:dyDescent="0.35">
      <c r="A9055" s="7" t="s">
        <v>377</v>
      </c>
      <c r="B9055" s="7" t="s">
        <v>26</v>
      </c>
      <c r="C9055" s="7" t="s">
        <v>27</v>
      </c>
      <c r="D9055" s="7" t="s">
        <v>28</v>
      </c>
      <c r="E9055" s="7" t="s">
        <v>29</v>
      </c>
      <c r="F9055" s="7" t="s">
        <v>107</v>
      </c>
      <c r="G9055" s="7">
        <v>104.03279999999999</v>
      </c>
      <c r="H9055" s="7"/>
    </row>
    <row r="9056" spans="1:8" x14ac:dyDescent="0.35">
      <c r="A9056" s="7" t="s">
        <v>377</v>
      </c>
      <c r="B9056" s="7" t="s">
        <v>26</v>
      </c>
      <c r="C9056" s="7" t="s">
        <v>27</v>
      </c>
      <c r="D9056" s="7" t="s">
        <v>28</v>
      </c>
      <c r="E9056" s="7" t="s">
        <v>29</v>
      </c>
      <c r="F9056" s="7" t="s">
        <v>108</v>
      </c>
      <c r="G9056" s="7">
        <v>103.9593</v>
      </c>
      <c r="H9056" s="7"/>
    </row>
    <row r="9057" spans="1:8" x14ac:dyDescent="0.35">
      <c r="A9057" s="7" t="s">
        <v>377</v>
      </c>
      <c r="B9057" s="7" t="s">
        <v>26</v>
      </c>
      <c r="C9057" s="7" t="s">
        <v>27</v>
      </c>
      <c r="D9057" s="7" t="s">
        <v>28</v>
      </c>
      <c r="E9057" s="7" t="s">
        <v>29</v>
      </c>
      <c r="F9057" s="7" t="s">
        <v>109</v>
      </c>
      <c r="G9057" s="7">
        <v>103.9524</v>
      </c>
      <c r="H9057" s="7"/>
    </row>
    <row r="9058" spans="1:8" x14ac:dyDescent="0.35">
      <c r="A9058" s="7" t="s">
        <v>377</v>
      </c>
      <c r="B9058" s="7" t="s">
        <v>26</v>
      </c>
      <c r="C9058" s="7" t="s">
        <v>27</v>
      </c>
      <c r="D9058" s="7" t="s">
        <v>28</v>
      </c>
      <c r="E9058" s="7" t="s">
        <v>29</v>
      </c>
      <c r="F9058" s="7" t="s">
        <v>110</v>
      </c>
      <c r="G9058" s="7">
        <v>103.94750000000001</v>
      </c>
      <c r="H9058" s="7"/>
    </row>
    <row r="9059" spans="1:8" x14ac:dyDescent="0.35">
      <c r="A9059" s="7" t="s">
        <v>377</v>
      </c>
      <c r="B9059" s="7" t="s">
        <v>26</v>
      </c>
      <c r="C9059" s="7" t="s">
        <v>27</v>
      </c>
      <c r="D9059" s="7" t="s">
        <v>28</v>
      </c>
      <c r="E9059" s="7" t="s">
        <v>29</v>
      </c>
      <c r="F9059" s="7" t="s">
        <v>111</v>
      </c>
      <c r="G9059" s="7">
        <v>103.9097</v>
      </c>
      <c r="H9059" s="7"/>
    </row>
    <row r="9060" spans="1:8" x14ac:dyDescent="0.35">
      <c r="A9060" s="7" t="s">
        <v>377</v>
      </c>
      <c r="B9060" s="7" t="s">
        <v>26</v>
      </c>
      <c r="C9060" s="7" t="s">
        <v>27</v>
      </c>
      <c r="D9060" s="7" t="s">
        <v>28</v>
      </c>
      <c r="E9060" s="7" t="s">
        <v>29</v>
      </c>
      <c r="F9060" s="7" t="s">
        <v>112</v>
      </c>
      <c r="G9060" s="7">
        <v>103.7402</v>
      </c>
      <c r="H9060" s="7"/>
    </row>
    <row r="9061" spans="1:8" x14ac:dyDescent="0.35">
      <c r="A9061" s="7" t="s">
        <v>377</v>
      </c>
      <c r="B9061" s="7" t="s">
        <v>26</v>
      </c>
      <c r="C9061" s="7" t="s">
        <v>27</v>
      </c>
      <c r="D9061" s="7" t="s">
        <v>28</v>
      </c>
      <c r="E9061" s="7" t="s">
        <v>29</v>
      </c>
      <c r="F9061" s="7" t="s">
        <v>113</v>
      </c>
      <c r="G9061" s="7">
        <v>103.5668</v>
      </c>
      <c r="H9061" s="7"/>
    </row>
    <row r="9062" spans="1:8" x14ac:dyDescent="0.35">
      <c r="A9062" s="7" t="s">
        <v>377</v>
      </c>
      <c r="B9062" s="7" t="s">
        <v>26</v>
      </c>
      <c r="C9062" s="7" t="s">
        <v>27</v>
      </c>
      <c r="D9062" s="7" t="s">
        <v>28</v>
      </c>
      <c r="E9062" s="7" t="s">
        <v>29</v>
      </c>
      <c r="F9062" s="7" t="s">
        <v>114</v>
      </c>
      <c r="G9062" s="7">
        <v>103.5346</v>
      </c>
      <c r="H9062" s="7"/>
    </row>
    <row r="9063" spans="1:8" x14ac:dyDescent="0.35">
      <c r="A9063" s="7" t="s">
        <v>377</v>
      </c>
      <c r="B9063" s="7" t="s">
        <v>26</v>
      </c>
      <c r="C9063" s="7" t="s">
        <v>27</v>
      </c>
      <c r="D9063" s="7" t="s">
        <v>28</v>
      </c>
      <c r="E9063" s="7" t="s">
        <v>29</v>
      </c>
      <c r="F9063" s="7" t="s">
        <v>115</v>
      </c>
      <c r="G9063" s="7">
        <v>103.628</v>
      </c>
      <c r="H9063" s="7"/>
    </row>
    <row r="9064" spans="1:8" x14ac:dyDescent="0.35">
      <c r="A9064" s="7" t="s">
        <v>377</v>
      </c>
      <c r="B9064" s="7" t="s">
        <v>26</v>
      </c>
      <c r="C9064" s="7" t="s">
        <v>27</v>
      </c>
      <c r="D9064" s="7" t="s">
        <v>28</v>
      </c>
      <c r="E9064" s="7" t="s">
        <v>29</v>
      </c>
      <c r="F9064" s="7" t="s">
        <v>116</v>
      </c>
      <c r="G9064" s="7">
        <v>103.7313</v>
      </c>
      <c r="H9064" s="7"/>
    </row>
    <row r="9065" spans="1:8" x14ac:dyDescent="0.35">
      <c r="A9065" s="7" t="s">
        <v>377</v>
      </c>
      <c r="B9065" s="7" t="s">
        <v>26</v>
      </c>
      <c r="C9065" s="7" t="s">
        <v>27</v>
      </c>
      <c r="D9065" s="7" t="s">
        <v>28</v>
      </c>
      <c r="E9065" s="7" t="s">
        <v>29</v>
      </c>
      <c r="F9065" s="7" t="s">
        <v>117</v>
      </c>
      <c r="G9065" s="7">
        <v>103.77379999999999</v>
      </c>
      <c r="H9065" s="7"/>
    </row>
    <row r="9066" spans="1:8" x14ac:dyDescent="0.35">
      <c r="A9066" s="7" t="s">
        <v>377</v>
      </c>
      <c r="B9066" s="7" t="s">
        <v>26</v>
      </c>
      <c r="C9066" s="7" t="s">
        <v>27</v>
      </c>
      <c r="D9066" s="7" t="s">
        <v>28</v>
      </c>
      <c r="E9066" s="7" t="s">
        <v>29</v>
      </c>
      <c r="F9066" s="7" t="s">
        <v>118</v>
      </c>
      <c r="G9066" s="7">
        <v>103.96339999999999</v>
      </c>
      <c r="H9066" s="7"/>
    </row>
    <row r="9067" spans="1:8" x14ac:dyDescent="0.35">
      <c r="A9067" s="7" t="s">
        <v>377</v>
      </c>
      <c r="B9067" s="7" t="s">
        <v>26</v>
      </c>
      <c r="C9067" s="7" t="s">
        <v>27</v>
      </c>
      <c r="D9067" s="7" t="s">
        <v>28</v>
      </c>
      <c r="E9067" s="7" t="s">
        <v>29</v>
      </c>
      <c r="F9067" s="7" t="s">
        <v>119</v>
      </c>
      <c r="G9067" s="7">
        <v>104.1969</v>
      </c>
      <c r="H9067" s="7"/>
    </row>
    <row r="9068" spans="1:8" x14ac:dyDescent="0.35">
      <c r="A9068" s="7" t="s">
        <v>377</v>
      </c>
      <c r="B9068" s="7" t="s">
        <v>26</v>
      </c>
      <c r="C9068" s="7" t="s">
        <v>27</v>
      </c>
      <c r="D9068" s="7" t="s">
        <v>28</v>
      </c>
      <c r="E9068" s="7" t="s">
        <v>29</v>
      </c>
      <c r="F9068" s="7" t="s">
        <v>120</v>
      </c>
      <c r="G9068" s="7">
        <v>104.3475</v>
      </c>
      <c r="H9068" s="7"/>
    </row>
    <row r="9069" spans="1:8" x14ac:dyDescent="0.35">
      <c r="A9069" s="7" t="s">
        <v>377</v>
      </c>
      <c r="B9069" s="7" t="s">
        <v>26</v>
      </c>
      <c r="C9069" s="7" t="s">
        <v>27</v>
      </c>
      <c r="D9069" s="7" t="s">
        <v>28</v>
      </c>
      <c r="E9069" s="7" t="s">
        <v>29</v>
      </c>
      <c r="F9069" s="7" t="s">
        <v>121</v>
      </c>
      <c r="G9069" s="7">
        <v>104.4384</v>
      </c>
      <c r="H9069" s="7"/>
    </row>
    <row r="9070" spans="1:8" x14ac:dyDescent="0.35">
      <c r="A9070" s="7" t="s">
        <v>377</v>
      </c>
      <c r="B9070" s="7" t="s">
        <v>26</v>
      </c>
      <c r="C9070" s="7" t="s">
        <v>27</v>
      </c>
      <c r="D9070" s="7" t="s">
        <v>28</v>
      </c>
      <c r="E9070" s="7" t="s">
        <v>29</v>
      </c>
      <c r="F9070" s="7" t="s">
        <v>122</v>
      </c>
      <c r="G9070" s="7">
        <v>104.4499</v>
      </c>
      <c r="H9070" s="7"/>
    </row>
    <row r="9071" spans="1:8" x14ac:dyDescent="0.35">
      <c r="A9071" s="7" t="s">
        <v>377</v>
      </c>
      <c r="B9071" s="7" t="s">
        <v>26</v>
      </c>
      <c r="C9071" s="7" t="s">
        <v>27</v>
      </c>
      <c r="D9071" s="7" t="s">
        <v>28</v>
      </c>
      <c r="E9071" s="7" t="s">
        <v>29</v>
      </c>
      <c r="F9071" s="7" t="s">
        <v>123</v>
      </c>
      <c r="G9071" s="7">
        <v>104.3695</v>
      </c>
      <c r="H9071" s="7"/>
    </row>
    <row r="9072" spans="1:8" x14ac:dyDescent="0.35">
      <c r="A9072" s="7" t="s">
        <v>377</v>
      </c>
      <c r="B9072" s="7" t="s">
        <v>26</v>
      </c>
      <c r="C9072" s="7" t="s">
        <v>27</v>
      </c>
      <c r="D9072" s="7" t="s">
        <v>28</v>
      </c>
      <c r="E9072" s="7" t="s">
        <v>29</v>
      </c>
      <c r="F9072" s="7" t="s">
        <v>124</v>
      </c>
      <c r="G9072" s="7">
        <v>104.32</v>
      </c>
      <c r="H9072" s="7"/>
    </row>
    <row r="9073" spans="1:8" x14ac:dyDescent="0.35">
      <c r="A9073" s="7" t="s">
        <v>377</v>
      </c>
      <c r="B9073" s="7" t="s">
        <v>26</v>
      </c>
      <c r="C9073" s="7" t="s">
        <v>27</v>
      </c>
      <c r="D9073" s="7" t="s">
        <v>28</v>
      </c>
      <c r="E9073" s="7" t="s">
        <v>29</v>
      </c>
      <c r="F9073" s="7" t="s">
        <v>125</v>
      </c>
      <c r="G9073" s="7">
        <v>104.458</v>
      </c>
      <c r="H9073" s="7"/>
    </row>
    <row r="9074" spans="1:8" x14ac:dyDescent="0.35">
      <c r="A9074" s="7" t="s">
        <v>377</v>
      </c>
      <c r="B9074" s="7" t="s">
        <v>26</v>
      </c>
      <c r="C9074" s="7" t="s">
        <v>27</v>
      </c>
      <c r="D9074" s="7" t="s">
        <v>28</v>
      </c>
      <c r="E9074" s="7" t="s">
        <v>29</v>
      </c>
      <c r="F9074" s="7" t="s">
        <v>126</v>
      </c>
      <c r="G9074" s="7">
        <v>104.6298</v>
      </c>
      <c r="H9074" s="7"/>
    </row>
    <row r="9075" spans="1:8" x14ac:dyDescent="0.35">
      <c r="A9075" s="7" t="s">
        <v>377</v>
      </c>
      <c r="B9075" s="7" t="s">
        <v>26</v>
      </c>
      <c r="C9075" s="7" t="s">
        <v>27</v>
      </c>
      <c r="D9075" s="7" t="s">
        <v>28</v>
      </c>
      <c r="E9075" s="7" t="s">
        <v>29</v>
      </c>
      <c r="F9075" s="7" t="s">
        <v>127</v>
      </c>
      <c r="G9075" s="7">
        <v>104.7253</v>
      </c>
      <c r="H9075" s="7"/>
    </row>
    <row r="9076" spans="1:8" x14ac:dyDescent="0.35">
      <c r="A9076" s="7" t="s">
        <v>377</v>
      </c>
      <c r="B9076" s="7" t="s">
        <v>26</v>
      </c>
      <c r="C9076" s="7" t="s">
        <v>27</v>
      </c>
      <c r="D9076" s="7" t="s">
        <v>28</v>
      </c>
      <c r="E9076" s="7" t="s">
        <v>29</v>
      </c>
      <c r="F9076" s="7" t="s">
        <v>128</v>
      </c>
      <c r="G9076" s="7">
        <v>104.7306</v>
      </c>
      <c r="H9076" s="7"/>
    </row>
    <row r="9077" spans="1:8" x14ac:dyDescent="0.35">
      <c r="A9077" s="7" t="s">
        <v>377</v>
      </c>
      <c r="B9077" s="7" t="s">
        <v>26</v>
      </c>
      <c r="C9077" s="7" t="s">
        <v>27</v>
      </c>
      <c r="D9077" s="7" t="s">
        <v>28</v>
      </c>
      <c r="E9077" s="7" t="s">
        <v>29</v>
      </c>
      <c r="F9077" s="7" t="s">
        <v>129</v>
      </c>
      <c r="G9077" s="7">
        <v>104.6181</v>
      </c>
      <c r="H9077" s="7"/>
    </row>
    <row r="9078" spans="1:8" x14ac:dyDescent="0.35">
      <c r="A9078" s="7" t="s">
        <v>377</v>
      </c>
      <c r="B9078" s="7" t="s">
        <v>26</v>
      </c>
      <c r="C9078" s="7" t="s">
        <v>27</v>
      </c>
      <c r="D9078" s="7" t="s">
        <v>28</v>
      </c>
      <c r="E9078" s="7" t="s">
        <v>29</v>
      </c>
      <c r="F9078" s="7" t="s">
        <v>130</v>
      </c>
      <c r="G9078" s="7">
        <v>104.5663</v>
      </c>
      <c r="H9078" s="7"/>
    </row>
    <row r="9079" spans="1:8" x14ac:dyDescent="0.35">
      <c r="A9079" s="7" t="s">
        <v>377</v>
      </c>
      <c r="B9079" s="7" t="s">
        <v>26</v>
      </c>
      <c r="C9079" s="7" t="s">
        <v>27</v>
      </c>
      <c r="D9079" s="7" t="s">
        <v>28</v>
      </c>
      <c r="E9079" s="7" t="s">
        <v>29</v>
      </c>
      <c r="F9079" s="7" t="s">
        <v>131</v>
      </c>
      <c r="G9079" s="7">
        <v>104.4969</v>
      </c>
      <c r="H9079" s="7"/>
    </row>
    <row r="9080" spans="1:8" x14ac:dyDescent="0.35">
      <c r="A9080" s="7" t="s">
        <v>377</v>
      </c>
      <c r="B9080" s="7" t="s">
        <v>26</v>
      </c>
      <c r="C9080" s="7" t="s">
        <v>27</v>
      </c>
      <c r="D9080" s="7" t="s">
        <v>28</v>
      </c>
      <c r="E9080" s="7" t="s">
        <v>29</v>
      </c>
      <c r="F9080" s="7" t="s">
        <v>132</v>
      </c>
      <c r="G9080" s="7">
        <v>104.2099</v>
      </c>
      <c r="H9080" s="7"/>
    </row>
    <row r="9081" spans="1:8" x14ac:dyDescent="0.35">
      <c r="A9081" s="7" t="s">
        <v>377</v>
      </c>
      <c r="B9081" s="7" t="s">
        <v>26</v>
      </c>
      <c r="C9081" s="7" t="s">
        <v>27</v>
      </c>
      <c r="D9081" s="7" t="s">
        <v>28</v>
      </c>
      <c r="E9081" s="7" t="s">
        <v>29</v>
      </c>
      <c r="F9081" s="7" t="s">
        <v>133</v>
      </c>
      <c r="G9081" s="7">
        <v>103.7769</v>
      </c>
      <c r="H9081" s="7"/>
    </row>
    <row r="9082" spans="1:8" x14ac:dyDescent="0.35">
      <c r="A9082" s="7" t="s">
        <v>377</v>
      </c>
      <c r="B9082" s="7" t="s">
        <v>26</v>
      </c>
      <c r="C9082" s="7" t="s">
        <v>27</v>
      </c>
      <c r="D9082" s="7" t="s">
        <v>28</v>
      </c>
      <c r="E9082" s="7" t="s">
        <v>29</v>
      </c>
      <c r="F9082" s="7" t="s">
        <v>134</v>
      </c>
      <c r="G9082" s="7">
        <v>103.3644</v>
      </c>
      <c r="H9082" s="7"/>
    </row>
    <row r="9083" spans="1:8" x14ac:dyDescent="0.35">
      <c r="A9083" s="7" t="s">
        <v>377</v>
      </c>
      <c r="B9083" s="7" t="s">
        <v>26</v>
      </c>
      <c r="C9083" s="7" t="s">
        <v>27</v>
      </c>
      <c r="D9083" s="7" t="s">
        <v>28</v>
      </c>
      <c r="E9083" s="7" t="s">
        <v>29</v>
      </c>
      <c r="F9083" s="7" t="s">
        <v>135</v>
      </c>
      <c r="G9083" s="7">
        <v>103.58240000000001</v>
      </c>
      <c r="H9083" s="7"/>
    </row>
    <row r="9084" spans="1:8" x14ac:dyDescent="0.35">
      <c r="A9084" s="7" t="s">
        <v>377</v>
      </c>
      <c r="B9084" s="7" t="s">
        <v>26</v>
      </c>
      <c r="C9084" s="7" t="s">
        <v>27</v>
      </c>
      <c r="D9084" s="7" t="s">
        <v>28</v>
      </c>
      <c r="E9084" s="7" t="s">
        <v>29</v>
      </c>
      <c r="F9084" s="7" t="s">
        <v>136</v>
      </c>
      <c r="G9084" s="7">
        <v>103.6228</v>
      </c>
      <c r="H9084" s="7"/>
    </row>
    <row r="9085" spans="1:8" x14ac:dyDescent="0.35">
      <c r="A9085" s="7" t="s">
        <v>377</v>
      </c>
      <c r="B9085" s="7" t="s">
        <v>26</v>
      </c>
      <c r="C9085" s="7" t="s">
        <v>27</v>
      </c>
      <c r="D9085" s="7" t="s">
        <v>28</v>
      </c>
      <c r="E9085" s="7" t="s">
        <v>29</v>
      </c>
      <c r="F9085" s="7" t="s">
        <v>137</v>
      </c>
      <c r="G9085" s="7">
        <v>103.5266</v>
      </c>
      <c r="H9085" s="7"/>
    </row>
    <row r="9086" spans="1:8" x14ac:dyDescent="0.35">
      <c r="A9086" s="7" t="s">
        <v>377</v>
      </c>
      <c r="B9086" s="7" t="s">
        <v>26</v>
      </c>
      <c r="C9086" s="7" t="s">
        <v>27</v>
      </c>
      <c r="D9086" s="7" t="s">
        <v>28</v>
      </c>
      <c r="E9086" s="7" t="s">
        <v>29</v>
      </c>
      <c r="F9086" s="7" t="s">
        <v>138</v>
      </c>
      <c r="G9086" s="7">
        <v>103.2724</v>
      </c>
      <c r="H9086" s="7"/>
    </row>
    <row r="9087" spans="1:8" x14ac:dyDescent="0.35">
      <c r="A9087" s="7" t="s">
        <v>377</v>
      </c>
      <c r="B9087" s="7" t="s">
        <v>26</v>
      </c>
      <c r="C9087" s="7" t="s">
        <v>27</v>
      </c>
      <c r="D9087" s="7" t="s">
        <v>28</v>
      </c>
      <c r="E9087" s="7" t="s">
        <v>29</v>
      </c>
      <c r="F9087" s="7" t="s">
        <v>139</v>
      </c>
      <c r="G9087" s="7">
        <v>103.01349999999999</v>
      </c>
      <c r="H9087" s="7"/>
    </row>
    <row r="9088" spans="1:8" x14ac:dyDescent="0.35">
      <c r="A9088" s="7" t="s">
        <v>377</v>
      </c>
      <c r="B9088" s="7" t="s">
        <v>26</v>
      </c>
      <c r="C9088" s="7" t="s">
        <v>27</v>
      </c>
      <c r="D9088" s="7" t="s">
        <v>28</v>
      </c>
      <c r="E9088" s="7" t="s">
        <v>29</v>
      </c>
      <c r="F9088" s="7" t="s">
        <v>140</v>
      </c>
      <c r="G9088" s="7">
        <v>102.64400000000001</v>
      </c>
      <c r="H9088" s="7"/>
    </row>
    <row r="9089" spans="1:8" x14ac:dyDescent="0.35">
      <c r="A9089" s="7" t="s">
        <v>377</v>
      </c>
      <c r="B9089" s="7" t="s">
        <v>26</v>
      </c>
      <c r="C9089" s="7" t="s">
        <v>27</v>
      </c>
      <c r="D9089" s="7" t="s">
        <v>28</v>
      </c>
      <c r="E9089" s="7" t="s">
        <v>29</v>
      </c>
      <c r="F9089" s="7" t="s">
        <v>141</v>
      </c>
      <c r="G9089" s="7">
        <v>102.3105</v>
      </c>
      <c r="H9089" s="7"/>
    </row>
    <row r="9090" spans="1:8" x14ac:dyDescent="0.35">
      <c r="A9090" s="7" t="s">
        <v>377</v>
      </c>
      <c r="B9090" s="7" t="s">
        <v>26</v>
      </c>
      <c r="C9090" s="7" t="s">
        <v>27</v>
      </c>
      <c r="D9090" s="7" t="s">
        <v>28</v>
      </c>
      <c r="E9090" s="7" t="s">
        <v>29</v>
      </c>
      <c r="F9090" s="7" t="s">
        <v>142</v>
      </c>
      <c r="G9090" s="7">
        <v>101.89709999999999</v>
      </c>
      <c r="H9090" s="7"/>
    </row>
    <row r="9091" spans="1:8" x14ac:dyDescent="0.35">
      <c r="A9091" s="7" t="s">
        <v>377</v>
      </c>
      <c r="B9091" s="7" t="s">
        <v>26</v>
      </c>
      <c r="C9091" s="7" t="s">
        <v>27</v>
      </c>
      <c r="D9091" s="7" t="s">
        <v>28</v>
      </c>
      <c r="E9091" s="7" t="s">
        <v>29</v>
      </c>
      <c r="F9091" s="7" t="s">
        <v>143</v>
      </c>
      <c r="G9091" s="7">
        <v>101.6961</v>
      </c>
      <c r="H9091" s="7"/>
    </row>
    <row r="9092" spans="1:8" x14ac:dyDescent="0.35">
      <c r="A9092" s="7" t="s">
        <v>377</v>
      </c>
      <c r="B9092" s="7" t="s">
        <v>26</v>
      </c>
      <c r="C9092" s="7" t="s">
        <v>27</v>
      </c>
      <c r="D9092" s="7" t="s">
        <v>28</v>
      </c>
      <c r="E9092" s="7" t="s">
        <v>29</v>
      </c>
      <c r="F9092" s="7" t="s">
        <v>144</v>
      </c>
      <c r="G9092" s="7">
        <v>101.6557</v>
      </c>
      <c r="H9092" s="7"/>
    </row>
    <row r="9093" spans="1:8" x14ac:dyDescent="0.35">
      <c r="A9093" s="7" t="s">
        <v>377</v>
      </c>
      <c r="B9093" s="7" t="s">
        <v>26</v>
      </c>
      <c r="C9093" s="7" t="s">
        <v>27</v>
      </c>
      <c r="D9093" s="7" t="s">
        <v>28</v>
      </c>
      <c r="E9093" s="7" t="s">
        <v>29</v>
      </c>
      <c r="F9093" s="7" t="s">
        <v>145</v>
      </c>
      <c r="G9093" s="7">
        <v>101.4269</v>
      </c>
      <c r="H9093" s="7"/>
    </row>
    <row r="9094" spans="1:8" x14ac:dyDescent="0.35">
      <c r="A9094" s="7" t="s">
        <v>377</v>
      </c>
      <c r="B9094" s="7" t="s">
        <v>26</v>
      </c>
      <c r="C9094" s="7" t="s">
        <v>27</v>
      </c>
      <c r="D9094" s="7" t="s">
        <v>28</v>
      </c>
      <c r="E9094" s="7" t="s">
        <v>29</v>
      </c>
      <c r="F9094" s="7" t="s">
        <v>146</v>
      </c>
      <c r="G9094" s="7">
        <v>100.7968</v>
      </c>
      <c r="H9094" s="7"/>
    </row>
    <row r="9095" spans="1:8" x14ac:dyDescent="0.35">
      <c r="A9095" s="7" t="s">
        <v>377</v>
      </c>
      <c r="B9095" s="7" t="s">
        <v>26</v>
      </c>
      <c r="C9095" s="7" t="s">
        <v>27</v>
      </c>
      <c r="D9095" s="7" t="s">
        <v>28</v>
      </c>
      <c r="E9095" s="7" t="s">
        <v>29</v>
      </c>
      <c r="F9095" s="7" t="s">
        <v>147</v>
      </c>
      <c r="G9095" s="7">
        <v>99.917779999999993</v>
      </c>
      <c r="H9095" s="7"/>
    </row>
    <row r="9096" spans="1:8" x14ac:dyDescent="0.35">
      <c r="A9096" s="7" t="s">
        <v>377</v>
      </c>
      <c r="B9096" s="7" t="s">
        <v>26</v>
      </c>
      <c r="C9096" s="7" t="s">
        <v>27</v>
      </c>
      <c r="D9096" s="7" t="s">
        <v>28</v>
      </c>
      <c r="E9096" s="7" t="s">
        <v>29</v>
      </c>
      <c r="F9096" s="7" t="s">
        <v>148</v>
      </c>
      <c r="G9096" s="7">
        <v>99.235280000000003</v>
      </c>
      <c r="H9096" s="7"/>
    </row>
    <row r="9097" spans="1:8" x14ac:dyDescent="0.35">
      <c r="A9097" s="7" t="s">
        <v>377</v>
      </c>
      <c r="B9097" s="7" t="s">
        <v>26</v>
      </c>
      <c r="C9097" s="7" t="s">
        <v>27</v>
      </c>
      <c r="D9097" s="7" t="s">
        <v>28</v>
      </c>
      <c r="E9097" s="7" t="s">
        <v>29</v>
      </c>
      <c r="F9097" s="7" t="s">
        <v>149</v>
      </c>
      <c r="G9097" s="7">
        <v>98.780609999999996</v>
      </c>
      <c r="H9097" s="7"/>
    </row>
    <row r="9098" spans="1:8" x14ac:dyDescent="0.35">
      <c r="A9098" s="7" t="s">
        <v>377</v>
      </c>
      <c r="B9098" s="7" t="s">
        <v>26</v>
      </c>
      <c r="C9098" s="7" t="s">
        <v>27</v>
      </c>
      <c r="D9098" s="7" t="s">
        <v>28</v>
      </c>
      <c r="E9098" s="7" t="s">
        <v>29</v>
      </c>
      <c r="F9098" s="7" t="s">
        <v>150</v>
      </c>
      <c r="G9098" s="7">
        <v>98.811390000000003</v>
      </c>
      <c r="H9098" s="7"/>
    </row>
    <row r="9099" spans="1:8" x14ac:dyDescent="0.35">
      <c r="A9099" s="7" t="s">
        <v>377</v>
      </c>
      <c r="B9099" s="7" t="s">
        <v>26</v>
      </c>
      <c r="C9099" s="7" t="s">
        <v>27</v>
      </c>
      <c r="D9099" s="7" t="s">
        <v>28</v>
      </c>
      <c r="E9099" s="7" t="s">
        <v>29</v>
      </c>
      <c r="F9099" s="7" t="s">
        <v>151</v>
      </c>
      <c r="G9099" s="7">
        <v>99.143029999999996</v>
      </c>
      <c r="H9099" s="7"/>
    </row>
    <row r="9100" spans="1:8" x14ac:dyDescent="0.35">
      <c r="A9100" s="7" t="s">
        <v>377</v>
      </c>
      <c r="B9100" s="7" t="s">
        <v>26</v>
      </c>
      <c r="C9100" s="7" t="s">
        <v>27</v>
      </c>
      <c r="D9100" s="7" t="s">
        <v>28</v>
      </c>
      <c r="E9100" s="7" t="s">
        <v>29</v>
      </c>
      <c r="F9100" s="7" t="s">
        <v>152</v>
      </c>
      <c r="G9100" s="7">
        <v>99.567279999999997</v>
      </c>
      <c r="H9100" s="7"/>
    </row>
    <row r="9101" spans="1:8" x14ac:dyDescent="0.35">
      <c r="A9101" s="7" t="s">
        <v>377</v>
      </c>
      <c r="B9101" s="7" t="s">
        <v>26</v>
      </c>
      <c r="C9101" s="7" t="s">
        <v>27</v>
      </c>
      <c r="D9101" s="7" t="s">
        <v>28</v>
      </c>
      <c r="E9101" s="7" t="s">
        <v>29</v>
      </c>
      <c r="F9101" s="7" t="s">
        <v>153</v>
      </c>
      <c r="G9101" s="7">
        <v>99.913619999999995</v>
      </c>
      <c r="H9101" s="7"/>
    </row>
    <row r="9102" spans="1:8" x14ac:dyDescent="0.35">
      <c r="A9102" s="7" t="s">
        <v>377</v>
      </c>
      <c r="B9102" s="7" t="s">
        <v>26</v>
      </c>
      <c r="C9102" s="7" t="s">
        <v>27</v>
      </c>
      <c r="D9102" s="7" t="s">
        <v>28</v>
      </c>
      <c r="E9102" s="7" t="s">
        <v>29</v>
      </c>
      <c r="F9102" s="7" t="s">
        <v>154</v>
      </c>
      <c r="G9102" s="7">
        <v>100.20050000000001</v>
      </c>
      <c r="H9102" s="7"/>
    </row>
    <row r="9103" spans="1:8" x14ac:dyDescent="0.35">
      <c r="A9103" s="7" t="s">
        <v>377</v>
      </c>
      <c r="B9103" s="7" t="s">
        <v>26</v>
      </c>
      <c r="C9103" s="7" t="s">
        <v>27</v>
      </c>
      <c r="D9103" s="7" t="s">
        <v>28</v>
      </c>
      <c r="E9103" s="7" t="s">
        <v>29</v>
      </c>
      <c r="F9103" s="7" t="s">
        <v>155</v>
      </c>
      <c r="G9103" s="7">
        <v>100.542</v>
      </c>
      <c r="H9103" s="7"/>
    </row>
    <row r="9104" spans="1:8" x14ac:dyDescent="0.35">
      <c r="A9104" s="7" t="s">
        <v>377</v>
      </c>
      <c r="B9104" s="7" t="s">
        <v>26</v>
      </c>
      <c r="C9104" s="7" t="s">
        <v>27</v>
      </c>
      <c r="D9104" s="7" t="s">
        <v>28</v>
      </c>
      <c r="E9104" s="7" t="s">
        <v>29</v>
      </c>
      <c r="F9104" s="7" t="s">
        <v>156</v>
      </c>
      <c r="G9104" s="7">
        <v>100.6078</v>
      </c>
      <c r="H9104" s="7"/>
    </row>
    <row r="9105" spans="1:8" x14ac:dyDescent="0.35">
      <c r="A9105" s="7" t="s">
        <v>377</v>
      </c>
      <c r="B9105" s="7" t="s">
        <v>26</v>
      </c>
      <c r="C9105" s="7" t="s">
        <v>27</v>
      </c>
      <c r="D9105" s="7" t="s">
        <v>28</v>
      </c>
      <c r="E9105" s="7" t="s">
        <v>29</v>
      </c>
      <c r="F9105" s="7" t="s">
        <v>157</v>
      </c>
      <c r="G9105" s="7">
        <v>100.3207</v>
      </c>
      <c r="H9105" s="7"/>
    </row>
    <row r="9106" spans="1:8" x14ac:dyDescent="0.35">
      <c r="A9106" s="7" t="s">
        <v>377</v>
      </c>
      <c r="B9106" s="7" t="s">
        <v>26</v>
      </c>
      <c r="C9106" s="7" t="s">
        <v>27</v>
      </c>
      <c r="D9106" s="7" t="s">
        <v>28</v>
      </c>
      <c r="E9106" s="7" t="s">
        <v>29</v>
      </c>
      <c r="F9106" s="7" t="s">
        <v>158</v>
      </c>
      <c r="G9106" s="7">
        <v>99.791049999999998</v>
      </c>
      <c r="H9106" s="7"/>
    </row>
    <row r="9107" spans="1:8" x14ac:dyDescent="0.35">
      <c r="A9107" s="7" t="s">
        <v>377</v>
      </c>
      <c r="B9107" s="7" t="s">
        <v>26</v>
      </c>
      <c r="C9107" s="7" t="s">
        <v>27</v>
      </c>
      <c r="D9107" s="7" t="s">
        <v>28</v>
      </c>
      <c r="E9107" s="7" t="s">
        <v>29</v>
      </c>
      <c r="F9107" s="7" t="s">
        <v>159</v>
      </c>
      <c r="G9107" s="7">
        <v>99.393230000000003</v>
      </c>
      <c r="H9107" s="7"/>
    </row>
    <row r="9108" spans="1:8" x14ac:dyDescent="0.35">
      <c r="A9108" s="7" t="s">
        <v>377</v>
      </c>
      <c r="B9108" s="7" t="s">
        <v>26</v>
      </c>
      <c r="C9108" s="7" t="s">
        <v>27</v>
      </c>
      <c r="D9108" s="7" t="s">
        <v>28</v>
      </c>
      <c r="E9108" s="7" t="s">
        <v>29</v>
      </c>
      <c r="F9108" s="7" t="s">
        <v>160</v>
      </c>
      <c r="G9108" s="7">
        <v>99.157910000000001</v>
      </c>
      <c r="H9108" s="7"/>
    </row>
    <row r="9109" spans="1:8" x14ac:dyDescent="0.35">
      <c r="A9109" s="7" t="s">
        <v>377</v>
      </c>
      <c r="B9109" s="7" t="s">
        <v>26</v>
      </c>
      <c r="C9109" s="7" t="s">
        <v>27</v>
      </c>
      <c r="D9109" s="7" t="s">
        <v>28</v>
      </c>
      <c r="E9109" s="7" t="s">
        <v>29</v>
      </c>
      <c r="F9109" s="7" t="s">
        <v>161</v>
      </c>
      <c r="G9109" s="7">
        <v>98.90334</v>
      </c>
      <c r="H9109" s="7"/>
    </row>
    <row r="9110" spans="1:8" x14ac:dyDescent="0.35">
      <c r="A9110" s="7" t="s">
        <v>377</v>
      </c>
      <c r="B9110" s="7" t="s">
        <v>26</v>
      </c>
      <c r="C9110" s="7" t="s">
        <v>27</v>
      </c>
      <c r="D9110" s="7" t="s">
        <v>28</v>
      </c>
      <c r="E9110" s="7" t="s">
        <v>29</v>
      </c>
      <c r="F9110" s="7" t="s">
        <v>162</v>
      </c>
      <c r="G9110" s="7">
        <v>98.512730000000005</v>
      </c>
      <c r="H9110" s="7"/>
    </row>
    <row r="9111" spans="1:8" x14ac:dyDescent="0.35">
      <c r="A9111" s="7" t="s">
        <v>377</v>
      </c>
      <c r="B9111" s="7" t="s">
        <v>26</v>
      </c>
      <c r="C9111" s="7" t="s">
        <v>27</v>
      </c>
      <c r="D9111" s="7" t="s">
        <v>28</v>
      </c>
      <c r="E9111" s="7" t="s">
        <v>29</v>
      </c>
      <c r="F9111" s="7" t="s">
        <v>163</v>
      </c>
      <c r="G9111" s="7">
        <v>98.104640000000003</v>
      </c>
      <c r="H9111" s="7"/>
    </row>
    <row r="9112" spans="1:8" x14ac:dyDescent="0.35">
      <c r="A9112" s="7" t="s">
        <v>377</v>
      </c>
      <c r="B9112" s="7" t="s">
        <v>26</v>
      </c>
      <c r="C9112" s="7" t="s">
        <v>27</v>
      </c>
      <c r="D9112" s="7" t="s">
        <v>28</v>
      </c>
      <c r="E9112" s="7" t="s">
        <v>29</v>
      </c>
      <c r="F9112" s="7" t="s">
        <v>164</v>
      </c>
      <c r="G9112" s="7">
        <v>97.833889999999997</v>
      </c>
      <c r="H9112" s="7"/>
    </row>
    <row r="9113" spans="1:8" x14ac:dyDescent="0.35">
      <c r="A9113" s="7" t="s">
        <v>377</v>
      </c>
      <c r="B9113" s="7" t="s">
        <v>26</v>
      </c>
      <c r="C9113" s="7" t="s">
        <v>27</v>
      </c>
      <c r="D9113" s="7" t="s">
        <v>28</v>
      </c>
      <c r="E9113" s="7" t="s">
        <v>29</v>
      </c>
      <c r="F9113" s="7" t="s">
        <v>165</v>
      </c>
      <c r="G9113" s="7">
        <v>97.752189999999999</v>
      </c>
      <c r="H9113" s="7"/>
    </row>
    <row r="9114" spans="1:8" x14ac:dyDescent="0.35">
      <c r="A9114" s="7" t="s">
        <v>377</v>
      </c>
      <c r="B9114" s="7" t="s">
        <v>26</v>
      </c>
      <c r="C9114" s="7" t="s">
        <v>27</v>
      </c>
      <c r="D9114" s="7" t="s">
        <v>28</v>
      </c>
      <c r="E9114" s="7" t="s">
        <v>29</v>
      </c>
      <c r="F9114" s="7" t="s">
        <v>166</v>
      </c>
      <c r="G9114" s="7">
        <v>97.826229999999995</v>
      </c>
      <c r="H9114" s="7"/>
    </row>
    <row r="9115" spans="1:8" x14ac:dyDescent="0.35">
      <c r="A9115" s="7" t="s">
        <v>377</v>
      </c>
      <c r="B9115" s="7" t="s">
        <v>26</v>
      </c>
      <c r="C9115" s="7" t="s">
        <v>27</v>
      </c>
      <c r="D9115" s="7" t="s">
        <v>28</v>
      </c>
      <c r="E9115" s="7" t="s">
        <v>29</v>
      </c>
      <c r="F9115" s="7" t="s">
        <v>167</v>
      </c>
      <c r="G9115" s="7">
        <v>97.90701</v>
      </c>
      <c r="H9115" s="7"/>
    </row>
    <row r="9116" spans="1:8" x14ac:dyDescent="0.35">
      <c r="A9116" s="7" t="s">
        <v>377</v>
      </c>
      <c r="B9116" s="7" t="s">
        <v>26</v>
      </c>
      <c r="C9116" s="7" t="s">
        <v>27</v>
      </c>
      <c r="D9116" s="7" t="s">
        <v>28</v>
      </c>
      <c r="E9116" s="7" t="s">
        <v>29</v>
      </c>
      <c r="F9116" s="7" t="s">
        <v>168</v>
      </c>
      <c r="G9116" s="7">
        <v>97.866420000000005</v>
      </c>
      <c r="H9116" s="7"/>
    </row>
    <row r="9117" spans="1:8" x14ac:dyDescent="0.35">
      <c r="A9117" s="7" t="s">
        <v>377</v>
      </c>
      <c r="B9117" s="7" t="s">
        <v>26</v>
      </c>
      <c r="C9117" s="7" t="s">
        <v>27</v>
      </c>
      <c r="D9117" s="7" t="s">
        <v>28</v>
      </c>
      <c r="E9117" s="7" t="s">
        <v>29</v>
      </c>
      <c r="F9117" s="7" t="s">
        <v>169</v>
      </c>
      <c r="G9117" s="7">
        <v>97.741119999999995</v>
      </c>
      <c r="H9117" s="7"/>
    </row>
    <row r="9118" spans="1:8" x14ac:dyDescent="0.35">
      <c r="A9118" s="7" t="s">
        <v>377</v>
      </c>
      <c r="B9118" s="7" t="s">
        <v>26</v>
      </c>
      <c r="C9118" s="7" t="s">
        <v>27</v>
      </c>
      <c r="D9118" s="7" t="s">
        <v>28</v>
      </c>
      <c r="E9118" s="7" t="s">
        <v>29</v>
      </c>
      <c r="F9118" s="7" t="s">
        <v>170</v>
      </c>
      <c r="G9118" s="7">
        <v>97.618579999999994</v>
      </c>
      <c r="H9118" s="7"/>
    </row>
    <row r="9119" spans="1:8" x14ac:dyDescent="0.35">
      <c r="A9119" s="7" t="s">
        <v>377</v>
      </c>
      <c r="B9119" s="7" t="s">
        <v>26</v>
      </c>
      <c r="C9119" s="7" t="s">
        <v>27</v>
      </c>
      <c r="D9119" s="7" t="s">
        <v>28</v>
      </c>
      <c r="E9119" s="7" t="s">
        <v>29</v>
      </c>
      <c r="F9119" s="7" t="s">
        <v>171</v>
      </c>
      <c r="G9119" s="7">
        <v>97.832689999999999</v>
      </c>
      <c r="H9119" s="7"/>
    </row>
    <row r="9120" spans="1:8" x14ac:dyDescent="0.35">
      <c r="A9120" s="7" t="s">
        <v>377</v>
      </c>
      <c r="B9120" s="7" t="s">
        <v>26</v>
      </c>
      <c r="C9120" s="7" t="s">
        <v>27</v>
      </c>
      <c r="D9120" s="7" t="s">
        <v>28</v>
      </c>
      <c r="E9120" s="7" t="s">
        <v>29</v>
      </c>
      <c r="F9120" s="7" t="s">
        <v>172</v>
      </c>
      <c r="G9120" s="7">
        <v>98.25797</v>
      </c>
      <c r="H9120" s="7"/>
    </row>
    <row r="9121" spans="1:8" x14ac:dyDescent="0.35">
      <c r="A9121" s="7" t="s">
        <v>377</v>
      </c>
      <c r="B9121" s="7" t="s">
        <v>26</v>
      </c>
      <c r="C9121" s="7" t="s">
        <v>27</v>
      </c>
      <c r="D9121" s="7" t="s">
        <v>28</v>
      </c>
      <c r="E9121" s="7" t="s">
        <v>29</v>
      </c>
      <c r="F9121" s="7" t="s">
        <v>173</v>
      </c>
      <c r="G9121" s="7">
        <v>98.825469999999996</v>
      </c>
      <c r="H9121" s="7"/>
    </row>
    <row r="9122" spans="1:8" x14ac:dyDescent="0.35">
      <c r="A9122" s="7" t="s">
        <v>377</v>
      </c>
      <c r="B9122" s="7" t="s">
        <v>26</v>
      </c>
      <c r="C9122" s="7" t="s">
        <v>27</v>
      </c>
      <c r="D9122" s="7" t="s">
        <v>28</v>
      </c>
      <c r="E9122" s="7" t="s">
        <v>29</v>
      </c>
      <c r="F9122" s="7" t="s">
        <v>174</v>
      </c>
      <c r="G9122" s="7">
        <v>99.364249999999998</v>
      </c>
      <c r="H9122" s="7"/>
    </row>
    <row r="9123" spans="1:8" x14ac:dyDescent="0.35">
      <c r="A9123" s="7" t="s">
        <v>377</v>
      </c>
      <c r="B9123" s="7" t="s">
        <v>26</v>
      </c>
      <c r="C9123" s="7" t="s">
        <v>27</v>
      </c>
      <c r="D9123" s="7" t="s">
        <v>28</v>
      </c>
      <c r="E9123" s="7" t="s">
        <v>29</v>
      </c>
      <c r="F9123" s="7" t="s">
        <v>175</v>
      </c>
      <c r="G9123" s="7">
        <v>99.651520000000005</v>
      </c>
      <c r="H9123" s="7"/>
    </row>
    <row r="9124" spans="1:8" x14ac:dyDescent="0.35">
      <c r="A9124" s="7" t="s">
        <v>377</v>
      </c>
      <c r="B9124" s="7" t="s">
        <v>26</v>
      </c>
      <c r="C9124" s="7" t="s">
        <v>27</v>
      </c>
      <c r="D9124" s="7" t="s">
        <v>28</v>
      </c>
      <c r="E9124" s="7" t="s">
        <v>29</v>
      </c>
      <c r="F9124" s="7" t="s">
        <v>176</v>
      </c>
      <c r="G9124" s="7">
        <v>99.828519999999997</v>
      </c>
      <c r="H9124" s="7"/>
    </row>
    <row r="9125" spans="1:8" x14ac:dyDescent="0.35">
      <c r="A9125" s="7" t="s">
        <v>377</v>
      </c>
      <c r="B9125" s="7" t="s">
        <v>26</v>
      </c>
      <c r="C9125" s="7" t="s">
        <v>27</v>
      </c>
      <c r="D9125" s="7" t="s">
        <v>28</v>
      </c>
      <c r="E9125" s="7" t="s">
        <v>29</v>
      </c>
      <c r="F9125" s="7" t="s">
        <v>177</v>
      </c>
      <c r="G9125" s="7">
        <v>100.029</v>
      </c>
      <c r="H9125" s="7"/>
    </row>
    <row r="9126" spans="1:8" x14ac:dyDescent="0.35">
      <c r="A9126" s="7" t="s">
        <v>377</v>
      </c>
      <c r="B9126" s="7" t="s">
        <v>26</v>
      </c>
      <c r="C9126" s="7" t="s">
        <v>27</v>
      </c>
      <c r="D9126" s="7" t="s">
        <v>28</v>
      </c>
      <c r="E9126" s="7" t="s">
        <v>29</v>
      </c>
      <c r="F9126" s="7" t="s">
        <v>178</v>
      </c>
      <c r="G9126" s="7">
        <v>100.3146</v>
      </c>
      <c r="H9126" s="7"/>
    </row>
    <row r="9127" spans="1:8" x14ac:dyDescent="0.35">
      <c r="A9127" s="7" t="s">
        <v>377</v>
      </c>
      <c r="B9127" s="7" t="s">
        <v>26</v>
      </c>
      <c r="C9127" s="7" t="s">
        <v>27</v>
      </c>
      <c r="D9127" s="7" t="s">
        <v>28</v>
      </c>
      <c r="E9127" s="7" t="s">
        <v>29</v>
      </c>
      <c r="F9127" s="7" t="s">
        <v>179</v>
      </c>
      <c r="G9127" s="7">
        <v>100.5583</v>
      </c>
      <c r="H9127" s="7"/>
    </row>
    <row r="9128" spans="1:8" x14ac:dyDescent="0.35">
      <c r="A9128" s="7" t="s">
        <v>377</v>
      </c>
      <c r="B9128" s="7" t="s">
        <v>26</v>
      </c>
      <c r="C9128" s="7" t="s">
        <v>27</v>
      </c>
      <c r="D9128" s="7" t="s">
        <v>28</v>
      </c>
      <c r="E9128" s="7" t="s">
        <v>29</v>
      </c>
      <c r="F9128" s="7" t="s">
        <v>180</v>
      </c>
      <c r="G9128" s="7">
        <v>100.7771</v>
      </c>
      <c r="H9128" s="7"/>
    </row>
    <row r="9129" spans="1:8" x14ac:dyDescent="0.35">
      <c r="A9129" s="7" t="s">
        <v>377</v>
      </c>
      <c r="B9129" s="7" t="s">
        <v>26</v>
      </c>
      <c r="C9129" s="7" t="s">
        <v>27</v>
      </c>
      <c r="D9129" s="7" t="s">
        <v>28</v>
      </c>
      <c r="E9129" s="7" t="s">
        <v>29</v>
      </c>
      <c r="F9129" s="7" t="s">
        <v>181</v>
      </c>
      <c r="G9129" s="7">
        <v>101.0702</v>
      </c>
      <c r="H9129" s="7"/>
    </row>
    <row r="9130" spans="1:8" x14ac:dyDescent="0.35">
      <c r="A9130" s="7" t="s">
        <v>377</v>
      </c>
      <c r="B9130" s="7" t="s">
        <v>26</v>
      </c>
      <c r="C9130" s="7" t="s">
        <v>27</v>
      </c>
      <c r="D9130" s="7" t="s">
        <v>28</v>
      </c>
      <c r="E9130" s="7" t="s">
        <v>29</v>
      </c>
      <c r="F9130" s="7" t="s">
        <v>182</v>
      </c>
      <c r="G9130" s="7">
        <v>101.4426</v>
      </c>
      <c r="H9130" s="7"/>
    </row>
    <row r="9131" spans="1:8" x14ac:dyDescent="0.35">
      <c r="A9131" s="7" t="s">
        <v>377</v>
      </c>
      <c r="B9131" s="7" t="s">
        <v>26</v>
      </c>
      <c r="C9131" s="7" t="s">
        <v>27</v>
      </c>
      <c r="D9131" s="7" t="s">
        <v>28</v>
      </c>
      <c r="E9131" s="7" t="s">
        <v>29</v>
      </c>
      <c r="F9131" s="7" t="s">
        <v>183</v>
      </c>
      <c r="G9131" s="7">
        <v>101.6245</v>
      </c>
      <c r="H9131" s="7"/>
    </row>
    <row r="9132" spans="1:8" x14ac:dyDescent="0.35">
      <c r="A9132" s="7" t="s">
        <v>377</v>
      </c>
      <c r="B9132" s="7" t="s">
        <v>26</v>
      </c>
      <c r="C9132" s="7" t="s">
        <v>27</v>
      </c>
      <c r="D9132" s="7" t="s">
        <v>28</v>
      </c>
      <c r="E9132" s="7" t="s">
        <v>29</v>
      </c>
      <c r="F9132" s="7" t="s">
        <v>184</v>
      </c>
      <c r="G9132" s="7">
        <v>101.86360000000001</v>
      </c>
      <c r="H9132" s="7"/>
    </row>
    <row r="9133" spans="1:8" x14ac:dyDescent="0.35">
      <c r="A9133" s="7" t="s">
        <v>377</v>
      </c>
      <c r="B9133" s="7" t="s">
        <v>26</v>
      </c>
      <c r="C9133" s="7" t="s">
        <v>27</v>
      </c>
      <c r="D9133" s="7" t="s">
        <v>28</v>
      </c>
      <c r="E9133" s="7" t="s">
        <v>29</v>
      </c>
      <c r="F9133" s="7" t="s">
        <v>185</v>
      </c>
      <c r="G9133" s="7">
        <v>102.05589999999999</v>
      </c>
      <c r="H9133" s="7"/>
    </row>
    <row r="9134" spans="1:8" x14ac:dyDescent="0.35">
      <c r="A9134" s="7" t="s">
        <v>377</v>
      </c>
      <c r="B9134" s="7" t="s">
        <v>26</v>
      </c>
      <c r="C9134" s="7" t="s">
        <v>27</v>
      </c>
      <c r="D9134" s="7" t="s">
        <v>28</v>
      </c>
      <c r="E9134" s="7" t="s">
        <v>29</v>
      </c>
      <c r="F9134" s="7" t="s">
        <v>186</v>
      </c>
      <c r="G9134" s="7">
        <v>102.0958</v>
      </c>
      <c r="H9134" s="7"/>
    </row>
    <row r="9135" spans="1:8" x14ac:dyDescent="0.35">
      <c r="A9135" s="7" t="s">
        <v>377</v>
      </c>
      <c r="B9135" s="7" t="s">
        <v>26</v>
      </c>
      <c r="C9135" s="7" t="s">
        <v>27</v>
      </c>
      <c r="D9135" s="7" t="s">
        <v>28</v>
      </c>
      <c r="E9135" s="7" t="s">
        <v>29</v>
      </c>
      <c r="F9135" s="7" t="s">
        <v>187</v>
      </c>
      <c r="G9135" s="7">
        <v>102.1893</v>
      </c>
      <c r="H9135" s="7"/>
    </row>
    <row r="9136" spans="1:8" x14ac:dyDescent="0.35">
      <c r="A9136" s="7" t="s">
        <v>377</v>
      </c>
      <c r="B9136" s="7" t="s">
        <v>26</v>
      </c>
      <c r="C9136" s="7" t="s">
        <v>27</v>
      </c>
      <c r="D9136" s="7" t="s">
        <v>28</v>
      </c>
      <c r="E9136" s="7" t="s">
        <v>29</v>
      </c>
      <c r="F9136" s="7" t="s">
        <v>188</v>
      </c>
      <c r="G9136" s="7">
        <v>102.084</v>
      </c>
      <c r="H9136" s="7"/>
    </row>
    <row r="9137" spans="1:8" x14ac:dyDescent="0.35">
      <c r="A9137" s="7" t="s">
        <v>377</v>
      </c>
      <c r="B9137" s="7" t="s">
        <v>26</v>
      </c>
      <c r="C9137" s="7" t="s">
        <v>27</v>
      </c>
      <c r="D9137" s="7" t="s">
        <v>28</v>
      </c>
      <c r="E9137" s="7" t="s">
        <v>29</v>
      </c>
      <c r="F9137" s="7" t="s">
        <v>189</v>
      </c>
      <c r="G9137" s="7">
        <v>101.9306</v>
      </c>
      <c r="H9137" s="7"/>
    </row>
    <row r="9138" spans="1:8" x14ac:dyDescent="0.35">
      <c r="A9138" s="7" t="s">
        <v>377</v>
      </c>
      <c r="B9138" s="7" t="s">
        <v>26</v>
      </c>
      <c r="C9138" s="7" t="s">
        <v>27</v>
      </c>
      <c r="D9138" s="7" t="s">
        <v>28</v>
      </c>
      <c r="E9138" s="7" t="s">
        <v>29</v>
      </c>
      <c r="F9138" s="7" t="s">
        <v>190</v>
      </c>
      <c r="G9138" s="7">
        <v>101.7841</v>
      </c>
      <c r="H9138" s="7"/>
    </row>
    <row r="9139" spans="1:8" x14ac:dyDescent="0.35">
      <c r="A9139" s="7" t="s">
        <v>377</v>
      </c>
      <c r="B9139" s="7" t="s">
        <v>26</v>
      </c>
      <c r="C9139" s="7" t="s">
        <v>27</v>
      </c>
      <c r="D9139" s="7" t="s">
        <v>28</v>
      </c>
      <c r="E9139" s="7" t="s">
        <v>29</v>
      </c>
      <c r="F9139" s="7" t="s">
        <v>191</v>
      </c>
      <c r="G9139" s="7">
        <v>101.53270000000001</v>
      </c>
      <c r="H9139" s="7"/>
    </row>
    <row r="9140" spans="1:8" x14ac:dyDescent="0.35">
      <c r="A9140" s="7" t="s">
        <v>377</v>
      </c>
      <c r="B9140" s="7" t="s">
        <v>26</v>
      </c>
      <c r="C9140" s="7" t="s">
        <v>27</v>
      </c>
      <c r="D9140" s="7" t="s">
        <v>28</v>
      </c>
      <c r="E9140" s="7" t="s">
        <v>29</v>
      </c>
      <c r="F9140" s="7" t="s">
        <v>192</v>
      </c>
      <c r="G9140" s="7">
        <v>101.3952</v>
      </c>
      <c r="H9140" s="7"/>
    </row>
    <row r="9141" spans="1:8" x14ac:dyDescent="0.35">
      <c r="A9141" s="7" t="s">
        <v>377</v>
      </c>
      <c r="B9141" s="7" t="s">
        <v>26</v>
      </c>
      <c r="C9141" s="7" t="s">
        <v>27</v>
      </c>
      <c r="D9141" s="7" t="s">
        <v>28</v>
      </c>
      <c r="E9141" s="7" t="s">
        <v>29</v>
      </c>
      <c r="F9141" s="7" t="s">
        <v>193</v>
      </c>
      <c r="G9141" s="7">
        <v>101.4006</v>
      </c>
      <c r="H9141" s="7"/>
    </row>
    <row r="9142" spans="1:8" x14ac:dyDescent="0.35">
      <c r="A9142" s="7" t="s">
        <v>377</v>
      </c>
      <c r="B9142" s="7" t="s">
        <v>26</v>
      </c>
      <c r="C9142" s="7" t="s">
        <v>27</v>
      </c>
      <c r="D9142" s="7" t="s">
        <v>28</v>
      </c>
      <c r="E9142" s="7" t="s">
        <v>29</v>
      </c>
      <c r="F9142" s="7" t="s">
        <v>194</v>
      </c>
      <c r="G9142" s="7">
        <v>101.2867</v>
      </c>
      <c r="H9142" s="7"/>
    </row>
    <row r="9143" spans="1:8" x14ac:dyDescent="0.35">
      <c r="A9143" s="7" t="s">
        <v>377</v>
      </c>
      <c r="B9143" s="7" t="s">
        <v>26</v>
      </c>
      <c r="C9143" s="7" t="s">
        <v>27</v>
      </c>
      <c r="D9143" s="7" t="s">
        <v>28</v>
      </c>
      <c r="E9143" s="7" t="s">
        <v>29</v>
      </c>
      <c r="F9143" s="7" t="s">
        <v>195</v>
      </c>
      <c r="G9143" s="7">
        <v>100.90170000000001</v>
      </c>
      <c r="H9143" s="7"/>
    </row>
    <row r="9144" spans="1:8" x14ac:dyDescent="0.35">
      <c r="A9144" s="7" t="s">
        <v>377</v>
      </c>
      <c r="B9144" s="7" t="s">
        <v>26</v>
      </c>
      <c r="C9144" s="7" t="s">
        <v>27</v>
      </c>
      <c r="D9144" s="7" t="s">
        <v>28</v>
      </c>
      <c r="E9144" s="7" t="s">
        <v>29</v>
      </c>
      <c r="F9144" s="7" t="s">
        <v>196</v>
      </c>
      <c r="G9144" s="7">
        <v>100.5852</v>
      </c>
      <c r="H9144" s="7"/>
    </row>
    <row r="9145" spans="1:8" x14ac:dyDescent="0.35">
      <c r="A9145" s="7" t="s">
        <v>377</v>
      </c>
      <c r="B9145" s="7" t="s">
        <v>26</v>
      </c>
      <c r="C9145" s="7" t="s">
        <v>27</v>
      </c>
      <c r="D9145" s="7" t="s">
        <v>28</v>
      </c>
      <c r="E9145" s="7" t="s">
        <v>29</v>
      </c>
      <c r="F9145" s="7" t="s">
        <v>197</v>
      </c>
      <c r="G9145" s="7">
        <v>100.7107</v>
      </c>
      <c r="H9145" s="7"/>
    </row>
    <row r="9146" spans="1:8" x14ac:dyDescent="0.35">
      <c r="A9146" s="7" t="s">
        <v>377</v>
      </c>
      <c r="B9146" s="7" t="s">
        <v>26</v>
      </c>
      <c r="C9146" s="7" t="s">
        <v>27</v>
      </c>
      <c r="D9146" s="7" t="s">
        <v>28</v>
      </c>
      <c r="E9146" s="7" t="s">
        <v>29</v>
      </c>
      <c r="F9146" s="7" t="s">
        <v>198</v>
      </c>
      <c r="G9146" s="7">
        <v>101.1035</v>
      </c>
      <c r="H9146" s="7"/>
    </row>
    <row r="9147" spans="1:8" x14ac:dyDescent="0.35">
      <c r="A9147" s="7" t="s">
        <v>377</v>
      </c>
      <c r="B9147" s="7" t="s">
        <v>26</v>
      </c>
      <c r="C9147" s="7" t="s">
        <v>27</v>
      </c>
      <c r="D9147" s="7" t="s">
        <v>28</v>
      </c>
      <c r="E9147" s="7" t="s">
        <v>29</v>
      </c>
      <c r="F9147" s="7" t="s">
        <v>199</v>
      </c>
      <c r="G9147" s="7">
        <v>101.43470000000001</v>
      </c>
      <c r="H9147" s="7"/>
    </row>
    <row r="9148" spans="1:8" x14ac:dyDescent="0.35">
      <c r="A9148" s="7" t="s">
        <v>377</v>
      </c>
      <c r="B9148" s="7" t="s">
        <v>26</v>
      </c>
      <c r="C9148" s="7" t="s">
        <v>27</v>
      </c>
      <c r="D9148" s="7" t="s">
        <v>28</v>
      </c>
      <c r="E9148" s="7" t="s">
        <v>29</v>
      </c>
      <c r="F9148" s="7" t="s">
        <v>200</v>
      </c>
      <c r="G9148" s="7">
        <v>101.6006</v>
      </c>
      <c r="H9148" s="7"/>
    </row>
    <row r="9149" spans="1:8" x14ac:dyDescent="0.35">
      <c r="A9149" s="7" t="s">
        <v>377</v>
      </c>
      <c r="B9149" s="7" t="s">
        <v>26</v>
      </c>
      <c r="C9149" s="7" t="s">
        <v>27</v>
      </c>
      <c r="D9149" s="7" t="s">
        <v>28</v>
      </c>
      <c r="E9149" s="7" t="s">
        <v>29</v>
      </c>
      <c r="F9149" s="7" t="s">
        <v>201</v>
      </c>
      <c r="G9149" s="7">
        <v>101.4896</v>
      </c>
      <c r="H9149" s="7"/>
    </row>
    <row r="9150" spans="1:8" x14ac:dyDescent="0.35">
      <c r="A9150" s="7" t="s">
        <v>377</v>
      </c>
      <c r="B9150" s="7" t="s">
        <v>26</v>
      </c>
      <c r="C9150" s="7" t="s">
        <v>27</v>
      </c>
      <c r="D9150" s="7" t="s">
        <v>28</v>
      </c>
      <c r="E9150" s="7" t="s">
        <v>29</v>
      </c>
      <c r="F9150" s="7" t="s">
        <v>202</v>
      </c>
      <c r="G9150" s="7">
        <v>101.2097</v>
      </c>
      <c r="H9150" s="7"/>
    </row>
    <row r="9151" spans="1:8" x14ac:dyDescent="0.35">
      <c r="A9151" s="7" t="s">
        <v>377</v>
      </c>
      <c r="B9151" s="7" t="s">
        <v>26</v>
      </c>
      <c r="C9151" s="7" t="s">
        <v>27</v>
      </c>
      <c r="D9151" s="7" t="s">
        <v>28</v>
      </c>
      <c r="E9151" s="7" t="s">
        <v>29</v>
      </c>
      <c r="F9151" s="7" t="s">
        <v>203</v>
      </c>
      <c r="G9151" s="7">
        <v>101.0025</v>
      </c>
      <c r="H9151" s="7"/>
    </row>
    <row r="9152" spans="1:8" x14ac:dyDescent="0.35">
      <c r="A9152" s="7" t="s">
        <v>377</v>
      </c>
      <c r="B9152" s="7" t="s">
        <v>26</v>
      </c>
      <c r="C9152" s="7" t="s">
        <v>27</v>
      </c>
      <c r="D9152" s="7" t="s">
        <v>28</v>
      </c>
      <c r="E9152" s="7" t="s">
        <v>29</v>
      </c>
      <c r="F9152" s="7" t="s">
        <v>204</v>
      </c>
      <c r="G9152" s="7">
        <v>100.7795</v>
      </c>
      <c r="H9152" s="7"/>
    </row>
    <row r="9153" spans="1:8" x14ac:dyDescent="0.35">
      <c r="A9153" s="7" t="s">
        <v>377</v>
      </c>
      <c r="B9153" s="7" t="s">
        <v>26</v>
      </c>
      <c r="C9153" s="7" t="s">
        <v>27</v>
      </c>
      <c r="D9153" s="7" t="s">
        <v>28</v>
      </c>
      <c r="E9153" s="7" t="s">
        <v>29</v>
      </c>
      <c r="F9153" s="7" t="s">
        <v>205</v>
      </c>
      <c r="G9153" s="7">
        <v>100.61</v>
      </c>
      <c r="H9153" s="7"/>
    </row>
    <row r="9154" spans="1:8" x14ac:dyDescent="0.35">
      <c r="A9154" s="7" t="s">
        <v>377</v>
      </c>
      <c r="B9154" s="7" t="s">
        <v>26</v>
      </c>
      <c r="C9154" s="7" t="s">
        <v>27</v>
      </c>
      <c r="D9154" s="7" t="s">
        <v>28</v>
      </c>
      <c r="E9154" s="7" t="s">
        <v>29</v>
      </c>
      <c r="F9154" s="7" t="s">
        <v>206</v>
      </c>
      <c r="G9154" s="7">
        <v>100.5787</v>
      </c>
      <c r="H9154" s="7"/>
    </row>
    <row r="9155" spans="1:8" x14ac:dyDescent="0.35">
      <c r="A9155" s="7" t="s">
        <v>377</v>
      </c>
      <c r="B9155" s="7" t="s">
        <v>26</v>
      </c>
      <c r="C9155" s="7" t="s">
        <v>27</v>
      </c>
      <c r="D9155" s="7" t="s">
        <v>28</v>
      </c>
      <c r="E9155" s="7" t="s">
        <v>29</v>
      </c>
      <c r="F9155" s="7" t="s">
        <v>207</v>
      </c>
      <c r="G9155" s="7">
        <v>100.66070000000001</v>
      </c>
      <c r="H9155" s="7"/>
    </row>
    <row r="9156" spans="1:8" x14ac:dyDescent="0.35">
      <c r="A9156" s="7" t="s">
        <v>377</v>
      </c>
      <c r="B9156" s="7" t="s">
        <v>26</v>
      </c>
      <c r="C9156" s="7" t="s">
        <v>27</v>
      </c>
      <c r="D9156" s="7" t="s">
        <v>28</v>
      </c>
      <c r="E9156" s="7" t="s">
        <v>29</v>
      </c>
      <c r="F9156" s="7" t="s">
        <v>208</v>
      </c>
      <c r="G9156" s="7">
        <v>100.8794</v>
      </c>
      <c r="H9156" s="7"/>
    </row>
    <row r="9157" spans="1:8" x14ac:dyDescent="0.35">
      <c r="A9157" s="7" t="s">
        <v>377</v>
      </c>
      <c r="B9157" s="7" t="s">
        <v>26</v>
      </c>
      <c r="C9157" s="7" t="s">
        <v>27</v>
      </c>
      <c r="D9157" s="7" t="s">
        <v>28</v>
      </c>
      <c r="E9157" s="7" t="s">
        <v>29</v>
      </c>
      <c r="F9157" s="7" t="s">
        <v>209</v>
      </c>
      <c r="G9157" s="7">
        <v>101.04130000000001</v>
      </c>
      <c r="H9157" s="7"/>
    </row>
    <row r="9158" spans="1:8" x14ac:dyDescent="0.35">
      <c r="A9158" s="7" t="s">
        <v>377</v>
      </c>
      <c r="B9158" s="7" t="s">
        <v>26</v>
      </c>
      <c r="C9158" s="7" t="s">
        <v>27</v>
      </c>
      <c r="D9158" s="7" t="s">
        <v>28</v>
      </c>
      <c r="E9158" s="7" t="s">
        <v>29</v>
      </c>
      <c r="F9158" s="7" t="s">
        <v>210</v>
      </c>
      <c r="G9158" s="7">
        <v>101.0514</v>
      </c>
      <c r="H9158" s="7"/>
    </row>
    <row r="9159" spans="1:8" x14ac:dyDescent="0.35">
      <c r="A9159" s="7" t="s">
        <v>377</v>
      </c>
      <c r="B9159" s="7" t="s">
        <v>26</v>
      </c>
      <c r="C9159" s="7" t="s">
        <v>27</v>
      </c>
      <c r="D9159" s="7" t="s">
        <v>28</v>
      </c>
      <c r="E9159" s="7" t="s">
        <v>29</v>
      </c>
      <c r="F9159" s="7" t="s">
        <v>211</v>
      </c>
      <c r="G9159" s="7">
        <v>100.8916</v>
      </c>
      <c r="H9159" s="7"/>
    </row>
    <row r="9160" spans="1:8" x14ac:dyDescent="0.35">
      <c r="A9160" s="7" t="s">
        <v>377</v>
      </c>
      <c r="B9160" s="7" t="s">
        <v>26</v>
      </c>
      <c r="C9160" s="7" t="s">
        <v>27</v>
      </c>
      <c r="D9160" s="7" t="s">
        <v>28</v>
      </c>
      <c r="E9160" s="7" t="s">
        <v>29</v>
      </c>
      <c r="F9160" s="7" t="s">
        <v>212</v>
      </c>
      <c r="G9160" s="7">
        <v>100.5401</v>
      </c>
      <c r="H9160" s="7"/>
    </row>
    <row r="9161" spans="1:8" x14ac:dyDescent="0.35">
      <c r="A9161" s="7" t="s">
        <v>377</v>
      </c>
      <c r="B9161" s="7" t="s">
        <v>26</v>
      </c>
      <c r="C9161" s="7" t="s">
        <v>27</v>
      </c>
      <c r="D9161" s="7" t="s">
        <v>28</v>
      </c>
      <c r="E9161" s="7" t="s">
        <v>29</v>
      </c>
      <c r="F9161" s="7" t="s">
        <v>213</v>
      </c>
      <c r="G9161" s="7">
        <v>100.01909999999999</v>
      </c>
      <c r="H9161" s="7"/>
    </row>
    <row r="9162" spans="1:8" x14ac:dyDescent="0.35">
      <c r="A9162" s="7" t="s">
        <v>377</v>
      </c>
      <c r="B9162" s="7" t="s">
        <v>26</v>
      </c>
      <c r="C9162" s="7" t="s">
        <v>27</v>
      </c>
      <c r="D9162" s="7" t="s">
        <v>28</v>
      </c>
      <c r="E9162" s="7" t="s">
        <v>29</v>
      </c>
      <c r="F9162" s="7" t="s">
        <v>214</v>
      </c>
      <c r="G9162" s="7">
        <v>99.633939999999996</v>
      </c>
      <c r="H9162" s="7"/>
    </row>
    <row r="9163" spans="1:8" x14ac:dyDescent="0.35">
      <c r="A9163" s="7" t="s">
        <v>377</v>
      </c>
      <c r="B9163" s="7" t="s">
        <v>26</v>
      </c>
      <c r="C9163" s="7" t="s">
        <v>27</v>
      </c>
      <c r="D9163" s="7" t="s">
        <v>28</v>
      </c>
      <c r="E9163" s="7" t="s">
        <v>29</v>
      </c>
      <c r="F9163" s="7" t="s">
        <v>215</v>
      </c>
      <c r="G9163" s="7">
        <v>99.637600000000006</v>
      </c>
      <c r="H9163" s="7"/>
    </row>
    <row r="9164" spans="1:8" x14ac:dyDescent="0.35">
      <c r="A9164" s="7" t="s">
        <v>377</v>
      </c>
      <c r="B9164" s="7" t="s">
        <v>26</v>
      </c>
      <c r="C9164" s="7" t="s">
        <v>27</v>
      </c>
      <c r="D9164" s="7" t="s">
        <v>28</v>
      </c>
      <c r="E9164" s="7" t="s">
        <v>29</v>
      </c>
      <c r="F9164" s="7" t="s">
        <v>216</v>
      </c>
      <c r="G9164" s="7">
        <v>99.75985</v>
      </c>
      <c r="H9164" s="7"/>
    </row>
    <row r="9165" spans="1:8" x14ac:dyDescent="0.35">
      <c r="A9165" s="7" t="s">
        <v>377</v>
      </c>
      <c r="B9165" s="7" t="s">
        <v>26</v>
      </c>
      <c r="C9165" s="7" t="s">
        <v>27</v>
      </c>
      <c r="D9165" s="7" t="s">
        <v>28</v>
      </c>
      <c r="E9165" s="7" t="s">
        <v>29</v>
      </c>
      <c r="F9165" s="7" t="s">
        <v>217</v>
      </c>
      <c r="G9165" s="7">
        <v>99.694680000000005</v>
      </c>
      <c r="H9165" s="7"/>
    </row>
    <row r="9166" spans="1:8" x14ac:dyDescent="0.35">
      <c r="A9166" s="7" t="s">
        <v>377</v>
      </c>
      <c r="B9166" s="7" t="s">
        <v>26</v>
      </c>
      <c r="C9166" s="7" t="s">
        <v>27</v>
      </c>
      <c r="D9166" s="7" t="s">
        <v>28</v>
      </c>
      <c r="E9166" s="7" t="s">
        <v>29</v>
      </c>
      <c r="F9166" s="7" t="s">
        <v>218</v>
      </c>
      <c r="G9166" s="7">
        <v>99.441460000000006</v>
      </c>
      <c r="H9166" s="7"/>
    </row>
    <row r="9167" spans="1:8" x14ac:dyDescent="0.35">
      <c r="A9167" s="7" t="s">
        <v>377</v>
      </c>
      <c r="B9167" s="7" t="s">
        <v>26</v>
      </c>
      <c r="C9167" s="7" t="s">
        <v>27</v>
      </c>
      <c r="D9167" s="7" t="s">
        <v>28</v>
      </c>
      <c r="E9167" s="7" t="s">
        <v>29</v>
      </c>
      <c r="F9167" s="7" t="s">
        <v>219</v>
      </c>
      <c r="G9167" s="7">
        <v>99.243709999999993</v>
      </c>
      <c r="H9167" s="7"/>
    </row>
    <row r="9168" spans="1:8" x14ac:dyDescent="0.35">
      <c r="A9168" s="7" t="s">
        <v>377</v>
      </c>
      <c r="B9168" s="7" t="s">
        <v>26</v>
      </c>
      <c r="C9168" s="7" t="s">
        <v>27</v>
      </c>
      <c r="D9168" s="7" t="s">
        <v>28</v>
      </c>
      <c r="E9168" s="7" t="s">
        <v>29</v>
      </c>
      <c r="F9168" s="7" t="s">
        <v>220</v>
      </c>
      <c r="G9168" s="7">
        <v>99.0702</v>
      </c>
      <c r="H9168" s="7"/>
    </row>
    <row r="9169" spans="1:8" x14ac:dyDescent="0.35">
      <c r="A9169" s="7" t="s">
        <v>377</v>
      </c>
      <c r="B9169" s="7" t="s">
        <v>26</v>
      </c>
      <c r="C9169" s="7" t="s">
        <v>27</v>
      </c>
      <c r="D9169" s="7" t="s">
        <v>28</v>
      </c>
      <c r="E9169" s="7" t="s">
        <v>29</v>
      </c>
      <c r="F9169" s="7" t="s">
        <v>221</v>
      </c>
      <c r="G9169" s="7">
        <v>98.658289999999994</v>
      </c>
      <c r="H9169" s="7"/>
    </row>
    <row r="9170" spans="1:8" x14ac:dyDescent="0.35">
      <c r="A9170" s="7" t="s">
        <v>377</v>
      </c>
      <c r="B9170" s="7" t="s">
        <v>26</v>
      </c>
      <c r="C9170" s="7" t="s">
        <v>27</v>
      </c>
      <c r="D9170" s="7" t="s">
        <v>28</v>
      </c>
      <c r="E9170" s="7" t="s">
        <v>29</v>
      </c>
      <c r="F9170" s="7" t="s">
        <v>222</v>
      </c>
      <c r="G9170" s="7">
        <v>98.136700000000005</v>
      </c>
      <c r="H9170" s="7"/>
    </row>
    <row r="9171" spans="1:8" x14ac:dyDescent="0.35">
      <c r="A9171" s="7" t="s">
        <v>377</v>
      </c>
      <c r="B9171" s="7" t="s">
        <v>26</v>
      </c>
      <c r="C9171" s="7" t="s">
        <v>27</v>
      </c>
      <c r="D9171" s="7" t="s">
        <v>28</v>
      </c>
      <c r="E9171" s="7" t="s">
        <v>29</v>
      </c>
      <c r="F9171" s="7" t="s">
        <v>223</v>
      </c>
      <c r="G9171" s="7">
        <v>97.735460000000003</v>
      </c>
      <c r="H9171" s="7"/>
    </row>
    <row r="9172" spans="1:8" x14ac:dyDescent="0.35">
      <c r="A9172" s="7" t="s">
        <v>377</v>
      </c>
      <c r="B9172" s="7" t="s">
        <v>26</v>
      </c>
      <c r="C9172" s="7" t="s">
        <v>27</v>
      </c>
      <c r="D9172" s="7" t="s">
        <v>28</v>
      </c>
      <c r="E9172" s="7" t="s">
        <v>29</v>
      </c>
      <c r="F9172" s="7" t="s">
        <v>224</v>
      </c>
      <c r="G9172" s="7">
        <v>97.53537</v>
      </c>
      <c r="H9172" s="7"/>
    </row>
    <row r="9173" spans="1:8" x14ac:dyDescent="0.35">
      <c r="A9173" s="7" t="s">
        <v>377</v>
      </c>
      <c r="B9173" s="7" t="s">
        <v>26</v>
      </c>
      <c r="C9173" s="7" t="s">
        <v>27</v>
      </c>
      <c r="D9173" s="7" t="s">
        <v>28</v>
      </c>
      <c r="E9173" s="7" t="s">
        <v>29</v>
      </c>
      <c r="F9173" s="7" t="s">
        <v>225</v>
      </c>
      <c r="G9173" s="7">
        <v>97.434100000000001</v>
      </c>
      <c r="H9173" s="7"/>
    </row>
    <row r="9174" spans="1:8" x14ac:dyDescent="0.35">
      <c r="A9174" s="7" t="s">
        <v>377</v>
      </c>
      <c r="B9174" s="7" t="s">
        <v>26</v>
      </c>
      <c r="C9174" s="7" t="s">
        <v>27</v>
      </c>
      <c r="D9174" s="7" t="s">
        <v>28</v>
      </c>
      <c r="E9174" s="7" t="s">
        <v>29</v>
      </c>
      <c r="F9174" s="7" t="s">
        <v>226</v>
      </c>
      <c r="G9174" s="7">
        <v>97.43047</v>
      </c>
      <c r="H9174" s="7"/>
    </row>
    <row r="9175" spans="1:8" x14ac:dyDescent="0.35">
      <c r="A9175" s="7" t="s">
        <v>377</v>
      </c>
      <c r="B9175" s="7" t="s">
        <v>26</v>
      </c>
      <c r="C9175" s="7" t="s">
        <v>27</v>
      </c>
      <c r="D9175" s="7" t="s">
        <v>28</v>
      </c>
      <c r="E9175" s="7" t="s">
        <v>29</v>
      </c>
      <c r="F9175" s="7" t="s">
        <v>227</v>
      </c>
      <c r="G9175" s="7">
        <v>97.416870000000003</v>
      </c>
      <c r="H9175" s="7"/>
    </row>
    <row r="9176" spans="1:8" x14ac:dyDescent="0.35">
      <c r="A9176" s="7" t="s">
        <v>377</v>
      </c>
      <c r="B9176" s="7" t="s">
        <v>26</v>
      </c>
      <c r="C9176" s="7" t="s">
        <v>27</v>
      </c>
      <c r="D9176" s="7" t="s">
        <v>28</v>
      </c>
      <c r="E9176" s="7" t="s">
        <v>29</v>
      </c>
      <c r="F9176" s="7" t="s">
        <v>228</v>
      </c>
      <c r="G9176" s="7">
        <v>97.435649999999995</v>
      </c>
      <c r="H9176" s="7"/>
    </row>
    <row r="9177" spans="1:8" x14ac:dyDescent="0.35">
      <c r="A9177" s="7" t="s">
        <v>377</v>
      </c>
      <c r="B9177" s="7" t="s">
        <v>26</v>
      </c>
      <c r="C9177" s="7" t="s">
        <v>27</v>
      </c>
      <c r="D9177" s="7" t="s">
        <v>28</v>
      </c>
      <c r="E9177" s="7" t="s">
        <v>29</v>
      </c>
      <c r="F9177" s="7" t="s">
        <v>229</v>
      </c>
      <c r="G9177" s="7">
        <v>97.088989999999995</v>
      </c>
      <c r="H9177" s="7"/>
    </row>
    <row r="9178" spans="1:8" x14ac:dyDescent="0.35">
      <c r="A9178" s="7" t="s">
        <v>377</v>
      </c>
      <c r="B9178" s="7" t="s">
        <v>26</v>
      </c>
      <c r="C9178" s="7" t="s">
        <v>27</v>
      </c>
      <c r="D9178" s="7" t="s">
        <v>28</v>
      </c>
      <c r="E9178" s="7" t="s">
        <v>29</v>
      </c>
      <c r="F9178" s="7" t="s">
        <v>230</v>
      </c>
      <c r="G9178" s="7">
        <v>96.825710000000001</v>
      </c>
      <c r="H9178" s="7"/>
    </row>
    <row r="9179" spans="1:8" x14ac:dyDescent="0.35">
      <c r="A9179" s="7" t="s">
        <v>377</v>
      </c>
      <c r="B9179" s="7" t="s">
        <v>26</v>
      </c>
      <c r="C9179" s="7" t="s">
        <v>27</v>
      </c>
      <c r="D9179" s="7" t="s">
        <v>28</v>
      </c>
      <c r="E9179" s="7" t="s">
        <v>29</v>
      </c>
      <c r="F9179" s="7" t="s">
        <v>231</v>
      </c>
      <c r="G9179" s="7">
        <v>96.799840000000003</v>
      </c>
      <c r="H9179" s="7"/>
    </row>
    <row r="9180" spans="1:8" x14ac:dyDescent="0.35">
      <c r="A9180" s="7" t="s">
        <v>377</v>
      </c>
      <c r="B9180" s="7" t="s">
        <v>26</v>
      </c>
      <c r="C9180" s="7" t="s">
        <v>27</v>
      </c>
      <c r="D9180" s="7" t="s">
        <v>28</v>
      </c>
      <c r="E9180" s="7" t="s">
        <v>29</v>
      </c>
      <c r="F9180" s="7" t="s">
        <v>232</v>
      </c>
      <c r="G9180" s="7">
        <v>96.544380000000004</v>
      </c>
      <c r="H9180" s="7"/>
    </row>
    <row r="9181" spans="1:8" x14ac:dyDescent="0.35">
      <c r="A9181" s="7" t="s">
        <v>377</v>
      </c>
      <c r="B9181" s="7" t="s">
        <v>26</v>
      </c>
      <c r="C9181" s="7" t="s">
        <v>27</v>
      </c>
      <c r="D9181" s="7" t="s">
        <v>28</v>
      </c>
      <c r="E9181" s="7" t="s">
        <v>29</v>
      </c>
      <c r="F9181" s="7" t="s">
        <v>233</v>
      </c>
      <c r="G9181" s="7">
        <v>95.755120000000005</v>
      </c>
      <c r="H9181" s="7"/>
    </row>
    <row r="9182" spans="1:8" x14ac:dyDescent="0.35">
      <c r="A9182" s="7" t="s">
        <v>377</v>
      </c>
      <c r="B9182" s="7" t="s">
        <v>26</v>
      </c>
      <c r="C9182" s="7" t="s">
        <v>27</v>
      </c>
      <c r="D9182" s="7" t="s">
        <v>28</v>
      </c>
      <c r="E9182" s="7" t="s">
        <v>29</v>
      </c>
      <c r="F9182" s="7" t="s">
        <v>234</v>
      </c>
      <c r="G9182" s="7">
        <v>95.079629999999995</v>
      </c>
      <c r="H9182" s="7"/>
    </row>
    <row r="9183" spans="1:8" x14ac:dyDescent="0.35">
      <c r="A9183" s="7" t="s">
        <v>377</v>
      </c>
      <c r="B9183" s="7" t="s">
        <v>26</v>
      </c>
      <c r="C9183" s="7" t="s">
        <v>27</v>
      </c>
      <c r="D9183" s="7" t="s">
        <v>28</v>
      </c>
      <c r="E9183" s="7" t="s">
        <v>29</v>
      </c>
      <c r="F9183" s="7" t="s">
        <v>235</v>
      </c>
      <c r="G9183" s="7">
        <v>94.54804</v>
      </c>
      <c r="H9183" s="7"/>
    </row>
    <row r="9184" spans="1:8" x14ac:dyDescent="0.35">
      <c r="A9184" s="7" t="s">
        <v>377</v>
      </c>
      <c r="B9184" s="7" t="s">
        <v>26</v>
      </c>
      <c r="C9184" s="7" t="s">
        <v>27</v>
      </c>
      <c r="D9184" s="7" t="s">
        <v>28</v>
      </c>
      <c r="E9184" s="7" t="s">
        <v>29</v>
      </c>
      <c r="F9184" s="7" t="s">
        <v>236</v>
      </c>
      <c r="G9184" s="7">
        <v>94.122209999999995</v>
      </c>
      <c r="H9184" s="7"/>
    </row>
    <row r="9185" spans="1:8" x14ac:dyDescent="0.35">
      <c r="A9185" s="7" t="s">
        <v>377</v>
      </c>
      <c r="B9185" s="7" t="s">
        <v>26</v>
      </c>
      <c r="C9185" s="7" t="s">
        <v>27</v>
      </c>
      <c r="D9185" s="7" t="s">
        <v>28</v>
      </c>
      <c r="E9185" s="7" t="s">
        <v>29</v>
      </c>
      <c r="F9185" s="7" t="s">
        <v>237</v>
      </c>
      <c r="G9185" s="7">
        <v>93.820170000000005</v>
      </c>
      <c r="H9185" s="7"/>
    </row>
    <row r="9186" spans="1:8" x14ac:dyDescent="0.35">
      <c r="A9186" s="7" t="s">
        <v>377</v>
      </c>
      <c r="B9186" s="7" t="s">
        <v>26</v>
      </c>
      <c r="C9186" s="7" t="s">
        <v>27</v>
      </c>
      <c r="D9186" s="7" t="s">
        <v>28</v>
      </c>
      <c r="E9186" s="7" t="s">
        <v>29</v>
      </c>
      <c r="F9186" s="7" t="s">
        <v>238</v>
      </c>
      <c r="G9186" s="7">
        <v>93.833119999999994</v>
      </c>
      <c r="H9186" s="7"/>
    </row>
    <row r="9187" spans="1:8" x14ac:dyDescent="0.35">
      <c r="A9187" s="7" t="s">
        <v>377</v>
      </c>
      <c r="B9187" s="7" t="s">
        <v>26</v>
      </c>
      <c r="C9187" s="7" t="s">
        <v>27</v>
      </c>
      <c r="D9187" s="7" t="s">
        <v>28</v>
      </c>
      <c r="E9187" s="7" t="s">
        <v>29</v>
      </c>
      <c r="F9187" s="7" t="s">
        <v>239</v>
      </c>
      <c r="G9187" s="7">
        <v>94.195760000000007</v>
      </c>
      <c r="H9187" s="7"/>
    </row>
    <row r="9188" spans="1:8" x14ac:dyDescent="0.35">
      <c r="A9188" s="7" t="s">
        <v>377</v>
      </c>
      <c r="B9188" s="7" t="s">
        <v>26</v>
      </c>
      <c r="C9188" s="7" t="s">
        <v>27</v>
      </c>
      <c r="D9188" s="7" t="s">
        <v>28</v>
      </c>
      <c r="E9188" s="7" t="s">
        <v>29</v>
      </c>
      <c r="F9188" s="7" t="s">
        <v>240</v>
      </c>
      <c r="G9188" s="7">
        <v>94.67501</v>
      </c>
      <c r="H9188" s="7"/>
    </row>
    <row r="9189" spans="1:8" x14ac:dyDescent="0.35">
      <c r="A9189" s="7" t="s">
        <v>377</v>
      </c>
      <c r="B9189" s="7" t="s">
        <v>26</v>
      </c>
      <c r="C9189" s="7" t="s">
        <v>27</v>
      </c>
      <c r="D9189" s="7" t="s">
        <v>28</v>
      </c>
      <c r="E9189" s="7" t="s">
        <v>29</v>
      </c>
      <c r="F9189" s="7" t="s">
        <v>241</v>
      </c>
      <c r="G9189" s="7">
        <v>95.291870000000003</v>
      </c>
      <c r="H9189" s="7"/>
    </row>
    <row r="9190" spans="1:8" x14ac:dyDescent="0.35">
      <c r="A9190" s="7" t="s">
        <v>377</v>
      </c>
      <c r="B9190" s="7" t="s">
        <v>26</v>
      </c>
      <c r="C9190" s="7" t="s">
        <v>27</v>
      </c>
      <c r="D9190" s="7" t="s">
        <v>28</v>
      </c>
      <c r="E9190" s="7" t="s">
        <v>29</v>
      </c>
      <c r="F9190" s="7" t="s">
        <v>242</v>
      </c>
      <c r="G9190" s="7">
        <v>95.491159999999994</v>
      </c>
      <c r="H9190" s="7"/>
    </row>
    <row r="9191" spans="1:8" x14ac:dyDescent="0.35">
      <c r="A9191" s="7" t="s">
        <v>377</v>
      </c>
      <c r="B9191" s="7" t="s">
        <v>26</v>
      </c>
      <c r="C9191" s="7" t="s">
        <v>27</v>
      </c>
      <c r="D9191" s="7" t="s">
        <v>28</v>
      </c>
      <c r="E9191" s="7" t="s">
        <v>29</v>
      </c>
      <c r="F9191" s="7" t="s">
        <v>243</v>
      </c>
      <c r="G9191" s="7">
        <v>95.700630000000004</v>
      </c>
      <c r="H9191" s="7"/>
    </row>
    <row r="9192" spans="1:8" x14ac:dyDescent="0.35">
      <c r="A9192" s="7" t="s">
        <v>377</v>
      </c>
      <c r="B9192" s="7" t="s">
        <v>26</v>
      </c>
      <c r="C9192" s="7" t="s">
        <v>27</v>
      </c>
      <c r="D9192" s="7" t="s">
        <v>28</v>
      </c>
      <c r="E9192" s="7" t="s">
        <v>29</v>
      </c>
      <c r="F9192" s="7" t="s">
        <v>244</v>
      </c>
      <c r="G9192" s="7">
        <v>96.205129999999997</v>
      </c>
      <c r="H9192" s="7"/>
    </row>
    <row r="9193" spans="1:8" x14ac:dyDescent="0.35">
      <c r="A9193" s="7" t="s">
        <v>377</v>
      </c>
      <c r="B9193" s="7" t="s">
        <v>26</v>
      </c>
      <c r="C9193" s="7" t="s">
        <v>27</v>
      </c>
      <c r="D9193" s="7" t="s">
        <v>28</v>
      </c>
      <c r="E9193" s="7" t="s">
        <v>29</v>
      </c>
      <c r="F9193" s="7" t="s">
        <v>245</v>
      </c>
      <c r="G9193" s="7">
        <v>96.684479999999994</v>
      </c>
      <c r="H9193" s="7"/>
    </row>
    <row r="9194" spans="1:8" x14ac:dyDescent="0.35">
      <c r="A9194" s="7" t="s">
        <v>377</v>
      </c>
      <c r="B9194" s="7" t="s">
        <v>26</v>
      </c>
      <c r="C9194" s="7" t="s">
        <v>27</v>
      </c>
      <c r="D9194" s="7" t="s">
        <v>28</v>
      </c>
      <c r="E9194" s="7" t="s">
        <v>29</v>
      </c>
      <c r="F9194" s="7" t="s">
        <v>246</v>
      </c>
      <c r="G9194" s="7">
        <v>96.874089999999995</v>
      </c>
      <c r="H9194" s="7"/>
    </row>
    <row r="9195" spans="1:8" x14ac:dyDescent="0.35">
      <c r="A9195" s="7" t="s">
        <v>377</v>
      </c>
      <c r="B9195" s="7" t="s">
        <v>26</v>
      </c>
      <c r="C9195" s="7" t="s">
        <v>27</v>
      </c>
      <c r="D9195" s="7" t="s">
        <v>28</v>
      </c>
      <c r="E9195" s="7" t="s">
        <v>29</v>
      </c>
      <c r="F9195" s="7" t="s">
        <v>247</v>
      </c>
      <c r="G9195" s="7">
        <v>97.152630000000002</v>
      </c>
      <c r="H9195" s="7"/>
    </row>
    <row r="9196" spans="1:8" x14ac:dyDescent="0.35">
      <c r="A9196" s="7" t="s">
        <v>377</v>
      </c>
      <c r="B9196" s="7" t="s">
        <v>26</v>
      </c>
      <c r="C9196" s="7" t="s">
        <v>27</v>
      </c>
      <c r="D9196" s="7" t="s">
        <v>28</v>
      </c>
      <c r="E9196" s="7" t="s">
        <v>29</v>
      </c>
      <c r="F9196" s="7" t="s">
        <v>248</v>
      </c>
      <c r="G9196" s="7">
        <v>97.636340000000004</v>
      </c>
      <c r="H9196" s="7"/>
    </row>
    <row r="9197" spans="1:8" x14ac:dyDescent="0.35">
      <c r="A9197" s="7" t="s">
        <v>377</v>
      </c>
      <c r="B9197" s="7" t="s">
        <v>26</v>
      </c>
      <c r="C9197" s="7" t="s">
        <v>27</v>
      </c>
      <c r="D9197" s="7" t="s">
        <v>28</v>
      </c>
      <c r="E9197" s="7" t="s">
        <v>29</v>
      </c>
      <c r="F9197" s="7" t="s">
        <v>249</v>
      </c>
      <c r="G9197" s="7">
        <v>97.928690000000003</v>
      </c>
      <c r="H9197" s="7"/>
    </row>
    <row r="9198" spans="1:8" x14ac:dyDescent="0.35">
      <c r="A9198" s="7" t="s">
        <v>377</v>
      </c>
      <c r="B9198" s="7" t="s">
        <v>26</v>
      </c>
      <c r="C9198" s="7" t="s">
        <v>27</v>
      </c>
      <c r="D9198" s="7" t="s">
        <v>28</v>
      </c>
      <c r="E9198" s="7" t="s">
        <v>29</v>
      </c>
      <c r="F9198" s="7" t="s">
        <v>250</v>
      </c>
      <c r="G9198" s="7">
        <v>98.138710000000003</v>
      </c>
      <c r="H9198" s="7"/>
    </row>
    <row r="9199" spans="1:8" x14ac:dyDescent="0.35">
      <c r="A9199" s="7" t="s">
        <v>377</v>
      </c>
      <c r="B9199" s="7" t="s">
        <v>26</v>
      </c>
      <c r="C9199" s="7" t="s">
        <v>27</v>
      </c>
      <c r="D9199" s="7" t="s">
        <v>28</v>
      </c>
      <c r="E9199" s="7" t="s">
        <v>29</v>
      </c>
      <c r="F9199" s="7" t="s">
        <v>251</v>
      </c>
      <c r="G9199" s="7">
        <v>98.476349999999996</v>
      </c>
      <c r="H9199" s="7"/>
    </row>
    <row r="9200" spans="1:8" x14ac:dyDescent="0.35">
      <c r="A9200" s="7" t="s">
        <v>377</v>
      </c>
      <c r="B9200" s="7" t="s">
        <v>26</v>
      </c>
      <c r="C9200" s="7" t="s">
        <v>27</v>
      </c>
      <c r="D9200" s="7" t="s">
        <v>28</v>
      </c>
      <c r="E9200" s="7" t="s">
        <v>29</v>
      </c>
      <c r="F9200" s="7" t="s">
        <v>252</v>
      </c>
      <c r="G9200" s="7">
        <v>98.789770000000004</v>
      </c>
      <c r="H9200" s="7"/>
    </row>
    <row r="9201" spans="1:8" x14ac:dyDescent="0.35">
      <c r="A9201" s="7" t="s">
        <v>377</v>
      </c>
      <c r="B9201" s="7" t="s">
        <v>26</v>
      </c>
      <c r="C9201" s="7" t="s">
        <v>27</v>
      </c>
      <c r="D9201" s="7" t="s">
        <v>28</v>
      </c>
      <c r="E9201" s="7" t="s">
        <v>29</v>
      </c>
      <c r="F9201" s="7" t="s">
        <v>253</v>
      </c>
      <c r="G9201" s="7">
        <v>98.90155</v>
      </c>
      <c r="H9201" s="7"/>
    </row>
    <row r="9202" spans="1:8" x14ac:dyDescent="0.35">
      <c r="A9202" s="7" t="s">
        <v>377</v>
      </c>
      <c r="B9202" s="7" t="s">
        <v>26</v>
      </c>
      <c r="C9202" s="7" t="s">
        <v>27</v>
      </c>
      <c r="D9202" s="7" t="s">
        <v>28</v>
      </c>
      <c r="E9202" s="7" t="s">
        <v>29</v>
      </c>
      <c r="F9202" s="7" t="s">
        <v>254</v>
      </c>
      <c r="G9202" s="7">
        <v>98.800659999999993</v>
      </c>
      <c r="H9202" s="7"/>
    </row>
    <row r="9203" spans="1:8" x14ac:dyDescent="0.35">
      <c r="A9203" s="7" t="s">
        <v>377</v>
      </c>
      <c r="B9203" s="7" t="s">
        <v>26</v>
      </c>
      <c r="C9203" s="7" t="s">
        <v>27</v>
      </c>
      <c r="D9203" s="7" t="s">
        <v>28</v>
      </c>
      <c r="E9203" s="7" t="s">
        <v>29</v>
      </c>
      <c r="F9203" s="7" t="s">
        <v>255</v>
      </c>
      <c r="G9203" s="7">
        <v>98.320059999999998</v>
      </c>
      <c r="H9203" s="7"/>
    </row>
    <row r="9204" spans="1:8" x14ac:dyDescent="0.35">
      <c r="A9204" s="7" t="s">
        <v>377</v>
      </c>
      <c r="B9204" s="7" t="s">
        <v>26</v>
      </c>
      <c r="C9204" s="7" t="s">
        <v>27</v>
      </c>
      <c r="D9204" s="7" t="s">
        <v>28</v>
      </c>
      <c r="E9204" s="7" t="s">
        <v>29</v>
      </c>
      <c r="F9204" s="7" t="s">
        <v>256</v>
      </c>
      <c r="G9204" s="7">
        <v>97.53246</v>
      </c>
      <c r="H9204" s="7"/>
    </row>
    <row r="9205" spans="1:8" x14ac:dyDescent="0.35">
      <c r="A9205" s="7" t="s">
        <v>377</v>
      </c>
      <c r="B9205" s="7" t="s">
        <v>26</v>
      </c>
      <c r="C9205" s="7" t="s">
        <v>27</v>
      </c>
      <c r="D9205" s="7" t="s">
        <v>28</v>
      </c>
      <c r="E9205" s="7" t="s">
        <v>29</v>
      </c>
      <c r="F9205" s="7" t="s">
        <v>257</v>
      </c>
      <c r="G9205" s="7">
        <v>96.809719999999999</v>
      </c>
      <c r="H9205" s="7"/>
    </row>
    <row r="9206" spans="1:8" x14ac:dyDescent="0.35">
      <c r="A9206" s="7" t="s">
        <v>377</v>
      </c>
      <c r="B9206" s="7" t="s">
        <v>26</v>
      </c>
      <c r="C9206" s="7" t="s">
        <v>27</v>
      </c>
      <c r="D9206" s="7" t="s">
        <v>28</v>
      </c>
      <c r="E9206" s="7" t="s">
        <v>29</v>
      </c>
      <c r="F9206" s="7" t="s">
        <v>258</v>
      </c>
      <c r="G9206" s="7">
        <v>96.431229999999999</v>
      </c>
      <c r="H9206" s="7"/>
    </row>
    <row r="9207" spans="1:8" x14ac:dyDescent="0.35">
      <c r="A9207" s="7" t="s">
        <v>377</v>
      </c>
      <c r="B9207" s="7" t="s">
        <v>26</v>
      </c>
      <c r="C9207" s="7" t="s">
        <v>27</v>
      </c>
      <c r="D9207" s="7" t="s">
        <v>28</v>
      </c>
      <c r="E9207" s="7" t="s">
        <v>29</v>
      </c>
      <c r="F9207" s="7" t="s">
        <v>259</v>
      </c>
      <c r="G9207" s="7">
        <v>96.422259999999994</v>
      </c>
      <c r="H9207" s="7"/>
    </row>
    <row r="9208" spans="1:8" x14ac:dyDescent="0.35">
      <c r="A9208" s="7" t="s">
        <v>377</v>
      </c>
      <c r="B9208" s="7" t="s">
        <v>26</v>
      </c>
      <c r="C9208" s="7" t="s">
        <v>27</v>
      </c>
      <c r="D9208" s="7" t="s">
        <v>28</v>
      </c>
      <c r="E9208" s="7" t="s">
        <v>29</v>
      </c>
      <c r="F9208" s="7" t="s">
        <v>260</v>
      </c>
      <c r="G9208" s="7">
        <v>96.67971</v>
      </c>
      <c r="H9208" s="7"/>
    </row>
    <row r="9209" spans="1:8" x14ac:dyDescent="0.35">
      <c r="A9209" s="7" t="s">
        <v>377</v>
      </c>
      <c r="B9209" s="7" t="s">
        <v>26</v>
      </c>
      <c r="C9209" s="7" t="s">
        <v>27</v>
      </c>
      <c r="D9209" s="7" t="s">
        <v>28</v>
      </c>
      <c r="E9209" s="7" t="s">
        <v>29</v>
      </c>
      <c r="F9209" s="7" t="s">
        <v>261</v>
      </c>
      <c r="G9209" s="7">
        <v>97.247860000000003</v>
      </c>
      <c r="H9209" s="7"/>
    </row>
    <row r="9210" spans="1:8" x14ac:dyDescent="0.35">
      <c r="A9210" s="7" t="s">
        <v>377</v>
      </c>
      <c r="B9210" s="7" t="s">
        <v>26</v>
      </c>
      <c r="C9210" s="7" t="s">
        <v>27</v>
      </c>
      <c r="D9210" s="7" t="s">
        <v>28</v>
      </c>
      <c r="E9210" s="7" t="s">
        <v>29</v>
      </c>
      <c r="F9210" s="7" t="s">
        <v>262</v>
      </c>
      <c r="G9210" s="7">
        <v>97.864339999999999</v>
      </c>
      <c r="H9210" s="7"/>
    </row>
    <row r="9211" spans="1:8" x14ac:dyDescent="0.35">
      <c r="A9211" s="7" t="s">
        <v>377</v>
      </c>
      <c r="B9211" s="7" t="s">
        <v>26</v>
      </c>
      <c r="C9211" s="7" t="s">
        <v>27</v>
      </c>
      <c r="D9211" s="7" t="s">
        <v>28</v>
      </c>
      <c r="E9211" s="7" t="s">
        <v>29</v>
      </c>
      <c r="F9211" s="7" t="s">
        <v>263</v>
      </c>
      <c r="G9211" s="7">
        <v>97.995609999999999</v>
      </c>
      <c r="H9211" s="7"/>
    </row>
    <row r="9212" spans="1:8" x14ac:dyDescent="0.35">
      <c r="A9212" s="7" t="s">
        <v>377</v>
      </c>
      <c r="B9212" s="7" t="s">
        <v>26</v>
      </c>
      <c r="C9212" s="7" t="s">
        <v>27</v>
      </c>
      <c r="D9212" s="7" t="s">
        <v>28</v>
      </c>
      <c r="E9212" s="7" t="s">
        <v>29</v>
      </c>
      <c r="F9212" s="7" t="s">
        <v>264</v>
      </c>
      <c r="G9212" s="7">
        <v>98.003439999999998</v>
      </c>
      <c r="H9212" s="7"/>
    </row>
    <row r="9213" spans="1:8" x14ac:dyDescent="0.35">
      <c r="A9213" s="7" t="s">
        <v>377</v>
      </c>
      <c r="B9213" s="7" t="s">
        <v>26</v>
      </c>
      <c r="C9213" s="7" t="s">
        <v>27</v>
      </c>
      <c r="D9213" s="7" t="s">
        <v>28</v>
      </c>
      <c r="E9213" s="7" t="s">
        <v>29</v>
      </c>
      <c r="F9213" s="7" t="s">
        <v>265</v>
      </c>
      <c r="G9213" s="7">
        <v>97.834339999999997</v>
      </c>
      <c r="H9213" s="7"/>
    </row>
    <row r="9214" spans="1:8" x14ac:dyDescent="0.35">
      <c r="A9214" s="7" t="s">
        <v>377</v>
      </c>
      <c r="B9214" s="7" t="s">
        <v>26</v>
      </c>
      <c r="C9214" s="7" t="s">
        <v>27</v>
      </c>
      <c r="D9214" s="7" t="s">
        <v>28</v>
      </c>
      <c r="E9214" s="7" t="s">
        <v>29</v>
      </c>
      <c r="F9214" s="7" t="s">
        <v>266</v>
      </c>
      <c r="G9214" s="7">
        <v>97.643519999999995</v>
      </c>
      <c r="H9214" s="7"/>
    </row>
    <row r="9215" spans="1:8" x14ac:dyDescent="0.35">
      <c r="A9215" s="7" t="s">
        <v>377</v>
      </c>
      <c r="B9215" s="7" t="s">
        <v>26</v>
      </c>
      <c r="C9215" s="7" t="s">
        <v>27</v>
      </c>
      <c r="D9215" s="7" t="s">
        <v>28</v>
      </c>
      <c r="E9215" s="7" t="s">
        <v>29</v>
      </c>
      <c r="F9215" s="7" t="s">
        <v>267</v>
      </c>
      <c r="G9215" s="7">
        <v>97.655079999999998</v>
      </c>
      <c r="H9215" s="7"/>
    </row>
    <row r="9216" spans="1:8" x14ac:dyDescent="0.35">
      <c r="A9216" s="7" t="s">
        <v>377</v>
      </c>
      <c r="B9216" s="7" t="s">
        <v>26</v>
      </c>
      <c r="C9216" s="7" t="s">
        <v>27</v>
      </c>
      <c r="D9216" s="7" t="s">
        <v>28</v>
      </c>
      <c r="E9216" s="7" t="s">
        <v>29</v>
      </c>
      <c r="F9216" s="7" t="s">
        <v>268</v>
      </c>
      <c r="G9216" s="7">
        <v>97.819429999999997</v>
      </c>
      <c r="H9216" s="7"/>
    </row>
    <row r="9217" spans="1:8" x14ac:dyDescent="0.35">
      <c r="A9217" s="7" t="s">
        <v>377</v>
      </c>
      <c r="B9217" s="7" t="s">
        <v>26</v>
      </c>
      <c r="C9217" s="7" t="s">
        <v>27</v>
      </c>
      <c r="D9217" s="7" t="s">
        <v>28</v>
      </c>
      <c r="E9217" s="7" t="s">
        <v>29</v>
      </c>
      <c r="F9217" s="7" t="s">
        <v>269</v>
      </c>
      <c r="G9217" s="7">
        <v>98.068439999999995</v>
      </c>
      <c r="H9217" s="7"/>
    </row>
    <row r="9218" spans="1:8" x14ac:dyDescent="0.35">
      <c r="A9218" s="7" t="s">
        <v>377</v>
      </c>
      <c r="B9218" s="7" t="s">
        <v>26</v>
      </c>
      <c r="C9218" s="7" t="s">
        <v>27</v>
      </c>
      <c r="D9218" s="7" t="s">
        <v>28</v>
      </c>
      <c r="E9218" s="7" t="s">
        <v>29</v>
      </c>
      <c r="F9218" s="7" t="s">
        <v>270</v>
      </c>
      <c r="G9218" s="7">
        <v>97.8703</v>
      </c>
      <c r="H9218" s="7"/>
    </row>
    <row r="9219" spans="1:8" x14ac:dyDescent="0.35">
      <c r="A9219" s="7" t="s">
        <v>377</v>
      </c>
      <c r="B9219" s="7" t="s">
        <v>26</v>
      </c>
      <c r="C9219" s="7" t="s">
        <v>27</v>
      </c>
      <c r="D9219" s="7" t="s">
        <v>28</v>
      </c>
      <c r="E9219" s="7" t="s">
        <v>29</v>
      </c>
      <c r="F9219" s="7" t="s">
        <v>271</v>
      </c>
      <c r="G9219" s="7">
        <v>97.370360000000005</v>
      </c>
      <c r="H9219" s="7"/>
    </row>
    <row r="9220" spans="1:8" x14ac:dyDescent="0.35">
      <c r="A9220" s="7" t="s">
        <v>377</v>
      </c>
      <c r="B9220" s="7" t="s">
        <v>26</v>
      </c>
      <c r="C9220" s="7" t="s">
        <v>27</v>
      </c>
      <c r="D9220" s="7" t="s">
        <v>28</v>
      </c>
      <c r="E9220" s="7" t="s">
        <v>29</v>
      </c>
      <c r="F9220" s="7" t="s">
        <v>272</v>
      </c>
      <c r="G9220" s="7">
        <v>97.280370000000005</v>
      </c>
      <c r="H9220" s="7"/>
    </row>
    <row r="9221" spans="1:8" x14ac:dyDescent="0.35">
      <c r="A9221" s="7" t="s">
        <v>377</v>
      </c>
      <c r="B9221" s="7" t="s">
        <v>26</v>
      </c>
      <c r="C9221" s="7" t="s">
        <v>27</v>
      </c>
      <c r="D9221" s="7" t="s">
        <v>28</v>
      </c>
      <c r="E9221" s="7" t="s">
        <v>29</v>
      </c>
      <c r="F9221" s="7" t="s">
        <v>273</v>
      </c>
      <c r="G9221" s="7">
        <v>97.637690000000006</v>
      </c>
      <c r="H9221" s="7"/>
    </row>
    <row r="9222" spans="1:8" x14ac:dyDescent="0.35">
      <c r="A9222" s="7" t="s">
        <v>377</v>
      </c>
      <c r="B9222" s="7" t="s">
        <v>26</v>
      </c>
      <c r="C9222" s="7" t="s">
        <v>27</v>
      </c>
      <c r="D9222" s="7" t="s">
        <v>28</v>
      </c>
      <c r="E9222" s="7" t="s">
        <v>29</v>
      </c>
      <c r="F9222" s="7" t="s">
        <v>274</v>
      </c>
      <c r="G9222" s="7">
        <v>98.133889999999994</v>
      </c>
      <c r="H9222" s="7"/>
    </row>
    <row r="9223" spans="1:8" x14ac:dyDescent="0.35">
      <c r="A9223" s="7" t="s">
        <v>377</v>
      </c>
      <c r="B9223" s="7" t="s">
        <v>26</v>
      </c>
      <c r="C9223" s="7" t="s">
        <v>27</v>
      </c>
      <c r="D9223" s="7" t="s">
        <v>28</v>
      </c>
      <c r="E9223" s="7" t="s">
        <v>29</v>
      </c>
      <c r="F9223" s="7" t="s">
        <v>275</v>
      </c>
      <c r="G9223" s="7">
        <v>98.347089999999994</v>
      </c>
      <c r="H9223" s="7"/>
    </row>
    <row r="9224" spans="1:8" x14ac:dyDescent="0.35">
      <c r="A9224" s="7" t="s">
        <v>377</v>
      </c>
      <c r="B9224" s="7" t="s">
        <v>26</v>
      </c>
      <c r="C9224" s="7" t="s">
        <v>27</v>
      </c>
      <c r="D9224" s="7" t="s">
        <v>28</v>
      </c>
      <c r="E9224" s="7" t="s">
        <v>29</v>
      </c>
      <c r="F9224" s="7" t="s">
        <v>276</v>
      </c>
      <c r="G9224" s="7">
        <v>98.424980000000005</v>
      </c>
      <c r="H9224" s="7"/>
    </row>
    <row r="9225" spans="1:8" x14ac:dyDescent="0.35">
      <c r="A9225" s="7" t="s">
        <v>377</v>
      </c>
      <c r="B9225" s="7" t="s">
        <v>26</v>
      </c>
      <c r="C9225" s="7" t="s">
        <v>27</v>
      </c>
      <c r="D9225" s="7" t="s">
        <v>28</v>
      </c>
      <c r="E9225" s="7" t="s">
        <v>29</v>
      </c>
      <c r="F9225" s="7" t="s">
        <v>277</v>
      </c>
      <c r="G9225" s="7">
        <v>98.506609999999995</v>
      </c>
      <c r="H9225" s="7"/>
    </row>
    <row r="9226" spans="1:8" x14ac:dyDescent="0.35">
      <c r="A9226" s="7" t="s">
        <v>377</v>
      </c>
      <c r="B9226" s="7" t="s">
        <v>26</v>
      </c>
      <c r="C9226" s="7" t="s">
        <v>27</v>
      </c>
      <c r="D9226" s="7" t="s">
        <v>28</v>
      </c>
      <c r="E9226" s="7" t="s">
        <v>29</v>
      </c>
      <c r="F9226" s="7" t="s">
        <v>278</v>
      </c>
      <c r="G9226" s="7">
        <v>98.770840000000007</v>
      </c>
      <c r="H9226" s="7"/>
    </row>
    <row r="9227" spans="1:8" x14ac:dyDescent="0.35">
      <c r="A9227" s="7" t="s">
        <v>377</v>
      </c>
      <c r="B9227" s="7" t="s">
        <v>26</v>
      </c>
      <c r="C9227" s="7" t="s">
        <v>27</v>
      </c>
      <c r="D9227" s="7" t="s">
        <v>28</v>
      </c>
      <c r="E9227" s="7" t="s">
        <v>29</v>
      </c>
      <c r="F9227" s="7" t="s">
        <v>279</v>
      </c>
      <c r="G9227" s="7">
        <v>98.821299999999994</v>
      </c>
      <c r="H9227" s="7"/>
    </row>
    <row r="9228" spans="1:8" x14ac:dyDescent="0.35">
      <c r="A9228" s="7" t="s">
        <v>377</v>
      </c>
      <c r="B9228" s="7" t="s">
        <v>26</v>
      </c>
      <c r="C9228" s="7" t="s">
        <v>27</v>
      </c>
      <c r="D9228" s="7" t="s">
        <v>28</v>
      </c>
      <c r="E9228" s="7" t="s">
        <v>29</v>
      </c>
      <c r="F9228" s="7" t="s">
        <v>280</v>
      </c>
      <c r="G9228" s="7">
        <v>98.545169999999999</v>
      </c>
      <c r="H9228" s="7"/>
    </row>
    <row r="9229" spans="1:8" x14ac:dyDescent="0.35">
      <c r="A9229" s="7" t="s">
        <v>377</v>
      </c>
      <c r="B9229" s="7" t="s">
        <v>26</v>
      </c>
      <c r="C9229" s="7" t="s">
        <v>27</v>
      </c>
      <c r="D9229" s="7" t="s">
        <v>28</v>
      </c>
      <c r="E9229" s="7" t="s">
        <v>29</v>
      </c>
      <c r="F9229" s="7" t="s">
        <v>281</v>
      </c>
      <c r="G9229" s="7">
        <v>98.413709999999995</v>
      </c>
      <c r="H9229" s="7"/>
    </row>
    <row r="9230" spans="1:8" x14ac:dyDescent="0.35">
      <c r="A9230" s="7" t="s">
        <v>377</v>
      </c>
      <c r="B9230" s="7" t="s">
        <v>26</v>
      </c>
      <c r="C9230" s="7" t="s">
        <v>27</v>
      </c>
      <c r="D9230" s="7" t="s">
        <v>28</v>
      </c>
      <c r="E9230" s="7" t="s">
        <v>29</v>
      </c>
      <c r="F9230" s="7" t="s">
        <v>282</v>
      </c>
      <c r="G9230" s="7">
        <v>98.522980000000004</v>
      </c>
      <c r="H9230" s="7"/>
    </row>
    <row r="9231" spans="1:8" x14ac:dyDescent="0.35">
      <c r="A9231" s="7" t="s">
        <v>377</v>
      </c>
      <c r="B9231" s="7" t="s">
        <v>26</v>
      </c>
      <c r="C9231" s="7" t="s">
        <v>27</v>
      </c>
      <c r="D9231" s="7" t="s">
        <v>28</v>
      </c>
      <c r="E9231" s="7" t="s">
        <v>29</v>
      </c>
      <c r="F9231" s="7" t="s">
        <v>283</v>
      </c>
      <c r="G9231" s="7">
        <v>98.613039999999998</v>
      </c>
      <c r="H9231" s="7"/>
    </row>
    <row r="9232" spans="1:8" x14ac:dyDescent="0.35">
      <c r="A9232" s="7" t="s">
        <v>377</v>
      </c>
      <c r="B9232" s="7" t="s">
        <v>26</v>
      </c>
      <c r="C9232" s="7" t="s">
        <v>27</v>
      </c>
      <c r="D9232" s="7" t="s">
        <v>28</v>
      </c>
      <c r="E9232" s="7" t="s">
        <v>29</v>
      </c>
      <c r="F9232" s="7" t="s">
        <v>284</v>
      </c>
      <c r="G9232" s="7">
        <v>98.814970000000002</v>
      </c>
      <c r="H9232" s="7"/>
    </row>
    <row r="9233" spans="1:8" x14ac:dyDescent="0.35">
      <c r="A9233" s="7" t="s">
        <v>377</v>
      </c>
      <c r="B9233" s="7" t="s">
        <v>26</v>
      </c>
      <c r="C9233" s="7" t="s">
        <v>27</v>
      </c>
      <c r="D9233" s="7" t="s">
        <v>28</v>
      </c>
      <c r="E9233" s="7" t="s">
        <v>29</v>
      </c>
      <c r="F9233" s="7" t="s">
        <v>285</v>
      </c>
      <c r="G9233" s="7">
        <v>98.746650000000002</v>
      </c>
      <c r="H9233" s="7"/>
    </row>
    <row r="9234" spans="1:8" x14ac:dyDescent="0.35">
      <c r="A9234" s="7" t="s">
        <v>377</v>
      </c>
      <c r="B9234" s="7" t="s">
        <v>26</v>
      </c>
      <c r="C9234" s="7" t="s">
        <v>27</v>
      </c>
      <c r="D9234" s="7" t="s">
        <v>28</v>
      </c>
      <c r="E9234" s="7" t="s">
        <v>29</v>
      </c>
      <c r="F9234" s="7" t="s">
        <v>286</v>
      </c>
      <c r="G9234" s="7">
        <v>98.61636</v>
      </c>
      <c r="H9234" s="7"/>
    </row>
    <row r="9235" spans="1:8" x14ac:dyDescent="0.35">
      <c r="A9235" s="7" t="s">
        <v>377</v>
      </c>
      <c r="B9235" s="7" t="s">
        <v>26</v>
      </c>
      <c r="C9235" s="7" t="s">
        <v>27</v>
      </c>
      <c r="D9235" s="7" t="s">
        <v>28</v>
      </c>
      <c r="E9235" s="7" t="s">
        <v>29</v>
      </c>
      <c r="F9235" s="7" t="s">
        <v>287</v>
      </c>
      <c r="G9235" s="7">
        <v>98.504940000000005</v>
      </c>
      <c r="H9235" s="7"/>
    </row>
    <row r="9236" spans="1:8" x14ac:dyDescent="0.35">
      <c r="A9236" s="7" t="s">
        <v>377</v>
      </c>
      <c r="B9236" s="7" t="s">
        <v>26</v>
      </c>
      <c r="C9236" s="7" t="s">
        <v>27</v>
      </c>
      <c r="D9236" s="7" t="s">
        <v>28</v>
      </c>
      <c r="E9236" s="7" t="s">
        <v>29</v>
      </c>
      <c r="F9236" s="7" t="s">
        <v>288</v>
      </c>
      <c r="G9236" s="7">
        <v>98.608410000000006</v>
      </c>
      <c r="H9236" s="7"/>
    </row>
    <row r="9237" spans="1:8" x14ac:dyDescent="0.35">
      <c r="A9237" s="7" t="s">
        <v>377</v>
      </c>
      <c r="B9237" s="7" t="s">
        <v>26</v>
      </c>
      <c r="C9237" s="7" t="s">
        <v>27</v>
      </c>
      <c r="D9237" s="7" t="s">
        <v>28</v>
      </c>
      <c r="E9237" s="7" t="s">
        <v>29</v>
      </c>
      <c r="F9237" s="7" t="s">
        <v>289</v>
      </c>
      <c r="G9237" s="7">
        <v>98.886120000000005</v>
      </c>
      <c r="H9237" s="7"/>
    </row>
    <row r="9238" spans="1:8" x14ac:dyDescent="0.35">
      <c r="A9238" s="7" t="s">
        <v>377</v>
      </c>
      <c r="B9238" s="7" t="s">
        <v>26</v>
      </c>
      <c r="C9238" s="7" t="s">
        <v>27</v>
      </c>
      <c r="D9238" s="7" t="s">
        <v>28</v>
      </c>
      <c r="E9238" s="7" t="s">
        <v>29</v>
      </c>
      <c r="F9238" s="7" t="s">
        <v>290</v>
      </c>
      <c r="G9238" s="7">
        <v>99.125690000000006</v>
      </c>
      <c r="H9238" s="7"/>
    </row>
    <row r="9239" spans="1:8" x14ac:dyDescent="0.35">
      <c r="A9239" s="7" t="s">
        <v>377</v>
      </c>
      <c r="B9239" s="7" t="s">
        <v>26</v>
      </c>
      <c r="C9239" s="7" t="s">
        <v>27</v>
      </c>
      <c r="D9239" s="7" t="s">
        <v>28</v>
      </c>
      <c r="E9239" s="7" t="s">
        <v>29</v>
      </c>
      <c r="F9239" s="7" t="s">
        <v>291</v>
      </c>
      <c r="G9239" s="7">
        <v>99.563869999999994</v>
      </c>
      <c r="H9239" s="7"/>
    </row>
    <row r="9240" spans="1:8" x14ac:dyDescent="0.35">
      <c r="A9240" s="7" t="s">
        <v>377</v>
      </c>
      <c r="B9240" s="7" t="s">
        <v>26</v>
      </c>
      <c r="C9240" s="7" t="s">
        <v>27</v>
      </c>
      <c r="D9240" s="7" t="s">
        <v>28</v>
      </c>
      <c r="E9240" s="7" t="s">
        <v>29</v>
      </c>
      <c r="F9240" s="7" t="s">
        <v>292</v>
      </c>
      <c r="G9240" s="7">
        <v>100.1836</v>
      </c>
      <c r="H9240" s="7"/>
    </row>
    <row r="9241" spans="1:8" x14ac:dyDescent="0.35">
      <c r="A9241" s="7" t="s">
        <v>377</v>
      </c>
      <c r="B9241" s="7" t="s">
        <v>26</v>
      </c>
      <c r="C9241" s="7" t="s">
        <v>27</v>
      </c>
      <c r="D9241" s="7" t="s">
        <v>28</v>
      </c>
      <c r="E9241" s="7" t="s">
        <v>29</v>
      </c>
      <c r="F9241" s="7" t="s">
        <v>293</v>
      </c>
      <c r="G9241" s="7">
        <v>100.7813</v>
      </c>
      <c r="H9241" s="7"/>
    </row>
    <row r="9242" spans="1:8" x14ac:dyDescent="0.35">
      <c r="A9242" s="7" t="s">
        <v>377</v>
      </c>
      <c r="B9242" s="7" t="s">
        <v>26</v>
      </c>
      <c r="C9242" s="7" t="s">
        <v>27</v>
      </c>
      <c r="D9242" s="7" t="s">
        <v>28</v>
      </c>
      <c r="E9242" s="7" t="s">
        <v>29</v>
      </c>
      <c r="F9242" s="7" t="s">
        <v>294</v>
      </c>
      <c r="G9242" s="7">
        <v>101.3296</v>
      </c>
      <c r="H9242" s="7"/>
    </row>
    <row r="9243" spans="1:8" x14ac:dyDescent="0.35">
      <c r="A9243" s="7" t="s">
        <v>377</v>
      </c>
      <c r="B9243" s="7" t="s">
        <v>26</v>
      </c>
      <c r="C9243" s="7" t="s">
        <v>27</v>
      </c>
      <c r="D9243" s="7" t="s">
        <v>28</v>
      </c>
      <c r="E9243" s="7" t="s">
        <v>29</v>
      </c>
      <c r="F9243" s="7" t="s">
        <v>295</v>
      </c>
      <c r="G9243" s="7">
        <v>101.8715</v>
      </c>
      <c r="H9243" s="7"/>
    </row>
    <row r="9244" spans="1:8" x14ac:dyDescent="0.35">
      <c r="A9244" s="7" t="s">
        <v>377</v>
      </c>
      <c r="B9244" s="7" t="s">
        <v>26</v>
      </c>
      <c r="C9244" s="7" t="s">
        <v>27</v>
      </c>
      <c r="D9244" s="7" t="s">
        <v>28</v>
      </c>
      <c r="E9244" s="7" t="s">
        <v>29</v>
      </c>
      <c r="F9244" s="7" t="s">
        <v>296</v>
      </c>
      <c r="G9244" s="7">
        <v>102.1258</v>
      </c>
      <c r="H9244" s="7"/>
    </row>
    <row r="9245" spans="1:8" x14ac:dyDescent="0.35">
      <c r="A9245" s="7" t="s">
        <v>377</v>
      </c>
      <c r="B9245" s="7" t="s">
        <v>26</v>
      </c>
      <c r="C9245" s="7" t="s">
        <v>27</v>
      </c>
      <c r="D9245" s="7" t="s">
        <v>28</v>
      </c>
      <c r="E9245" s="7" t="s">
        <v>29</v>
      </c>
      <c r="F9245" s="7" t="s">
        <v>297</v>
      </c>
      <c r="G9245" s="7">
        <v>102.18129999999999</v>
      </c>
      <c r="H9245" s="7"/>
    </row>
    <row r="9246" spans="1:8" x14ac:dyDescent="0.35">
      <c r="A9246" s="7" t="s">
        <v>377</v>
      </c>
      <c r="B9246" s="7" t="s">
        <v>26</v>
      </c>
      <c r="C9246" s="7" t="s">
        <v>27</v>
      </c>
      <c r="D9246" s="7" t="s">
        <v>28</v>
      </c>
      <c r="E9246" s="7" t="s">
        <v>29</v>
      </c>
      <c r="F9246" s="7" t="s">
        <v>298</v>
      </c>
      <c r="G9246" s="7">
        <v>102.1156</v>
      </c>
      <c r="H9246" s="7"/>
    </row>
    <row r="9247" spans="1:8" x14ac:dyDescent="0.35">
      <c r="A9247" s="7" t="s">
        <v>377</v>
      </c>
      <c r="B9247" s="7" t="s">
        <v>26</v>
      </c>
      <c r="C9247" s="7" t="s">
        <v>27</v>
      </c>
      <c r="D9247" s="7" t="s">
        <v>28</v>
      </c>
      <c r="E9247" s="7" t="s">
        <v>29</v>
      </c>
      <c r="F9247" s="7" t="s">
        <v>299</v>
      </c>
      <c r="G9247" s="7">
        <v>101.9541</v>
      </c>
      <c r="H9247" s="7"/>
    </row>
    <row r="9248" spans="1:8" x14ac:dyDescent="0.35">
      <c r="A9248" s="7" t="s">
        <v>377</v>
      </c>
      <c r="B9248" s="7" t="s">
        <v>26</v>
      </c>
      <c r="C9248" s="7" t="s">
        <v>27</v>
      </c>
      <c r="D9248" s="7" t="s">
        <v>28</v>
      </c>
      <c r="E9248" s="7" t="s">
        <v>29</v>
      </c>
      <c r="F9248" s="7" t="s">
        <v>300</v>
      </c>
      <c r="G9248" s="7">
        <v>101.6508</v>
      </c>
      <c r="H9248" s="7"/>
    </row>
    <row r="9249" spans="1:8" x14ac:dyDescent="0.35">
      <c r="A9249" s="7" t="s">
        <v>377</v>
      </c>
      <c r="B9249" s="7" t="s">
        <v>26</v>
      </c>
      <c r="C9249" s="7" t="s">
        <v>27</v>
      </c>
      <c r="D9249" s="7" t="s">
        <v>28</v>
      </c>
      <c r="E9249" s="7" t="s">
        <v>29</v>
      </c>
      <c r="F9249" s="7" t="s">
        <v>301</v>
      </c>
      <c r="G9249" s="7">
        <v>101.6016</v>
      </c>
      <c r="H9249" s="7"/>
    </row>
    <row r="9250" spans="1:8" x14ac:dyDescent="0.35">
      <c r="A9250" s="7" t="s">
        <v>377</v>
      </c>
      <c r="B9250" s="7" t="s">
        <v>26</v>
      </c>
      <c r="C9250" s="7" t="s">
        <v>27</v>
      </c>
      <c r="D9250" s="7" t="s">
        <v>28</v>
      </c>
      <c r="E9250" s="7" t="s">
        <v>29</v>
      </c>
      <c r="F9250" s="7" t="s">
        <v>302</v>
      </c>
      <c r="G9250" s="7">
        <v>101.95010000000001</v>
      </c>
      <c r="H9250" s="7"/>
    </row>
    <row r="9251" spans="1:8" x14ac:dyDescent="0.35">
      <c r="A9251" s="7" t="s">
        <v>377</v>
      </c>
      <c r="B9251" s="7" t="s">
        <v>26</v>
      </c>
      <c r="C9251" s="7" t="s">
        <v>27</v>
      </c>
      <c r="D9251" s="7" t="s">
        <v>28</v>
      </c>
      <c r="E9251" s="7" t="s">
        <v>29</v>
      </c>
      <c r="F9251" s="7" t="s">
        <v>303</v>
      </c>
      <c r="G9251" s="7">
        <v>102.3145</v>
      </c>
      <c r="H9251" s="7"/>
    </row>
    <row r="9252" spans="1:8" x14ac:dyDescent="0.35">
      <c r="A9252" s="7" t="s">
        <v>377</v>
      </c>
      <c r="B9252" s="7" t="s">
        <v>26</v>
      </c>
      <c r="C9252" s="7" t="s">
        <v>27</v>
      </c>
      <c r="D9252" s="7" t="s">
        <v>28</v>
      </c>
      <c r="E9252" s="7" t="s">
        <v>29</v>
      </c>
      <c r="F9252" s="7" t="s">
        <v>304</v>
      </c>
      <c r="G9252" s="7">
        <v>102.6742</v>
      </c>
      <c r="H9252" s="7"/>
    </row>
    <row r="9253" spans="1:8" x14ac:dyDescent="0.35">
      <c r="A9253" s="7" t="s">
        <v>377</v>
      </c>
      <c r="B9253" s="7" t="s">
        <v>26</v>
      </c>
      <c r="C9253" s="7" t="s">
        <v>27</v>
      </c>
      <c r="D9253" s="7" t="s">
        <v>28</v>
      </c>
      <c r="E9253" s="7" t="s">
        <v>29</v>
      </c>
      <c r="F9253" s="7" t="s">
        <v>305</v>
      </c>
      <c r="G9253" s="7">
        <v>102.9072</v>
      </c>
      <c r="H9253" s="7"/>
    </row>
    <row r="9254" spans="1:8" x14ac:dyDescent="0.35">
      <c r="A9254" s="7" t="s">
        <v>377</v>
      </c>
      <c r="B9254" s="7" t="s">
        <v>26</v>
      </c>
      <c r="C9254" s="7" t="s">
        <v>27</v>
      </c>
      <c r="D9254" s="7" t="s">
        <v>28</v>
      </c>
      <c r="E9254" s="7" t="s">
        <v>29</v>
      </c>
      <c r="F9254" s="7" t="s">
        <v>306</v>
      </c>
      <c r="G9254" s="7">
        <v>103.2024</v>
      </c>
      <c r="H9254" s="7"/>
    </row>
    <row r="9255" spans="1:8" x14ac:dyDescent="0.35">
      <c r="A9255" s="7" t="s">
        <v>377</v>
      </c>
      <c r="B9255" s="7" t="s">
        <v>26</v>
      </c>
      <c r="C9255" s="7" t="s">
        <v>27</v>
      </c>
      <c r="D9255" s="7" t="s">
        <v>28</v>
      </c>
      <c r="E9255" s="7" t="s">
        <v>29</v>
      </c>
      <c r="F9255" s="7" t="s">
        <v>307</v>
      </c>
      <c r="G9255" s="7">
        <v>103.54600000000001</v>
      </c>
      <c r="H9255" s="7"/>
    </row>
    <row r="9256" spans="1:8" x14ac:dyDescent="0.35">
      <c r="A9256" s="7" t="s">
        <v>377</v>
      </c>
      <c r="B9256" s="7" t="s">
        <v>26</v>
      </c>
      <c r="C9256" s="7" t="s">
        <v>27</v>
      </c>
      <c r="D9256" s="7" t="s">
        <v>28</v>
      </c>
      <c r="E9256" s="7" t="s">
        <v>29</v>
      </c>
      <c r="F9256" s="7" t="s">
        <v>308</v>
      </c>
      <c r="G9256" s="7">
        <v>103.7208</v>
      </c>
      <c r="H9256" s="7"/>
    </row>
    <row r="9257" spans="1:8" x14ac:dyDescent="0.35">
      <c r="A9257" s="7" t="s">
        <v>377</v>
      </c>
      <c r="B9257" s="7" t="s">
        <v>26</v>
      </c>
      <c r="C9257" s="7" t="s">
        <v>27</v>
      </c>
      <c r="D9257" s="7" t="s">
        <v>28</v>
      </c>
      <c r="E9257" s="7" t="s">
        <v>29</v>
      </c>
      <c r="F9257" s="7" t="s">
        <v>309</v>
      </c>
      <c r="G9257" s="7">
        <v>103.7912</v>
      </c>
      <c r="H9257" s="7"/>
    </row>
    <row r="9258" spans="1:8" x14ac:dyDescent="0.35">
      <c r="A9258" s="7" t="s">
        <v>377</v>
      </c>
      <c r="B9258" s="7" t="s">
        <v>26</v>
      </c>
      <c r="C9258" s="7" t="s">
        <v>27</v>
      </c>
      <c r="D9258" s="7" t="s">
        <v>28</v>
      </c>
      <c r="E9258" s="7" t="s">
        <v>29</v>
      </c>
      <c r="F9258" s="7" t="s">
        <v>310</v>
      </c>
      <c r="G9258" s="7">
        <v>103.8301</v>
      </c>
      <c r="H9258" s="7"/>
    </row>
    <row r="9259" spans="1:8" x14ac:dyDescent="0.35">
      <c r="A9259" s="7" t="s">
        <v>377</v>
      </c>
      <c r="B9259" s="7" t="s">
        <v>26</v>
      </c>
      <c r="C9259" s="7" t="s">
        <v>27</v>
      </c>
      <c r="D9259" s="7" t="s">
        <v>28</v>
      </c>
      <c r="E9259" s="7" t="s">
        <v>29</v>
      </c>
      <c r="F9259" s="7" t="s">
        <v>311</v>
      </c>
      <c r="G9259" s="7">
        <v>103.9044</v>
      </c>
      <c r="H9259" s="7"/>
    </row>
    <row r="9260" spans="1:8" x14ac:dyDescent="0.35">
      <c r="A9260" s="7" t="s">
        <v>377</v>
      </c>
      <c r="B9260" s="7" t="s">
        <v>26</v>
      </c>
      <c r="C9260" s="7" t="s">
        <v>27</v>
      </c>
      <c r="D9260" s="7" t="s">
        <v>28</v>
      </c>
      <c r="E9260" s="7" t="s">
        <v>29</v>
      </c>
      <c r="F9260" s="7" t="s">
        <v>312</v>
      </c>
      <c r="G9260" s="7">
        <v>103.9804</v>
      </c>
      <c r="H9260" s="7"/>
    </row>
    <row r="9261" spans="1:8" x14ac:dyDescent="0.35">
      <c r="A9261" s="7" t="s">
        <v>377</v>
      </c>
      <c r="B9261" s="7" t="s">
        <v>26</v>
      </c>
      <c r="C9261" s="7" t="s">
        <v>27</v>
      </c>
      <c r="D9261" s="7" t="s">
        <v>28</v>
      </c>
      <c r="E9261" s="7" t="s">
        <v>29</v>
      </c>
      <c r="F9261" s="7" t="s">
        <v>313</v>
      </c>
      <c r="G9261" s="7">
        <v>103.9472</v>
      </c>
      <c r="H9261" s="7"/>
    </row>
    <row r="9262" spans="1:8" x14ac:dyDescent="0.35">
      <c r="A9262" s="7" t="s">
        <v>377</v>
      </c>
      <c r="B9262" s="7" t="s">
        <v>26</v>
      </c>
      <c r="C9262" s="7" t="s">
        <v>27</v>
      </c>
      <c r="D9262" s="7" t="s">
        <v>28</v>
      </c>
      <c r="E9262" s="7" t="s">
        <v>29</v>
      </c>
      <c r="F9262" s="7" t="s">
        <v>314</v>
      </c>
      <c r="G9262" s="7">
        <v>103.77979999999999</v>
      </c>
      <c r="H9262" s="7"/>
    </row>
    <row r="9263" spans="1:8" x14ac:dyDescent="0.35">
      <c r="A9263" s="7" t="s">
        <v>377</v>
      </c>
      <c r="B9263" s="7" t="s">
        <v>26</v>
      </c>
      <c r="C9263" s="7" t="s">
        <v>27</v>
      </c>
      <c r="D9263" s="7" t="s">
        <v>28</v>
      </c>
      <c r="E9263" s="7" t="s">
        <v>29</v>
      </c>
      <c r="F9263" s="7" t="s">
        <v>315</v>
      </c>
      <c r="G9263" s="7">
        <v>103.71259999999999</v>
      </c>
      <c r="H9263" s="7"/>
    </row>
    <row r="9264" spans="1:8" x14ac:dyDescent="0.35">
      <c r="A9264" s="7" t="s">
        <v>377</v>
      </c>
      <c r="B9264" s="7" t="s">
        <v>26</v>
      </c>
      <c r="C9264" s="7" t="s">
        <v>27</v>
      </c>
      <c r="D9264" s="7" t="s">
        <v>28</v>
      </c>
      <c r="E9264" s="7" t="s">
        <v>29</v>
      </c>
      <c r="F9264" s="7" t="s">
        <v>316</v>
      </c>
      <c r="G9264" s="7">
        <v>103.8451</v>
      </c>
      <c r="H9264" s="7"/>
    </row>
    <row r="9265" spans="1:8" x14ac:dyDescent="0.35">
      <c r="A9265" s="7" t="s">
        <v>377</v>
      </c>
      <c r="B9265" s="7" t="s">
        <v>26</v>
      </c>
      <c r="C9265" s="7" t="s">
        <v>27</v>
      </c>
      <c r="D9265" s="7" t="s">
        <v>28</v>
      </c>
      <c r="E9265" s="7" t="s">
        <v>29</v>
      </c>
      <c r="F9265" s="7" t="s">
        <v>317</v>
      </c>
      <c r="G9265" s="7">
        <v>104.12479999999999</v>
      </c>
      <c r="H9265" s="7"/>
    </row>
    <row r="9266" spans="1:8" x14ac:dyDescent="0.35">
      <c r="A9266" s="7" t="s">
        <v>377</v>
      </c>
      <c r="B9266" s="7" t="s">
        <v>26</v>
      </c>
      <c r="C9266" s="7" t="s">
        <v>27</v>
      </c>
      <c r="D9266" s="7" t="s">
        <v>28</v>
      </c>
      <c r="E9266" s="7" t="s">
        <v>29</v>
      </c>
      <c r="F9266" s="7" t="s">
        <v>318</v>
      </c>
      <c r="G9266" s="7">
        <v>104.4117</v>
      </c>
      <c r="H9266" s="7"/>
    </row>
    <row r="9267" spans="1:8" x14ac:dyDescent="0.35">
      <c r="A9267" s="7" t="s">
        <v>377</v>
      </c>
      <c r="B9267" s="7" t="s">
        <v>26</v>
      </c>
      <c r="C9267" s="7" t="s">
        <v>27</v>
      </c>
      <c r="D9267" s="7" t="s">
        <v>28</v>
      </c>
      <c r="E9267" s="7" t="s">
        <v>29</v>
      </c>
      <c r="F9267" s="7" t="s">
        <v>319</v>
      </c>
      <c r="G9267" s="7">
        <v>104.535</v>
      </c>
      <c r="H9267" s="7"/>
    </row>
    <row r="9268" spans="1:8" x14ac:dyDescent="0.35">
      <c r="A9268" s="7" t="s">
        <v>377</v>
      </c>
      <c r="B9268" s="7" t="s">
        <v>26</v>
      </c>
      <c r="C9268" s="7" t="s">
        <v>27</v>
      </c>
      <c r="D9268" s="7" t="s">
        <v>28</v>
      </c>
      <c r="E9268" s="7" t="s">
        <v>29</v>
      </c>
      <c r="F9268" s="7" t="s">
        <v>320</v>
      </c>
      <c r="G9268" s="7">
        <v>104.3999</v>
      </c>
      <c r="H9268" s="7"/>
    </row>
    <row r="9269" spans="1:8" x14ac:dyDescent="0.35">
      <c r="A9269" s="7" t="s">
        <v>377</v>
      </c>
      <c r="B9269" s="7" t="s">
        <v>26</v>
      </c>
      <c r="C9269" s="7" t="s">
        <v>27</v>
      </c>
      <c r="D9269" s="7" t="s">
        <v>28</v>
      </c>
      <c r="E9269" s="7" t="s">
        <v>29</v>
      </c>
      <c r="F9269" s="7" t="s">
        <v>321</v>
      </c>
      <c r="G9269" s="7">
        <v>104.1163</v>
      </c>
      <c r="H9269" s="7"/>
    </row>
    <row r="9270" spans="1:8" x14ac:dyDescent="0.35">
      <c r="A9270" s="7" t="s">
        <v>377</v>
      </c>
      <c r="B9270" s="7" t="s">
        <v>26</v>
      </c>
      <c r="C9270" s="7" t="s">
        <v>27</v>
      </c>
      <c r="D9270" s="7" t="s">
        <v>28</v>
      </c>
      <c r="E9270" s="7" t="s">
        <v>29</v>
      </c>
      <c r="F9270" s="7" t="s">
        <v>322</v>
      </c>
      <c r="G9270" s="7">
        <v>103.755</v>
      </c>
      <c r="H9270" s="7"/>
    </row>
    <row r="9271" spans="1:8" x14ac:dyDescent="0.35">
      <c r="A9271" s="7" t="s">
        <v>377</v>
      </c>
      <c r="B9271" s="7" t="s">
        <v>26</v>
      </c>
      <c r="C9271" s="7" t="s">
        <v>27</v>
      </c>
      <c r="D9271" s="7" t="s">
        <v>28</v>
      </c>
      <c r="E9271" s="7" t="s">
        <v>29</v>
      </c>
      <c r="F9271" s="7" t="s">
        <v>323</v>
      </c>
      <c r="G9271" s="7">
        <v>103.60380000000001</v>
      </c>
      <c r="H9271" s="7"/>
    </row>
    <row r="9272" spans="1:8" x14ac:dyDescent="0.35">
      <c r="A9272" s="7" t="s">
        <v>377</v>
      </c>
      <c r="B9272" s="7" t="s">
        <v>26</v>
      </c>
      <c r="C9272" s="7" t="s">
        <v>27</v>
      </c>
      <c r="D9272" s="7" t="s">
        <v>28</v>
      </c>
      <c r="E9272" s="7" t="s">
        <v>29</v>
      </c>
      <c r="F9272" s="7" t="s">
        <v>324</v>
      </c>
      <c r="G9272" s="7">
        <v>103.57340000000001</v>
      </c>
      <c r="H9272" s="7"/>
    </row>
    <row r="9273" spans="1:8" x14ac:dyDescent="0.35">
      <c r="A9273" s="7" t="s">
        <v>377</v>
      </c>
      <c r="B9273" s="7" t="s">
        <v>26</v>
      </c>
      <c r="C9273" s="7" t="s">
        <v>27</v>
      </c>
      <c r="D9273" s="7" t="s">
        <v>28</v>
      </c>
      <c r="E9273" s="7" t="s">
        <v>29</v>
      </c>
      <c r="F9273" s="7" t="s">
        <v>325</v>
      </c>
      <c r="G9273" s="7">
        <v>103.4474</v>
      </c>
      <c r="H9273" s="7"/>
    </row>
    <row r="9274" spans="1:8" x14ac:dyDescent="0.35">
      <c r="A9274" s="7" t="s">
        <v>377</v>
      </c>
      <c r="B9274" s="7" t="s">
        <v>26</v>
      </c>
      <c r="C9274" s="7" t="s">
        <v>27</v>
      </c>
      <c r="D9274" s="7" t="s">
        <v>28</v>
      </c>
      <c r="E9274" s="7" t="s">
        <v>29</v>
      </c>
      <c r="F9274" s="7" t="s">
        <v>326</v>
      </c>
      <c r="G9274" s="7">
        <v>103.1512</v>
      </c>
      <c r="H9274" s="7"/>
    </row>
    <row r="9275" spans="1:8" x14ac:dyDescent="0.35">
      <c r="A9275" s="7" t="s">
        <v>377</v>
      </c>
      <c r="B9275" s="7" t="s">
        <v>26</v>
      </c>
      <c r="C9275" s="7" t="s">
        <v>27</v>
      </c>
      <c r="D9275" s="7" t="s">
        <v>28</v>
      </c>
      <c r="E9275" s="7" t="s">
        <v>29</v>
      </c>
      <c r="F9275" s="7" t="s">
        <v>327</v>
      </c>
      <c r="G9275" s="7">
        <v>103.0184</v>
      </c>
      <c r="H9275" s="7"/>
    </row>
    <row r="9276" spans="1:8" x14ac:dyDescent="0.35">
      <c r="A9276" s="7" t="s">
        <v>377</v>
      </c>
      <c r="B9276" s="7" t="s">
        <v>26</v>
      </c>
      <c r="C9276" s="7" t="s">
        <v>27</v>
      </c>
      <c r="D9276" s="7" t="s">
        <v>28</v>
      </c>
      <c r="E9276" s="7" t="s">
        <v>29</v>
      </c>
      <c r="F9276" s="7" t="s">
        <v>328</v>
      </c>
      <c r="G9276" s="7">
        <v>102.90779999999999</v>
      </c>
      <c r="H9276" s="7"/>
    </row>
    <row r="9277" spans="1:8" x14ac:dyDescent="0.35">
      <c r="A9277" s="7" t="s">
        <v>377</v>
      </c>
      <c r="B9277" s="7" t="s">
        <v>26</v>
      </c>
      <c r="C9277" s="7" t="s">
        <v>27</v>
      </c>
      <c r="D9277" s="7" t="s">
        <v>28</v>
      </c>
      <c r="E9277" s="7" t="s">
        <v>29</v>
      </c>
      <c r="F9277" s="7" t="s">
        <v>329</v>
      </c>
      <c r="G9277" s="7">
        <v>102.8274</v>
      </c>
      <c r="H9277" s="7"/>
    </row>
    <row r="9278" spans="1:8" x14ac:dyDescent="0.35">
      <c r="A9278" s="7" t="s">
        <v>377</v>
      </c>
      <c r="B9278" s="7" t="s">
        <v>26</v>
      </c>
      <c r="C9278" s="7" t="s">
        <v>27</v>
      </c>
      <c r="D9278" s="7" t="s">
        <v>28</v>
      </c>
      <c r="E9278" s="7" t="s">
        <v>29</v>
      </c>
      <c r="F9278" s="7" t="s">
        <v>330</v>
      </c>
      <c r="G9278" s="7">
        <v>102.76439999999999</v>
      </c>
      <c r="H9278" s="7"/>
    </row>
    <row r="9279" spans="1:8" x14ac:dyDescent="0.35">
      <c r="A9279" s="7" t="s">
        <v>377</v>
      </c>
      <c r="B9279" s="7" t="s">
        <v>26</v>
      </c>
      <c r="C9279" s="7" t="s">
        <v>27</v>
      </c>
      <c r="D9279" s="7" t="s">
        <v>28</v>
      </c>
      <c r="E9279" s="7" t="s">
        <v>29</v>
      </c>
      <c r="F9279" s="7" t="s">
        <v>331</v>
      </c>
      <c r="G9279" s="7">
        <v>102.77970000000001</v>
      </c>
      <c r="H9279" s="7"/>
    </row>
    <row r="9280" spans="1:8" x14ac:dyDescent="0.35">
      <c r="A9280" s="7" t="s">
        <v>377</v>
      </c>
      <c r="B9280" s="7" t="s">
        <v>26</v>
      </c>
      <c r="C9280" s="7" t="s">
        <v>27</v>
      </c>
      <c r="D9280" s="7" t="s">
        <v>28</v>
      </c>
      <c r="E9280" s="7" t="s">
        <v>29</v>
      </c>
      <c r="F9280" s="7" t="s">
        <v>332</v>
      </c>
      <c r="G9280" s="7">
        <v>102.846</v>
      </c>
      <c r="H9280" s="7"/>
    </row>
    <row r="9281" spans="1:8" x14ac:dyDescent="0.35">
      <c r="A9281" s="7" t="s">
        <v>377</v>
      </c>
      <c r="B9281" s="7" t="s">
        <v>26</v>
      </c>
      <c r="C9281" s="7" t="s">
        <v>27</v>
      </c>
      <c r="D9281" s="7" t="s">
        <v>28</v>
      </c>
      <c r="E9281" s="7" t="s">
        <v>29</v>
      </c>
      <c r="F9281" s="7" t="s">
        <v>333</v>
      </c>
      <c r="G9281" s="7">
        <v>102.91679999999999</v>
      </c>
      <c r="H9281" s="7"/>
    </row>
    <row r="9282" spans="1:8" x14ac:dyDescent="0.35">
      <c r="A9282" s="7" t="s">
        <v>377</v>
      </c>
      <c r="B9282" s="7" t="s">
        <v>26</v>
      </c>
      <c r="C9282" s="7" t="s">
        <v>27</v>
      </c>
      <c r="D9282" s="7" t="s">
        <v>28</v>
      </c>
      <c r="E9282" s="7" t="s">
        <v>29</v>
      </c>
      <c r="F9282" s="7" t="s">
        <v>334</v>
      </c>
      <c r="G9282" s="7">
        <v>103.0288</v>
      </c>
      <c r="H9282" s="7"/>
    </row>
    <row r="9283" spans="1:8" x14ac:dyDescent="0.35">
      <c r="A9283" s="7" t="s">
        <v>377</v>
      </c>
      <c r="B9283" s="7" t="s">
        <v>26</v>
      </c>
      <c r="C9283" s="7" t="s">
        <v>27</v>
      </c>
      <c r="D9283" s="7" t="s">
        <v>28</v>
      </c>
      <c r="E9283" s="7" t="s">
        <v>29</v>
      </c>
      <c r="F9283" s="7" t="s">
        <v>335</v>
      </c>
      <c r="G9283" s="7">
        <v>103.14660000000001</v>
      </c>
      <c r="H9283" s="7"/>
    </row>
    <row r="9284" spans="1:8" x14ac:dyDescent="0.35">
      <c r="A9284" s="7" t="s">
        <v>377</v>
      </c>
      <c r="B9284" s="7" t="s">
        <v>26</v>
      </c>
      <c r="C9284" s="7" t="s">
        <v>27</v>
      </c>
      <c r="D9284" s="7" t="s">
        <v>28</v>
      </c>
      <c r="E9284" s="7" t="s">
        <v>29</v>
      </c>
      <c r="F9284" s="7" t="s">
        <v>336</v>
      </c>
      <c r="G9284" s="7">
        <v>103.2191</v>
      </c>
      <c r="H9284" s="7"/>
    </row>
    <row r="9285" spans="1:8" x14ac:dyDescent="0.35">
      <c r="A9285" s="7" t="s">
        <v>377</v>
      </c>
      <c r="B9285" s="7" t="s">
        <v>26</v>
      </c>
      <c r="C9285" s="7" t="s">
        <v>27</v>
      </c>
      <c r="D9285" s="7" t="s">
        <v>28</v>
      </c>
      <c r="E9285" s="7" t="s">
        <v>29</v>
      </c>
      <c r="F9285" s="7" t="s">
        <v>337</v>
      </c>
      <c r="G9285" s="7">
        <v>103.31489999999999</v>
      </c>
      <c r="H9285" s="7"/>
    </row>
    <row r="9286" spans="1:8" x14ac:dyDescent="0.35">
      <c r="A9286" s="7" t="s">
        <v>377</v>
      </c>
      <c r="B9286" s="7" t="s">
        <v>26</v>
      </c>
      <c r="C9286" s="7" t="s">
        <v>27</v>
      </c>
      <c r="D9286" s="7" t="s">
        <v>28</v>
      </c>
      <c r="E9286" s="7" t="s">
        <v>29</v>
      </c>
      <c r="F9286" s="7" t="s">
        <v>338</v>
      </c>
      <c r="G9286" s="7">
        <v>103.4791</v>
      </c>
      <c r="H9286" s="7"/>
    </row>
    <row r="9287" spans="1:8" x14ac:dyDescent="0.35">
      <c r="A9287" s="7" t="s">
        <v>377</v>
      </c>
      <c r="B9287" s="7" t="s">
        <v>26</v>
      </c>
      <c r="C9287" s="7" t="s">
        <v>27</v>
      </c>
      <c r="D9287" s="7" t="s">
        <v>28</v>
      </c>
      <c r="E9287" s="7" t="s">
        <v>29</v>
      </c>
      <c r="F9287" s="7" t="s">
        <v>339</v>
      </c>
      <c r="G9287" s="7">
        <v>103.6236</v>
      </c>
      <c r="H9287" s="7"/>
    </row>
    <row r="9288" spans="1:8" x14ac:dyDescent="0.35">
      <c r="A9288" s="7" t="s">
        <v>377</v>
      </c>
      <c r="B9288" s="7" t="s">
        <v>26</v>
      </c>
      <c r="C9288" s="7" t="s">
        <v>27</v>
      </c>
      <c r="D9288" s="7" t="s">
        <v>28</v>
      </c>
      <c r="E9288" s="7" t="s">
        <v>29</v>
      </c>
      <c r="F9288" s="7" t="s">
        <v>340</v>
      </c>
      <c r="G9288" s="7">
        <v>103.6718</v>
      </c>
      <c r="H9288" s="7"/>
    </row>
    <row r="9289" spans="1:8" x14ac:dyDescent="0.35">
      <c r="A9289" s="7" t="s">
        <v>377</v>
      </c>
      <c r="B9289" s="7" t="s">
        <v>26</v>
      </c>
      <c r="C9289" s="7" t="s">
        <v>27</v>
      </c>
      <c r="D9289" s="7" t="s">
        <v>28</v>
      </c>
      <c r="E9289" s="7" t="s">
        <v>29</v>
      </c>
      <c r="F9289" s="7" t="s">
        <v>341</v>
      </c>
      <c r="G9289" s="7">
        <v>103.6665</v>
      </c>
      <c r="H9289" s="7"/>
    </row>
    <row r="9290" spans="1:8" x14ac:dyDescent="0.35">
      <c r="A9290" s="7" t="s">
        <v>377</v>
      </c>
      <c r="B9290" s="7" t="s">
        <v>26</v>
      </c>
      <c r="C9290" s="7" t="s">
        <v>27</v>
      </c>
      <c r="D9290" s="7" t="s">
        <v>28</v>
      </c>
      <c r="E9290" s="7" t="s">
        <v>29</v>
      </c>
      <c r="F9290" s="7" t="s">
        <v>342</v>
      </c>
      <c r="G9290" s="7">
        <v>103.62390000000001</v>
      </c>
      <c r="H9290" s="7"/>
    </row>
    <row r="9291" spans="1:8" x14ac:dyDescent="0.35">
      <c r="A9291" s="7" t="s">
        <v>377</v>
      </c>
      <c r="B9291" s="7" t="s">
        <v>26</v>
      </c>
      <c r="C9291" s="7" t="s">
        <v>27</v>
      </c>
      <c r="D9291" s="7" t="s">
        <v>28</v>
      </c>
      <c r="E9291" s="7" t="s">
        <v>29</v>
      </c>
      <c r="F9291" s="7" t="s">
        <v>343</v>
      </c>
      <c r="G9291" s="7">
        <v>103.60899999999999</v>
      </c>
      <c r="H9291" s="7"/>
    </row>
    <row r="9292" spans="1:8" x14ac:dyDescent="0.35">
      <c r="A9292" s="7" t="s">
        <v>377</v>
      </c>
      <c r="B9292" s="7" t="s">
        <v>26</v>
      </c>
      <c r="C9292" s="7" t="s">
        <v>27</v>
      </c>
      <c r="D9292" s="7" t="s">
        <v>28</v>
      </c>
      <c r="E9292" s="7" t="s">
        <v>29</v>
      </c>
      <c r="F9292" s="7" t="s">
        <v>344</v>
      </c>
      <c r="G9292" s="7">
        <v>103.6373</v>
      </c>
      <c r="H9292" s="7"/>
    </row>
    <row r="9293" spans="1:8" x14ac:dyDescent="0.35">
      <c r="A9293" s="7" t="s">
        <v>377</v>
      </c>
      <c r="B9293" s="7" t="s">
        <v>26</v>
      </c>
      <c r="C9293" s="7" t="s">
        <v>27</v>
      </c>
      <c r="D9293" s="7" t="s">
        <v>28</v>
      </c>
      <c r="E9293" s="7" t="s">
        <v>29</v>
      </c>
      <c r="F9293" s="7" t="s">
        <v>345</v>
      </c>
      <c r="G9293" s="7">
        <v>103.6763</v>
      </c>
      <c r="H9293" s="7"/>
    </row>
    <row r="9294" spans="1:8" x14ac:dyDescent="0.35">
      <c r="A9294" s="7" t="s">
        <v>378</v>
      </c>
      <c r="B9294" s="7" t="s">
        <v>26</v>
      </c>
      <c r="C9294" s="7" t="s">
        <v>27</v>
      </c>
      <c r="D9294" s="7" t="s">
        <v>28</v>
      </c>
      <c r="E9294" s="7" t="s">
        <v>29</v>
      </c>
      <c r="F9294" s="7" t="s">
        <v>82</v>
      </c>
      <c r="G9294" s="7">
        <v>99.012360000000001</v>
      </c>
      <c r="H9294" s="7"/>
    </row>
    <row r="9295" spans="1:8" x14ac:dyDescent="0.35">
      <c r="A9295" s="7" t="s">
        <v>378</v>
      </c>
      <c r="B9295" s="7" t="s">
        <v>26</v>
      </c>
      <c r="C9295" s="7" t="s">
        <v>27</v>
      </c>
      <c r="D9295" s="7" t="s">
        <v>28</v>
      </c>
      <c r="E9295" s="7" t="s">
        <v>29</v>
      </c>
      <c r="F9295" s="7" t="s">
        <v>83</v>
      </c>
      <c r="G9295" s="7">
        <v>99.036600000000007</v>
      </c>
      <c r="H9295" s="7"/>
    </row>
    <row r="9296" spans="1:8" x14ac:dyDescent="0.35">
      <c r="A9296" s="7" t="s">
        <v>378</v>
      </c>
      <c r="B9296" s="7" t="s">
        <v>26</v>
      </c>
      <c r="C9296" s="7" t="s">
        <v>27</v>
      </c>
      <c r="D9296" s="7" t="s">
        <v>28</v>
      </c>
      <c r="E9296" s="7" t="s">
        <v>29</v>
      </c>
      <c r="F9296" s="7" t="s">
        <v>84</v>
      </c>
      <c r="G9296" s="7">
        <v>99.394229999999993</v>
      </c>
      <c r="H9296" s="7"/>
    </row>
    <row r="9297" spans="1:8" x14ac:dyDescent="0.35">
      <c r="A9297" s="7" t="s">
        <v>378</v>
      </c>
      <c r="B9297" s="7" t="s">
        <v>26</v>
      </c>
      <c r="C9297" s="7" t="s">
        <v>27</v>
      </c>
      <c r="D9297" s="7" t="s">
        <v>28</v>
      </c>
      <c r="E9297" s="7" t="s">
        <v>29</v>
      </c>
      <c r="F9297" s="7" t="s">
        <v>85</v>
      </c>
      <c r="G9297" s="7">
        <v>99.868279999999999</v>
      </c>
      <c r="H9297" s="7"/>
    </row>
    <row r="9298" spans="1:8" x14ac:dyDescent="0.35">
      <c r="A9298" s="7" t="s">
        <v>378</v>
      </c>
      <c r="B9298" s="7" t="s">
        <v>26</v>
      </c>
      <c r="C9298" s="7" t="s">
        <v>27</v>
      </c>
      <c r="D9298" s="7" t="s">
        <v>28</v>
      </c>
      <c r="E9298" s="7" t="s">
        <v>29</v>
      </c>
      <c r="F9298" s="7" t="s">
        <v>86</v>
      </c>
      <c r="G9298" s="7">
        <v>100.16800000000001</v>
      </c>
      <c r="H9298" s="7"/>
    </row>
    <row r="9299" spans="1:8" x14ac:dyDescent="0.35">
      <c r="A9299" s="7" t="s">
        <v>378</v>
      </c>
      <c r="B9299" s="7" t="s">
        <v>26</v>
      </c>
      <c r="C9299" s="7" t="s">
        <v>27</v>
      </c>
      <c r="D9299" s="7" t="s">
        <v>28</v>
      </c>
      <c r="E9299" s="7" t="s">
        <v>29</v>
      </c>
      <c r="F9299" s="7" t="s">
        <v>87</v>
      </c>
      <c r="G9299" s="7">
        <v>100.39019999999999</v>
      </c>
      <c r="H9299" s="7"/>
    </row>
    <row r="9300" spans="1:8" x14ac:dyDescent="0.35">
      <c r="A9300" s="7" t="s">
        <v>378</v>
      </c>
      <c r="B9300" s="7" t="s">
        <v>26</v>
      </c>
      <c r="C9300" s="7" t="s">
        <v>27</v>
      </c>
      <c r="D9300" s="7" t="s">
        <v>28</v>
      </c>
      <c r="E9300" s="7" t="s">
        <v>29</v>
      </c>
      <c r="F9300" s="7" t="s">
        <v>88</v>
      </c>
      <c r="G9300" s="7">
        <v>100.5933</v>
      </c>
      <c r="H9300" s="7"/>
    </row>
    <row r="9301" spans="1:8" x14ac:dyDescent="0.35">
      <c r="A9301" s="7" t="s">
        <v>378</v>
      </c>
      <c r="B9301" s="7" t="s">
        <v>26</v>
      </c>
      <c r="C9301" s="7" t="s">
        <v>27</v>
      </c>
      <c r="D9301" s="7" t="s">
        <v>28</v>
      </c>
      <c r="E9301" s="7" t="s">
        <v>29</v>
      </c>
      <c r="F9301" s="7" t="s">
        <v>89</v>
      </c>
      <c r="G9301" s="7">
        <v>100.6758</v>
      </c>
      <c r="H9301" s="7"/>
    </row>
    <row r="9302" spans="1:8" x14ac:dyDescent="0.35">
      <c r="A9302" s="7" t="s">
        <v>378</v>
      </c>
      <c r="B9302" s="7" t="s">
        <v>26</v>
      </c>
      <c r="C9302" s="7" t="s">
        <v>27</v>
      </c>
      <c r="D9302" s="7" t="s">
        <v>28</v>
      </c>
      <c r="E9302" s="7" t="s">
        <v>29</v>
      </c>
      <c r="F9302" s="7" t="s">
        <v>90</v>
      </c>
      <c r="G9302" s="7">
        <v>100.93219999999999</v>
      </c>
      <c r="H9302" s="7"/>
    </row>
    <row r="9303" spans="1:8" x14ac:dyDescent="0.35">
      <c r="A9303" s="7" t="s">
        <v>378</v>
      </c>
      <c r="B9303" s="7" t="s">
        <v>26</v>
      </c>
      <c r="C9303" s="7" t="s">
        <v>27</v>
      </c>
      <c r="D9303" s="7" t="s">
        <v>28</v>
      </c>
      <c r="E9303" s="7" t="s">
        <v>29</v>
      </c>
      <c r="F9303" s="7" t="s">
        <v>91</v>
      </c>
      <c r="G9303" s="7">
        <v>100.8828</v>
      </c>
      <c r="H9303" s="7"/>
    </row>
    <row r="9304" spans="1:8" x14ac:dyDescent="0.35">
      <c r="A9304" s="7" t="s">
        <v>378</v>
      </c>
      <c r="B9304" s="7" t="s">
        <v>26</v>
      </c>
      <c r="C9304" s="7" t="s">
        <v>27</v>
      </c>
      <c r="D9304" s="7" t="s">
        <v>28</v>
      </c>
      <c r="E9304" s="7" t="s">
        <v>29</v>
      </c>
      <c r="F9304" s="7" t="s">
        <v>92</v>
      </c>
      <c r="G9304" s="7">
        <v>100.61060000000001</v>
      </c>
      <c r="H9304" s="7"/>
    </row>
    <row r="9305" spans="1:8" x14ac:dyDescent="0.35">
      <c r="A9305" s="7" t="s">
        <v>378</v>
      </c>
      <c r="B9305" s="7" t="s">
        <v>26</v>
      </c>
      <c r="C9305" s="7" t="s">
        <v>27</v>
      </c>
      <c r="D9305" s="7" t="s">
        <v>28</v>
      </c>
      <c r="E9305" s="7" t="s">
        <v>29</v>
      </c>
      <c r="F9305" s="7" t="s">
        <v>93</v>
      </c>
      <c r="G9305" s="7">
        <v>100.3049</v>
      </c>
      <c r="H9305" s="7"/>
    </row>
    <row r="9306" spans="1:8" x14ac:dyDescent="0.35">
      <c r="A9306" s="7" t="s">
        <v>378</v>
      </c>
      <c r="B9306" s="7" t="s">
        <v>26</v>
      </c>
      <c r="C9306" s="7" t="s">
        <v>27</v>
      </c>
      <c r="D9306" s="7" t="s">
        <v>28</v>
      </c>
      <c r="E9306" s="7" t="s">
        <v>29</v>
      </c>
      <c r="F9306" s="7" t="s">
        <v>94</v>
      </c>
      <c r="G9306" s="7">
        <v>100.12860000000001</v>
      </c>
      <c r="H9306" s="7"/>
    </row>
    <row r="9307" spans="1:8" x14ac:dyDescent="0.35">
      <c r="A9307" s="7" t="s">
        <v>378</v>
      </c>
      <c r="B9307" s="7" t="s">
        <v>26</v>
      </c>
      <c r="C9307" s="7" t="s">
        <v>27</v>
      </c>
      <c r="D9307" s="7" t="s">
        <v>28</v>
      </c>
      <c r="E9307" s="7" t="s">
        <v>29</v>
      </c>
      <c r="F9307" s="7" t="s">
        <v>95</v>
      </c>
      <c r="G9307" s="7">
        <v>99.816360000000003</v>
      </c>
      <c r="H9307" s="7"/>
    </row>
    <row r="9308" spans="1:8" x14ac:dyDescent="0.35">
      <c r="A9308" s="7" t="s">
        <v>378</v>
      </c>
      <c r="B9308" s="7" t="s">
        <v>26</v>
      </c>
      <c r="C9308" s="7" t="s">
        <v>27</v>
      </c>
      <c r="D9308" s="7" t="s">
        <v>28</v>
      </c>
      <c r="E9308" s="7" t="s">
        <v>29</v>
      </c>
      <c r="F9308" s="7" t="s">
        <v>96</v>
      </c>
      <c r="G9308" s="7">
        <v>99.685419999999993</v>
      </c>
      <c r="H9308" s="7"/>
    </row>
    <row r="9309" spans="1:8" x14ac:dyDescent="0.35">
      <c r="A9309" s="7" t="s">
        <v>378</v>
      </c>
      <c r="B9309" s="7" t="s">
        <v>26</v>
      </c>
      <c r="C9309" s="7" t="s">
        <v>27</v>
      </c>
      <c r="D9309" s="7" t="s">
        <v>28</v>
      </c>
      <c r="E9309" s="7" t="s">
        <v>29</v>
      </c>
      <c r="F9309" s="7" t="s">
        <v>97</v>
      </c>
      <c r="G9309" s="7">
        <v>99.708650000000006</v>
      </c>
      <c r="H9309" s="7"/>
    </row>
    <row r="9310" spans="1:8" x14ac:dyDescent="0.35">
      <c r="A9310" s="7" t="s">
        <v>378</v>
      </c>
      <c r="B9310" s="7" t="s">
        <v>26</v>
      </c>
      <c r="C9310" s="7" t="s">
        <v>27</v>
      </c>
      <c r="D9310" s="7" t="s">
        <v>28</v>
      </c>
      <c r="E9310" s="7" t="s">
        <v>29</v>
      </c>
      <c r="F9310" s="7" t="s">
        <v>98</v>
      </c>
      <c r="G9310" s="7">
        <v>99.595119999999994</v>
      </c>
      <c r="H9310" s="7"/>
    </row>
    <row r="9311" spans="1:8" x14ac:dyDescent="0.35">
      <c r="A9311" s="7" t="s">
        <v>378</v>
      </c>
      <c r="B9311" s="7" t="s">
        <v>26</v>
      </c>
      <c r="C9311" s="7" t="s">
        <v>27</v>
      </c>
      <c r="D9311" s="7" t="s">
        <v>28</v>
      </c>
      <c r="E9311" s="7" t="s">
        <v>29</v>
      </c>
      <c r="F9311" s="7" t="s">
        <v>99</v>
      </c>
      <c r="G9311" s="7">
        <v>99.626400000000004</v>
      </c>
      <c r="H9311" s="7"/>
    </row>
    <row r="9312" spans="1:8" x14ac:dyDescent="0.35">
      <c r="A9312" s="7" t="s">
        <v>378</v>
      </c>
      <c r="B9312" s="7" t="s">
        <v>26</v>
      </c>
      <c r="C9312" s="7" t="s">
        <v>27</v>
      </c>
      <c r="D9312" s="7" t="s">
        <v>28</v>
      </c>
      <c r="E9312" s="7" t="s">
        <v>29</v>
      </c>
      <c r="F9312" s="7" t="s">
        <v>100</v>
      </c>
      <c r="G9312" s="7">
        <v>99.682990000000004</v>
      </c>
      <c r="H9312" s="7"/>
    </row>
    <row r="9313" spans="1:8" x14ac:dyDescent="0.35">
      <c r="A9313" s="7" t="s">
        <v>378</v>
      </c>
      <c r="B9313" s="7" t="s">
        <v>26</v>
      </c>
      <c r="C9313" s="7" t="s">
        <v>27</v>
      </c>
      <c r="D9313" s="7" t="s">
        <v>28</v>
      </c>
      <c r="E9313" s="7" t="s">
        <v>29</v>
      </c>
      <c r="F9313" s="7" t="s">
        <v>101</v>
      </c>
      <c r="G9313" s="7">
        <v>99.66816</v>
      </c>
      <c r="H9313" s="7"/>
    </row>
    <row r="9314" spans="1:8" x14ac:dyDescent="0.35">
      <c r="A9314" s="7" t="s">
        <v>378</v>
      </c>
      <c r="B9314" s="7" t="s">
        <v>26</v>
      </c>
      <c r="C9314" s="7" t="s">
        <v>27</v>
      </c>
      <c r="D9314" s="7" t="s">
        <v>28</v>
      </c>
      <c r="E9314" s="7" t="s">
        <v>29</v>
      </c>
      <c r="F9314" s="7" t="s">
        <v>102</v>
      </c>
      <c r="G9314" s="7">
        <v>99.501819999999995</v>
      </c>
      <c r="H9314" s="7"/>
    </row>
    <row r="9315" spans="1:8" x14ac:dyDescent="0.35">
      <c r="A9315" s="7" t="s">
        <v>378</v>
      </c>
      <c r="B9315" s="7" t="s">
        <v>26</v>
      </c>
      <c r="C9315" s="7" t="s">
        <v>27</v>
      </c>
      <c r="D9315" s="7" t="s">
        <v>28</v>
      </c>
      <c r="E9315" s="7" t="s">
        <v>29</v>
      </c>
      <c r="F9315" s="7" t="s">
        <v>103</v>
      </c>
      <c r="G9315" s="7">
        <v>99.464100000000002</v>
      </c>
      <c r="H9315" s="7"/>
    </row>
    <row r="9316" spans="1:8" x14ac:dyDescent="0.35">
      <c r="A9316" s="7" t="s">
        <v>378</v>
      </c>
      <c r="B9316" s="7" t="s">
        <v>26</v>
      </c>
      <c r="C9316" s="7" t="s">
        <v>27</v>
      </c>
      <c r="D9316" s="7" t="s">
        <v>28</v>
      </c>
      <c r="E9316" s="7" t="s">
        <v>29</v>
      </c>
      <c r="F9316" s="7" t="s">
        <v>104</v>
      </c>
      <c r="G9316" s="7">
        <v>99.426220000000001</v>
      </c>
      <c r="H9316" s="7"/>
    </row>
    <row r="9317" spans="1:8" x14ac:dyDescent="0.35">
      <c r="A9317" s="7" t="s">
        <v>378</v>
      </c>
      <c r="B9317" s="7" t="s">
        <v>26</v>
      </c>
      <c r="C9317" s="7" t="s">
        <v>27</v>
      </c>
      <c r="D9317" s="7" t="s">
        <v>28</v>
      </c>
      <c r="E9317" s="7" t="s">
        <v>29</v>
      </c>
      <c r="F9317" s="7" t="s">
        <v>105</v>
      </c>
      <c r="G9317" s="7">
        <v>99.343329999999995</v>
      </c>
      <c r="H9317" s="7"/>
    </row>
    <row r="9318" spans="1:8" x14ac:dyDescent="0.35">
      <c r="A9318" s="7" t="s">
        <v>378</v>
      </c>
      <c r="B9318" s="7" t="s">
        <v>26</v>
      </c>
      <c r="C9318" s="7" t="s">
        <v>27</v>
      </c>
      <c r="D9318" s="7" t="s">
        <v>28</v>
      </c>
      <c r="E9318" s="7" t="s">
        <v>29</v>
      </c>
      <c r="F9318" s="7" t="s">
        <v>106</v>
      </c>
      <c r="G9318" s="7">
        <v>99.39349</v>
      </c>
      <c r="H9318" s="7"/>
    </row>
    <row r="9319" spans="1:8" x14ac:dyDescent="0.35">
      <c r="A9319" s="7" t="s">
        <v>378</v>
      </c>
      <c r="B9319" s="7" t="s">
        <v>26</v>
      </c>
      <c r="C9319" s="7" t="s">
        <v>27</v>
      </c>
      <c r="D9319" s="7" t="s">
        <v>28</v>
      </c>
      <c r="E9319" s="7" t="s">
        <v>29</v>
      </c>
      <c r="F9319" s="7" t="s">
        <v>107</v>
      </c>
      <c r="G9319" s="7">
        <v>99.479100000000003</v>
      </c>
      <c r="H9319" s="7"/>
    </row>
    <row r="9320" spans="1:8" x14ac:dyDescent="0.35">
      <c r="A9320" s="7" t="s">
        <v>378</v>
      </c>
      <c r="B9320" s="7" t="s">
        <v>26</v>
      </c>
      <c r="C9320" s="7" t="s">
        <v>27</v>
      </c>
      <c r="D9320" s="7" t="s">
        <v>28</v>
      </c>
      <c r="E9320" s="7" t="s">
        <v>29</v>
      </c>
      <c r="F9320" s="7" t="s">
        <v>108</v>
      </c>
      <c r="G9320" s="7">
        <v>99.505350000000007</v>
      </c>
      <c r="H9320" s="7"/>
    </row>
    <row r="9321" spans="1:8" x14ac:dyDescent="0.35">
      <c r="A9321" s="7" t="s">
        <v>378</v>
      </c>
      <c r="B9321" s="7" t="s">
        <v>26</v>
      </c>
      <c r="C9321" s="7" t="s">
        <v>27</v>
      </c>
      <c r="D9321" s="7" t="s">
        <v>28</v>
      </c>
      <c r="E9321" s="7" t="s">
        <v>29</v>
      </c>
      <c r="F9321" s="7" t="s">
        <v>109</v>
      </c>
      <c r="G9321" s="7">
        <v>99.623320000000007</v>
      </c>
      <c r="H9321" s="7"/>
    </row>
    <row r="9322" spans="1:8" x14ac:dyDescent="0.35">
      <c r="A9322" s="7" t="s">
        <v>378</v>
      </c>
      <c r="B9322" s="7" t="s">
        <v>26</v>
      </c>
      <c r="C9322" s="7" t="s">
        <v>27</v>
      </c>
      <c r="D9322" s="7" t="s">
        <v>28</v>
      </c>
      <c r="E9322" s="7" t="s">
        <v>29</v>
      </c>
      <c r="F9322" s="7" t="s">
        <v>110</v>
      </c>
      <c r="G9322" s="7">
        <v>99.596980000000002</v>
      </c>
      <c r="H9322" s="7"/>
    </row>
    <row r="9323" spans="1:8" x14ac:dyDescent="0.35">
      <c r="A9323" s="7" t="s">
        <v>378</v>
      </c>
      <c r="B9323" s="7" t="s">
        <v>26</v>
      </c>
      <c r="C9323" s="7" t="s">
        <v>27</v>
      </c>
      <c r="D9323" s="7" t="s">
        <v>28</v>
      </c>
      <c r="E9323" s="7" t="s">
        <v>29</v>
      </c>
      <c r="F9323" s="7" t="s">
        <v>111</v>
      </c>
      <c r="G9323" s="7">
        <v>99.291960000000003</v>
      </c>
      <c r="H9323" s="7"/>
    </row>
    <row r="9324" spans="1:8" x14ac:dyDescent="0.35">
      <c r="A9324" s="7" t="s">
        <v>378</v>
      </c>
      <c r="B9324" s="7" t="s">
        <v>26</v>
      </c>
      <c r="C9324" s="7" t="s">
        <v>27</v>
      </c>
      <c r="D9324" s="7" t="s">
        <v>28</v>
      </c>
      <c r="E9324" s="7" t="s">
        <v>29</v>
      </c>
      <c r="F9324" s="7" t="s">
        <v>112</v>
      </c>
      <c r="G9324" s="7">
        <v>98.904070000000004</v>
      </c>
      <c r="H9324" s="7"/>
    </row>
    <row r="9325" spans="1:8" x14ac:dyDescent="0.35">
      <c r="A9325" s="7" t="s">
        <v>378</v>
      </c>
      <c r="B9325" s="7" t="s">
        <v>26</v>
      </c>
      <c r="C9325" s="7" t="s">
        <v>27</v>
      </c>
      <c r="D9325" s="7" t="s">
        <v>28</v>
      </c>
      <c r="E9325" s="7" t="s">
        <v>29</v>
      </c>
      <c r="F9325" s="7" t="s">
        <v>113</v>
      </c>
      <c r="G9325" s="7">
        <v>98.910470000000004</v>
      </c>
      <c r="H9325" s="7"/>
    </row>
    <row r="9326" spans="1:8" x14ac:dyDescent="0.35">
      <c r="A9326" s="7" t="s">
        <v>378</v>
      </c>
      <c r="B9326" s="7" t="s">
        <v>26</v>
      </c>
      <c r="C9326" s="7" t="s">
        <v>27</v>
      </c>
      <c r="D9326" s="7" t="s">
        <v>28</v>
      </c>
      <c r="E9326" s="7" t="s">
        <v>29</v>
      </c>
      <c r="F9326" s="7" t="s">
        <v>114</v>
      </c>
      <c r="G9326" s="7">
        <v>99.016540000000006</v>
      </c>
      <c r="H9326" s="7"/>
    </row>
    <row r="9327" spans="1:8" x14ac:dyDescent="0.35">
      <c r="A9327" s="7" t="s">
        <v>378</v>
      </c>
      <c r="B9327" s="7" t="s">
        <v>26</v>
      </c>
      <c r="C9327" s="7" t="s">
        <v>27</v>
      </c>
      <c r="D9327" s="7" t="s">
        <v>28</v>
      </c>
      <c r="E9327" s="7" t="s">
        <v>29</v>
      </c>
      <c r="F9327" s="7" t="s">
        <v>115</v>
      </c>
      <c r="G9327" s="7">
        <v>99.110140000000001</v>
      </c>
      <c r="H9327" s="7"/>
    </row>
    <row r="9328" spans="1:8" x14ac:dyDescent="0.35">
      <c r="A9328" s="7" t="s">
        <v>378</v>
      </c>
      <c r="B9328" s="7" t="s">
        <v>26</v>
      </c>
      <c r="C9328" s="7" t="s">
        <v>27</v>
      </c>
      <c r="D9328" s="7" t="s">
        <v>28</v>
      </c>
      <c r="E9328" s="7" t="s">
        <v>29</v>
      </c>
      <c r="F9328" s="7" t="s">
        <v>116</v>
      </c>
      <c r="G9328" s="7">
        <v>99.155540000000002</v>
      </c>
      <c r="H9328" s="7"/>
    </row>
    <row r="9329" spans="1:8" x14ac:dyDescent="0.35">
      <c r="A9329" s="7" t="s">
        <v>378</v>
      </c>
      <c r="B9329" s="7" t="s">
        <v>26</v>
      </c>
      <c r="C9329" s="7" t="s">
        <v>27</v>
      </c>
      <c r="D9329" s="7" t="s">
        <v>28</v>
      </c>
      <c r="E9329" s="7" t="s">
        <v>29</v>
      </c>
      <c r="F9329" s="7" t="s">
        <v>117</v>
      </c>
      <c r="G9329" s="7">
        <v>99.20093</v>
      </c>
      <c r="H9329" s="7"/>
    </row>
    <row r="9330" spans="1:8" x14ac:dyDescent="0.35">
      <c r="A9330" s="7" t="s">
        <v>378</v>
      </c>
      <c r="B9330" s="7" t="s">
        <v>26</v>
      </c>
      <c r="C9330" s="7" t="s">
        <v>27</v>
      </c>
      <c r="D9330" s="7" t="s">
        <v>28</v>
      </c>
      <c r="E9330" s="7" t="s">
        <v>29</v>
      </c>
      <c r="F9330" s="7" t="s">
        <v>118</v>
      </c>
      <c r="G9330" s="7">
        <v>99.257199999999997</v>
      </c>
      <c r="H9330" s="7"/>
    </row>
    <row r="9331" spans="1:8" x14ac:dyDescent="0.35">
      <c r="A9331" s="7" t="s">
        <v>378</v>
      </c>
      <c r="B9331" s="7" t="s">
        <v>26</v>
      </c>
      <c r="C9331" s="7" t="s">
        <v>27</v>
      </c>
      <c r="D9331" s="7" t="s">
        <v>28</v>
      </c>
      <c r="E9331" s="7" t="s">
        <v>29</v>
      </c>
      <c r="F9331" s="7" t="s">
        <v>119</v>
      </c>
      <c r="G9331" s="7">
        <v>99.454800000000006</v>
      </c>
      <c r="H9331" s="7"/>
    </row>
    <row r="9332" spans="1:8" x14ac:dyDescent="0.35">
      <c r="A9332" s="7" t="s">
        <v>378</v>
      </c>
      <c r="B9332" s="7" t="s">
        <v>26</v>
      </c>
      <c r="C9332" s="7" t="s">
        <v>27</v>
      </c>
      <c r="D9332" s="7" t="s">
        <v>28</v>
      </c>
      <c r="E9332" s="7" t="s">
        <v>29</v>
      </c>
      <c r="F9332" s="7" t="s">
        <v>120</v>
      </c>
      <c r="G9332" s="7">
        <v>99.507090000000005</v>
      </c>
      <c r="H9332" s="7"/>
    </row>
    <row r="9333" spans="1:8" x14ac:dyDescent="0.35">
      <c r="A9333" s="7" t="s">
        <v>378</v>
      </c>
      <c r="B9333" s="7" t="s">
        <v>26</v>
      </c>
      <c r="C9333" s="7" t="s">
        <v>27</v>
      </c>
      <c r="D9333" s="7" t="s">
        <v>28</v>
      </c>
      <c r="E9333" s="7" t="s">
        <v>29</v>
      </c>
      <c r="F9333" s="7" t="s">
        <v>121</v>
      </c>
      <c r="G9333" s="7">
        <v>99.296499999999995</v>
      </c>
      <c r="H9333" s="7"/>
    </row>
    <row r="9334" spans="1:8" x14ac:dyDescent="0.35">
      <c r="A9334" s="7" t="s">
        <v>378</v>
      </c>
      <c r="B9334" s="7" t="s">
        <v>26</v>
      </c>
      <c r="C9334" s="7" t="s">
        <v>27</v>
      </c>
      <c r="D9334" s="7" t="s">
        <v>28</v>
      </c>
      <c r="E9334" s="7" t="s">
        <v>29</v>
      </c>
      <c r="F9334" s="7" t="s">
        <v>122</v>
      </c>
      <c r="G9334" s="7">
        <v>99.757580000000004</v>
      </c>
      <c r="H9334" s="7"/>
    </row>
    <row r="9335" spans="1:8" x14ac:dyDescent="0.35">
      <c r="A9335" s="7" t="s">
        <v>378</v>
      </c>
      <c r="B9335" s="7" t="s">
        <v>26</v>
      </c>
      <c r="C9335" s="7" t="s">
        <v>27</v>
      </c>
      <c r="D9335" s="7" t="s">
        <v>28</v>
      </c>
      <c r="E9335" s="7" t="s">
        <v>29</v>
      </c>
      <c r="F9335" s="7" t="s">
        <v>123</v>
      </c>
      <c r="G9335" s="7">
        <v>100.1551</v>
      </c>
      <c r="H9335" s="7"/>
    </row>
    <row r="9336" spans="1:8" x14ac:dyDescent="0.35">
      <c r="A9336" s="7" t="s">
        <v>378</v>
      </c>
      <c r="B9336" s="7" t="s">
        <v>26</v>
      </c>
      <c r="C9336" s="7" t="s">
        <v>27</v>
      </c>
      <c r="D9336" s="7" t="s">
        <v>28</v>
      </c>
      <c r="E9336" s="7" t="s">
        <v>29</v>
      </c>
      <c r="F9336" s="7" t="s">
        <v>124</v>
      </c>
      <c r="G9336" s="7">
        <v>100.25190000000001</v>
      </c>
      <c r="H9336" s="7"/>
    </row>
    <row r="9337" spans="1:8" x14ac:dyDescent="0.35">
      <c r="A9337" s="7" t="s">
        <v>378</v>
      </c>
      <c r="B9337" s="7" t="s">
        <v>26</v>
      </c>
      <c r="C9337" s="7" t="s">
        <v>27</v>
      </c>
      <c r="D9337" s="7" t="s">
        <v>28</v>
      </c>
      <c r="E9337" s="7" t="s">
        <v>29</v>
      </c>
      <c r="F9337" s="7" t="s">
        <v>125</v>
      </c>
      <c r="G9337" s="7">
        <v>100.3165</v>
      </c>
      <c r="H9337" s="7"/>
    </row>
    <row r="9338" spans="1:8" x14ac:dyDescent="0.35">
      <c r="A9338" s="7" t="s">
        <v>378</v>
      </c>
      <c r="B9338" s="7" t="s">
        <v>26</v>
      </c>
      <c r="C9338" s="7" t="s">
        <v>27</v>
      </c>
      <c r="D9338" s="7" t="s">
        <v>28</v>
      </c>
      <c r="E9338" s="7" t="s">
        <v>29</v>
      </c>
      <c r="F9338" s="7" t="s">
        <v>126</v>
      </c>
      <c r="G9338" s="7">
        <v>100.2925</v>
      </c>
      <c r="H9338" s="7"/>
    </row>
    <row r="9339" spans="1:8" x14ac:dyDescent="0.35">
      <c r="A9339" s="7" t="s">
        <v>378</v>
      </c>
      <c r="B9339" s="7" t="s">
        <v>26</v>
      </c>
      <c r="C9339" s="7" t="s">
        <v>27</v>
      </c>
      <c r="D9339" s="7" t="s">
        <v>28</v>
      </c>
      <c r="E9339" s="7" t="s">
        <v>29</v>
      </c>
      <c r="F9339" s="7" t="s">
        <v>127</v>
      </c>
      <c r="G9339" s="7">
        <v>100.4924</v>
      </c>
      <c r="H9339" s="7"/>
    </row>
    <row r="9340" spans="1:8" x14ac:dyDescent="0.35">
      <c r="A9340" s="7" t="s">
        <v>378</v>
      </c>
      <c r="B9340" s="7" t="s">
        <v>26</v>
      </c>
      <c r="C9340" s="7" t="s">
        <v>27</v>
      </c>
      <c r="D9340" s="7" t="s">
        <v>28</v>
      </c>
      <c r="E9340" s="7" t="s">
        <v>29</v>
      </c>
      <c r="F9340" s="7" t="s">
        <v>128</v>
      </c>
      <c r="G9340" s="7">
        <v>100.83839999999999</v>
      </c>
      <c r="H9340" s="7"/>
    </row>
    <row r="9341" spans="1:8" x14ac:dyDescent="0.35">
      <c r="A9341" s="7" t="s">
        <v>378</v>
      </c>
      <c r="B9341" s="7" t="s">
        <v>26</v>
      </c>
      <c r="C9341" s="7" t="s">
        <v>27</v>
      </c>
      <c r="D9341" s="7" t="s">
        <v>28</v>
      </c>
      <c r="E9341" s="7" t="s">
        <v>29</v>
      </c>
      <c r="F9341" s="7" t="s">
        <v>129</v>
      </c>
      <c r="G9341" s="7">
        <v>101.0163</v>
      </c>
      <c r="H9341" s="7"/>
    </row>
    <row r="9342" spans="1:8" x14ac:dyDescent="0.35">
      <c r="A9342" s="7" t="s">
        <v>378</v>
      </c>
      <c r="B9342" s="7" t="s">
        <v>26</v>
      </c>
      <c r="C9342" s="7" t="s">
        <v>27</v>
      </c>
      <c r="D9342" s="7" t="s">
        <v>28</v>
      </c>
      <c r="E9342" s="7" t="s">
        <v>29</v>
      </c>
      <c r="F9342" s="7" t="s">
        <v>130</v>
      </c>
      <c r="G9342" s="7">
        <v>100.761</v>
      </c>
      <c r="H9342" s="7"/>
    </row>
    <row r="9343" spans="1:8" x14ac:dyDescent="0.35">
      <c r="A9343" s="7" t="s">
        <v>378</v>
      </c>
      <c r="B9343" s="7" t="s">
        <v>26</v>
      </c>
      <c r="C9343" s="7" t="s">
        <v>27</v>
      </c>
      <c r="D9343" s="7" t="s">
        <v>28</v>
      </c>
      <c r="E9343" s="7" t="s">
        <v>29</v>
      </c>
      <c r="F9343" s="7" t="s">
        <v>131</v>
      </c>
      <c r="G9343" s="7">
        <v>100.6904</v>
      </c>
      <c r="H9343" s="7"/>
    </row>
    <row r="9344" spans="1:8" x14ac:dyDescent="0.35">
      <c r="A9344" s="7" t="s">
        <v>378</v>
      </c>
      <c r="B9344" s="7" t="s">
        <v>26</v>
      </c>
      <c r="C9344" s="7" t="s">
        <v>27</v>
      </c>
      <c r="D9344" s="7" t="s">
        <v>28</v>
      </c>
      <c r="E9344" s="7" t="s">
        <v>29</v>
      </c>
      <c r="F9344" s="7" t="s">
        <v>132</v>
      </c>
      <c r="G9344" s="7">
        <v>100.9426</v>
      </c>
      <c r="H9344" s="7"/>
    </row>
    <row r="9345" spans="1:8" x14ac:dyDescent="0.35">
      <c r="A9345" s="7" t="s">
        <v>378</v>
      </c>
      <c r="B9345" s="7" t="s">
        <v>26</v>
      </c>
      <c r="C9345" s="7" t="s">
        <v>27</v>
      </c>
      <c r="D9345" s="7" t="s">
        <v>28</v>
      </c>
      <c r="E9345" s="7" t="s">
        <v>29</v>
      </c>
      <c r="F9345" s="7" t="s">
        <v>133</v>
      </c>
      <c r="G9345" s="7">
        <v>101.0947</v>
      </c>
      <c r="H9345" s="7"/>
    </row>
    <row r="9346" spans="1:8" x14ac:dyDescent="0.35">
      <c r="A9346" s="7" t="s">
        <v>378</v>
      </c>
      <c r="B9346" s="7" t="s">
        <v>26</v>
      </c>
      <c r="C9346" s="7" t="s">
        <v>27</v>
      </c>
      <c r="D9346" s="7" t="s">
        <v>28</v>
      </c>
      <c r="E9346" s="7" t="s">
        <v>29</v>
      </c>
      <c r="F9346" s="7" t="s">
        <v>134</v>
      </c>
      <c r="G9346" s="7">
        <v>100.9727</v>
      </c>
      <c r="H9346" s="7"/>
    </row>
    <row r="9347" spans="1:8" x14ac:dyDescent="0.35">
      <c r="A9347" s="7" t="s">
        <v>378</v>
      </c>
      <c r="B9347" s="7" t="s">
        <v>26</v>
      </c>
      <c r="C9347" s="7" t="s">
        <v>27</v>
      </c>
      <c r="D9347" s="7" t="s">
        <v>28</v>
      </c>
      <c r="E9347" s="7" t="s">
        <v>29</v>
      </c>
      <c r="F9347" s="7" t="s">
        <v>135</v>
      </c>
      <c r="G9347" s="7">
        <v>100.7011</v>
      </c>
      <c r="H9347" s="7"/>
    </row>
    <row r="9348" spans="1:8" x14ac:dyDescent="0.35">
      <c r="A9348" s="7" t="s">
        <v>378</v>
      </c>
      <c r="B9348" s="7" t="s">
        <v>26</v>
      </c>
      <c r="C9348" s="7" t="s">
        <v>27</v>
      </c>
      <c r="D9348" s="7" t="s">
        <v>28</v>
      </c>
      <c r="E9348" s="7" t="s">
        <v>29</v>
      </c>
      <c r="F9348" s="7" t="s">
        <v>136</v>
      </c>
      <c r="G9348" s="7">
        <v>100.95180000000001</v>
      </c>
      <c r="H9348" s="7"/>
    </row>
    <row r="9349" spans="1:8" x14ac:dyDescent="0.35">
      <c r="A9349" s="7" t="s">
        <v>378</v>
      </c>
      <c r="B9349" s="7" t="s">
        <v>26</v>
      </c>
      <c r="C9349" s="7" t="s">
        <v>27</v>
      </c>
      <c r="D9349" s="7" t="s">
        <v>28</v>
      </c>
      <c r="E9349" s="7" t="s">
        <v>29</v>
      </c>
      <c r="F9349" s="7" t="s">
        <v>137</v>
      </c>
      <c r="G9349" s="7">
        <v>101.34439999999999</v>
      </c>
      <c r="H9349" s="7"/>
    </row>
    <row r="9350" spans="1:8" x14ac:dyDescent="0.35">
      <c r="A9350" s="7" t="s">
        <v>378</v>
      </c>
      <c r="B9350" s="7" t="s">
        <v>26</v>
      </c>
      <c r="C9350" s="7" t="s">
        <v>27</v>
      </c>
      <c r="D9350" s="7" t="s">
        <v>28</v>
      </c>
      <c r="E9350" s="7" t="s">
        <v>29</v>
      </c>
      <c r="F9350" s="7" t="s">
        <v>138</v>
      </c>
      <c r="G9350" s="7">
        <v>101.6371</v>
      </c>
      <c r="H9350" s="7"/>
    </row>
    <row r="9351" spans="1:8" x14ac:dyDescent="0.35">
      <c r="A9351" s="7" t="s">
        <v>378</v>
      </c>
      <c r="B9351" s="7" t="s">
        <v>26</v>
      </c>
      <c r="C9351" s="7" t="s">
        <v>27</v>
      </c>
      <c r="D9351" s="7" t="s">
        <v>28</v>
      </c>
      <c r="E9351" s="7" t="s">
        <v>29</v>
      </c>
      <c r="F9351" s="7" t="s">
        <v>139</v>
      </c>
      <c r="G9351" s="7">
        <v>101.6878</v>
      </c>
      <c r="H9351" s="7"/>
    </row>
    <row r="9352" spans="1:8" x14ac:dyDescent="0.35">
      <c r="A9352" s="7" t="s">
        <v>378</v>
      </c>
      <c r="B9352" s="7" t="s">
        <v>26</v>
      </c>
      <c r="C9352" s="7" t="s">
        <v>27</v>
      </c>
      <c r="D9352" s="7" t="s">
        <v>28</v>
      </c>
      <c r="E9352" s="7" t="s">
        <v>29</v>
      </c>
      <c r="F9352" s="7" t="s">
        <v>140</v>
      </c>
      <c r="G9352" s="7">
        <v>101.6919</v>
      </c>
      <c r="H9352" s="7"/>
    </row>
    <row r="9353" spans="1:8" x14ac:dyDescent="0.35">
      <c r="A9353" s="7" t="s">
        <v>378</v>
      </c>
      <c r="B9353" s="7" t="s">
        <v>26</v>
      </c>
      <c r="C9353" s="7" t="s">
        <v>27</v>
      </c>
      <c r="D9353" s="7" t="s">
        <v>28</v>
      </c>
      <c r="E9353" s="7" t="s">
        <v>29</v>
      </c>
      <c r="F9353" s="7" t="s">
        <v>141</v>
      </c>
      <c r="G9353" s="7">
        <v>101.6773</v>
      </c>
      <c r="H9353" s="7"/>
    </row>
    <row r="9354" spans="1:8" x14ac:dyDescent="0.35">
      <c r="A9354" s="7" t="s">
        <v>378</v>
      </c>
      <c r="B9354" s="7" t="s">
        <v>26</v>
      </c>
      <c r="C9354" s="7" t="s">
        <v>27</v>
      </c>
      <c r="D9354" s="7" t="s">
        <v>28</v>
      </c>
      <c r="E9354" s="7" t="s">
        <v>29</v>
      </c>
      <c r="F9354" s="7" t="s">
        <v>142</v>
      </c>
      <c r="G9354" s="7">
        <v>101.6258</v>
      </c>
      <c r="H9354" s="7"/>
    </row>
    <row r="9355" spans="1:8" x14ac:dyDescent="0.35">
      <c r="A9355" s="7" t="s">
        <v>378</v>
      </c>
      <c r="B9355" s="7" t="s">
        <v>26</v>
      </c>
      <c r="C9355" s="7" t="s">
        <v>27</v>
      </c>
      <c r="D9355" s="7" t="s">
        <v>28</v>
      </c>
      <c r="E9355" s="7" t="s">
        <v>29</v>
      </c>
      <c r="F9355" s="7" t="s">
        <v>143</v>
      </c>
      <c r="G9355" s="7">
        <v>101.53919999999999</v>
      </c>
      <c r="H9355" s="7"/>
    </row>
    <row r="9356" spans="1:8" x14ac:dyDescent="0.35">
      <c r="A9356" s="7" t="s">
        <v>378</v>
      </c>
      <c r="B9356" s="7" t="s">
        <v>26</v>
      </c>
      <c r="C9356" s="7" t="s">
        <v>27</v>
      </c>
      <c r="D9356" s="7" t="s">
        <v>28</v>
      </c>
      <c r="E9356" s="7" t="s">
        <v>29</v>
      </c>
      <c r="F9356" s="7" t="s">
        <v>144</v>
      </c>
      <c r="G9356" s="7">
        <v>101.4648</v>
      </c>
      <c r="H9356" s="7"/>
    </row>
    <row r="9357" spans="1:8" x14ac:dyDescent="0.35">
      <c r="A9357" s="7" t="s">
        <v>378</v>
      </c>
      <c r="B9357" s="7" t="s">
        <v>26</v>
      </c>
      <c r="C9357" s="7" t="s">
        <v>27</v>
      </c>
      <c r="D9357" s="7" t="s">
        <v>28</v>
      </c>
      <c r="E9357" s="7" t="s">
        <v>29</v>
      </c>
      <c r="F9357" s="7" t="s">
        <v>145</v>
      </c>
      <c r="G9357" s="7">
        <v>101.5569</v>
      </c>
      <c r="H9357" s="7"/>
    </row>
    <row r="9358" spans="1:8" x14ac:dyDescent="0.35">
      <c r="A9358" s="7" t="s">
        <v>378</v>
      </c>
      <c r="B9358" s="7" t="s">
        <v>26</v>
      </c>
      <c r="C9358" s="7" t="s">
        <v>27</v>
      </c>
      <c r="D9358" s="7" t="s">
        <v>28</v>
      </c>
      <c r="E9358" s="7" t="s">
        <v>29</v>
      </c>
      <c r="F9358" s="7" t="s">
        <v>146</v>
      </c>
      <c r="G9358" s="7">
        <v>101.49420000000001</v>
      </c>
      <c r="H9358" s="7"/>
    </row>
    <row r="9359" spans="1:8" x14ac:dyDescent="0.35">
      <c r="A9359" s="7" t="s">
        <v>378</v>
      </c>
      <c r="B9359" s="7" t="s">
        <v>26</v>
      </c>
      <c r="C9359" s="7" t="s">
        <v>27</v>
      </c>
      <c r="D9359" s="7" t="s">
        <v>28</v>
      </c>
      <c r="E9359" s="7" t="s">
        <v>29</v>
      </c>
      <c r="F9359" s="7" t="s">
        <v>147</v>
      </c>
      <c r="G9359" s="7">
        <v>101.3229</v>
      </c>
      <c r="H9359" s="7"/>
    </row>
    <row r="9360" spans="1:8" x14ac:dyDescent="0.35">
      <c r="A9360" s="7" t="s">
        <v>378</v>
      </c>
      <c r="B9360" s="7" t="s">
        <v>26</v>
      </c>
      <c r="C9360" s="7" t="s">
        <v>27</v>
      </c>
      <c r="D9360" s="7" t="s">
        <v>28</v>
      </c>
      <c r="E9360" s="7" t="s">
        <v>29</v>
      </c>
      <c r="F9360" s="7" t="s">
        <v>148</v>
      </c>
      <c r="G9360" s="7">
        <v>101.2159</v>
      </c>
      <c r="H9360" s="7"/>
    </row>
    <row r="9361" spans="1:8" x14ac:dyDescent="0.35">
      <c r="A9361" s="7" t="s">
        <v>378</v>
      </c>
      <c r="B9361" s="7" t="s">
        <v>26</v>
      </c>
      <c r="C9361" s="7" t="s">
        <v>27</v>
      </c>
      <c r="D9361" s="7" t="s">
        <v>28</v>
      </c>
      <c r="E9361" s="7" t="s">
        <v>29</v>
      </c>
      <c r="F9361" s="7" t="s">
        <v>149</v>
      </c>
      <c r="G9361" s="7">
        <v>100.9618</v>
      </c>
      <c r="H9361" s="7"/>
    </row>
    <row r="9362" spans="1:8" x14ac:dyDescent="0.35">
      <c r="A9362" s="7" t="s">
        <v>378</v>
      </c>
      <c r="B9362" s="7" t="s">
        <v>26</v>
      </c>
      <c r="C9362" s="7" t="s">
        <v>27</v>
      </c>
      <c r="D9362" s="7" t="s">
        <v>28</v>
      </c>
      <c r="E9362" s="7" t="s">
        <v>29</v>
      </c>
      <c r="F9362" s="7" t="s">
        <v>150</v>
      </c>
      <c r="G9362" s="7">
        <v>100.729</v>
      </c>
      <c r="H9362" s="7"/>
    </row>
    <row r="9363" spans="1:8" x14ac:dyDescent="0.35">
      <c r="A9363" s="7" t="s">
        <v>378</v>
      </c>
      <c r="B9363" s="7" t="s">
        <v>26</v>
      </c>
      <c r="C9363" s="7" t="s">
        <v>27</v>
      </c>
      <c r="D9363" s="7" t="s">
        <v>28</v>
      </c>
      <c r="E9363" s="7" t="s">
        <v>29</v>
      </c>
      <c r="F9363" s="7" t="s">
        <v>151</v>
      </c>
      <c r="G9363" s="7">
        <v>100.5866</v>
      </c>
      <c r="H9363" s="7"/>
    </row>
    <row r="9364" spans="1:8" x14ac:dyDescent="0.35">
      <c r="A9364" s="7" t="s">
        <v>378</v>
      </c>
      <c r="B9364" s="7" t="s">
        <v>26</v>
      </c>
      <c r="C9364" s="7" t="s">
        <v>27</v>
      </c>
      <c r="D9364" s="7" t="s">
        <v>28</v>
      </c>
      <c r="E9364" s="7" t="s">
        <v>29</v>
      </c>
      <c r="F9364" s="7" t="s">
        <v>152</v>
      </c>
      <c r="G9364" s="7">
        <v>100.10550000000001</v>
      </c>
      <c r="H9364" s="7"/>
    </row>
    <row r="9365" spans="1:8" x14ac:dyDescent="0.35">
      <c r="A9365" s="7" t="s">
        <v>378</v>
      </c>
      <c r="B9365" s="7" t="s">
        <v>26</v>
      </c>
      <c r="C9365" s="7" t="s">
        <v>27</v>
      </c>
      <c r="D9365" s="7" t="s">
        <v>28</v>
      </c>
      <c r="E9365" s="7" t="s">
        <v>29</v>
      </c>
      <c r="F9365" s="7" t="s">
        <v>153</v>
      </c>
      <c r="G9365" s="7">
        <v>99.309520000000006</v>
      </c>
      <c r="H9365" s="7"/>
    </row>
    <row r="9366" spans="1:8" x14ac:dyDescent="0.35">
      <c r="A9366" s="7" t="s">
        <v>378</v>
      </c>
      <c r="B9366" s="7" t="s">
        <v>26</v>
      </c>
      <c r="C9366" s="7" t="s">
        <v>27</v>
      </c>
      <c r="D9366" s="7" t="s">
        <v>28</v>
      </c>
      <c r="E9366" s="7" t="s">
        <v>29</v>
      </c>
      <c r="F9366" s="7" t="s">
        <v>154</v>
      </c>
      <c r="G9366" s="7">
        <v>98.903670000000005</v>
      </c>
      <c r="H9366" s="7"/>
    </row>
    <row r="9367" spans="1:8" x14ac:dyDescent="0.35">
      <c r="A9367" s="7" t="s">
        <v>378</v>
      </c>
      <c r="B9367" s="7" t="s">
        <v>26</v>
      </c>
      <c r="C9367" s="7" t="s">
        <v>27</v>
      </c>
      <c r="D9367" s="7" t="s">
        <v>28</v>
      </c>
      <c r="E9367" s="7" t="s">
        <v>29</v>
      </c>
      <c r="F9367" s="7" t="s">
        <v>155</v>
      </c>
      <c r="G9367" s="7">
        <v>99.047809999999998</v>
      </c>
      <c r="H9367" s="7"/>
    </row>
    <row r="9368" spans="1:8" x14ac:dyDescent="0.35">
      <c r="A9368" s="7" t="s">
        <v>378</v>
      </c>
      <c r="B9368" s="7" t="s">
        <v>26</v>
      </c>
      <c r="C9368" s="7" t="s">
        <v>27</v>
      </c>
      <c r="D9368" s="7" t="s">
        <v>28</v>
      </c>
      <c r="E9368" s="7" t="s">
        <v>29</v>
      </c>
      <c r="F9368" s="7" t="s">
        <v>156</v>
      </c>
      <c r="G9368" s="7">
        <v>99.534869999999998</v>
      </c>
      <c r="H9368" s="7"/>
    </row>
    <row r="9369" spans="1:8" x14ac:dyDescent="0.35">
      <c r="A9369" s="7" t="s">
        <v>378</v>
      </c>
      <c r="B9369" s="7" t="s">
        <v>26</v>
      </c>
      <c r="C9369" s="7" t="s">
        <v>27</v>
      </c>
      <c r="D9369" s="7" t="s">
        <v>28</v>
      </c>
      <c r="E9369" s="7" t="s">
        <v>29</v>
      </c>
      <c r="F9369" s="7" t="s">
        <v>157</v>
      </c>
      <c r="G9369" s="7">
        <v>99.924869999999999</v>
      </c>
      <c r="H9369" s="7"/>
    </row>
    <row r="9370" spans="1:8" x14ac:dyDescent="0.35">
      <c r="A9370" s="7" t="s">
        <v>378</v>
      </c>
      <c r="B9370" s="7" t="s">
        <v>26</v>
      </c>
      <c r="C9370" s="7" t="s">
        <v>27</v>
      </c>
      <c r="D9370" s="7" t="s">
        <v>28</v>
      </c>
      <c r="E9370" s="7" t="s">
        <v>29</v>
      </c>
      <c r="F9370" s="7" t="s">
        <v>158</v>
      </c>
      <c r="G9370" s="7">
        <v>99.866780000000006</v>
      </c>
      <c r="H9370" s="7"/>
    </row>
    <row r="9371" spans="1:8" x14ac:dyDescent="0.35">
      <c r="A9371" s="7" t="s">
        <v>378</v>
      </c>
      <c r="B9371" s="7" t="s">
        <v>26</v>
      </c>
      <c r="C9371" s="7" t="s">
        <v>27</v>
      </c>
      <c r="D9371" s="7" t="s">
        <v>28</v>
      </c>
      <c r="E9371" s="7" t="s">
        <v>29</v>
      </c>
      <c r="F9371" s="7" t="s">
        <v>159</v>
      </c>
      <c r="G9371" s="7">
        <v>99.770340000000004</v>
      </c>
      <c r="H9371" s="7"/>
    </row>
    <row r="9372" spans="1:8" x14ac:dyDescent="0.35">
      <c r="A9372" s="7" t="s">
        <v>378</v>
      </c>
      <c r="B9372" s="7" t="s">
        <v>26</v>
      </c>
      <c r="C9372" s="7" t="s">
        <v>27</v>
      </c>
      <c r="D9372" s="7" t="s">
        <v>28</v>
      </c>
      <c r="E9372" s="7" t="s">
        <v>29</v>
      </c>
      <c r="F9372" s="7" t="s">
        <v>160</v>
      </c>
      <c r="G9372" s="7">
        <v>99.777069999999995</v>
      </c>
      <c r="H9372" s="7"/>
    </row>
    <row r="9373" spans="1:8" x14ac:dyDescent="0.35">
      <c r="A9373" s="7" t="s">
        <v>378</v>
      </c>
      <c r="B9373" s="7" t="s">
        <v>26</v>
      </c>
      <c r="C9373" s="7" t="s">
        <v>27</v>
      </c>
      <c r="D9373" s="7" t="s">
        <v>28</v>
      </c>
      <c r="E9373" s="7" t="s">
        <v>29</v>
      </c>
      <c r="F9373" s="7" t="s">
        <v>161</v>
      </c>
      <c r="G9373" s="7">
        <v>99.957840000000004</v>
      </c>
      <c r="H9373" s="7"/>
    </row>
    <row r="9374" spans="1:8" x14ac:dyDescent="0.35">
      <c r="A9374" s="7" t="s">
        <v>378</v>
      </c>
      <c r="B9374" s="7" t="s">
        <v>26</v>
      </c>
      <c r="C9374" s="7" t="s">
        <v>27</v>
      </c>
      <c r="D9374" s="7" t="s">
        <v>28</v>
      </c>
      <c r="E9374" s="7" t="s">
        <v>29</v>
      </c>
      <c r="F9374" s="7" t="s">
        <v>162</v>
      </c>
      <c r="G9374" s="7">
        <v>100.38200000000001</v>
      </c>
      <c r="H9374" s="7"/>
    </row>
    <row r="9375" spans="1:8" x14ac:dyDescent="0.35">
      <c r="A9375" s="7" t="s">
        <v>378</v>
      </c>
      <c r="B9375" s="7" t="s">
        <v>26</v>
      </c>
      <c r="C9375" s="7" t="s">
        <v>27</v>
      </c>
      <c r="D9375" s="7" t="s">
        <v>28</v>
      </c>
      <c r="E9375" s="7" t="s">
        <v>29</v>
      </c>
      <c r="F9375" s="7" t="s">
        <v>163</v>
      </c>
      <c r="G9375" s="7">
        <v>100.5573</v>
      </c>
      <c r="H9375" s="7"/>
    </row>
    <row r="9376" spans="1:8" x14ac:dyDescent="0.35">
      <c r="A9376" s="7" t="s">
        <v>378</v>
      </c>
      <c r="B9376" s="7" t="s">
        <v>26</v>
      </c>
      <c r="C9376" s="7" t="s">
        <v>27</v>
      </c>
      <c r="D9376" s="7" t="s">
        <v>28</v>
      </c>
      <c r="E9376" s="7" t="s">
        <v>29</v>
      </c>
      <c r="F9376" s="7" t="s">
        <v>164</v>
      </c>
      <c r="G9376" s="7">
        <v>100.3711</v>
      </c>
      <c r="H9376" s="7"/>
    </row>
    <row r="9377" spans="1:8" x14ac:dyDescent="0.35">
      <c r="A9377" s="7" t="s">
        <v>378</v>
      </c>
      <c r="B9377" s="7" t="s">
        <v>26</v>
      </c>
      <c r="C9377" s="7" t="s">
        <v>27</v>
      </c>
      <c r="D9377" s="7" t="s">
        <v>28</v>
      </c>
      <c r="E9377" s="7" t="s">
        <v>29</v>
      </c>
      <c r="F9377" s="7" t="s">
        <v>165</v>
      </c>
      <c r="G9377" s="7">
        <v>100.16759999999999</v>
      </c>
      <c r="H9377" s="7"/>
    </row>
    <row r="9378" spans="1:8" x14ac:dyDescent="0.35">
      <c r="A9378" s="7" t="s">
        <v>378</v>
      </c>
      <c r="B9378" s="7" t="s">
        <v>26</v>
      </c>
      <c r="C9378" s="7" t="s">
        <v>27</v>
      </c>
      <c r="D9378" s="7" t="s">
        <v>28</v>
      </c>
      <c r="E9378" s="7" t="s">
        <v>29</v>
      </c>
      <c r="F9378" s="7" t="s">
        <v>166</v>
      </c>
      <c r="G9378" s="7">
        <v>100.12560000000001</v>
      </c>
      <c r="H9378" s="7"/>
    </row>
    <row r="9379" spans="1:8" x14ac:dyDescent="0.35">
      <c r="A9379" s="7" t="s">
        <v>378</v>
      </c>
      <c r="B9379" s="7" t="s">
        <v>26</v>
      </c>
      <c r="C9379" s="7" t="s">
        <v>27</v>
      </c>
      <c r="D9379" s="7" t="s">
        <v>28</v>
      </c>
      <c r="E9379" s="7" t="s">
        <v>29</v>
      </c>
      <c r="F9379" s="7" t="s">
        <v>167</v>
      </c>
      <c r="G9379" s="7">
        <v>100.0819</v>
      </c>
      <c r="H9379" s="7"/>
    </row>
    <row r="9380" spans="1:8" x14ac:dyDescent="0.35">
      <c r="A9380" s="7" t="s">
        <v>378</v>
      </c>
      <c r="B9380" s="7" t="s">
        <v>26</v>
      </c>
      <c r="C9380" s="7" t="s">
        <v>27</v>
      </c>
      <c r="D9380" s="7" t="s">
        <v>28</v>
      </c>
      <c r="E9380" s="7" t="s">
        <v>29</v>
      </c>
      <c r="F9380" s="7" t="s">
        <v>168</v>
      </c>
      <c r="G9380" s="7">
        <v>100.0291</v>
      </c>
      <c r="H9380" s="7"/>
    </row>
    <row r="9381" spans="1:8" x14ac:dyDescent="0.35">
      <c r="A9381" s="7" t="s">
        <v>378</v>
      </c>
      <c r="B9381" s="7" t="s">
        <v>26</v>
      </c>
      <c r="C9381" s="7" t="s">
        <v>27</v>
      </c>
      <c r="D9381" s="7" t="s">
        <v>28</v>
      </c>
      <c r="E9381" s="7" t="s">
        <v>29</v>
      </c>
      <c r="F9381" s="7" t="s">
        <v>169</v>
      </c>
      <c r="G9381" s="7">
        <v>100.03279999999999</v>
      </c>
      <c r="H9381" s="7"/>
    </row>
    <row r="9382" spans="1:8" x14ac:dyDescent="0.35">
      <c r="A9382" s="7" t="s">
        <v>378</v>
      </c>
      <c r="B9382" s="7" t="s">
        <v>26</v>
      </c>
      <c r="C9382" s="7" t="s">
        <v>27</v>
      </c>
      <c r="D9382" s="7" t="s">
        <v>28</v>
      </c>
      <c r="E9382" s="7" t="s">
        <v>29</v>
      </c>
      <c r="F9382" s="7" t="s">
        <v>170</v>
      </c>
      <c r="G9382" s="7">
        <v>99.904690000000002</v>
      </c>
      <c r="H9382" s="7"/>
    </row>
    <row r="9383" spans="1:8" x14ac:dyDescent="0.35">
      <c r="A9383" s="7" t="s">
        <v>378</v>
      </c>
      <c r="B9383" s="7" t="s">
        <v>26</v>
      </c>
      <c r="C9383" s="7" t="s">
        <v>27</v>
      </c>
      <c r="D9383" s="7" t="s">
        <v>28</v>
      </c>
      <c r="E9383" s="7" t="s">
        <v>29</v>
      </c>
      <c r="F9383" s="7" t="s">
        <v>171</v>
      </c>
      <c r="G9383" s="7">
        <v>99.907359999999997</v>
      </c>
      <c r="H9383" s="7"/>
    </row>
    <row r="9384" spans="1:8" x14ac:dyDescent="0.35">
      <c r="A9384" s="7" t="s">
        <v>378</v>
      </c>
      <c r="B9384" s="7" t="s">
        <v>26</v>
      </c>
      <c r="C9384" s="7" t="s">
        <v>27</v>
      </c>
      <c r="D9384" s="7" t="s">
        <v>28</v>
      </c>
      <c r="E9384" s="7" t="s">
        <v>29</v>
      </c>
      <c r="F9384" s="7" t="s">
        <v>172</v>
      </c>
      <c r="G9384" s="7">
        <v>99.921300000000002</v>
      </c>
      <c r="H9384" s="7"/>
    </row>
    <row r="9385" spans="1:8" x14ac:dyDescent="0.35">
      <c r="A9385" s="7" t="s">
        <v>378</v>
      </c>
      <c r="B9385" s="7" t="s">
        <v>26</v>
      </c>
      <c r="C9385" s="7" t="s">
        <v>27</v>
      </c>
      <c r="D9385" s="7" t="s">
        <v>28</v>
      </c>
      <c r="E9385" s="7" t="s">
        <v>29</v>
      </c>
      <c r="F9385" s="7" t="s">
        <v>173</v>
      </c>
      <c r="G9385" s="7">
        <v>99.821569999999994</v>
      </c>
      <c r="H9385" s="7"/>
    </row>
    <row r="9386" spans="1:8" x14ac:dyDescent="0.35">
      <c r="A9386" s="7" t="s">
        <v>378</v>
      </c>
      <c r="B9386" s="7" t="s">
        <v>26</v>
      </c>
      <c r="C9386" s="7" t="s">
        <v>27</v>
      </c>
      <c r="D9386" s="7" t="s">
        <v>28</v>
      </c>
      <c r="E9386" s="7" t="s">
        <v>29</v>
      </c>
      <c r="F9386" s="7" t="s">
        <v>174</v>
      </c>
      <c r="G9386" s="7">
        <v>99.565029999999993</v>
      </c>
      <c r="H9386" s="7"/>
    </row>
    <row r="9387" spans="1:8" x14ac:dyDescent="0.35">
      <c r="A9387" s="7" t="s">
        <v>378</v>
      </c>
      <c r="B9387" s="7" t="s">
        <v>26</v>
      </c>
      <c r="C9387" s="7" t="s">
        <v>27</v>
      </c>
      <c r="D9387" s="7" t="s">
        <v>28</v>
      </c>
      <c r="E9387" s="7" t="s">
        <v>29</v>
      </c>
      <c r="F9387" s="7" t="s">
        <v>175</v>
      </c>
      <c r="G9387" s="7">
        <v>99.289990000000003</v>
      </c>
      <c r="H9387" s="7"/>
    </row>
    <row r="9388" spans="1:8" x14ac:dyDescent="0.35">
      <c r="A9388" s="7" t="s">
        <v>378</v>
      </c>
      <c r="B9388" s="7" t="s">
        <v>26</v>
      </c>
      <c r="C9388" s="7" t="s">
        <v>27</v>
      </c>
      <c r="D9388" s="7" t="s">
        <v>28</v>
      </c>
      <c r="E9388" s="7" t="s">
        <v>29</v>
      </c>
      <c r="F9388" s="7" t="s">
        <v>176</v>
      </c>
      <c r="G9388" s="7">
        <v>98.991330000000005</v>
      </c>
      <c r="H9388" s="7"/>
    </row>
    <row r="9389" spans="1:8" x14ac:dyDescent="0.35">
      <c r="A9389" s="7" t="s">
        <v>378</v>
      </c>
      <c r="B9389" s="7" t="s">
        <v>26</v>
      </c>
      <c r="C9389" s="7" t="s">
        <v>27</v>
      </c>
      <c r="D9389" s="7" t="s">
        <v>28</v>
      </c>
      <c r="E9389" s="7" t="s">
        <v>29</v>
      </c>
      <c r="F9389" s="7" t="s">
        <v>177</v>
      </c>
      <c r="G9389" s="7">
        <v>98.643870000000007</v>
      </c>
      <c r="H9389" s="7"/>
    </row>
    <row r="9390" spans="1:8" x14ac:dyDescent="0.35">
      <c r="A9390" s="7" t="s">
        <v>378</v>
      </c>
      <c r="B9390" s="7" t="s">
        <v>26</v>
      </c>
      <c r="C9390" s="7" t="s">
        <v>27</v>
      </c>
      <c r="D9390" s="7" t="s">
        <v>28</v>
      </c>
      <c r="E9390" s="7" t="s">
        <v>29</v>
      </c>
      <c r="F9390" s="7" t="s">
        <v>178</v>
      </c>
      <c r="G9390" s="7">
        <v>98.804349999999999</v>
      </c>
      <c r="H9390" s="7"/>
    </row>
    <row r="9391" spans="1:8" x14ac:dyDescent="0.35">
      <c r="A9391" s="7" t="s">
        <v>378</v>
      </c>
      <c r="B9391" s="7" t="s">
        <v>26</v>
      </c>
      <c r="C9391" s="7" t="s">
        <v>27</v>
      </c>
      <c r="D9391" s="7" t="s">
        <v>28</v>
      </c>
      <c r="E9391" s="7" t="s">
        <v>29</v>
      </c>
      <c r="F9391" s="7" t="s">
        <v>179</v>
      </c>
      <c r="G9391" s="7">
        <v>99.214590000000001</v>
      </c>
      <c r="H9391" s="7"/>
    </row>
    <row r="9392" spans="1:8" x14ac:dyDescent="0.35">
      <c r="A9392" s="7" t="s">
        <v>378</v>
      </c>
      <c r="B9392" s="7" t="s">
        <v>26</v>
      </c>
      <c r="C9392" s="7" t="s">
        <v>27</v>
      </c>
      <c r="D9392" s="7" t="s">
        <v>28</v>
      </c>
      <c r="E9392" s="7" t="s">
        <v>29</v>
      </c>
      <c r="F9392" s="7" t="s">
        <v>180</v>
      </c>
      <c r="G9392" s="7">
        <v>99.753330000000005</v>
      </c>
      <c r="H9392" s="7"/>
    </row>
    <row r="9393" spans="1:8" x14ac:dyDescent="0.35">
      <c r="A9393" s="7" t="s">
        <v>378</v>
      </c>
      <c r="B9393" s="7" t="s">
        <v>26</v>
      </c>
      <c r="C9393" s="7" t="s">
        <v>27</v>
      </c>
      <c r="D9393" s="7" t="s">
        <v>28</v>
      </c>
      <c r="E9393" s="7" t="s">
        <v>29</v>
      </c>
      <c r="F9393" s="7" t="s">
        <v>181</v>
      </c>
      <c r="G9393" s="7">
        <v>100.2029</v>
      </c>
      <c r="H9393" s="7"/>
    </row>
    <row r="9394" spans="1:8" x14ac:dyDescent="0.35">
      <c r="A9394" s="7" t="s">
        <v>378</v>
      </c>
      <c r="B9394" s="7" t="s">
        <v>26</v>
      </c>
      <c r="C9394" s="7" t="s">
        <v>27</v>
      </c>
      <c r="D9394" s="7" t="s">
        <v>28</v>
      </c>
      <c r="E9394" s="7" t="s">
        <v>29</v>
      </c>
      <c r="F9394" s="7" t="s">
        <v>182</v>
      </c>
      <c r="G9394" s="7">
        <v>100.646</v>
      </c>
      <c r="H9394" s="7"/>
    </row>
    <row r="9395" spans="1:8" x14ac:dyDescent="0.35">
      <c r="A9395" s="7" t="s">
        <v>378</v>
      </c>
      <c r="B9395" s="7" t="s">
        <v>26</v>
      </c>
      <c r="C9395" s="7" t="s">
        <v>27</v>
      </c>
      <c r="D9395" s="7" t="s">
        <v>28</v>
      </c>
      <c r="E9395" s="7" t="s">
        <v>29</v>
      </c>
      <c r="F9395" s="7" t="s">
        <v>183</v>
      </c>
      <c r="G9395" s="7">
        <v>101.09180000000001</v>
      </c>
      <c r="H9395" s="7"/>
    </row>
    <row r="9396" spans="1:8" x14ac:dyDescent="0.35">
      <c r="A9396" s="7" t="s">
        <v>378</v>
      </c>
      <c r="B9396" s="7" t="s">
        <v>26</v>
      </c>
      <c r="C9396" s="7" t="s">
        <v>27</v>
      </c>
      <c r="D9396" s="7" t="s">
        <v>28</v>
      </c>
      <c r="E9396" s="7" t="s">
        <v>29</v>
      </c>
      <c r="F9396" s="7" t="s">
        <v>184</v>
      </c>
      <c r="G9396" s="7">
        <v>101.46259999999999</v>
      </c>
      <c r="H9396" s="7"/>
    </row>
    <row r="9397" spans="1:8" x14ac:dyDescent="0.35">
      <c r="A9397" s="7" t="s">
        <v>378</v>
      </c>
      <c r="B9397" s="7" t="s">
        <v>26</v>
      </c>
      <c r="C9397" s="7" t="s">
        <v>27</v>
      </c>
      <c r="D9397" s="7" t="s">
        <v>28</v>
      </c>
      <c r="E9397" s="7" t="s">
        <v>29</v>
      </c>
      <c r="F9397" s="7" t="s">
        <v>185</v>
      </c>
      <c r="G9397" s="7">
        <v>101.72969999999999</v>
      </c>
      <c r="H9397" s="7"/>
    </row>
    <row r="9398" spans="1:8" x14ac:dyDescent="0.35">
      <c r="A9398" s="7" t="s">
        <v>378</v>
      </c>
      <c r="B9398" s="7" t="s">
        <v>26</v>
      </c>
      <c r="C9398" s="7" t="s">
        <v>27</v>
      </c>
      <c r="D9398" s="7" t="s">
        <v>28</v>
      </c>
      <c r="E9398" s="7" t="s">
        <v>29</v>
      </c>
      <c r="F9398" s="7" t="s">
        <v>186</v>
      </c>
      <c r="G9398" s="7">
        <v>101.315</v>
      </c>
      <c r="H9398" s="7"/>
    </row>
    <row r="9399" spans="1:8" x14ac:dyDescent="0.35">
      <c r="A9399" s="7" t="s">
        <v>378</v>
      </c>
      <c r="B9399" s="7" t="s">
        <v>26</v>
      </c>
      <c r="C9399" s="7" t="s">
        <v>27</v>
      </c>
      <c r="D9399" s="7" t="s">
        <v>28</v>
      </c>
      <c r="E9399" s="7" t="s">
        <v>29</v>
      </c>
      <c r="F9399" s="7" t="s">
        <v>187</v>
      </c>
      <c r="G9399" s="7">
        <v>100.69459999999999</v>
      </c>
      <c r="H9399" s="7"/>
    </row>
    <row r="9400" spans="1:8" x14ac:dyDescent="0.35">
      <c r="A9400" s="7" t="s">
        <v>378</v>
      </c>
      <c r="B9400" s="7" t="s">
        <v>26</v>
      </c>
      <c r="C9400" s="7" t="s">
        <v>27</v>
      </c>
      <c r="D9400" s="7" t="s">
        <v>28</v>
      </c>
      <c r="E9400" s="7" t="s">
        <v>29</v>
      </c>
      <c r="F9400" s="7" t="s">
        <v>188</v>
      </c>
      <c r="G9400" s="7">
        <v>100.4481</v>
      </c>
      <c r="H9400" s="7"/>
    </row>
    <row r="9401" spans="1:8" x14ac:dyDescent="0.35">
      <c r="A9401" s="7" t="s">
        <v>378</v>
      </c>
      <c r="B9401" s="7" t="s">
        <v>26</v>
      </c>
      <c r="C9401" s="7" t="s">
        <v>27</v>
      </c>
      <c r="D9401" s="7" t="s">
        <v>28</v>
      </c>
      <c r="E9401" s="7" t="s">
        <v>29</v>
      </c>
      <c r="F9401" s="7" t="s">
        <v>189</v>
      </c>
      <c r="G9401" s="7">
        <v>100.6661</v>
      </c>
      <c r="H9401" s="7"/>
    </row>
    <row r="9402" spans="1:8" x14ac:dyDescent="0.35">
      <c r="A9402" s="7" t="s">
        <v>378</v>
      </c>
      <c r="B9402" s="7" t="s">
        <v>26</v>
      </c>
      <c r="C9402" s="7" t="s">
        <v>27</v>
      </c>
      <c r="D9402" s="7" t="s">
        <v>28</v>
      </c>
      <c r="E9402" s="7" t="s">
        <v>29</v>
      </c>
      <c r="F9402" s="7" t="s">
        <v>190</v>
      </c>
      <c r="G9402" s="7">
        <v>100.9181</v>
      </c>
      <c r="H9402" s="7"/>
    </row>
    <row r="9403" spans="1:8" x14ac:dyDescent="0.35">
      <c r="A9403" s="7" t="s">
        <v>378</v>
      </c>
      <c r="B9403" s="7" t="s">
        <v>26</v>
      </c>
      <c r="C9403" s="7" t="s">
        <v>27</v>
      </c>
      <c r="D9403" s="7" t="s">
        <v>28</v>
      </c>
      <c r="E9403" s="7" t="s">
        <v>29</v>
      </c>
      <c r="F9403" s="7" t="s">
        <v>191</v>
      </c>
      <c r="G9403" s="7">
        <v>101.1472</v>
      </c>
      <c r="H9403" s="7"/>
    </row>
    <row r="9404" spans="1:8" x14ac:dyDescent="0.35">
      <c r="A9404" s="7" t="s">
        <v>378</v>
      </c>
      <c r="B9404" s="7" t="s">
        <v>26</v>
      </c>
      <c r="C9404" s="7" t="s">
        <v>27</v>
      </c>
      <c r="D9404" s="7" t="s">
        <v>28</v>
      </c>
      <c r="E9404" s="7" t="s">
        <v>29</v>
      </c>
      <c r="F9404" s="7" t="s">
        <v>192</v>
      </c>
      <c r="G9404" s="7">
        <v>101.0891</v>
      </c>
      <c r="H9404" s="7"/>
    </row>
    <row r="9405" spans="1:8" x14ac:dyDescent="0.35">
      <c r="A9405" s="7" t="s">
        <v>378</v>
      </c>
      <c r="B9405" s="7" t="s">
        <v>26</v>
      </c>
      <c r="C9405" s="7" t="s">
        <v>27</v>
      </c>
      <c r="D9405" s="7" t="s">
        <v>28</v>
      </c>
      <c r="E9405" s="7" t="s">
        <v>29</v>
      </c>
      <c r="F9405" s="7" t="s">
        <v>193</v>
      </c>
      <c r="G9405" s="7">
        <v>100.7764</v>
      </c>
      <c r="H9405" s="7"/>
    </row>
    <row r="9406" spans="1:8" x14ac:dyDescent="0.35">
      <c r="A9406" s="7" t="s">
        <v>378</v>
      </c>
      <c r="B9406" s="7" t="s">
        <v>26</v>
      </c>
      <c r="C9406" s="7" t="s">
        <v>27</v>
      </c>
      <c r="D9406" s="7" t="s">
        <v>28</v>
      </c>
      <c r="E9406" s="7" t="s">
        <v>29</v>
      </c>
      <c r="F9406" s="7" t="s">
        <v>194</v>
      </c>
      <c r="G9406" s="7">
        <v>100.5714</v>
      </c>
      <c r="H9406" s="7"/>
    </row>
    <row r="9407" spans="1:8" x14ac:dyDescent="0.35">
      <c r="A9407" s="7" t="s">
        <v>378</v>
      </c>
      <c r="B9407" s="7" t="s">
        <v>26</v>
      </c>
      <c r="C9407" s="7" t="s">
        <v>27</v>
      </c>
      <c r="D9407" s="7" t="s">
        <v>28</v>
      </c>
      <c r="E9407" s="7" t="s">
        <v>29</v>
      </c>
      <c r="F9407" s="7" t="s">
        <v>195</v>
      </c>
      <c r="G9407" s="7">
        <v>100.3158</v>
      </c>
      <c r="H9407" s="7"/>
    </row>
    <row r="9408" spans="1:8" x14ac:dyDescent="0.35">
      <c r="A9408" s="7" t="s">
        <v>378</v>
      </c>
      <c r="B9408" s="7" t="s">
        <v>26</v>
      </c>
      <c r="C9408" s="7" t="s">
        <v>27</v>
      </c>
      <c r="D9408" s="7" t="s">
        <v>28</v>
      </c>
      <c r="E9408" s="7" t="s">
        <v>29</v>
      </c>
      <c r="F9408" s="7" t="s">
        <v>196</v>
      </c>
      <c r="G9408" s="7">
        <v>99.838999999999999</v>
      </c>
      <c r="H9408" s="7"/>
    </row>
    <row r="9409" spans="1:8" x14ac:dyDescent="0.35">
      <c r="A9409" s="7" t="s">
        <v>378</v>
      </c>
      <c r="B9409" s="7" t="s">
        <v>26</v>
      </c>
      <c r="C9409" s="7" t="s">
        <v>27</v>
      </c>
      <c r="D9409" s="7" t="s">
        <v>28</v>
      </c>
      <c r="E9409" s="7" t="s">
        <v>29</v>
      </c>
      <c r="F9409" s="7" t="s">
        <v>197</v>
      </c>
      <c r="G9409" s="7">
        <v>99.365750000000006</v>
      </c>
      <c r="H9409" s="7"/>
    </row>
    <row r="9410" spans="1:8" x14ac:dyDescent="0.35">
      <c r="A9410" s="7" t="s">
        <v>378</v>
      </c>
      <c r="B9410" s="7" t="s">
        <v>26</v>
      </c>
      <c r="C9410" s="7" t="s">
        <v>27</v>
      </c>
      <c r="D9410" s="7" t="s">
        <v>28</v>
      </c>
      <c r="E9410" s="7" t="s">
        <v>29</v>
      </c>
      <c r="F9410" s="7" t="s">
        <v>198</v>
      </c>
      <c r="G9410" s="7">
        <v>99.082459999999998</v>
      </c>
      <c r="H9410" s="7"/>
    </row>
    <row r="9411" spans="1:8" x14ac:dyDescent="0.35">
      <c r="A9411" s="7" t="s">
        <v>378</v>
      </c>
      <c r="B9411" s="7" t="s">
        <v>26</v>
      </c>
      <c r="C9411" s="7" t="s">
        <v>27</v>
      </c>
      <c r="D9411" s="7" t="s">
        <v>28</v>
      </c>
      <c r="E9411" s="7" t="s">
        <v>29</v>
      </c>
      <c r="F9411" s="7" t="s">
        <v>199</v>
      </c>
      <c r="G9411" s="7">
        <v>99.383110000000002</v>
      </c>
      <c r="H9411" s="7"/>
    </row>
    <row r="9412" spans="1:8" x14ac:dyDescent="0.35">
      <c r="A9412" s="7" t="s">
        <v>378</v>
      </c>
      <c r="B9412" s="7" t="s">
        <v>26</v>
      </c>
      <c r="C9412" s="7" t="s">
        <v>27</v>
      </c>
      <c r="D9412" s="7" t="s">
        <v>28</v>
      </c>
      <c r="E9412" s="7" t="s">
        <v>29</v>
      </c>
      <c r="F9412" s="7" t="s">
        <v>200</v>
      </c>
      <c r="G9412" s="7">
        <v>100.116</v>
      </c>
      <c r="H9412" s="7"/>
    </row>
    <row r="9413" spans="1:8" x14ac:dyDescent="0.35">
      <c r="A9413" s="7" t="s">
        <v>378</v>
      </c>
      <c r="B9413" s="7" t="s">
        <v>26</v>
      </c>
      <c r="C9413" s="7" t="s">
        <v>27</v>
      </c>
      <c r="D9413" s="7" t="s">
        <v>28</v>
      </c>
      <c r="E9413" s="7" t="s">
        <v>29</v>
      </c>
      <c r="F9413" s="7" t="s">
        <v>201</v>
      </c>
      <c r="G9413" s="7">
        <v>100.4348</v>
      </c>
      <c r="H9413" s="7"/>
    </row>
    <row r="9414" spans="1:8" x14ac:dyDescent="0.35">
      <c r="A9414" s="7" t="s">
        <v>378</v>
      </c>
      <c r="B9414" s="7" t="s">
        <v>26</v>
      </c>
      <c r="C9414" s="7" t="s">
        <v>27</v>
      </c>
      <c r="D9414" s="7" t="s">
        <v>28</v>
      </c>
      <c r="E9414" s="7" t="s">
        <v>29</v>
      </c>
      <c r="F9414" s="7" t="s">
        <v>202</v>
      </c>
      <c r="G9414" s="7">
        <v>100.41670000000001</v>
      </c>
      <c r="H9414" s="7"/>
    </row>
    <row r="9415" spans="1:8" x14ac:dyDescent="0.35">
      <c r="A9415" s="7" t="s">
        <v>378</v>
      </c>
      <c r="B9415" s="7" t="s">
        <v>26</v>
      </c>
      <c r="C9415" s="7" t="s">
        <v>27</v>
      </c>
      <c r="D9415" s="7" t="s">
        <v>28</v>
      </c>
      <c r="E9415" s="7" t="s">
        <v>29</v>
      </c>
      <c r="F9415" s="7" t="s">
        <v>203</v>
      </c>
      <c r="G9415" s="7">
        <v>100.51609999999999</v>
      </c>
      <c r="H9415" s="7"/>
    </row>
    <row r="9416" spans="1:8" x14ac:dyDescent="0.35">
      <c r="A9416" s="7" t="s">
        <v>378</v>
      </c>
      <c r="B9416" s="7" t="s">
        <v>26</v>
      </c>
      <c r="C9416" s="7" t="s">
        <v>27</v>
      </c>
      <c r="D9416" s="7" t="s">
        <v>28</v>
      </c>
      <c r="E9416" s="7" t="s">
        <v>29</v>
      </c>
      <c r="F9416" s="7" t="s">
        <v>204</v>
      </c>
      <c r="G9416" s="7">
        <v>100.9507</v>
      </c>
      <c r="H9416" s="7"/>
    </row>
    <row r="9417" spans="1:8" x14ac:dyDescent="0.35">
      <c r="A9417" s="7" t="s">
        <v>378</v>
      </c>
      <c r="B9417" s="7" t="s">
        <v>26</v>
      </c>
      <c r="C9417" s="7" t="s">
        <v>27</v>
      </c>
      <c r="D9417" s="7" t="s">
        <v>28</v>
      </c>
      <c r="E9417" s="7" t="s">
        <v>29</v>
      </c>
      <c r="F9417" s="7" t="s">
        <v>205</v>
      </c>
      <c r="G9417" s="7">
        <v>101.4756</v>
      </c>
      <c r="H9417" s="7"/>
    </row>
    <row r="9418" spans="1:8" x14ac:dyDescent="0.35">
      <c r="A9418" s="7" t="s">
        <v>378</v>
      </c>
      <c r="B9418" s="7" t="s">
        <v>26</v>
      </c>
      <c r="C9418" s="7" t="s">
        <v>27</v>
      </c>
      <c r="D9418" s="7" t="s">
        <v>28</v>
      </c>
      <c r="E9418" s="7" t="s">
        <v>29</v>
      </c>
      <c r="F9418" s="7" t="s">
        <v>206</v>
      </c>
      <c r="G9418" s="7">
        <v>101.8086</v>
      </c>
      <c r="H9418" s="7"/>
    </row>
    <row r="9419" spans="1:8" x14ac:dyDescent="0.35">
      <c r="A9419" s="7" t="s">
        <v>378</v>
      </c>
      <c r="B9419" s="7" t="s">
        <v>26</v>
      </c>
      <c r="C9419" s="7" t="s">
        <v>27</v>
      </c>
      <c r="D9419" s="7" t="s">
        <v>28</v>
      </c>
      <c r="E9419" s="7" t="s">
        <v>29</v>
      </c>
      <c r="F9419" s="7" t="s">
        <v>207</v>
      </c>
      <c r="G9419" s="7">
        <v>101.8883</v>
      </c>
      <c r="H9419" s="7"/>
    </row>
    <row r="9420" spans="1:8" x14ac:dyDescent="0.35">
      <c r="A9420" s="7" t="s">
        <v>378</v>
      </c>
      <c r="B9420" s="7" t="s">
        <v>26</v>
      </c>
      <c r="C9420" s="7" t="s">
        <v>27</v>
      </c>
      <c r="D9420" s="7" t="s">
        <v>28</v>
      </c>
      <c r="E9420" s="7" t="s">
        <v>29</v>
      </c>
      <c r="F9420" s="7" t="s">
        <v>208</v>
      </c>
      <c r="G9420" s="7">
        <v>101.8454</v>
      </c>
      <c r="H9420" s="7"/>
    </row>
    <row r="9421" spans="1:8" x14ac:dyDescent="0.35">
      <c r="A9421" s="7" t="s">
        <v>378</v>
      </c>
      <c r="B9421" s="7" t="s">
        <v>26</v>
      </c>
      <c r="C9421" s="7" t="s">
        <v>27</v>
      </c>
      <c r="D9421" s="7" t="s">
        <v>28</v>
      </c>
      <c r="E9421" s="7" t="s">
        <v>29</v>
      </c>
      <c r="F9421" s="7" t="s">
        <v>209</v>
      </c>
      <c r="G9421" s="7">
        <v>101.7958</v>
      </c>
      <c r="H9421" s="7"/>
    </row>
    <row r="9422" spans="1:8" x14ac:dyDescent="0.35">
      <c r="A9422" s="7" t="s">
        <v>378</v>
      </c>
      <c r="B9422" s="7" t="s">
        <v>26</v>
      </c>
      <c r="C9422" s="7" t="s">
        <v>27</v>
      </c>
      <c r="D9422" s="7" t="s">
        <v>28</v>
      </c>
      <c r="E9422" s="7" t="s">
        <v>29</v>
      </c>
      <c r="F9422" s="7" t="s">
        <v>210</v>
      </c>
      <c r="G9422" s="7">
        <v>101.8839</v>
      </c>
      <c r="H9422" s="7"/>
    </row>
    <row r="9423" spans="1:8" x14ac:dyDescent="0.35">
      <c r="A9423" s="7" t="s">
        <v>378</v>
      </c>
      <c r="B9423" s="7" t="s">
        <v>26</v>
      </c>
      <c r="C9423" s="7" t="s">
        <v>27</v>
      </c>
      <c r="D9423" s="7" t="s">
        <v>28</v>
      </c>
      <c r="E9423" s="7" t="s">
        <v>29</v>
      </c>
      <c r="F9423" s="7" t="s">
        <v>211</v>
      </c>
      <c r="G9423" s="7">
        <v>102.029</v>
      </c>
      <c r="H9423" s="7"/>
    </row>
    <row r="9424" spans="1:8" x14ac:dyDescent="0.35">
      <c r="A9424" s="7" t="s">
        <v>378</v>
      </c>
      <c r="B9424" s="7" t="s">
        <v>26</v>
      </c>
      <c r="C9424" s="7" t="s">
        <v>27</v>
      </c>
      <c r="D9424" s="7" t="s">
        <v>28</v>
      </c>
      <c r="E9424" s="7" t="s">
        <v>29</v>
      </c>
      <c r="F9424" s="7" t="s">
        <v>212</v>
      </c>
      <c r="G9424" s="7">
        <v>102.3421</v>
      </c>
      <c r="H9424" s="7"/>
    </row>
    <row r="9425" spans="1:8" x14ac:dyDescent="0.35">
      <c r="A9425" s="7" t="s">
        <v>378</v>
      </c>
      <c r="B9425" s="7" t="s">
        <v>26</v>
      </c>
      <c r="C9425" s="7" t="s">
        <v>27</v>
      </c>
      <c r="D9425" s="7" t="s">
        <v>28</v>
      </c>
      <c r="E9425" s="7" t="s">
        <v>29</v>
      </c>
      <c r="F9425" s="7" t="s">
        <v>213</v>
      </c>
      <c r="G9425" s="7">
        <v>102.62779999999999</v>
      </c>
      <c r="H9425" s="7"/>
    </row>
    <row r="9426" spans="1:8" x14ac:dyDescent="0.35">
      <c r="A9426" s="7" t="s">
        <v>378</v>
      </c>
      <c r="B9426" s="7" t="s">
        <v>26</v>
      </c>
      <c r="C9426" s="7" t="s">
        <v>27</v>
      </c>
      <c r="D9426" s="7" t="s">
        <v>28</v>
      </c>
      <c r="E9426" s="7" t="s">
        <v>29</v>
      </c>
      <c r="F9426" s="7" t="s">
        <v>214</v>
      </c>
      <c r="G9426" s="7">
        <v>102.7783</v>
      </c>
      <c r="H9426" s="7"/>
    </row>
    <row r="9427" spans="1:8" x14ac:dyDescent="0.35">
      <c r="A9427" s="7" t="s">
        <v>378</v>
      </c>
      <c r="B9427" s="7" t="s">
        <v>26</v>
      </c>
      <c r="C9427" s="7" t="s">
        <v>27</v>
      </c>
      <c r="D9427" s="7" t="s">
        <v>28</v>
      </c>
      <c r="E9427" s="7" t="s">
        <v>29</v>
      </c>
      <c r="F9427" s="7" t="s">
        <v>215</v>
      </c>
      <c r="G9427" s="7">
        <v>102.8169</v>
      </c>
      <c r="H9427" s="7"/>
    </row>
    <row r="9428" spans="1:8" x14ac:dyDescent="0.35">
      <c r="A9428" s="7" t="s">
        <v>378</v>
      </c>
      <c r="B9428" s="7" t="s">
        <v>26</v>
      </c>
      <c r="C9428" s="7" t="s">
        <v>27</v>
      </c>
      <c r="D9428" s="7" t="s">
        <v>28</v>
      </c>
      <c r="E9428" s="7" t="s">
        <v>29</v>
      </c>
      <c r="F9428" s="7" t="s">
        <v>216</v>
      </c>
      <c r="G9428" s="7">
        <v>103.02500000000001</v>
      </c>
      <c r="H9428" s="7"/>
    </row>
    <row r="9429" spans="1:8" x14ac:dyDescent="0.35">
      <c r="A9429" s="7" t="s">
        <v>378</v>
      </c>
      <c r="B9429" s="7" t="s">
        <v>26</v>
      </c>
      <c r="C9429" s="7" t="s">
        <v>27</v>
      </c>
      <c r="D9429" s="7" t="s">
        <v>28</v>
      </c>
      <c r="E9429" s="7" t="s">
        <v>29</v>
      </c>
      <c r="F9429" s="7" t="s">
        <v>217</v>
      </c>
      <c r="G9429" s="7">
        <v>103.17100000000001</v>
      </c>
      <c r="H9429" s="7"/>
    </row>
    <row r="9430" spans="1:8" x14ac:dyDescent="0.35">
      <c r="A9430" s="7" t="s">
        <v>378</v>
      </c>
      <c r="B9430" s="7" t="s">
        <v>26</v>
      </c>
      <c r="C9430" s="7" t="s">
        <v>27</v>
      </c>
      <c r="D9430" s="7" t="s">
        <v>28</v>
      </c>
      <c r="E9430" s="7" t="s">
        <v>29</v>
      </c>
      <c r="F9430" s="7" t="s">
        <v>218</v>
      </c>
      <c r="G9430" s="7">
        <v>103.2624</v>
      </c>
      <c r="H9430" s="7"/>
    </row>
    <row r="9431" spans="1:8" x14ac:dyDescent="0.35">
      <c r="A9431" s="7" t="s">
        <v>378</v>
      </c>
      <c r="B9431" s="7" t="s">
        <v>26</v>
      </c>
      <c r="C9431" s="7" t="s">
        <v>27</v>
      </c>
      <c r="D9431" s="7" t="s">
        <v>28</v>
      </c>
      <c r="E9431" s="7" t="s">
        <v>29</v>
      </c>
      <c r="F9431" s="7" t="s">
        <v>219</v>
      </c>
      <c r="G9431" s="7">
        <v>102.8184</v>
      </c>
      <c r="H9431" s="7"/>
    </row>
    <row r="9432" spans="1:8" x14ac:dyDescent="0.35">
      <c r="A9432" s="7" t="s">
        <v>378</v>
      </c>
      <c r="B9432" s="7" t="s">
        <v>26</v>
      </c>
      <c r="C9432" s="7" t="s">
        <v>27</v>
      </c>
      <c r="D9432" s="7" t="s">
        <v>28</v>
      </c>
      <c r="E9432" s="7" t="s">
        <v>29</v>
      </c>
      <c r="F9432" s="7" t="s">
        <v>220</v>
      </c>
      <c r="G9432" s="7">
        <v>101.9165</v>
      </c>
      <c r="H9432" s="7"/>
    </row>
    <row r="9433" spans="1:8" x14ac:dyDescent="0.35">
      <c r="A9433" s="7" t="s">
        <v>378</v>
      </c>
      <c r="B9433" s="7" t="s">
        <v>26</v>
      </c>
      <c r="C9433" s="7" t="s">
        <v>27</v>
      </c>
      <c r="D9433" s="7" t="s">
        <v>28</v>
      </c>
      <c r="E9433" s="7" t="s">
        <v>29</v>
      </c>
      <c r="F9433" s="7" t="s">
        <v>221</v>
      </c>
      <c r="G9433" s="7">
        <v>101.1052</v>
      </c>
      <c r="H9433" s="7"/>
    </row>
    <row r="9434" spans="1:8" x14ac:dyDescent="0.35">
      <c r="A9434" s="7" t="s">
        <v>378</v>
      </c>
      <c r="B9434" s="7" t="s">
        <v>26</v>
      </c>
      <c r="C9434" s="7" t="s">
        <v>27</v>
      </c>
      <c r="D9434" s="7" t="s">
        <v>28</v>
      </c>
      <c r="E9434" s="7" t="s">
        <v>29</v>
      </c>
      <c r="F9434" s="7" t="s">
        <v>222</v>
      </c>
      <c r="G9434" s="7">
        <v>100.66289999999999</v>
      </c>
      <c r="H9434" s="7"/>
    </row>
    <row r="9435" spans="1:8" x14ac:dyDescent="0.35">
      <c r="A9435" s="7" t="s">
        <v>378</v>
      </c>
      <c r="B9435" s="7" t="s">
        <v>26</v>
      </c>
      <c r="C9435" s="7" t="s">
        <v>27</v>
      </c>
      <c r="D9435" s="7" t="s">
        <v>28</v>
      </c>
      <c r="E9435" s="7" t="s">
        <v>29</v>
      </c>
      <c r="F9435" s="7" t="s">
        <v>223</v>
      </c>
      <c r="G9435" s="7">
        <v>100.3725</v>
      </c>
      <c r="H9435" s="7"/>
    </row>
    <row r="9436" spans="1:8" x14ac:dyDescent="0.35">
      <c r="A9436" s="7" t="s">
        <v>378</v>
      </c>
      <c r="B9436" s="7" t="s">
        <v>26</v>
      </c>
      <c r="C9436" s="7" t="s">
        <v>27</v>
      </c>
      <c r="D9436" s="7" t="s">
        <v>28</v>
      </c>
      <c r="E9436" s="7" t="s">
        <v>29</v>
      </c>
      <c r="F9436" s="7" t="s">
        <v>224</v>
      </c>
      <c r="G9436" s="7">
        <v>99.989220000000003</v>
      </c>
      <c r="H9436" s="7"/>
    </row>
    <row r="9437" spans="1:8" x14ac:dyDescent="0.35">
      <c r="A9437" s="7" t="s">
        <v>378</v>
      </c>
      <c r="B9437" s="7" t="s">
        <v>26</v>
      </c>
      <c r="C9437" s="7" t="s">
        <v>27</v>
      </c>
      <c r="D9437" s="7" t="s">
        <v>28</v>
      </c>
      <c r="E9437" s="7" t="s">
        <v>29</v>
      </c>
      <c r="F9437" s="7" t="s">
        <v>225</v>
      </c>
      <c r="G9437" s="7">
        <v>100.087</v>
      </c>
      <c r="H9437" s="7"/>
    </row>
    <row r="9438" spans="1:8" x14ac:dyDescent="0.35">
      <c r="A9438" s="7" t="s">
        <v>378</v>
      </c>
      <c r="B9438" s="7" t="s">
        <v>26</v>
      </c>
      <c r="C9438" s="7" t="s">
        <v>27</v>
      </c>
      <c r="D9438" s="7" t="s">
        <v>28</v>
      </c>
      <c r="E9438" s="7" t="s">
        <v>29</v>
      </c>
      <c r="F9438" s="7" t="s">
        <v>226</v>
      </c>
      <c r="G9438" s="7">
        <v>100.41930000000001</v>
      </c>
      <c r="H9438" s="7"/>
    </row>
    <row r="9439" spans="1:8" x14ac:dyDescent="0.35">
      <c r="A9439" s="7" t="s">
        <v>378</v>
      </c>
      <c r="B9439" s="7" t="s">
        <v>26</v>
      </c>
      <c r="C9439" s="7" t="s">
        <v>27</v>
      </c>
      <c r="D9439" s="7" t="s">
        <v>28</v>
      </c>
      <c r="E9439" s="7" t="s">
        <v>29</v>
      </c>
      <c r="F9439" s="7" t="s">
        <v>227</v>
      </c>
      <c r="G9439" s="7">
        <v>100.4787</v>
      </c>
      <c r="H9439" s="7"/>
    </row>
    <row r="9440" spans="1:8" x14ac:dyDescent="0.35">
      <c r="A9440" s="7" t="s">
        <v>378</v>
      </c>
      <c r="B9440" s="7" t="s">
        <v>26</v>
      </c>
      <c r="C9440" s="7" t="s">
        <v>27</v>
      </c>
      <c r="D9440" s="7" t="s">
        <v>28</v>
      </c>
      <c r="E9440" s="7" t="s">
        <v>29</v>
      </c>
      <c r="F9440" s="7" t="s">
        <v>228</v>
      </c>
      <c r="G9440" s="7">
        <v>100.1253</v>
      </c>
      <c r="H9440" s="7"/>
    </row>
    <row r="9441" spans="1:8" x14ac:dyDescent="0.35">
      <c r="A9441" s="7" t="s">
        <v>378</v>
      </c>
      <c r="B9441" s="7" t="s">
        <v>26</v>
      </c>
      <c r="C9441" s="7" t="s">
        <v>27</v>
      </c>
      <c r="D9441" s="7" t="s">
        <v>28</v>
      </c>
      <c r="E9441" s="7" t="s">
        <v>29</v>
      </c>
      <c r="F9441" s="7" t="s">
        <v>229</v>
      </c>
      <c r="G9441" s="7">
        <v>100.033</v>
      </c>
      <c r="H9441" s="7"/>
    </row>
    <row r="9442" spans="1:8" x14ac:dyDescent="0.35">
      <c r="A9442" s="7" t="s">
        <v>378</v>
      </c>
      <c r="B9442" s="7" t="s">
        <v>26</v>
      </c>
      <c r="C9442" s="7" t="s">
        <v>27</v>
      </c>
      <c r="D9442" s="7" t="s">
        <v>28</v>
      </c>
      <c r="E9442" s="7" t="s">
        <v>29</v>
      </c>
      <c r="F9442" s="7" t="s">
        <v>230</v>
      </c>
      <c r="G9442" s="7">
        <v>100.2225</v>
      </c>
      <c r="H9442" s="7"/>
    </row>
    <row r="9443" spans="1:8" x14ac:dyDescent="0.35">
      <c r="A9443" s="7" t="s">
        <v>378</v>
      </c>
      <c r="B9443" s="7" t="s">
        <v>26</v>
      </c>
      <c r="C9443" s="7" t="s">
        <v>27</v>
      </c>
      <c r="D9443" s="7" t="s">
        <v>28</v>
      </c>
      <c r="E9443" s="7" t="s">
        <v>29</v>
      </c>
      <c r="F9443" s="7" t="s">
        <v>231</v>
      </c>
      <c r="G9443" s="7">
        <v>100.53270000000001</v>
      </c>
      <c r="H9443" s="7"/>
    </row>
    <row r="9444" spans="1:8" x14ac:dyDescent="0.35">
      <c r="A9444" s="7" t="s">
        <v>378</v>
      </c>
      <c r="B9444" s="7" t="s">
        <v>26</v>
      </c>
      <c r="C9444" s="7" t="s">
        <v>27</v>
      </c>
      <c r="D9444" s="7" t="s">
        <v>28</v>
      </c>
      <c r="E9444" s="7" t="s">
        <v>29</v>
      </c>
      <c r="F9444" s="7" t="s">
        <v>232</v>
      </c>
      <c r="G9444" s="7">
        <v>100.6339</v>
      </c>
      <c r="H9444" s="7"/>
    </row>
    <row r="9445" spans="1:8" x14ac:dyDescent="0.35">
      <c r="A9445" s="7" t="s">
        <v>378</v>
      </c>
      <c r="B9445" s="7" t="s">
        <v>26</v>
      </c>
      <c r="C9445" s="7" t="s">
        <v>27</v>
      </c>
      <c r="D9445" s="7" t="s">
        <v>28</v>
      </c>
      <c r="E9445" s="7" t="s">
        <v>29</v>
      </c>
      <c r="F9445" s="7" t="s">
        <v>233</v>
      </c>
      <c r="G9445" s="7">
        <v>99.641069999999999</v>
      </c>
      <c r="H9445" s="7"/>
    </row>
    <row r="9446" spans="1:8" x14ac:dyDescent="0.35">
      <c r="A9446" s="7" t="s">
        <v>378</v>
      </c>
      <c r="B9446" s="7" t="s">
        <v>26</v>
      </c>
      <c r="C9446" s="7" t="s">
        <v>27</v>
      </c>
      <c r="D9446" s="7" t="s">
        <v>28</v>
      </c>
      <c r="E9446" s="7" t="s">
        <v>29</v>
      </c>
      <c r="F9446" s="7" t="s">
        <v>234</v>
      </c>
      <c r="G9446" s="7">
        <v>97.909400000000005</v>
      </c>
      <c r="H9446" s="7"/>
    </row>
    <row r="9447" spans="1:8" x14ac:dyDescent="0.35">
      <c r="A9447" s="7" t="s">
        <v>378</v>
      </c>
      <c r="B9447" s="7" t="s">
        <v>26</v>
      </c>
      <c r="C9447" s="7" t="s">
        <v>27</v>
      </c>
      <c r="D9447" s="7" t="s">
        <v>28</v>
      </c>
      <c r="E9447" s="7" t="s">
        <v>29</v>
      </c>
      <c r="F9447" s="7" t="s">
        <v>235</v>
      </c>
      <c r="G9447" s="7">
        <v>96.408760000000001</v>
      </c>
      <c r="H9447" s="7"/>
    </row>
    <row r="9448" spans="1:8" x14ac:dyDescent="0.35">
      <c r="A9448" s="7" t="s">
        <v>378</v>
      </c>
      <c r="B9448" s="7" t="s">
        <v>26</v>
      </c>
      <c r="C9448" s="7" t="s">
        <v>27</v>
      </c>
      <c r="D9448" s="7" t="s">
        <v>28</v>
      </c>
      <c r="E9448" s="7" t="s">
        <v>29</v>
      </c>
      <c r="F9448" s="7" t="s">
        <v>236</v>
      </c>
      <c r="G9448" s="7">
        <v>95.345979999999997</v>
      </c>
      <c r="H9448" s="7"/>
    </row>
    <row r="9449" spans="1:8" x14ac:dyDescent="0.35">
      <c r="A9449" s="7" t="s">
        <v>378</v>
      </c>
      <c r="B9449" s="7" t="s">
        <v>26</v>
      </c>
      <c r="C9449" s="7" t="s">
        <v>27</v>
      </c>
      <c r="D9449" s="7" t="s">
        <v>28</v>
      </c>
      <c r="E9449" s="7" t="s">
        <v>29</v>
      </c>
      <c r="F9449" s="7" t="s">
        <v>237</v>
      </c>
      <c r="G9449" s="7">
        <v>95.083979999999997</v>
      </c>
      <c r="H9449" s="7"/>
    </row>
    <row r="9450" spans="1:8" x14ac:dyDescent="0.35">
      <c r="A9450" s="7" t="s">
        <v>378</v>
      </c>
      <c r="B9450" s="7" t="s">
        <v>26</v>
      </c>
      <c r="C9450" s="7" t="s">
        <v>27</v>
      </c>
      <c r="D9450" s="7" t="s">
        <v>28</v>
      </c>
      <c r="E9450" s="7" t="s">
        <v>29</v>
      </c>
      <c r="F9450" s="7" t="s">
        <v>238</v>
      </c>
      <c r="G9450" s="7">
        <v>95.106340000000003</v>
      </c>
      <c r="H9450" s="7"/>
    </row>
    <row r="9451" spans="1:8" x14ac:dyDescent="0.35">
      <c r="A9451" s="7" t="s">
        <v>378</v>
      </c>
      <c r="B9451" s="7" t="s">
        <v>26</v>
      </c>
      <c r="C9451" s="7" t="s">
        <v>27</v>
      </c>
      <c r="D9451" s="7" t="s">
        <v>28</v>
      </c>
      <c r="E9451" s="7" t="s">
        <v>29</v>
      </c>
      <c r="F9451" s="7" t="s">
        <v>239</v>
      </c>
      <c r="G9451" s="7">
        <v>95.467410000000001</v>
      </c>
      <c r="H9451" s="7"/>
    </row>
    <row r="9452" spans="1:8" x14ac:dyDescent="0.35">
      <c r="A9452" s="7" t="s">
        <v>378</v>
      </c>
      <c r="B9452" s="7" t="s">
        <v>26</v>
      </c>
      <c r="C9452" s="7" t="s">
        <v>27</v>
      </c>
      <c r="D9452" s="7" t="s">
        <v>28</v>
      </c>
      <c r="E9452" s="7" t="s">
        <v>29</v>
      </c>
      <c r="F9452" s="7" t="s">
        <v>240</v>
      </c>
      <c r="G9452" s="7">
        <v>96.517200000000003</v>
      </c>
      <c r="H9452" s="7"/>
    </row>
    <row r="9453" spans="1:8" x14ac:dyDescent="0.35">
      <c r="A9453" s="7" t="s">
        <v>378</v>
      </c>
      <c r="B9453" s="7" t="s">
        <v>26</v>
      </c>
      <c r="C9453" s="7" t="s">
        <v>27</v>
      </c>
      <c r="D9453" s="7" t="s">
        <v>28</v>
      </c>
      <c r="E9453" s="7" t="s">
        <v>29</v>
      </c>
      <c r="F9453" s="7" t="s">
        <v>241</v>
      </c>
      <c r="G9453" s="7">
        <v>97.604900000000001</v>
      </c>
      <c r="H9453" s="7"/>
    </row>
    <row r="9454" spans="1:8" x14ac:dyDescent="0.35">
      <c r="A9454" s="7" t="s">
        <v>378</v>
      </c>
      <c r="B9454" s="7" t="s">
        <v>26</v>
      </c>
      <c r="C9454" s="7" t="s">
        <v>27</v>
      </c>
      <c r="D9454" s="7" t="s">
        <v>28</v>
      </c>
      <c r="E9454" s="7" t="s">
        <v>29</v>
      </c>
      <c r="F9454" s="7" t="s">
        <v>242</v>
      </c>
      <c r="G9454" s="7">
        <v>98.177930000000003</v>
      </c>
      <c r="H9454" s="7"/>
    </row>
    <row r="9455" spans="1:8" x14ac:dyDescent="0.35">
      <c r="A9455" s="7" t="s">
        <v>378</v>
      </c>
      <c r="B9455" s="7" t="s">
        <v>26</v>
      </c>
      <c r="C9455" s="7" t="s">
        <v>27</v>
      </c>
      <c r="D9455" s="7" t="s">
        <v>28</v>
      </c>
      <c r="E9455" s="7" t="s">
        <v>29</v>
      </c>
      <c r="F9455" s="7" t="s">
        <v>243</v>
      </c>
      <c r="G9455" s="7">
        <v>98.640900000000002</v>
      </c>
      <c r="H9455" s="7"/>
    </row>
    <row r="9456" spans="1:8" x14ac:dyDescent="0.35">
      <c r="A9456" s="7" t="s">
        <v>378</v>
      </c>
      <c r="B9456" s="7" t="s">
        <v>26</v>
      </c>
      <c r="C9456" s="7" t="s">
        <v>27</v>
      </c>
      <c r="D9456" s="7" t="s">
        <v>28</v>
      </c>
      <c r="E9456" s="7" t="s">
        <v>29</v>
      </c>
      <c r="F9456" s="7" t="s">
        <v>244</v>
      </c>
      <c r="G9456" s="7">
        <v>99.150499999999994</v>
      </c>
      <c r="H9456" s="7"/>
    </row>
    <row r="9457" spans="1:8" x14ac:dyDescent="0.35">
      <c r="A9457" s="7" t="s">
        <v>378</v>
      </c>
      <c r="B9457" s="7" t="s">
        <v>26</v>
      </c>
      <c r="C9457" s="7" t="s">
        <v>27</v>
      </c>
      <c r="D9457" s="7" t="s">
        <v>28</v>
      </c>
      <c r="E9457" s="7" t="s">
        <v>29</v>
      </c>
      <c r="F9457" s="7" t="s">
        <v>245</v>
      </c>
      <c r="G9457" s="7">
        <v>99.152569999999997</v>
      </c>
      <c r="H9457" s="7"/>
    </row>
    <row r="9458" spans="1:8" x14ac:dyDescent="0.35">
      <c r="A9458" s="7" t="s">
        <v>378</v>
      </c>
      <c r="B9458" s="7" t="s">
        <v>26</v>
      </c>
      <c r="C9458" s="7" t="s">
        <v>27</v>
      </c>
      <c r="D9458" s="7" t="s">
        <v>28</v>
      </c>
      <c r="E9458" s="7" t="s">
        <v>29</v>
      </c>
      <c r="F9458" s="7" t="s">
        <v>246</v>
      </c>
      <c r="G9458" s="7">
        <v>99.248859999999993</v>
      </c>
      <c r="H9458" s="7"/>
    </row>
    <row r="9459" spans="1:8" x14ac:dyDescent="0.35">
      <c r="A9459" s="7" t="s">
        <v>378</v>
      </c>
      <c r="B9459" s="7" t="s">
        <v>26</v>
      </c>
      <c r="C9459" s="7" t="s">
        <v>27</v>
      </c>
      <c r="D9459" s="7" t="s">
        <v>28</v>
      </c>
      <c r="E9459" s="7" t="s">
        <v>29</v>
      </c>
      <c r="F9459" s="7" t="s">
        <v>247</v>
      </c>
      <c r="G9459" s="7">
        <v>99.223140000000001</v>
      </c>
      <c r="H9459" s="7"/>
    </row>
    <row r="9460" spans="1:8" x14ac:dyDescent="0.35">
      <c r="A9460" s="7" t="s">
        <v>378</v>
      </c>
      <c r="B9460" s="7" t="s">
        <v>26</v>
      </c>
      <c r="C9460" s="7" t="s">
        <v>27</v>
      </c>
      <c r="D9460" s="7" t="s">
        <v>28</v>
      </c>
      <c r="E9460" s="7" t="s">
        <v>29</v>
      </c>
      <c r="F9460" s="7" t="s">
        <v>248</v>
      </c>
      <c r="G9460" s="7">
        <v>99.158259999999999</v>
      </c>
      <c r="H9460" s="7"/>
    </row>
    <row r="9461" spans="1:8" x14ac:dyDescent="0.35">
      <c r="A9461" s="7" t="s">
        <v>378</v>
      </c>
      <c r="B9461" s="7" t="s">
        <v>26</v>
      </c>
      <c r="C9461" s="7" t="s">
        <v>27</v>
      </c>
      <c r="D9461" s="7" t="s">
        <v>28</v>
      </c>
      <c r="E9461" s="7" t="s">
        <v>29</v>
      </c>
      <c r="F9461" s="7" t="s">
        <v>249</v>
      </c>
      <c r="G9461" s="7">
        <v>99.057460000000006</v>
      </c>
      <c r="H9461" s="7"/>
    </row>
    <row r="9462" spans="1:8" x14ac:dyDescent="0.35">
      <c r="A9462" s="7" t="s">
        <v>378</v>
      </c>
      <c r="B9462" s="7" t="s">
        <v>26</v>
      </c>
      <c r="C9462" s="7" t="s">
        <v>27</v>
      </c>
      <c r="D9462" s="7" t="s">
        <v>28</v>
      </c>
      <c r="E9462" s="7" t="s">
        <v>29</v>
      </c>
      <c r="F9462" s="7" t="s">
        <v>250</v>
      </c>
      <c r="G9462" s="7">
        <v>98.909260000000003</v>
      </c>
      <c r="H9462" s="7"/>
    </row>
    <row r="9463" spans="1:8" x14ac:dyDescent="0.35">
      <c r="A9463" s="7" t="s">
        <v>378</v>
      </c>
      <c r="B9463" s="7" t="s">
        <v>26</v>
      </c>
      <c r="C9463" s="7" t="s">
        <v>27</v>
      </c>
      <c r="D9463" s="7" t="s">
        <v>28</v>
      </c>
      <c r="E9463" s="7" t="s">
        <v>29</v>
      </c>
      <c r="F9463" s="7" t="s">
        <v>251</v>
      </c>
      <c r="G9463" s="7">
        <v>98.965149999999994</v>
      </c>
      <c r="H9463" s="7"/>
    </row>
    <row r="9464" spans="1:8" x14ac:dyDescent="0.35">
      <c r="A9464" s="7" t="s">
        <v>378</v>
      </c>
      <c r="B9464" s="7" t="s">
        <v>26</v>
      </c>
      <c r="C9464" s="7" t="s">
        <v>27</v>
      </c>
      <c r="D9464" s="7" t="s">
        <v>28</v>
      </c>
      <c r="E9464" s="7" t="s">
        <v>29</v>
      </c>
      <c r="F9464" s="7" t="s">
        <v>252</v>
      </c>
      <c r="G9464" s="7">
        <v>98.977779999999996</v>
      </c>
      <c r="H9464" s="7"/>
    </row>
    <row r="9465" spans="1:8" x14ac:dyDescent="0.35">
      <c r="A9465" s="7" t="s">
        <v>378</v>
      </c>
      <c r="B9465" s="7" t="s">
        <v>26</v>
      </c>
      <c r="C9465" s="7" t="s">
        <v>27</v>
      </c>
      <c r="D9465" s="7" t="s">
        <v>28</v>
      </c>
      <c r="E9465" s="7" t="s">
        <v>29</v>
      </c>
      <c r="F9465" s="7" t="s">
        <v>253</v>
      </c>
      <c r="G9465" s="7">
        <v>98.827550000000002</v>
      </c>
      <c r="H9465" s="7"/>
    </row>
    <row r="9466" spans="1:8" x14ac:dyDescent="0.35">
      <c r="A9466" s="7" t="s">
        <v>378</v>
      </c>
      <c r="B9466" s="7" t="s">
        <v>26</v>
      </c>
      <c r="C9466" s="7" t="s">
        <v>27</v>
      </c>
      <c r="D9466" s="7" t="s">
        <v>28</v>
      </c>
      <c r="E9466" s="7" t="s">
        <v>29</v>
      </c>
      <c r="F9466" s="7" t="s">
        <v>254</v>
      </c>
      <c r="G9466" s="7">
        <v>98.358419999999995</v>
      </c>
      <c r="H9466" s="7"/>
    </row>
    <row r="9467" spans="1:8" x14ac:dyDescent="0.35">
      <c r="A9467" s="7" t="s">
        <v>378</v>
      </c>
      <c r="B9467" s="7" t="s">
        <v>26</v>
      </c>
      <c r="C9467" s="7" t="s">
        <v>27</v>
      </c>
      <c r="D9467" s="7" t="s">
        <v>28</v>
      </c>
      <c r="E9467" s="7" t="s">
        <v>29</v>
      </c>
      <c r="F9467" s="7" t="s">
        <v>255</v>
      </c>
      <c r="G9467" s="7">
        <v>98.084180000000003</v>
      </c>
      <c r="H9467" s="7"/>
    </row>
    <row r="9468" spans="1:8" x14ac:dyDescent="0.35">
      <c r="A9468" s="7" t="s">
        <v>378</v>
      </c>
      <c r="B9468" s="7" t="s">
        <v>26</v>
      </c>
      <c r="C9468" s="7" t="s">
        <v>27</v>
      </c>
      <c r="D9468" s="7" t="s">
        <v>28</v>
      </c>
      <c r="E9468" s="7" t="s">
        <v>29</v>
      </c>
      <c r="F9468" s="7" t="s">
        <v>256</v>
      </c>
      <c r="G9468" s="7">
        <v>98.140820000000005</v>
      </c>
      <c r="H9468" s="7"/>
    </row>
    <row r="9469" spans="1:8" x14ac:dyDescent="0.35">
      <c r="A9469" s="7" t="s">
        <v>378</v>
      </c>
      <c r="B9469" s="7" t="s">
        <v>26</v>
      </c>
      <c r="C9469" s="7" t="s">
        <v>27</v>
      </c>
      <c r="D9469" s="7" t="s">
        <v>28</v>
      </c>
      <c r="E9469" s="7" t="s">
        <v>29</v>
      </c>
      <c r="F9469" s="7" t="s">
        <v>257</v>
      </c>
      <c r="G9469" s="7">
        <v>98.510189999999994</v>
      </c>
      <c r="H9469" s="7"/>
    </row>
    <row r="9470" spans="1:8" x14ac:dyDescent="0.35">
      <c r="A9470" s="7" t="s">
        <v>378</v>
      </c>
      <c r="B9470" s="7" t="s">
        <v>26</v>
      </c>
      <c r="C9470" s="7" t="s">
        <v>27</v>
      </c>
      <c r="D9470" s="7" t="s">
        <v>28</v>
      </c>
      <c r="E9470" s="7" t="s">
        <v>29</v>
      </c>
      <c r="F9470" s="7" t="s">
        <v>258</v>
      </c>
      <c r="G9470" s="7">
        <v>98.938109999999995</v>
      </c>
      <c r="H9470" s="7"/>
    </row>
    <row r="9471" spans="1:8" x14ac:dyDescent="0.35">
      <c r="A9471" s="7" t="s">
        <v>378</v>
      </c>
      <c r="B9471" s="7" t="s">
        <v>26</v>
      </c>
      <c r="C9471" s="7" t="s">
        <v>27</v>
      </c>
      <c r="D9471" s="7" t="s">
        <v>28</v>
      </c>
      <c r="E9471" s="7" t="s">
        <v>29</v>
      </c>
      <c r="F9471" s="7" t="s">
        <v>259</v>
      </c>
      <c r="G9471" s="7">
        <v>98.994699999999995</v>
      </c>
      <c r="H9471" s="7"/>
    </row>
    <row r="9472" spans="1:8" x14ac:dyDescent="0.35">
      <c r="A9472" s="7" t="s">
        <v>378</v>
      </c>
      <c r="B9472" s="7" t="s">
        <v>26</v>
      </c>
      <c r="C9472" s="7" t="s">
        <v>27</v>
      </c>
      <c r="D9472" s="7" t="s">
        <v>28</v>
      </c>
      <c r="E9472" s="7" t="s">
        <v>29</v>
      </c>
      <c r="F9472" s="7" t="s">
        <v>260</v>
      </c>
      <c r="G9472" s="7">
        <v>98.809430000000006</v>
      </c>
      <c r="H9472" s="7"/>
    </row>
    <row r="9473" spans="1:8" x14ac:dyDescent="0.35">
      <c r="A9473" s="7" t="s">
        <v>378</v>
      </c>
      <c r="B9473" s="7" t="s">
        <v>26</v>
      </c>
      <c r="C9473" s="7" t="s">
        <v>27</v>
      </c>
      <c r="D9473" s="7" t="s">
        <v>28</v>
      </c>
      <c r="E9473" s="7" t="s">
        <v>29</v>
      </c>
      <c r="F9473" s="7" t="s">
        <v>261</v>
      </c>
      <c r="G9473" s="7">
        <v>98.508880000000005</v>
      </c>
      <c r="H9473" s="7"/>
    </row>
    <row r="9474" spans="1:8" x14ac:dyDescent="0.35">
      <c r="A9474" s="7" t="s">
        <v>378</v>
      </c>
      <c r="B9474" s="7" t="s">
        <v>26</v>
      </c>
      <c r="C9474" s="7" t="s">
        <v>27</v>
      </c>
      <c r="D9474" s="7" t="s">
        <v>28</v>
      </c>
      <c r="E9474" s="7" t="s">
        <v>29</v>
      </c>
      <c r="F9474" s="7" t="s">
        <v>262</v>
      </c>
      <c r="G9474" s="7">
        <v>98.37679</v>
      </c>
      <c r="H9474" s="7"/>
    </row>
    <row r="9475" spans="1:8" x14ac:dyDescent="0.35">
      <c r="A9475" s="7" t="s">
        <v>378</v>
      </c>
      <c r="B9475" s="7" t="s">
        <v>26</v>
      </c>
      <c r="C9475" s="7" t="s">
        <v>27</v>
      </c>
      <c r="D9475" s="7" t="s">
        <v>28</v>
      </c>
      <c r="E9475" s="7" t="s">
        <v>29</v>
      </c>
      <c r="F9475" s="7" t="s">
        <v>263</v>
      </c>
      <c r="G9475" s="7">
        <v>98.396090000000001</v>
      </c>
      <c r="H9475" s="7"/>
    </row>
    <row r="9476" spans="1:8" x14ac:dyDescent="0.35">
      <c r="A9476" s="7" t="s">
        <v>378</v>
      </c>
      <c r="B9476" s="7" t="s">
        <v>26</v>
      </c>
      <c r="C9476" s="7" t="s">
        <v>27</v>
      </c>
      <c r="D9476" s="7" t="s">
        <v>28</v>
      </c>
      <c r="E9476" s="7" t="s">
        <v>29</v>
      </c>
      <c r="F9476" s="7" t="s">
        <v>264</v>
      </c>
      <c r="G9476" s="7">
        <v>98.532780000000002</v>
      </c>
      <c r="H9476" s="7"/>
    </row>
    <row r="9477" spans="1:8" x14ac:dyDescent="0.35">
      <c r="A9477" s="7" t="s">
        <v>378</v>
      </c>
      <c r="B9477" s="7" t="s">
        <v>26</v>
      </c>
      <c r="C9477" s="7" t="s">
        <v>27</v>
      </c>
      <c r="D9477" s="7" t="s">
        <v>28</v>
      </c>
      <c r="E9477" s="7" t="s">
        <v>29</v>
      </c>
      <c r="F9477" s="7" t="s">
        <v>265</v>
      </c>
      <c r="G9477" s="7">
        <v>98.640720000000002</v>
      </c>
      <c r="H9477" s="7"/>
    </row>
    <row r="9478" spans="1:8" x14ac:dyDescent="0.35">
      <c r="A9478" s="7" t="s">
        <v>378</v>
      </c>
      <c r="B9478" s="7" t="s">
        <v>26</v>
      </c>
      <c r="C9478" s="7" t="s">
        <v>27</v>
      </c>
      <c r="D9478" s="7" t="s">
        <v>28</v>
      </c>
      <c r="E9478" s="7" t="s">
        <v>29</v>
      </c>
      <c r="F9478" s="7" t="s">
        <v>266</v>
      </c>
      <c r="G9478" s="7">
        <v>98.552480000000003</v>
      </c>
      <c r="H9478" s="7"/>
    </row>
    <row r="9479" spans="1:8" x14ac:dyDescent="0.35">
      <c r="A9479" s="7" t="s">
        <v>378</v>
      </c>
      <c r="B9479" s="7" t="s">
        <v>26</v>
      </c>
      <c r="C9479" s="7" t="s">
        <v>27</v>
      </c>
      <c r="D9479" s="7" t="s">
        <v>28</v>
      </c>
      <c r="E9479" s="7" t="s">
        <v>29</v>
      </c>
      <c r="F9479" s="7" t="s">
        <v>267</v>
      </c>
      <c r="G9479" s="7">
        <v>98.350629999999995</v>
      </c>
      <c r="H9479" s="7"/>
    </row>
    <row r="9480" spans="1:8" x14ac:dyDescent="0.35">
      <c r="A9480" s="7" t="s">
        <v>378</v>
      </c>
      <c r="B9480" s="7" t="s">
        <v>26</v>
      </c>
      <c r="C9480" s="7" t="s">
        <v>27</v>
      </c>
      <c r="D9480" s="7" t="s">
        <v>28</v>
      </c>
      <c r="E9480" s="7" t="s">
        <v>29</v>
      </c>
      <c r="F9480" s="7" t="s">
        <v>268</v>
      </c>
      <c r="G9480" s="7">
        <v>98.380099999999999</v>
      </c>
      <c r="H9480" s="7"/>
    </row>
    <row r="9481" spans="1:8" x14ac:dyDescent="0.35">
      <c r="A9481" s="7" t="s">
        <v>378</v>
      </c>
      <c r="B9481" s="7" t="s">
        <v>26</v>
      </c>
      <c r="C9481" s="7" t="s">
        <v>27</v>
      </c>
      <c r="D9481" s="7" t="s">
        <v>28</v>
      </c>
      <c r="E9481" s="7" t="s">
        <v>29</v>
      </c>
      <c r="F9481" s="7" t="s">
        <v>269</v>
      </c>
      <c r="G9481" s="7">
        <v>98.565240000000003</v>
      </c>
      <c r="H9481" s="7"/>
    </row>
    <row r="9482" spans="1:8" x14ac:dyDescent="0.35">
      <c r="A9482" s="7" t="s">
        <v>378</v>
      </c>
      <c r="B9482" s="7" t="s">
        <v>26</v>
      </c>
      <c r="C9482" s="7" t="s">
        <v>27</v>
      </c>
      <c r="D9482" s="7" t="s">
        <v>28</v>
      </c>
      <c r="E9482" s="7" t="s">
        <v>29</v>
      </c>
      <c r="F9482" s="7" t="s">
        <v>270</v>
      </c>
      <c r="G9482" s="7">
        <v>98.961780000000005</v>
      </c>
      <c r="H9482" s="7"/>
    </row>
    <row r="9483" spans="1:8" x14ac:dyDescent="0.35">
      <c r="A9483" s="7" t="s">
        <v>378</v>
      </c>
      <c r="B9483" s="7" t="s">
        <v>26</v>
      </c>
      <c r="C9483" s="7" t="s">
        <v>27</v>
      </c>
      <c r="D9483" s="7" t="s">
        <v>28</v>
      </c>
      <c r="E9483" s="7" t="s">
        <v>29</v>
      </c>
      <c r="F9483" s="7" t="s">
        <v>271</v>
      </c>
      <c r="G9483" s="7">
        <v>99.293629999999993</v>
      </c>
      <c r="H9483" s="7"/>
    </row>
    <row r="9484" spans="1:8" x14ac:dyDescent="0.35">
      <c r="A9484" s="7" t="s">
        <v>378</v>
      </c>
      <c r="B9484" s="7" t="s">
        <v>26</v>
      </c>
      <c r="C9484" s="7" t="s">
        <v>27</v>
      </c>
      <c r="D9484" s="7" t="s">
        <v>28</v>
      </c>
      <c r="E9484" s="7" t="s">
        <v>29</v>
      </c>
      <c r="F9484" s="7" t="s">
        <v>272</v>
      </c>
      <c r="G9484" s="7">
        <v>99.011390000000006</v>
      </c>
      <c r="H9484" s="7"/>
    </row>
    <row r="9485" spans="1:8" x14ac:dyDescent="0.35">
      <c r="A9485" s="7" t="s">
        <v>378</v>
      </c>
      <c r="B9485" s="7" t="s">
        <v>26</v>
      </c>
      <c r="C9485" s="7" t="s">
        <v>27</v>
      </c>
      <c r="D9485" s="7" t="s">
        <v>28</v>
      </c>
      <c r="E9485" s="7" t="s">
        <v>29</v>
      </c>
      <c r="F9485" s="7" t="s">
        <v>273</v>
      </c>
      <c r="G9485" s="7">
        <v>98.452020000000005</v>
      </c>
      <c r="H9485" s="7"/>
    </row>
    <row r="9486" spans="1:8" x14ac:dyDescent="0.35">
      <c r="A9486" s="7" t="s">
        <v>378</v>
      </c>
      <c r="B9486" s="7" t="s">
        <v>26</v>
      </c>
      <c r="C9486" s="7" t="s">
        <v>27</v>
      </c>
      <c r="D9486" s="7" t="s">
        <v>28</v>
      </c>
      <c r="E9486" s="7" t="s">
        <v>29</v>
      </c>
      <c r="F9486" s="7" t="s">
        <v>274</v>
      </c>
      <c r="G9486" s="7">
        <v>97.654849999999996</v>
      </c>
      <c r="H9486" s="7"/>
    </row>
    <row r="9487" spans="1:8" x14ac:dyDescent="0.35">
      <c r="A9487" s="7" t="s">
        <v>378</v>
      </c>
      <c r="B9487" s="7" t="s">
        <v>26</v>
      </c>
      <c r="C9487" s="7" t="s">
        <v>27</v>
      </c>
      <c r="D9487" s="7" t="s">
        <v>28</v>
      </c>
      <c r="E9487" s="7" t="s">
        <v>29</v>
      </c>
      <c r="F9487" s="7" t="s">
        <v>275</v>
      </c>
      <c r="G9487" s="7">
        <v>96.718649999999997</v>
      </c>
      <c r="H9487" s="7"/>
    </row>
    <row r="9488" spans="1:8" x14ac:dyDescent="0.35">
      <c r="A9488" s="7" t="s">
        <v>378</v>
      </c>
      <c r="B9488" s="7" t="s">
        <v>26</v>
      </c>
      <c r="C9488" s="7" t="s">
        <v>27</v>
      </c>
      <c r="D9488" s="7" t="s">
        <v>28</v>
      </c>
      <c r="E9488" s="7" t="s">
        <v>29</v>
      </c>
      <c r="F9488" s="7" t="s">
        <v>276</v>
      </c>
      <c r="G9488" s="7">
        <v>96.295519999999996</v>
      </c>
      <c r="H9488" s="7"/>
    </row>
    <row r="9489" spans="1:8" x14ac:dyDescent="0.35">
      <c r="A9489" s="7" t="s">
        <v>378</v>
      </c>
      <c r="B9489" s="7" t="s">
        <v>26</v>
      </c>
      <c r="C9489" s="7" t="s">
        <v>27</v>
      </c>
      <c r="D9489" s="7" t="s">
        <v>28</v>
      </c>
      <c r="E9489" s="7" t="s">
        <v>29</v>
      </c>
      <c r="F9489" s="7" t="s">
        <v>277</v>
      </c>
      <c r="G9489" s="7">
        <v>95.923100000000005</v>
      </c>
      <c r="H9489" s="7"/>
    </row>
    <row r="9490" spans="1:8" x14ac:dyDescent="0.35">
      <c r="A9490" s="7" t="s">
        <v>378</v>
      </c>
      <c r="B9490" s="7" t="s">
        <v>26</v>
      </c>
      <c r="C9490" s="7" t="s">
        <v>27</v>
      </c>
      <c r="D9490" s="7" t="s">
        <v>28</v>
      </c>
      <c r="E9490" s="7" t="s">
        <v>29</v>
      </c>
      <c r="F9490" s="7" t="s">
        <v>278</v>
      </c>
      <c r="G9490" s="7">
        <v>95.635890000000003</v>
      </c>
      <c r="H9490" s="7"/>
    </row>
    <row r="9491" spans="1:8" x14ac:dyDescent="0.35">
      <c r="A9491" s="7" t="s">
        <v>378</v>
      </c>
      <c r="B9491" s="7" t="s">
        <v>26</v>
      </c>
      <c r="C9491" s="7" t="s">
        <v>27</v>
      </c>
      <c r="D9491" s="7" t="s">
        <v>28</v>
      </c>
      <c r="E9491" s="7" t="s">
        <v>29</v>
      </c>
      <c r="F9491" s="7" t="s">
        <v>279</v>
      </c>
      <c r="G9491" s="7">
        <v>95.124300000000005</v>
      </c>
      <c r="H9491" s="7"/>
    </row>
    <row r="9492" spans="1:8" x14ac:dyDescent="0.35">
      <c r="A9492" s="7" t="s">
        <v>378</v>
      </c>
      <c r="B9492" s="7" t="s">
        <v>26</v>
      </c>
      <c r="C9492" s="7" t="s">
        <v>27</v>
      </c>
      <c r="D9492" s="7" t="s">
        <v>28</v>
      </c>
      <c r="E9492" s="7" t="s">
        <v>29</v>
      </c>
      <c r="F9492" s="7" t="s">
        <v>280</v>
      </c>
      <c r="G9492" s="7">
        <v>94.502039999999994</v>
      </c>
      <c r="H9492" s="7"/>
    </row>
    <row r="9493" spans="1:8" x14ac:dyDescent="0.35">
      <c r="A9493" s="7" t="s">
        <v>378</v>
      </c>
      <c r="B9493" s="7" t="s">
        <v>26</v>
      </c>
      <c r="C9493" s="7" t="s">
        <v>27</v>
      </c>
      <c r="D9493" s="7" t="s">
        <v>28</v>
      </c>
      <c r="E9493" s="7" t="s">
        <v>29</v>
      </c>
      <c r="F9493" s="7" t="s">
        <v>281</v>
      </c>
      <c r="G9493" s="7">
        <v>94.666169999999994</v>
      </c>
      <c r="H9493" s="7"/>
    </row>
    <row r="9494" spans="1:8" x14ac:dyDescent="0.35">
      <c r="A9494" s="7" t="s">
        <v>378</v>
      </c>
      <c r="B9494" s="7" t="s">
        <v>26</v>
      </c>
      <c r="C9494" s="7" t="s">
        <v>27</v>
      </c>
      <c r="D9494" s="7" t="s">
        <v>28</v>
      </c>
      <c r="E9494" s="7" t="s">
        <v>29</v>
      </c>
      <c r="F9494" s="7" t="s">
        <v>282</v>
      </c>
      <c r="G9494" s="7">
        <v>95.214230000000001</v>
      </c>
      <c r="H9494" s="7"/>
    </row>
    <row r="9495" spans="1:8" x14ac:dyDescent="0.35">
      <c r="A9495" s="7" t="s">
        <v>378</v>
      </c>
      <c r="B9495" s="7" t="s">
        <v>26</v>
      </c>
      <c r="C9495" s="7" t="s">
        <v>27</v>
      </c>
      <c r="D9495" s="7" t="s">
        <v>28</v>
      </c>
      <c r="E9495" s="7" t="s">
        <v>29</v>
      </c>
      <c r="F9495" s="7" t="s">
        <v>283</v>
      </c>
      <c r="G9495" s="7">
        <v>95.898120000000006</v>
      </c>
      <c r="H9495" s="7"/>
    </row>
    <row r="9496" spans="1:8" x14ac:dyDescent="0.35">
      <c r="A9496" s="7" t="s">
        <v>378</v>
      </c>
      <c r="B9496" s="7" t="s">
        <v>26</v>
      </c>
      <c r="C9496" s="7" t="s">
        <v>27</v>
      </c>
      <c r="D9496" s="7" t="s">
        <v>28</v>
      </c>
      <c r="E9496" s="7" t="s">
        <v>29</v>
      </c>
      <c r="F9496" s="7" t="s">
        <v>284</v>
      </c>
      <c r="G9496" s="7">
        <v>96.581649999999996</v>
      </c>
      <c r="H9496" s="7"/>
    </row>
    <row r="9497" spans="1:8" x14ac:dyDescent="0.35">
      <c r="A9497" s="7" t="s">
        <v>378</v>
      </c>
      <c r="B9497" s="7" t="s">
        <v>26</v>
      </c>
      <c r="C9497" s="7" t="s">
        <v>27</v>
      </c>
      <c r="D9497" s="7" t="s">
        <v>28</v>
      </c>
      <c r="E9497" s="7" t="s">
        <v>29</v>
      </c>
      <c r="F9497" s="7" t="s">
        <v>285</v>
      </c>
      <c r="G9497" s="7">
        <v>97.011719999999997</v>
      </c>
      <c r="H9497" s="7"/>
    </row>
    <row r="9498" spans="1:8" x14ac:dyDescent="0.35">
      <c r="A9498" s="7" t="s">
        <v>378</v>
      </c>
      <c r="B9498" s="7" t="s">
        <v>26</v>
      </c>
      <c r="C9498" s="7" t="s">
        <v>27</v>
      </c>
      <c r="D9498" s="7" t="s">
        <v>28</v>
      </c>
      <c r="E9498" s="7" t="s">
        <v>29</v>
      </c>
      <c r="F9498" s="7" t="s">
        <v>286</v>
      </c>
      <c r="G9498" s="7">
        <v>97.297640000000001</v>
      </c>
      <c r="H9498" s="7"/>
    </row>
    <row r="9499" spans="1:8" x14ac:dyDescent="0.35">
      <c r="A9499" s="7" t="s">
        <v>378</v>
      </c>
      <c r="B9499" s="7" t="s">
        <v>26</v>
      </c>
      <c r="C9499" s="7" t="s">
        <v>27</v>
      </c>
      <c r="D9499" s="7" t="s">
        <v>28</v>
      </c>
      <c r="E9499" s="7" t="s">
        <v>29</v>
      </c>
      <c r="F9499" s="7" t="s">
        <v>287</v>
      </c>
      <c r="G9499" s="7">
        <v>97.101910000000004</v>
      </c>
      <c r="H9499" s="7"/>
    </row>
    <row r="9500" spans="1:8" x14ac:dyDescent="0.35">
      <c r="A9500" s="7" t="s">
        <v>378</v>
      </c>
      <c r="B9500" s="7" t="s">
        <v>26</v>
      </c>
      <c r="C9500" s="7" t="s">
        <v>27</v>
      </c>
      <c r="D9500" s="7" t="s">
        <v>28</v>
      </c>
      <c r="E9500" s="7" t="s">
        <v>29</v>
      </c>
      <c r="F9500" s="7" t="s">
        <v>288</v>
      </c>
      <c r="G9500" s="7">
        <v>96.340220000000002</v>
      </c>
      <c r="H9500" s="7"/>
    </row>
    <row r="9501" spans="1:8" x14ac:dyDescent="0.35">
      <c r="A9501" s="7" t="s">
        <v>378</v>
      </c>
      <c r="B9501" s="7" t="s">
        <v>26</v>
      </c>
      <c r="C9501" s="7" t="s">
        <v>27</v>
      </c>
      <c r="D9501" s="7" t="s">
        <v>28</v>
      </c>
      <c r="E9501" s="7" t="s">
        <v>29</v>
      </c>
      <c r="F9501" s="7" t="s">
        <v>289</v>
      </c>
      <c r="G9501" s="7">
        <v>95.933359999999993</v>
      </c>
      <c r="H9501" s="7"/>
    </row>
    <row r="9502" spans="1:8" x14ac:dyDescent="0.35">
      <c r="A9502" s="7" t="s">
        <v>378</v>
      </c>
      <c r="B9502" s="7" t="s">
        <v>26</v>
      </c>
      <c r="C9502" s="7" t="s">
        <v>27</v>
      </c>
      <c r="D9502" s="7" t="s">
        <v>28</v>
      </c>
      <c r="E9502" s="7" t="s">
        <v>29</v>
      </c>
      <c r="F9502" s="7" t="s">
        <v>290</v>
      </c>
      <c r="G9502" s="7">
        <v>96.091399999999993</v>
      </c>
      <c r="H9502" s="7"/>
    </row>
    <row r="9503" spans="1:8" x14ac:dyDescent="0.35">
      <c r="A9503" s="7" t="s">
        <v>378</v>
      </c>
      <c r="B9503" s="7" t="s">
        <v>26</v>
      </c>
      <c r="C9503" s="7" t="s">
        <v>27</v>
      </c>
      <c r="D9503" s="7" t="s">
        <v>28</v>
      </c>
      <c r="E9503" s="7" t="s">
        <v>29</v>
      </c>
      <c r="F9503" s="7" t="s">
        <v>291</v>
      </c>
      <c r="G9503" s="7">
        <v>96.493030000000005</v>
      </c>
      <c r="H9503" s="7"/>
    </row>
    <row r="9504" spans="1:8" x14ac:dyDescent="0.35">
      <c r="A9504" s="7" t="s">
        <v>378</v>
      </c>
      <c r="B9504" s="7" t="s">
        <v>26</v>
      </c>
      <c r="C9504" s="7" t="s">
        <v>27</v>
      </c>
      <c r="D9504" s="7" t="s">
        <v>28</v>
      </c>
      <c r="E9504" s="7" t="s">
        <v>29</v>
      </c>
      <c r="F9504" s="7" t="s">
        <v>292</v>
      </c>
      <c r="G9504" s="7">
        <v>96.633129999999994</v>
      </c>
      <c r="H9504" s="7"/>
    </row>
    <row r="9505" spans="1:8" x14ac:dyDescent="0.35">
      <c r="A9505" s="7" t="s">
        <v>378</v>
      </c>
      <c r="B9505" s="7" t="s">
        <v>26</v>
      </c>
      <c r="C9505" s="7" t="s">
        <v>27</v>
      </c>
      <c r="D9505" s="7" t="s">
        <v>28</v>
      </c>
      <c r="E9505" s="7" t="s">
        <v>29</v>
      </c>
      <c r="F9505" s="7" t="s">
        <v>293</v>
      </c>
      <c r="G9505" s="7">
        <v>96.407039999999995</v>
      </c>
      <c r="H9505" s="7"/>
    </row>
    <row r="9506" spans="1:8" x14ac:dyDescent="0.35">
      <c r="A9506" s="7" t="s">
        <v>378</v>
      </c>
      <c r="B9506" s="7" t="s">
        <v>26</v>
      </c>
      <c r="C9506" s="7" t="s">
        <v>27</v>
      </c>
      <c r="D9506" s="7" t="s">
        <v>28</v>
      </c>
      <c r="E9506" s="7" t="s">
        <v>29</v>
      </c>
      <c r="F9506" s="7" t="s">
        <v>294</v>
      </c>
      <c r="G9506" s="7">
        <v>96.273960000000002</v>
      </c>
      <c r="H9506" s="7"/>
    </row>
    <row r="9507" spans="1:8" x14ac:dyDescent="0.35">
      <c r="A9507" s="7" t="s">
        <v>378</v>
      </c>
      <c r="B9507" s="7" t="s">
        <v>26</v>
      </c>
      <c r="C9507" s="7" t="s">
        <v>27</v>
      </c>
      <c r="D9507" s="7" t="s">
        <v>28</v>
      </c>
      <c r="E9507" s="7" t="s">
        <v>29</v>
      </c>
      <c r="F9507" s="7" t="s">
        <v>295</v>
      </c>
      <c r="G9507" s="7">
        <v>96.370509999999996</v>
      </c>
      <c r="H9507" s="7"/>
    </row>
    <row r="9508" spans="1:8" x14ac:dyDescent="0.35">
      <c r="A9508" s="7" t="s">
        <v>378</v>
      </c>
      <c r="B9508" s="7" t="s">
        <v>26</v>
      </c>
      <c r="C9508" s="7" t="s">
        <v>27</v>
      </c>
      <c r="D9508" s="7" t="s">
        <v>28</v>
      </c>
      <c r="E9508" s="7" t="s">
        <v>29</v>
      </c>
      <c r="F9508" s="7" t="s">
        <v>296</v>
      </c>
      <c r="G9508" s="7">
        <v>96.669259999999994</v>
      </c>
      <c r="H9508" s="7"/>
    </row>
    <row r="9509" spans="1:8" x14ac:dyDescent="0.35">
      <c r="A9509" s="7" t="s">
        <v>378</v>
      </c>
      <c r="B9509" s="7" t="s">
        <v>26</v>
      </c>
      <c r="C9509" s="7" t="s">
        <v>27</v>
      </c>
      <c r="D9509" s="7" t="s">
        <v>28</v>
      </c>
      <c r="E9509" s="7" t="s">
        <v>29</v>
      </c>
      <c r="F9509" s="7" t="s">
        <v>297</v>
      </c>
      <c r="G9509" s="7">
        <v>96.93262</v>
      </c>
      <c r="H9509" s="7"/>
    </row>
    <row r="9510" spans="1:8" x14ac:dyDescent="0.35">
      <c r="A9510" s="7" t="s">
        <v>378</v>
      </c>
      <c r="B9510" s="7" t="s">
        <v>26</v>
      </c>
      <c r="C9510" s="7" t="s">
        <v>27</v>
      </c>
      <c r="D9510" s="7" t="s">
        <v>28</v>
      </c>
      <c r="E9510" s="7" t="s">
        <v>29</v>
      </c>
      <c r="F9510" s="7" t="s">
        <v>298</v>
      </c>
      <c r="G9510" s="7">
        <v>97.298990000000003</v>
      </c>
      <c r="H9510" s="7"/>
    </row>
    <row r="9511" spans="1:8" x14ac:dyDescent="0.35">
      <c r="A9511" s="7" t="s">
        <v>378</v>
      </c>
      <c r="B9511" s="7" t="s">
        <v>26</v>
      </c>
      <c r="C9511" s="7" t="s">
        <v>27</v>
      </c>
      <c r="D9511" s="7" t="s">
        <v>28</v>
      </c>
      <c r="E9511" s="7" t="s">
        <v>29</v>
      </c>
      <c r="F9511" s="7" t="s">
        <v>299</v>
      </c>
      <c r="G9511" s="7">
        <v>97.867660000000001</v>
      </c>
      <c r="H9511" s="7"/>
    </row>
    <row r="9512" spans="1:8" x14ac:dyDescent="0.35">
      <c r="A9512" s="7" t="s">
        <v>378</v>
      </c>
      <c r="B9512" s="7" t="s">
        <v>26</v>
      </c>
      <c r="C9512" s="7" t="s">
        <v>27</v>
      </c>
      <c r="D9512" s="7" t="s">
        <v>28</v>
      </c>
      <c r="E9512" s="7" t="s">
        <v>29</v>
      </c>
      <c r="F9512" s="7" t="s">
        <v>300</v>
      </c>
      <c r="G9512" s="7">
        <v>98.686419999999998</v>
      </c>
      <c r="H9512" s="7"/>
    </row>
    <row r="9513" spans="1:8" x14ac:dyDescent="0.35">
      <c r="A9513" s="7" t="s">
        <v>378</v>
      </c>
      <c r="B9513" s="7" t="s">
        <v>26</v>
      </c>
      <c r="C9513" s="7" t="s">
        <v>27</v>
      </c>
      <c r="D9513" s="7" t="s">
        <v>28</v>
      </c>
      <c r="E9513" s="7" t="s">
        <v>29</v>
      </c>
      <c r="F9513" s="7" t="s">
        <v>301</v>
      </c>
      <c r="G9513" s="7">
        <v>99.460949999999997</v>
      </c>
      <c r="H9513" s="7"/>
    </row>
    <row r="9514" spans="1:8" x14ac:dyDescent="0.35">
      <c r="A9514" s="7" t="s">
        <v>378</v>
      </c>
      <c r="B9514" s="7" t="s">
        <v>26</v>
      </c>
      <c r="C9514" s="7" t="s">
        <v>27</v>
      </c>
      <c r="D9514" s="7" t="s">
        <v>28</v>
      </c>
      <c r="E9514" s="7" t="s">
        <v>29</v>
      </c>
      <c r="F9514" s="7" t="s">
        <v>302</v>
      </c>
      <c r="G9514" s="7">
        <v>100.15170000000001</v>
      </c>
      <c r="H9514" s="7"/>
    </row>
    <row r="9515" spans="1:8" x14ac:dyDescent="0.35">
      <c r="A9515" s="7" t="s">
        <v>378</v>
      </c>
      <c r="B9515" s="7" t="s">
        <v>26</v>
      </c>
      <c r="C9515" s="7" t="s">
        <v>27</v>
      </c>
      <c r="D9515" s="7" t="s">
        <v>28</v>
      </c>
      <c r="E9515" s="7" t="s">
        <v>29</v>
      </c>
      <c r="F9515" s="7" t="s">
        <v>303</v>
      </c>
      <c r="G9515" s="7">
        <v>100.604</v>
      </c>
      <c r="H9515" s="7"/>
    </row>
    <row r="9516" spans="1:8" x14ac:dyDescent="0.35">
      <c r="A9516" s="7" t="s">
        <v>378</v>
      </c>
      <c r="B9516" s="7" t="s">
        <v>26</v>
      </c>
      <c r="C9516" s="7" t="s">
        <v>27</v>
      </c>
      <c r="D9516" s="7" t="s">
        <v>28</v>
      </c>
      <c r="E9516" s="7" t="s">
        <v>29</v>
      </c>
      <c r="F9516" s="7" t="s">
        <v>304</v>
      </c>
      <c r="G9516" s="7">
        <v>101.12139999999999</v>
      </c>
      <c r="H9516" s="7"/>
    </row>
    <row r="9517" spans="1:8" x14ac:dyDescent="0.35">
      <c r="A9517" s="7" t="s">
        <v>378</v>
      </c>
      <c r="B9517" s="7" t="s">
        <v>26</v>
      </c>
      <c r="C9517" s="7" t="s">
        <v>27</v>
      </c>
      <c r="D9517" s="7" t="s">
        <v>28</v>
      </c>
      <c r="E9517" s="7" t="s">
        <v>29</v>
      </c>
      <c r="F9517" s="7" t="s">
        <v>305</v>
      </c>
      <c r="G9517" s="7">
        <v>101.1785</v>
      </c>
      <c r="H9517" s="7"/>
    </row>
    <row r="9518" spans="1:8" x14ac:dyDescent="0.35">
      <c r="A9518" s="7" t="s">
        <v>378</v>
      </c>
      <c r="B9518" s="7" t="s">
        <v>26</v>
      </c>
      <c r="C9518" s="7" t="s">
        <v>27</v>
      </c>
      <c r="D9518" s="7" t="s">
        <v>28</v>
      </c>
      <c r="E9518" s="7" t="s">
        <v>29</v>
      </c>
      <c r="F9518" s="7" t="s">
        <v>306</v>
      </c>
      <c r="G9518" s="7">
        <v>100.7247</v>
      </c>
      <c r="H9518" s="7"/>
    </row>
    <row r="9519" spans="1:8" x14ac:dyDescent="0.35">
      <c r="A9519" s="7" t="s">
        <v>378</v>
      </c>
      <c r="B9519" s="7" t="s">
        <v>26</v>
      </c>
      <c r="C9519" s="7" t="s">
        <v>27</v>
      </c>
      <c r="D9519" s="7" t="s">
        <v>28</v>
      </c>
      <c r="E9519" s="7" t="s">
        <v>29</v>
      </c>
      <c r="F9519" s="7" t="s">
        <v>307</v>
      </c>
      <c r="G9519" s="7">
        <v>100.48050000000001</v>
      </c>
      <c r="H9519" s="7"/>
    </row>
    <row r="9520" spans="1:8" x14ac:dyDescent="0.35">
      <c r="A9520" s="7" t="s">
        <v>378</v>
      </c>
      <c r="B9520" s="7" t="s">
        <v>26</v>
      </c>
      <c r="C9520" s="7" t="s">
        <v>27</v>
      </c>
      <c r="D9520" s="7" t="s">
        <v>28</v>
      </c>
      <c r="E9520" s="7" t="s">
        <v>29</v>
      </c>
      <c r="F9520" s="7" t="s">
        <v>308</v>
      </c>
      <c r="G9520" s="7">
        <v>100.59610000000001</v>
      </c>
      <c r="H9520" s="7"/>
    </row>
    <row r="9521" spans="1:8" x14ac:dyDescent="0.35">
      <c r="A9521" s="7" t="s">
        <v>378</v>
      </c>
      <c r="B9521" s="7" t="s">
        <v>26</v>
      </c>
      <c r="C9521" s="7" t="s">
        <v>27</v>
      </c>
      <c r="D9521" s="7" t="s">
        <v>28</v>
      </c>
      <c r="E9521" s="7" t="s">
        <v>29</v>
      </c>
      <c r="F9521" s="7" t="s">
        <v>309</v>
      </c>
      <c r="G9521" s="7">
        <v>100.8458</v>
      </c>
      <c r="H9521" s="7"/>
    </row>
    <row r="9522" spans="1:8" x14ac:dyDescent="0.35">
      <c r="A9522" s="7" t="s">
        <v>378</v>
      </c>
      <c r="B9522" s="7" t="s">
        <v>26</v>
      </c>
      <c r="C9522" s="7" t="s">
        <v>27</v>
      </c>
      <c r="D9522" s="7" t="s">
        <v>28</v>
      </c>
      <c r="E9522" s="7" t="s">
        <v>29</v>
      </c>
      <c r="F9522" s="7" t="s">
        <v>310</v>
      </c>
      <c r="G9522" s="7">
        <v>101.32080000000001</v>
      </c>
      <c r="H9522" s="7"/>
    </row>
    <row r="9523" spans="1:8" x14ac:dyDescent="0.35">
      <c r="A9523" s="7" t="s">
        <v>378</v>
      </c>
      <c r="B9523" s="7" t="s">
        <v>26</v>
      </c>
      <c r="C9523" s="7" t="s">
        <v>27</v>
      </c>
      <c r="D9523" s="7" t="s">
        <v>28</v>
      </c>
      <c r="E9523" s="7" t="s">
        <v>29</v>
      </c>
      <c r="F9523" s="7" t="s">
        <v>311</v>
      </c>
      <c r="G9523" s="7">
        <v>101.9268</v>
      </c>
      <c r="H9523" s="7"/>
    </row>
    <row r="9524" spans="1:8" x14ac:dyDescent="0.35">
      <c r="A9524" s="7" t="s">
        <v>378</v>
      </c>
      <c r="B9524" s="7" t="s">
        <v>26</v>
      </c>
      <c r="C9524" s="7" t="s">
        <v>27</v>
      </c>
      <c r="D9524" s="7" t="s">
        <v>28</v>
      </c>
      <c r="E9524" s="7" t="s">
        <v>29</v>
      </c>
      <c r="F9524" s="7" t="s">
        <v>312</v>
      </c>
      <c r="G9524" s="7">
        <v>102.4147</v>
      </c>
      <c r="H9524" s="7"/>
    </row>
    <row r="9525" spans="1:8" x14ac:dyDescent="0.35">
      <c r="A9525" s="7" t="s">
        <v>378</v>
      </c>
      <c r="B9525" s="7" t="s">
        <v>26</v>
      </c>
      <c r="C9525" s="7" t="s">
        <v>27</v>
      </c>
      <c r="D9525" s="7" t="s">
        <v>28</v>
      </c>
      <c r="E9525" s="7" t="s">
        <v>29</v>
      </c>
      <c r="F9525" s="7" t="s">
        <v>313</v>
      </c>
      <c r="G9525" s="7">
        <v>102.73520000000001</v>
      </c>
      <c r="H9525" s="7"/>
    </row>
    <row r="9526" spans="1:8" x14ac:dyDescent="0.35">
      <c r="A9526" s="7" t="s">
        <v>378</v>
      </c>
      <c r="B9526" s="7" t="s">
        <v>26</v>
      </c>
      <c r="C9526" s="7" t="s">
        <v>27</v>
      </c>
      <c r="D9526" s="7" t="s">
        <v>28</v>
      </c>
      <c r="E9526" s="7" t="s">
        <v>29</v>
      </c>
      <c r="F9526" s="7" t="s">
        <v>314</v>
      </c>
      <c r="G9526" s="7">
        <v>102.82899999999999</v>
      </c>
      <c r="H9526" s="7"/>
    </row>
    <row r="9527" spans="1:8" x14ac:dyDescent="0.35">
      <c r="A9527" s="7" t="s">
        <v>378</v>
      </c>
      <c r="B9527" s="7" t="s">
        <v>26</v>
      </c>
      <c r="C9527" s="7" t="s">
        <v>27</v>
      </c>
      <c r="D9527" s="7" t="s">
        <v>28</v>
      </c>
      <c r="E9527" s="7" t="s">
        <v>29</v>
      </c>
      <c r="F9527" s="7" t="s">
        <v>315</v>
      </c>
      <c r="G9527" s="7">
        <v>103.191</v>
      </c>
      <c r="H9527" s="7"/>
    </row>
    <row r="9528" spans="1:8" x14ac:dyDescent="0.35">
      <c r="A9528" s="7" t="s">
        <v>378</v>
      </c>
      <c r="B9528" s="7" t="s">
        <v>26</v>
      </c>
      <c r="C9528" s="7" t="s">
        <v>27</v>
      </c>
      <c r="D9528" s="7" t="s">
        <v>28</v>
      </c>
      <c r="E9528" s="7" t="s">
        <v>29</v>
      </c>
      <c r="F9528" s="7" t="s">
        <v>316</v>
      </c>
      <c r="G9528" s="7">
        <v>103.184</v>
      </c>
      <c r="H9528" s="7"/>
    </row>
    <row r="9529" spans="1:8" x14ac:dyDescent="0.35">
      <c r="A9529" s="7" t="s">
        <v>378</v>
      </c>
      <c r="B9529" s="7" t="s">
        <v>26</v>
      </c>
      <c r="C9529" s="7" t="s">
        <v>27</v>
      </c>
      <c r="D9529" s="7" t="s">
        <v>28</v>
      </c>
      <c r="E9529" s="7" t="s">
        <v>29</v>
      </c>
      <c r="F9529" s="7" t="s">
        <v>317</v>
      </c>
      <c r="G9529" s="7">
        <v>102.77500000000001</v>
      </c>
      <c r="H9529" s="7"/>
    </row>
    <row r="9530" spans="1:8" x14ac:dyDescent="0.35">
      <c r="A9530" s="7" t="s">
        <v>378</v>
      </c>
      <c r="B9530" s="7" t="s">
        <v>26</v>
      </c>
      <c r="C9530" s="7" t="s">
        <v>27</v>
      </c>
      <c r="D9530" s="7" t="s">
        <v>28</v>
      </c>
      <c r="E9530" s="7" t="s">
        <v>29</v>
      </c>
      <c r="F9530" s="7" t="s">
        <v>318</v>
      </c>
      <c r="G9530" s="7">
        <v>102.2893</v>
      </c>
      <c r="H9530" s="7"/>
    </row>
    <row r="9531" spans="1:8" x14ac:dyDescent="0.35">
      <c r="A9531" s="7" t="s">
        <v>378</v>
      </c>
      <c r="B9531" s="7" t="s">
        <v>26</v>
      </c>
      <c r="C9531" s="7" t="s">
        <v>27</v>
      </c>
      <c r="D9531" s="7" t="s">
        <v>28</v>
      </c>
      <c r="E9531" s="7" t="s">
        <v>29</v>
      </c>
      <c r="F9531" s="7" t="s">
        <v>319</v>
      </c>
      <c r="G9531" s="7">
        <v>101.78319999999999</v>
      </c>
      <c r="H9531" s="7"/>
    </row>
    <row r="9532" spans="1:8" x14ac:dyDescent="0.35">
      <c r="A9532" s="7" t="s">
        <v>378</v>
      </c>
      <c r="B9532" s="7" t="s">
        <v>26</v>
      </c>
      <c r="C9532" s="7" t="s">
        <v>27</v>
      </c>
      <c r="D9532" s="7" t="s">
        <v>28</v>
      </c>
      <c r="E9532" s="7" t="s">
        <v>29</v>
      </c>
      <c r="F9532" s="7" t="s">
        <v>320</v>
      </c>
      <c r="G9532" s="7">
        <v>101.0489</v>
      </c>
      <c r="H9532" s="7"/>
    </row>
    <row r="9533" spans="1:8" x14ac:dyDescent="0.35">
      <c r="A9533" s="7" t="s">
        <v>378</v>
      </c>
      <c r="B9533" s="7" t="s">
        <v>26</v>
      </c>
      <c r="C9533" s="7" t="s">
        <v>27</v>
      </c>
      <c r="D9533" s="7" t="s">
        <v>28</v>
      </c>
      <c r="E9533" s="7" t="s">
        <v>29</v>
      </c>
      <c r="F9533" s="7" t="s">
        <v>321</v>
      </c>
      <c r="G9533" s="7">
        <v>100.47499999999999</v>
      </c>
      <c r="H9533" s="7"/>
    </row>
    <row r="9534" spans="1:8" x14ac:dyDescent="0.35">
      <c r="A9534" s="7" t="s">
        <v>378</v>
      </c>
      <c r="B9534" s="7" t="s">
        <v>26</v>
      </c>
      <c r="C9534" s="7" t="s">
        <v>27</v>
      </c>
      <c r="D9534" s="7" t="s">
        <v>28</v>
      </c>
      <c r="E9534" s="7" t="s">
        <v>29</v>
      </c>
      <c r="F9534" s="7" t="s">
        <v>322</v>
      </c>
      <c r="G9534" s="7">
        <v>100.264</v>
      </c>
      <c r="H9534" s="7"/>
    </row>
    <row r="9535" spans="1:8" x14ac:dyDescent="0.35">
      <c r="A9535" s="7" t="s">
        <v>378</v>
      </c>
      <c r="B9535" s="7" t="s">
        <v>26</v>
      </c>
      <c r="C9535" s="7" t="s">
        <v>27</v>
      </c>
      <c r="D9535" s="7" t="s">
        <v>28</v>
      </c>
      <c r="E9535" s="7" t="s">
        <v>29</v>
      </c>
      <c r="F9535" s="7" t="s">
        <v>323</v>
      </c>
      <c r="G9535" s="7">
        <v>100.3737</v>
      </c>
      <c r="H9535" s="7"/>
    </row>
    <row r="9536" spans="1:8" x14ac:dyDescent="0.35">
      <c r="A9536" s="7" t="s">
        <v>378</v>
      </c>
      <c r="B9536" s="7" t="s">
        <v>26</v>
      </c>
      <c r="C9536" s="7" t="s">
        <v>27</v>
      </c>
      <c r="D9536" s="7" t="s">
        <v>28</v>
      </c>
      <c r="E9536" s="7" t="s">
        <v>29</v>
      </c>
      <c r="F9536" s="7" t="s">
        <v>324</v>
      </c>
      <c r="G9536" s="7">
        <v>100.5265</v>
      </c>
      <c r="H9536" s="7"/>
    </row>
    <row r="9537" spans="1:8" x14ac:dyDescent="0.35">
      <c r="A9537" s="7" t="s">
        <v>378</v>
      </c>
      <c r="B9537" s="7" t="s">
        <v>26</v>
      </c>
      <c r="C9537" s="7" t="s">
        <v>27</v>
      </c>
      <c r="D9537" s="7" t="s">
        <v>28</v>
      </c>
      <c r="E9537" s="7" t="s">
        <v>29</v>
      </c>
      <c r="F9537" s="7" t="s">
        <v>325</v>
      </c>
      <c r="G9537" s="7">
        <v>100.7817</v>
      </c>
      <c r="H9537" s="7"/>
    </row>
    <row r="9538" spans="1:8" x14ac:dyDescent="0.35">
      <c r="A9538" s="7" t="s">
        <v>378</v>
      </c>
      <c r="B9538" s="7" t="s">
        <v>26</v>
      </c>
      <c r="C9538" s="7" t="s">
        <v>27</v>
      </c>
      <c r="D9538" s="7" t="s">
        <v>28</v>
      </c>
      <c r="E9538" s="7" t="s">
        <v>29</v>
      </c>
      <c r="F9538" s="7" t="s">
        <v>326</v>
      </c>
      <c r="G9538" s="7">
        <v>101.13039999999999</v>
      </c>
      <c r="H9538" s="7"/>
    </row>
    <row r="9539" spans="1:8" x14ac:dyDescent="0.35">
      <c r="A9539" s="7" t="s">
        <v>378</v>
      </c>
      <c r="B9539" s="7" t="s">
        <v>26</v>
      </c>
      <c r="C9539" s="7" t="s">
        <v>27</v>
      </c>
      <c r="D9539" s="7" t="s">
        <v>28</v>
      </c>
      <c r="E9539" s="7" t="s">
        <v>29</v>
      </c>
      <c r="F9539" s="7" t="s">
        <v>327</v>
      </c>
      <c r="G9539" s="7">
        <v>101.39149999999999</v>
      </c>
      <c r="H9539" s="7"/>
    </row>
    <row r="9540" spans="1:8" x14ac:dyDescent="0.35">
      <c r="A9540" s="7" t="s">
        <v>378</v>
      </c>
      <c r="B9540" s="7" t="s">
        <v>26</v>
      </c>
      <c r="C9540" s="7" t="s">
        <v>27</v>
      </c>
      <c r="D9540" s="7" t="s">
        <v>28</v>
      </c>
      <c r="E9540" s="7" t="s">
        <v>29</v>
      </c>
      <c r="F9540" s="7" t="s">
        <v>328</v>
      </c>
      <c r="G9540" s="7">
        <v>101.6473</v>
      </c>
      <c r="H9540" s="7"/>
    </row>
    <row r="9541" spans="1:8" x14ac:dyDescent="0.35">
      <c r="A9541" s="7" t="s">
        <v>378</v>
      </c>
      <c r="B9541" s="7" t="s">
        <v>26</v>
      </c>
      <c r="C9541" s="7" t="s">
        <v>27</v>
      </c>
      <c r="D9541" s="7" t="s">
        <v>28</v>
      </c>
      <c r="E9541" s="7" t="s">
        <v>29</v>
      </c>
      <c r="F9541" s="7" t="s">
        <v>329</v>
      </c>
      <c r="G9541" s="7">
        <v>101.9564</v>
      </c>
      <c r="H9541" s="7"/>
    </row>
    <row r="9542" spans="1:8" x14ac:dyDescent="0.35">
      <c r="A9542" s="7" t="s">
        <v>378</v>
      </c>
      <c r="B9542" s="7" t="s">
        <v>26</v>
      </c>
      <c r="C9542" s="7" t="s">
        <v>27</v>
      </c>
      <c r="D9542" s="7" t="s">
        <v>28</v>
      </c>
      <c r="E9542" s="7" t="s">
        <v>29</v>
      </c>
      <c r="F9542" s="7" t="s">
        <v>330</v>
      </c>
      <c r="G9542" s="7">
        <v>102.2503</v>
      </c>
      <c r="H9542" s="7"/>
    </row>
    <row r="9543" spans="1:8" x14ac:dyDescent="0.35">
      <c r="A9543" s="7" t="s">
        <v>378</v>
      </c>
      <c r="B9543" s="7" t="s">
        <v>26</v>
      </c>
      <c r="C9543" s="7" t="s">
        <v>27</v>
      </c>
      <c r="D9543" s="7" t="s">
        <v>28</v>
      </c>
      <c r="E9543" s="7" t="s">
        <v>29</v>
      </c>
      <c r="F9543" s="7" t="s">
        <v>331</v>
      </c>
      <c r="G9543" s="7">
        <v>102.5294</v>
      </c>
      <c r="H9543" s="7"/>
    </row>
    <row r="9544" spans="1:8" x14ac:dyDescent="0.35">
      <c r="A9544" s="7" t="s">
        <v>378</v>
      </c>
      <c r="B9544" s="7" t="s">
        <v>26</v>
      </c>
      <c r="C9544" s="7" t="s">
        <v>27</v>
      </c>
      <c r="D9544" s="7" t="s">
        <v>28</v>
      </c>
      <c r="E9544" s="7" t="s">
        <v>29</v>
      </c>
      <c r="F9544" s="7" t="s">
        <v>332</v>
      </c>
      <c r="G9544" s="7">
        <v>102.87269999999999</v>
      </c>
      <c r="H9544" s="7"/>
    </row>
    <row r="9545" spans="1:8" x14ac:dyDescent="0.35">
      <c r="A9545" s="7" t="s">
        <v>378</v>
      </c>
      <c r="B9545" s="7" t="s">
        <v>26</v>
      </c>
      <c r="C9545" s="7" t="s">
        <v>27</v>
      </c>
      <c r="D9545" s="7" t="s">
        <v>28</v>
      </c>
      <c r="E9545" s="7" t="s">
        <v>29</v>
      </c>
      <c r="F9545" s="7" t="s">
        <v>333</v>
      </c>
      <c r="G9545" s="7">
        <v>102.9057</v>
      </c>
      <c r="H9545" s="7"/>
    </row>
    <row r="9546" spans="1:8" x14ac:dyDescent="0.35">
      <c r="A9546" s="7" t="s">
        <v>378</v>
      </c>
      <c r="B9546" s="7" t="s">
        <v>26</v>
      </c>
      <c r="C9546" s="7" t="s">
        <v>27</v>
      </c>
      <c r="D9546" s="7" t="s">
        <v>28</v>
      </c>
      <c r="E9546" s="7" t="s">
        <v>29</v>
      </c>
      <c r="F9546" s="7" t="s">
        <v>334</v>
      </c>
      <c r="G9546" s="7">
        <v>102.9996</v>
      </c>
      <c r="H9546" s="7"/>
    </row>
    <row r="9547" spans="1:8" x14ac:dyDescent="0.35">
      <c r="A9547" s="7" t="s">
        <v>378</v>
      </c>
      <c r="B9547" s="7" t="s">
        <v>26</v>
      </c>
      <c r="C9547" s="7" t="s">
        <v>27</v>
      </c>
      <c r="D9547" s="7" t="s">
        <v>28</v>
      </c>
      <c r="E9547" s="7" t="s">
        <v>29</v>
      </c>
      <c r="F9547" s="7" t="s">
        <v>335</v>
      </c>
      <c r="G9547" s="7">
        <v>103.30249999999999</v>
      </c>
      <c r="H9547" s="7"/>
    </row>
    <row r="9548" spans="1:8" x14ac:dyDescent="0.35">
      <c r="A9548" s="7" t="s">
        <v>378</v>
      </c>
      <c r="B9548" s="7" t="s">
        <v>26</v>
      </c>
      <c r="C9548" s="7" t="s">
        <v>27</v>
      </c>
      <c r="D9548" s="7" t="s">
        <v>28</v>
      </c>
      <c r="E9548" s="7" t="s">
        <v>29</v>
      </c>
      <c r="F9548" s="7" t="s">
        <v>336</v>
      </c>
      <c r="G9548" s="7">
        <v>103.5446</v>
      </c>
      <c r="H9548" s="7"/>
    </row>
    <row r="9549" spans="1:8" x14ac:dyDescent="0.35">
      <c r="A9549" s="7" t="s">
        <v>378</v>
      </c>
      <c r="B9549" s="7" t="s">
        <v>26</v>
      </c>
      <c r="C9549" s="7" t="s">
        <v>27</v>
      </c>
      <c r="D9549" s="7" t="s">
        <v>28</v>
      </c>
      <c r="E9549" s="7" t="s">
        <v>29</v>
      </c>
      <c r="F9549" s="7" t="s">
        <v>337</v>
      </c>
      <c r="G9549" s="7">
        <v>103.69589999999999</v>
      </c>
      <c r="H9549" s="7"/>
    </row>
    <row r="9550" spans="1:8" x14ac:dyDescent="0.35">
      <c r="A9550" s="7" t="s">
        <v>378</v>
      </c>
      <c r="B9550" s="7" t="s">
        <v>26</v>
      </c>
      <c r="C9550" s="7" t="s">
        <v>27</v>
      </c>
      <c r="D9550" s="7" t="s">
        <v>28</v>
      </c>
      <c r="E9550" s="7" t="s">
        <v>29</v>
      </c>
      <c r="F9550" s="7" t="s">
        <v>338</v>
      </c>
      <c r="G9550" s="7">
        <v>103.7242</v>
      </c>
      <c r="H9550" s="7"/>
    </row>
    <row r="9551" spans="1:8" x14ac:dyDescent="0.35">
      <c r="A9551" s="7" t="s">
        <v>378</v>
      </c>
      <c r="B9551" s="7" t="s">
        <v>26</v>
      </c>
      <c r="C9551" s="7" t="s">
        <v>27</v>
      </c>
      <c r="D9551" s="7" t="s">
        <v>28</v>
      </c>
      <c r="E9551" s="7" t="s">
        <v>29</v>
      </c>
      <c r="F9551" s="7" t="s">
        <v>339</v>
      </c>
      <c r="G9551" s="7">
        <v>103.74720000000001</v>
      </c>
      <c r="H9551" s="7"/>
    </row>
    <row r="9552" spans="1:8" x14ac:dyDescent="0.35">
      <c r="A9552" s="7" t="s">
        <v>378</v>
      </c>
      <c r="B9552" s="7" t="s">
        <v>26</v>
      </c>
      <c r="C9552" s="7" t="s">
        <v>27</v>
      </c>
      <c r="D9552" s="7" t="s">
        <v>28</v>
      </c>
      <c r="E9552" s="7" t="s">
        <v>29</v>
      </c>
      <c r="F9552" s="7" t="s">
        <v>340</v>
      </c>
      <c r="G9552" s="7">
        <v>104.004</v>
      </c>
      <c r="H9552" s="7"/>
    </row>
    <row r="9553" spans="1:8" x14ac:dyDescent="0.35">
      <c r="A9553" s="7" t="s">
        <v>378</v>
      </c>
      <c r="B9553" s="7" t="s">
        <v>26</v>
      </c>
      <c r="C9553" s="7" t="s">
        <v>27</v>
      </c>
      <c r="D9553" s="7" t="s">
        <v>28</v>
      </c>
      <c r="E9553" s="7" t="s">
        <v>29</v>
      </c>
      <c r="F9553" s="7" t="s">
        <v>341</v>
      </c>
      <c r="G9553" s="7">
        <v>104.4785</v>
      </c>
      <c r="H9553" s="7"/>
    </row>
    <row r="9554" spans="1:8" x14ac:dyDescent="0.35">
      <c r="A9554" s="7" t="s">
        <v>378</v>
      </c>
      <c r="B9554" s="7" t="s">
        <v>26</v>
      </c>
      <c r="C9554" s="7" t="s">
        <v>27</v>
      </c>
      <c r="D9554" s="7" t="s">
        <v>28</v>
      </c>
      <c r="E9554" s="7" t="s">
        <v>29</v>
      </c>
      <c r="F9554" s="7" t="s">
        <v>342</v>
      </c>
      <c r="G9554" s="7">
        <v>104.86969999999999</v>
      </c>
      <c r="H9554" s="7"/>
    </row>
    <row r="9555" spans="1:8" x14ac:dyDescent="0.35">
      <c r="A9555" s="7" t="s">
        <v>378</v>
      </c>
      <c r="B9555" s="7" t="s">
        <v>26</v>
      </c>
      <c r="C9555" s="7" t="s">
        <v>27</v>
      </c>
      <c r="D9555" s="7" t="s">
        <v>28</v>
      </c>
      <c r="E9555" s="7" t="s">
        <v>29</v>
      </c>
      <c r="F9555" s="7" t="s">
        <v>343</v>
      </c>
      <c r="G9555" s="7">
        <v>105.1036</v>
      </c>
      <c r="H9555" s="7"/>
    </row>
    <row r="9556" spans="1:8" x14ac:dyDescent="0.35">
      <c r="A9556" s="7" t="s">
        <v>378</v>
      </c>
      <c r="B9556" s="7" t="s">
        <v>26</v>
      </c>
      <c r="C9556" s="7" t="s">
        <v>27</v>
      </c>
      <c r="D9556" s="7" t="s">
        <v>28</v>
      </c>
      <c r="E9556" s="7" t="s">
        <v>29</v>
      </c>
      <c r="F9556" s="7" t="s">
        <v>344</v>
      </c>
      <c r="G9556" s="7">
        <v>105.2448</v>
      </c>
      <c r="H9556" s="7"/>
    </row>
    <row r="9557" spans="1:8" x14ac:dyDescent="0.35">
      <c r="A9557" s="7" t="s">
        <v>378</v>
      </c>
      <c r="B9557" s="7" t="s">
        <v>26</v>
      </c>
      <c r="C9557" s="7" t="s">
        <v>27</v>
      </c>
      <c r="D9557" s="7" t="s">
        <v>28</v>
      </c>
      <c r="E9557" s="7" t="s">
        <v>29</v>
      </c>
      <c r="F9557" s="7" t="s">
        <v>345</v>
      </c>
      <c r="G9557" s="7">
        <v>105.23779999999999</v>
      </c>
      <c r="H9557" s="7"/>
    </row>
    <row r="9558" spans="1:8" x14ac:dyDescent="0.35">
      <c r="A9558" s="7" t="s">
        <v>378</v>
      </c>
      <c r="B9558" s="7" t="s">
        <v>26</v>
      </c>
      <c r="C9558" s="7" t="s">
        <v>27</v>
      </c>
      <c r="D9558" s="7" t="s">
        <v>28</v>
      </c>
      <c r="E9558" s="7" t="s">
        <v>29</v>
      </c>
      <c r="F9558" s="7" t="s">
        <v>346</v>
      </c>
      <c r="G9558" s="7">
        <v>105.145</v>
      </c>
      <c r="H9558" s="7"/>
    </row>
    <row r="9559" spans="1:8" x14ac:dyDescent="0.35">
      <c r="A9559" s="7" t="s">
        <v>379</v>
      </c>
      <c r="B9559" s="7" t="s">
        <v>26</v>
      </c>
      <c r="C9559" s="7" t="s">
        <v>27</v>
      </c>
      <c r="D9559" s="7" t="s">
        <v>28</v>
      </c>
      <c r="E9559" s="7" t="s">
        <v>29</v>
      </c>
      <c r="F9559" s="7" t="s">
        <v>30</v>
      </c>
      <c r="G9559" s="7">
        <v>99.617090000000005</v>
      </c>
      <c r="H9559" s="7"/>
    </row>
    <row r="9560" spans="1:8" x14ac:dyDescent="0.35">
      <c r="A9560" s="7" t="s">
        <v>379</v>
      </c>
      <c r="B9560" s="7" t="s">
        <v>26</v>
      </c>
      <c r="C9560" s="7" t="s">
        <v>27</v>
      </c>
      <c r="D9560" s="7" t="s">
        <v>28</v>
      </c>
      <c r="E9560" s="7" t="s">
        <v>29</v>
      </c>
      <c r="F9560" s="7" t="s">
        <v>31</v>
      </c>
      <c r="G9560" s="7">
        <v>99.599890000000002</v>
      </c>
      <c r="H9560" s="7"/>
    </row>
    <row r="9561" spans="1:8" x14ac:dyDescent="0.35">
      <c r="A9561" s="7" t="s">
        <v>379</v>
      </c>
      <c r="B9561" s="7" t="s">
        <v>26</v>
      </c>
      <c r="C9561" s="7" t="s">
        <v>27</v>
      </c>
      <c r="D9561" s="7" t="s">
        <v>28</v>
      </c>
      <c r="E9561" s="7" t="s">
        <v>29</v>
      </c>
      <c r="F9561" s="7" t="s">
        <v>32</v>
      </c>
      <c r="G9561" s="7">
        <v>99.533580000000001</v>
      </c>
      <c r="H9561" s="7"/>
    </row>
    <row r="9562" spans="1:8" x14ac:dyDescent="0.35">
      <c r="A9562" s="7" t="s">
        <v>379</v>
      </c>
      <c r="B9562" s="7" t="s">
        <v>26</v>
      </c>
      <c r="C9562" s="7" t="s">
        <v>27</v>
      </c>
      <c r="D9562" s="7" t="s">
        <v>28</v>
      </c>
      <c r="E9562" s="7" t="s">
        <v>29</v>
      </c>
      <c r="F9562" s="7" t="s">
        <v>33</v>
      </c>
      <c r="G9562" s="7">
        <v>99.422809999999998</v>
      </c>
      <c r="H9562" s="7"/>
    </row>
    <row r="9563" spans="1:8" x14ac:dyDescent="0.35">
      <c r="A9563" s="7" t="s">
        <v>379</v>
      </c>
      <c r="B9563" s="7" t="s">
        <v>26</v>
      </c>
      <c r="C9563" s="7" t="s">
        <v>27</v>
      </c>
      <c r="D9563" s="7" t="s">
        <v>28</v>
      </c>
      <c r="E9563" s="7" t="s">
        <v>29</v>
      </c>
      <c r="F9563" s="7" t="s">
        <v>34</v>
      </c>
      <c r="G9563" s="7">
        <v>99.179000000000002</v>
      </c>
      <c r="H9563" s="7"/>
    </row>
    <row r="9564" spans="1:8" x14ac:dyDescent="0.35">
      <c r="A9564" s="7" t="s">
        <v>379</v>
      </c>
      <c r="B9564" s="7" t="s">
        <v>26</v>
      </c>
      <c r="C9564" s="7" t="s">
        <v>27</v>
      </c>
      <c r="D9564" s="7" t="s">
        <v>28</v>
      </c>
      <c r="E9564" s="7" t="s">
        <v>29</v>
      </c>
      <c r="F9564" s="7" t="s">
        <v>35</v>
      </c>
      <c r="G9564" s="7">
        <v>98.908699999999996</v>
      </c>
      <c r="H9564" s="7"/>
    </row>
    <row r="9565" spans="1:8" x14ac:dyDescent="0.35">
      <c r="A9565" s="7" t="s">
        <v>379</v>
      </c>
      <c r="B9565" s="7" t="s">
        <v>26</v>
      </c>
      <c r="C9565" s="7" t="s">
        <v>27</v>
      </c>
      <c r="D9565" s="7" t="s">
        <v>28</v>
      </c>
      <c r="E9565" s="7" t="s">
        <v>29</v>
      </c>
      <c r="F9565" s="7" t="s">
        <v>36</v>
      </c>
      <c r="G9565" s="7">
        <v>98.802250000000001</v>
      </c>
      <c r="H9565" s="7"/>
    </row>
    <row r="9566" spans="1:8" x14ac:dyDescent="0.35">
      <c r="A9566" s="7" t="s">
        <v>379</v>
      </c>
      <c r="B9566" s="7" t="s">
        <v>26</v>
      </c>
      <c r="C9566" s="7" t="s">
        <v>27</v>
      </c>
      <c r="D9566" s="7" t="s">
        <v>28</v>
      </c>
      <c r="E9566" s="7" t="s">
        <v>29</v>
      </c>
      <c r="F9566" s="7" t="s">
        <v>37</v>
      </c>
      <c r="G9566" s="7">
        <v>98.915930000000003</v>
      </c>
      <c r="H9566" s="7"/>
    </row>
    <row r="9567" spans="1:8" x14ac:dyDescent="0.35">
      <c r="A9567" s="7" t="s">
        <v>379</v>
      </c>
      <c r="B9567" s="7" t="s">
        <v>26</v>
      </c>
      <c r="C9567" s="7" t="s">
        <v>27</v>
      </c>
      <c r="D9567" s="7" t="s">
        <v>28</v>
      </c>
      <c r="E9567" s="7" t="s">
        <v>29</v>
      </c>
      <c r="F9567" s="7" t="s">
        <v>38</v>
      </c>
      <c r="G9567" s="7">
        <v>99.026820000000001</v>
      </c>
      <c r="H9567" s="7"/>
    </row>
    <row r="9568" spans="1:8" x14ac:dyDescent="0.35">
      <c r="A9568" s="7" t="s">
        <v>379</v>
      </c>
      <c r="B9568" s="7" t="s">
        <v>26</v>
      </c>
      <c r="C9568" s="7" t="s">
        <v>27</v>
      </c>
      <c r="D9568" s="7" t="s">
        <v>28</v>
      </c>
      <c r="E9568" s="7" t="s">
        <v>29</v>
      </c>
      <c r="F9568" s="7" t="s">
        <v>39</v>
      </c>
      <c r="G9568" s="7">
        <v>98.963009999999997</v>
      </c>
      <c r="H9568" s="7"/>
    </row>
    <row r="9569" spans="1:8" x14ac:dyDescent="0.35">
      <c r="A9569" s="7" t="s">
        <v>379</v>
      </c>
      <c r="B9569" s="7" t="s">
        <v>26</v>
      </c>
      <c r="C9569" s="7" t="s">
        <v>27</v>
      </c>
      <c r="D9569" s="7" t="s">
        <v>28</v>
      </c>
      <c r="E9569" s="7" t="s">
        <v>29</v>
      </c>
      <c r="F9569" s="7" t="s">
        <v>40</v>
      </c>
      <c r="G9569" s="7">
        <v>98.670270000000002</v>
      </c>
      <c r="H9569" s="7"/>
    </row>
    <row r="9570" spans="1:8" x14ac:dyDescent="0.35">
      <c r="A9570" s="7" t="s">
        <v>379</v>
      </c>
      <c r="B9570" s="7" t="s">
        <v>26</v>
      </c>
      <c r="C9570" s="7" t="s">
        <v>27</v>
      </c>
      <c r="D9570" s="7" t="s">
        <v>28</v>
      </c>
      <c r="E9570" s="7" t="s">
        <v>29</v>
      </c>
      <c r="F9570" s="7" t="s">
        <v>41</v>
      </c>
      <c r="G9570" s="7">
        <v>98.231399999999994</v>
      </c>
      <c r="H9570" s="7"/>
    </row>
    <row r="9571" spans="1:8" x14ac:dyDescent="0.35">
      <c r="A9571" s="7" t="s">
        <v>379</v>
      </c>
      <c r="B9571" s="7" t="s">
        <v>26</v>
      </c>
      <c r="C9571" s="7" t="s">
        <v>27</v>
      </c>
      <c r="D9571" s="7" t="s">
        <v>28</v>
      </c>
      <c r="E9571" s="7" t="s">
        <v>29</v>
      </c>
      <c r="F9571" s="7" t="s">
        <v>42</v>
      </c>
      <c r="G9571" s="7">
        <v>97.730029999999999</v>
      </c>
      <c r="H9571" s="7"/>
    </row>
    <row r="9572" spans="1:8" x14ac:dyDescent="0.35">
      <c r="A9572" s="7" t="s">
        <v>379</v>
      </c>
      <c r="B9572" s="7" t="s">
        <v>26</v>
      </c>
      <c r="C9572" s="7" t="s">
        <v>27</v>
      </c>
      <c r="D9572" s="7" t="s">
        <v>28</v>
      </c>
      <c r="E9572" s="7" t="s">
        <v>29</v>
      </c>
      <c r="F9572" s="7" t="s">
        <v>43</v>
      </c>
      <c r="G9572" s="7">
        <v>97.349100000000007</v>
      </c>
      <c r="H9572" s="7"/>
    </row>
    <row r="9573" spans="1:8" x14ac:dyDescent="0.35">
      <c r="A9573" s="7" t="s">
        <v>379</v>
      </c>
      <c r="B9573" s="7" t="s">
        <v>26</v>
      </c>
      <c r="C9573" s="7" t="s">
        <v>27</v>
      </c>
      <c r="D9573" s="7" t="s">
        <v>28</v>
      </c>
      <c r="E9573" s="7" t="s">
        <v>29</v>
      </c>
      <c r="F9573" s="7" t="s">
        <v>44</v>
      </c>
      <c r="G9573" s="7">
        <v>97.206559999999996</v>
      </c>
      <c r="H9573" s="7"/>
    </row>
    <row r="9574" spans="1:8" x14ac:dyDescent="0.35">
      <c r="A9574" s="7" t="s">
        <v>379</v>
      </c>
      <c r="B9574" s="7" t="s">
        <v>26</v>
      </c>
      <c r="C9574" s="7" t="s">
        <v>27</v>
      </c>
      <c r="D9574" s="7" t="s">
        <v>28</v>
      </c>
      <c r="E9574" s="7" t="s">
        <v>29</v>
      </c>
      <c r="F9574" s="7" t="s">
        <v>45</v>
      </c>
      <c r="G9574" s="7">
        <v>97.203639999999993</v>
      </c>
      <c r="H9574" s="7"/>
    </row>
    <row r="9575" spans="1:8" x14ac:dyDescent="0.35">
      <c r="A9575" s="7" t="s">
        <v>379</v>
      </c>
      <c r="B9575" s="7" t="s">
        <v>26</v>
      </c>
      <c r="C9575" s="7" t="s">
        <v>27</v>
      </c>
      <c r="D9575" s="7" t="s">
        <v>28</v>
      </c>
      <c r="E9575" s="7" t="s">
        <v>29</v>
      </c>
      <c r="F9575" s="7" t="s">
        <v>46</v>
      </c>
      <c r="G9575" s="7">
        <v>97.241399999999999</v>
      </c>
      <c r="H9575" s="7"/>
    </row>
    <row r="9576" spans="1:8" x14ac:dyDescent="0.35">
      <c r="A9576" s="7" t="s">
        <v>379</v>
      </c>
      <c r="B9576" s="7" t="s">
        <v>26</v>
      </c>
      <c r="C9576" s="7" t="s">
        <v>27</v>
      </c>
      <c r="D9576" s="7" t="s">
        <v>28</v>
      </c>
      <c r="E9576" s="7" t="s">
        <v>29</v>
      </c>
      <c r="F9576" s="7" t="s">
        <v>47</v>
      </c>
      <c r="G9576" s="7">
        <v>97.401120000000006</v>
      </c>
      <c r="H9576" s="7"/>
    </row>
    <row r="9577" spans="1:8" x14ac:dyDescent="0.35">
      <c r="A9577" s="7" t="s">
        <v>379</v>
      </c>
      <c r="B9577" s="7" t="s">
        <v>26</v>
      </c>
      <c r="C9577" s="7" t="s">
        <v>27</v>
      </c>
      <c r="D9577" s="7" t="s">
        <v>28</v>
      </c>
      <c r="E9577" s="7" t="s">
        <v>29</v>
      </c>
      <c r="F9577" s="7" t="s">
        <v>48</v>
      </c>
      <c r="G9577" s="7">
        <v>97.462760000000003</v>
      </c>
      <c r="H9577" s="7"/>
    </row>
    <row r="9578" spans="1:8" x14ac:dyDescent="0.35">
      <c r="A9578" s="7" t="s">
        <v>379</v>
      </c>
      <c r="B9578" s="7" t="s">
        <v>26</v>
      </c>
      <c r="C9578" s="7" t="s">
        <v>27</v>
      </c>
      <c r="D9578" s="7" t="s">
        <v>28</v>
      </c>
      <c r="E9578" s="7" t="s">
        <v>29</v>
      </c>
      <c r="F9578" s="7" t="s">
        <v>49</v>
      </c>
      <c r="G9578" s="7">
        <v>97.425790000000006</v>
      </c>
      <c r="H9578" s="7"/>
    </row>
    <row r="9579" spans="1:8" x14ac:dyDescent="0.35">
      <c r="A9579" s="7" t="s">
        <v>379</v>
      </c>
      <c r="B9579" s="7" t="s">
        <v>26</v>
      </c>
      <c r="C9579" s="7" t="s">
        <v>27</v>
      </c>
      <c r="D9579" s="7" t="s">
        <v>28</v>
      </c>
      <c r="E9579" s="7" t="s">
        <v>29</v>
      </c>
      <c r="F9579" s="7" t="s">
        <v>50</v>
      </c>
      <c r="G9579" s="7">
        <v>97.329170000000005</v>
      </c>
      <c r="H9579" s="7"/>
    </row>
    <row r="9580" spans="1:8" x14ac:dyDescent="0.35">
      <c r="A9580" s="7" t="s">
        <v>379</v>
      </c>
      <c r="B9580" s="7" t="s">
        <v>26</v>
      </c>
      <c r="C9580" s="7" t="s">
        <v>27</v>
      </c>
      <c r="D9580" s="7" t="s">
        <v>28</v>
      </c>
      <c r="E9580" s="7" t="s">
        <v>29</v>
      </c>
      <c r="F9580" s="7" t="s">
        <v>51</v>
      </c>
      <c r="G9580" s="7">
        <v>97.303129999999996</v>
      </c>
      <c r="H9580" s="7"/>
    </row>
    <row r="9581" spans="1:8" x14ac:dyDescent="0.35">
      <c r="A9581" s="7" t="s">
        <v>379</v>
      </c>
      <c r="B9581" s="7" t="s">
        <v>26</v>
      </c>
      <c r="C9581" s="7" t="s">
        <v>27</v>
      </c>
      <c r="D9581" s="7" t="s">
        <v>28</v>
      </c>
      <c r="E9581" s="7" t="s">
        <v>29</v>
      </c>
      <c r="F9581" s="7" t="s">
        <v>52</v>
      </c>
      <c r="G9581" s="7">
        <v>97.281109999999998</v>
      </c>
      <c r="H9581" s="7"/>
    </row>
    <row r="9582" spans="1:8" x14ac:dyDescent="0.35">
      <c r="A9582" s="7" t="s">
        <v>379</v>
      </c>
      <c r="B9582" s="7" t="s">
        <v>26</v>
      </c>
      <c r="C9582" s="7" t="s">
        <v>27</v>
      </c>
      <c r="D9582" s="7" t="s">
        <v>28</v>
      </c>
      <c r="E9582" s="7" t="s">
        <v>29</v>
      </c>
      <c r="F9582" s="7" t="s">
        <v>53</v>
      </c>
      <c r="G9582" s="7">
        <v>97.158969999999997</v>
      </c>
      <c r="H9582" s="7"/>
    </row>
    <row r="9583" spans="1:8" x14ac:dyDescent="0.35">
      <c r="A9583" s="7" t="s">
        <v>379</v>
      </c>
      <c r="B9583" s="7" t="s">
        <v>26</v>
      </c>
      <c r="C9583" s="7" t="s">
        <v>27</v>
      </c>
      <c r="D9583" s="7" t="s">
        <v>28</v>
      </c>
      <c r="E9583" s="7" t="s">
        <v>29</v>
      </c>
      <c r="F9583" s="7" t="s">
        <v>54</v>
      </c>
      <c r="G9583" s="7">
        <v>97.098110000000005</v>
      </c>
      <c r="H9583" s="7"/>
    </row>
    <row r="9584" spans="1:8" x14ac:dyDescent="0.35">
      <c r="A9584" s="7" t="s">
        <v>379</v>
      </c>
      <c r="B9584" s="7" t="s">
        <v>26</v>
      </c>
      <c r="C9584" s="7" t="s">
        <v>27</v>
      </c>
      <c r="D9584" s="7" t="s">
        <v>28</v>
      </c>
      <c r="E9584" s="7" t="s">
        <v>29</v>
      </c>
      <c r="F9584" s="7" t="s">
        <v>55</v>
      </c>
      <c r="G9584" s="7">
        <v>97.159390000000002</v>
      </c>
      <c r="H9584" s="7"/>
    </row>
    <row r="9585" spans="1:8" x14ac:dyDescent="0.35">
      <c r="A9585" s="7" t="s">
        <v>379</v>
      </c>
      <c r="B9585" s="7" t="s">
        <v>26</v>
      </c>
      <c r="C9585" s="7" t="s">
        <v>27</v>
      </c>
      <c r="D9585" s="7" t="s">
        <v>28</v>
      </c>
      <c r="E9585" s="7" t="s">
        <v>29</v>
      </c>
      <c r="F9585" s="7" t="s">
        <v>56</v>
      </c>
      <c r="G9585" s="7">
        <v>97.319590000000005</v>
      </c>
      <c r="H9585" s="7"/>
    </row>
    <row r="9586" spans="1:8" x14ac:dyDescent="0.35">
      <c r="A9586" s="7" t="s">
        <v>379</v>
      </c>
      <c r="B9586" s="7" t="s">
        <v>26</v>
      </c>
      <c r="C9586" s="7" t="s">
        <v>27</v>
      </c>
      <c r="D9586" s="7" t="s">
        <v>28</v>
      </c>
      <c r="E9586" s="7" t="s">
        <v>29</v>
      </c>
      <c r="F9586" s="7" t="s">
        <v>57</v>
      </c>
      <c r="G9586" s="7">
        <v>97.617230000000006</v>
      </c>
      <c r="H9586" s="7"/>
    </row>
    <row r="9587" spans="1:8" x14ac:dyDescent="0.35">
      <c r="A9587" s="7" t="s">
        <v>379</v>
      </c>
      <c r="B9587" s="7" t="s">
        <v>26</v>
      </c>
      <c r="C9587" s="7" t="s">
        <v>27</v>
      </c>
      <c r="D9587" s="7" t="s">
        <v>28</v>
      </c>
      <c r="E9587" s="7" t="s">
        <v>29</v>
      </c>
      <c r="F9587" s="7" t="s">
        <v>58</v>
      </c>
      <c r="G9587" s="7">
        <v>98.1404</v>
      </c>
      <c r="H9587" s="7"/>
    </row>
    <row r="9588" spans="1:8" x14ac:dyDescent="0.35">
      <c r="A9588" s="7" t="s">
        <v>379</v>
      </c>
      <c r="B9588" s="7" t="s">
        <v>26</v>
      </c>
      <c r="C9588" s="7" t="s">
        <v>27</v>
      </c>
      <c r="D9588" s="7" t="s">
        <v>28</v>
      </c>
      <c r="E9588" s="7" t="s">
        <v>29</v>
      </c>
      <c r="F9588" s="7" t="s">
        <v>59</v>
      </c>
      <c r="G9588" s="7">
        <v>98.743790000000004</v>
      </c>
      <c r="H9588" s="7"/>
    </row>
    <row r="9589" spans="1:8" x14ac:dyDescent="0.35">
      <c r="A9589" s="7" t="s">
        <v>379</v>
      </c>
      <c r="B9589" s="7" t="s">
        <v>26</v>
      </c>
      <c r="C9589" s="7" t="s">
        <v>27</v>
      </c>
      <c r="D9589" s="7" t="s">
        <v>28</v>
      </c>
      <c r="E9589" s="7" t="s">
        <v>29</v>
      </c>
      <c r="F9589" s="7" t="s">
        <v>60</v>
      </c>
      <c r="G9589" s="7">
        <v>99.354150000000004</v>
      </c>
      <c r="H9589" s="7"/>
    </row>
    <row r="9590" spans="1:8" x14ac:dyDescent="0.35">
      <c r="A9590" s="7" t="s">
        <v>379</v>
      </c>
      <c r="B9590" s="7" t="s">
        <v>26</v>
      </c>
      <c r="C9590" s="7" t="s">
        <v>27</v>
      </c>
      <c r="D9590" s="7" t="s">
        <v>28</v>
      </c>
      <c r="E9590" s="7" t="s">
        <v>29</v>
      </c>
      <c r="F9590" s="7" t="s">
        <v>61</v>
      </c>
      <c r="G9590" s="7">
        <v>99.840260000000001</v>
      </c>
      <c r="H9590" s="7"/>
    </row>
    <row r="9591" spans="1:8" x14ac:dyDescent="0.35">
      <c r="A9591" s="7" t="s">
        <v>379</v>
      </c>
      <c r="B9591" s="7" t="s">
        <v>26</v>
      </c>
      <c r="C9591" s="7" t="s">
        <v>27</v>
      </c>
      <c r="D9591" s="7" t="s">
        <v>28</v>
      </c>
      <c r="E9591" s="7" t="s">
        <v>29</v>
      </c>
      <c r="F9591" s="7" t="s">
        <v>62</v>
      </c>
      <c r="G9591" s="7">
        <v>100.1127</v>
      </c>
      <c r="H9591" s="7"/>
    </row>
    <row r="9592" spans="1:8" x14ac:dyDescent="0.35">
      <c r="A9592" s="7" t="s">
        <v>379</v>
      </c>
      <c r="B9592" s="7" t="s">
        <v>26</v>
      </c>
      <c r="C9592" s="7" t="s">
        <v>27</v>
      </c>
      <c r="D9592" s="7" t="s">
        <v>28</v>
      </c>
      <c r="E9592" s="7" t="s">
        <v>29</v>
      </c>
      <c r="F9592" s="7" t="s">
        <v>63</v>
      </c>
      <c r="G9592" s="7">
        <v>100.274</v>
      </c>
      <c r="H9592" s="7"/>
    </row>
    <row r="9593" spans="1:8" x14ac:dyDescent="0.35">
      <c r="A9593" s="7" t="s">
        <v>379</v>
      </c>
      <c r="B9593" s="7" t="s">
        <v>26</v>
      </c>
      <c r="C9593" s="7" t="s">
        <v>27</v>
      </c>
      <c r="D9593" s="7" t="s">
        <v>28</v>
      </c>
      <c r="E9593" s="7" t="s">
        <v>29</v>
      </c>
      <c r="F9593" s="7" t="s">
        <v>64</v>
      </c>
      <c r="G9593" s="7">
        <v>100.4941</v>
      </c>
      <c r="H9593" s="7"/>
    </row>
    <row r="9594" spans="1:8" x14ac:dyDescent="0.35">
      <c r="A9594" s="7" t="s">
        <v>379</v>
      </c>
      <c r="B9594" s="7" t="s">
        <v>26</v>
      </c>
      <c r="C9594" s="7" t="s">
        <v>27</v>
      </c>
      <c r="D9594" s="7" t="s">
        <v>28</v>
      </c>
      <c r="E9594" s="7" t="s">
        <v>29</v>
      </c>
      <c r="F9594" s="7" t="s">
        <v>65</v>
      </c>
      <c r="G9594" s="7">
        <v>100.71559999999999</v>
      </c>
      <c r="H9594" s="7"/>
    </row>
    <row r="9595" spans="1:8" x14ac:dyDescent="0.35">
      <c r="A9595" s="7" t="s">
        <v>379</v>
      </c>
      <c r="B9595" s="7" t="s">
        <v>26</v>
      </c>
      <c r="C9595" s="7" t="s">
        <v>27</v>
      </c>
      <c r="D9595" s="7" t="s">
        <v>28</v>
      </c>
      <c r="E9595" s="7" t="s">
        <v>29</v>
      </c>
      <c r="F9595" s="7" t="s">
        <v>66</v>
      </c>
      <c r="G9595" s="7">
        <v>100.70059999999999</v>
      </c>
      <c r="H9595" s="7"/>
    </row>
    <row r="9596" spans="1:8" x14ac:dyDescent="0.35">
      <c r="A9596" s="7" t="s">
        <v>379</v>
      </c>
      <c r="B9596" s="7" t="s">
        <v>26</v>
      </c>
      <c r="C9596" s="7" t="s">
        <v>27</v>
      </c>
      <c r="D9596" s="7" t="s">
        <v>28</v>
      </c>
      <c r="E9596" s="7" t="s">
        <v>29</v>
      </c>
      <c r="F9596" s="7" t="s">
        <v>67</v>
      </c>
      <c r="G9596" s="7">
        <v>100.5338</v>
      </c>
      <c r="H9596" s="7"/>
    </row>
    <row r="9597" spans="1:8" x14ac:dyDescent="0.35">
      <c r="A9597" s="7" t="s">
        <v>379</v>
      </c>
      <c r="B9597" s="7" t="s">
        <v>26</v>
      </c>
      <c r="C9597" s="7" t="s">
        <v>27</v>
      </c>
      <c r="D9597" s="7" t="s">
        <v>28</v>
      </c>
      <c r="E9597" s="7" t="s">
        <v>29</v>
      </c>
      <c r="F9597" s="7" t="s">
        <v>68</v>
      </c>
      <c r="G9597" s="7">
        <v>100.43</v>
      </c>
      <c r="H9597" s="7"/>
    </row>
    <row r="9598" spans="1:8" x14ac:dyDescent="0.35">
      <c r="A9598" s="7" t="s">
        <v>379</v>
      </c>
      <c r="B9598" s="7" t="s">
        <v>26</v>
      </c>
      <c r="C9598" s="7" t="s">
        <v>27</v>
      </c>
      <c r="D9598" s="7" t="s">
        <v>28</v>
      </c>
      <c r="E9598" s="7" t="s">
        <v>29</v>
      </c>
      <c r="F9598" s="7" t="s">
        <v>69</v>
      </c>
      <c r="G9598" s="7">
        <v>100.443</v>
      </c>
      <c r="H9598" s="7"/>
    </row>
    <row r="9599" spans="1:8" x14ac:dyDescent="0.35">
      <c r="A9599" s="7" t="s">
        <v>379</v>
      </c>
      <c r="B9599" s="7" t="s">
        <v>26</v>
      </c>
      <c r="C9599" s="7" t="s">
        <v>27</v>
      </c>
      <c r="D9599" s="7" t="s">
        <v>28</v>
      </c>
      <c r="E9599" s="7" t="s">
        <v>29</v>
      </c>
      <c r="F9599" s="7" t="s">
        <v>70</v>
      </c>
      <c r="G9599" s="7">
        <v>100.5985</v>
      </c>
      <c r="H9599" s="7"/>
    </row>
    <row r="9600" spans="1:8" x14ac:dyDescent="0.35">
      <c r="A9600" s="7" t="s">
        <v>379</v>
      </c>
      <c r="B9600" s="7" t="s">
        <v>26</v>
      </c>
      <c r="C9600" s="7" t="s">
        <v>27</v>
      </c>
      <c r="D9600" s="7" t="s">
        <v>28</v>
      </c>
      <c r="E9600" s="7" t="s">
        <v>29</v>
      </c>
      <c r="F9600" s="7" t="s">
        <v>71</v>
      </c>
      <c r="G9600" s="7">
        <v>100.61490000000001</v>
      </c>
      <c r="H9600" s="7"/>
    </row>
    <row r="9601" spans="1:8" x14ac:dyDescent="0.35">
      <c r="A9601" s="7" t="s">
        <v>379</v>
      </c>
      <c r="B9601" s="7" t="s">
        <v>26</v>
      </c>
      <c r="C9601" s="7" t="s">
        <v>27</v>
      </c>
      <c r="D9601" s="7" t="s">
        <v>28</v>
      </c>
      <c r="E9601" s="7" t="s">
        <v>29</v>
      </c>
      <c r="F9601" s="7" t="s">
        <v>72</v>
      </c>
      <c r="G9601" s="7">
        <v>100.5617</v>
      </c>
      <c r="H9601" s="7"/>
    </row>
    <row r="9602" spans="1:8" x14ac:dyDescent="0.35">
      <c r="A9602" s="7" t="s">
        <v>379</v>
      </c>
      <c r="B9602" s="7" t="s">
        <v>26</v>
      </c>
      <c r="C9602" s="7" t="s">
        <v>27</v>
      </c>
      <c r="D9602" s="7" t="s">
        <v>28</v>
      </c>
      <c r="E9602" s="7" t="s">
        <v>29</v>
      </c>
      <c r="F9602" s="7" t="s">
        <v>73</v>
      </c>
      <c r="G9602" s="7">
        <v>100.42829999999999</v>
      </c>
      <c r="H9602" s="7"/>
    </row>
    <row r="9603" spans="1:8" x14ac:dyDescent="0.35">
      <c r="A9603" s="7" t="s">
        <v>379</v>
      </c>
      <c r="B9603" s="7" t="s">
        <v>26</v>
      </c>
      <c r="C9603" s="7" t="s">
        <v>27</v>
      </c>
      <c r="D9603" s="7" t="s">
        <v>28</v>
      </c>
      <c r="E9603" s="7" t="s">
        <v>29</v>
      </c>
      <c r="F9603" s="7" t="s">
        <v>74</v>
      </c>
      <c r="G9603" s="7">
        <v>100.20740000000001</v>
      </c>
      <c r="H9603" s="7"/>
    </row>
    <row r="9604" spans="1:8" x14ac:dyDescent="0.35">
      <c r="A9604" s="7" t="s">
        <v>379</v>
      </c>
      <c r="B9604" s="7" t="s">
        <v>26</v>
      </c>
      <c r="C9604" s="7" t="s">
        <v>27</v>
      </c>
      <c r="D9604" s="7" t="s">
        <v>28</v>
      </c>
      <c r="E9604" s="7" t="s">
        <v>29</v>
      </c>
      <c r="F9604" s="7" t="s">
        <v>75</v>
      </c>
      <c r="G9604" s="7">
        <v>99.909899999999993</v>
      </c>
      <c r="H9604" s="7"/>
    </row>
    <row r="9605" spans="1:8" x14ac:dyDescent="0.35">
      <c r="A9605" s="7" t="s">
        <v>379</v>
      </c>
      <c r="B9605" s="7" t="s">
        <v>26</v>
      </c>
      <c r="C9605" s="7" t="s">
        <v>27</v>
      </c>
      <c r="D9605" s="7" t="s">
        <v>28</v>
      </c>
      <c r="E9605" s="7" t="s">
        <v>29</v>
      </c>
      <c r="F9605" s="7" t="s">
        <v>76</v>
      </c>
      <c r="G9605" s="7">
        <v>99.667109999999994</v>
      </c>
      <c r="H9605" s="7"/>
    </row>
    <row r="9606" spans="1:8" x14ac:dyDescent="0.35">
      <c r="A9606" s="7" t="s">
        <v>379</v>
      </c>
      <c r="B9606" s="7" t="s">
        <v>26</v>
      </c>
      <c r="C9606" s="7" t="s">
        <v>27</v>
      </c>
      <c r="D9606" s="7" t="s">
        <v>28</v>
      </c>
      <c r="E9606" s="7" t="s">
        <v>29</v>
      </c>
      <c r="F9606" s="7" t="s">
        <v>77</v>
      </c>
      <c r="G9606" s="7">
        <v>99.436779999999999</v>
      </c>
      <c r="H9606" s="7"/>
    </row>
    <row r="9607" spans="1:8" x14ac:dyDescent="0.35">
      <c r="A9607" s="7" t="s">
        <v>379</v>
      </c>
      <c r="B9607" s="7" t="s">
        <v>26</v>
      </c>
      <c r="C9607" s="7" t="s">
        <v>27</v>
      </c>
      <c r="D9607" s="7" t="s">
        <v>28</v>
      </c>
      <c r="E9607" s="7" t="s">
        <v>29</v>
      </c>
      <c r="F9607" s="7" t="s">
        <v>78</v>
      </c>
      <c r="G9607" s="7">
        <v>99.201430000000002</v>
      </c>
      <c r="H9607" s="7"/>
    </row>
    <row r="9608" spans="1:8" x14ac:dyDescent="0.35">
      <c r="A9608" s="7" t="s">
        <v>379</v>
      </c>
      <c r="B9608" s="7" t="s">
        <v>26</v>
      </c>
      <c r="C9608" s="7" t="s">
        <v>27</v>
      </c>
      <c r="D9608" s="7" t="s">
        <v>28</v>
      </c>
      <c r="E9608" s="7" t="s">
        <v>29</v>
      </c>
      <c r="F9608" s="7" t="s">
        <v>79</v>
      </c>
      <c r="G9608" s="7">
        <v>98.902780000000007</v>
      </c>
      <c r="H9608" s="7"/>
    </row>
    <row r="9609" spans="1:8" x14ac:dyDescent="0.35">
      <c r="A9609" s="7" t="s">
        <v>379</v>
      </c>
      <c r="B9609" s="7" t="s">
        <v>26</v>
      </c>
      <c r="C9609" s="7" t="s">
        <v>27</v>
      </c>
      <c r="D9609" s="7" t="s">
        <v>28</v>
      </c>
      <c r="E9609" s="7" t="s">
        <v>29</v>
      </c>
      <c r="F9609" s="7" t="s">
        <v>80</v>
      </c>
      <c r="G9609" s="7">
        <v>98.573530000000005</v>
      </c>
      <c r="H9609" s="7"/>
    </row>
    <row r="9610" spans="1:8" x14ac:dyDescent="0.35">
      <c r="A9610" s="7" t="s">
        <v>379</v>
      </c>
      <c r="B9610" s="7" t="s">
        <v>26</v>
      </c>
      <c r="C9610" s="7" t="s">
        <v>27</v>
      </c>
      <c r="D9610" s="7" t="s">
        <v>28</v>
      </c>
      <c r="E9610" s="7" t="s">
        <v>29</v>
      </c>
      <c r="F9610" s="7" t="s">
        <v>81</v>
      </c>
      <c r="G9610" s="7">
        <v>98.369730000000004</v>
      </c>
      <c r="H9610" s="7"/>
    </row>
    <row r="9611" spans="1:8" x14ac:dyDescent="0.35">
      <c r="A9611" s="7" t="s">
        <v>379</v>
      </c>
      <c r="B9611" s="7" t="s">
        <v>26</v>
      </c>
      <c r="C9611" s="7" t="s">
        <v>27</v>
      </c>
      <c r="D9611" s="7" t="s">
        <v>28</v>
      </c>
      <c r="E9611" s="7" t="s">
        <v>29</v>
      </c>
      <c r="F9611" s="7" t="s">
        <v>82</v>
      </c>
      <c r="G9611" s="7">
        <v>98.293390000000002</v>
      </c>
      <c r="H9611" s="7"/>
    </row>
    <row r="9612" spans="1:8" x14ac:dyDescent="0.35">
      <c r="A9612" s="7" t="s">
        <v>379</v>
      </c>
      <c r="B9612" s="7" t="s">
        <v>26</v>
      </c>
      <c r="C9612" s="7" t="s">
        <v>27</v>
      </c>
      <c r="D9612" s="7" t="s">
        <v>28</v>
      </c>
      <c r="E9612" s="7" t="s">
        <v>29</v>
      </c>
      <c r="F9612" s="7" t="s">
        <v>83</v>
      </c>
      <c r="G9612" s="7">
        <v>98.218810000000005</v>
      </c>
      <c r="H9612" s="7"/>
    </row>
    <row r="9613" spans="1:8" x14ac:dyDescent="0.35">
      <c r="A9613" s="7" t="s">
        <v>379</v>
      </c>
      <c r="B9613" s="7" t="s">
        <v>26</v>
      </c>
      <c r="C9613" s="7" t="s">
        <v>27</v>
      </c>
      <c r="D9613" s="7" t="s">
        <v>28</v>
      </c>
      <c r="E9613" s="7" t="s">
        <v>29</v>
      </c>
      <c r="F9613" s="7" t="s">
        <v>84</v>
      </c>
      <c r="G9613" s="7">
        <v>98.146450000000002</v>
      </c>
      <c r="H9613" s="7"/>
    </row>
    <row r="9614" spans="1:8" x14ac:dyDescent="0.35">
      <c r="A9614" s="7" t="s">
        <v>379</v>
      </c>
      <c r="B9614" s="7" t="s">
        <v>26</v>
      </c>
      <c r="C9614" s="7" t="s">
        <v>27</v>
      </c>
      <c r="D9614" s="7" t="s">
        <v>28</v>
      </c>
      <c r="E9614" s="7" t="s">
        <v>29</v>
      </c>
      <c r="F9614" s="7" t="s">
        <v>85</v>
      </c>
      <c r="G9614" s="7">
        <v>98.070319999999995</v>
      </c>
      <c r="H9614" s="7"/>
    </row>
    <row r="9615" spans="1:8" x14ac:dyDescent="0.35">
      <c r="A9615" s="7" t="s">
        <v>379</v>
      </c>
      <c r="B9615" s="7" t="s">
        <v>26</v>
      </c>
      <c r="C9615" s="7" t="s">
        <v>27</v>
      </c>
      <c r="D9615" s="7" t="s">
        <v>28</v>
      </c>
      <c r="E9615" s="7" t="s">
        <v>29</v>
      </c>
      <c r="F9615" s="7" t="s">
        <v>86</v>
      </c>
      <c r="G9615" s="7">
        <v>98.065219999999997</v>
      </c>
      <c r="H9615" s="7"/>
    </row>
    <row r="9616" spans="1:8" x14ac:dyDescent="0.35">
      <c r="A9616" s="7" t="s">
        <v>379</v>
      </c>
      <c r="B9616" s="7" t="s">
        <v>26</v>
      </c>
      <c r="C9616" s="7" t="s">
        <v>27</v>
      </c>
      <c r="D9616" s="7" t="s">
        <v>28</v>
      </c>
      <c r="E9616" s="7" t="s">
        <v>29</v>
      </c>
      <c r="F9616" s="7" t="s">
        <v>87</v>
      </c>
      <c r="G9616" s="7">
        <v>98.081729999999993</v>
      </c>
      <c r="H9616" s="7"/>
    </row>
    <row r="9617" spans="1:8" x14ac:dyDescent="0.35">
      <c r="A9617" s="7" t="s">
        <v>379</v>
      </c>
      <c r="B9617" s="7" t="s">
        <v>26</v>
      </c>
      <c r="C9617" s="7" t="s">
        <v>27</v>
      </c>
      <c r="D9617" s="7" t="s">
        <v>28</v>
      </c>
      <c r="E9617" s="7" t="s">
        <v>29</v>
      </c>
      <c r="F9617" s="7" t="s">
        <v>88</v>
      </c>
      <c r="G9617" s="7">
        <v>98.084440000000001</v>
      </c>
      <c r="H9617" s="7"/>
    </row>
    <row r="9618" spans="1:8" x14ac:dyDescent="0.35">
      <c r="A9618" s="7" t="s">
        <v>379</v>
      </c>
      <c r="B9618" s="7" t="s">
        <v>26</v>
      </c>
      <c r="C9618" s="7" t="s">
        <v>27</v>
      </c>
      <c r="D9618" s="7" t="s">
        <v>28</v>
      </c>
      <c r="E9618" s="7" t="s">
        <v>29</v>
      </c>
      <c r="F9618" s="7" t="s">
        <v>89</v>
      </c>
      <c r="G9618" s="7">
        <v>98.094639999999998</v>
      </c>
      <c r="H9618" s="7"/>
    </row>
    <row r="9619" spans="1:8" x14ac:dyDescent="0.35">
      <c r="A9619" s="7" t="s">
        <v>379</v>
      </c>
      <c r="B9619" s="7" t="s">
        <v>26</v>
      </c>
      <c r="C9619" s="7" t="s">
        <v>27</v>
      </c>
      <c r="D9619" s="7" t="s">
        <v>28</v>
      </c>
      <c r="E9619" s="7" t="s">
        <v>29</v>
      </c>
      <c r="F9619" s="7" t="s">
        <v>90</v>
      </c>
      <c r="G9619" s="7">
        <v>98.084040000000002</v>
      </c>
      <c r="H9619" s="7"/>
    </row>
    <row r="9620" spans="1:8" x14ac:dyDescent="0.35">
      <c r="A9620" s="7" t="s">
        <v>379</v>
      </c>
      <c r="B9620" s="7" t="s">
        <v>26</v>
      </c>
      <c r="C9620" s="7" t="s">
        <v>27</v>
      </c>
      <c r="D9620" s="7" t="s">
        <v>28</v>
      </c>
      <c r="E9620" s="7" t="s">
        <v>29</v>
      </c>
      <c r="F9620" s="7" t="s">
        <v>91</v>
      </c>
      <c r="G9620" s="7">
        <v>98.053340000000006</v>
      </c>
      <c r="H9620" s="7"/>
    </row>
    <row r="9621" spans="1:8" x14ac:dyDescent="0.35">
      <c r="A9621" s="7" t="s">
        <v>379</v>
      </c>
      <c r="B9621" s="7" t="s">
        <v>26</v>
      </c>
      <c r="C9621" s="7" t="s">
        <v>27</v>
      </c>
      <c r="D9621" s="7" t="s">
        <v>28</v>
      </c>
      <c r="E9621" s="7" t="s">
        <v>29</v>
      </c>
      <c r="F9621" s="7" t="s">
        <v>92</v>
      </c>
      <c r="G9621" s="7">
        <v>98.057659999999998</v>
      </c>
      <c r="H9621" s="7"/>
    </row>
    <row r="9622" spans="1:8" x14ac:dyDescent="0.35">
      <c r="A9622" s="7" t="s">
        <v>379</v>
      </c>
      <c r="B9622" s="7" t="s">
        <v>26</v>
      </c>
      <c r="C9622" s="7" t="s">
        <v>27</v>
      </c>
      <c r="D9622" s="7" t="s">
        <v>28</v>
      </c>
      <c r="E9622" s="7" t="s">
        <v>29</v>
      </c>
      <c r="F9622" s="7" t="s">
        <v>93</v>
      </c>
      <c r="G9622" s="7">
        <v>98.059650000000005</v>
      </c>
      <c r="H9622" s="7"/>
    </row>
    <row r="9623" spans="1:8" x14ac:dyDescent="0.35">
      <c r="A9623" s="7" t="s">
        <v>379</v>
      </c>
      <c r="B9623" s="7" t="s">
        <v>26</v>
      </c>
      <c r="C9623" s="7" t="s">
        <v>27</v>
      </c>
      <c r="D9623" s="7" t="s">
        <v>28</v>
      </c>
      <c r="E9623" s="7" t="s">
        <v>29</v>
      </c>
      <c r="F9623" s="7" t="s">
        <v>94</v>
      </c>
      <c r="G9623" s="7">
        <v>98.147120000000001</v>
      </c>
      <c r="H9623" s="7"/>
    </row>
    <row r="9624" spans="1:8" x14ac:dyDescent="0.35">
      <c r="A9624" s="7" t="s">
        <v>379</v>
      </c>
      <c r="B9624" s="7" t="s">
        <v>26</v>
      </c>
      <c r="C9624" s="7" t="s">
        <v>27</v>
      </c>
      <c r="D9624" s="7" t="s">
        <v>28</v>
      </c>
      <c r="E9624" s="7" t="s">
        <v>29</v>
      </c>
      <c r="F9624" s="7" t="s">
        <v>95</v>
      </c>
      <c r="G9624" s="7">
        <v>98.294319999999999</v>
      </c>
      <c r="H9624" s="7"/>
    </row>
    <row r="9625" spans="1:8" x14ac:dyDescent="0.35">
      <c r="A9625" s="7" t="s">
        <v>379</v>
      </c>
      <c r="B9625" s="7" t="s">
        <v>26</v>
      </c>
      <c r="C9625" s="7" t="s">
        <v>27</v>
      </c>
      <c r="D9625" s="7" t="s">
        <v>28</v>
      </c>
      <c r="E9625" s="7" t="s">
        <v>29</v>
      </c>
      <c r="F9625" s="7" t="s">
        <v>96</v>
      </c>
      <c r="G9625" s="7">
        <v>98.333690000000004</v>
      </c>
      <c r="H9625" s="7"/>
    </row>
    <row r="9626" spans="1:8" x14ac:dyDescent="0.35">
      <c r="A9626" s="7" t="s">
        <v>379</v>
      </c>
      <c r="B9626" s="7" t="s">
        <v>26</v>
      </c>
      <c r="C9626" s="7" t="s">
        <v>27</v>
      </c>
      <c r="D9626" s="7" t="s">
        <v>28</v>
      </c>
      <c r="E9626" s="7" t="s">
        <v>29</v>
      </c>
      <c r="F9626" s="7" t="s">
        <v>97</v>
      </c>
      <c r="G9626" s="7">
        <v>98.267229999999998</v>
      </c>
      <c r="H9626" s="7"/>
    </row>
    <row r="9627" spans="1:8" x14ac:dyDescent="0.35">
      <c r="A9627" s="7" t="s">
        <v>379</v>
      </c>
      <c r="B9627" s="7" t="s">
        <v>26</v>
      </c>
      <c r="C9627" s="7" t="s">
        <v>27</v>
      </c>
      <c r="D9627" s="7" t="s">
        <v>28</v>
      </c>
      <c r="E9627" s="7" t="s">
        <v>29</v>
      </c>
      <c r="F9627" s="7" t="s">
        <v>98</v>
      </c>
      <c r="G9627" s="7">
        <v>98.27158</v>
      </c>
      <c r="H9627" s="7"/>
    </row>
    <row r="9628" spans="1:8" x14ac:dyDescent="0.35">
      <c r="A9628" s="7" t="s">
        <v>379</v>
      </c>
      <c r="B9628" s="7" t="s">
        <v>26</v>
      </c>
      <c r="C9628" s="7" t="s">
        <v>27</v>
      </c>
      <c r="D9628" s="7" t="s">
        <v>28</v>
      </c>
      <c r="E9628" s="7" t="s">
        <v>29</v>
      </c>
      <c r="F9628" s="7" t="s">
        <v>99</v>
      </c>
      <c r="G9628" s="7">
        <v>98.364999999999995</v>
      </c>
      <c r="H9628" s="7"/>
    </row>
    <row r="9629" spans="1:8" x14ac:dyDescent="0.35">
      <c r="A9629" s="7" t="s">
        <v>379</v>
      </c>
      <c r="B9629" s="7" t="s">
        <v>26</v>
      </c>
      <c r="C9629" s="7" t="s">
        <v>27</v>
      </c>
      <c r="D9629" s="7" t="s">
        <v>28</v>
      </c>
      <c r="E9629" s="7" t="s">
        <v>29</v>
      </c>
      <c r="F9629" s="7" t="s">
        <v>100</v>
      </c>
      <c r="G9629" s="7">
        <v>98.506519999999995</v>
      </c>
      <c r="H9629" s="7"/>
    </row>
    <row r="9630" spans="1:8" x14ac:dyDescent="0.35">
      <c r="A9630" s="7" t="s">
        <v>379</v>
      </c>
      <c r="B9630" s="7" t="s">
        <v>26</v>
      </c>
      <c r="C9630" s="7" t="s">
        <v>27</v>
      </c>
      <c r="D9630" s="7" t="s">
        <v>28</v>
      </c>
      <c r="E9630" s="7" t="s">
        <v>29</v>
      </c>
      <c r="F9630" s="7" t="s">
        <v>101</v>
      </c>
      <c r="G9630" s="7">
        <v>98.680160000000001</v>
      </c>
      <c r="H9630" s="7"/>
    </row>
    <row r="9631" spans="1:8" x14ac:dyDescent="0.35">
      <c r="A9631" s="7" t="s">
        <v>379</v>
      </c>
      <c r="B9631" s="7" t="s">
        <v>26</v>
      </c>
      <c r="C9631" s="7" t="s">
        <v>27</v>
      </c>
      <c r="D9631" s="7" t="s">
        <v>28</v>
      </c>
      <c r="E9631" s="7" t="s">
        <v>29</v>
      </c>
      <c r="F9631" s="7" t="s">
        <v>102</v>
      </c>
      <c r="G9631" s="7">
        <v>98.78295</v>
      </c>
      <c r="H9631" s="7"/>
    </row>
    <row r="9632" spans="1:8" x14ac:dyDescent="0.35">
      <c r="A9632" s="7" t="s">
        <v>379</v>
      </c>
      <c r="B9632" s="7" t="s">
        <v>26</v>
      </c>
      <c r="C9632" s="7" t="s">
        <v>27</v>
      </c>
      <c r="D9632" s="7" t="s">
        <v>28</v>
      </c>
      <c r="E9632" s="7" t="s">
        <v>29</v>
      </c>
      <c r="F9632" s="7" t="s">
        <v>103</v>
      </c>
      <c r="G9632" s="7">
        <v>98.86551</v>
      </c>
      <c r="H9632" s="7"/>
    </row>
    <row r="9633" spans="1:8" x14ac:dyDescent="0.35">
      <c r="A9633" s="7" t="s">
        <v>379</v>
      </c>
      <c r="B9633" s="7" t="s">
        <v>26</v>
      </c>
      <c r="C9633" s="7" t="s">
        <v>27</v>
      </c>
      <c r="D9633" s="7" t="s">
        <v>28</v>
      </c>
      <c r="E9633" s="7" t="s">
        <v>29</v>
      </c>
      <c r="F9633" s="7" t="s">
        <v>104</v>
      </c>
      <c r="G9633" s="7">
        <v>98.970140000000001</v>
      </c>
      <c r="H9633" s="7"/>
    </row>
    <row r="9634" spans="1:8" x14ac:dyDescent="0.35">
      <c r="A9634" s="7" t="s">
        <v>379</v>
      </c>
      <c r="B9634" s="7" t="s">
        <v>26</v>
      </c>
      <c r="C9634" s="7" t="s">
        <v>27</v>
      </c>
      <c r="D9634" s="7" t="s">
        <v>28</v>
      </c>
      <c r="E9634" s="7" t="s">
        <v>29</v>
      </c>
      <c r="F9634" s="7" t="s">
        <v>105</v>
      </c>
      <c r="G9634" s="7">
        <v>99.136989999999997</v>
      </c>
      <c r="H9634" s="7"/>
    </row>
    <row r="9635" spans="1:8" x14ac:dyDescent="0.35">
      <c r="A9635" s="7" t="s">
        <v>379</v>
      </c>
      <c r="B9635" s="7" t="s">
        <v>26</v>
      </c>
      <c r="C9635" s="7" t="s">
        <v>27</v>
      </c>
      <c r="D9635" s="7" t="s">
        <v>28</v>
      </c>
      <c r="E9635" s="7" t="s">
        <v>29</v>
      </c>
      <c r="F9635" s="7" t="s">
        <v>106</v>
      </c>
      <c r="G9635" s="7">
        <v>99.402979999999999</v>
      </c>
      <c r="H9635" s="7"/>
    </row>
    <row r="9636" spans="1:8" x14ac:dyDescent="0.35">
      <c r="A9636" s="7" t="s">
        <v>379</v>
      </c>
      <c r="B9636" s="7" t="s">
        <v>26</v>
      </c>
      <c r="C9636" s="7" t="s">
        <v>27</v>
      </c>
      <c r="D9636" s="7" t="s">
        <v>28</v>
      </c>
      <c r="E9636" s="7" t="s">
        <v>29</v>
      </c>
      <c r="F9636" s="7" t="s">
        <v>107</v>
      </c>
      <c r="G9636" s="7">
        <v>99.649829999999994</v>
      </c>
      <c r="H9636" s="7"/>
    </row>
    <row r="9637" spans="1:8" x14ac:dyDescent="0.35">
      <c r="A9637" s="7" t="s">
        <v>379</v>
      </c>
      <c r="B9637" s="7" t="s">
        <v>26</v>
      </c>
      <c r="C9637" s="7" t="s">
        <v>27</v>
      </c>
      <c r="D9637" s="7" t="s">
        <v>28</v>
      </c>
      <c r="E9637" s="7" t="s">
        <v>29</v>
      </c>
      <c r="F9637" s="7" t="s">
        <v>108</v>
      </c>
      <c r="G9637" s="7">
        <v>99.92971</v>
      </c>
      <c r="H9637" s="7"/>
    </row>
    <row r="9638" spans="1:8" x14ac:dyDescent="0.35">
      <c r="A9638" s="7" t="s">
        <v>379</v>
      </c>
      <c r="B9638" s="7" t="s">
        <v>26</v>
      </c>
      <c r="C9638" s="7" t="s">
        <v>27</v>
      </c>
      <c r="D9638" s="7" t="s">
        <v>28</v>
      </c>
      <c r="E9638" s="7" t="s">
        <v>29</v>
      </c>
      <c r="F9638" s="7" t="s">
        <v>109</v>
      </c>
      <c r="G9638" s="7">
        <v>100.2629</v>
      </c>
      <c r="H9638" s="7"/>
    </row>
    <row r="9639" spans="1:8" x14ac:dyDescent="0.35">
      <c r="A9639" s="7" t="s">
        <v>379</v>
      </c>
      <c r="B9639" s="7" t="s">
        <v>26</v>
      </c>
      <c r="C9639" s="7" t="s">
        <v>27</v>
      </c>
      <c r="D9639" s="7" t="s">
        <v>28</v>
      </c>
      <c r="E9639" s="7" t="s">
        <v>29</v>
      </c>
      <c r="F9639" s="7" t="s">
        <v>110</v>
      </c>
      <c r="G9639" s="7">
        <v>100.6242</v>
      </c>
      <c r="H9639" s="7"/>
    </row>
    <row r="9640" spans="1:8" x14ac:dyDescent="0.35">
      <c r="A9640" s="7" t="s">
        <v>379</v>
      </c>
      <c r="B9640" s="7" t="s">
        <v>26</v>
      </c>
      <c r="C9640" s="7" t="s">
        <v>27</v>
      </c>
      <c r="D9640" s="7" t="s">
        <v>28</v>
      </c>
      <c r="E9640" s="7" t="s">
        <v>29</v>
      </c>
      <c r="F9640" s="7" t="s">
        <v>111</v>
      </c>
      <c r="G9640" s="7">
        <v>100.77249999999999</v>
      </c>
      <c r="H9640" s="7"/>
    </row>
    <row r="9641" spans="1:8" x14ac:dyDescent="0.35">
      <c r="A9641" s="7" t="s">
        <v>379</v>
      </c>
      <c r="B9641" s="7" t="s">
        <v>26</v>
      </c>
      <c r="C9641" s="7" t="s">
        <v>27</v>
      </c>
      <c r="D9641" s="7" t="s">
        <v>28</v>
      </c>
      <c r="E9641" s="7" t="s">
        <v>29</v>
      </c>
      <c r="F9641" s="7" t="s">
        <v>112</v>
      </c>
      <c r="G9641" s="7">
        <v>100.91</v>
      </c>
      <c r="H9641" s="7"/>
    </row>
    <row r="9642" spans="1:8" x14ac:dyDescent="0.35">
      <c r="A9642" s="7" t="s">
        <v>379</v>
      </c>
      <c r="B9642" s="7" t="s">
        <v>26</v>
      </c>
      <c r="C9642" s="7" t="s">
        <v>27</v>
      </c>
      <c r="D9642" s="7" t="s">
        <v>28</v>
      </c>
      <c r="E9642" s="7" t="s">
        <v>29</v>
      </c>
      <c r="F9642" s="7" t="s">
        <v>113</v>
      </c>
      <c r="G9642" s="7">
        <v>101.1497</v>
      </c>
      <c r="H9642" s="7"/>
    </row>
    <row r="9643" spans="1:8" x14ac:dyDescent="0.35">
      <c r="A9643" s="7" t="s">
        <v>379</v>
      </c>
      <c r="B9643" s="7" t="s">
        <v>26</v>
      </c>
      <c r="C9643" s="7" t="s">
        <v>27</v>
      </c>
      <c r="D9643" s="7" t="s">
        <v>28</v>
      </c>
      <c r="E9643" s="7" t="s">
        <v>29</v>
      </c>
      <c r="F9643" s="7" t="s">
        <v>114</v>
      </c>
      <c r="G9643" s="7">
        <v>101.3188</v>
      </c>
      <c r="H9643" s="7"/>
    </row>
    <row r="9644" spans="1:8" x14ac:dyDescent="0.35">
      <c r="A9644" s="7" t="s">
        <v>379</v>
      </c>
      <c r="B9644" s="7" t="s">
        <v>26</v>
      </c>
      <c r="C9644" s="7" t="s">
        <v>27</v>
      </c>
      <c r="D9644" s="7" t="s">
        <v>28</v>
      </c>
      <c r="E9644" s="7" t="s">
        <v>29</v>
      </c>
      <c r="F9644" s="7" t="s">
        <v>115</v>
      </c>
      <c r="G9644" s="7">
        <v>101.36920000000001</v>
      </c>
      <c r="H9644" s="7"/>
    </row>
    <row r="9645" spans="1:8" x14ac:dyDescent="0.35">
      <c r="A9645" s="7" t="s">
        <v>379</v>
      </c>
      <c r="B9645" s="7" t="s">
        <v>26</v>
      </c>
      <c r="C9645" s="7" t="s">
        <v>27</v>
      </c>
      <c r="D9645" s="7" t="s">
        <v>28</v>
      </c>
      <c r="E9645" s="7" t="s">
        <v>29</v>
      </c>
      <c r="F9645" s="7" t="s">
        <v>116</v>
      </c>
      <c r="G9645" s="7">
        <v>101.3867</v>
      </c>
      <c r="H9645" s="7"/>
    </row>
    <row r="9646" spans="1:8" x14ac:dyDescent="0.35">
      <c r="A9646" s="7" t="s">
        <v>379</v>
      </c>
      <c r="B9646" s="7" t="s">
        <v>26</v>
      </c>
      <c r="C9646" s="7" t="s">
        <v>27</v>
      </c>
      <c r="D9646" s="7" t="s">
        <v>28</v>
      </c>
      <c r="E9646" s="7" t="s">
        <v>29</v>
      </c>
      <c r="F9646" s="7" t="s">
        <v>117</v>
      </c>
      <c r="G9646" s="7">
        <v>101.3186</v>
      </c>
      <c r="H9646" s="7"/>
    </row>
    <row r="9647" spans="1:8" x14ac:dyDescent="0.35">
      <c r="A9647" s="7" t="s">
        <v>379</v>
      </c>
      <c r="B9647" s="7" t="s">
        <v>26</v>
      </c>
      <c r="C9647" s="7" t="s">
        <v>27</v>
      </c>
      <c r="D9647" s="7" t="s">
        <v>28</v>
      </c>
      <c r="E9647" s="7" t="s">
        <v>29</v>
      </c>
      <c r="F9647" s="7" t="s">
        <v>118</v>
      </c>
      <c r="G9647" s="7">
        <v>101.0741</v>
      </c>
      <c r="H9647" s="7"/>
    </row>
    <row r="9648" spans="1:8" x14ac:dyDescent="0.35">
      <c r="A9648" s="7" t="s">
        <v>379</v>
      </c>
      <c r="B9648" s="7" t="s">
        <v>26</v>
      </c>
      <c r="C9648" s="7" t="s">
        <v>27</v>
      </c>
      <c r="D9648" s="7" t="s">
        <v>28</v>
      </c>
      <c r="E9648" s="7" t="s">
        <v>29</v>
      </c>
      <c r="F9648" s="7" t="s">
        <v>119</v>
      </c>
      <c r="G9648" s="7">
        <v>100.8</v>
      </c>
      <c r="H9648" s="7"/>
    </row>
    <row r="9649" spans="1:8" x14ac:dyDescent="0.35">
      <c r="A9649" s="7" t="s">
        <v>379</v>
      </c>
      <c r="B9649" s="7" t="s">
        <v>26</v>
      </c>
      <c r="C9649" s="7" t="s">
        <v>27</v>
      </c>
      <c r="D9649" s="7" t="s">
        <v>28</v>
      </c>
      <c r="E9649" s="7" t="s">
        <v>29</v>
      </c>
      <c r="F9649" s="7" t="s">
        <v>120</v>
      </c>
      <c r="G9649" s="7">
        <v>100.6219</v>
      </c>
      <c r="H9649" s="7"/>
    </row>
    <row r="9650" spans="1:8" x14ac:dyDescent="0.35">
      <c r="A9650" s="7" t="s">
        <v>379</v>
      </c>
      <c r="B9650" s="7" t="s">
        <v>26</v>
      </c>
      <c r="C9650" s="7" t="s">
        <v>27</v>
      </c>
      <c r="D9650" s="7" t="s">
        <v>28</v>
      </c>
      <c r="E9650" s="7" t="s">
        <v>29</v>
      </c>
      <c r="F9650" s="7" t="s">
        <v>121</v>
      </c>
      <c r="G9650" s="7">
        <v>100.4893</v>
      </c>
      <c r="H9650" s="7"/>
    </row>
    <row r="9651" spans="1:8" x14ac:dyDescent="0.35">
      <c r="A9651" s="7" t="s">
        <v>379</v>
      </c>
      <c r="B9651" s="7" t="s">
        <v>26</v>
      </c>
      <c r="C9651" s="7" t="s">
        <v>27</v>
      </c>
      <c r="D9651" s="7" t="s">
        <v>28</v>
      </c>
      <c r="E9651" s="7" t="s">
        <v>29</v>
      </c>
      <c r="F9651" s="7" t="s">
        <v>122</v>
      </c>
      <c r="G9651" s="7">
        <v>100.4128</v>
      </c>
      <c r="H9651" s="7"/>
    </row>
    <row r="9652" spans="1:8" x14ac:dyDescent="0.35">
      <c r="A9652" s="7" t="s">
        <v>379</v>
      </c>
      <c r="B9652" s="7" t="s">
        <v>26</v>
      </c>
      <c r="C9652" s="7" t="s">
        <v>27</v>
      </c>
      <c r="D9652" s="7" t="s">
        <v>28</v>
      </c>
      <c r="E9652" s="7" t="s">
        <v>29</v>
      </c>
      <c r="F9652" s="7" t="s">
        <v>123</v>
      </c>
      <c r="G9652" s="7">
        <v>100.3455</v>
      </c>
      <c r="H9652" s="7"/>
    </row>
    <row r="9653" spans="1:8" x14ac:dyDescent="0.35">
      <c r="A9653" s="7" t="s">
        <v>379</v>
      </c>
      <c r="B9653" s="7" t="s">
        <v>26</v>
      </c>
      <c r="C9653" s="7" t="s">
        <v>27</v>
      </c>
      <c r="D9653" s="7" t="s">
        <v>28</v>
      </c>
      <c r="E9653" s="7" t="s">
        <v>29</v>
      </c>
      <c r="F9653" s="7" t="s">
        <v>124</v>
      </c>
      <c r="G9653" s="7">
        <v>100.3182</v>
      </c>
      <c r="H9653" s="7"/>
    </row>
    <row r="9654" spans="1:8" x14ac:dyDescent="0.35">
      <c r="A9654" s="7" t="s">
        <v>379</v>
      </c>
      <c r="B9654" s="7" t="s">
        <v>26</v>
      </c>
      <c r="C9654" s="7" t="s">
        <v>27</v>
      </c>
      <c r="D9654" s="7" t="s">
        <v>28</v>
      </c>
      <c r="E9654" s="7" t="s">
        <v>29</v>
      </c>
      <c r="F9654" s="7" t="s">
        <v>125</v>
      </c>
      <c r="G9654" s="7">
        <v>100.38890000000001</v>
      </c>
      <c r="H9654" s="7"/>
    </row>
    <row r="9655" spans="1:8" x14ac:dyDescent="0.35">
      <c r="A9655" s="7" t="s">
        <v>379</v>
      </c>
      <c r="B9655" s="7" t="s">
        <v>26</v>
      </c>
      <c r="C9655" s="7" t="s">
        <v>27</v>
      </c>
      <c r="D9655" s="7" t="s">
        <v>28</v>
      </c>
      <c r="E9655" s="7" t="s">
        <v>29</v>
      </c>
      <c r="F9655" s="7" t="s">
        <v>126</v>
      </c>
      <c r="G9655" s="7">
        <v>100.5663</v>
      </c>
      <c r="H9655" s="7"/>
    </row>
    <row r="9656" spans="1:8" x14ac:dyDescent="0.35">
      <c r="A9656" s="7" t="s">
        <v>379</v>
      </c>
      <c r="B9656" s="7" t="s">
        <v>26</v>
      </c>
      <c r="C9656" s="7" t="s">
        <v>27</v>
      </c>
      <c r="D9656" s="7" t="s">
        <v>28</v>
      </c>
      <c r="E9656" s="7" t="s">
        <v>29</v>
      </c>
      <c r="F9656" s="7" t="s">
        <v>127</v>
      </c>
      <c r="G9656" s="7">
        <v>100.8276</v>
      </c>
      <c r="H9656" s="7"/>
    </row>
    <row r="9657" spans="1:8" x14ac:dyDescent="0.35">
      <c r="A9657" s="7" t="s">
        <v>379</v>
      </c>
      <c r="B9657" s="7" t="s">
        <v>26</v>
      </c>
      <c r="C9657" s="7" t="s">
        <v>27</v>
      </c>
      <c r="D9657" s="7" t="s">
        <v>28</v>
      </c>
      <c r="E9657" s="7" t="s">
        <v>29</v>
      </c>
      <c r="F9657" s="7" t="s">
        <v>128</v>
      </c>
      <c r="G9657" s="7">
        <v>101.0746</v>
      </c>
      <c r="H9657" s="7"/>
    </row>
    <row r="9658" spans="1:8" x14ac:dyDescent="0.35">
      <c r="A9658" s="7" t="s">
        <v>379</v>
      </c>
      <c r="B9658" s="7" t="s">
        <v>26</v>
      </c>
      <c r="C9658" s="7" t="s">
        <v>27</v>
      </c>
      <c r="D9658" s="7" t="s">
        <v>28</v>
      </c>
      <c r="E9658" s="7" t="s">
        <v>29</v>
      </c>
      <c r="F9658" s="7" t="s">
        <v>129</v>
      </c>
      <c r="G9658" s="7">
        <v>101.24209999999999</v>
      </c>
      <c r="H9658" s="7"/>
    </row>
    <row r="9659" spans="1:8" x14ac:dyDescent="0.35">
      <c r="A9659" s="7" t="s">
        <v>379</v>
      </c>
      <c r="B9659" s="7" t="s">
        <v>26</v>
      </c>
      <c r="C9659" s="7" t="s">
        <v>27</v>
      </c>
      <c r="D9659" s="7" t="s">
        <v>28</v>
      </c>
      <c r="E9659" s="7" t="s">
        <v>29</v>
      </c>
      <c r="F9659" s="7" t="s">
        <v>130</v>
      </c>
      <c r="G9659" s="7">
        <v>101.3617</v>
      </c>
      <c r="H9659" s="7"/>
    </row>
    <row r="9660" spans="1:8" x14ac:dyDescent="0.35">
      <c r="A9660" s="7" t="s">
        <v>379</v>
      </c>
      <c r="B9660" s="7" t="s">
        <v>26</v>
      </c>
      <c r="C9660" s="7" t="s">
        <v>27</v>
      </c>
      <c r="D9660" s="7" t="s">
        <v>28</v>
      </c>
      <c r="E9660" s="7" t="s">
        <v>29</v>
      </c>
      <c r="F9660" s="7" t="s">
        <v>131</v>
      </c>
      <c r="G9660" s="7">
        <v>101.5128</v>
      </c>
      <c r="H9660" s="7"/>
    </row>
    <row r="9661" spans="1:8" x14ac:dyDescent="0.35">
      <c r="A9661" s="7" t="s">
        <v>379</v>
      </c>
      <c r="B9661" s="7" t="s">
        <v>26</v>
      </c>
      <c r="C9661" s="7" t="s">
        <v>27</v>
      </c>
      <c r="D9661" s="7" t="s">
        <v>28</v>
      </c>
      <c r="E9661" s="7" t="s">
        <v>29</v>
      </c>
      <c r="F9661" s="7" t="s">
        <v>132</v>
      </c>
      <c r="G9661" s="7">
        <v>101.7321</v>
      </c>
      <c r="H9661" s="7"/>
    </row>
    <row r="9662" spans="1:8" x14ac:dyDescent="0.35">
      <c r="A9662" s="7" t="s">
        <v>379</v>
      </c>
      <c r="B9662" s="7" t="s">
        <v>26</v>
      </c>
      <c r="C9662" s="7" t="s">
        <v>27</v>
      </c>
      <c r="D9662" s="7" t="s">
        <v>28</v>
      </c>
      <c r="E9662" s="7" t="s">
        <v>29</v>
      </c>
      <c r="F9662" s="7" t="s">
        <v>133</v>
      </c>
      <c r="G9662" s="7">
        <v>101.75920000000001</v>
      </c>
      <c r="H9662" s="7"/>
    </row>
    <row r="9663" spans="1:8" x14ac:dyDescent="0.35">
      <c r="A9663" s="7" t="s">
        <v>379</v>
      </c>
      <c r="B9663" s="7" t="s">
        <v>26</v>
      </c>
      <c r="C9663" s="7" t="s">
        <v>27</v>
      </c>
      <c r="D9663" s="7" t="s">
        <v>28</v>
      </c>
      <c r="E9663" s="7" t="s">
        <v>29</v>
      </c>
      <c r="F9663" s="7" t="s">
        <v>134</v>
      </c>
      <c r="G9663" s="7">
        <v>101.735</v>
      </c>
      <c r="H9663" s="7"/>
    </row>
    <row r="9664" spans="1:8" x14ac:dyDescent="0.35">
      <c r="A9664" s="7" t="s">
        <v>379</v>
      </c>
      <c r="B9664" s="7" t="s">
        <v>26</v>
      </c>
      <c r="C9664" s="7" t="s">
        <v>27</v>
      </c>
      <c r="D9664" s="7" t="s">
        <v>28</v>
      </c>
      <c r="E9664" s="7" t="s">
        <v>29</v>
      </c>
      <c r="F9664" s="7" t="s">
        <v>135</v>
      </c>
      <c r="G9664" s="7">
        <v>101.68559999999999</v>
      </c>
      <c r="H9664" s="7"/>
    </row>
    <row r="9665" spans="1:8" x14ac:dyDescent="0.35">
      <c r="A9665" s="7" t="s">
        <v>379</v>
      </c>
      <c r="B9665" s="7" t="s">
        <v>26</v>
      </c>
      <c r="C9665" s="7" t="s">
        <v>27</v>
      </c>
      <c r="D9665" s="7" t="s">
        <v>28</v>
      </c>
      <c r="E9665" s="7" t="s">
        <v>29</v>
      </c>
      <c r="F9665" s="7" t="s">
        <v>136</v>
      </c>
      <c r="G9665" s="7">
        <v>101.4729</v>
      </c>
      <c r="H9665" s="7"/>
    </row>
    <row r="9666" spans="1:8" x14ac:dyDescent="0.35">
      <c r="A9666" s="7" t="s">
        <v>379</v>
      </c>
      <c r="B9666" s="7" t="s">
        <v>26</v>
      </c>
      <c r="C9666" s="7" t="s">
        <v>27</v>
      </c>
      <c r="D9666" s="7" t="s">
        <v>28</v>
      </c>
      <c r="E9666" s="7" t="s">
        <v>29</v>
      </c>
      <c r="F9666" s="7" t="s">
        <v>137</v>
      </c>
      <c r="G9666" s="7">
        <v>101.30289999999999</v>
      </c>
      <c r="H9666" s="7"/>
    </row>
    <row r="9667" spans="1:8" x14ac:dyDescent="0.35">
      <c r="A9667" s="7" t="s">
        <v>379</v>
      </c>
      <c r="B9667" s="7" t="s">
        <v>26</v>
      </c>
      <c r="C9667" s="7" t="s">
        <v>27</v>
      </c>
      <c r="D9667" s="7" t="s">
        <v>28</v>
      </c>
      <c r="E9667" s="7" t="s">
        <v>29</v>
      </c>
      <c r="F9667" s="7" t="s">
        <v>138</v>
      </c>
      <c r="G9667" s="7">
        <v>101.3314</v>
      </c>
      <c r="H9667" s="7"/>
    </row>
    <row r="9668" spans="1:8" x14ac:dyDescent="0.35">
      <c r="A9668" s="7" t="s">
        <v>379</v>
      </c>
      <c r="B9668" s="7" t="s">
        <v>26</v>
      </c>
      <c r="C9668" s="7" t="s">
        <v>27</v>
      </c>
      <c r="D9668" s="7" t="s">
        <v>28</v>
      </c>
      <c r="E9668" s="7" t="s">
        <v>29</v>
      </c>
      <c r="F9668" s="7" t="s">
        <v>139</v>
      </c>
      <c r="G9668" s="7">
        <v>101.37560000000001</v>
      </c>
      <c r="H9668" s="7"/>
    </row>
    <row r="9669" spans="1:8" x14ac:dyDescent="0.35">
      <c r="A9669" s="7" t="s">
        <v>379</v>
      </c>
      <c r="B9669" s="7" t="s">
        <v>26</v>
      </c>
      <c r="C9669" s="7" t="s">
        <v>27</v>
      </c>
      <c r="D9669" s="7" t="s">
        <v>28</v>
      </c>
      <c r="E9669" s="7" t="s">
        <v>29</v>
      </c>
      <c r="F9669" s="7" t="s">
        <v>140</v>
      </c>
      <c r="G9669" s="7">
        <v>101.4327</v>
      </c>
      <c r="H9669" s="7"/>
    </row>
    <row r="9670" spans="1:8" x14ac:dyDescent="0.35">
      <c r="A9670" s="7" t="s">
        <v>379</v>
      </c>
      <c r="B9670" s="7" t="s">
        <v>26</v>
      </c>
      <c r="C9670" s="7" t="s">
        <v>27</v>
      </c>
      <c r="D9670" s="7" t="s">
        <v>28</v>
      </c>
      <c r="E9670" s="7" t="s">
        <v>29</v>
      </c>
      <c r="F9670" s="7" t="s">
        <v>141</v>
      </c>
      <c r="G9670" s="7">
        <v>101.429</v>
      </c>
      <c r="H9670" s="7"/>
    </row>
    <row r="9671" spans="1:8" x14ac:dyDescent="0.35">
      <c r="A9671" s="7" t="s">
        <v>379</v>
      </c>
      <c r="B9671" s="7" t="s">
        <v>26</v>
      </c>
      <c r="C9671" s="7" t="s">
        <v>27</v>
      </c>
      <c r="D9671" s="7" t="s">
        <v>28</v>
      </c>
      <c r="E9671" s="7" t="s">
        <v>29</v>
      </c>
      <c r="F9671" s="7" t="s">
        <v>142</v>
      </c>
      <c r="G9671" s="7">
        <v>101.4436</v>
      </c>
      <c r="H9671" s="7"/>
    </row>
    <row r="9672" spans="1:8" x14ac:dyDescent="0.35">
      <c r="A9672" s="7" t="s">
        <v>379</v>
      </c>
      <c r="B9672" s="7" t="s">
        <v>26</v>
      </c>
      <c r="C9672" s="7" t="s">
        <v>27</v>
      </c>
      <c r="D9672" s="7" t="s">
        <v>28</v>
      </c>
      <c r="E9672" s="7" t="s">
        <v>29</v>
      </c>
      <c r="F9672" s="7" t="s">
        <v>143</v>
      </c>
      <c r="G9672" s="7">
        <v>101.3571</v>
      </c>
      <c r="H9672" s="7"/>
    </row>
    <row r="9673" spans="1:8" x14ac:dyDescent="0.35">
      <c r="A9673" s="7" t="s">
        <v>379</v>
      </c>
      <c r="B9673" s="7" t="s">
        <v>26</v>
      </c>
      <c r="C9673" s="7" t="s">
        <v>27</v>
      </c>
      <c r="D9673" s="7" t="s">
        <v>28</v>
      </c>
      <c r="E9673" s="7" t="s">
        <v>29</v>
      </c>
      <c r="F9673" s="7" t="s">
        <v>144</v>
      </c>
      <c r="G9673" s="7">
        <v>101.0736</v>
      </c>
      <c r="H9673" s="7"/>
    </row>
    <row r="9674" spans="1:8" x14ac:dyDescent="0.35">
      <c r="A9674" s="7" t="s">
        <v>379</v>
      </c>
      <c r="B9674" s="7" t="s">
        <v>26</v>
      </c>
      <c r="C9674" s="7" t="s">
        <v>27</v>
      </c>
      <c r="D9674" s="7" t="s">
        <v>28</v>
      </c>
      <c r="E9674" s="7" t="s">
        <v>29</v>
      </c>
      <c r="F9674" s="7" t="s">
        <v>145</v>
      </c>
      <c r="G9674" s="7">
        <v>100.6816</v>
      </c>
      <c r="H9674" s="7"/>
    </row>
    <row r="9675" spans="1:8" x14ac:dyDescent="0.35">
      <c r="A9675" s="7" t="s">
        <v>379</v>
      </c>
      <c r="B9675" s="7" t="s">
        <v>26</v>
      </c>
      <c r="C9675" s="7" t="s">
        <v>27</v>
      </c>
      <c r="D9675" s="7" t="s">
        <v>28</v>
      </c>
      <c r="E9675" s="7" t="s">
        <v>29</v>
      </c>
      <c r="F9675" s="7" t="s">
        <v>146</v>
      </c>
      <c r="G9675" s="7">
        <v>100.26349999999999</v>
      </c>
      <c r="H9675" s="7"/>
    </row>
    <row r="9676" spans="1:8" x14ac:dyDescent="0.35">
      <c r="A9676" s="7" t="s">
        <v>379</v>
      </c>
      <c r="B9676" s="7" t="s">
        <v>26</v>
      </c>
      <c r="C9676" s="7" t="s">
        <v>27</v>
      </c>
      <c r="D9676" s="7" t="s">
        <v>28</v>
      </c>
      <c r="E9676" s="7" t="s">
        <v>29</v>
      </c>
      <c r="F9676" s="7" t="s">
        <v>147</v>
      </c>
      <c r="G9676" s="7">
        <v>99.933080000000004</v>
      </c>
      <c r="H9676" s="7"/>
    </row>
    <row r="9677" spans="1:8" x14ac:dyDescent="0.35">
      <c r="A9677" s="7" t="s">
        <v>379</v>
      </c>
      <c r="B9677" s="7" t="s">
        <v>26</v>
      </c>
      <c r="C9677" s="7" t="s">
        <v>27</v>
      </c>
      <c r="D9677" s="7" t="s">
        <v>28</v>
      </c>
      <c r="E9677" s="7" t="s">
        <v>29</v>
      </c>
      <c r="F9677" s="7" t="s">
        <v>148</v>
      </c>
      <c r="G9677" s="7">
        <v>99.764920000000004</v>
      </c>
      <c r="H9677" s="7"/>
    </row>
    <row r="9678" spans="1:8" x14ac:dyDescent="0.35">
      <c r="A9678" s="7" t="s">
        <v>379</v>
      </c>
      <c r="B9678" s="7" t="s">
        <v>26</v>
      </c>
      <c r="C9678" s="7" t="s">
        <v>27</v>
      </c>
      <c r="D9678" s="7" t="s">
        <v>28</v>
      </c>
      <c r="E9678" s="7" t="s">
        <v>29</v>
      </c>
      <c r="F9678" s="7" t="s">
        <v>149</v>
      </c>
      <c r="G9678" s="7">
        <v>99.562839999999994</v>
      </c>
      <c r="H9678" s="7"/>
    </row>
    <row r="9679" spans="1:8" x14ac:dyDescent="0.35">
      <c r="A9679" s="7" t="s">
        <v>379</v>
      </c>
      <c r="B9679" s="7" t="s">
        <v>26</v>
      </c>
      <c r="C9679" s="7" t="s">
        <v>27</v>
      </c>
      <c r="D9679" s="7" t="s">
        <v>28</v>
      </c>
      <c r="E9679" s="7" t="s">
        <v>29</v>
      </c>
      <c r="F9679" s="7" t="s">
        <v>150</v>
      </c>
      <c r="G9679" s="7">
        <v>99.27955</v>
      </c>
      <c r="H9679" s="7"/>
    </row>
    <row r="9680" spans="1:8" x14ac:dyDescent="0.35">
      <c r="A9680" s="7" t="s">
        <v>379</v>
      </c>
      <c r="B9680" s="7" t="s">
        <v>26</v>
      </c>
      <c r="C9680" s="7" t="s">
        <v>27</v>
      </c>
      <c r="D9680" s="7" t="s">
        <v>28</v>
      </c>
      <c r="E9680" s="7" t="s">
        <v>29</v>
      </c>
      <c r="F9680" s="7" t="s">
        <v>151</v>
      </c>
      <c r="G9680" s="7">
        <v>99.129959999999997</v>
      </c>
      <c r="H9680" s="7"/>
    </row>
    <row r="9681" spans="1:8" x14ac:dyDescent="0.35">
      <c r="A9681" s="7" t="s">
        <v>379</v>
      </c>
      <c r="B9681" s="7" t="s">
        <v>26</v>
      </c>
      <c r="C9681" s="7" t="s">
        <v>27</v>
      </c>
      <c r="D9681" s="7" t="s">
        <v>28</v>
      </c>
      <c r="E9681" s="7" t="s">
        <v>29</v>
      </c>
      <c r="F9681" s="7" t="s">
        <v>152</v>
      </c>
      <c r="G9681" s="7">
        <v>99.149500000000003</v>
      </c>
      <c r="H9681" s="7"/>
    </row>
    <row r="9682" spans="1:8" x14ac:dyDescent="0.35">
      <c r="A9682" s="7" t="s">
        <v>379</v>
      </c>
      <c r="B9682" s="7" t="s">
        <v>26</v>
      </c>
      <c r="C9682" s="7" t="s">
        <v>27</v>
      </c>
      <c r="D9682" s="7" t="s">
        <v>28</v>
      </c>
      <c r="E9682" s="7" t="s">
        <v>29</v>
      </c>
      <c r="F9682" s="7" t="s">
        <v>153</v>
      </c>
      <c r="G9682" s="7">
        <v>99.254959999999997</v>
      </c>
      <c r="H9682" s="7"/>
    </row>
    <row r="9683" spans="1:8" x14ac:dyDescent="0.35">
      <c r="A9683" s="7" t="s">
        <v>379</v>
      </c>
      <c r="B9683" s="7" t="s">
        <v>26</v>
      </c>
      <c r="C9683" s="7" t="s">
        <v>27</v>
      </c>
      <c r="D9683" s="7" t="s">
        <v>28</v>
      </c>
      <c r="E9683" s="7" t="s">
        <v>29</v>
      </c>
      <c r="F9683" s="7" t="s">
        <v>154</v>
      </c>
      <c r="G9683" s="7">
        <v>99.417280000000005</v>
      </c>
      <c r="H9683" s="7"/>
    </row>
    <row r="9684" spans="1:8" x14ac:dyDescent="0.35">
      <c r="A9684" s="7" t="s">
        <v>379</v>
      </c>
      <c r="B9684" s="7" t="s">
        <v>26</v>
      </c>
      <c r="C9684" s="7" t="s">
        <v>27</v>
      </c>
      <c r="D9684" s="7" t="s">
        <v>28</v>
      </c>
      <c r="E9684" s="7" t="s">
        <v>29</v>
      </c>
      <c r="F9684" s="7" t="s">
        <v>155</v>
      </c>
      <c r="G9684" s="7">
        <v>99.585700000000003</v>
      </c>
      <c r="H9684" s="7"/>
    </row>
    <row r="9685" spans="1:8" x14ac:dyDescent="0.35">
      <c r="A9685" s="7" t="s">
        <v>379</v>
      </c>
      <c r="B9685" s="7" t="s">
        <v>26</v>
      </c>
      <c r="C9685" s="7" t="s">
        <v>27</v>
      </c>
      <c r="D9685" s="7" t="s">
        <v>28</v>
      </c>
      <c r="E9685" s="7" t="s">
        <v>29</v>
      </c>
      <c r="F9685" s="7" t="s">
        <v>156</v>
      </c>
      <c r="G9685" s="7">
        <v>99.762079999999997</v>
      </c>
      <c r="H9685" s="7"/>
    </row>
    <row r="9686" spans="1:8" x14ac:dyDescent="0.35">
      <c r="A9686" s="7" t="s">
        <v>379</v>
      </c>
      <c r="B9686" s="7" t="s">
        <v>26</v>
      </c>
      <c r="C9686" s="7" t="s">
        <v>27</v>
      </c>
      <c r="D9686" s="7" t="s">
        <v>28</v>
      </c>
      <c r="E9686" s="7" t="s">
        <v>29</v>
      </c>
      <c r="F9686" s="7" t="s">
        <v>157</v>
      </c>
      <c r="G9686" s="7">
        <v>99.906570000000002</v>
      </c>
      <c r="H9686" s="7"/>
    </row>
    <row r="9687" spans="1:8" x14ac:dyDescent="0.35">
      <c r="A9687" s="7" t="s">
        <v>379</v>
      </c>
      <c r="B9687" s="7" t="s">
        <v>26</v>
      </c>
      <c r="C9687" s="7" t="s">
        <v>27</v>
      </c>
      <c r="D9687" s="7" t="s">
        <v>28</v>
      </c>
      <c r="E9687" s="7" t="s">
        <v>29</v>
      </c>
      <c r="F9687" s="7" t="s">
        <v>158</v>
      </c>
      <c r="G9687" s="7">
        <v>99.938640000000007</v>
      </c>
      <c r="H9687" s="7"/>
    </row>
    <row r="9688" spans="1:8" x14ac:dyDescent="0.35">
      <c r="A9688" s="7" t="s">
        <v>379</v>
      </c>
      <c r="B9688" s="7" t="s">
        <v>26</v>
      </c>
      <c r="C9688" s="7" t="s">
        <v>27</v>
      </c>
      <c r="D9688" s="7" t="s">
        <v>28</v>
      </c>
      <c r="E9688" s="7" t="s">
        <v>29</v>
      </c>
      <c r="F9688" s="7" t="s">
        <v>159</v>
      </c>
      <c r="G9688" s="7">
        <v>99.873760000000004</v>
      </c>
      <c r="H9688" s="7"/>
    </row>
    <row r="9689" spans="1:8" x14ac:dyDescent="0.35">
      <c r="A9689" s="7" t="s">
        <v>379</v>
      </c>
      <c r="B9689" s="7" t="s">
        <v>26</v>
      </c>
      <c r="C9689" s="7" t="s">
        <v>27</v>
      </c>
      <c r="D9689" s="7" t="s">
        <v>28</v>
      </c>
      <c r="E9689" s="7" t="s">
        <v>29</v>
      </c>
      <c r="F9689" s="7" t="s">
        <v>160</v>
      </c>
      <c r="G9689" s="7">
        <v>99.761799999999994</v>
      </c>
      <c r="H9689" s="7"/>
    </row>
    <row r="9690" spans="1:8" x14ac:dyDescent="0.35">
      <c r="A9690" s="7" t="s">
        <v>379</v>
      </c>
      <c r="B9690" s="7" t="s">
        <v>26</v>
      </c>
      <c r="C9690" s="7" t="s">
        <v>27</v>
      </c>
      <c r="D9690" s="7" t="s">
        <v>28</v>
      </c>
      <c r="E9690" s="7" t="s">
        <v>29</v>
      </c>
      <c r="F9690" s="7" t="s">
        <v>161</v>
      </c>
      <c r="G9690" s="7">
        <v>99.293109999999999</v>
      </c>
      <c r="H9690" s="7"/>
    </row>
    <row r="9691" spans="1:8" x14ac:dyDescent="0.35">
      <c r="A9691" s="7" t="s">
        <v>379</v>
      </c>
      <c r="B9691" s="7" t="s">
        <v>26</v>
      </c>
      <c r="C9691" s="7" t="s">
        <v>27</v>
      </c>
      <c r="D9691" s="7" t="s">
        <v>28</v>
      </c>
      <c r="E9691" s="7" t="s">
        <v>29</v>
      </c>
      <c r="F9691" s="7" t="s">
        <v>162</v>
      </c>
      <c r="G9691" s="7">
        <v>98.650379999999998</v>
      </c>
      <c r="H9691" s="7"/>
    </row>
    <row r="9692" spans="1:8" x14ac:dyDescent="0.35">
      <c r="A9692" s="7" t="s">
        <v>379</v>
      </c>
      <c r="B9692" s="7" t="s">
        <v>26</v>
      </c>
      <c r="C9692" s="7" t="s">
        <v>27</v>
      </c>
      <c r="D9692" s="7" t="s">
        <v>28</v>
      </c>
      <c r="E9692" s="7" t="s">
        <v>29</v>
      </c>
      <c r="F9692" s="7" t="s">
        <v>163</v>
      </c>
      <c r="G9692" s="7">
        <v>98.178319999999999</v>
      </c>
      <c r="H9692" s="7"/>
    </row>
    <row r="9693" spans="1:8" x14ac:dyDescent="0.35">
      <c r="A9693" s="7" t="s">
        <v>379</v>
      </c>
      <c r="B9693" s="7" t="s">
        <v>26</v>
      </c>
      <c r="C9693" s="7" t="s">
        <v>27</v>
      </c>
      <c r="D9693" s="7" t="s">
        <v>28</v>
      </c>
      <c r="E9693" s="7" t="s">
        <v>29</v>
      </c>
      <c r="F9693" s="7" t="s">
        <v>164</v>
      </c>
      <c r="G9693" s="7">
        <v>97.990840000000006</v>
      </c>
      <c r="H9693" s="7"/>
    </row>
    <row r="9694" spans="1:8" x14ac:dyDescent="0.35">
      <c r="A9694" s="7" t="s">
        <v>379</v>
      </c>
      <c r="B9694" s="7" t="s">
        <v>26</v>
      </c>
      <c r="C9694" s="7" t="s">
        <v>27</v>
      </c>
      <c r="D9694" s="7" t="s">
        <v>28</v>
      </c>
      <c r="E9694" s="7" t="s">
        <v>29</v>
      </c>
      <c r="F9694" s="7" t="s">
        <v>165</v>
      </c>
      <c r="G9694" s="7">
        <v>97.925210000000007</v>
      </c>
      <c r="H9694" s="7"/>
    </row>
    <row r="9695" spans="1:8" x14ac:dyDescent="0.35">
      <c r="A9695" s="7" t="s">
        <v>379</v>
      </c>
      <c r="B9695" s="7" t="s">
        <v>26</v>
      </c>
      <c r="C9695" s="7" t="s">
        <v>27</v>
      </c>
      <c r="D9695" s="7" t="s">
        <v>28</v>
      </c>
      <c r="E9695" s="7" t="s">
        <v>29</v>
      </c>
      <c r="F9695" s="7" t="s">
        <v>166</v>
      </c>
      <c r="G9695" s="7">
        <v>97.892300000000006</v>
      </c>
      <c r="H9695" s="7"/>
    </row>
    <row r="9696" spans="1:8" x14ac:dyDescent="0.35">
      <c r="A9696" s="7" t="s">
        <v>379</v>
      </c>
      <c r="B9696" s="7" t="s">
        <v>26</v>
      </c>
      <c r="C9696" s="7" t="s">
        <v>27</v>
      </c>
      <c r="D9696" s="7" t="s">
        <v>28</v>
      </c>
      <c r="E9696" s="7" t="s">
        <v>29</v>
      </c>
      <c r="F9696" s="7" t="s">
        <v>167</v>
      </c>
      <c r="G9696" s="7">
        <v>97.912679999999995</v>
      </c>
      <c r="H9696" s="7"/>
    </row>
    <row r="9697" spans="1:8" x14ac:dyDescent="0.35">
      <c r="A9697" s="7" t="s">
        <v>379</v>
      </c>
      <c r="B9697" s="7" t="s">
        <v>26</v>
      </c>
      <c r="C9697" s="7" t="s">
        <v>27</v>
      </c>
      <c r="D9697" s="7" t="s">
        <v>28</v>
      </c>
      <c r="E9697" s="7" t="s">
        <v>29</v>
      </c>
      <c r="F9697" s="7" t="s">
        <v>168</v>
      </c>
      <c r="G9697" s="7">
        <v>97.927539999999993</v>
      </c>
      <c r="H9697" s="7"/>
    </row>
    <row r="9698" spans="1:8" x14ac:dyDescent="0.35">
      <c r="A9698" s="7" t="s">
        <v>379</v>
      </c>
      <c r="B9698" s="7" t="s">
        <v>26</v>
      </c>
      <c r="C9698" s="7" t="s">
        <v>27</v>
      </c>
      <c r="D9698" s="7" t="s">
        <v>28</v>
      </c>
      <c r="E9698" s="7" t="s">
        <v>29</v>
      </c>
      <c r="F9698" s="7" t="s">
        <v>169</v>
      </c>
      <c r="G9698" s="7">
        <v>98.074250000000006</v>
      </c>
      <c r="H9698" s="7"/>
    </row>
    <row r="9699" spans="1:8" x14ac:dyDescent="0.35">
      <c r="A9699" s="7" t="s">
        <v>379</v>
      </c>
      <c r="B9699" s="7" t="s">
        <v>26</v>
      </c>
      <c r="C9699" s="7" t="s">
        <v>27</v>
      </c>
      <c r="D9699" s="7" t="s">
        <v>28</v>
      </c>
      <c r="E9699" s="7" t="s">
        <v>29</v>
      </c>
      <c r="F9699" s="7" t="s">
        <v>170</v>
      </c>
      <c r="G9699" s="7">
        <v>98.242419999999996</v>
      </c>
      <c r="H9699" s="7"/>
    </row>
    <row r="9700" spans="1:8" x14ac:dyDescent="0.35">
      <c r="A9700" s="7" t="s">
        <v>379</v>
      </c>
      <c r="B9700" s="7" t="s">
        <v>26</v>
      </c>
      <c r="C9700" s="7" t="s">
        <v>27</v>
      </c>
      <c r="D9700" s="7" t="s">
        <v>28</v>
      </c>
      <c r="E9700" s="7" t="s">
        <v>29</v>
      </c>
      <c r="F9700" s="7" t="s">
        <v>171</v>
      </c>
      <c r="G9700" s="7">
        <v>98.341449999999995</v>
      </c>
      <c r="H9700" s="7"/>
    </row>
    <row r="9701" spans="1:8" x14ac:dyDescent="0.35">
      <c r="A9701" s="7" t="s">
        <v>379</v>
      </c>
      <c r="B9701" s="7" t="s">
        <v>26</v>
      </c>
      <c r="C9701" s="7" t="s">
        <v>27</v>
      </c>
      <c r="D9701" s="7" t="s">
        <v>28</v>
      </c>
      <c r="E9701" s="7" t="s">
        <v>29</v>
      </c>
      <c r="F9701" s="7" t="s">
        <v>172</v>
      </c>
      <c r="G9701" s="7">
        <v>98.413499999999999</v>
      </c>
      <c r="H9701" s="7"/>
    </row>
    <row r="9702" spans="1:8" x14ac:dyDescent="0.35">
      <c r="A9702" s="7" t="s">
        <v>379</v>
      </c>
      <c r="B9702" s="7" t="s">
        <v>26</v>
      </c>
      <c r="C9702" s="7" t="s">
        <v>27</v>
      </c>
      <c r="D9702" s="7" t="s">
        <v>28</v>
      </c>
      <c r="E9702" s="7" t="s">
        <v>29</v>
      </c>
      <c r="F9702" s="7" t="s">
        <v>173</v>
      </c>
      <c r="G9702" s="7">
        <v>98.549189999999996</v>
      </c>
      <c r="H9702" s="7"/>
    </row>
    <row r="9703" spans="1:8" x14ac:dyDescent="0.35">
      <c r="A9703" s="7" t="s">
        <v>379</v>
      </c>
      <c r="B9703" s="7" t="s">
        <v>26</v>
      </c>
      <c r="C9703" s="7" t="s">
        <v>27</v>
      </c>
      <c r="D9703" s="7" t="s">
        <v>28</v>
      </c>
      <c r="E9703" s="7" t="s">
        <v>29</v>
      </c>
      <c r="F9703" s="7" t="s">
        <v>174</v>
      </c>
      <c r="G9703" s="7">
        <v>98.697270000000003</v>
      </c>
      <c r="H9703" s="7"/>
    </row>
    <row r="9704" spans="1:8" x14ac:dyDescent="0.35">
      <c r="A9704" s="7" t="s">
        <v>379</v>
      </c>
      <c r="B9704" s="7" t="s">
        <v>26</v>
      </c>
      <c r="C9704" s="7" t="s">
        <v>27</v>
      </c>
      <c r="D9704" s="7" t="s">
        <v>28</v>
      </c>
      <c r="E9704" s="7" t="s">
        <v>29</v>
      </c>
      <c r="F9704" s="7" t="s">
        <v>175</v>
      </c>
      <c r="G9704" s="7">
        <v>98.750739999999993</v>
      </c>
      <c r="H9704" s="7"/>
    </row>
    <row r="9705" spans="1:8" x14ac:dyDescent="0.35">
      <c r="A9705" s="7" t="s">
        <v>379</v>
      </c>
      <c r="B9705" s="7" t="s">
        <v>26</v>
      </c>
      <c r="C9705" s="7" t="s">
        <v>27</v>
      </c>
      <c r="D9705" s="7" t="s">
        <v>28</v>
      </c>
      <c r="E9705" s="7" t="s">
        <v>29</v>
      </c>
      <c r="F9705" s="7" t="s">
        <v>176</v>
      </c>
      <c r="G9705" s="7">
        <v>98.768749999999997</v>
      </c>
      <c r="H9705" s="7"/>
    </row>
    <row r="9706" spans="1:8" x14ac:dyDescent="0.35">
      <c r="A9706" s="7" t="s">
        <v>379</v>
      </c>
      <c r="B9706" s="7" t="s">
        <v>26</v>
      </c>
      <c r="C9706" s="7" t="s">
        <v>27</v>
      </c>
      <c r="D9706" s="7" t="s">
        <v>28</v>
      </c>
      <c r="E9706" s="7" t="s">
        <v>29</v>
      </c>
      <c r="F9706" s="7" t="s">
        <v>177</v>
      </c>
      <c r="G9706" s="7">
        <v>98.804720000000003</v>
      </c>
      <c r="H9706" s="7"/>
    </row>
    <row r="9707" spans="1:8" x14ac:dyDescent="0.35">
      <c r="A9707" s="7" t="s">
        <v>379</v>
      </c>
      <c r="B9707" s="7" t="s">
        <v>26</v>
      </c>
      <c r="C9707" s="7" t="s">
        <v>27</v>
      </c>
      <c r="D9707" s="7" t="s">
        <v>28</v>
      </c>
      <c r="E9707" s="7" t="s">
        <v>29</v>
      </c>
      <c r="F9707" s="7" t="s">
        <v>178</v>
      </c>
      <c r="G9707" s="7">
        <v>98.725560000000002</v>
      </c>
      <c r="H9707" s="7"/>
    </row>
    <row r="9708" spans="1:8" x14ac:dyDescent="0.35">
      <c r="A9708" s="7" t="s">
        <v>379</v>
      </c>
      <c r="B9708" s="7" t="s">
        <v>26</v>
      </c>
      <c r="C9708" s="7" t="s">
        <v>27</v>
      </c>
      <c r="D9708" s="7" t="s">
        <v>28</v>
      </c>
      <c r="E9708" s="7" t="s">
        <v>29</v>
      </c>
      <c r="F9708" s="7" t="s">
        <v>179</v>
      </c>
      <c r="G9708" s="7">
        <v>98.649159999999995</v>
      </c>
      <c r="H9708" s="7"/>
    </row>
    <row r="9709" spans="1:8" x14ac:dyDescent="0.35">
      <c r="A9709" s="7" t="s">
        <v>379</v>
      </c>
      <c r="B9709" s="7" t="s">
        <v>26</v>
      </c>
      <c r="C9709" s="7" t="s">
        <v>27</v>
      </c>
      <c r="D9709" s="7" t="s">
        <v>28</v>
      </c>
      <c r="E9709" s="7" t="s">
        <v>29</v>
      </c>
      <c r="F9709" s="7" t="s">
        <v>180</v>
      </c>
      <c r="G9709" s="7">
        <v>98.62415</v>
      </c>
      <c r="H9709" s="7"/>
    </row>
    <row r="9710" spans="1:8" x14ac:dyDescent="0.35">
      <c r="A9710" s="7" t="s">
        <v>379</v>
      </c>
      <c r="B9710" s="7" t="s">
        <v>26</v>
      </c>
      <c r="C9710" s="7" t="s">
        <v>27</v>
      </c>
      <c r="D9710" s="7" t="s">
        <v>28</v>
      </c>
      <c r="E9710" s="7" t="s">
        <v>29</v>
      </c>
      <c r="F9710" s="7" t="s">
        <v>181</v>
      </c>
      <c r="G9710" s="7">
        <v>98.647009999999995</v>
      </c>
      <c r="H9710" s="7"/>
    </row>
    <row r="9711" spans="1:8" x14ac:dyDescent="0.35">
      <c r="A9711" s="7" t="s">
        <v>379</v>
      </c>
      <c r="B9711" s="7" t="s">
        <v>26</v>
      </c>
      <c r="C9711" s="7" t="s">
        <v>27</v>
      </c>
      <c r="D9711" s="7" t="s">
        <v>28</v>
      </c>
      <c r="E9711" s="7" t="s">
        <v>29</v>
      </c>
      <c r="F9711" s="7" t="s">
        <v>182</v>
      </c>
      <c r="G9711" s="7">
        <v>98.583590000000001</v>
      </c>
      <c r="H9711" s="7"/>
    </row>
    <row r="9712" spans="1:8" x14ac:dyDescent="0.35">
      <c r="A9712" s="7" t="s">
        <v>379</v>
      </c>
      <c r="B9712" s="7" t="s">
        <v>26</v>
      </c>
      <c r="C9712" s="7" t="s">
        <v>27</v>
      </c>
      <c r="D9712" s="7" t="s">
        <v>28</v>
      </c>
      <c r="E9712" s="7" t="s">
        <v>29</v>
      </c>
      <c r="F9712" s="7" t="s">
        <v>183</v>
      </c>
      <c r="G9712" s="7">
        <v>98.530879999999996</v>
      </c>
      <c r="H9712" s="7"/>
    </row>
    <row r="9713" spans="1:8" x14ac:dyDescent="0.35">
      <c r="A9713" s="7" t="s">
        <v>379</v>
      </c>
      <c r="B9713" s="7" t="s">
        <v>26</v>
      </c>
      <c r="C9713" s="7" t="s">
        <v>27</v>
      </c>
      <c r="D9713" s="7" t="s">
        <v>28</v>
      </c>
      <c r="E9713" s="7" t="s">
        <v>29</v>
      </c>
      <c r="F9713" s="7" t="s">
        <v>184</v>
      </c>
      <c r="G9713" s="7">
        <v>98.540199999999999</v>
      </c>
      <c r="H9713" s="7"/>
    </row>
    <row r="9714" spans="1:8" x14ac:dyDescent="0.35">
      <c r="A9714" s="7" t="s">
        <v>379</v>
      </c>
      <c r="B9714" s="7" t="s">
        <v>26</v>
      </c>
      <c r="C9714" s="7" t="s">
        <v>27</v>
      </c>
      <c r="D9714" s="7" t="s">
        <v>28</v>
      </c>
      <c r="E9714" s="7" t="s">
        <v>29</v>
      </c>
      <c r="F9714" s="7" t="s">
        <v>185</v>
      </c>
      <c r="G9714" s="7">
        <v>98.477500000000006</v>
      </c>
      <c r="H9714" s="7"/>
    </row>
    <row r="9715" spans="1:8" x14ac:dyDescent="0.35">
      <c r="A9715" s="7" t="s">
        <v>379</v>
      </c>
      <c r="B9715" s="7" t="s">
        <v>26</v>
      </c>
      <c r="C9715" s="7" t="s">
        <v>27</v>
      </c>
      <c r="D9715" s="7" t="s">
        <v>28</v>
      </c>
      <c r="E9715" s="7" t="s">
        <v>29</v>
      </c>
      <c r="F9715" s="7" t="s">
        <v>186</v>
      </c>
      <c r="G9715" s="7">
        <v>98.502340000000004</v>
      </c>
      <c r="H9715" s="7"/>
    </row>
    <row r="9716" spans="1:8" x14ac:dyDescent="0.35">
      <c r="A9716" s="7" t="s">
        <v>379</v>
      </c>
      <c r="B9716" s="7" t="s">
        <v>26</v>
      </c>
      <c r="C9716" s="7" t="s">
        <v>27</v>
      </c>
      <c r="D9716" s="7" t="s">
        <v>28</v>
      </c>
      <c r="E9716" s="7" t="s">
        <v>29</v>
      </c>
      <c r="F9716" s="7" t="s">
        <v>187</v>
      </c>
      <c r="G9716" s="7">
        <v>98.627520000000004</v>
      </c>
      <c r="H9716" s="7"/>
    </row>
    <row r="9717" spans="1:8" x14ac:dyDescent="0.35">
      <c r="A9717" s="7" t="s">
        <v>379</v>
      </c>
      <c r="B9717" s="7" t="s">
        <v>26</v>
      </c>
      <c r="C9717" s="7" t="s">
        <v>27</v>
      </c>
      <c r="D9717" s="7" t="s">
        <v>28</v>
      </c>
      <c r="E9717" s="7" t="s">
        <v>29</v>
      </c>
      <c r="F9717" s="7" t="s">
        <v>188</v>
      </c>
      <c r="G9717" s="7">
        <v>98.768240000000006</v>
      </c>
      <c r="H9717" s="7"/>
    </row>
    <row r="9718" spans="1:8" x14ac:dyDescent="0.35">
      <c r="A9718" s="7" t="s">
        <v>379</v>
      </c>
      <c r="B9718" s="7" t="s">
        <v>26</v>
      </c>
      <c r="C9718" s="7" t="s">
        <v>27</v>
      </c>
      <c r="D9718" s="7" t="s">
        <v>28</v>
      </c>
      <c r="E9718" s="7" t="s">
        <v>29</v>
      </c>
      <c r="F9718" s="7" t="s">
        <v>189</v>
      </c>
      <c r="G9718" s="7">
        <v>98.705699999999993</v>
      </c>
      <c r="H9718" s="7"/>
    </row>
    <row r="9719" spans="1:8" x14ac:dyDescent="0.35">
      <c r="A9719" s="7" t="s">
        <v>379</v>
      </c>
      <c r="B9719" s="7" t="s">
        <v>26</v>
      </c>
      <c r="C9719" s="7" t="s">
        <v>27</v>
      </c>
      <c r="D9719" s="7" t="s">
        <v>28</v>
      </c>
      <c r="E9719" s="7" t="s">
        <v>29</v>
      </c>
      <c r="F9719" s="7" t="s">
        <v>190</v>
      </c>
      <c r="G9719" s="7">
        <v>98.656469999999999</v>
      </c>
      <c r="H9719" s="7"/>
    </row>
    <row r="9720" spans="1:8" x14ac:dyDescent="0.35">
      <c r="A9720" s="7" t="s">
        <v>379</v>
      </c>
      <c r="B9720" s="7" t="s">
        <v>26</v>
      </c>
      <c r="C9720" s="7" t="s">
        <v>27</v>
      </c>
      <c r="D9720" s="7" t="s">
        <v>28</v>
      </c>
      <c r="E9720" s="7" t="s">
        <v>29</v>
      </c>
      <c r="F9720" s="7" t="s">
        <v>191</v>
      </c>
      <c r="G9720" s="7">
        <v>98.772909999999996</v>
      </c>
      <c r="H9720" s="7"/>
    </row>
    <row r="9721" spans="1:8" x14ac:dyDescent="0.35">
      <c r="A9721" s="7" t="s">
        <v>379</v>
      </c>
      <c r="B9721" s="7" t="s">
        <v>26</v>
      </c>
      <c r="C9721" s="7" t="s">
        <v>27</v>
      </c>
      <c r="D9721" s="7" t="s">
        <v>28</v>
      </c>
      <c r="E9721" s="7" t="s">
        <v>29</v>
      </c>
      <c r="F9721" s="7" t="s">
        <v>192</v>
      </c>
      <c r="G9721" s="7">
        <v>98.866860000000003</v>
      </c>
      <c r="H9721" s="7"/>
    </row>
    <row r="9722" spans="1:8" x14ac:dyDescent="0.35">
      <c r="A9722" s="7" t="s">
        <v>379</v>
      </c>
      <c r="B9722" s="7" t="s">
        <v>26</v>
      </c>
      <c r="C9722" s="7" t="s">
        <v>27</v>
      </c>
      <c r="D9722" s="7" t="s">
        <v>28</v>
      </c>
      <c r="E9722" s="7" t="s">
        <v>29</v>
      </c>
      <c r="F9722" s="7" t="s">
        <v>193</v>
      </c>
      <c r="G9722" s="7">
        <v>98.840620000000001</v>
      </c>
      <c r="H9722" s="7"/>
    </row>
    <row r="9723" spans="1:8" x14ac:dyDescent="0.35">
      <c r="A9723" s="7" t="s">
        <v>379</v>
      </c>
      <c r="B9723" s="7" t="s">
        <v>26</v>
      </c>
      <c r="C9723" s="7" t="s">
        <v>27</v>
      </c>
      <c r="D9723" s="7" t="s">
        <v>28</v>
      </c>
      <c r="E9723" s="7" t="s">
        <v>29</v>
      </c>
      <c r="F9723" s="7" t="s">
        <v>194</v>
      </c>
      <c r="G9723" s="7">
        <v>98.800150000000002</v>
      </c>
      <c r="H9723" s="7"/>
    </row>
    <row r="9724" spans="1:8" x14ac:dyDescent="0.35">
      <c r="A9724" s="7" t="s">
        <v>379</v>
      </c>
      <c r="B9724" s="7" t="s">
        <v>26</v>
      </c>
      <c r="C9724" s="7" t="s">
        <v>27</v>
      </c>
      <c r="D9724" s="7" t="s">
        <v>28</v>
      </c>
      <c r="E9724" s="7" t="s">
        <v>29</v>
      </c>
      <c r="F9724" s="7" t="s">
        <v>195</v>
      </c>
      <c r="G9724" s="7">
        <v>98.874110000000002</v>
      </c>
      <c r="H9724" s="7"/>
    </row>
    <row r="9725" spans="1:8" x14ac:dyDescent="0.35">
      <c r="A9725" s="7" t="s">
        <v>379</v>
      </c>
      <c r="B9725" s="7" t="s">
        <v>26</v>
      </c>
      <c r="C9725" s="7" t="s">
        <v>27</v>
      </c>
      <c r="D9725" s="7" t="s">
        <v>28</v>
      </c>
      <c r="E9725" s="7" t="s">
        <v>29</v>
      </c>
      <c r="F9725" s="7" t="s">
        <v>196</v>
      </c>
      <c r="G9725" s="7">
        <v>99.047300000000007</v>
      </c>
      <c r="H9725" s="7"/>
    </row>
    <row r="9726" spans="1:8" x14ac:dyDescent="0.35">
      <c r="A9726" s="7" t="s">
        <v>379</v>
      </c>
      <c r="B9726" s="7" t="s">
        <v>26</v>
      </c>
      <c r="C9726" s="7" t="s">
        <v>27</v>
      </c>
      <c r="D9726" s="7" t="s">
        <v>28</v>
      </c>
      <c r="E9726" s="7" t="s">
        <v>29</v>
      </c>
      <c r="F9726" s="7" t="s">
        <v>197</v>
      </c>
      <c r="G9726" s="7">
        <v>99.249369999999999</v>
      </c>
      <c r="H9726" s="7"/>
    </row>
    <row r="9727" spans="1:8" x14ac:dyDescent="0.35">
      <c r="A9727" s="7" t="s">
        <v>379</v>
      </c>
      <c r="B9727" s="7" t="s">
        <v>26</v>
      </c>
      <c r="C9727" s="7" t="s">
        <v>27</v>
      </c>
      <c r="D9727" s="7" t="s">
        <v>28</v>
      </c>
      <c r="E9727" s="7" t="s">
        <v>29</v>
      </c>
      <c r="F9727" s="7" t="s">
        <v>198</v>
      </c>
      <c r="G9727" s="7">
        <v>99.433179999999993</v>
      </c>
      <c r="H9727" s="7"/>
    </row>
    <row r="9728" spans="1:8" x14ac:dyDescent="0.35">
      <c r="A9728" s="7" t="s">
        <v>379</v>
      </c>
      <c r="B9728" s="7" t="s">
        <v>26</v>
      </c>
      <c r="C9728" s="7" t="s">
        <v>27</v>
      </c>
      <c r="D9728" s="7" t="s">
        <v>28</v>
      </c>
      <c r="E9728" s="7" t="s">
        <v>29</v>
      </c>
      <c r="F9728" s="7" t="s">
        <v>199</v>
      </c>
      <c r="G9728" s="7">
        <v>99.683359999999993</v>
      </c>
      <c r="H9728" s="7"/>
    </row>
    <row r="9729" spans="1:8" x14ac:dyDescent="0.35">
      <c r="A9729" s="7" t="s">
        <v>379</v>
      </c>
      <c r="B9729" s="7" t="s">
        <v>26</v>
      </c>
      <c r="C9729" s="7" t="s">
        <v>27</v>
      </c>
      <c r="D9729" s="7" t="s">
        <v>28</v>
      </c>
      <c r="E9729" s="7" t="s">
        <v>29</v>
      </c>
      <c r="F9729" s="7" t="s">
        <v>200</v>
      </c>
      <c r="G9729" s="7">
        <v>99.855059999999995</v>
      </c>
      <c r="H9729" s="7"/>
    </row>
    <row r="9730" spans="1:8" x14ac:dyDescent="0.35">
      <c r="A9730" s="7" t="s">
        <v>379</v>
      </c>
      <c r="B9730" s="7" t="s">
        <v>26</v>
      </c>
      <c r="C9730" s="7" t="s">
        <v>27</v>
      </c>
      <c r="D9730" s="7" t="s">
        <v>28</v>
      </c>
      <c r="E9730" s="7" t="s">
        <v>29</v>
      </c>
      <c r="F9730" s="7" t="s">
        <v>201</v>
      </c>
      <c r="G9730" s="7">
        <v>99.900660000000002</v>
      </c>
      <c r="H9730" s="7"/>
    </row>
    <row r="9731" spans="1:8" x14ac:dyDescent="0.35">
      <c r="A9731" s="7" t="s">
        <v>379</v>
      </c>
      <c r="B9731" s="7" t="s">
        <v>26</v>
      </c>
      <c r="C9731" s="7" t="s">
        <v>27</v>
      </c>
      <c r="D9731" s="7" t="s">
        <v>28</v>
      </c>
      <c r="E9731" s="7" t="s">
        <v>29</v>
      </c>
      <c r="F9731" s="7" t="s">
        <v>202</v>
      </c>
      <c r="G9731" s="7">
        <v>99.994060000000005</v>
      </c>
      <c r="H9731" s="7"/>
    </row>
    <row r="9732" spans="1:8" x14ac:dyDescent="0.35">
      <c r="A9732" s="7" t="s">
        <v>379</v>
      </c>
      <c r="B9732" s="7" t="s">
        <v>26</v>
      </c>
      <c r="C9732" s="7" t="s">
        <v>27</v>
      </c>
      <c r="D9732" s="7" t="s">
        <v>28</v>
      </c>
      <c r="E9732" s="7" t="s">
        <v>29</v>
      </c>
      <c r="F9732" s="7" t="s">
        <v>203</v>
      </c>
      <c r="G9732" s="7">
        <v>100.2039</v>
      </c>
      <c r="H9732" s="7"/>
    </row>
    <row r="9733" spans="1:8" x14ac:dyDescent="0.35">
      <c r="A9733" s="7" t="s">
        <v>379</v>
      </c>
      <c r="B9733" s="7" t="s">
        <v>26</v>
      </c>
      <c r="C9733" s="7" t="s">
        <v>27</v>
      </c>
      <c r="D9733" s="7" t="s">
        <v>28</v>
      </c>
      <c r="E9733" s="7" t="s">
        <v>29</v>
      </c>
      <c r="F9733" s="7" t="s">
        <v>204</v>
      </c>
      <c r="G9733" s="7">
        <v>100.3707</v>
      </c>
      <c r="H9733" s="7"/>
    </row>
    <row r="9734" spans="1:8" x14ac:dyDescent="0.35">
      <c r="A9734" s="7" t="s">
        <v>379</v>
      </c>
      <c r="B9734" s="7" t="s">
        <v>26</v>
      </c>
      <c r="C9734" s="7" t="s">
        <v>27</v>
      </c>
      <c r="D9734" s="7" t="s">
        <v>28</v>
      </c>
      <c r="E9734" s="7" t="s">
        <v>29</v>
      </c>
      <c r="F9734" s="7" t="s">
        <v>205</v>
      </c>
      <c r="G9734" s="7">
        <v>100.34059999999999</v>
      </c>
      <c r="H9734" s="7"/>
    </row>
    <row r="9735" spans="1:8" x14ac:dyDescent="0.35">
      <c r="A9735" s="7" t="s">
        <v>379</v>
      </c>
      <c r="B9735" s="7" t="s">
        <v>26</v>
      </c>
      <c r="C9735" s="7" t="s">
        <v>27</v>
      </c>
      <c r="D9735" s="7" t="s">
        <v>28</v>
      </c>
      <c r="E9735" s="7" t="s">
        <v>29</v>
      </c>
      <c r="F9735" s="7" t="s">
        <v>206</v>
      </c>
      <c r="G9735" s="7">
        <v>100.1983</v>
      </c>
      <c r="H9735" s="7"/>
    </row>
    <row r="9736" spans="1:8" x14ac:dyDescent="0.35">
      <c r="A9736" s="7" t="s">
        <v>379</v>
      </c>
      <c r="B9736" s="7" t="s">
        <v>26</v>
      </c>
      <c r="C9736" s="7" t="s">
        <v>27</v>
      </c>
      <c r="D9736" s="7" t="s">
        <v>28</v>
      </c>
      <c r="E9736" s="7" t="s">
        <v>29</v>
      </c>
      <c r="F9736" s="7" t="s">
        <v>207</v>
      </c>
      <c r="G9736" s="7">
        <v>100.0457</v>
      </c>
      <c r="H9736" s="7"/>
    </row>
    <row r="9737" spans="1:8" x14ac:dyDescent="0.35">
      <c r="A9737" s="7" t="s">
        <v>379</v>
      </c>
      <c r="B9737" s="7" t="s">
        <v>26</v>
      </c>
      <c r="C9737" s="7" t="s">
        <v>27</v>
      </c>
      <c r="D9737" s="7" t="s">
        <v>28</v>
      </c>
      <c r="E9737" s="7" t="s">
        <v>29</v>
      </c>
      <c r="F9737" s="7" t="s">
        <v>208</v>
      </c>
      <c r="G9737" s="7">
        <v>99.995890000000003</v>
      </c>
      <c r="H9737" s="7"/>
    </row>
    <row r="9738" spans="1:8" x14ac:dyDescent="0.35">
      <c r="A9738" s="7" t="s">
        <v>379</v>
      </c>
      <c r="B9738" s="7" t="s">
        <v>26</v>
      </c>
      <c r="C9738" s="7" t="s">
        <v>27</v>
      </c>
      <c r="D9738" s="7" t="s">
        <v>28</v>
      </c>
      <c r="E9738" s="7" t="s">
        <v>29</v>
      </c>
      <c r="F9738" s="7" t="s">
        <v>209</v>
      </c>
      <c r="G9738" s="7">
        <v>100.0449</v>
      </c>
      <c r="H9738" s="7"/>
    </row>
    <row r="9739" spans="1:8" x14ac:dyDescent="0.35">
      <c r="A9739" s="7" t="s">
        <v>379</v>
      </c>
      <c r="B9739" s="7" t="s">
        <v>26</v>
      </c>
      <c r="C9739" s="7" t="s">
        <v>27</v>
      </c>
      <c r="D9739" s="7" t="s">
        <v>28</v>
      </c>
      <c r="E9739" s="7" t="s">
        <v>29</v>
      </c>
      <c r="F9739" s="7" t="s">
        <v>210</v>
      </c>
      <c r="G9739" s="7">
        <v>100.2694</v>
      </c>
      <c r="H9739" s="7"/>
    </row>
    <row r="9740" spans="1:8" x14ac:dyDescent="0.35">
      <c r="A9740" s="7" t="s">
        <v>379</v>
      </c>
      <c r="B9740" s="7" t="s">
        <v>26</v>
      </c>
      <c r="C9740" s="7" t="s">
        <v>27</v>
      </c>
      <c r="D9740" s="7" t="s">
        <v>28</v>
      </c>
      <c r="E9740" s="7" t="s">
        <v>29</v>
      </c>
      <c r="F9740" s="7" t="s">
        <v>211</v>
      </c>
      <c r="G9740" s="7">
        <v>100.61499999999999</v>
      </c>
      <c r="H9740" s="7"/>
    </row>
    <row r="9741" spans="1:8" x14ac:dyDescent="0.35">
      <c r="A9741" s="7" t="s">
        <v>379</v>
      </c>
      <c r="B9741" s="7" t="s">
        <v>26</v>
      </c>
      <c r="C9741" s="7" t="s">
        <v>27</v>
      </c>
      <c r="D9741" s="7" t="s">
        <v>28</v>
      </c>
      <c r="E9741" s="7" t="s">
        <v>29</v>
      </c>
      <c r="F9741" s="7" t="s">
        <v>212</v>
      </c>
      <c r="G9741" s="7">
        <v>100.9528</v>
      </c>
      <c r="H9741" s="7"/>
    </row>
    <row r="9742" spans="1:8" x14ac:dyDescent="0.35">
      <c r="A9742" s="7" t="s">
        <v>379</v>
      </c>
      <c r="B9742" s="7" t="s">
        <v>26</v>
      </c>
      <c r="C9742" s="7" t="s">
        <v>27</v>
      </c>
      <c r="D9742" s="7" t="s">
        <v>28</v>
      </c>
      <c r="E9742" s="7" t="s">
        <v>29</v>
      </c>
      <c r="F9742" s="7" t="s">
        <v>213</v>
      </c>
      <c r="G9742" s="7">
        <v>101.2811</v>
      </c>
      <c r="H9742" s="7"/>
    </row>
    <row r="9743" spans="1:8" x14ac:dyDescent="0.35">
      <c r="A9743" s="7" t="s">
        <v>379</v>
      </c>
      <c r="B9743" s="7" t="s">
        <v>26</v>
      </c>
      <c r="C9743" s="7" t="s">
        <v>27</v>
      </c>
      <c r="D9743" s="7" t="s">
        <v>28</v>
      </c>
      <c r="E9743" s="7" t="s">
        <v>29</v>
      </c>
      <c r="F9743" s="7" t="s">
        <v>214</v>
      </c>
      <c r="G9743" s="7">
        <v>101.63930000000001</v>
      </c>
      <c r="H9743" s="7"/>
    </row>
    <row r="9744" spans="1:8" x14ac:dyDescent="0.35">
      <c r="A9744" s="7" t="s">
        <v>379</v>
      </c>
      <c r="B9744" s="7" t="s">
        <v>26</v>
      </c>
      <c r="C9744" s="7" t="s">
        <v>27</v>
      </c>
      <c r="D9744" s="7" t="s">
        <v>28</v>
      </c>
      <c r="E9744" s="7" t="s">
        <v>29</v>
      </c>
      <c r="F9744" s="7" t="s">
        <v>215</v>
      </c>
      <c r="G9744" s="7">
        <v>102.04600000000001</v>
      </c>
      <c r="H9744" s="7"/>
    </row>
    <row r="9745" spans="1:8" x14ac:dyDescent="0.35">
      <c r="A9745" s="7" t="s">
        <v>379</v>
      </c>
      <c r="B9745" s="7" t="s">
        <v>26</v>
      </c>
      <c r="C9745" s="7" t="s">
        <v>27</v>
      </c>
      <c r="D9745" s="7" t="s">
        <v>28</v>
      </c>
      <c r="E9745" s="7" t="s">
        <v>29</v>
      </c>
      <c r="F9745" s="7" t="s">
        <v>216</v>
      </c>
      <c r="G9745" s="7">
        <v>102.3327</v>
      </c>
      <c r="H9745" s="7"/>
    </row>
    <row r="9746" spans="1:8" x14ac:dyDescent="0.35">
      <c r="A9746" s="7" t="s">
        <v>379</v>
      </c>
      <c r="B9746" s="7" t="s">
        <v>26</v>
      </c>
      <c r="C9746" s="7" t="s">
        <v>27</v>
      </c>
      <c r="D9746" s="7" t="s">
        <v>28</v>
      </c>
      <c r="E9746" s="7" t="s">
        <v>29</v>
      </c>
      <c r="F9746" s="7" t="s">
        <v>217</v>
      </c>
      <c r="G9746" s="7">
        <v>102.3588</v>
      </c>
      <c r="H9746" s="7"/>
    </row>
    <row r="9747" spans="1:8" x14ac:dyDescent="0.35">
      <c r="A9747" s="7" t="s">
        <v>379</v>
      </c>
      <c r="B9747" s="7" t="s">
        <v>26</v>
      </c>
      <c r="C9747" s="7" t="s">
        <v>27</v>
      </c>
      <c r="D9747" s="7" t="s">
        <v>28</v>
      </c>
      <c r="E9747" s="7" t="s">
        <v>29</v>
      </c>
      <c r="F9747" s="7" t="s">
        <v>218</v>
      </c>
      <c r="G9747" s="7">
        <v>102.16849999999999</v>
      </c>
      <c r="H9747" s="7"/>
    </row>
    <row r="9748" spans="1:8" x14ac:dyDescent="0.35">
      <c r="A9748" s="7" t="s">
        <v>379</v>
      </c>
      <c r="B9748" s="7" t="s">
        <v>26</v>
      </c>
      <c r="C9748" s="7" t="s">
        <v>27</v>
      </c>
      <c r="D9748" s="7" t="s">
        <v>28</v>
      </c>
      <c r="E9748" s="7" t="s">
        <v>29</v>
      </c>
      <c r="F9748" s="7" t="s">
        <v>219</v>
      </c>
      <c r="G9748" s="7">
        <v>101.81699999999999</v>
      </c>
      <c r="H9748" s="7"/>
    </row>
    <row r="9749" spans="1:8" x14ac:dyDescent="0.35">
      <c r="A9749" s="7" t="s">
        <v>379</v>
      </c>
      <c r="B9749" s="7" t="s">
        <v>26</v>
      </c>
      <c r="C9749" s="7" t="s">
        <v>27</v>
      </c>
      <c r="D9749" s="7" t="s">
        <v>28</v>
      </c>
      <c r="E9749" s="7" t="s">
        <v>29</v>
      </c>
      <c r="F9749" s="7" t="s">
        <v>220</v>
      </c>
      <c r="G9749" s="7">
        <v>101.5313</v>
      </c>
      <c r="H9749" s="7"/>
    </row>
    <row r="9750" spans="1:8" x14ac:dyDescent="0.35">
      <c r="A9750" s="7" t="s">
        <v>379</v>
      </c>
      <c r="B9750" s="7" t="s">
        <v>26</v>
      </c>
      <c r="C9750" s="7" t="s">
        <v>27</v>
      </c>
      <c r="D9750" s="7" t="s">
        <v>28</v>
      </c>
      <c r="E9750" s="7" t="s">
        <v>29</v>
      </c>
      <c r="F9750" s="7" t="s">
        <v>221</v>
      </c>
      <c r="G9750" s="7">
        <v>101.3809</v>
      </c>
      <c r="H9750" s="7"/>
    </row>
    <row r="9751" spans="1:8" x14ac:dyDescent="0.35">
      <c r="A9751" s="7" t="s">
        <v>379</v>
      </c>
      <c r="B9751" s="7" t="s">
        <v>26</v>
      </c>
      <c r="C9751" s="7" t="s">
        <v>27</v>
      </c>
      <c r="D9751" s="7" t="s">
        <v>28</v>
      </c>
      <c r="E9751" s="7" t="s">
        <v>29</v>
      </c>
      <c r="F9751" s="7" t="s">
        <v>222</v>
      </c>
      <c r="G9751" s="7">
        <v>101.2526</v>
      </c>
      <c r="H9751" s="7"/>
    </row>
    <row r="9752" spans="1:8" x14ac:dyDescent="0.35">
      <c r="A9752" s="7" t="s">
        <v>379</v>
      </c>
      <c r="B9752" s="7" t="s">
        <v>26</v>
      </c>
      <c r="C9752" s="7" t="s">
        <v>27</v>
      </c>
      <c r="D9752" s="7" t="s">
        <v>28</v>
      </c>
      <c r="E9752" s="7" t="s">
        <v>29</v>
      </c>
      <c r="F9752" s="7" t="s">
        <v>223</v>
      </c>
      <c r="G9752" s="7">
        <v>101.09010000000001</v>
      </c>
      <c r="H9752" s="7"/>
    </row>
    <row r="9753" spans="1:8" x14ac:dyDescent="0.35">
      <c r="A9753" s="7" t="s">
        <v>379</v>
      </c>
      <c r="B9753" s="7" t="s">
        <v>26</v>
      </c>
      <c r="C9753" s="7" t="s">
        <v>27</v>
      </c>
      <c r="D9753" s="7" t="s">
        <v>28</v>
      </c>
      <c r="E9753" s="7" t="s">
        <v>29</v>
      </c>
      <c r="F9753" s="7" t="s">
        <v>224</v>
      </c>
      <c r="G9753" s="7">
        <v>100.8745</v>
      </c>
      <c r="H9753" s="7"/>
    </row>
    <row r="9754" spans="1:8" x14ac:dyDescent="0.35">
      <c r="A9754" s="7" t="s">
        <v>379</v>
      </c>
      <c r="B9754" s="7" t="s">
        <v>26</v>
      </c>
      <c r="C9754" s="7" t="s">
        <v>27</v>
      </c>
      <c r="D9754" s="7" t="s">
        <v>28</v>
      </c>
      <c r="E9754" s="7" t="s">
        <v>29</v>
      </c>
      <c r="F9754" s="7" t="s">
        <v>225</v>
      </c>
      <c r="G9754" s="7">
        <v>100.712</v>
      </c>
      <c r="H9754" s="7"/>
    </row>
    <row r="9755" spans="1:8" x14ac:dyDescent="0.35">
      <c r="A9755" s="7" t="s">
        <v>379</v>
      </c>
      <c r="B9755" s="7" t="s">
        <v>26</v>
      </c>
      <c r="C9755" s="7" t="s">
        <v>27</v>
      </c>
      <c r="D9755" s="7" t="s">
        <v>28</v>
      </c>
      <c r="E9755" s="7" t="s">
        <v>29</v>
      </c>
      <c r="F9755" s="7" t="s">
        <v>226</v>
      </c>
      <c r="G9755" s="7">
        <v>100.72499999999999</v>
      </c>
      <c r="H9755" s="7"/>
    </row>
    <row r="9756" spans="1:8" x14ac:dyDescent="0.35">
      <c r="A9756" s="7" t="s">
        <v>379</v>
      </c>
      <c r="B9756" s="7" t="s">
        <v>26</v>
      </c>
      <c r="C9756" s="7" t="s">
        <v>27</v>
      </c>
      <c r="D9756" s="7" t="s">
        <v>28</v>
      </c>
      <c r="E9756" s="7" t="s">
        <v>29</v>
      </c>
      <c r="F9756" s="7" t="s">
        <v>227</v>
      </c>
      <c r="G9756" s="7">
        <v>100.7997</v>
      </c>
      <c r="H9756" s="7"/>
    </row>
    <row r="9757" spans="1:8" x14ac:dyDescent="0.35">
      <c r="A9757" s="7" t="s">
        <v>379</v>
      </c>
      <c r="B9757" s="7" t="s">
        <v>26</v>
      </c>
      <c r="C9757" s="7" t="s">
        <v>27</v>
      </c>
      <c r="D9757" s="7" t="s">
        <v>28</v>
      </c>
      <c r="E9757" s="7" t="s">
        <v>29</v>
      </c>
      <c r="F9757" s="7" t="s">
        <v>228</v>
      </c>
      <c r="G9757" s="7">
        <v>100.69159999999999</v>
      </c>
      <c r="H9757" s="7"/>
    </row>
    <row r="9758" spans="1:8" x14ac:dyDescent="0.35">
      <c r="A9758" s="7" t="s">
        <v>379</v>
      </c>
      <c r="B9758" s="7" t="s">
        <v>26</v>
      </c>
      <c r="C9758" s="7" t="s">
        <v>27</v>
      </c>
      <c r="D9758" s="7" t="s">
        <v>28</v>
      </c>
      <c r="E9758" s="7" t="s">
        <v>29</v>
      </c>
      <c r="F9758" s="7" t="s">
        <v>229</v>
      </c>
      <c r="G9758" s="7">
        <v>100.46850000000001</v>
      </c>
      <c r="H9758" s="7"/>
    </row>
    <row r="9759" spans="1:8" x14ac:dyDescent="0.35">
      <c r="A9759" s="7" t="s">
        <v>379</v>
      </c>
      <c r="B9759" s="7" t="s">
        <v>26</v>
      </c>
      <c r="C9759" s="7" t="s">
        <v>27</v>
      </c>
      <c r="D9759" s="7" t="s">
        <v>28</v>
      </c>
      <c r="E9759" s="7" t="s">
        <v>29</v>
      </c>
      <c r="F9759" s="7" t="s">
        <v>230</v>
      </c>
      <c r="G9759" s="7">
        <v>100.116</v>
      </c>
      <c r="H9759" s="7"/>
    </row>
    <row r="9760" spans="1:8" x14ac:dyDescent="0.35">
      <c r="A9760" s="7" t="s">
        <v>379</v>
      </c>
      <c r="B9760" s="7" t="s">
        <v>26</v>
      </c>
      <c r="C9760" s="7" t="s">
        <v>27</v>
      </c>
      <c r="D9760" s="7" t="s">
        <v>28</v>
      </c>
      <c r="E9760" s="7" t="s">
        <v>29</v>
      </c>
      <c r="F9760" s="7" t="s">
        <v>231</v>
      </c>
      <c r="G9760" s="7">
        <v>99.775180000000006</v>
      </c>
      <c r="H9760" s="7"/>
    </row>
    <row r="9761" spans="1:8" x14ac:dyDescent="0.35">
      <c r="A9761" s="7" t="s">
        <v>379</v>
      </c>
      <c r="B9761" s="7" t="s">
        <v>26</v>
      </c>
      <c r="C9761" s="7" t="s">
        <v>27</v>
      </c>
      <c r="D9761" s="7" t="s">
        <v>28</v>
      </c>
      <c r="E9761" s="7" t="s">
        <v>29</v>
      </c>
      <c r="F9761" s="7" t="s">
        <v>232</v>
      </c>
      <c r="G9761" s="7">
        <v>99.503060000000005</v>
      </c>
      <c r="H9761" s="7"/>
    </row>
    <row r="9762" spans="1:8" x14ac:dyDescent="0.35">
      <c r="A9762" s="7" t="s">
        <v>379</v>
      </c>
      <c r="B9762" s="7" t="s">
        <v>26</v>
      </c>
      <c r="C9762" s="7" t="s">
        <v>27</v>
      </c>
      <c r="D9762" s="7" t="s">
        <v>28</v>
      </c>
      <c r="E9762" s="7" t="s">
        <v>29</v>
      </c>
      <c r="F9762" s="7" t="s">
        <v>233</v>
      </c>
      <c r="G9762" s="7">
        <v>99.081119999999999</v>
      </c>
      <c r="H9762" s="7"/>
    </row>
    <row r="9763" spans="1:8" x14ac:dyDescent="0.35">
      <c r="A9763" s="7" t="s">
        <v>379</v>
      </c>
      <c r="B9763" s="7" t="s">
        <v>26</v>
      </c>
      <c r="C9763" s="7" t="s">
        <v>27</v>
      </c>
      <c r="D9763" s="7" t="s">
        <v>28</v>
      </c>
      <c r="E9763" s="7" t="s">
        <v>29</v>
      </c>
      <c r="F9763" s="7" t="s">
        <v>234</v>
      </c>
      <c r="G9763" s="7">
        <v>98.450069999999997</v>
      </c>
      <c r="H9763" s="7"/>
    </row>
    <row r="9764" spans="1:8" x14ac:dyDescent="0.35">
      <c r="A9764" s="7" t="s">
        <v>379</v>
      </c>
      <c r="B9764" s="7" t="s">
        <v>26</v>
      </c>
      <c r="C9764" s="7" t="s">
        <v>27</v>
      </c>
      <c r="D9764" s="7" t="s">
        <v>28</v>
      </c>
      <c r="E9764" s="7" t="s">
        <v>29</v>
      </c>
      <c r="F9764" s="7" t="s">
        <v>235</v>
      </c>
      <c r="G9764" s="7">
        <v>97.687899999999999</v>
      </c>
      <c r="H9764" s="7"/>
    </row>
    <row r="9765" spans="1:8" x14ac:dyDescent="0.35">
      <c r="A9765" s="7" t="s">
        <v>379</v>
      </c>
      <c r="B9765" s="7" t="s">
        <v>26</v>
      </c>
      <c r="C9765" s="7" t="s">
        <v>27</v>
      </c>
      <c r="D9765" s="7" t="s">
        <v>28</v>
      </c>
      <c r="E9765" s="7" t="s">
        <v>29</v>
      </c>
      <c r="F9765" s="7" t="s">
        <v>236</v>
      </c>
      <c r="G9765" s="7">
        <v>97.019620000000003</v>
      </c>
      <c r="H9765" s="7"/>
    </row>
    <row r="9766" spans="1:8" x14ac:dyDescent="0.35">
      <c r="A9766" s="7" t="s">
        <v>379</v>
      </c>
      <c r="B9766" s="7" t="s">
        <v>26</v>
      </c>
      <c r="C9766" s="7" t="s">
        <v>27</v>
      </c>
      <c r="D9766" s="7" t="s">
        <v>28</v>
      </c>
      <c r="E9766" s="7" t="s">
        <v>29</v>
      </c>
      <c r="F9766" s="7" t="s">
        <v>237</v>
      </c>
      <c r="G9766" s="7">
        <v>96.52901</v>
      </c>
      <c r="H9766" s="7"/>
    </row>
    <row r="9767" spans="1:8" x14ac:dyDescent="0.35">
      <c r="A9767" s="7" t="s">
        <v>379</v>
      </c>
      <c r="B9767" s="7" t="s">
        <v>26</v>
      </c>
      <c r="C9767" s="7" t="s">
        <v>27</v>
      </c>
      <c r="D9767" s="7" t="s">
        <v>28</v>
      </c>
      <c r="E9767" s="7" t="s">
        <v>29</v>
      </c>
      <c r="F9767" s="7" t="s">
        <v>238</v>
      </c>
      <c r="G9767" s="7">
        <v>96.220249999999993</v>
      </c>
      <c r="H9767" s="7"/>
    </row>
    <row r="9768" spans="1:8" x14ac:dyDescent="0.35">
      <c r="A9768" s="7" t="s">
        <v>379</v>
      </c>
      <c r="B9768" s="7" t="s">
        <v>26</v>
      </c>
      <c r="C9768" s="7" t="s">
        <v>27</v>
      </c>
      <c r="D9768" s="7" t="s">
        <v>28</v>
      </c>
      <c r="E9768" s="7" t="s">
        <v>29</v>
      </c>
      <c r="F9768" s="7" t="s">
        <v>239</v>
      </c>
      <c r="G9768" s="7">
        <v>96.153499999999994</v>
      </c>
      <c r="H9768" s="7"/>
    </row>
    <row r="9769" spans="1:8" x14ac:dyDescent="0.35">
      <c r="A9769" s="7" t="s">
        <v>379</v>
      </c>
      <c r="B9769" s="7" t="s">
        <v>26</v>
      </c>
      <c r="C9769" s="7" t="s">
        <v>27</v>
      </c>
      <c r="D9769" s="7" t="s">
        <v>28</v>
      </c>
      <c r="E9769" s="7" t="s">
        <v>29</v>
      </c>
      <c r="F9769" s="7" t="s">
        <v>240</v>
      </c>
      <c r="G9769" s="7">
        <v>96.324650000000005</v>
      </c>
      <c r="H9769" s="7"/>
    </row>
    <row r="9770" spans="1:8" x14ac:dyDescent="0.35">
      <c r="A9770" s="7" t="s">
        <v>379</v>
      </c>
      <c r="B9770" s="7" t="s">
        <v>26</v>
      </c>
      <c r="C9770" s="7" t="s">
        <v>27</v>
      </c>
      <c r="D9770" s="7" t="s">
        <v>28</v>
      </c>
      <c r="E9770" s="7" t="s">
        <v>29</v>
      </c>
      <c r="F9770" s="7" t="s">
        <v>241</v>
      </c>
      <c r="G9770" s="7">
        <v>96.717200000000005</v>
      </c>
      <c r="H9770" s="7"/>
    </row>
    <row r="9771" spans="1:8" x14ac:dyDescent="0.35">
      <c r="A9771" s="7" t="s">
        <v>379</v>
      </c>
      <c r="B9771" s="7" t="s">
        <v>26</v>
      </c>
      <c r="C9771" s="7" t="s">
        <v>27</v>
      </c>
      <c r="D9771" s="7" t="s">
        <v>28</v>
      </c>
      <c r="E9771" s="7" t="s">
        <v>29</v>
      </c>
      <c r="F9771" s="7" t="s">
        <v>242</v>
      </c>
      <c r="G9771" s="7">
        <v>97.205179999999999</v>
      </c>
      <c r="H9771" s="7"/>
    </row>
    <row r="9772" spans="1:8" x14ac:dyDescent="0.35">
      <c r="A9772" s="7" t="s">
        <v>379</v>
      </c>
      <c r="B9772" s="7" t="s">
        <v>26</v>
      </c>
      <c r="C9772" s="7" t="s">
        <v>27</v>
      </c>
      <c r="D9772" s="7" t="s">
        <v>28</v>
      </c>
      <c r="E9772" s="7" t="s">
        <v>29</v>
      </c>
      <c r="F9772" s="7" t="s">
        <v>243</v>
      </c>
      <c r="G9772" s="7">
        <v>97.693089999999998</v>
      </c>
      <c r="H9772" s="7"/>
    </row>
    <row r="9773" spans="1:8" x14ac:dyDescent="0.35">
      <c r="A9773" s="7" t="s">
        <v>379</v>
      </c>
      <c r="B9773" s="7" t="s">
        <v>26</v>
      </c>
      <c r="C9773" s="7" t="s">
        <v>27</v>
      </c>
      <c r="D9773" s="7" t="s">
        <v>28</v>
      </c>
      <c r="E9773" s="7" t="s">
        <v>29</v>
      </c>
      <c r="F9773" s="7" t="s">
        <v>244</v>
      </c>
      <c r="G9773" s="7">
        <v>98.116249999999994</v>
      </c>
      <c r="H9773" s="7"/>
    </row>
    <row r="9774" spans="1:8" x14ac:dyDescent="0.35">
      <c r="A9774" s="7" t="s">
        <v>379</v>
      </c>
      <c r="B9774" s="7" t="s">
        <v>26</v>
      </c>
      <c r="C9774" s="7" t="s">
        <v>27</v>
      </c>
      <c r="D9774" s="7" t="s">
        <v>28</v>
      </c>
      <c r="E9774" s="7" t="s">
        <v>29</v>
      </c>
      <c r="F9774" s="7" t="s">
        <v>245</v>
      </c>
      <c r="G9774" s="7">
        <v>98.381860000000003</v>
      </c>
      <c r="H9774" s="7"/>
    </row>
    <row r="9775" spans="1:8" x14ac:dyDescent="0.35">
      <c r="A9775" s="7" t="s">
        <v>379</v>
      </c>
      <c r="B9775" s="7" t="s">
        <v>26</v>
      </c>
      <c r="C9775" s="7" t="s">
        <v>27</v>
      </c>
      <c r="D9775" s="7" t="s">
        <v>28</v>
      </c>
      <c r="E9775" s="7" t="s">
        <v>29</v>
      </c>
      <c r="F9775" s="7" t="s">
        <v>246</v>
      </c>
      <c r="G9775" s="7">
        <v>98.448880000000003</v>
      </c>
      <c r="H9775" s="7"/>
    </row>
    <row r="9776" spans="1:8" x14ac:dyDescent="0.35">
      <c r="A9776" s="7" t="s">
        <v>379</v>
      </c>
      <c r="B9776" s="7" t="s">
        <v>26</v>
      </c>
      <c r="C9776" s="7" t="s">
        <v>27</v>
      </c>
      <c r="D9776" s="7" t="s">
        <v>28</v>
      </c>
      <c r="E9776" s="7" t="s">
        <v>29</v>
      </c>
      <c r="F9776" s="7" t="s">
        <v>247</v>
      </c>
      <c r="G9776" s="7">
        <v>98.491529999999997</v>
      </c>
      <c r="H9776" s="7"/>
    </row>
    <row r="9777" spans="1:8" x14ac:dyDescent="0.35">
      <c r="A9777" s="7" t="s">
        <v>379</v>
      </c>
      <c r="B9777" s="7" t="s">
        <v>26</v>
      </c>
      <c r="C9777" s="7" t="s">
        <v>27</v>
      </c>
      <c r="D9777" s="7" t="s">
        <v>28</v>
      </c>
      <c r="E9777" s="7" t="s">
        <v>29</v>
      </c>
      <c r="F9777" s="7" t="s">
        <v>248</v>
      </c>
      <c r="G9777" s="7">
        <v>98.506680000000003</v>
      </c>
      <c r="H9777" s="7"/>
    </row>
    <row r="9778" spans="1:8" x14ac:dyDescent="0.35">
      <c r="A9778" s="7" t="s">
        <v>379</v>
      </c>
      <c r="B9778" s="7" t="s">
        <v>26</v>
      </c>
      <c r="C9778" s="7" t="s">
        <v>27</v>
      </c>
      <c r="D9778" s="7" t="s">
        <v>28</v>
      </c>
      <c r="E9778" s="7" t="s">
        <v>29</v>
      </c>
      <c r="F9778" s="7" t="s">
        <v>249</v>
      </c>
      <c r="G9778" s="7">
        <v>98.685509999999994</v>
      </c>
      <c r="H9778" s="7"/>
    </row>
    <row r="9779" spans="1:8" x14ac:dyDescent="0.35">
      <c r="A9779" s="7" t="s">
        <v>379</v>
      </c>
      <c r="B9779" s="7" t="s">
        <v>26</v>
      </c>
      <c r="C9779" s="7" t="s">
        <v>27</v>
      </c>
      <c r="D9779" s="7" t="s">
        <v>28</v>
      </c>
      <c r="E9779" s="7" t="s">
        <v>29</v>
      </c>
      <c r="F9779" s="7" t="s">
        <v>250</v>
      </c>
      <c r="G9779" s="7">
        <v>99.087680000000006</v>
      </c>
      <c r="H9779" s="7"/>
    </row>
    <row r="9780" spans="1:8" x14ac:dyDescent="0.35">
      <c r="A9780" s="7" t="s">
        <v>379</v>
      </c>
      <c r="B9780" s="7" t="s">
        <v>26</v>
      </c>
      <c r="C9780" s="7" t="s">
        <v>27</v>
      </c>
      <c r="D9780" s="7" t="s">
        <v>28</v>
      </c>
      <c r="E9780" s="7" t="s">
        <v>29</v>
      </c>
      <c r="F9780" s="7" t="s">
        <v>251</v>
      </c>
      <c r="G9780" s="7">
        <v>99.521659999999997</v>
      </c>
      <c r="H9780" s="7"/>
    </row>
    <row r="9781" spans="1:8" x14ac:dyDescent="0.35">
      <c r="A9781" s="7" t="s">
        <v>379</v>
      </c>
      <c r="B9781" s="7" t="s">
        <v>26</v>
      </c>
      <c r="C9781" s="7" t="s">
        <v>27</v>
      </c>
      <c r="D9781" s="7" t="s">
        <v>28</v>
      </c>
      <c r="E9781" s="7" t="s">
        <v>29</v>
      </c>
      <c r="F9781" s="7" t="s">
        <v>252</v>
      </c>
      <c r="G9781" s="7">
        <v>99.763959999999997</v>
      </c>
      <c r="H9781" s="7"/>
    </row>
    <row r="9782" spans="1:8" x14ac:dyDescent="0.35">
      <c r="A9782" s="7" t="s">
        <v>379</v>
      </c>
      <c r="B9782" s="7" t="s">
        <v>26</v>
      </c>
      <c r="C9782" s="7" t="s">
        <v>27</v>
      </c>
      <c r="D9782" s="7" t="s">
        <v>28</v>
      </c>
      <c r="E9782" s="7" t="s">
        <v>29</v>
      </c>
      <c r="F9782" s="7" t="s">
        <v>253</v>
      </c>
      <c r="G9782" s="7">
        <v>100.1164</v>
      </c>
      <c r="H9782" s="7"/>
    </row>
    <row r="9783" spans="1:8" x14ac:dyDescent="0.35">
      <c r="A9783" s="7" t="s">
        <v>379</v>
      </c>
      <c r="B9783" s="7" t="s">
        <v>26</v>
      </c>
      <c r="C9783" s="7" t="s">
        <v>27</v>
      </c>
      <c r="D9783" s="7" t="s">
        <v>28</v>
      </c>
      <c r="E9783" s="7" t="s">
        <v>29</v>
      </c>
      <c r="F9783" s="7" t="s">
        <v>254</v>
      </c>
      <c r="G9783" s="7">
        <v>100.74939999999999</v>
      </c>
      <c r="H9783" s="7"/>
    </row>
    <row r="9784" spans="1:8" x14ac:dyDescent="0.35">
      <c r="A9784" s="7" t="s">
        <v>379</v>
      </c>
      <c r="B9784" s="7" t="s">
        <v>26</v>
      </c>
      <c r="C9784" s="7" t="s">
        <v>27</v>
      </c>
      <c r="D9784" s="7" t="s">
        <v>28</v>
      </c>
      <c r="E9784" s="7" t="s">
        <v>29</v>
      </c>
      <c r="F9784" s="7" t="s">
        <v>255</v>
      </c>
      <c r="G9784" s="7">
        <v>101.3202</v>
      </c>
      <c r="H9784" s="7"/>
    </row>
    <row r="9785" spans="1:8" x14ac:dyDescent="0.35">
      <c r="A9785" s="7" t="s">
        <v>379</v>
      </c>
      <c r="B9785" s="7" t="s">
        <v>26</v>
      </c>
      <c r="C9785" s="7" t="s">
        <v>27</v>
      </c>
      <c r="D9785" s="7" t="s">
        <v>28</v>
      </c>
      <c r="E9785" s="7" t="s">
        <v>29</v>
      </c>
      <c r="F9785" s="7" t="s">
        <v>256</v>
      </c>
      <c r="G9785" s="7">
        <v>101.7602</v>
      </c>
      <c r="H9785" s="7"/>
    </row>
    <row r="9786" spans="1:8" x14ac:dyDescent="0.35">
      <c r="A9786" s="7" t="s">
        <v>379</v>
      </c>
      <c r="B9786" s="7" t="s">
        <v>26</v>
      </c>
      <c r="C9786" s="7" t="s">
        <v>27</v>
      </c>
      <c r="D9786" s="7" t="s">
        <v>28</v>
      </c>
      <c r="E9786" s="7" t="s">
        <v>29</v>
      </c>
      <c r="F9786" s="7" t="s">
        <v>257</v>
      </c>
      <c r="G9786" s="7">
        <v>102.1181</v>
      </c>
      <c r="H9786" s="7"/>
    </row>
    <row r="9787" spans="1:8" x14ac:dyDescent="0.35">
      <c r="A9787" s="7" t="s">
        <v>379</v>
      </c>
      <c r="B9787" s="7" t="s">
        <v>26</v>
      </c>
      <c r="C9787" s="7" t="s">
        <v>27</v>
      </c>
      <c r="D9787" s="7" t="s">
        <v>28</v>
      </c>
      <c r="E9787" s="7" t="s">
        <v>29</v>
      </c>
      <c r="F9787" s="7" t="s">
        <v>258</v>
      </c>
      <c r="G9787" s="7">
        <v>102.38630000000001</v>
      </c>
      <c r="H9787" s="7"/>
    </row>
    <row r="9788" spans="1:8" x14ac:dyDescent="0.35">
      <c r="A9788" s="7" t="s">
        <v>379</v>
      </c>
      <c r="B9788" s="7" t="s">
        <v>26</v>
      </c>
      <c r="C9788" s="7" t="s">
        <v>27</v>
      </c>
      <c r="D9788" s="7" t="s">
        <v>28</v>
      </c>
      <c r="E9788" s="7" t="s">
        <v>29</v>
      </c>
      <c r="F9788" s="7" t="s">
        <v>259</v>
      </c>
      <c r="G9788" s="7">
        <v>102.4389</v>
      </c>
      <c r="H9788" s="7"/>
    </row>
    <row r="9789" spans="1:8" x14ac:dyDescent="0.35">
      <c r="A9789" s="7" t="s">
        <v>379</v>
      </c>
      <c r="B9789" s="7" t="s">
        <v>26</v>
      </c>
      <c r="C9789" s="7" t="s">
        <v>27</v>
      </c>
      <c r="D9789" s="7" t="s">
        <v>28</v>
      </c>
      <c r="E9789" s="7" t="s">
        <v>29</v>
      </c>
      <c r="F9789" s="7" t="s">
        <v>260</v>
      </c>
      <c r="G9789" s="7">
        <v>102.38500000000001</v>
      </c>
      <c r="H9789" s="7"/>
    </row>
    <row r="9790" spans="1:8" x14ac:dyDescent="0.35">
      <c r="A9790" s="7" t="s">
        <v>379</v>
      </c>
      <c r="B9790" s="7" t="s">
        <v>26</v>
      </c>
      <c r="C9790" s="7" t="s">
        <v>27</v>
      </c>
      <c r="D9790" s="7" t="s">
        <v>28</v>
      </c>
      <c r="E9790" s="7" t="s">
        <v>29</v>
      </c>
      <c r="F9790" s="7" t="s">
        <v>261</v>
      </c>
      <c r="G9790" s="7">
        <v>102.3237</v>
      </c>
      <c r="H9790" s="7"/>
    </row>
    <row r="9791" spans="1:8" x14ac:dyDescent="0.35">
      <c r="A9791" s="7" t="s">
        <v>379</v>
      </c>
      <c r="B9791" s="7" t="s">
        <v>26</v>
      </c>
      <c r="C9791" s="7" t="s">
        <v>27</v>
      </c>
      <c r="D9791" s="7" t="s">
        <v>28</v>
      </c>
      <c r="E9791" s="7" t="s">
        <v>29</v>
      </c>
      <c r="F9791" s="7" t="s">
        <v>262</v>
      </c>
      <c r="G9791" s="7">
        <v>102.29430000000001</v>
      </c>
      <c r="H9791" s="7"/>
    </row>
    <row r="9792" spans="1:8" x14ac:dyDescent="0.35">
      <c r="A9792" s="7" t="s">
        <v>379</v>
      </c>
      <c r="B9792" s="7" t="s">
        <v>26</v>
      </c>
      <c r="C9792" s="7" t="s">
        <v>27</v>
      </c>
      <c r="D9792" s="7" t="s">
        <v>28</v>
      </c>
      <c r="E9792" s="7" t="s">
        <v>29</v>
      </c>
      <c r="F9792" s="7" t="s">
        <v>263</v>
      </c>
      <c r="G9792" s="7">
        <v>102.3083</v>
      </c>
      <c r="H9792" s="7"/>
    </row>
    <row r="9793" spans="1:8" x14ac:dyDescent="0.35">
      <c r="A9793" s="7" t="s">
        <v>379</v>
      </c>
      <c r="B9793" s="7" t="s">
        <v>26</v>
      </c>
      <c r="C9793" s="7" t="s">
        <v>27</v>
      </c>
      <c r="D9793" s="7" t="s">
        <v>28</v>
      </c>
      <c r="E9793" s="7" t="s">
        <v>29</v>
      </c>
      <c r="F9793" s="7" t="s">
        <v>264</v>
      </c>
      <c r="G9793" s="7">
        <v>102.3488</v>
      </c>
      <c r="H9793" s="7"/>
    </row>
    <row r="9794" spans="1:8" x14ac:dyDescent="0.35">
      <c r="A9794" s="7" t="s">
        <v>379</v>
      </c>
      <c r="B9794" s="7" t="s">
        <v>26</v>
      </c>
      <c r="C9794" s="7" t="s">
        <v>27</v>
      </c>
      <c r="D9794" s="7" t="s">
        <v>28</v>
      </c>
      <c r="E9794" s="7" t="s">
        <v>29</v>
      </c>
      <c r="F9794" s="7" t="s">
        <v>265</v>
      </c>
      <c r="G9794" s="7">
        <v>102.2684</v>
      </c>
      <c r="H9794" s="7"/>
    </row>
    <row r="9795" spans="1:8" x14ac:dyDescent="0.35">
      <c r="A9795" s="7" t="s">
        <v>379</v>
      </c>
      <c r="B9795" s="7" t="s">
        <v>26</v>
      </c>
      <c r="C9795" s="7" t="s">
        <v>27</v>
      </c>
      <c r="D9795" s="7" t="s">
        <v>28</v>
      </c>
      <c r="E9795" s="7" t="s">
        <v>29</v>
      </c>
      <c r="F9795" s="7" t="s">
        <v>266</v>
      </c>
      <c r="G9795" s="7">
        <v>101.9106</v>
      </c>
      <c r="H9795" s="7"/>
    </row>
    <row r="9796" spans="1:8" x14ac:dyDescent="0.35">
      <c r="A9796" s="7" t="s">
        <v>379</v>
      </c>
      <c r="B9796" s="7" t="s">
        <v>26</v>
      </c>
      <c r="C9796" s="7" t="s">
        <v>27</v>
      </c>
      <c r="D9796" s="7" t="s">
        <v>28</v>
      </c>
      <c r="E9796" s="7" t="s">
        <v>29</v>
      </c>
      <c r="F9796" s="7" t="s">
        <v>267</v>
      </c>
      <c r="G9796" s="7">
        <v>101.3092</v>
      </c>
      <c r="H9796" s="7"/>
    </row>
    <row r="9797" spans="1:8" x14ac:dyDescent="0.35">
      <c r="A9797" s="7" t="s">
        <v>379</v>
      </c>
      <c r="B9797" s="7" t="s">
        <v>26</v>
      </c>
      <c r="C9797" s="7" t="s">
        <v>27</v>
      </c>
      <c r="D9797" s="7" t="s">
        <v>28</v>
      </c>
      <c r="E9797" s="7" t="s">
        <v>29</v>
      </c>
      <c r="F9797" s="7" t="s">
        <v>268</v>
      </c>
      <c r="G9797" s="7">
        <v>100.8389</v>
      </c>
      <c r="H9797" s="7"/>
    </row>
    <row r="9798" spans="1:8" x14ac:dyDescent="0.35">
      <c r="A9798" s="7" t="s">
        <v>379</v>
      </c>
      <c r="B9798" s="7" t="s">
        <v>26</v>
      </c>
      <c r="C9798" s="7" t="s">
        <v>27</v>
      </c>
      <c r="D9798" s="7" t="s">
        <v>28</v>
      </c>
      <c r="E9798" s="7" t="s">
        <v>29</v>
      </c>
      <c r="F9798" s="7" t="s">
        <v>269</v>
      </c>
      <c r="G9798" s="7">
        <v>100.6032</v>
      </c>
      <c r="H9798" s="7"/>
    </row>
    <row r="9799" spans="1:8" x14ac:dyDescent="0.35">
      <c r="A9799" s="7" t="s">
        <v>379</v>
      </c>
      <c r="B9799" s="7" t="s">
        <v>26</v>
      </c>
      <c r="C9799" s="7" t="s">
        <v>27</v>
      </c>
      <c r="D9799" s="7" t="s">
        <v>28</v>
      </c>
      <c r="E9799" s="7" t="s">
        <v>29</v>
      </c>
      <c r="F9799" s="7" t="s">
        <v>270</v>
      </c>
      <c r="G9799" s="7">
        <v>100.59399999999999</v>
      </c>
      <c r="H9799" s="7"/>
    </row>
    <row r="9800" spans="1:8" x14ac:dyDescent="0.35">
      <c r="A9800" s="7" t="s">
        <v>379</v>
      </c>
      <c r="B9800" s="7" t="s">
        <v>26</v>
      </c>
      <c r="C9800" s="7" t="s">
        <v>27</v>
      </c>
      <c r="D9800" s="7" t="s">
        <v>28</v>
      </c>
      <c r="E9800" s="7" t="s">
        <v>29</v>
      </c>
      <c r="F9800" s="7" t="s">
        <v>271</v>
      </c>
      <c r="G9800" s="7">
        <v>100.72069999999999</v>
      </c>
      <c r="H9800" s="7"/>
    </row>
    <row r="9801" spans="1:8" x14ac:dyDescent="0.35">
      <c r="A9801" s="7" t="s">
        <v>379</v>
      </c>
      <c r="B9801" s="7" t="s">
        <v>26</v>
      </c>
      <c r="C9801" s="7" t="s">
        <v>27</v>
      </c>
      <c r="D9801" s="7" t="s">
        <v>28</v>
      </c>
      <c r="E9801" s="7" t="s">
        <v>29</v>
      </c>
      <c r="F9801" s="7" t="s">
        <v>272</v>
      </c>
      <c r="G9801" s="7">
        <v>100.8781</v>
      </c>
      <c r="H9801" s="7"/>
    </row>
    <row r="9802" spans="1:8" x14ac:dyDescent="0.35">
      <c r="A9802" s="7" t="s">
        <v>379</v>
      </c>
      <c r="B9802" s="7" t="s">
        <v>26</v>
      </c>
      <c r="C9802" s="7" t="s">
        <v>27</v>
      </c>
      <c r="D9802" s="7" t="s">
        <v>28</v>
      </c>
      <c r="E9802" s="7" t="s">
        <v>29</v>
      </c>
      <c r="F9802" s="7" t="s">
        <v>273</v>
      </c>
      <c r="G9802" s="7">
        <v>100.9233</v>
      </c>
      <c r="H9802" s="7"/>
    </row>
    <row r="9803" spans="1:8" x14ac:dyDescent="0.35">
      <c r="A9803" s="7" t="s">
        <v>379</v>
      </c>
      <c r="B9803" s="7" t="s">
        <v>26</v>
      </c>
      <c r="C9803" s="7" t="s">
        <v>27</v>
      </c>
      <c r="D9803" s="7" t="s">
        <v>28</v>
      </c>
      <c r="E9803" s="7" t="s">
        <v>29</v>
      </c>
      <c r="F9803" s="7" t="s">
        <v>274</v>
      </c>
      <c r="G9803" s="7">
        <v>100.9181</v>
      </c>
      <c r="H9803" s="7"/>
    </row>
    <row r="9804" spans="1:8" x14ac:dyDescent="0.35">
      <c r="A9804" s="7" t="s">
        <v>379</v>
      </c>
      <c r="B9804" s="7" t="s">
        <v>26</v>
      </c>
      <c r="C9804" s="7" t="s">
        <v>27</v>
      </c>
      <c r="D9804" s="7" t="s">
        <v>28</v>
      </c>
      <c r="E9804" s="7" t="s">
        <v>29</v>
      </c>
      <c r="F9804" s="7" t="s">
        <v>275</v>
      </c>
      <c r="G9804" s="7">
        <v>100.8913</v>
      </c>
      <c r="H9804" s="7"/>
    </row>
    <row r="9805" spans="1:8" x14ac:dyDescent="0.35">
      <c r="A9805" s="7" t="s">
        <v>379</v>
      </c>
      <c r="B9805" s="7" t="s">
        <v>26</v>
      </c>
      <c r="C9805" s="7" t="s">
        <v>27</v>
      </c>
      <c r="D9805" s="7" t="s">
        <v>28</v>
      </c>
      <c r="E9805" s="7" t="s">
        <v>29</v>
      </c>
      <c r="F9805" s="7" t="s">
        <v>276</v>
      </c>
      <c r="G9805" s="7">
        <v>100.8732</v>
      </c>
      <c r="H9805" s="7"/>
    </row>
    <row r="9806" spans="1:8" x14ac:dyDescent="0.35">
      <c r="A9806" s="7" t="s">
        <v>379</v>
      </c>
      <c r="B9806" s="7" t="s">
        <v>26</v>
      </c>
      <c r="C9806" s="7" t="s">
        <v>27</v>
      </c>
      <c r="D9806" s="7" t="s">
        <v>28</v>
      </c>
      <c r="E9806" s="7" t="s">
        <v>29</v>
      </c>
      <c r="F9806" s="7" t="s">
        <v>277</v>
      </c>
      <c r="G9806" s="7">
        <v>100.67140000000001</v>
      </c>
      <c r="H9806" s="7"/>
    </row>
    <row r="9807" spans="1:8" x14ac:dyDescent="0.35">
      <c r="A9807" s="7" t="s">
        <v>379</v>
      </c>
      <c r="B9807" s="7" t="s">
        <v>26</v>
      </c>
      <c r="C9807" s="7" t="s">
        <v>27</v>
      </c>
      <c r="D9807" s="7" t="s">
        <v>28</v>
      </c>
      <c r="E9807" s="7" t="s">
        <v>29</v>
      </c>
      <c r="F9807" s="7" t="s">
        <v>278</v>
      </c>
      <c r="G9807" s="7">
        <v>100.28789999999999</v>
      </c>
      <c r="H9807" s="7"/>
    </row>
    <row r="9808" spans="1:8" x14ac:dyDescent="0.35">
      <c r="A9808" s="7" t="s">
        <v>379</v>
      </c>
      <c r="B9808" s="7" t="s">
        <v>26</v>
      </c>
      <c r="C9808" s="7" t="s">
        <v>27</v>
      </c>
      <c r="D9808" s="7" t="s">
        <v>28</v>
      </c>
      <c r="E9808" s="7" t="s">
        <v>29</v>
      </c>
      <c r="F9808" s="7" t="s">
        <v>279</v>
      </c>
      <c r="G9808" s="7">
        <v>99.869929999999997</v>
      </c>
      <c r="H9808" s="7"/>
    </row>
    <row r="9809" spans="1:8" x14ac:dyDescent="0.35">
      <c r="A9809" s="7" t="s">
        <v>379</v>
      </c>
      <c r="B9809" s="7" t="s">
        <v>26</v>
      </c>
      <c r="C9809" s="7" t="s">
        <v>27</v>
      </c>
      <c r="D9809" s="7" t="s">
        <v>28</v>
      </c>
      <c r="E9809" s="7" t="s">
        <v>29</v>
      </c>
      <c r="F9809" s="7" t="s">
        <v>280</v>
      </c>
      <c r="G9809" s="7">
        <v>99.604479999999995</v>
      </c>
      <c r="H9809" s="7"/>
    </row>
    <row r="9810" spans="1:8" x14ac:dyDescent="0.35">
      <c r="A9810" s="7" t="s">
        <v>379</v>
      </c>
      <c r="B9810" s="7" t="s">
        <v>26</v>
      </c>
      <c r="C9810" s="7" t="s">
        <v>27</v>
      </c>
      <c r="D9810" s="7" t="s">
        <v>28</v>
      </c>
      <c r="E9810" s="7" t="s">
        <v>29</v>
      </c>
      <c r="F9810" s="7" t="s">
        <v>281</v>
      </c>
      <c r="G9810" s="7">
        <v>99.515510000000006</v>
      </c>
      <c r="H9810" s="7"/>
    </row>
    <row r="9811" spans="1:8" x14ac:dyDescent="0.35">
      <c r="A9811" s="7" t="s">
        <v>379</v>
      </c>
      <c r="B9811" s="7" t="s">
        <v>26</v>
      </c>
      <c r="C9811" s="7" t="s">
        <v>27</v>
      </c>
      <c r="D9811" s="7" t="s">
        <v>28</v>
      </c>
      <c r="E9811" s="7" t="s">
        <v>29</v>
      </c>
      <c r="F9811" s="7" t="s">
        <v>282</v>
      </c>
      <c r="G9811" s="7">
        <v>99.507149999999996</v>
      </c>
      <c r="H9811" s="7"/>
    </row>
    <row r="9812" spans="1:8" x14ac:dyDescent="0.35">
      <c r="A9812" s="7" t="s">
        <v>379</v>
      </c>
      <c r="B9812" s="7" t="s">
        <v>26</v>
      </c>
      <c r="C9812" s="7" t="s">
        <v>27</v>
      </c>
      <c r="D9812" s="7" t="s">
        <v>28</v>
      </c>
      <c r="E9812" s="7" t="s">
        <v>29</v>
      </c>
      <c r="F9812" s="7" t="s">
        <v>283</v>
      </c>
      <c r="G9812" s="7">
        <v>99.600750000000005</v>
      </c>
      <c r="H9812" s="7"/>
    </row>
    <row r="9813" spans="1:8" x14ac:dyDescent="0.35">
      <c r="A9813" s="7" t="s">
        <v>379</v>
      </c>
      <c r="B9813" s="7" t="s">
        <v>26</v>
      </c>
      <c r="C9813" s="7" t="s">
        <v>27</v>
      </c>
      <c r="D9813" s="7" t="s">
        <v>28</v>
      </c>
      <c r="E9813" s="7" t="s">
        <v>29</v>
      </c>
      <c r="F9813" s="7" t="s">
        <v>284</v>
      </c>
      <c r="G9813" s="7">
        <v>99.810010000000005</v>
      </c>
      <c r="H9813" s="7"/>
    </row>
    <row r="9814" spans="1:8" x14ac:dyDescent="0.35">
      <c r="A9814" s="7" t="s">
        <v>379</v>
      </c>
      <c r="B9814" s="7" t="s">
        <v>26</v>
      </c>
      <c r="C9814" s="7" t="s">
        <v>27</v>
      </c>
      <c r="D9814" s="7" t="s">
        <v>28</v>
      </c>
      <c r="E9814" s="7" t="s">
        <v>29</v>
      </c>
      <c r="F9814" s="7" t="s">
        <v>285</v>
      </c>
      <c r="G9814" s="7">
        <v>100.0179</v>
      </c>
      <c r="H9814" s="7"/>
    </row>
    <row r="9815" spans="1:8" x14ac:dyDescent="0.35">
      <c r="A9815" s="7" t="s">
        <v>379</v>
      </c>
      <c r="B9815" s="7" t="s">
        <v>26</v>
      </c>
      <c r="C9815" s="7" t="s">
        <v>27</v>
      </c>
      <c r="D9815" s="7" t="s">
        <v>28</v>
      </c>
      <c r="E9815" s="7" t="s">
        <v>29</v>
      </c>
      <c r="F9815" s="7" t="s">
        <v>286</v>
      </c>
      <c r="G9815" s="7">
        <v>100.1815</v>
      </c>
      <c r="H9815" s="7"/>
    </row>
    <row r="9816" spans="1:8" x14ac:dyDescent="0.35">
      <c r="A9816" s="7" t="s">
        <v>379</v>
      </c>
      <c r="B9816" s="7" t="s">
        <v>26</v>
      </c>
      <c r="C9816" s="7" t="s">
        <v>27</v>
      </c>
      <c r="D9816" s="7" t="s">
        <v>28</v>
      </c>
      <c r="E9816" s="7" t="s">
        <v>29</v>
      </c>
      <c r="F9816" s="7" t="s">
        <v>287</v>
      </c>
      <c r="G9816" s="7">
        <v>100.3018</v>
      </c>
      <c r="H9816" s="7"/>
    </row>
    <row r="9817" spans="1:8" x14ac:dyDescent="0.35">
      <c r="A9817" s="7" t="s">
        <v>379</v>
      </c>
      <c r="B9817" s="7" t="s">
        <v>26</v>
      </c>
      <c r="C9817" s="7" t="s">
        <v>27</v>
      </c>
      <c r="D9817" s="7" t="s">
        <v>28</v>
      </c>
      <c r="E9817" s="7" t="s">
        <v>29</v>
      </c>
      <c r="F9817" s="7" t="s">
        <v>288</v>
      </c>
      <c r="G9817" s="7">
        <v>100.408</v>
      </c>
      <c r="H9817" s="7"/>
    </row>
    <row r="9818" spans="1:8" x14ac:dyDescent="0.35">
      <c r="A9818" s="7" t="s">
        <v>379</v>
      </c>
      <c r="B9818" s="7" t="s">
        <v>26</v>
      </c>
      <c r="C9818" s="7" t="s">
        <v>27</v>
      </c>
      <c r="D9818" s="7" t="s">
        <v>28</v>
      </c>
      <c r="E9818" s="7" t="s">
        <v>29</v>
      </c>
      <c r="F9818" s="7" t="s">
        <v>289</v>
      </c>
      <c r="G9818" s="7">
        <v>100.511</v>
      </c>
      <c r="H9818" s="7"/>
    </row>
    <row r="9819" spans="1:8" x14ac:dyDescent="0.35">
      <c r="A9819" s="7" t="s">
        <v>379</v>
      </c>
      <c r="B9819" s="7" t="s">
        <v>26</v>
      </c>
      <c r="C9819" s="7" t="s">
        <v>27</v>
      </c>
      <c r="D9819" s="7" t="s">
        <v>28</v>
      </c>
      <c r="E9819" s="7" t="s">
        <v>29</v>
      </c>
      <c r="F9819" s="7" t="s">
        <v>290</v>
      </c>
      <c r="G9819" s="7">
        <v>100.55670000000001</v>
      </c>
      <c r="H9819" s="7"/>
    </row>
    <row r="9820" spans="1:8" x14ac:dyDescent="0.35">
      <c r="A9820" s="7" t="s">
        <v>379</v>
      </c>
      <c r="B9820" s="7" t="s">
        <v>26</v>
      </c>
      <c r="C9820" s="7" t="s">
        <v>27</v>
      </c>
      <c r="D9820" s="7" t="s">
        <v>28</v>
      </c>
      <c r="E9820" s="7" t="s">
        <v>29</v>
      </c>
      <c r="F9820" s="7" t="s">
        <v>291</v>
      </c>
      <c r="G9820" s="7">
        <v>100.51519999999999</v>
      </c>
      <c r="H9820" s="7"/>
    </row>
    <row r="9821" spans="1:8" x14ac:dyDescent="0.35">
      <c r="A9821" s="7" t="s">
        <v>379</v>
      </c>
      <c r="B9821" s="7" t="s">
        <v>26</v>
      </c>
      <c r="C9821" s="7" t="s">
        <v>27</v>
      </c>
      <c r="D9821" s="7" t="s">
        <v>28</v>
      </c>
      <c r="E9821" s="7" t="s">
        <v>29</v>
      </c>
      <c r="F9821" s="7" t="s">
        <v>292</v>
      </c>
      <c r="G9821" s="7">
        <v>100.4679</v>
      </c>
      <c r="H9821" s="7"/>
    </row>
    <row r="9822" spans="1:8" x14ac:dyDescent="0.35">
      <c r="A9822" s="7" t="s">
        <v>379</v>
      </c>
      <c r="B9822" s="7" t="s">
        <v>26</v>
      </c>
      <c r="C9822" s="7" t="s">
        <v>27</v>
      </c>
      <c r="D9822" s="7" t="s">
        <v>28</v>
      </c>
      <c r="E9822" s="7" t="s">
        <v>29</v>
      </c>
      <c r="F9822" s="7" t="s">
        <v>293</v>
      </c>
      <c r="G9822" s="7">
        <v>100.48690000000001</v>
      </c>
      <c r="H9822" s="7"/>
    </row>
    <row r="9823" spans="1:8" x14ac:dyDescent="0.35">
      <c r="A9823" s="7" t="s">
        <v>379</v>
      </c>
      <c r="B9823" s="7" t="s">
        <v>26</v>
      </c>
      <c r="C9823" s="7" t="s">
        <v>27</v>
      </c>
      <c r="D9823" s="7" t="s">
        <v>28</v>
      </c>
      <c r="E9823" s="7" t="s">
        <v>29</v>
      </c>
      <c r="F9823" s="7" t="s">
        <v>294</v>
      </c>
      <c r="G9823" s="7">
        <v>100.593</v>
      </c>
      <c r="H9823" s="7"/>
    </row>
    <row r="9824" spans="1:8" x14ac:dyDescent="0.35">
      <c r="A9824" s="7" t="s">
        <v>379</v>
      </c>
      <c r="B9824" s="7" t="s">
        <v>26</v>
      </c>
      <c r="C9824" s="7" t="s">
        <v>27</v>
      </c>
      <c r="D9824" s="7" t="s">
        <v>28</v>
      </c>
      <c r="E9824" s="7" t="s">
        <v>29</v>
      </c>
      <c r="F9824" s="7" t="s">
        <v>295</v>
      </c>
      <c r="G9824" s="7">
        <v>100.7075</v>
      </c>
      <c r="H9824" s="7"/>
    </row>
    <row r="9825" spans="1:8" x14ac:dyDescent="0.35">
      <c r="A9825" s="7" t="s">
        <v>379</v>
      </c>
      <c r="B9825" s="7" t="s">
        <v>26</v>
      </c>
      <c r="C9825" s="7" t="s">
        <v>27</v>
      </c>
      <c r="D9825" s="7" t="s">
        <v>28</v>
      </c>
      <c r="E9825" s="7" t="s">
        <v>29</v>
      </c>
      <c r="F9825" s="7" t="s">
        <v>296</v>
      </c>
      <c r="G9825" s="7">
        <v>100.8562</v>
      </c>
      <c r="H9825" s="7"/>
    </row>
    <row r="9826" spans="1:8" x14ac:dyDescent="0.35">
      <c r="A9826" s="7" t="s">
        <v>379</v>
      </c>
      <c r="B9826" s="7" t="s">
        <v>26</v>
      </c>
      <c r="C9826" s="7" t="s">
        <v>27</v>
      </c>
      <c r="D9826" s="7" t="s">
        <v>28</v>
      </c>
      <c r="E9826" s="7" t="s">
        <v>29</v>
      </c>
      <c r="F9826" s="7" t="s">
        <v>297</v>
      </c>
      <c r="G9826" s="7">
        <v>101.0411</v>
      </c>
      <c r="H9826" s="7"/>
    </row>
    <row r="9827" spans="1:8" x14ac:dyDescent="0.35">
      <c r="A9827" s="7" t="s">
        <v>379</v>
      </c>
      <c r="B9827" s="7" t="s">
        <v>26</v>
      </c>
      <c r="C9827" s="7" t="s">
        <v>27</v>
      </c>
      <c r="D9827" s="7" t="s">
        <v>28</v>
      </c>
      <c r="E9827" s="7" t="s">
        <v>29</v>
      </c>
      <c r="F9827" s="7" t="s">
        <v>298</v>
      </c>
      <c r="G9827" s="7">
        <v>101.2978</v>
      </c>
      <c r="H9827" s="7"/>
    </row>
    <row r="9828" spans="1:8" x14ac:dyDescent="0.35">
      <c r="A9828" s="7" t="s">
        <v>379</v>
      </c>
      <c r="B9828" s="7" t="s">
        <v>26</v>
      </c>
      <c r="C9828" s="7" t="s">
        <v>27</v>
      </c>
      <c r="D9828" s="7" t="s">
        <v>28</v>
      </c>
      <c r="E9828" s="7" t="s">
        <v>29</v>
      </c>
      <c r="F9828" s="7" t="s">
        <v>299</v>
      </c>
      <c r="G9828" s="7">
        <v>101.52589999999999</v>
      </c>
      <c r="H9828" s="7"/>
    </row>
    <row r="9829" spans="1:8" x14ac:dyDescent="0.35">
      <c r="A9829" s="7" t="s">
        <v>379</v>
      </c>
      <c r="B9829" s="7" t="s">
        <v>26</v>
      </c>
      <c r="C9829" s="7" t="s">
        <v>27</v>
      </c>
      <c r="D9829" s="7" t="s">
        <v>28</v>
      </c>
      <c r="E9829" s="7" t="s">
        <v>29</v>
      </c>
      <c r="F9829" s="7" t="s">
        <v>300</v>
      </c>
      <c r="G9829" s="7">
        <v>101.6763</v>
      </c>
      <c r="H9829" s="7"/>
    </row>
    <row r="9830" spans="1:8" x14ac:dyDescent="0.35">
      <c r="A9830" s="7" t="s">
        <v>379</v>
      </c>
      <c r="B9830" s="7" t="s">
        <v>26</v>
      </c>
      <c r="C9830" s="7" t="s">
        <v>27</v>
      </c>
      <c r="D9830" s="7" t="s">
        <v>28</v>
      </c>
      <c r="E9830" s="7" t="s">
        <v>29</v>
      </c>
      <c r="F9830" s="7" t="s">
        <v>301</v>
      </c>
      <c r="G9830" s="7">
        <v>101.64100000000001</v>
      </c>
      <c r="H9830" s="7"/>
    </row>
    <row r="9831" spans="1:8" x14ac:dyDescent="0.35">
      <c r="A9831" s="7" t="s">
        <v>379</v>
      </c>
      <c r="B9831" s="7" t="s">
        <v>26</v>
      </c>
      <c r="C9831" s="7" t="s">
        <v>27</v>
      </c>
      <c r="D9831" s="7" t="s">
        <v>28</v>
      </c>
      <c r="E9831" s="7" t="s">
        <v>29</v>
      </c>
      <c r="F9831" s="7" t="s">
        <v>302</v>
      </c>
      <c r="G9831" s="7">
        <v>101.4584</v>
      </c>
      <c r="H9831" s="7"/>
    </row>
    <row r="9832" spans="1:8" x14ac:dyDescent="0.35">
      <c r="A9832" s="7" t="s">
        <v>379</v>
      </c>
      <c r="B9832" s="7" t="s">
        <v>26</v>
      </c>
      <c r="C9832" s="7" t="s">
        <v>27</v>
      </c>
      <c r="D9832" s="7" t="s">
        <v>28</v>
      </c>
      <c r="E9832" s="7" t="s">
        <v>29</v>
      </c>
      <c r="F9832" s="7" t="s">
        <v>303</v>
      </c>
      <c r="G9832" s="7">
        <v>101.1704</v>
      </c>
      <c r="H9832" s="7"/>
    </row>
    <row r="9833" spans="1:8" x14ac:dyDescent="0.35">
      <c r="A9833" s="7" t="s">
        <v>379</v>
      </c>
      <c r="B9833" s="7" t="s">
        <v>26</v>
      </c>
      <c r="C9833" s="7" t="s">
        <v>27</v>
      </c>
      <c r="D9833" s="7" t="s">
        <v>28</v>
      </c>
      <c r="E9833" s="7" t="s">
        <v>29</v>
      </c>
      <c r="F9833" s="7" t="s">
        <v>304</v>
      </c>
      <c r="G9833" s="7">
        <v>100.946</v>
      </c>
      <c r="H9833" s="7"/>
    </row>
    <row r="9834" spans="1:8" x14ac:dyDescent="0.35">
      <c r="A9834" s="7" t="s">
        <v>379</v>
      </c>
      <c r="B9834" s="7" t="s">
        <v>26</v>
      </c>
      <c r="C9834" s="7" t="s">
        <v>27</v>
      </c>
      <c r="D9834" s="7" t="s">
        <v>28</v>
      </c>
      <c r="E9834" s="7" t="s">
        <v>29</v>
      </c>
      <c r="F9834" s="7" t="s">
        <v>305</v>
      </c>
      <c r="G9834" s="7">
        <v>100.8369</v>
      </c>
      <c r="H9834" s="7"/>
    </row>
    <row r="9835" spans="1:8" x14ac:dyDescent="0.35">
      <c r="A9835" s="7" t="s">
        <v>379</v>
      </c>
      <c r="B9835" s="7" t="s">
        <v>26</v>
      </c>
      <c r="C9835" s="7" t="s">
        <v>27</v>
      </c>
      <c r="D9835" s="7" t="s">
        <v>28</v>
      </c>
      <c r="E9835" s="7" t="s">
        <v>29</v>
      </c>
      <c r="F9835" s="7" t="s">
        <v>306</v>
      </c>
      <c r="G9835" s="7">
        <v>100.79470000000001</v>
      </c>
      <c r="H9835" s="7"/>
    </row>
    <row r="9836" spans="1:8" x14ac:dyDescent="0.35">
      <c r="A9836" s="7" t="s">
        <v>379</v>
      </c>
      <c r="B9836" s="7" t="s">
        <v>26</v>
      </c>
      <c r="C9836" s="7" t="s">
        <v>27</v>
      </c>
      <c r="D9836" s="7" t="s">
        <v>28</v>
      </c>
      <c r="E9836" s="7" t="s">
        <v>29</v>
      </c>
      <c r="F9836" s="7" t="s">
        <v>307</v>
      </c>
      <c r="G9836" s="7">
        <v>100.839</v>
      </c>
      <c r="H9836" s="7"/>
    </row>
    <row r="9837" spans="1:8" x14ac:dyDescent="0.35">
      <c r="A9837" s="7" t="s">
        <v>379</v>
      </c>
      <c r="B9837" s="7" t="s">
        <v>26</v>
      </c>
      <c r="C9837" s="7" t="s">
        <v>27</v>
      </c>
      <c r="D9837" s="7" t="s">
        <v>28</v>
      </c>
      <c r="E9837" s="7" t="s">
        <v>29</v>
      </c>
      <c r="F9837" s="7" t="s">
        <v>308</v>
      </c>
      <c r="G9837" s="7">
        <v>100.9665</v>
      </c>
      <c r="H9837" s="7"/>
    </row>
    <row r="9838" spans="1:8" x14ac:dyDescent="0.35">
      <c r="A9838" s="7" t="s">
        <v>379</v>
      </c>
      <c r="B9838" s="7" t="s">
        <v>26</v>
      </c>
      <c r="C9838" s="7" t="s">
        <v>27</v>
      </c>
      <c r="D9838" s="7" t="s">
        <v>28</v>
      </c>
      <c r="E9838" s="7" t="s">
        <v>29</v>
      </c>
      <c r="F9838" s="7" t="s">
        <v>309</v>
      </c>
      <c r="G9838" s="7">
        <v>101.1366</v>
      </c>
      <c r="H9838" s="7"/>
    </row>
    <row r="9839" spans="1:8" x14ac:dyDescent="0.35">
      <c r="A9839" s="7" t="s">
        <v>379</v>
      </c>
      <c r="B9839" s="7" t="s">
        <v>26</v>
      </c>
      <c r="C9839" s="7" t="s">
        <v>27</v>
      </c>
      <c r="D9839" s="7" t="s">
        <v>28</v>
      </c>
      <c r="E9839" s="7" t="s">
        <v>29</v>
      </c>
      <c r="F9839" s="7" t="s">
        <v>310</v>
      </c>
      <c r="G9839" s="7">
        <v>101.3507</v>
      </c>
      <c r="H9839" s="7"/>
    </row>
    <row r="9840" spans="1:8" x14ac:dyDescent="0.35">
      <c r="A9840" s="7" t="s">
        <v>379</v>
      </c>
      <c r="B9840" s="7" t="s">
        <v>26</v>
      </c>
      <c r="C9840" s="7" t="s">
        <v>27</v>
      </c>
      <c r="D9840" s="7" t="s">
        <v>28</v>
      </c>
      <c r="E9840" s="7" t="s">
        <v>29</v>
      </c>
      <c r="F9840" s="7" t="s">
        <v>311</v>
      </c>
      <c r="G9840" s="7">
        <v>101.46729999999999</v>
      </c>
      <c r="H9840" s="7"/>
    </row>
    <row r="9841" spans="1:8" x14ac:dyDescent="0.35">
      <c r="A9841" s="7" t="s">
        <v>379</v>
      </c>
      <c r="B9841" s="7" t="s">
        <v>26</v>
      </c>
      <c r="C9841" s="7" t="s">
        <v>27</v>
      </c>
      <c r="D9841" s="7" t="s">
        <v>28</v>
      </c>
      <c r="E9841" s="7" t="s">
        <v>29</v>
      </c>
      <c r="F9841" s="7" t="s">
        <v>312</v>
      </c>
      <c r="G9841" s="7">
        <v>101.4766</v>
      </c>
      <c r="H9841" s="7"/>
    </row>
    <row r="9842" spans="1:8" x14ac:dyDescent="0.35">
      <c r="A9842" s="7" t="s">
        <v>379</v>
      </c>
      <c r="B9842" s="7" t="s">
        <v>26</v>
      </c>
      <c r="C9842" s="7" t="s">
        <v>27</v>
      </c>
      <c r="D9842" s="7" t="s">
        <v>28</v>
      </c>
      <c r="E9842" s="7" t="s">
        <v>29</v>
      </c>
      <c r="F9842" s="7" t="s">
        <v>313</v>
      </c>
      <c r="G9842" s="7">
        <v>101.39790000000001</v>
      </c>
      <c r="H9842" s="7"/>
    </row>
    <row r="9843" spans="1:8" x14ac:dyDescent="0.35">
      <c r="A9843" s="7" t="s">
        <v>379</v>
      </c>
      <c r="B9843" s="7" t="s">
        <v>26</v>
      </c>
      <c r="C9843" s="7" t="s">
        <v>27</v>
      </c>
      <c r="D9843" s="7" t="s">
        <v>28</v>
      </c>
      <c r="E9843" s="7" t="s">
        <v>29</v>
      </c>
      <c r="F9843" s="7" t="s">
        <v>314</v>
      </c>
      <c r="G9843" s="7">
        <v>101.22669999999999</v>
      </c>
      <c r="H9843" s="7"/>
    </row>
    <row r="9844" spans="1:8" x14ac:dyDescent="0.35">
      <c r="A9844" s="7" t="s">
        <v>379</v>
      </c>
      <c r="B9844" s="7" t="s">
        <v>26</v>
      </c>
      <c r="C9844" s="7" t="s">
        <v>27</v>
      </c>
      <c r="D9844" s="7" t="s">
        <v>28</v>
      </c>
      <c r="E9844" s="7" t="s">
        <v>29</v>
      </c>
      <c r="F9844" s="7" t="s">
        <v>315</v>
      </c>
      <c r="G9844" s="7">
        <v>100.98309999999999</v>
      </c>
      <c r="H9844" s="7"/>
    </row>
    <row r="9845" spans="1:8" x14ac:dyDescent="0.35">
      <c r="A9845" s="7" t="s">
        <v>379</v>
      </c>
      <c r="B9845" s="7" t="s">
        <v>26</v>
      </c>
      <c r="C9845" s="7" t="s">
        <v>27</v>
      </c>
      <c r="D9845" s="7" t="s">
        <v>28</v>
      </c>
      <c r="E9845" s="7" t="s">
        <v>29</v>
      </c>
      <c r="F9845" s="7" t="s">
        <v>316</v>
      </c>
      <c r="G9845" s="7">
        <v>100.6764</v>
      </c>
      <c r="H9845" s="7"/>
    </row>
    <row r="9846" spans="1:8" x14ac:dyDescent="0.35">
      <c r="A9846" s="7" t="s">
        <v>379</v>
      </c>
      <c r="B9846" s="7" t="s">
        <v>26</v>
      </c>
      <c r="C9846" s="7" t="s">
        <v>27</v>
      </c>
      <c r="D9846" s="7" t="s">
        <v>28</v>
      </c>
      <c r="E9846" s="7" t="s">
        <v>29</v>
      </c>
      <c r="F9846" s="7" t="s">
        <v>317</v>
      </c>
      <c r="G9846" s="7">
        <v>100.44499999999999</v>
      </c>
      <c r="H9846" s="7"/>
    </row>
    <row r="9847" spans="1:8" x14ac:dyDescent="0.35">
      <c r="A9847" s="7" t="s">
        <v>379</v>
      </c>
      <c r="B9847" s="7" t="s">
        <v>26</v>
      </c>
      <c r="C9847" s="7" t="s">
        <v>27</v>
      </c>
      <c r="D9847" s="7" t="s">
        <v>28</v>
      </c>
      <c r="E9847" s="7" t="s">
        <v>29</v>
      </c>
      <c r="F9847" s="7" t="s">
        <v>318</v>
      </c>
      <c r="G9847" s="7">
        <v>100.3305</v>
      </c>
      <c r="H9847" s="7"/>
    </row>
    <row r="9848" spans="1:8" x14ac:dyDescent="0.35">
      <c r="A9848" s="7" t="s">
        <v>379</v>
      </c>
      <c r="B9848" s="7" t="s">
        <v>26</v>
      </c>
      <c r="C9848" s="7" t="s">
        <v>27</v>
      </c>
      <c r="D9848" s="7" t="s">
        <v>28</v>
      </c>
      <c r="E9848" s="7" t="s">
        <v>29</v>
      </c>
      <c r="F9848" s="7" t="s">
        <v>319</v>
      </c>
      <c r="G9848" s="7">
        <v>100.2572</v>
      </c>
      <c r="H9848" s="7"/>
    </row>
    <row r="9849" spans="1:8" x14ac:dyDescent="0.35">
      <c r="A9849" s="7" t="s">
        <v>379</v>
      </c>
      <c r="B9849" s="7" t="s">
        <v>26</v>
      </c>
      <c r="C9849" s="7" t="s">
        <v>27</v>
      </c>
      <c r="D9849" s="7" t="s">
        <v>28</v>
      </c>
      <c r="E9849" s="7" t="s">
        <v>29</v>
      </c>
      <c r="F9849" s="7" t="s">
        <v>320</v>
      </c>
      <c r="G9849" s="7">
        <v>100.1623</v>
      </c>
      <c r="H9849" s="7"/>
    </row>
    <row r="9850" spans="1:8" x14ac:dyDescent="0.35">
      <c r="A9850" s="7" t="s">
        <v>379</v>
      </c>
      <c r="B9850" s="7" t="s">
        <v>26</v>
      </c>
      <c r="C9850" s="7" t="s">
        <v>27</v>
      </c>
      <c r="D9850" s="7" t="s">
        <v>28</v>
      </c>
      <c r="E9850" s="7" t="s">
        <v>29</v>
      </c>
      <c r="F9850" s="7" t="s">
        <v>321</v>
      </c>
      <c r="G9850" s="7">
        <v>100.1125</v>
      </c>
      <c r="H9850" s="7"/>
    </row>
    <row r="9851" spans="1:8" x14ac:dyDescent="0.35">
      <c r="A9851" s="7" t="s">
        <v>379</v>
      </c>
      <c r="B9851" s="7" t="s">
        <v>26</v>
      </c>
      <c r="C9851" s="7" t="s">
        <v>27</v>
      </c>
      <c r="D9851" s="7" t="s">
        <v>28</v>
      </c>
      <c r="E9851" s="7" t="s">
        <v>29</v>
      </c>
      <c r="F9851" s="7" t="s">
        <v>322</v>
      </c>
      <c r="G9851" s="7">
        <v>100.163</v>
      </c>
      <c r="H9851" s="7"/>
    </row>
    <row r="9852" spans="1:8" x14ac:dyDescent="0.35">
      <c r="A9852" s="7" t="s">
        <v>379</v>
      </c>
      <c r="B9852" s="7" t="s">
        <v>26</v>
      </c>
      <c r="C9852" s="7" t="s">
        <v>27</v>
      </c>
      <c r="D9852" s="7" t="s">
        <v>28</v>
      </c>
      <c r="E9852" s="7" t="s">
        <v>29</v>
      </c>
      <c r="F9852" s="7" t="s">
        <v>323</v>
      </c>
      <c r="G9852" s="7">
        <v>100.3182</v>
      </c>
      <c r="H9852" s="7"/>
    </row>
    <row r="9853" spans="1:8" x14ac:dyDescent="0.35">
      <c r="A9853" s="7" t="s">
        <v>379</v>
      </c>
      <c r="B9853" s="7" t="s">
        <v>26</v>
      </c>
      <c r="C9853" s="7" t="s">
        <v>27</v>
      </c>
      <c r="D9853" s="7" t="s">
        <v>28</v>
      </c>
      <c r="E9853" s="7" t="s">
        <v>29</v>
      </c>
      <c r="F9853" s="7" t="s">
        <v>324</v>
      </c>
      <c r="G9853" s="7">
        <v>100.5108</v>
      </c>
      <c r="H9853" s="7"/>
    </row>
    <row r="9854" spans="1:8" x14ac:dyDescent="0.35">
      <c r="A9854" s="7" t="s">
        <v>379</v>
      </c>
      <c r="B9854" s="7" t="s">
        <v>26</v>
      </c>
      <c r="C9854" s="7" t="s">
        <v>27</v>
      </c>
      <c r="D9854" s="7" t="s">
        <v>28</v>
      </c>
      <c r="E9854" s="7" t="s">
        <v>29</v>
      </c>
      <c r="F9854" s="7" t="s">
        <v>325</v>
      </c>
      <c r="G9854" s="7">
        <v>100.6538</v>
      </c>
      <c r="H9854" s="7"/>
    </row>
    <row r="9855" spans="1:8" x14ac:dyDescent="0.35">
      <c r="A9855" s="7" t="s">
        <v>379</v>
      </c>
      <c r="B9855" s="7" t="s">
        <v>26</v>
      </c>
      <c r="C9855" s="7" t="s">
        <v>27</v>
      </c>
      <c r="D9855" s="7" t="s">
        <v>28</v>
      </c>
      <c r="E9855" s="7" t="s">
        <v>29</v>
      </c>
      <c r="F9855" s="7" t="s">
        <v>326</v>
      </c>
      <c r="G9855" s="7">
        <v>100.68429999999999</v>
      </c>
      <c r="H9855" s="7"/>
    </row>
    <row r="9856" spans="1:8" x14ac:dyDescent="0.35">
      <c r="A9856" s="7" t="s">
        <v>379</v>
      </c>
      <c r="B9856" s="7" t="s">
        <v>26</v>
      </c>
      <c r="C9856" s="7" t="s">
        <v>27</v>
      </c>
      <c r="D9856" s="7" t="s">
        <v>28</v>
      </c>
      <c r="E9856" s="7" t="s">
        <v>29</v>
      </c>
      <c r="F9856" s="7" t="s">
        <v>327</v>
      </c>
      <c r="G9856" s="7">
        <v>100.6579</v>
      </c>
      <c r="H9856" s="7"/>
    </row>
    <row r="9857" spans="1:8" x14ac:dyDescent="0.35">
      <c r="A9857" s="7" t="s">
        <v>379</v>
      </c>
      <c r="B9857" s="7" t="s">
        <v>26</v>
      </c>
      <c r="C9857" s="7" t="s">
        <v>27</v>
      </c>
      <c r="D9857" s="7" t="s">
        <v>28</v>
      </c>
      <c r="E9857" s="7" t="s">
        <v>29</v>
      </c>
      <c r="F9857" s="7" t="s">
        <v>328</v>
      </c>
      <c r="G9857" s="7">
        <v>100.6433</v>
      </c>
      <c r="H9857" s="7"/>
    </row>
    <row r="9858" spans="1:8" x14ac:dyDescent="0.35">
      <c r="A9858" s="7" t="s">
        <v>379</v>
      </c>
      <c r="B9858" s="7" t="s">
        <v>26</v>
      </c>
      <c r="C9858" s="7" t="s">
        <v>27</v>
      </c>
      <c r="D9858" s="7" t="s">
        <v>28</v>
      </c>
      <c r="E9858" s="7" t="s">
        <v>29</v>
      </c>
      <c r="F9858" s="7" t="s">
        <v>329</v>
      </c>
      <c r="G9858" s="7">
        <v>100.6906</v>
      </c>
      <c r="H9858" s="7"/>
    </row>
    <row r="9859" spans="1:8" x14ac:dyDescent="0.35">
      <c r="A9859" s="7" t="s">
        <v>379</v>
      </c>
      <c r="B9859" s="7" t="s">
        <v>26</v>
      </c>
      <c r="C9859" s="7" t="s">
        <v>27</v>
      </c>
      <c r="D9859" s="7" t="s">
        <v>28</v>
      </c>
      <c r="E9859" s="7" t="s">
        <v>29</v>
      </c>
      <c r="F9859" s="7" t="s">
        <v>330</v>
      </c>
      <c r="G9859" s="7">
        <v>100.78579999999999</v>
      </c>
      <c r="H9859" s="7"/>
    </row>
    <row r="9860" spans="1:8" x14ac:dyDescent="0.35">
      <c r="A9860" s="7" t="s">
        <v>379</v>
      </c>
      <c r="B9860" s="7" t="s">
        <v>26</v>
      </c>
      <c r="C9860" s="7" t="s">
        <v>27</v>
      </c>
      <c r="D9860" s="7" t="s">
        <v>28</v>
      </c>
      <c r="E9860" s="7" t="s">
        <v>29</v>
      </c>
      <c r="F9860" s="7" t="s">
        <v>331</v>
      </c>
      <c r="G9860" s="7">
        <v>100.8631</v>
      </c>
      <c r="H9860" s="7"/>
    </row>
    <row r="9861" spans="1:8" x14ac:dyDescent="0.35">
      <c r="A9861" s="7" t="s">
        <v>379</v>
      </c>
      <c r="B9861" s="7" t="s">
        <v>26</v>
      </c>
      <c r="C9861" s="7" t="s">
        <v>27</v>
      </c>
      <c r="D9861" s="7" t="s">
        <v>28</v>
      </c>
      <c r="E9861" s="7" t="s">
        <v>29</v>
      </c>
      <c r="F9861" s="7" t="s">
        <v>332</v>
      </c>
      <c r="G9861" s="7">
        <v>100.90179999999999</v>
      </c>
      <c r="H9861" s="7"/>
    </row>
    <row r="9862" spans="1:8" x14ac:dyDescent="0.35">
      <c r="A9862" s="7" t="s">
        <v>379</v>
      </c>
      <c r="B9862" s="7" t="s">
        <v>26</v>
      </c>
      <c r="C9862" s="7" t="s">
        <v>27</v>
      </c>
      <c r="D9862" s="7" t="s">
        <v>28</v>
      </c>
      <c r="E9862" s="7" t="s">
        <v>29</v>
      </c>
      <c r="F9862" s="7" t="s">
        <v>333</v>
      </c>
      <c r="G9862" s="7">
        <v>100.9233</v>
      </c>
      <c r="H9862" s="7"/>
    </row>
    <row r="9863" spans="1:8" x14ac:dyDescent="0.35">
      <c r="A9863" s="7" t="s">
        <v>379</v>
      </c>
      <c r="B9863" s="7" t="s">
        <v>26</v>
      </c>
      <c r="C9863" s="7" t="s">
        <v>27</v>
      </c>
      <c r="D9863" s="7" t="s">
        <v>28</v>
      </c>
      <c r="E9863" s="7" t="s">
        <v>29</v>
      </c>
      <c r="F9863" s="7" t="s">
        <v>334</v>
      </c>
      <c r="G9863" s="7">
        <v>101.08540000000001</v>
      </c>
      <c r="H9863" s="7"/>
    </row>
    <row r="9864" spans="1:8" x14ac:dyDescent="0.35">
      <c r="A9864" s="7" t="s">
        <v>379</v>
      </c>
      <c r="B9864" s="7" t="s">
        <v>26</v>
      </c>
      <c r="C9864" s="7" t="s">
        <v>27</v>
      </c>
      <c r="D9864" s="7" t="s">
        <v>28</v>
      </c>
      <c r="E9864" s="7" t="s">
        <v>29</v>
      </c>
      <c r="F9864" s="7" t="s">
        <v>335</v>
      </c>
      <c r="G9864" s="7">
        <v>101.3203</v>
      </c>
      <c r="H9864" s="7"/>
    </row>
    <row r="9865" spans="1:8" x14ac:dyDescent="0.35">
      <c r="A9865" s="7" t="s">
        <v>379</v>
      </c>
      <c r="B9865" s="7" t="s">
        <v>26</v>
      </c>
      <c r="C9865" s="7" t="s">
        <v>27</v>
      </c>
      <c r="D9865" s="7" t="s">
        <v>28</v>
      </c>
      <c r="E9865" s="7" t="s">
        <v>29</v>
      </c>
      <c r="F9865" s="7" t="s">
        <v>336</v>
      </c>
      <c r="G9865" s="7">
        <v>101.5132</v>
      </c>
      <c r="H9865" s="7"/>
    </row>
    <row r="9866" spans="1:8" x14ac:dyDescent="0.35">
      <c r="A9866" s="7" t="s">
        <v>379</v>
      </c>
      <c r="B9866" s="7" t="s">
        <v>26</v>
      </c>
      <c r="C9866" s="7" t="s">
        <v>27</v>
      </c>
      <c r="D9866" s="7" t="s">
        <v>28</v>
      </c>
      <c r="E9866" s="7" t="s">
        <v>29</v>
      </c>
      <c r="F9866" s="7" t="s">
        <v>337</v>
      </c>
      <c r="G9866" s="7">
        <v>101.652</v>
      </c>
      <c r="H9866" s="7"/>
    </row>
    <row r="9867" spans="1:8" x14ac:dyDescent="0.35">
      <c r="A9867" s="7" t="s">
        <v>379</v>
      </c>
      <c r="B9867" s="7" t="s">
        <v>26</v>
      </c>
      <c r="C9867" s="7" t="s">
        <v>27</v>
      </c>
      <c r="D9867" s="7" t="s">
        <v>28</v>
      </c>
      <c r="E9867" s="7" t="s">
        <v>29</v>
      </c>
      <c r="F9867" s="7" t="s">
        <v>338</v>
      </c>
      <c r="G9867" s="7">
        <v>101.6782</v>
      </c>
      <c r="H9867" s="7"/>
    </row>
    <row r="9868" spans="1:8" x14ac:dyDescent="0.35">
      <c r="A9868" s="7" t="s">
        <v>379</v>
      </c>
      <c r="B9868" s="7" t="s">
        <v>26</v>
      </c>
      <c r="C9868" s="7" t="s">
        <v>27</v>
      </c>
      <c r="D9868" s="7" t="s">
        <v>28</v>
      </c>
      <c r="E9868" s="7" t="s">
        <v>29</v>
      </c>
      <c r="F9868" s="7" t="s">
        <v>339</v>
      </c>
      <c r="G9868" s="7">
        <v>101.6301</v>
      </c>
      <c r="H9868" s="7"/>
    </row>
    <row r="9869" spans="1:8" x14ac:dyDescent="0.35">
      <c r="A9869" s="7" t="s">
        <v>379</v>
      </c>
      <c r="B9869" s="7" t="s">
        <v>26</v>
      </c>
      <c r="C9869" s="7" t="s">
        <v>27</v>
      </c>
      <c r="D9869" s="7" t="s">
        <v>28</v>
      </c>
      <c r="E9869" s="7" t="s">
        <v>29</v>
      </c>
      <c r="F9869" s="7" t="s">
        <v>340</v>
      </c>
      <c r="G9869" s="7">
        <v>101.64530000000001</v>
      </c>
      <c r="H9869" s="7"/>
    </row>
    <row r="9870" spans="1:8" x14ac:dyDescent="0.35">
      <c r="A9870" s="7" t="s">
        <v>379</v>
      </c>
      <c r="B9870" s="7" t="s">
        <v>26</v>
      </c>
      <c r="C9870" s="7" t="s">
        <v>27</v>
      </c>
      <c r="D9870" s="7" t="s">
        <v>28</v>
      </c>
      <c r="E9870" s="7" t="s">
        <v>29</v>
      </c>
      <c r="F9870" s="7" t="s">
        <v>341</v>
      </c>
      <c r="G9870" s="7">
        <v>101.7285</v>
      </c>
      <c r="H9870" s="7"/>
    </row>
    <row r="9871" spans="1:8" x14ac:dyDescent="0.35">
      <c r="A9871" s="7" t="s">
        <v>379</v>
      </c>
      <c r="B9871" s="7" t="s">
        <v>26</v>
      </c>
      <c r="C9871" s="7" t="s">
        <v>27</v>
      </c>
      <c r="D9871" s="7" t="s">
        <v>28</v>
      </c>
      <c r="E9871" s="7" t="s">
        <v>29</v>
      </c>
      <c r="F9871" s="7" t="s">
        <v>342</v>
      </c>
      <c r="G9871" s="7">
        <v>101.82429999999999</v>
      </c>
      <c r="H9871" s="7"/>
    </row>
    <row r="9872" spans="1:8" x14ac:dyDescent="0.35">
      <c r="A9872" s="7" t="s">
        <v>379</v>
      </c>
      <c r="B9872" s="7" t="s">
        <v>26</v>
      </c>
      <c r="C9872" s="7" t="s">
        <v>27</v>
      </c>
      <c r="D9872" s="7" t="s">
        <v>28</v>
      </c>
      <c r="E9872" s="7" t="s">
        <v>29</v>
      </c>
      <c r="F9872" s="7" t="s">
        <v>343</v>
      </c>
      <c r="G9872" s="7">
        <v>101.92700000000001</v>
      </c>
      <c r="H9872" s="7"/>
    </row>
    <row r="9873" spans="1:8" x14ac:dyDescent="0.35">
      <c r="A9873" s="7" t="s">
        <v>379</v>
      </c>
      <c r="B9873" s="7" t="s">
        <v>26</v>
      </c>
      <c r="C9873" s="7" t="s">
        <v>27</v>
      </c>
      <c r="D9873" s="7" t="s">
        <v>28</v>
      </c>
      <c r="E9873" s="7" t="s">
        <v>29</v>
      </c>
      <c r="F9873" s="7" t="s">
        <v>344</v>
      </c>
      <c r="G9873" s="7">
        <v>101.99939999999999</v>
      </c>
      <c r="H9873" s="7"/>
    </row>
    <row r="9874" spans="1:8" x14ac:dyDescent="0.35">
      <c r="A9874" s="7" t="s">
        <v>379</v>
      </c>
      <c r="B9874" s="7" t="s">
        <v>26</v>
      </c>
      <c r="C9874" s="7" t="s">
        <v>27</v>
      </c>
      <c r="D9874" s="7" t="s">
        <v>28</v>
      </c>
      <c r="E9874" s="7" t="s">
        <v>29</v>
      </c>
      <c r="F9874" s="7" t="s">
        <v>345</v>
      </c>
      <c r="G9874" s="7">
        <v>101.9881</v>
      </c>
      <c r="H9874" s="7"/>
    </row>
    <row r="9875" spans="1:8" x14ac:dyDescent="0.35">
      <c r="A9875" s="7" t="s">
        <v>379</v>
      </c>
      <c r="B9875" s="7" t="s">
        <v>26</v>
      </c>
      <c r="C9875" s="7" t="s">
        <v>27</v>
      </c>
      <c r="D9875" s="7" t="s">
        <v>28</v>
      </c>
      <c r="E9875" s="7" t="s">
        <v>29</v>
      </c>
      <c r="F9875" s="7" t="s">
        <v>346</v>
      </c>
      <c r="G9875" s="7">
        <v>101.944</v>
      </c>
      <c r="H9875" s="7"/>
    </row>
    <row r="9876" spans="1:8" x14ac:dyDescent="0.35">
      <c r="A9876" s="7" t="s">
        <v>380</v>
      </c>
      <c r="B9876" s="7" t="s">
        <v>26</v>
      </c>
      <c r="C9876" s="7" t="s">
        <v>27</v>
      </c>
      <c r="D9876" s="7" t="s">
        <v>28</v>
      </c>
      <c r="E9876" s="7" t="s">
        <v>29</v>
      </c>
      <c r="F9876" s="7" t="s">
        <v>115</v>
      </c>
      <c r="G9876" s="7">
        <v>98.593500000000006</v>
      </c>
      <c r="H9876" s="7"/>
    </row>
    <row r="9877" spans="1:8" x14ac:dyDescent="0.35">
      <c r="A9877" s="7" t="s">
        <v>380</v>
      </c>
      <c r="B9877" s="7" t="s">
        <v>26</v>
      </c>
      <c r="C9877" s="7" t="s">
        <v>27</v>
      </c>
      <c r="D9877" s="7" t="s">
        <v>28</v>
      </c>
      <c r="E9877" s="7" t="s">
        <v>29</v>
      </c>
      <c r="F9877" s="7" t="s">
        <v>116</v>
      </c>
      <c r="G9877" s="7">
        <v>99.010009999999994</v>
      </c>
      <c r="H9877" s="7"/>
    </row>
    <row r="9878" spans="1:8" x14ac:dyDescent="0.35">
      <c r="A9878" s="7" t="s">
        <v>380</v>
      </c>
      <c r="B9878" s="7" t="s">
        <v>26</v>
      </c>
      <c r="C9878" s="7" t="s">
        <v>27</v>
      </c>
      <c r="D9878" s="7" t="s">
        <v>28</v>
      </c>
      <c r="E9878" s="7" t="s">
        <v>29</v>
      </c>
      <c r="F9878" s="7" t="s">
        <v>117</v>
      </c>
      <c r="G9878" s="7">
        <v>99.434070000000006</v>
      </c>
      <c r="H9878" s="7"/>
    </row>
    <row r="9879" spans="1:8" x14ac:dyDescent="0.35">
      <c r="A9879" s="7" t="s">
        <v>380</v>
      </c>
      <c r="B9879" s="7" t="s">
        <v>26</v>
      </c>
      <c r="C9879" s="7" t="s">
        <v>27</v>
      </c>
      <c r="D9879" s="7" t="s">
        <v>28</v>
      </c>
      <c r="E9879" s="7" t="s">
        <v>29</v>
      </c>
      <c r="F9879" s="7" t="s">
        <v>118</v>
      </c>
      <c r="G9879" s="7">
        <v>99.846810000000005</v>
      </c>
      <c r="H9879" s="7"/>
    </row>
    <row r="9880" spans="1:8" x14ac:dyDescent="0.35">
      <c r="A9880" s="7" t="s">
        <v>380</v>
      </c>
      <c r="B9880" s="7" t="s">
        <v>26</v>
      </c>
      <c r="C9880" s="7" t="s">
        <v>27</v>
      </c>
      <c r="D9880" s="7" t="s">
        <v>28</v>
      </c>
      <c r="E9880" s="7" t="s">
        <v>29</v>
      </c>
      <c r="F9880" s="7" t="s">
        <v>119</v>
      </c>
      <c r="G9880" s="7">
        <v>100.3177</v>
      </c>
      <c r="H9880" s="7"/>
    </row>
    <row r="9881" spans="1:8" x14ac:dyDescent="0.35">
      <c r="A9881" s="7" t="s">
        <v>380</v>
      </c>
      <c r="B9881" s="7" t="s">
        <v>26</v>
      </c>
      <c r="C9881" s="7" t="s">
        <v>27</v>
      </c>
      <c r="D9881" s="7" t="s">
        <v>28</v>
      </c>
      <c r="E9881" s="7" t="s">
        <v>29</v>
      </c>
      <c r="F9881" s="7" t="s">
        <v>120</v>
      </c>
      <c r="G9881" s="7">
        <v>100.83540000000001</v>
      </c>
      <c r="H9881" s="7"/>
    </row>
    <row r="9882" spans="1:8" x14ac:dyDescent="0.35">
      <c r="A9882" s="7" t="s">
        <v>380</v>
      </c>
      <c r="B9882" s="7" t="s">
        <v>26</v>
      </c>
      <c r="C9882" s="7" t="s">
        <v>27</v>
      </c>
      <c r="D9882" s="7" t="s">
        <v>28</v>
      </c>
      <c r="E9882" s="7" t="s">
        <v>29</v>
      </c>
      <c r="F9882" s="7" t="s">
        <v>121</v>
      </c>
      <c r="G9882" s="7">
        <v>101.23650000000001</v>
      </c>
      <c r="H9882" s="7"/>
    </row>
    <row r="9883" spans="1:8" x14ac:dyDescent="0.35">
      <c r="A9883" s="7" t="s">
        <v>380</v>
      </c>
      <c r="B9883" s="7" t="s">
        <v>26</v>
      </c>
      <c r="C9883" s="7" t="s">
        <v>27</v>
      </c>
      <c r="D9883" s="7" t="s">
        <v>28</v>
      </c>
      <c r="E9883" s="7" t="s">
        <v>29</v>
      </c>
      <c r="F9883" s="7" t="s">
        <v>122</v>
      </c>
      <c r="G9883" s="7">
        <v>101.54</v>
      </c>
      <c r="H9883" s="7"/>
    </row>
    <row r="9884" spans="1:8" x14ac:dyDescent="0.35">
      <c r="A9884" s="7" t="s">
        <v>380</v>
      </c>
      <c r="B9884" s="7" t="s">
        <v>26</v>
      </c>
      <c r="C9884" s="7" t="s">
        <v>27</v>
      </c>
      <c r="D9884" s="7" t="s">
        <v>28</v>
      </c>
      <c r="E9884" s="7" t="s">
        <v>29</v>
      </c>
      <c r="F9884" s="7" t="s">
        <v>123</v>
      </c>
      <c r="G9884" s="7">
        <v>101.7544</v>
      </c>
      <c r="H9884" s="7"/>
    </row>
    <row r="9885" spans="1:8" x14ac:dyDescent="0.35">
      <c r="A9885" s="7" t="s">
        <v>380</v>
      </c>
      <c r="B9885" s="7" t="s">
        <v>26</v>
      </c>
      <c r="C9885" s="7" t="s">
        <v>27</v>
      </c>
      <c r="D9885" s="7" t="s">
        <v>28</v>
      </c>
      <c r="E9885" s="7" t="s">
        <v>29</v>
      </c>
      <c r="F9885" s="7" t="s">
        <v>124</v>
      </c>
      <c r="G9885" s="7">
        <v>101.9051</v>
      </c>
      <c r="H9885" s="7"/>
    </row>
    <row r="9886" spans="1:8" x14ac:dyDescent="0.35">
      <c r="A9886" s="7" t="s">
        <v>380</v>
      </c>
      <c r="B9886" s="7" t="s">
        <v>26</v>
      </c>
      <c r="C9886" s="7" t="s">
        <v>27</v>
      </c>
      <c r="D9886" s="7" t="s">
        <v>28</v>
      </c>
      <c r="E9886" s="7" t="s">
        <v>29</v>
      </c>
      <c r="F9886" s="7" t="s">
        <v>125</v>
      </c>
      <c r="G9886" s="7">
        <v>101.9759</v>
      </c>
      <c r="H9886" s="7"/>
    </row>
    <row r="9887" spans="1:8" x14ac:dyDescent="0.35">
      <c r="A9887" s="7" t="s">
        <v>380</v>
      </c>
      <c r="B9887" s="7" t="s">
        <v>26</v>
      </c>
      <c r="C9887" s="7" t="s">
        <v>27</v>
      </c>
      <c r="D9887" s="7" t="s">
        <v>28</v>
      </c>
      <c r="E9887" s="7" t="s">
        <v>29</v>
      </c>
      <c r="F9887" s="7" t="s">
        <v>126</v>
      </c>
      <c r="G9887" s="7">
        <v>101.93259999999999</v>
      </c>
      <c r="H9887" s="7"/>
    </row>
    <row r="9888" spans="1:8" x14ac:dyDescent="0.35">
      <c r="A9888" s="7" t="s">
        <v>380</v>
      </c>
      <c r="B9888" s="7" t="s">
        <v>26</v>
      </c>
      <c r="C9888" s="7" t="s">
        <v>27</v>
      </c>
      <c r="D9888" s="7" t="s">
        <v>28</v>
      </c>
      <c r="E9888" s="7" t="s">
        <v>29</v>
      </c>
      <c r="F9888" s="7" t="s">
        <v>127</v>
      </c>
      <c r="G9888" s="7">
        <v>101.73909999999999</v>
      </c>
      <c r="H9888" s="7"/>
    </row>
    <row r="9889" spans="1:8" x14ac:dyDescent="0.35">
      <c r="A9889" s="7" t="s">
        <v>380</v>
      </c>
      <c r="B9889" s="7" t="s">
        <v>26</v>
      </c>
      <c r="C9889" s="7" t="s">
        <v>27</v>
      </c>
      <c r="D9889" s="7" t="s">
        <v>28</v>
      </c>
      <c r="E9889" s="7" t="s">
        <v>29</v>
      </c>
      <c r="F9889" s="7" t="s">
        <v>128</v>
      </c>
      <c r="G9889" s="7">
        <v>101.43510000000001</v>
      </c>
      <c r="H9889" s="7"/>
    </row>
    <row r="9890" spans="1:8" x14ac:dyDescent="0.35">
      <c r="A9890" s="7" t="s">
        <v>380</v>
      </c>
      <c r="B9890" s="7" t="s">
        <v>26</v>
      </c>
      <c r="C9890" s="7" t="s">
        <v>27</v>
      </c>
      <c r="D9890" s="7" t="s">
        <v>28</v>
      </c>
      <c r="E9890" s="7" t="s">
        <v>29</v>
      </c>
      <c r="F9890" s="7" t="s">
        <v>129</v>
      </c>
      <c r="G9890" s="7">
        <v>101.1908</v>
      </c>
      <c r="H9890" s="7"/>
    </row>
    <row r="9891" spans="1:8" x14ac:dyDescent="0.35">
      <c r="A9891" s="7" t="s">
        <v>380</v>
      </c>
      <c r="B9891" s="7" t="s">
        <v>26</v>
      </c>
      <c r="C9891" s="7" t="s">
        <v>27</v>
      </c>
      <c r="D9891" s="7" t="s">
        <v>28</v>
      </c>
      <c r="E9891" s="7" t="s">
        <v>29</v>
      </c>
      <c r="F9891" s="7" t="s">
        <v>130</v>
      </c>
      <c r="G9891" s="7">
        <v>100.96769999999999</v>
      </c>
      <c r="H9891" s="7"/>
    </row>
    <row r="9892" spans="1:8" x14ac:dyDescent="0.35">
      <c r="A9892" s="7" t="s">
        <v>380</v>
      </c>
      <c r="B9892" s="7" t="s">
        <v>26</v>
      </c>
      <c r="C9892" s="7" t="s">
        <v>27</v>
      </c>
      <c r="D9892" s="7" t="s">
        <v>28</v>
      </c>
      <c r="E9892" s="7" t="s">
        <v>29</v>
      </c>
      <c r="F9892" s="7" t="s">
        <v>131</v>
      </c>
      <c r="G9892" s="7">
        <v>100.7801</v>
      </c>
      <c r="H9892" s="7"/>
    </row>
    <row r="9893" spans="1:8" x14ac:dyDescent="0.35">
      <c r="A9893" s="7" t="s">
        <v>380</v>
      </c>
      <c r="B9893" s="7" t="s">
        <v>26</v>
      </c>
      <c r="C9893" s="7" t="s">
        <v>27</v>
      </c>
      <c r="D9893" s="7" t="s">
        <v>28</v>
      </c>
      <c r="E9893" s="7" t="s">
        <v>29</v>
      </c>
      <c r="F9893" s="7" t="s">
        <v>132</v>
      </c>
      <c r="G9893" s="7">
        <v>100.62260000000001</v>
      </c>
      <c r="H9893" s="7"/>
    </row>
    <row r="9894" spans="1:8" x14ac:dyDescent="0.35">
      <c r="A9894" s="7" t="s">
        <v>380</v>
      </c>
      <c r="B9894" s="7" t="s">
        <v>26</v>
      </c>
      <c r="C9894" s="7" t="s">
        <v>27</v>
      </c>
      <c r="D9894" s="7" t="s">
        <v>28</v>
      </c>
      <c r="E9894" s="7" t="s">
        <v>29</v>
      </c>
      <c r="F9894" s="7" t="s">
        <v>133</v>
      </c>
      <c r="G9894" s="7">
        <v>100.6058</v>
      </c>
      <c r="H9894" s="7"/>
    </row>
    <row r="9895" spans="1:8" x14ac:dyDescent="0.35">
      <c r="A9895" s="7" t="s">
        <v>380</v>
      </c>
      <c r="B9895" s="7" t="s">
        <v>26</v>
      </c>
      <c r="C9895" s="7" t="s">
        <v>27</v>
      </c>
      <c r="D9895" s="7" t="s">
        <v>28</v>
      </c>
      <c r="E9895" s="7" t="s">
        <v>29</v>
      </c>
      <c r="F9895" s="7" t="s">
        <v>134</v>
      </c>
      <c r="G9895" s="7">
        <v>100.5224</v>
      </c>
      <c r="H9895" s="7"/>
    </row>
    <row r="9896" spans="1:8" x14ac:dyDescent="0.35">
      <c r="A9896" s="7" t="s">
        <v>380</v>
      </c>
      <c r="B9896" s="7" t="s">
        <v>26</v>
      </c>
      <c r="C9896" s="7" t="s">
        <v>27</v>
      </c>
      <c r="D9896" s="7" t="s">
        <v>28</v>
      </c>
      <c r="E9896" s="7" t="s">
        <v>29</v>
      </c>
      <c r="F9896" s="7" t="s">
        <v>135</v>
      </c>
      <c r="G9896" s="7">
        <v>100.0556</v>
      </c>
      <c r="H9896" s="7"/>
    </row>
    <row r="9897" spans="1:8" x14ac:dyDescent="0.35">
      <c r="A9897" s="7" t="s">
        <v>380</v>
      </c>
      <c r="B9897" s="7" t="s">
        <v>26</v>
      </c>
      <c r="C9897" s="7" t="s">
        <v>27</v>
      </c>
      <c r="D9897" s="7" t="s">
        <v>28</v>
      </c>
      <c r="E9897" s="7" t="s">
        <v>29</v>
      </c>
      <c r="F9897" s="7" t="s">
        <v>136</v>
      </c>
      <c r="G9897" s="7">
        <v>99.053269999999998</v>
      </c>
      <c r="H9897" s="7"/>
    </row>
    <row r="9898" spans="1:8" x14ac:dyDescent="0.35">
      <c r="A9898" s="7" t="s">
        <v>380</v>
      </c>
      <c r="B9898" s="7" t="s">
        <v>26</v>
      </c>
      <c r="C9898" s="7" t="s">
        <v>27</v>
      </c>
      <c r="D9898" s="7" t="s">
        <v>28</v>
      </c>
      <c r="E9898" s="7" t="s">
        <v>29</v>
      </c>
      <c r="F9898" s="7" t="s">
        <v>137</v>
      </c>
      <c r="G9898" s="7">
        <v>98.151529999999994</v>
      </c>
      <c r="H9898" s="7"/>
    </row>
    <row r="9899" spans="1:8" x14ac:dyDescent="0.35">
      <c r="A9899" s="7" t="s">
        <v>380</v>
      </c>
      <c r="B9899" s="7" t="s">
        <v>26</v>
      </c>
      <c r="C9899" s="7" t="s">
        <v>27</v>
      </c>
      <c r="D9899" s="7" t="s">
        <v>28</v>
      </c>
      <c r="E9899" s="7" t="s">
        <v>29</v>
      </c>
      <c r="F9899" s="7" t="s">
        <v>138</v>
      </c>
      <c r="G9899" s="7">
        <v>97.377870000000001</v>
      </c>
      <c r="H9899" s="7"/>
    </row>
    <row r="9900" spans="1:8" x14ac:dyDescent="0.35">
      <c r="A9900" s="7" t="s">
        <v>380</v>
      </c>
      <c r="B9900" s="7" t="s">
        <v>26</v>
      </c>
      <c r="C9900" s="7" t="s">
        <v>27</v>
      </c>
      <c r="D9900" s="7" t="s">
        <v>28</v>
      </c>
      <c r="E9900" s="7" t="s">
        <v>29</v>
      </c>
      <c r="F9900" s="7" t="s">
        <v>139</v>
      </c>
      <c r="G9900" s="7">
        <v>97.191890000000001</v>
      </c>
      <c r="H9900" s="7"/>
    </row>
    <row r="9901" spans="1:8" x14ac:dyDescent="0.35">
      <c r="A9901" s="7" t="s">
        <v>380</v>
      </c>
      <c r="B9901" s="7" t="s">
        <v>26</v>
      </c>
      <c r="C9901" s="7" t="s">
        <v>27</v>
      </c>
      <c r="D9901" s="7" t="s">
        <v>28</v>
      </c>
      <c r="E9901" s="7" t="s">
        <v>29</v>
      </c>
      <c r="F9901" s="7" t="s">
        <v>140</v>
      </c>
      <c r="G9901" s="7">
        <v>97.60736</v>
      </c>
      <c r="H9901" s="7"/>
    </row>
    <row r="9902" spans="1:8" x14ac:dyDescent="0.35">
      <c r="A9902" s="7" t="s">
        <v>380</v>
      </c>
      <c r="B9902" s="7" t="s">
        <v>26</v>
      </c>
      <c r="C9902" s="7" t="s">
        <v>27</v>
      </c>
      <c r="D9902" s="7" t="s">
        <v>28</v>
      </c>
      <c r="E9902" s="7" t="s">
        <v>29</v>
      </c>
      <c r="F9902" s="7" t="s">
        <v>141</v>
      </c>
      <c r="G9902" s="7">
        <v>98.186989999999994</v>
      </c>
      <c r="H9902" s="7"/>
    </row>
    <row r="9903" spans="1:8" x14ac:dyDescent="0.35">
      <c r="A9903" s="7" t="s">
        <v>380</v>
      </c>
      <c r="B9903" s="7" t="s">
        <v>26</v>
      </c>
      <c r="C9903" s="7" t="s">
        <v>27</v>
      </c>
      <c r="D9903" s="7" t="s">
        <v>28</v>
      </c>
      <c r="E9903" s="7" t="s">
        <v>29</v>
      </c>
      <c r="F9903" s="7" t="s">
        <v>142</v>
      </c>
      <c r="G9903" s="7">
        <v>98.739590000000007</v>
      </c>
      <c r="H9903" s="7"/>
    </row>
    <row r="9904" spans="1:8" x14ac:dyDescent="0.35">
      <c r="A9904" s="7" t="s">
        <v>380</v>
      </c>
      <c r="B9904" s="7" t="s">
        <v>26</v>
      </c>
      <c r="C9904" s="7" t="s">
        <v>27</v>
      </c>
      <c r="D9904" s="7" t="s">
        <v>28</v>
      </c>
      <c r="E9904" s="7" t="s">
        <v>29</v>
      </c>
      <c r="F9904" s="7" t="s">
        <v>143</v>
      </c>
      <c r="G9904" s="7">
        <v>99.227260000000001</v>
      </c>
      <c r="H9904" s="7"/>
    </row>
    <row r="9905" spans="1:8" x14ac:dyDescent="0.35">
      <c r="A9905" s="7" t="s">
        <v>380</v>
      </c>
      <c r="B9905" s="7" t="s">
        <v>26</v>
      </c>
      <c r="C9905" s="7" t="s">
        <v>27</v>
      </c>
      <c r="D9905" s="7" t="s">
        <v>28</v>
      </c>
      <c r="E9905" s="7" t="s">
        <v>29</v>
      </c>
      <c r="F9905" s="7" t="s">
        <v>144</v>
      </c>
      <c r="G9905" s="7">
        <v>99.682239999999993</v>
      </c>
      <c r="H9905" s="7"/>
    </row>
    <row r="9906" spans="1:8" x14ac:dyDescent="0.35">
      <c r="A9906" s="7" t="s">
        <v>380</v>
      </c>
      <c r="B9906" s="7" t="s">
        <v>26</v>
      </c>
      <c r="C9906" s="7" t="s">
        <v>27</v>
      </c>
      <c r="D9906" s="7" t="s">
        <v>28</v>
      </c>
      <c r="E9906" s="7" t="s">
        <v>29</v>
      </c>
      <c r="F9906" s="7" t="s">
        <v>145</v>
      </c>
      <c r="G9906" s="7">
        <v>99.927760000000006</v>
      </c>
      <c r="H9906" s="7"/>
    </row>
    <row r="9907" spans="1:8" x14ac:dyDescent="0.35">
      <c r="A9907" s="7" t="s">
        <v>380</v>
      </c>
      <c r="B9907" s="7" t="s">
        <v>26</v>
      </c>
      <c r="C9907" s="7" t="s">
        <v>27</v>
      </c>
      <c r="D9907" s="7" t="s">
        <v>28</v>
      </c>
      <c r="E9907" s="7" t="s">
        <v>29</v>
      </c>
      <c r="F9907" s="7" t="s">
        <v>146</v>
      </c>
      <c r="G9907" s="7">
        <v>99.888109999999998</v>
      </c>
      <c r="H9907" s="7"/>
    </row>
    <row r="9908" spans="1:8" x14ac:dyDescent="0.35">
      <c r="A9908" s="7" t="s">
        <v>380</v>
      </c>
      <c r="B9908" s="7" t="s">
        <v>26</v>
      </c>
      <c r="C9908" s="7" t="s">
        <v>27</v>
      </c>
      <c r="D9908" s="7" t="s">
        <v>28</v>
      </c>
      <c r="E9908" s="7" t="s">
        <v>29</v>
      </c>
      <c r="F9908" s="7" t="s">
        <v>147</v>
      </c>
      <c r="G9908" s="7">
        <v>99.621309999999994</v>
      </c>
      <c r="H9908" s="7"/>
    </row>
    <row r="9909" spans="1:8" x14ac:dyDescent="0.35">
      <c r="A9909" s="7" t="s">
        <v>380</v>
      </c>
      <c r="B9909" s="7" t="s">
        <v>26</v>
      </c>
      <c r="C9909" s="7" t="s">
        <v>27</v>
      </c>
      <c r="D9909" s="7" t="s">
        <v>28</v>
      </c>
      <c r="E9909" s="7" t="s">
        <v>29</v>
      </c>
      <c r="F9909" s="7" t="s">
        <v>148</v>
      </c>
      <c r="G9909" s="7">
        <v>99.254339999999999</v>
      </c>
      <c r="H9909" s="7"/>
    </row>
    <row r="9910" spans="1:8" x14ac:dyDescent="0.35">
      <c r="A9910" s="7" t="s">
        <v>380</v>
      </c>
      <c r="B9910" s="7" t="s">
        <v>26</v>
      </c>
      <c r="C9910" s="7" t="s">
        <v>27</v>
      </c>
      <c r="D9910" s="7" t="s">
        <v>28</v>
      </c>
      <c r="E9910" s="7" t="s">
        <v>29</v>
      </c>
      <c r="F9910" s="7" t="s">
        <v>149</v>
      </c>
      <c r="G9910" s="7">
        <v>99.337010000000006</v>
      </c>
      <c r="H9910" s="7"/>
    </row>
    <row r="9911" spans="1:8" x14ac:dyDescent="0.35">
      <c r="A9911" s="7" t="s">
        <v>380</v>
      </c>
      <c r="B9911" s="7" t="s">
        <v>26</v>
      </c>
      <c r="C9911" s="7" t="s">
        <v>27</v>
      </c>
      <c r="D9911" s="7" t="s">
        <v>28</v>
      </c>
      <c r="E9911" s="7" t="s">
        <v>29</v>
      </c>
      <c r="F9911" s="7" t="s">
        <v>150</v>
      </c>
      <c r="G9911" s="7">
        <v>99.800560000000004</v>
      </c>
      <c r="H9911" s="7"/>
    </row>
    <row r="9912" spans="1:8" x14ac:dyDescent="0.35">
      <c r="A9912" s="7" t="s">
        <v>380</v>
      </c>
      <c r="B9912" s="7" t="s">
        <v>26</v>
      </c>
      <c r="C9912" s="7" t="s">
        <v>27</v>
      </c>
      <c r="D9912" s="7" t="s">
        <v>28</v>
      </c>
      <c r="E9912" s="7" t="s">
        <v>29</v>
      </c>
      <c r="F9912" s="7" t="s">
        <v>151</v>
      </c>
      <c r="G9912" s="7">
        <v>100.414</v>
      </c>
      <c r="H9912" s="7"/>
    </row>
    <row r="9913" spans="1:8" x14ac:dyDescent="0.35">
      <c r="A9913" s="7" t="s">
        <v>380</v>
      </c>
      <c r="B9913" s="7" t="s">
        <v>26</v>
      </c>
      <c r="C9913" s="7" t="s">
        <v>27</v>
      </c>
      <c r="D9913" s="7" t="s">
        <v>28</v>
      </c>
      <c r="E9913" s="7" t="s">
        <v>29</v>
      </c>
      <c r="F9913" s="7" t="s">
        <v>152</v>
      </c>
      <c r="G9913" s="7">
        <v>100.9813</v>
      </c>
      <c r="H9913" s="7"/>
    </row>
    <row r="9914" spans="1:8" x14ac:dyDescent="0.35">
      <c r="A9914" s="7" t="s">
        <v>380</v>
      </c>
      <c r="B9914" s="7" t="s">
        <v>26</v>
      </c>
      <c r="C9914" s="7" t="s">
        <v>27</v>
      </c>
      <c r="D9914" s="7" t="s">
        <v>28</v>
      </c>
      <c r="E9914" s="7" t="s">
        <v>29</v>
      </c>
      <c r="F9914" s="7" t="s">
        <v>153</v>
      </c>
      <c r="G9914" s="7">
        <v>101.38849999999999</v>
      </c>
      <c r="H9914" s="7"/>
    </row>
    <row r="9915" spans="1:8" x14ac:dyDescent="0.35">
      <c r="A9915" s="7" t="s">
        <v>380</v>
      </c>
      <c r="B9915" s="7" t="s">
        <v>26</v>
      </c>
      <c r="C9915" s="7" t="s">
        <v>27</v>
      </c>
      <c r="D9915" s="7" t="s">
        <v>28</v>
      </c>
      <c r="E9915" s="7" t="s">
        <v>29</v>
      </c>
      <c r="F9915" s="7" t="s">
        <v>154</v>
      </c>
      <c r="G9915" s="7">
        <v>101.62730000000001</v>
      </c>
      <c r="H9915" s="7"/>
    </row>
    <row r="9916" spans="1:8" x14ac:dyDescent="0.35">
      <c r="A9916" s="7" t="s">
        <v>380</v>
      </c>
      <c r="B9916" s="7" t="s">
        <v>26</v>
      </c>
      <c r="C9916" s="7" t="s">
        <v>27</v>
      </c>
      <c r="D9916" s="7" t="s">
        <v>28</v>
      </c>
      <c r="E9916" s="7" t="s">
        <v>29</v>
      </c>
      <c r="F9916" s="7" t="s">
        <v>155</v>
      </c>
      <c r="G9916" s="7">
        <v>101.68380000000001</v>
      </c>
      <c r="H9916" s="7"/>
    </row>
    <row r="9917" spans="1:8" x14ac:dyDescent="0.35">
      <c r="A9917" s="7" t="s">
        <v>380</v>
      </c>
      <c r="B9917" s="7" t="s">
        <v>26</v>
      </c>
      <c r="C9917" s="7" t="s">
        <v>27</v>
      </c>
      <c r="D9917" s="7" t="s">
        <v>28</v>
      </c>
      <c r="E9917" s="7" t="s">
        <v>29</v>
      </c>
      <c r="F9917" s="7" t="s">
        <v>156</v>
      </c>
      <c r="G9917" s="7">
        <v>101.76900000000001</v>
      </c>
      <c r="H9917" s="7"/>
    </row>
    <row r="9918" spans="1:8" x14ac:dyDescent="0.35">
      <c r="A9918" s="7" t="s">
        <v>380</v>
      </c>
      <c r="B9918" s="7" t="s">
        <v>26</v>
      </c>
      <c r="C9918" s="7" t="s">
        <v>27</v>
      </c>
      <c r="D9918" s="7" t="s">
        <v>28</v>
      </c>
      <c r="E9918" s="7" t="s">
        <v>29</v>
      </c>
      <c r="F9918" s="7" t="s">
        <v>157</v>
      </c>
      <c r="G9918" s="7">
        <v>101.8798</v>
      </c>
      <c r="H9918" s="7"/>
    </row>
    <row r="9919" spans="1:8" x14ac:dyDescent="0.35">
      <c r="A9919" s="7" t="s">
        <v>380</v>
      </c>
      <c r="B9919" s="7" t="s">
        <v>26</v>
      </c>
      <c r="C9919" s="7" t="s">
        <v>27</v>
      </c>
      <c r="D9919" s="7" t="s">
        <v>28</v>
      </c>
      <c r="E9919" s="7" t="s">
        <v>29</v>
      </c>
      <c r="F9919" s="7" t="s">
        <v>158</v>
      </c>
      <c r="G9919" s="7">
        <v>101.78319999999999</v>
      </c>
      <c r="H9919" s="7"/>
    </row>
    <row r="9920" spans="1:8" x14ac:dyDescent="0.35">
      <c r="A9920" s="7" t="s">
        <v>380</v>
      </c>
      <c r="B9920" s="7" t="s">
        <v>26</v>
      </c>
      <c r="C9920" s="7" t="s">
        <v>27</v>
      </c>
      <c r="D9920" s="7" t="s">
        <v>28</v>
      </c>
      <c r="E9920" s="7" t="s">
        <v>29</v>
      </c>
      <c r="F9920" s="7" t="s">
        <v>159</v>
      </c>
      <c r="G9920" s="7">
        <v>101.44450000000001</v>
      </c>
      <c r="H9920" s="7"/>
    </row>
    <row r="9921" spans="1:8" x14ac:dyDescent="0.35">
      <c r="A9921" s="7" t="s">
        <v>380</v>
      </c>
      <c r="B9921" s="7" t="s">
        <v>26</v>
      </c>
      <c r="C9921" s="7" t="s">
        <v>27</v>
      </c>
      <c r="D9921" s="7" t="s">
        <v>28</v>
      </c>
      <c r="E9921" s="7" t="s">
        <v>29</v>
      </c>
      <c r="F9921" s="7" t="s">
        <v>160</v>
      </c>
      <c r="G9921" s="7">
        <v>100.8459</v>
      </c>
      <c r="H9921" s="7"/>
    </row>
    <row r="9922" spans="1:8" x14ac:dyDescent="0.35">
      <c r="A9922" s="7" t="s">
        <v>380</v>
      </c>
      <c r="B9922" s="7" t="s">
        <v>26</v>
      </c>
      <c r="C9922" s="7" t="s">
        <v>27</v>
      </c>
      <c r="D9922" s="7" t="s">
        <v>28</v>
      </c>
      <c r="E9922" s="7" t="s">
        <v>29</v>
      </c>
      <c r="F9922" s="7" t="s">
        <v>161</v>
      </c>
      <c r="G9922" s="7">
        <v>100.09910000000001</v>
      </c>
      <c r="H9922" s="7"/>
    </row>
    <row r="9923" spans="1:8" x14ac:dyDescent="0.35">
      <c r="A9923" s="7" t="s">
        <v>380</v>
      </c>
      <c r="B9923" s="7" t="s">
        <v>26</v>
      </c>
      <c r="C9923" s="7" t="s">
        <v>27</v>
      </c>
      <c r="D9923" s="7" t="s">
        <v>28</v>
      </c>
      <c r="E9923" s="7" t="s">
        <v>29</v>
      </c>
      <c r="F9923" s="7" t="s">
        <v>162</v>
      </c>
      <c r="G9923" s="7">
        <v>99.487539999999996</v>
      </c>
      <c r="H9923" s="7"/>
    </row>
    <row r="9924" spans="1:8" x14ac:dyDescent="0.35">
      <c r="A9924" s="7" t="s">
        <v>380</v>
      </c>
      <c r="B9924" s="7" t="s">
        <v>26</v>
      </c>
      <c r="C9924" s="7" t="s">
        <v>27</v>
      </c>
      <c r="D9924" s="7" t="s">
        <v>28</v>
      </c>
      <c r="E9924" s="7" t="s">
        <v>29</v>
      </c>
      <c r="F9924" s="7" t="s">
        <v>163</v>
      </c>
      <c r="G9924" s="7">
        <v>99.187550000000002</v>
      </c>
      <c r="H9924" s="7"/>
    </row>
    <row r="9925" spans="1:8" x14ac:dyDescent="0.35">
      <c r="A9925" s="7" t="s">
        <v>380</v>
      </c>
      <c r="B9925" s="7" t="s">
        <v>26</v>
      </c>
      <c r="C9925" s="7" t="s">
        <v>27</v>
      </c>
      <c r="D9925" s="7" t="s">
        <v>28</v>
      </c>
      <c r="E9925" s="7" t="s">
        <v>29</v>
      </c>
      <c r="F9925" s="7" t="s">
        <v>164</v>
      </c>
      <c r="G9925" s="7">
        <v>98.975719999999995</v>
      </c>
      <c r="H9925" s="7"/>
    </row>
    <row r="9926" spans="1:8" x14ac:dyDescent="0.35">
      <c r="A9926" s="7" t="s">
        <v>380</v>
      </c>
      <c r="B9926" s="7" t="s">
        <v>26</v>
      </c>
      <c r="C9926" s="7" t="s">
        <v>27</v>
      </c>
      <c r="D9926" s="7" t="s">
        <v>28</v>
      </c>
      <c r="E9926" s="7" t="s">
        <v>29</v>
      </c>
      <c r="F9926" s="7" t="s">
        <v>165</v>
      </c>
      <c r="G9926" s="7">
        <v>98.754959999999997</v>
      </c>
      <c r="H9926" s="7"/>
    </row>
    <row r="9927" spans="1:8" x14ac:dyDescent="0.35">
      <c r="A9927" s="7" t="s">
        <v>380</v>
      </c>
      <c r="B9927" s="7" t="s">
        <v>26</v>
      </c>
      <c r="C9927" s="7" t="s">
        <v>27</v>
      </c>
      <c r="D9927" s="7" t="s">
        <v>28</v>
      </c>
      <c r="E9927" s="7" t="s">
        <v>29</v>
      </c>
      <c r="F9927" s="7" t="s">
        <v>166</v>
      </c>
      <c r="G9927" s="7">
        <v>98.505560000000003</v>
      </c>
      <c r="H9927" s="7"/>
    </row>
    <row r="9928" spans="1:8" x14ac:dyDescent="0.35">
      <c r="A9928" s="7" t="s">
        <v>380</v>
      </c>
      <c r="B9928" s="7" t="s">
        <v>26</v>
      </c>
      <c r="C9928" s="7" t="s">
        <v>27</v>
      </c>
      <c r="D9928" s="7" t="s">
        <v>28</v>
      </c>
      <c r="E9928" s="7" t="s">
        <v>29</v>
      </c>
      <c r="F9928" s="7" t="s">
        <v>167</v>
      </c>
      <c r="G9928" s="7">
        <v>98.523319999999998</v>
      </c>
      <c r="H9928" s="7"/>
    </row>
    <row r="9929" spans="1:8" x14ac:dyDescent="0.35">
      <c r="A9929" s="7" t="s">
        <v>380</v>
      </c>
      <c r="B9929" s="7" t="s">
        <v>26</v>
      </c>
      <c r="C9929" s="7" t="s">
        <v>27</v>
      </c>
      <c r="D9929" s="7" t="s">
        <v>28</v>
      </c>
      <c r="E9929" s="7" t="s">
        <v>29</v>
      </c>
      <c r="F9929" s="7" t="s">
        <v>168</v>
      </c>
      <c r="G9929" s="7">
        <v>98.59102</v>
      </c>
      <c r="H9929" s="7"/>
    </row>
    <row r="9930" spans="1:8" x14ac:dyDescent="0.35">
      <c r="A9930" s="7" t="s">
        <v>380</v>
      </c>
      <c r="B9930" s="7" t="s">
        <v>26</v>
      </c>
      <c r="C9930" s="7" t="s">
        <v>27</v>
      </c>
      <c r="D9930" s="7" t="s">
        <v>28</v>
      </c>
      <c r="E9930" s="7" t="s">
        <v>29</v>
      </c>
      <c r="F9930" s="7" t="s">
        <v>169</v>
      </c>
      <c r="G9930" s="7">
        <v>98.586600000000004</v>
      </c>
      <c r="H9930" s="7"/>
    </row>
    <row r="9931" spans="1:8" x14ac:dyDescent="0.35">
      <c r="A9931" s="7" t="s">
        <v>380</v>
      </c>
      <c r="B9931" s="7" t="s">
        <v>26</v>
      </c>
      <c r="C9931" s="7" t="s">
        <v>27</v>
      </c>
      <c r="D9931" s="7" t="s">
        <v>28</v>
      </c>
      <c r="E9931" s="7" t="s">
        <v>29</v>
      </c>
      <c r="F9931" s="7" t="s">
        <v>170</v>
      </c>
      <c r="G9931" s="7">
        <v>98.641419999999997</v>
      </c>
      <c r="H9931" s="7"/>
    </row>
    <row r="9932" spans="1:8" x14ac:dyDescent="0.35">
      <c r="A9932" s="7" t="s">
        <v>380</v>
      </c>
      <c r="B9932" s="7" t="s">
        <v>26</v>
      </c>
      <c r="C9932" s="7" t="s">
        <v>27</v>
      </c>
      <c r="D9932" s="7" t="s">
        <v>28</v>
      </c>
      <c r="E9932" s="7" t="s">
        <v>29</v>
      </c>
      <c r="F9932" s="7" t="s">
        <v>171</v>
      </c>
      <c r="G9932" s="7">
        <v>98.744820000000004</v>
      </c>
      <c r="H9932" s="7"/>
    </row>
    <row r="9933" spans="1:8" x14ac:dyDescent="0.35">
      <c r="A9933" s="7" t="s">
        <v>380</v>
      </c>
      <c r="B9933" s="7" t="s">
        <v>26</v>
      </c>
      <c r="C9933" s="7" t="s">
        <v>27</v>
      </c>
      <c r="D9933" s="7" t="s">
        <v>28</v>
      </c>
      <c r="E9933" s="7" t="s">
        <v>29</v>
      </c>
      <c r="F9933" s="7" t="s">
        <v>172</v>
      </c>
      <c r="G9933" s="7">
        <v>98.845830000000007</v>
      </c>
      <c r="H9933" s="7"/>
    </row>
    <row r="9934" spans="1:8" x14ac:dyDescent="0.35">
      <c r="A9934" s="7" t="s">
        <v>380</v>
      </c>
      <c r="B9934" s="7" t="s">
        <v>26</v>
      </c>
      <c r="C9934" s="7" t="s">
        <v>27</v>
      </c>
      <c r="D9934" s="7" t="s">
        <v>28</v>
      </c>
      <c r="E9934" s="7" t="s">
        <v>29</v>
      </c>
      <c r="F9934" s="7" t="s">
        <v>173</v>
      </c>
      <c r="G9934" s="7">
        <v>99.097369999999998</v>
      </c>
      <c r="H9934" s="7"/>
    </row>
    <row r="9935" spans="1:8" x14ac:dyDescent="0.35">
      <c r="A9935" s="7" t="s">
        <v>380</v>
      </c>
      <c r="B9935" s="7" t="s">
        <v>26</v>
      </c>
      <c r="C9935" s="7" t="s">
        <v>27</v>
      </c>
      <c r="D9935" s="7" t="s">
        <v>28</v>
      </c>
      <c r="E9935" s="7" t="s">
        <v>29</v>
      </c>
      <c r="F9935" s="7" t="s">
        <v>174</v>
      </c>
      <c r="G9935" s="7">
        <v>99.390249999999995</v>
      </c>
      <c r="H9935" s="7"/>
    </row>
    <row r="9936" spans="1:8" x14ac:dyDescent="0.35">
      <c r="A9936" s="7" t="s">
        <v>380</v>
      </c>
      <c r="B9936" s="7" t="s">
        <v>26</v>
      </c>
      <c r="C9936" s="7" t="s">
        <v>27</v>
      </c>
      <c r="D9936" s="7" t="s">
        <v>28</v>
      </c>
      <c r="E9936" s="7" t="s">
        <v>29</v>
      </c>
      <c r="F9936" s="7" t="s">
        <v>175</v>
      </c>
      <c r="G9936" s="7">
        <v>99.536230000000003</v>
      </c>
      <c r="H9936" s="7"/>
    </row>
    <row r="9937" spans="1:8" x14ac:dyDescent="0.35">
      <c r="A9937" s="7" t="s">
        <v>380</v>
      </c>
      <c r="B9937" s="7" t="s">
        <v>26</v>
      </c>
      <c r="C9937" s="7" t="s">
        <v>27</v>
      </c>
      <c r="D9937" s="7" t="s">
        <v>28</v>
      </c>
      <c r="E9937" s="7" t="s">
        <v>29</v>
      </c>
      <c r="F9937" s="7" t="s">
        <v>176</v>
      </c>
      <c r="G9937" s="7">
        <v>99.496690000000001</v>
      </c>
      <c r="H9937" s="7"/>
    </row>
    <row r="9938" spans="1:8" x14ac:dyDescent="0.35">
      <c r="A9938" s="7" t="s">
        <v>380</v>
      </c>
      <c r="B9938" s="7" t="s">
        <v>26</v>
      </c>
      <c r="C9938" s="7" t="s">
        <v>27</v>
      </c>
      <c r="D9938" s="7" t="s">
        <v>28</v>
      </c>
      <c r="E9938" s="7" t="s">
        <v>29</v>
      </c>
      <c r="F9938" s="7" t="s">
        <v>177</v>
      </c>
      <c r="G9938" s="7">
        <v>99.358350000000002</v>
      </c>
      <c r="H9938" s="7"/>
    </row>
    <row r="9939" spans="1:8" x14ac:dyDescent="0.35">
      <c r="A9939" s="7" t="s">
        <v>380</v>
      </c>
      <c r="B9939" s="7" t="s">
        <v>26</v>
      </c>
      <c r="C9939" s="7" t="s">
        <v>27</v>
      </c>
      <c r="D9939" s="7" t="s">
        <v>28</v>
      </c>
      <c r="E9939" s="7" t="s">
        <v>29</v>
      </c>
      <c r="F9939" s="7" t="s">
        <v>178</v>
      </c>
      <c r="G9939" s="7">
        <v>99.268519999999995</v>
      </c>
      <c r="H9939" s="7"/>
    </row>
    <row r="9940" spans="1:8" x14ac:dyDescent="0.35">
      <c r="A9940" s="7" t="s">
        <v>380</v>
      </c>
      <c r="B9940" s="7" t="s">
        <v>26</v>
      </c>
      <c r="C9940" s="7" t="s">
        <v>27</v>
      </c>
      <c r="D9940" s="7" t="s">
        <v>28</v>
      </c>
      <c r="E9940" s="7" t="s">
        <v>29</v>
      </c>
      <c r="F9940" s="7" t="s">
        <v>179</v>
      </c>
      <c r="G9940" s="7">
        <v>99.277850000000001</v>
      </c>
      <c r="H9940" s="7"/>
    </row>
    <row r="9941" spans="1:8" x14ac:dyDescent="0.35">
      <c r="A9941" s="7" t="s">
        <v>380</v>
      </c>
      <c r="B9941" s="7" t="s">
        <v>26</v>
      </c>
      <c r="C9941" s="7" t="s">
        <v>27</v>
      </c>
      <c r="D9941" s="7" t="s">
        <v>28</v>
      </c>
      <c r="E9941" s="7" t="s">
        <v>29</v>
      </c>
      <c r="F9941" s="7" t="s">
        <v>180</v>
      </c>
      <c r="G9941" s="7">
        <v>99.030349999999999</v>
      </c>
      <c r="H9941" s="7"/>
    </row>
    <row r="9942" spans="1:8" x14ac:dyDescent="0.35">
      <c r="A9942" s="7" t="s">
        <v>380</v>
      </c>
      <c r="B9942" s="7" t="s">
        <v>26</v>
      </c>
      <c r="C9942" s="7" t="s">
        <v>27</v>
      </c>
      <c r="D9942" s="7" t="s">
        <v>28</v>
      </c>
      <c r="E9942" s="7" t="s">
        <v>29</v>
      </c>
      <c r="F9942" s="7" t="s">
        <v>181</v>
      </c>
      <c r="G9942" s="7">
        <v>98.692819999999998</v>
      </c>
      <c r="H9942" s="7"/>
    </row>
    <row r="9943" spans="1:8" x14ac:dyDescent="0.35">
      <c r="A9943" s="7" t="s">
        <v>380</v>
      </c>
      <c r="B9943" s="7" t="s">
        <v>26</v>
      </c>
      <c r="C9943" s="7" t="s">
        <v>27</v>
      </c>
      <c r="D9943" s="7" t="s">
        <v>28</v>
      </c>
      <c r="E9943" s="7" t="s">
        <v>29</v>
      </c>
      <c r="F9943" s="7" t="s">
        <v>182</v>
      </c>
      <c r="G9943" s="7">
        <v>98.385249999999999</v>
      </c>
      <c r="H9943" s="7"/>
    </row>
    <row r="9944" spans="1:8" x14ac:dyDescent="0.35">
      <c r="A9944" s="7" t="s">
        <v>380</v>
      </c>
      <c r="B9944" s="7" t="s">
        <v>26</v>
      </c>
      <c r="C9944" s="7" t="s">
        <v>27</v>
      </c>
      <c r="D9944" s="7" t="s">
        <v>28</v>
      </c>
      <c r="E9944" s="7" t="s">
        <v>29</v>
      </c>
      <c r="F9944" s="7" t="s">
        <v>183</v>
      </c>
      <c r="G9944" s="7">
        <v>98.188029999999998</v>
      </c>
      <c r="H9944" s="7"/>
    </row>
    <row r="9945" spans="1:8" x14ac:dyDescent="0.35">
      <c r="A9945" s="7" t="s">
        <v>380</v>
      </c>
      <c r="B9945" s="7" t="s">
        <v>26</v>
      </c>
      <c r="C9945" s="7" t="s">
        <v>27</v>
      </c>
      <c r="D9945" s="7" t="s">
        <v>28</v>
      </c>
      <c r="E9945" s="7" t="s">
        <v>29</v>
      </c>
      <c r="F9945" s="7" t="s">
        <v>184</v>
      </c>
      <c r="G9945" s="7">
        <v>98.119190000000003</v>
      </c>
      <c r="H9945" s="7"/>
    </row>
    <row r="9946" spans="1:8" x14ac:dyDescent="0.35">
      <c r="A9946" s="7" t="s">
        <v>380</v>
      </c>
      <c r="B9946" s="7" t="s">
        <v>26</v>
      </c>
      <c r="C9946" s="7" t="s">
        <v>27</v>
      </c>
      <c r="D9946" s="7" t="s">
        <v>28</v>
      </c>
      <c r="E9946" s="7" t="s">
        <v>29</v>
      </c>
      <c r="F9946" s="7" t="s">
        <v>185</v>
      </c>
      <c r="G9946" s="7">
        <v>98.036100000000005</v>
      </c>
      <c r="H9946" s="7"/>
    </row>
    <row r="9947" spans="1:8" x14ac:dyDescent="0.35">
      <c r="A9947" s="7" t="s">
        <v>380</v>
      </c>
      <c r="B9947" s="7" t="s">
        <v>26</v>
      </c>
      <c r="C9947" s="7" t="s">
        <v>27</v>
      </c>
      <c r="D9947" s="7" t="s">
        <v>28</v>
      </c>
      <c r="E9947" s="7" t="s">
        <v>29</v>
      </c>
      <c r="F9947" s="7" t="s">
        <v>186</v>
      </c>
      <c r="G9947" s="7">
        <v>97.912850000000006</v>
      </c>
      <c r="H9947" s="7"/>
    </row>
    <row r="9948" spans="1:8" x14ac:dyDescent="0.35">
      <c r="A9948" s="7" t="s">
        <v>380</v>
      </c>
      <c r="B9948" s="7" t="s">
        <v>26</v>
      </c>
      <c r="C9948" s="7" t="s">
        <v>27</v>
      </c>
      <c r="D9948" s="7" t="s">
        <v>28</v>
      </c>
      <c r="E9948" s="7" t="s">
        <v>29</v>
      </c>
      <c r="F9948" s="7" t="s">
        <v>187</v>
      </c>
      <c r="G9948" s="7">
        <v>97.99297</v>
      </c>
      <c r="H9948" s="7"/>
    </row>
    <row r="9949" spans="1:8" x14ac:dyDescent="0.35">
      <c r="A9949" s="7" t="s">
        <v>380</v>
      </c>
      <c r="B9949" s="7" t="s">
        <v>26</v>
      </c>
      <c r="C9949" s="7" t="s">
        <v>27</v>
      </c>
      <c r="D9949" s="7" t="s">
        <v>28</v>
      </c>
      <c r="E9949" s="7" t="s">
        <v>29</v>
      </c>
      <c r="F9949" s="7" t="s">
        <v>188</v>
      </c>
      <c r="G9949" s="7">
        <v>98.547520000000006</v>
      </c>
      <c r="H9949" s="7"/>
    </row>
    <row r="9950" spans="1:8" x14ac:dyDescent="0.35">
      <c r="A9950" s="7" t="s">
        <v>380</v>
      </c>
      <c r="B9950" s="7" t="s">
        <v>26</v>
      </c>
      <c r="C9950" s="7" t="s">
        <v>27</v>
      </c>
      <c r="D9950" s="7" t="s">
        <v>28</v>
      </c>
      <c r="E9950" s="7" t="s">
        <v>29</v>
      </c>
      <c r="F9950" s="7" t="s">
        <v>189</v>
      </c>
      <c r="G9950" s="7">
        <v>99.429950000000005</v>
      </c>
      <c r="H9950" s="7"/>
    </row>
    <row r="9951" spans="1:8" x14ac:dyDescent="0.35">
      <c r="A9951" s="7" t="s">
        <v>380</v>
      </c>
      <c r="B9951" s="7" t="s">
        <v>26</v>
      </c>
      <c r="C9951" s="7" t="s">
        <v>27</v>
      </c>
      <c r="D9951" s="7" t="s">
        <v>28</v>
      </c>
      <c r="E9951" s="7" t="s">
        <v>29</v>
      </c>
      <c r="F9951" s="7" t="s">
        <v>190</v>
      </c>
      <c r="G9951" s="7">
        <v>100.00830000000001</v>
      </c>
      <c r="H9951" s="7"/>
    </row>
    <row r="9952" spans="1:8" x14ac:dyDescent="0.35">
      <c r="A9952" s="7" t="s">
        <v>380</v>
      </c>
      <c r="B9952" s="7" t="s">
        <v>26</v>
      </c>
      <c r="C9952" s="7" t="s">
        <v>27</v>
      </c>
      <c r="D9952" s="7" t="s">
        <v>28</v>
      </c>
      <c r="E9952" s="7" t="s">
        <v>29</v>
      </c>
      <c r="F9952" s="7" t="s">
        <v>191</v>
      </c>
      <c r="G9952" s="7">
        <v>100.0733</v>
      </c>
      <c r="H9952" s="7"/>
    </row>
    <row r="9953" spans="1:8" x14ac:dyDescent="0.35">
      <c r="A9953" s="7" t="s">
        <v>380</v>
      </c>
      <c r="B9953" s="7" t="s">
        <v>26</v>
      </c>
      <c r="C9953" s="7" t="s">
        <v>27</v>
      </c>
      <c r="D9953" s="7" t="s">
        <v>28</v>
      </c>
      <c r="E9953" s="7" t="s">
        <v>29</v>
      </c>
      <c r="F9953" s="7" t="s">
        <v>192</v>
      </c>
      <c r="G9953" s="7">
        <v>99.851730000000003</v>
      </c>
      <c r="H9953" s="7"/>
    </row>
    <row r="9954" spans="1:8" x14ac:dyDescent="0.35">
      <c r="A9954" s="7" t="s">
        <v>380</v>
      </c>
      <c r="B9954" s="7" t="s">
        <v>26</v>
      </c>
      <c r="C9954" s="7" t="s">
        <v>27</v>
      </c>
      <c r="D9954" s="7" t="s">
        <v>28</v>
      </c>
      <c r="E9954" s="7" t="s">
        <v>29</v>
      </c>
      <c r="F9954" s="7" t="s">
        <v>193</v>
      </c>
      <c r="G9954" s="7">
        <v>99.575450000000004</v>
      </c>
      <c r="H9954" s="7"/>
    </row>
    <row r="9955" spans="1:8" x14ac:dyDescent="0.35">
      <c r="A9955" s="7" t="s">
        <v>380</v>
      </c>
      <c r="B9955" s="7" t="s">
        <v>26</v>
      </c>
      <c r="C9955" s="7" t="s">
        <v>27</v>
      </c>
      <c r="D9955" s="7" t="s">
        <v>28</v>
      </c>
      <c r="E9955" s="7" t="s">
        <v>29</v>
      </c>
      <c r="F9955" s="7" t="s">
        <v>194</v>
      </c>
      <c r="G9955" s="7">
        <v>99.49503</v>
      </c>
      <c r="H9955" s="7"/>
    </row>
    <row r="9956" spans="1:8" x14ac:dyDescent="0.35">
      <c r="A9956" s="7" t="s">
        <v>380</v>
      </c>
      <c r="B9956" s="7" t="s">
        <v>26</v>
      </c>
      <c r="C9956" s="7" t="s">
        <v>27</v>
      </c>
      <c r="D9956" s="7" t="s">
        <v>28</v>
      </c>
      <c r="E9956" s="7" t="s">
        <v>29</v>
      </c>
      <c r="F9956" s="7" t="s">
        <v>195</v>
      </c>
      <c r="G9956" s="7">
        <v>99.599369999999993</v>
      </c>
      <c r="H9956" s="7"/>
    </row>
    <row r="9957" spans="1:8" x14ac:dyDescent="0.35">
      <c r="A9957" s="7" t="s">
        <v>380</v>
      </c>
      <c r="B9957" s="7" t="s">
        <v>26</v>
      </c>
      <c r="C9957" s="7" t="s">
        <v>27</v>
      </c>
      <c r="D9957" s="7" t="s">
        <v>28</v>
      </c>
      <c r="E9957" s="7" t="s">
        <v>29</v>
      </c>
      <c r="F9957" s="7" t="s">
        <v>196</v>
      </c>
      <c r="G9957" s="7">
        <v>99.852710000000002</v>
      </c>
      <c r="H9957" s="7"/>
    </row>
    <row r="9958" spans="1:8" x14ac:dyDescent="0.35">
      <c r="A9958" s="7" t="s">
        <v>380</v>
      </c>
      <c r="B9958" s="7" t="s">
        <v>26</v>
      </c>
      <c r="C9958" s="7" t="s">
        <v>27</v>
      </c>
      <c r="D9958" s="7" t="s">
        <v>28</v>
      </c>
      <c r="E9958" s="7" t="s">
        <v>29</v>
      </c>
      <c r="F9958" s="7" t="s">
        <v>197</v>
      </c>
      <c r="G9958" s="7">
        <v>100.14239999999999</v>
      </c>
      <c r="H9958" s="7"/>
    </row>
    <row r="9959" spans="1:8" x14ac:dyDescent="0.35">
      <c r="A9959" s="7" t="s">
        <v>380</v>
      </c>
      <c r="B9959" s="7" t="s">
        <v>26</v>
      </c>
      <c r="C9959" s="7" t="s">
        <v>27</v>
      </c>
      <c r="D9959" s="7" t="s">
        <v>28</v>
      </c>
      <c r="E9959" s="7" t="s">
        <v>29</v>
      </c>
      <c r="F9959" s="7" t="s">
        <v>198</v>
      </c>
      <c r="G9959" s="7">
        <v>100.3212</v>
      </c>
      <c r="H9959" s="7"/>
    </row>
    <row r="9960" spans="1:8" x14ac:dyDescent="0.35">
      <c r="A9960" s="7" t="s">
        <v>380</v>
      </c>
      <c r="B9960" s="7" t="s">
        <v>26</v>
      </c>
      <c r="C9960" s="7" t="s">
        <v>27</v>
      </c>
      <c r="D9960" s="7" t="s">
        <v>28</v>
      </c>
      <c r="E9960" s="7" t="s">
        <v>29</v>
      </c>
      <c r="F9960" s="7" t="s">
        <v>199</v>
      </c>
      <c r="G9960" s="7">
        <v>100.352</v>
      </c>
      <c r="H9960" s="7"/>
    </row>
    <row r="9961" spans="1:8" x14ac:dyDescent="0.35">
      <c r="A9961" s="7" t="s">
        <v>380</v>
      </c>
      <c r="B9961" s="7" t="s">
        <v>26</v>
      </c>
      <c r="C9961" s="7" t="s">
        <v>27</v>
      </c>
      <c r="D9961" s="7" t="s">
        <v>28</v>
      </c>
      <c r="E9961" s="7" t="s">
        <v>29</v>
      </c>
      <c r="F9961" s="7" t="s">
        <v>200</v>
      </c>
      <c r="G9961" s="7">
        <v>100.2337</v>
      </c>
      <c r="H9961" s="7"/>
    </row>
    <row r="9962" spans="1:8" x14ac:dyDescent="0.35">
      <c r="A9962" s="7" t="s">
        <v>380</v>
      </c>
      <c r="B9962" s="7" t="s">
        <v>26</v>
      </c>
      <c r="C9962" s="7" t="s">
        <v>27</v>
      </c>
      <c r="D9962" s="7" t="s">
        <v>28</v>
      </c>
      <c r="E9962" s="7" t="s">
        <v>29</v>
      </c>
      <c r="F9962" s="7" t="s">
        <v>201</v>
      </c>
      <c r="G9962" s="7">
        <v>100.0744</v>
      </c>
      <c r="H9962" s="7"/>
    </row>
    <row r="9963" spans="1:8" x14ac:dyDescent="0.35">
      <c r="A9963" s="7" t="s">
        <v>380</v>
      </c>
      <c r="B9963" s="7" t="s">
        <v>26</v>
      </c>
      <c r="C9963" s="7" t="s">
        <v>27</v>
      </c>
      <c r="D9963" s="7" t="s">
        <v>28</v>
      </c>
      <c r="E9963" s="7" t="s">
        <v>29</v>
      </c>
      <c r="F9963" s="7" t="s">
        <v>202</v>
      </c>
      <c r="G9963" s="7">
        <v>99.844740000000002</v>
      </c>
      <c r="H9963" s="7"/>
    </row>
    <row r="9964" spans="1:8" x14ac:dyDescent="0.35">
      <c r="A9964" s="7" t="s">
        <v>380</v>
      </c>
      <c r="B9964" s="7" t="s">
        <v>26</v>
      </c>
      <c r="C9964" s="7" t="s">
        <v>27</v>
      </c>
      <c r="D9964" s="7" t="s">
        <v>28</v>
      </c>
      <c r="E9964" s="7" t="s">
        <v>29</v>
      </c>
      <c r="F9964" s="7" t="s">
        <v>203</v>
      </c>
      <c r="G9964" s="7">
        <v>99.519720000000007</v>
      </c>
      <c r="H9964" s="7"/>
    </row>
    <row r="9965" spans="1:8" x14ac:dyDescent="0.35">
      <c r="A9965" s="7" t="s">
        <v>380</v>
      </c>
      <c r="B9965" s="7" t="s">
        <v>26</v>
      </c>
      <c r="C9965" s="7" t="s">
        <v>27</v>
      </c>
      <c r="D9965" s="7" t="s">
        <v>28</v>
      </c>
      <c r="E9965" s="7" t="s">
        <v>29</v>
      </c>
      <c r="F9965" s="7" t="s">
        <v>204</v>
      </c>
      <c r="G9965" s="7">
        <v>99.273709999999994</v>
      </c>
      <c r="H9965" s="7"/>
    </row>
    <row r="9966" spans="1:8" x14ac:dyDescent="0.35">
      <c r="A9966" s="7" t="s">
        <v>380</v>
      </c>
      <c r="B9966" s="7" t="s">
        <v>26</v>
      </c>
      <c r="C9966" s="7" t="s">
        <v>27</v>
      </c>
      <c r="D9966" s="7" t="s">
        <v>28</v>
      </c>
      <c r="E9966" s="7" t="s">
        <v>29</v>
      </c>
      <c r="F9966" s="7" t="s">
        <v>205</v>
      </c>
      <c r="G9966" s="7">
        <v>99.144760000000005</v>
      </c>
      <c r="H9966" s="7"/>
    </row>
    <row r="9967" spans="1:8" x14ac:dyDescent="0.35">
      <c r="A9967" s="7" t="s">
        <v>380</v>
      </c>
      <c r="B9967" s="7" t="s">
        <v>26</v>
      </c>
      <c r="C9967" s="7" t="s">
        <v>27</v>
      </c>
      <c r="D9967" s="7" t="s">
        <v>28</v>
      </c>
      <c r="E9967" s="7" t="s">
        <v>29</v>
      </c>
      <c r="F9967" s="7" t="s">
        <v>206</v>
      </c>
      <c r="G9967" s="7">
        <v>99.054599999999994</v>
      </c>
      <c r="H9967" s="7"/>
    </row>
    <row r="9968" spans="1:8" x14ac:dyDescent="0.35">
      <c r="A9968" s="7" t="s">
        <v>380</v>
      </c>
      <c r="B9968" s="7" t="s">
        <v>26</v>
      </c>
      <c r="C9968" s="7" t="s">
        <v>27</v>
      </c>
      <c r="D9968" s="7" t="s">
        <v>28</v>
      </c>
      <c r="E9968" s="7" t="s">
        <v>29</v>
      </c>
      <c r="F9968" s="7" t="s">
        <v>207</v>
      </c>
      <c r="G9968" s="7">
        <v>99.041889999999995</v>
      </c>
      <c r="H9968" s="7"/>
    </row>
    <row r="9969" spans="1:8" x14ac:dyDescent="0.35">
      <c r="A9969" s="7" t="s">
        <v>380</v>
      </c>
      <c r="B9969" s="7" t="s">
        <v>26</v>
      </c>
      <c r="C9969" s="7" t="s">
        <v>27</v>
      </c>
      <c r="D9969" s="7" t="s">
        <v>28</v>
      </c>
      <c r="E9969" s="7" t="s">
        <v>29</v>
      </c>
      <c r="F9969" s="7" t="s">
        <v>208</v>
      </c>
      <c r="G9969" s="7">
        <v>99.074290000000005</v>
      </c>
      <c r="H9969" s="7"/>
    </row>
    <row r="9970" spans="1:8" x14ac:dyDescent="0.35">
      <c r="A9970" s="7" t="s">
        <v>380</v>
      </c>
      <c r="B9970" s="7" t="s">
        <v>26</v>
      </c>
      <c r="C9970" s="7" t="s">
        <v>27</v>
      </c>
      <c r="D9970" s="7" t="s">
        <v>28</v>
      </c>
      <c r="E9970" s="7" t="s">
        <v>29</v>
      </c>
      <c r="F9970" s="7" t="s">
        <v>209</v>
      </c>
      <c r="G9970" s="7">
        <v>99.095820000000003</v>
      </c>
      <c r="H9970" s="7"/>
    </row>
    <row r="9971" spans="1:8" x14ac:dyDescent="0.35">
      <c r="A9971" s="7" t="s">
        <v>380</v>
      </c>
      <c r="B9971" s="7" t="s">
        <v>26</v>
      </c>
      <c r="C9971" s="7" t="s">
        <v>27</v>
      </c>
      <c r="D9971" s="7" t="s">
        <v>28</v>
      </c>
      <c r="E9971" s="7" t="s">
        <v>29</v>
      </c>
      <c r="F9971" s="7" t="s">
        <v>210</v>
      </c>
      <c r="G9971" s="7">
        <v>99.046719999999993</v>
      </c>
      <c r="H9971" s="7"/>
    </row>
    <row r="9972" spans="1:8" x14ac:dyDescent="0.35">
      <c r="A9972" s="7" t="s">
        <v>380</v>
      </c>
      <c r="B9972" s="7" t="s">
        <v>26</v>
      </c>
      <c r="C9972" s="7" t="s">
        <v>27</v>
      </c>
      <c r="D9972" s="7" t="s">
        <v>28</v>
      </c>
      <c r="E9972" s="7" t="s">
        <v>29</v>
      </c>
      <c r="F9972" s="7" t="s">
        <v>211</v>
      </c>
      <c r="G9972" s="7">
        <v>98.911429999999996</v>
      </c>
      <c r="H9972" s="7"/>
    </row>
    <row r="9973" spans="1:8" x14ac:dyDescent="0.35">
      <c r="A9973" s="7" t="s">
        <v>380</v>
      </c>
      <c r="B9973" s="7" t="s">
        <v>26</v>
      </c>
      <c r="C9973" s="7" t="s">
        <v>27</v>
      </c>
      <c r="D9973" s="7" t="s">
        <v>28</v>
      </c>
      <c r="E9973" s="7" t="s">
        <v>29</v>
      </c>
      <c r="F9973" s="7" t="s">
        <v>212</v>
      </c>
      <c r="G9973" s="7">
        <v>98.854569999999995</v>
      </c>
      <c r="H9973" s="7"/>
    </row>
    <row r="9974" spans="1:8" x14ac:dyDescent="0.35">
      <c r="A9974" s="7" t="s">
        <v>380</v>
      </c>
      <c r="B9974" s="7" t="s">
        <v>26</v>
      </c>
      <c r="C9974" s="7" t="s">
        <v>27</v>
      </c>
      <c r="D9974" s="7" t="s">
        <v>28</v>
      </c>
      <c r="E9974" s="7" t="s">
        <v>29</v>
      </c>
      <c r="F9974" s="7" t="s">
        <v>213</v>
      </c>
      <c r="G9974" s="7">
        <v>98.956440000000001</v>
      </c>
      <c r="H9974" s="7"/>
    </row>
    <row r="9975" spans="1:8" x14ac:dyDescent="0.35">
      <c r="A9975" s="7" t="s">
        <v>380</v>
      </c>
      <c r="B9975" s="7" t="s">
        <v>26</v>
      </c>
      <c r="C9975" s="7" t="s">
        <v>27</v>
      </c>
      <c r="D9975" s="7" t="s">
        <v>28</v>
      </c>
      <c r="E9975" s="7" t="s">
        <v>29</v>
      </c>
      <c r="F9975" s="7" t="s">
        <v>214</v>
      </c>
      <c r="G9975" s="7">
        <v>99.113330000000005</v>
      </c>
      <c r="H9975" s="7"/>
    </row>
    <row r="9976" spans="1:8" x14ac:dyDescent="0.35">
      <c r="A9976" s="7" t="s">
        <v>380</v>
      </c>
      <c r="B9976" s="7" t="s">
        <v>26</v>
      </c>
      <c r="C9976" s="7" t="s">
        <v>27</v>
      </c>
      <c r="D9976" s="7" t="s">
        <v>28</v>
      </c>
      <c r="E9976" s="7" t="s">
        <v>29</v>
      </c>
      <c r="F9976" s="7" t="s">
        <v>215</v>
      </c>
      <c r="G9976" s="7">
        <v>99.353009999999998</v>
      </c>
      <c r="H9976" s="7"/>
    </row>
    <row r="9977" spans="1:8" x14ac:dyDescent="0.35">
      <c r="A9977" s="7" t="s">
        <v>380</v>
      </c>
      <c r="B9977" s="7" t="s">
        <v>26</v>
      </c>
      <c r="C9977" s="7" t="s">
        <v>27</v>
      </c>
      <c r="D9977" s="7" t="s">
        <v>28</v>
      </c>
      <c r="E9977" s="7" t="s">
        <v>29</v>
      </c>
      <c r="F9977" s="7" t="s">
        <v>216</v>
      </c>
      <c r="G9977" s="7">
        <v>99.677710000000005</v>
      </c>
      <c r="H9977" s="7"/>
    </row>
    <row r="9978" spans="1:8" x14ac:dyDescent="0.35">
      <c r="A9978" s="7" t="s">
        <v>380</v>
      </c>
      <c r="B9978" s="7" t="s">
        <v>26</v>
      </c>
      <c r="C9978" s="7" t="s">
        <v>27</v>
      </c>
      <c r="D9978" s="7" t="s">
        <v>28</v>
      </c>
      <c r="E9978" s="7" t="s">
        <v>29</v>
      </c>
      <c r="F9978" s="7" t="s">
        <v>217</v>
      </c>
      <c r="G9978" s="7">
        <v>100.03319999999999</v>
      </c>
      <c r="H9978" s="7"/>
    </row>
    <row r="9979" spans="1:8" x14ac:dyDescent="0.35">
      <c r="A9979" s="7" t="s">
        <v>380</v>
      </c>
      <c r="B9979" s="7" t="s">
        <v>26</v>
      </c>
      <c r="C9979" s="7" t="s">
        <v>27</v>
      </c>
      <c r="D9979" s="7" t="s">
        <v>28</v>
      </c>
      <c r="E9979" s="7" t="s">
        <v>29</v>
      </c>
      <c r="F9979" s="7" t="s">
        <v>218</v>
      </c>
      <c r="G9979" s="7">
        <v>100.3663</v>
      </c>
      <c r="H9979" s="7"/>
    </row>
    <row r="9980" spans="1:8" x14ac:dyDescent="0.35">
      <c r="A9980" s="7" t="s">
        <v>380</v>
      </c>
      <c r="B9980" s="7" t="s">
        <v>26</v>
      </c>
      <c r="C9980" s="7" t="s">
        <v>27</v>
      </c>
      <c r="D9980" s="7" t="s">
        <v>28</v>
      </c>
      <c r="E9980" s="7" t="s">
        <v>29</v>
      </c>
      <c r="F9980" s="7" t="s">
        <v>219</v>
      </c>
      <c r="G9980" s="7">
        <v>100.583</v>
      </c>
      <c r="H9980" s="7"/>
    </row>
    <row r="9981" spans="1:8" x14ac:dyDescent="0.35">
      <c r="A9981" s="7" t="s">
        <v>380</v>
      </c>
      <c r="B9981" s="7" t="s">
        <v>26</v>
      </c>
      <c r="C9981" s="7" t="s">
        <v>27</v>
      </c>
      <c r="D9981" s="7" t="s">
        <v>28</v>
      </c>
      <c r="E9981" s="7" t="s">
        <v>29</v>
      </c>
      <c r="F9981" s="7" t="s">
        <v>220</v>
      </c>
      <c r="G9981" s="7">
        <v>100.6664</v>
      </c>
      <c r="H9981" s="7"/>
    </row>
    <row r="9982" spans="1:8" x14ac:dyDescent="0.35">
      <c r="A9982" s="7" t="s">
        <v>380</v>
      </c>
      <c r="B9982" s="7" t="s">
        <v>26</v>
      </c>
      <c r="C9982" s="7" t="s">
        <v>27</v>
      </c>
      <c r="D9982" s="7" t="s">
        <v>28</v>
      </c>
      <c r="E9982" s="7" t="s">
        <v>29</v>
      </c>
      <c r="F9982" s="7" t="s">
        <v>221</v>
      </c>
      <c r="G9982" s="7">
        <v>100.68680000000001</v>
      </c>
      <c r="H9982" s="7"/>
    </row>
    <row r="9983" spans="1:8" x14ac:dyDescent="0.35">
      <c r="A9983" s="7" t="s">
        <v>380</v>
      </c>
      <c r="B9983" s="7" t="s">
        <v>26</v>
      </c>
      <c r="C9983" s="7" t="s">
        <v>27</v>
      </c>
      <c r="D9983" s="7" t="s">
        <v>28</v>
      </c>
      <c r="E9983" s="7" t="s">
        <v>29</v>
      </c>
      <c r="F9983" s="7" t="s">
        <v>222</v>
      </c>
      <c r="G9983" s="7">
        <v>100.6139</v>
      </c>
      <c r="H9983" s="7"/>
    </row>
    <row r="9984" spans="1:8" x14ac:dyDescent="0.35">
      <c r="A9984" s="7" t="s">
        <v>380</v>
      </c>
      <c r="B9984" s="7" t="s">
        <v>26</v>
      </c>
      <c r="C9984" s="7" t="s">
        <v>27</v>
      </c>
      <c r="D9984" s="7" t="s">
        <v>28</v>
      </c>
      <c r="E9984" s="7" t="s">
        <v>29</v>
      </c>
      <c r="F9984" s="7" t="s">
        <v>223</v>
      </c>
      <c r="G9984" s="7">
        <v>100.5218</v>
      </c>
      <c r="H9984" s="7"/>
    </row>
    <row r="9985" spans="1:8" x14ac:dyDescent="0.35">
      <c r="A9985" s="7" t="s">
        <v>380</v>
      </c>
      <c r="B9985" s="7" t="s">
        <v>26</v>
      </c>
      <c r="C9985" s="7" t="s">
        <v>27</v>
      </c>
      <c r="D9985" s="7" t="s">
        <v>28</v>
      </c>
      <c r="E9985" s="7" t="s">
        <v>29</v>
      </c>
      <c r="F9985" s="7" t="s">
        <v>224</v>
      </c>
      <c r="G9985" s="7">
        <v>100.29770000000001</v>
      </c>
      <c r="H9985" s="7"/>
    </row>
    <row r="9986" spans="1:8" x14ac:dyDescent="0.35">
      <c r="A9986" s="7" t="s">
        <v>380</v>
      </c>
      <c r="B9986" s="7" t="s">
        <v>26</v>
      </c>
      <c r="C9986" s="7" t="s">
        <v>27</v>
      </c>
      <c r="D9986" s="7" t="s">
        <v>28</v>
      </c>
      <c r="E9986" s="7" t="s">
        <v>29</v>
      </c>
      <c r="F9986" s="7" t="s">
        <v>225</v>
      </c>
      <c r="G9986" s="7">
        <v>99.941730000000007</v>
      </c>
      <c r="H9986" s="7"/>
    </row>
    <row r="9987" spans="1:8" x14ac:dyDescent="0.35">
      <c r="A9987" s="7" t="s">
        <v>380</v>
      </c>
      <c r="B9987" s="7" t="s">
        <v>26</v>
      </c>
      <c r="C9987" s="7" t="s">
        <v>27</v>
      </c>
      <c r="D9987" s="7" t="s">
        <v>28</v>
      </c>
      <c r="E9987" s="7" t="s">
        <v>29</v>
      </c>
      <c r="F9987" s="7" t="s">
        <v>226</v>
      </c>
      <c r="G9987" s="7">
        <v>99.478880000000004</v>
      </c>
      <c r="H9987" s="7"/>
    </row>
    <row r="9988" spans="1:8" x14ac:dyDescent="0.35">
      <c r="A9988" s="7" t="s">
        <v>380</v>
      </c>
      <c r="B9988" s="7" t="s">
        <v>26</v>
      </c>
      <c r="C9988" s="7" t="s">
        <v>27</v>
      </c>
      <c r="D9988" s="7" t="s">
        <v>28</v>
      </c>
      <c r="E9988" s="7" t="s">
        <v>29</v>
      </c>
      <c r="F9988" s="7" t="s">
        <v>227</v>
      </c>
      <c r="G9988" s="7">
        <v>98.932000000000002</v>
      </c>
      <c r="H9988" s="7"/>
    </row>
    <row r="9989" spans="1:8" x14ac:dyDescent="0.35">
      <c r="A9989" s="7" t="s">
        <v>380</v>
      </c>
      <c r="B9989" s="7" t="s">
        <v>26</v>
      </c>
      <c r="C9989" s="7" t="s">
        <v>27</v>
      </c>
      <c r="D9989" s="7" t="s">
        <v>28</v>
      </c>
      <c r="E9989" s="7" t="s">
        <v>29</v>
      </c>
      <c r="F9989" s="7" t="s">
        <v>228</v>
      </c>
      <c r="G9989" s="7">
        <v>98.245890000000003</v>
      </c>
      <c r="H9989" s="7"/>
    </row>
    <row r="9990" spans="1:8" x14ac:dyDescent="0.35">
      <c r="A9990" s="7" t="s">
        <v>380</v>
      </c>
      <c r="B9990" s="7" t="s">
        <v>26</v>
      </c>
      <c r="C9990" s="7" t="s">
        <v>27</v>
      </c>
      <c r="D9990" s="7" t="s">
        <v>28</v>
      </c>
      <c r="E9990" s="7" t="s">
        <v>29</v>
      </c>
      <c r="F9990" s="7" t="s">
        <v>229</v>
      </c>
      <c r="G9990" s="7">
        <v>97.781999999999996</v>
      </c>
      <c r="H9990" s="7"/>
    </row>
    <row r="9991" spans="1:8" x14ac:dyDescent="0.35">
      <c r="A9991" s="7" t="s">
        <v>380</v>
      </c>
      <c r="B9991" s="7" t="s">
        <v>26</v>
      </c>
      <c r="C9991" s="7" t="s">
        <v>27</v>
      </c>
      <c r="D9991" s="7" t="s">
        <v>28</v>
      </c>
      <c r="E9991" s="7" t="s">
        <v>29</v>
      </c>
      <c r="F9991" s="7" t="s">
        <v>230</v>
      </c>
      <c r="G9991" s="7">
        <v>97.822299999999998</v>
      </c>
      <c r="H9991" s="7"/>
    </row>
    <row r="9992" spans="1:8" x14ac:dyDescent="0.35">
      <c r="A9992" s="7" t="s">
        <v>380</v>
      </c>
      <c r="B9992" s="7" t="s">
        <v>26</v>
      </c>
      <c r="C9992" s="7" t="s">
        <v>27</v>
      </c>
      <c r="D9992" s="7" t="s">
        <v>28</v>
      </c>
      <c r="E9992" s="7" t="s">
        <v>29</v>
      </c>
      <c r="F9992" s="7" t="s">
        <v>231</v>
      </c>
      <c r="G9992" s="7">
        <v>98.320369999999997</v>
      </c>
      <c r="H9992" s="7"/>
    </row>
    <row r="9993" spans="1:8" x14ac:dyDescent="0.35">
      <c r="A9993" s="7" t="s">
        <v>380</v>
      </c>
      <c r="B9993" s="7" t="s">
        <v>26</v>
      </c>
      <c r="C9993" s="7" t="s">
        <v>27</v>
      </c>
      <c r="D9993" s="7" t="s">
        <v>28</v>
      </c>
      <c r="E9993" s="7" t="s">
        <v>29</v>
      </c>
      <c r="F9993" s="7" t="s">
        <v>232</v>
      </c>
      <c r="G9993" s="7">
        <v>98.374350000000007</v>
      </c>
      <c r="H9993" s="7"/>
    </row>
    <row r="9994" spans="1:8" x14ac:dyDescent="0.35">
      <c r="A9994" s="7" t="s">
        <v>380</v>
      </c>
      <c r="B9994" s="7" t="s">
        <v>26</v>
      </c>
      <c r="C9994" s="7" t="s">
        <v>27</v>
      </c>
      <c r="D9994" s="7" t="s">
        <v>28</v>
      </c>
      <c r="E9994" s="7" t="s">
        <v>29</v>
      </c>
      <c r="F9994" s="7" t="s">
        <v>233</v>
      </c>
      <c r="G9994" s="7">
        <v>97.815039999999996</v>
      </c>
      <c r="H9994" s="7"/>
    </row>
    <row r="9995" spans="1:8" x14ac:dyDescent="0.35">
      <c r="A9995" s="7" t="s">
        <v>380</v>
      </c>
      <c r="B9995" s="7" t="s">
        <v>26</v>
      </c>
      <c r="C9995" s="7" t="s">
        <v>27</v>
      </c>
      <c r="D9995" s="7" t="s">
        <v>28</v>
      </c>
      <c r="E9995" s="7" t="s">
        <v>29</v>
      </c>
      <c r="F9995" s="7" t="s">
        <v>234</v>
      </c>
      <c r="G9995" s="7">
        <v>97.152000000000001</v>
      </c>
      <c r="H9995" s="7"/>
    </row>
    <row r="9996" spans="1:8" x14ac:dyDescent="0.35">
      <c r="A9996" s="7" t="s">
        <v>380</v>
      </c>
      <c r="B9996" s="7" t="s">
        <v>26</v>
      </c>
      <c r="C9996" s="7" t="s">
        <v>27</v>
      </c>
      <c r="D9996" s="7" t="s">
        <v>28</v>
      </c>
      <c r="E9996" s="7" t="s">
        <v>29</v>
      </c>
      <c r="F9996" s="7" t="s">
        <v>235</v>
      </c>
      <c r="G9996" s="7">
        <v>96.742000000000004</v>
      </c>
      <c r="H9996" s="7"/>
    </row>
    <row r="9997" spans="1:8" x14ac:dyDescent="0.35">
      <c r="A9997" s="7" t="s">
        <v>380</v>
      </c>
      <c r="B9997" s="7" t="s">
        <v>26</v>
      </c>
      <c r="C9997" s="7" t="s">
        <v>27</v>
      </c>
      <c r="D9997" s="7" t="s">
        <v>28</v>
      </c>
      <c r="E9997" s="7" t="s">
        <v>29</v>
      </c>
      <c r="F9997" s="7" t="s">
        <v>236</v>
      </c>
      <c r="G9997" s="7">
        <v>96.756630000000001</v>
      </c>
      <c r="H9997" s="7"/>
    </row>
    <row r="9998" spans="1:8" x14ac:dyDescent="0.35">
      <c r="A9998" s="7" t="s">
        <v>380</v>
      </c>
      <c r="B9998" s="7" t="s">
        <v>26</v>
      </c>
      <c r="C9998" s="7" t="s">
        <v>27</v>
      </c>
      <c r="D9998" s="7" t="s">
        <v>28</v>
      </c>
      <c r="E9998" s="7" t="s">
        <v>29</v>
      </c>
      <c r="F9998" s="7" t="s">
        <v>237</v>
      </c>
      <c r="G9998" s="7">
        <v>97.070679999999996</v>
      </c>
      <c r="H9998" s="7"/>
    </row>
    <row r="9999" spans="1:8" x14ac:dyDescent="0.35">
      <c r="A9999" s="7" t="s">
        <v>380</v>
      </c>
      <c r="B9999" s="7" t="s">
        <v>26</v>
      </c>
      <c r="C9999" s="7" t="s">
        <v>27</v>
      </c>
      <c r="D9999" s="7" t="s">
        <v>28</v>
      </c>
      <c r="E9999" s="7" t="s">
        <v>29</v>
      </c>
      <c r="F9999" s="7" t="s">
        <v>238</v>
      </c>
      <c r="G9999" s="7">
        <v>97.769159999999999</v>
      </c>
      <c r="H9999" s="7"/>
    </row>
    <row r="10000" spans="1:8" x14ac:dyDescent="0.35">
      <c r="A10000" s="7" t="s">
        <v>380</v>
      </c>
      <c r="B10000" s="7" t="s">
        <v>26</v>
      </c>
      <c r="C10000" s="7" t="s">
        <v>27</v>
      </c>
      <c r="D10000" s="7" t="s">
        <v>28</v>
      </c>
      <c r="E10000" s="7" t="s">
        <v>29</v>
      </c>
      <c r="F10000" s="7" t="s">
        <v>239</v>
      </c>
      <c r="G10000" s="7">
        <v>99.007090000000005</v>
      </c>
      <c r="H10000" s="7"/>
    </row>
    <row r="10001" spans="1:8" x14ac:dyDescent="0.35">
      <c r="A10001" s="7" t="s">
        <v>380</v>
      </c>
      <c r="B10001" s="7" t="s">
        <v>26</v>
      </c>
      <c r="C10001" s="7" t="s">
        <v>27</v>
      </c>
      <c r="D10001" s="7" t="s">
        <v>28</v>
      </c>
      <c r="E10001" s="7" t="s">
        <v>29</v>
      </c>
      <c r="F10001" s="7" t="s">
        <v>240</v>
      </c>
      <c r="G10001" s="7">
        <v>100.1371</v>
      </c>
      <c r="H10001" s="7"/>
    </row>
    <row r="10002" spans="1:8" x14ac:dyDescent="0.35">
      <c r="A10002" s="7" t="s">
        <v>380</v>
      </c>
      <c r="B10002" s="7" t="s">
        <v>26</v>
      </c>
      <c r="C10002" s="7" t="s">
        <v>27</v>
      </c>
      <c r="D10002" s="7" t="s">
        <v>28</v>
      </c>
      <c r="E10002" s="7" t="s">
        <v>29</v>
      </c>
      <c r="F10002" s="7" t="s">
        <v>241</v>
      </c>
      <c r="G10002" s="7">
        <v>100.90560000000001</v>
      </c>
      <c r="H10002" s="7"/>
    </row>
    <row r="10003" spans="1:8" x14ac:dyDescent="0.35">
      <c r="A10003" s="7" t="s">
        <v>380</v>
      </c>
      <c r="B10003" s="7" t="s">
        <v>26</v>
      </c>
      <c r="C10003" s="7" t="s">
        <v>27</v>
      </c>
      <c r="D10003" s="7" t="s">
        <v>28</v>
      </c>
      <c r="E10003" s="7" t="s">
        <v>29</v>
      </c>
      <c r="F10003" s="7" t="s">
        <v>242</v>
      </c>
      <c r="G10003" s="7">
        <v>101.53959999999999</v>
      </c>
      <c r="H10003" s="7"/>
    </row>
    <row r="10004" spans="1:8" x14ac:dyDescent="0.35">
      <c r="A10004" s="7" t="s">
        <v>380</v>
      </c>
      <c r="B10004" s="7" t="s">
        <v>26</v>
      </c>
      <c r="C10004" s="7" t="s">
        <v>27</v>
      </c>
      <c r="D10004" s="7" t="s">
        <v>28</v>
      </c>
      <c r="E10004" s="7" t="s">
        <v>29</v>
      </c>
      <c r="F10004" s="7" t="s">
        <v>243</v>
      </c>
      <c r="G10004" s="7">
        <v>102.15219999999999</v>
      </c>
      <c r="H10004" s="7"/>
    </row>
    <row r="10005" spans="1:8" x14ac:dyDescent="0.35">
      <c r="A10005" s="7" t="s">
        <v>380</v>
      </c>
      <c r="B10005" s="7" t="s">
        <v>26</v>
      </c>
      <c r="C10005" s="7" t="s">
        <v>27</v>
      </c>
      <c r="D10005" s="7" t="s">
        <v>28</v>
      </c>
      <c r="E10005" s="7" t="s">
        <v>29</v>
      </c>
      <c r="F10005" s="7" t="s">
        <v>244</v>
      </c>
      <c r="G10005" s="7">
        <v>102.6302</v>
      </c>
      <c r="H10005" s="7"/>
    </row>
    <row r="10006" spans="1:8" x14ac:dyDescent="0.35">
      <c r="A10006" s="7" t="s">
        <v>380</v>
      </c>
      <c r="B10006" s="7" t="s">
        <v>26</v>
      </c>
      <c r="C10006" s="7" t="s">
        <v>27</v>
      </c>
      <c r="D10006" s="7" t="s">
        <v>28</v>
      </c>
      <c r="E10006" s="7" t="s">
        <v>29</v>
      </c>
      <c r="F10006" s="7" t="s">
        <v>245</v>
      </c>
      <c r="G10006" s="7">
        <v>102.89060000000001</v>
      </c>
      <c r="H10006" s="7"/>
    </row>
    <row r="10007" spans="1:8" x14ac:dyDescent="0.35">
      <c r="A10007" s="7" t="s">
        <v>380</v>
      </c>
      <c r="B10007" s="7" t="s">
        <v>26</v>
      </c>
      <c r="C10007" s="7" t="s">
        <v>27</v>
      </c>
      <c r="D10007" s="7" t="s">
        <v>28</v>
      </c>
      <c r="E10007" s="7" t="s">
        <v>29</v>
      </c>
      <c r="F10007" s="7" t="s">
        <v>246</v>
      </c>
      <c r="G10007" s="7">
        <v>102.75020000000001</v>
      </c>
      <c r="H10007" s="7"/>
    </row>
    <row r="10008" spans="1:8" x14ac:dyDescent="0.35">
      <c r="A10008" s="7" t="s">
        <v>380</v>
      </c>
      <c r="B10008" s="7" t="s">
        <v>26</v>
      </c>
      <c r="C10008" s="7" t="s">
        <v>27</v>
      </c>
      <c r="D10008" s="7" t="s">
        <v>28</v>
      </c>
      <c r="E10008" s="7" t="s">
        <v>29</v>
      </c>
      <c r="F10008" s="7" t="s">
        <v>247</v>
      </c>
      <c r="G10008" s="7">
        <v>102.5003</v>
      </c>
      <c r="H10008" s="7"/>
    </row>
    <row r="10009" spans="1:8" x14ac:dyDescent="0.35">
      <c r="A10009" s="7" t="s">
        <v>380</v>
      </c>
      <c r="B10009" s="7" t="s">
        <v>26</v>
      </c>
      <c r="C10009" s="7" t="s">
        <v>27</v>
      </c>
      <c r="D10009" s="7" t="s">
        <v>28</v>
      </c>
      <c r="E10009" s="7" t="s">
        <v>29</v>
      </c>
      <c r="F10009" s="7" t="s">
        <v>248</v>
      </c>
      <c r="G10009" s="7">
        <v>102.2812</v>
      </c>
      <c r="H10009" s="7"/>
    </row>
    <row r="10010" spans="1:8" x14ac:dyDescent="0.35">
      <c r="A10010" s="7" t="s">
        <v>380</v>
      </c>
      <c r="B10010" s="7" t="s">
        <v>26</v>
      </c>
      <c r="C10010" s="7" t="s">
        <v>27</v>
      </c>
      <c r="D10010" s="7" t="s">
        <v>28</v>
      </c>
      <c r="E10010" s="7" t="s">
        <v>29</v>
      </c>
      <c r="F10010" s="7" t="s">
        <v>249</v>
      </c>
      <c r="G10010" s="7">
        <v>102.0724</v>
      </c>
      <c r="H10010" s="7"/>
    </row>
    <row r="10011" spans="1:8" x14ac:dyDescent="0.35">
      <c r="A10011" s="7" t="s">
        <v>380</v>
      </c>
      <c r="B10011" s="7" t="s">
        <v>26</v>
      </c>
      <c r="C10011" s="7" t="s">
        <v>27</v>
      </c>
      <c r="D10011" s="7" t="s">
        <v>28</v>
      </c>
      <c r="E10011" s="7" t="s">
        <v>29</v>
      </c>
      <c r="F10011" s="7" t="s">
        <v>250</v>
      </c>
      <c r="G10011" s="7">
        <v>101.96299999999999</v>
      </c>
      <c r="H10011" s="7"/>
    </row>
    <row r="10012" spans="1:8" x14ac:dyDescent="0.35">
      <c r="A10012" s="7" t="s">
        <v>380</v>
      </c>
      <c r="B10012" s="7" t="s">
        <v>26</v>
      </c>
      <c r="C10012" s="7" t="s">
        <v>27</v>
      </c>
      <c r="D10012" s="7" t="s">
        <v>28</v>
      </c>
      <c r="E10012" s="7" t="s">
        <v>29</v>
      </c>
      <c r="F10012" s="7" t="s">
        <v>251</v>
      </c>
      <c r="G10012" s="7">
        <v>101.9434</v>
      </c>
      <c r="H10012" s="7"/>
    </row>
    <row r="10013" spans="1:8" x14ac:dyDescent="0.35">
      <c r="A10013" s="7" t="s">
        <v>380</v>
      </c>
      <c r="B10013" s="7" t="s">
        <v>26</v>
      </c>
      <c r="C10013" s="7" t="s">
        <v>27</v>
      </c>
      <c r="D10013" s="7" t="s">
        <v>28</v>
      </c>
      <c r="E10013" s="7" t="s">
        <v>29</v>
      </c>
      <c r="F10013" s="7" t="s">
        <v>252</v>
      </c>
      <c r="G10013" s="7">
        <v>101.998</v>
      </c>
      <c r="H10013" s="7"/>
    </row>
    <row r="10014" spans="1:8" x14ac:dyDescent="0.35">
      <c r="A10014" s="7" t="s">
        <v>380</v>
      </c>
      <c r="B10014" s="7" t="s">
        <v>26</v>
      </c>
      <c r="C10014" s="7" t="s">
        <v>27</v>
      </c>
      <c r="D10014" s="7" t="s">
        <v>28</v>
      </c>
      <c r="E10014" s="7" t="s">
        <v>29</v>
      </c>
      <c r="F10014" s="7" t="s">
        <v>253</v>
      </c>
      <c r="G10014" s="7">
        <v>102.0716</v>
      </c>
      <c r="H10014" s="7"/>
    </row>
    <row r="10015" spans="1:8" x14ac:dyDescent="0.35">
      <c r="A10015" s="7" t="s">
        <v>380</v>
      </c>
      <c r="B10015" s="7" t="s">
        <v>26</v>
      </c>
      <c r="C10015" s="7" t="s">
        <v>27</v>
      </c>
      <c r="D10015" s="7" t="s">
        <v>28</v>
      </c>
      <c r="E10015" s="7" t="s">
        <v>29</v>
      </c>
      <c r="F10015" s="7" t="s">
        <v>254</v>
      </c>
      <c r="G10015" s="7">
        <v>102.0331</v>
      </c>
      <c r="H10015" s="7"/>
    </row>
    <row r="10016" spans="1:8" x14ac:dyDescent="0.35">
      <c r="A10016" s="7" t="s">
        <v>380</v>
      </c>
      <c r="B10016" s="7" t="s">
        <v>26</v>
      </c>
      <c r="C10016" s="7" t="s">
        <v>27</v>
      </c>
      <c r="D10016" s="7" t="s">
        <v>28</v>
      </c>
      <c r="E10016" s="7" t="s">
        <v>29</v>
      </c>
      <c r="F10016" s="7" t="s">
        <v>255</v>
      </c>
      <c r="G10016" s="7">
        <v>101.8793</v>
      </c>
      <c r="H10016" s="7"/>
    </row>
    <row r="10017" spans="1:8" x14ac:dyDescent="0.35">
      <c r="A10017" s="7" t="s">
        <v>380</v>
      </c>
      <c r="B10017" s="7" t="s">
        <v>26</v>
      </c>
      <c r="C10017" s="7" t="s">
        <v>27</v>
      </c>
      <c r="D10017" s="7" t="s">
        <v>28</v>
      </c>
      <c r="E10017" s="7" t="s">
        <v>29</v>
      </c>
      <c r="F10017" s="7" t="s">
        <v>256</v>
      </c>
      <c r="G10017" s="7">
        <v>101.774</v>
      </c>
      <c r="H10017" s="7"/>
    </row>
    <row r="10018" spans="1:8" x14ac:dyDescent="0.35">
      <c r="A10018" s="7" t="s">
        <v>380</v>
      </c>
      <c r="B10018" s="7" t="s">
        <v>26</v>
      </c>
      <c r="C10018" s="7" t="s">
        <v>27</v>
      </c>
      <c r="D10018" s="7" t="s">
        <v>28</v>
      </c>
      <c r="E10018" s="7" t="s">
        <v>29</v>
      </c>
      <c r="F10018" s="7" t="s">
        <v>257</v>
      </c>
      <c r="G10018" s="7">
        <v>101.80159999999999</v>
      </c>
      <c r="H10018" s="7"/>
    </row>
    <row r="10019" spans="1:8" x14ac:dyDescent="0.35">
      <c r="A10019" s="7" t="s">
        <v>380</v>
      </c>
      <c r="B10019" s="7" t="s">
        <v>26</v>
      </c>
      <c r="C10019" s="7" t="s">
        <v>27</v>
      </c>
      <c r="D10019" s="7" t="s">
        <v>28</v>
      </c>
      <c r="E10019" s="7" t="s">
        <v>29</v>
      </c>
      <c r="F10019" s="7" t="s">
        <v>258</v>
      </c>
      <c r="G10019" s="7">
        <v>101.916</v>
      </c>
      <c r="H10019" s="7"/>
    </row>
    <row r="10020" spans="1:8" x14ac:dyDescent="0.35">
      <c r="A10020" s="7" t="s">
        <v>380</v>
      </c>
      <c r="B10020" s="7" t="s">
        <v>26</v>
      </c>
      <c r="C10020" s="7" t="s">
        <v>27</v>
      </c>
      <c r="D10020" s="7" t="s">
        <v>28</v>
      </c>
      <c r="E10020" s="7" t="s">
        <v>29</v>
      </c>
      <c r="F10020" s="7" t="s">
        <v>259</v>
      </c>
      <c r="G10020" s="7">
        <v>101.8436</v>
      </c>
      <c r="H10020" s="7"/>
    </row>
    <row r="10021" spans="1:8" x14ac:dyDescent="0.35">
      <c r="A10021" s="7" t="s">
        <v>380</v>
      </c>
      <c r="B10021" s="7" t="s">
        <v>26</v>
      </c>
      <c r="C10021" s="7" t="s">
        <v>27</v>
      </c>
      <c r="D10021" s="7" t="s">
        <v>28</v>
      </c>
      <c r="E10021" s="7" t="s">
        <v>29</v>
      </c>
      <c r="F10021" s="7" t="s">
        <v>260</v>
      </c>
      <c r="G10021" s="7">
        <v>101.50790000000001</v>
      </c>
      <c r="H10021" s="7"/>
    </row>
    <row r="10022" spans="1:8" x14ac:dyDescent="0.35">
      <c r="A10022" s="7" t="s">
        <v>380</v>
      </c>
      <c r="B10022" s="7" t="s">
        <v>26</v>
      </c>
      <c r="C10022" s="7" t="s">
        <v>27</v>
      </c>
      <c r="D10022" s="7" t="s">
        <v>28</v>
      </c>
      <c r="E10022" s="7" t="s">
        <v>29</v>
      </c>
      <c r="F10022" s="7" t="s">
        <v>261</v>
      </c>
      <c r="G10022" s="7">
        <v>100.91030000000001</v>
      </c>
      <c r="H10022" s="7"/>
    </row>
    <row r="10023" spans="1:8" x14ac:dyDescent="0.35">
      <c r="A10023" s="7" t="s">
        <v>380</v>
      </c>
      <c r="B10023" s="7" t="s">
        <v>26</v>
      </c>
      <c r="C10023" s="7" t="s">
        <v>27</v>
      </c>
      <c r="D10023" s="7" t="s">
        <v>28</v>
      </c>
      <c r="E10023" s="7" t="s">
        <v>29</v>
      </c>
      <c r="F10023" s="7" t="s">
        <v>262</v>
      </c>
      <c r="G10023" s="7">
        <v>100.2227</v>
      </c>
      <c r="H10023" s="7"/>
    </row>
    <row r="10024" spans="1:8" x14ac:dyDescent="0.35">
      <c r="A10024" s="7" t="s">
        <v>380</v>
      </c>
      <c r="B10024" s="7" t="s">
        <v>26</v>
      </c>
      <c r="C10024" s="7" t="s">
        <v>27</v>
      </c>
      <c r="D10024" s="7" t="s">
        <v>28</v>
      </c>
      <c r="E10024" s="7" t="s">
        <v>29</v>
      </c>
      <c r="F10024" s="7" t="s">
        <v>263</v>
      </c>
      <c r="G10024" s="7">
        <v>100.00239999999999</v>
      </c>
      <c r="H10024" s="7"/>
    </row>
    <row r="10025" spans="1:8" x14ac:dyDescent="0.35">
      <c r="A10025" s="7" t="s">
        <v>380</v>
      </c>
      <c r="B10025" s="7" t="s">
        <v>26</v>
      </c>
      <c r="C10025" s="7" t="s">
        <v>27</v>
      </c>
      <c r="D10025" s="7" t="s">
        <v>28</v>
      </c>
      <c r="E10025" s="7" t="s">
        <v>29</v>
      </c>
      <c r="F10025" s="7" t="s">
        <v>264</v>
      </c>
      <c r="G10025" s="7">
        <v>100.05459999999999</v>
      </c>
      <c r="H10025" s="7"/>
    </row>
    <row r="10026" spans="1:8" x14ac:dyDescent="0.35">
      <c r="A10026" s="7" t="s">
        <v>380</v>
      </c>
      <c r="B10026" s="7" t="s">
        <v>26</v>
      </c>
      <c r="C10026" s="7" t="s">
        <v>27</v>
      </c>
      <c r="D10026" s="7" t="s">
        <v>28</v>
      </c>
      <c r="E10026" s="7" t="s">
        <v>29</v>
      </c>
      <c r="F10026" s="7" t="s">
        <v>265</v>
      </c>
      <c r="G10026" s="7">
        <v>99.999960000000002</v>
      </c>
      <c r="H10026" s="7"/>
    </row>
    <row r="10027" spans="1:8" x14ac:dyDescent="0.35">
      <c r="A10027" s="7" t="s">
        <v>380</v>
      </c>
      <c r="B10027" s="7" t="s">
        <v>26</v>
      </c>
      <c r="C10027" s="7" t="s">
        <v>27</v>
      </c>
      <c r="D10027" s="7" t="s">
        <v>28</v>
      </c>
      <c r="E10027" s="7" t="s">
        <v>29</v>
      </c>
      <c r="F10027" s="7" t="s">
        <v>266</v>
      </c>
      <c r="G10027" s="7">
        <v>99.830950000000001</v>
      </c>
      <c r="H10027" s="7"/>
    </row>
    <row r="10028" spans="1:8" x14ac:dyDescent="0.35">
      <c r="A10028" s="7" t="s">
        <v>380</v>
      </c>
      <c r="B10028" s="7" t="s">
        <v>26</v>
      </c>
      <c r="C10028" s="7" t="s">
        <v>27</v>
      </c>
      <c r="D10028" s="7" t="s">
        <v>28</v>
      </c>
      <c r="E10028" s="7" t="s">
        <v>29</v>
      </c>
      <c r="F10028" s="7" t="s">
        <v>267</v>
      </c>
      <c r="G10028" s="7">
        <v>99.566890000000001</v>
      </c>
      <c r="H10028" s="7"/>
    </row>
    <row r="10029" spans="1:8" x14ac:dyDescent="0.35">
      <c r="A10029" s="7" t="s">
        <v>380</v>
      </c>
      <c r="B10029" s="7" t="s">
        <v>26</v>
      </c>
      <c r="C10029" s="7" t="s">
        <v>27</v>
      </c>
      <c r="D10029" s="7" t="s">
        <v>28</v>
      </c>
      <c r="E10029" s="7" t="s">
        <v>29</v>
      </c>
      <c r="F10029" s="7" t="s">
        <v>268</v>
      </c>
      <c r="G10029" s="7">
        <v>99.492329999999995</v>
      </c>
      <c r="H10029" s="7"/>
    </row>
    <row r="10030" spans="1:8" x14ac:dyDescent="0.35">
      <c r="A10030" s="7" t="s">
        <v>380</v>
      </c>
      <c r="B10030" s="7" t="s">
        <v>26</v>
      </c>
      <c r="C10030" s="7" t="s">
        <v>27</v>
      </c>
      <c r="D10030" s="7" t="s">
        <v>28</v>
      </c>
      <c r="E10030" s="7" t="s">
        <v>29</v>
      </c>
      <c r="F10030" s="7" t="s">
        <v>269</v>
      </c>
      <c r="G10030" s="7">
        <v>99.638810000000007</v>
      </c>
      <c r="H10030" s="7"/>
    </row>
    <row r="10031" spans="1:8" x14ac:dyDescent="0.35">
      <c r="A10031" s="7" t="s">
        <v>380</v>
      </c>
      <c r="B10031" s="7" t="s">
        <v>26</v>
      </c>
      <c r="C10031" s="7" t="s">
        <v>27</v>
      </c>
      <c r="D10031" s="7" t="s">
        <v>28</v>
      </c>
      <c r="E10031" s="7" t="s">
        <v>29</v>
      </c>
      <c r="F10031" s="7" t="s">
        <v>270</v>
      </c>
      <c r="G10031" s="7">
        <v>99.755070000000003</v>
      </c>
      <c r="H10031" s="7"/>
    </row>
    <row r="10032" spans="1:8" x14ac:dyDescent="0.35">
      <c r="A10032" s="7" t="s">
        <v>380</v>
      </c>
      <c r="B10032" s="7" t="s">
        <v>26</v>
      </c>
      <c r="C10032" s="7" t="s">
        <v>27</v>
      </c>
      <c r="D10032" s="7" t="s">
        <v>28</v>
      </c>
      <c r="E10032" s="7" t="s">
        <v>29</v>
      </c>
      <c r="F10032" s="7" t="s">
        <v>271</v>
      </c>
      <c r="G10032" s="7">
        <v>99.595280000000002</v>
      </c>
      <c r="H10032" s="7"/>
    </row>
    <row r="10033" spans="1:8" x14ac:dyDescent="0.35">
      <c r="A10033" s="7" t="s">
        <v>380</v>
      </c>
      <c r="B10033" s="7" t="s">
        <v>26</v>
      </c>
      <c r="C10033" s="7" t="s">
        <v>27</v>
      </c>
      <c r="D10033" s="7" t="s">
        <v>28</v>
      </c>
      <c r="E10033" s="7" t="s">
        <v>29</v>
      </c>
      <c r="F10033" s="7" t="s">
        <v>272</v>
      </c>
      <c r="G10033" s="7">
        <v>99.550290000000004</v>
      </c>
      <c r="H10033" s="7"/>
    </row>
    <row r="10034" spans="1:8" x14ac:dyDescent="0.35">
      <c r="A10034" s="7" t="s">
        <v>380</v>
      </c>
      <c r="B10034" s="7" t="s">
        <v>26</v>
      </c>
      <c r="C10034" s="7" t="s">
        <v>27</v>
      </c>
      <c r="D10034" s="7" t="s">
        <v>28</v>
      </c>
      <c r="E10034" s="7" t="s">
        <v>29</v>
      </c>
      <c r="F10034" s="7" t="s">
        <v>273</v>
      </c>
      <c r="G10034" s="7">
        <v>99.799040000000005</v>
      </c>
      <c r="H10034" s="7"/>
    </row>
    <row r="10035" spans="1:8" x14ac:dyDescent="0.35">
      <c r="A10035" s="7" t="s">
        <v>380</v>
      </c>
      <c r="B10035" s="7" t="s">
        <v>26</v>
      </c>
      <c r="C10035" s="7" t="s">
        <v>27</v>
      </c>
      <c r="D10035" s="7" t="s">
        <v>28</v>
      </c>
      <c r="E10035" s="7" t="s">
        <v>29</v>
      </c>
      <c r="F10035" s="7" t="s">
        <v>274</v>
      </c>
      <c r="G10035" s="7">
        <v>100.1276</v>
      </c>
      <c r="H10035" s="7"/>
    </row>
    <row r="10036" spans="1:8" x14ac:dyDescent="0.35">
      <c r="A10036" s="7" t="s">
        <v>380</v>
      </c>
      <c r="B10036" s="7" t="s">
        <v>26</v>
      </c>
      <c r="C10036" s="7" t="s">
        <v>27</v>
      </c>
      <c r="D10036" s="7" t="s">
        <v>28</v>
      </c>
      <c r="E10036" s="7" t="s">
        <v>29</v>
      </c>
      <c r="F10036" s="7" t="s">
        <v>275</v>
      </c>
      <c r="G10036" s="7">
        <v>100.41070000000001</v>
      </c>
      <c r="H10036" s="7"/>
    </row>
    <row r="10037" spans="1:8" x14ac:dyDescent="0.35">
      <c r="A10037" s="7" t="s">
        <v>380</v>
      </c>
      <c r="B10037" s="7" t="s">
        <v>26</v>
      </c>
      <c r="C10037" s="7" t="s">
        <v>27</v>
      </c>
      <c r="D10037" s="7" t="s">
        <v>28</v>
      </c>
      <c r="E10037" s="7" t="s">
        <v>29</v>
      </c>
      <c r="F10037" s="7" t="s">
        <v>276</v>
      </c>
      <c r="G10037" s="7">
        <v>100.3698</v>
      </c>
      <c r="H10037" s="7"/>
    </row>
    <row r="10038" spans="1:8" x14ac:dyDescent="0.35">
      <c r="A10038" s="7" t="s">
        <v>380</v>
      </c>
      <c r="B10038" s="7" t="s">
        <v>26</v>
      </c>
      <c r="C10038" s="7" t="s">
        <v>27</v>
      </c>
      <c r="D10038" s="7" t="s">
        <v>28</v>
      </c>
      <c r="E10038" s="7" t="s">
        <v>29</v>
      </c>
      <c r="F10038" s="7" t="s">
        <v>277</v>
      </c>
      <c r="G10038" s="7">
        <v>100.003</v>
      </c>
      <c r="H10038" s="7"/>
    </row>
    <row r="10039" spans="1:8" x14ac:dyDescent="0.35">
      <c r="A10039" s="7" t="s">
        <v>380</v>
      </c>
      <c r="B10039" s="7" t="s">
        <v>26</v>
      </c>
      <c r="C10039" s="7" t="s">
        <v>27</v>
      </c>
      <c r="D10039" s="7" t="s">
        <v>28</v>
      </c>
      <c r="E10039" s="7" t="s">
        <v>29</v>
      </c>
      <c r="F10039" s="7" t="s">
        <v>278</v>
      </c>
      <c r="G10039" s="7">
        <v>99.678060000000002</v>
      </c>
      <c r="H10039" s="7"/>
    </row>
    <row r="10040" spans="1:8" x14ac:dyDescent="0.35">
      <c r="A10040" s="7" t="s">
        <v>380</v>
      </c>
      <c r="B10040" s="7" t="s">
        <v>26</v>
      </c>
      <c r="C10040" s="7" t="s">
        <v>27</v>
      </c>
      <c r="D10040" s="7" t="s">
        <v>28</v>
      </c>
      <c r="E10040" s="7" t="s">
        <v>29</v>
      </c>
      <c r="F10040" s="7" t="s">
        <v>279</v>
      </c>
      <c r="G10040" s="7">
        <v>99.490759999999995</v>
      </c>
      <c r="H10040" s="7"/>
    </row>
    <row r="10041" spans="1:8" x14ac:dyDescent="0.35">
      <c r="A10041" s="7" t="s">
        <v>380</v>
      </c>
      <c r="B10041" s="7" t="s">
        <v>26</v>
      </c>
      <c r="C10041" s="7" t="s">
        <v>27</v>
      </c>
      <c r="D10041" s="7" t="s">
        <v>28</v>
      </c>
      <c r="E10041" s="7" t="s">
        <v>29</v>
      </c>
      <c r="F10041" s="7" t="s">
        <v>280</v>
      </c>
      <c r="G10041" s="7">
        <v>99.381389999999996</v>
      </c>
      <c r="H10041" s="7"/>
    </row>
    <row r="10042" spans="1:8" x14ac:dyDescent="0.35">
      <c r="A10042" s="7" t="s">
        <v>380</v>
      </c>
      <c r="B10042" s="7" t="s">
        <v>26</v>
      </c>
      <c r="C10042" s="7" t="s">
        <v>27</v>
      </c>
      <c r="D10042" s="7" t="s">
        <v>28</v>
      </c>
      <c r="E10042" s="7" t="s">
        <v>29</v>
      </c>
      <c r="F10042" s="7" t="s">
        <v>281</v>
      </c>
      <c r="G10042" s="7">
        <v>99.391499999999994</v>
      </c>
      <c r="H10042" s="7"/>
    </row>
    <row r="10043" spans="1:8" x14ac:dyDescent="0.35">
      <c r="A10043" s="7" t="s">
        <v>380</v>
      </c>
      <c r="B10043" s="7" t="s">
        <v>26</v>
      </c>
      <c r="C10043" s="7" t="s">
        <v>27</v>
      </c>
      <c r="D10043" s="7" t="s">
        <v>28</v>
      </c>
      <c r="E10043" s="7" t="s">
        <v>29</v>
      </c>
      <c r="F10043" s="7" t="s">
        <v>282</v>
      </c>
      <c r="G10043" s="7">
        <v>99.442939999999993</v>
      </c>
      <c r="H10043" s="7"/>
    </row>
    <row r="10044" spans="1:8" x14ac:dyDescent="0.35">
      <c r="A10044" s="7" t="s">
        <v>380</v>
      </c>
      <c r="B10044" s="7" t="s">
        <v>26</v>
      </c>
      <c r="C10044" s="7" t="s">
        <v>27</v>
      </c>
      <c r="D10044" s="7" t="s">
        <v>28</v>
      </c>
      <c r="E10044" s="7" t="s">
        <v>29</v>
      </c>
      <c r="F10044" s="7" t="s">
        <v>283</v>
      </c>
      <c r="G10044" s="7">
        <v>99.536389999999997</v>
      </c>
      <c r="H10044" s="7"/>
    </row>
    <row r="10045" spans="1:8" x14ac:dyDescent="0.35">
      <c r="A10045" s="7" t="s">
        <v>380</v>
      </c>
      <c r="B10045" s="7" t="s">
        <v>26</v>
      </c>
      <c r="C10045" s="7" t="s">
        <v>27</v>
      </c>
      <c r="D10045" s="7" t="s">
        <v>28</v>
      </c>
      <c r="E10045" s="7" t="s">
        <v>29</v>
      </c>
      <c r="F10045" s="7" t="s">
        <v>284</v>
      </c>
      <c r="G10045" s="7">
        <v>99.734729999999999</v>
      </c>
      <c r="H10045" s="7"/>
    </row>
    <row r="10046" spans="1:8" x14ac:dyDescent="0.35">
      <c r="A10046" s="7" t="s">
        <v>380</v>
      </c>
      <c r="B10046" s="7" t="s">
        <v>26</v>
      </c>
      <c r="C10046" s="7" t="s">
        <v>27</v>
      </c>
      <c r="D10046" s="7" t="s">
        <v>28</v>
      </c>
      <c r="E10046" s="7" t="s">
        <v>29</v>
      </c>
      <c r="F10046" s="7" t="s">
        <v>285</v>
      </c>
      <c r="G10046" s="7">
        <v>99.895669999999996</v>
      </c>
      <c r="H10046" s="7"/>
    </row>
    <row r="10047" spans="1:8" x14ac:dyDescent="0.35">
      <c r="A10047" s="7" t="s">
        <v>380</v>
      </c>
      <c r="B10047" s="7" t="s">
        <v>26</v>
      </c>
      <c r="C10047" s="7" t="s">
        <v>27</v>
      </c>
      <c r="D10047" s="7" t="s">
        <v>28</v>
      </c>
      <c r="E10047" s="7" t="s">
        <v>29</v>
      </c>
      <c r="F10047" s="7" t="s">
        <v>286</v>
      </c>
      <c r="G10047" s="7">
        <v>100.0472</v>
      </c>
      <c r="H10047" s="7"/>
    </row>
    <row r="10048" spans="1:8" x14ac:dyDescent="0.35">
      <c r="A10048" s="7" t="s">
        <v>380</v>
      </c>
      <c r="B10048" s="7" t="s">
        <v>26</v>
      </c>
      <c r="C10048" s="7" t="s">
        <v>27</v>
      </c>
      <c r="D10048" s="7" t="s">
        <v>28</v>
      </c>
      <c r="E10048" s="7" t="s">
        <v>29</v>
      </c>
      <c r="F10048" s="7" t="s">
        <v>287</v>
      </c>
      <c r="G10048" s="7">
        <v>100.1049</v>
      </c>
      <c r="H10048" s="7"/>
    </row>
    <row r="10049" spans="1:8" x14ac:dyDescent="0.35">
      <c r="A10049" s="7" t="s">
        <v>380</v>
      </c>
      <c r="B10049" s="7" t="s">
        <v>26</v>
      </c>
      <c r="C10049" s="7" t="s">
        <v>27</v>
      </c>
      <c r="D10049" s="7" t="s">
        <v>28</v>
      </c>
      <c r="E10049" s="7" t="s">
        <v>29</v>
      </c>
      <c r="F10049" s="7" t="s">
        <v>288</v>
      </c>
      <c r="G10049" s="7">
        <v>100.2247</v>
      </c>
      <c r="H10049" s="7"/>
    </row>
    <row r="10050" spans="1:8" x14ac:dyDescent="0.35">
      <c r="A10050" s="7" t="s">
        <v>380</v>
      </c>
      <c r="B10050" s="7" t="s">
        <v>26</v>
      </c>
      <c r="C10050" s="7" t="s">
        <v>27</v>
      </c>
      <c r="D10050" s="7" t="s">
        <v>28</v>
      </c>
      <c r="E10050" s="7" t="s">
        <v>29</v>
      </c>
      <c r="F10050" s="7" t="s">
        <v>289</v>
      </c>
      <c r="G10050" s="7">
        <v>100.31019999999999</v>
      </c>
      <c r="H10050" s="7"/>
    </row>
    <row r="10051" spans="1:8" x14ac:dyDescent="0.35">
      <c r="A10051" s="7" t="s">
        <v>380</v>
      </c>
      <c r="B10051" s="7" t="s">
        <v>26</v>
      </c>
      <c r="C10051" s="7" t="s">
        <v>27</v>
      </c>
      <c r="D10051" s="7" t="s">
        <v>28</v>
      </c>
      <c r="E10051" s="7" t="s">
        <v>29</v>
      </c>
      <c r="F10051" s="7" t="s">
        <v>290</v>
      </c>
      <c r="G10051" s="7">
        <v>100.31059999999999</v>
      </c>
      <c r="H10051" s="7"/>
    </row>
    <row r="10052" spans="1:8" x14ac:dyDescent="0.35">
      <c r="A10052" s="7" t="s">
        <v>380</v>
      </c>
      <c r="B10052" s="7" t="s">
        <v>26</v>
      </c>
      <c r="C10052" s="7" t="s">
        <v>27</v>
      </c>
      <c r="D10052" s="7" t="s">
        <v>28</v>
      </c>
      <c r="E10052" s="7" t="s">
        <v>29</v>
      </c>
      <c r="F10052" s="7" t="s">
        <v>291</v>
      </c>
      <c r="G10052" s="7">
        <v>100.2739</v>
      </c>
      <c r="H10052" s="7"/>
    </row>
    <row r="10053" spans="1:8" x14ac:dyDescent="0.35">
      <c r="A10053" s="7" t="s">
        <v>380</v>
      </c>
      <c r="B10053" s="7" t="s">
        <v>26</v>
      </c>
      <c r="C10053" s="7" t="s">
        <v>27</v>
      </c>
      <c r="D10053" s="7" t="s">
        <v>28</v>
      </c>
      <c r="E10053" s="7" t="s">
        <v>29</v>
      </c>
      <c r="F10053" s="7" t="s">
        <v>292</v>
      </c>
      <c r="G10053" s="7">
        <v>100.277</v>
      </c>
      <c r="H10053" s="7"/>
    </row>
    <row r="10054" spans="1:8" x14ac:dyDescent="0.35">
      <c r="A10054" s="7" t="s">
        <v>380</v>
      </c>
      <c r="B10054" s="7" t="s">
        <v>26</v>
      </c>
      <c r="C10054" s="7" t="s">
        <v>27</v>
      </c>
      <c r="D10054" s="7" t="s">
        <v>28</v>
      </c>
      <c r="E10054" s="7" t="s">
        <v>29</v>
      </c>
      <c r="F10054" s="7" t="s">
        <v>293</v>
      </c>
      <c r="G10054" s="7">
        <v>100.5322</v>
      </c>
      <c r="H10054" s="7"/>
    </row>
    <row r="10055" spans="1:8" x14ac:dyDescent="0.35">
      <c r="A10055" s="7" t="s">
        <v>380</v>
      </c>
      <c r="B10055" s="7" t="s">
        <v>26</v>
      </c>
      <c r="C10055" s="7" t="s">
        <v>27</v>
      </c>
      <c r="D10055" s="7" t="s">
        <v>28</v>
      </c>
      <c r="E10055" s="7" t="s">
        <v>29</v>
      </c>
      <c r="F10055" s="7" t="s">
        <v>294</v>
      </c>
      <c r="G10055" s="7">
        <v>100.7931</v>
      </c>
      <c r="H10055" s="7"/>
    </row>
    <row r="10056" spans="1:8" x14ac:dyDescent="0.35">
      <c r="A10056" s="7" t="s">
        <v>380</v>
      </c>
      <c r="B10056" s="7" t="s">
        <v>26</v>
      </c>
      <c r="C10056" s="7" t="s">
        <v>27</v>
      </c>
      <c r="D10056" s="7" t="s">
        <v>28</v>
      </c>
      <c r="E10056" s="7" t="s">
        <v>29</v>
      </c>
      <c r="F10056" s="7" t="s">
        <v>295</v>
      </c>
      <c r="G10056" s="7">
        <v>100.9679</v>
      </c>
      <c r="H10056" s="7"/>
    </row>
    <row r="10057" spans="1:8" x14ac:dyDescent="0.35">
      <c r="A10057" s="7" t="s">
        <v>380</v>
      </c>
      <c r="B10057" s="7" t="s">
        <v>26</v>
      </c>
      <c r="C10057" s="7" t="s">
        <v>27</v>
      </c>
      <c r="D10057" s="7" t="s">
        <v>28</v>
      </c>
      <c r="E10057" s="7" t="s">
        <v>29</v>
      </c>
      <c r="F10057" s="7" t="s">
        <v>296</v>
      </c>
      <c r="G10057" s="7">
        <v>101.1204</v>
      </c>
      <c r="H10057" s="7"/>
    </row>
    <row r="10058" spans="1:8" x14ac:dyDescent="0.35">
      <c r="A10058" s="7" t="s">
        <v>380</v>
      </c>
      <c r="B10058" s="7" t="s">
        <v>26</v>
      </c>
      <c r="C10058" s="7" t="s">
        <v>27</v>
      </c>
      <c r="D10058" s="7" t="s">
        <v>28</v>
      </c>
      <c r="E10058" s="7" t="s">
        <v>29</v>
      </c>
      <c r="F10058" s="7" t="s">
        <v>297</v>
      </c>
      <c r="G10058" s="7">
        <v>101.155</v>
      </c>
      <c r="H10058" s="7"/>
    </row>
    <row r="10059" spans="1:8" x14ac:dyDescent="0.35">
      <c r="A10059" s="7" t="s">
        <v>380</v>
      </c>
      <c r="B10059" s="7" t="s">
        <v>26</v>
      </c>
      <c r="C10059" s="7" t="s">
        <v>27</v>
      </c>
      <c r="D10059" s="7" t="s">
        <v>28</v>
      </c>
      <c r="E10059" s="7" t="s">
        <v>29</v>
      </c>
      <c r="F10059" s="7" t="s">
        <v>298</v>
      </c>
      <c r="G10059" s="7">
        <v>101.1172</v>
      </c>
      <c r="H10059" s="7"/>
    </row>
    <row r="10060" spans="1:8" x14ac:dyDescent="0.35">
      <c r="A10060" s="7" t="s">
        <v>380</v>
      </c>
      <c r="B10060" s="7" t="s">
        <v>26</v>
      </c>
      <c r="C10060" s="7" t="s">
        <v>27</v>
      </c>
      <c r="D10060" s="7" t="s">
        <v>28</v>
      </c>
      <c r="E10060" s="7" t="s">
        <v>29</v>
      </c>
      <c r="F10060" s="7" t="s">
        <v>299</v>
      </c>
      <c r="G10060" s="7">
        <v>100.9843</v>
      </c>
      <c r="H10060" s="7"/>
    </row>
    <row r="10061" spans="1:8" x14ac:dyDescent="0.35">
      <c r="A10061" s="7" t="s">
        <v>380</v>
      </c>
      <c r="B10061" s="7" t="s">
        <v>26</v>
      </c>
      <c r="C10061" s="7" t="s">
        <v>27</v>
      </c>
      <c r="D10061" s="7" t="s">
        <v>28</v>
      </c>
      <c r="E10061" s="7" t="s">
        <v>29</v>
      </c>
      <c r="F10061" s="7" t="s">
        <v>300</v>
      </c>
      <c r="G10061" s="7">
        <v>100.7907</v>
      </c>
      <c r="H10061" s="7"/>
    </row>
    <row r="10062" spans="1:8" x14ac:dyDescent="0.35">
      <c r="A10062" s="7" t="s">
        <v>380</v>
      </c>
      <c r="B10062" s="7" t="s">
        <v>26</v>
      </c>
      <c r="C10062" s="7" t="s">
        <v>27</v>
      </c>
      <c r="D10062" s="7" t="s">
        <v>28</v>
      </c>
      <c r="E10062" s="7" t="s">
        <v>29</v>
      </c>
      <c r="F10062" s="7" t="s">
        <v>301</v>
      </c>
      <c r="G10062" s="7">
        <v>100.7432</v>
      </c>
      <c r="H10062" s="7"/>
    </row>
    <row r="10063" spans="1:8" x14ac:dyDescent="0.35">
      <c r="A10063" s="7" t="s">
        <v>380</v>
      </c>
      <c r="B10063" s="7" t="s">
        <v>26</v>
      </c>
      <c r="C10063" s="7" t="s">
        <v>27</v>
      </c>
      <c r="D10063" s="7" t="s">
        <v>28</v>
      </c>
      <c r="E10063" s="7" t="s">
        <v>29</v>
      </c>
      <c r="F10063" s="7" t="s">
        <v>302</v>
      </c>
      <c r="G10063" s="7">
        <v>100.7195</v>
      </c>
      <c r="H10063" s="7"/>
    </row>
    <row r="10064" spans="1:8" x14ac:dyDescent="0.35">
      <c r="A10064" s="7" t="s">
        <v>380</v>
      </c>
      <c r="B10064" s="7" t="s">
        <v>26</v>
      </c>
      <c r="C10064" s="7" t="s">
        <v>27</v>
      </c>
      <c r="D10064" s="7" t="s">
        <v>28</v>
      </c>
      <c r="E10064" s="7" t="s">
        <v>29</v>
      </c>
      <c r="F10064" s="7" t="s">
        <v>303</v>
      </c>
      <c r="G10064" s="7">
        <v>100.7671</v>
      </c>
      <c r="H10064" s="7"/>
    </row>
    <row r="10065" spans="1:8" x14ac:dyDescent="0.35">
      <c r="A10065" s="7" t="s">
        <v>380</v>
      </c>
      <c r="B10065" s="7" t="s">
        <v>26</v>
      </c>
      <c r="C10065" s="7" t="s">
        <v>27</v>
      </c>
      <c r="D10065" s="7" t="s">
        <v>28</v>
      </c>
      <c r="E10065" s="7" t="s">
        <v>29</v>
      </c>
      <c r="F10065" s="7" t="s">
        <v>304</v>
      </c>
      <c r="G10065" s="7">
        <v>100.7276</v>
      </c>
      <c r="H10065" s="7"/>
    </row>
    <row r="10066" spans="1:8" x14ac:dyDescent="0.35">
      <c r="A10066" s="7" t="s">
        <v>380</v>
      </c>
      <c r="B10066" s="7" t="s">
        <v>26</v>
      </c>
      <c r="C10066" s="7" t="s">
        <v>27</v>
      </c>
      <c r="D10066" s="7" t="s">
        <v>28</v>
      </c>
      <c r="E10066" s="7" t="s">
        <v>29</v>
      </c>
      <c r="F10066" s="7" t="s">
        <v>305</v>
      </c>
      <c r="G10066" s="7">
        <v>100.502</v>
      </c>
      <c r="H10066" s="7"/>
    </row>
    <row r="10067" spans="1:8" x14ac:dyDescent="0.35">
      <c r="A10067" s="7" t="s">
        <v>380</v>
      </c>
      <c r="B10067" s="7" t="s">
        <v>26</v>
      </c>
      <c r="C10067" s="7" t="s">
        <v>27</v>
      </c>
      <c r="D10067" s="7" t="s">
        <v>28</v>
      </c>
      <c r="E10067" s="7" t="s">
        <v>29</v>
      </c>
      <c r="F10067" s="7" t="s">
        <v>306</v>
      </c>
      <c r="G10067" s="7">
        <v>100.22929999999999</v>
      </c>
      <c r="H10067" s="7"/>
    </row>
    <row r="10068" spans="1:8" x14ac:dyDescent="0.35">
      <c r="A10068" s="7" t="s">
        <v>380</v>
      </c>
      <c r="B10068" s="7" t="s">
        <v>26</v>
      </c>
      <c r="C10068" s="7" t="s">
        <v>27</v>
      </c>
      <c r="D10068" s="7" t="s">
        <v>28</v>
      </c>
      <c r="E10068" s="7" t="s">
        <v>29</v>
      </c>
      <c r="F10068" s="7" t="s">
        <v>307</v>
      </c>
      <c r="G10068" s="7">
        <v>100.0598</v>
      </c>
      <c r="H10068" s="7"/>
    </row>
    <row r="10069" spans="1:8" x14ac:dyDescent="0.35">
      <c r="A10069" s="7" t="s">
        <v>380</v>
      </c>
      <c r="B10069" s="7" t="s">
        <v>26</v>
      </c>
      <c r="C10069" s="7" t="s">
        <v>27</v>
      </c>
      <c r="D10069" s="7" t="s">
        <v>28</v>
      </c>
      <c r="E10069" s="7" t="s">
        <v>29</v>
      </c>
      <c r="F10069" s="7" t="s">
        <v>308</v>
      </c>
      <c r="G10069" s="7">
        <v>100.0628</v>
      </c>
      <c r="H10069" s="7"/>
    </row>
    <row r="10070" spans="1:8" x14ac:dyDescent="0.35">
      <c r="A10070" s="7" t="s">
        <v>380</v>
      </c>
      <c r="B10070" s="7" t="s">
        <v>26</v>
      </c>
      <c r="C10070" s="7" t="s">
        <v>27</v>
      </c>
      <c r="D10070" s="7" t="s">
        <v>28</v>
      </c>
      <c r="E10070" s="7" t="s">
        <v>29</v>
      </c>
      <c r="F10070" s="7" t="s">
        <v>309</v>
      </c>
      <c r="G10070" s="7">
        <v>100.1182</v>
      </c>
      <c r="H10070" s="7"/>
    </row>
    <row r="10071" spans="1:8" x14ac:dyDescent="0.35">
      <c r="A10071" s="7" t="s">
        <v>380</v>
      </c>
      <c r="B10071" s="7" t="s">
        <v>26</v>
      </c>
      <c r="C10071" s="7" t="s">
        <v>27</v>
      </c>
      <c r="D10071" s="7" t="s">
        <v>28</v>
      </c>
      <c r="E10071" s="7" t="s">
        <v>29</v>
      </c>
      <c r="F10071" s="7" t="s">
        <v>310</v>
      </c>
      <c r="G10071" s="7">
        <v>100.1563</v>
      </c>
      <c r="H10071" s="7"/>
    </row>
    <row r="10072" spans="1:8" x14ac:dyDescent="0.35">
      <c r="A10072" s="7" t="s">
        <v>380</v>
      </c>
      <c r="B10072" s="7" t="s">
        <v>26</v>
      </c>
      <c r="C10072" s="7" t="s">
        <v>27</v>
      </c>
      <c r="D10072" s="7" t="s">
        <v>28</v>
      </c>
      <c r="E10072" s="7" t="s">
        <v>29</v>
      </c>
      <c r="F10072" s="7" t="s">
        <v>311</v>
      </c>
      <c r="G10072" s="7">
        <v>100.22490000000001</v>
      </c>
      <c r="H10072" s="7"/>
    </row>
    <row r="10073" spans="1:8" x14ac:dyDescent="0.35">
      <c r="A10073" s="7" t="s">
        <v>380</v>
      </c>
      <c r="B10073" s="7" t="s">
        <v>26</v>
      </c>
      <c r="C10073" s="7" t="s">
        <v>27</v>
      </c>
      <c r="D10073" s="7" t="s">
        <v>28</v>
      </c>
      <c r="E10073" s="7" t="s">
        <v>29</v>
      </c>
      <c r="F10073" s="7" t="s">
        <v>312</v>
      </c>
      <c r="G10073" s="7">
        <v>100.1377</v>
      </c>
      <c r="H10073" s="7"/>
    </row>
    <row r="10074" spans="1:8" x14ac:dyDescent="0.35">
      <c r="A10074" s="7" t="s">
        <v>380</v>
      </c>
      <c r="B10074" s="7" t="s">
        <v>26</v>
      </c>
      <c r="C10074" s="7" t="s">
        <v>27</v>
      </c>
      <c r="D10074" s="7" t="s">
        <v>28</v>
      </c>
      <c r="E10074" s="7" t="s">
        <v>29</v>
      </c>
      <c r="F10074" s="7" t="s">
        <v>313</v>
      </c>
      <c r="G10074" s="7">
        <v>99.857950000000002</v>
      </c>
      <c r="H10074" s="7"/>
    </row>
    <row r="10075" spans="1:8" x14ac:dyDescent="0.35">
      <c r="A10075" s="7" t="s">
        <v>380</v>
      </c>
      <c r="B10075" s="7" t="s">
        <v>26</v>
      </c>
      <c r="C10075" s="7" t="s">
        <v>27</v>
      </c>
      <c r="D10075" s="7" t="s">
        <v>28</v>
      </c>
      <c r="E10075" s="7" t="s">
        <v>29</v>
      </c>
      <c r="F10075" s="7" t="s">
        <v>314</v>
      </c>
      <c r="G10075" s="7">
        <v>99.81174</v>
      </c>
      <c r="H10075" s="7"/>
    </row>
    <row r="10076" spans="1:8" x14ac:dyDescent="0.35">
      <c r="A10076" s="7" t="s">
        <v>380</v>
      </c>
      <c r="B10076" s="7" t="s">
        <v>26</v>
      </c>
      <c r="C10076" s="7" t="s">
        <v>27</v>
      </c>
      <c r="D10076" s="7" t="s">
        <v>28</v>
      </c>
      <c r="E10076" s="7" t="s">
        <v>29</v>
      </c>
      <c r="F10076" s="7" t="s">
        <v>315</v>
      </c>
      <c r="G10076" s="7">
        <v>99.967910000000003</v>
      </c>
      <c r="H10076" s="7"/>
    </row>
    <row r="10077" spans="1:8" x14ac:dyDescent="0.35">
      <c r="A10077" s="7" t="s">
        <v>380</v>
      </c>
      <c r="B10077" s="7" t="s">
        <v>26</v>
      </c>
      <c r="C10077" s="7" t="s">
        <v>27</v>
      </c>
      <c r="D10077" s="7" t="s">
        <v>28</v>
      </c>
      <c r="E10077" s="7" t="s">
        <v>29</v>
      </c>
      <c r="F10077" s="7" t="s">
        <v>316</v>
      </c>
      <c r="G10077" s="7">
        <v>100.21469999999999</v>
      </c>
      <c r="H10077" s="7"/>
    </row>
    <row r="10078" spans="1:8" x14ac:dyDescent="0.35">
      <c r="A10078" s="7" t="s">
        <v>380</v>
      </c>
      <c r="B10078" s="7" t="s">
        <v>26</v>
      </c>
      <c r="C10078" s="7" t="s">
        <v>27</v>
      </c>
      <c r="D10078" s="7" t="s">
        <v>28</v>
      </c>
      <c r="E10078" s="7" t="s">
        <v>29</v>
      </c>
      <c r="F10078" s="7" t="s">
        <v>317</v>
      </c>
      <c r="G10078" s="7">
        <v>100.4295</v>
      </c>
      <c r="H10078" s="7"/>
    </row>
    <row r="10079" spans="1:8" x14ac:dyDescent="0.35">
      <c r="A10079" s="7" t="s">
        <v>380</v>
      </c>
      <c r="B10079" s="7" t="s">
        <v>26</v>
      </c>
      <c r="C10079" s="7" t="s">
        <v>27</v>
      </c>
      <c r="D10079" s="7" t="s">
        <v>28</v>
      </c>
      <c r="E10079" s="7" t="s">
        <v>29</v>
      </c>
      <c r="F10079" s="7" t="s">
        <v>318</v>
      </c>
      <c r="G10079" s="7">
        <v>100.42359999999999</v>
      </c>
      <c r="H10079" s="7"/>
    </row>
    <row r="10080" spans="1:8" x14ac:dyDescent="0.35">
      <c r="A10080" s="7" t="s">
        <v>380</v>
      </c>
      <c r="B10080" s="7" t="s">
        <v>26</v>
      </c>
      <c r="C10080" s="7" t="s">
        <v>27</v>
      </c>
      <c r="D10080" s="7" t="s">
        <v>28</v>
      </c>
      <c r="E10080" s="7" t="s">
        <v>29</v>
      </c>
      <c r="F10080" s="7" t="s">
        <v>319</v>
      </c>
      <c r="G10080" s="7">
        <v>100.1442</v>
      </c>
      <c r="H10080" s="7"/>
    </row>
    <row r="10081" spans="1:8" x14ac:dyDescent="0.35">
      <c r="A10081" s="7" t="s">
        <v>380</v>
      </c>
      <c r="B10081" s="7" t="s">
        <v>26</v>
      </c>
      <c r="C10081" s="7" t="s">
        <v>27</v>
      </c>
      <c r="D10081" s="7" t="s">
        <v>28</v>
      </c>
      <c r="E10081" s="7" t="s">
        <v>29</v>
      </c>
      <c r="F10081" s="7" t="s">
        <v>320</v>
      </c>
      <c r="G10081" s="7">
        <v>99.802289999999999</v>
      </c>
      <c r="H10081" s="7"/>
    </row>
    <row r="10082" spans="1:8" x14ac:dyDescent="0.35">
      <c r="A10082" s="7" t="s">
        <v>380</v>
      </c>
      <c r="B10082" s="7" t="s">
        <v>26</v>
      </c>
      <c r="C10082" s="7" t="s">
        <v>27</v>
      </c>
      <c r="D10082" s="7" t="s">
        <v>28</v>
      </c>
      <c r="E10082" s="7" t="s">
        <v>29</v>
      </c>
      <c r="F10082" s="7" t="s">
        <v>321</v>
      </c>
      <c r="G10082" s="7">
        <v>99.595619999999997</v>
      </c>
      <c r="H10082" s="7"/>
    </row>
    <row r="10083" spans="1:8" x14ac:dyDescent="0.35">
      <c r="A10083" s="7" t="s">
        <v>380</v>
      </c>
      <c r="B10083" s="7" t="s">
        <v>26</v>
      </c>
      <c r="C10083" s="7" t="s">
        <v>27</v>
      </c>
      <c r="D10083" s="7" t="s">
        <v>28</v>
      </c>
      <c r="E10083" s="7" t="s">
        <v>29</v>
      </c>
      <c r="F10083" s="7" t="s">
        <v>322</v>
      </c>
      <c r="G10083" s="7">
        <v>99.616029999999995</v>
      </c>
      <c r="H10083" s="7"/>
    </row>
    <row r="10084" spans="1:8" x14ac:dyDescent="0.35">
      <c r="A10084" s="7" t="s">
        <v>380</v>
      </c>
      <c r="B10084" s="7" t="s">
        <v>26</v>
      </c>
      <c r="C10084" s="7" t="s">
        <v>27</v>
      </c>
      <c r="D10084" s="7" t="s">
        <v>28</v>
      </c>
      <c r="E10084" s="7" t="s">
        <v>29</v>
      </c>
      <c r="F10084" s="7" t="s">
        <v>323</v>
      </c>
      <c r="G10084" s="7">
        <v>99.673580000000001</v>
      </c>
      <c r="H10084" s="7"/>
    </row>
    <row r="10085" spans="1:8" x14ac:dyDescent="0.35">
      <c r="A10085" s="7" t="s">
        <v>380</v>
      </c>
      <c r="B10085" s="7" t="s">
        <v>26</v>
      </c>
      <c r="C10085" s="7" t="s">
        <v>27</v>
      </c>
      <c r="D10085" s="7" t="s">
        <v>28</v>
      </c>
      <c r="E10085" s="7" t="s">
        <v>29</v>
      </c>
      <c r="F10085" s="7" t="s">
        <v>324</v>
      </c>
      <c r="G10085" s="7">
        <v>99.641289999999998</v>
      </c>
      <c r="H10085" s="7"/>
    </row>
    <row r="10086" spans="1:8" x14ac:dyDescent="0.35">
      <c r="A10086" s="7" t="s">
        <v>380</v>
      </c>
      <c r="B10086" s="7" t="s">
        <v>26</v>
      </c>
      <c r="C10086" s="7" t="s">
        <v>27</v>
      </c>
      <c r="D10086" s="7" t="s">
        <v>28</v>
      </c>
      <c r="E10086" s="7" t="s">
        <v>29</v>
      </c>
      <c r="F10086" s="7" t="s">
        <v>325</v>
      </c>
      <c r="G10086" s="7">
        <v>99.675700000000006</v>
      </c>
      <c r="H10086" s="7"/>
    </row>
    <row r="10087" spans="1:8" x14ac:dyDescent="0.35">
      <c r="A10087" s="7" t="s">
        <v>380</v>
      </c>
      <c r="B10087" s="7" t="s">
        <v>26</v>
      </c>
      <c r="C10087" s="7" t="s">
        <v>27</v>
      </c>
      <c r="D10087" s="7" t="s">
        <v>28</v>
      </c>
      <c r="E10087" s="7" t="s">
        <v>29</v>
      </c>
      <c r="F10087" s="7" t="s">
        <v>326</v>
      </c>
      <c r="G10087" s="7">
        <v>99.831990000000005</v>
      </c>
      <c r="H10087" s="7"/>
    </row>
    <row r="10088" spans="1:8" x14ac:dyDescent="0.35">
      <c r="A10088" s="7" t="s">
        <v>380</v>
      </c>
      <c r="B10088" s="7" t="s">
        <v>26</v>
      </c>
      <c r="C10088" s="7" t="s">
        <v>27</v>
      </c>
      <c r="D10088" s="7" t="s">
        <v>28</v>
      </c>
      <c r="E10088" s="7" t="s">
        <v>29</v>
      </c>
      <c r="F10088" s="7" t="s">
        <v>327</v>
      </c>
      <c r="G10088" s="7">
        <v>99.95993</v>
      </c>
      <c r="H10088" s="7"/>
    </row>
    <row r="10089" spans="1:8" x14ac:dyDescent="0.35">
      <c r="A10089" s="7" t="s">
        <v>380</v>
      </c>
      <c r="B10089" s="7" t="s">
        <v>26</v>
      </c>
      <c r="C10089" s="7" t="s">
        <v>27</v>
      </c>
      <c r="D10089" s="7" t="s">
        <v>28</v>
      </c>
      <c r="E10089" s="7" t="s">
        <v>29</v>
      </c>
      <c r="F10089" s="7" t="s">
        <v>328</v>
      </c>
      <c r="G10089" s="7">
        <v>99.930149999999998</v>
      </c>
      <c r="H10089" s="7"/>
    </row>
    <row r="10090" spans="1:8" x14ac:dyDescent="0.35">
      <c r="A10090" s="7" t="s">
        <v>380</v>
      </c>
      <c r="B10090" s="7" t="s">
        <v>26</v>
      </c>
      <c r="C10090" s="7" t="s">
        <v>27</v>
      </c>
      <c r="D10090" s="7" t="s">
        <v>28</v>
      </c>
      <c r="E10090" s="7" t="s">
        <v>29</v>
      </c>
      <c r="F10090" s="7" t="s">
        <v>329</v>
      </c>
      <c r="G10090" s="7">
        <v>99.662639999999996</v>
      </c>
      <c r="H10090" s="7"/>
    </row>
    <row r="10091" spans="1:8" x14ac:dyDescent="0.35">
      <c r="A10091" s="7" t="s">
        <v>380</v>
      </c>
      <c r="B10091" s="7" t="s">
        <v>26</v>
      </c>
      <c r="C10091" s="7" t="s">
        <v>27</v>
      </c>
      <c r="D10091" s="7" t="s">
        <v>28</v>
      </c>
      <c r="E10091" s="7" t="s">
        <v>29</v>
      </c>
      <c r="F10091" s="7" t="s">
        <v>330</v>
      </c>
      <c r="G10091" s="7">
        <v>99.139120000000005</v>
      </c>
      <c r="H10091" s="7"/>
    </row>
    <row r="10092" spans="1:8" x14ac:dyDescent="0.35">
      <c r="A10092" s="7" t="s">
        <v>380</v>
      </c>
      <c r="B10092" s="7" t="s">
        <v>26</v>
      </c>
      <c r="C10092" s="7" t="s">
        <v>27</v>
      </c>
      <c r="D10092" s="7" t="s">
        <v>28</v>
      </c>
      <c r="E10092" s="7" t="s">
        <v>29</v>
      </c>
      <c r="F10092" s="7" t="s">
        <v>331</v>
      </c>
      <c r="G10092" s="7">
        <v>98.722790000000003</v>
      </c>
      <c r="H10092" s="7"/>
    </row>
    <row r="10093" spans="1:8" x14ac:dyDescent="0.35">
      <c r="A10093" s="7" t="s">
        <v>380</v>
      </c>
      <c r="B10093" s="7" t="s">
        <v>26</v>
      </c>
      <c r="C10093" s="7" t="s">
        <v>27</v>
      </c>
      <c r="D10093" s="7" t="s">
        <v>28</v>
      </c>
      <c r="E10093" s="7" t="s">
        <v>29</v>
      </c>
      <c r="F10093" s="7" t="s">
        <v>332</v>
      </c>
      <c r="G10093" s="7">
        <v>98.569069999999996</v>
      </c>
      <c r="H10093" s="7"/>
    </row>
    <row r="10094" spans="1:8" x14ac:dyDescent="0.35">
      <c r="A10094" s="7" t="s">
        <v>380</v>
      </c>
      <c r="B10094" s="7" t="s">
        <v>26</v>
      </c>
      <c r="C10094" s="7" t="s">
        <v>27</v>
      </c>
      <c r="D10094" s="7" t="s">
        <v>28</v>
      </c>
      <c r="E10094" s="7" t="s">
        <v>29</v>
      </c>
      <c r="F10094" s="7" t="s">
        <v>333</v>
      </c>
      <c r="G10094" s="7">
        <v>98.746449999999996</v>
      </c>
      <c r="H10094" s="7"/>
    </row>
    <row r="10095" spans="1:8" x14ac:dyDescent="0.35">
      <c r="A10095" s="7" t="s">
        <v>380</v>
      </c>
      <c r="B10095" s="7" t="s">
        <v>26</v>
      </c>
      <c r="C10095" s="7" t="s">
        <v>27</v>
      </c>
      <c r="D10095" s="7" t="s">
        <v>28</v>
      </c>
      <c r="E10095" s="7" t="s">
        <v>29</v>
      </c>
      <c r="F10095" s="7" t="s">
        <v>334</v>
      </c>
      <c r="G10095" s="7">
        <v>99.251099999999994</v>
      </c>
      <c r="H10095" s="7"/>
    </row>
    <row r="10096" spans="1:8" x14ac:dyDescent="0.35">
      <c r="A10096" s="7" t="s">
        <v>380</v>
      </c>
      <c r="B10096" s="7" t="s">
        <v>26</v>
      </c>
      <c r="C10096" s="7" t="s">
        <v>27</v>
      </c>
      <c r="D10096" s="7" t="s">
        <v>28</v>
      </c>
      <c r="E10096" s="7" t="s">
        <v>29</v>
      </c>
      <c r="F10096" s="7" t="s">
        <v>335</v>
      </c>
      <c r="G10096" s="7">
        <v>100.02070000000001</v>
      </c>
      <c r="H10096" s="7"/>
    </row>
    <row r="10097" spans="1:8" x14ac:dyDescent="0.35">
      <c r="A10097" s="7" t="s">
        <v>380</v>
      </c>
      <c r="B10097" s="7" t="s">
        <v>26</v>
      </c>
      <c r="C10097" s="7" t="s">
        <v>27</v>
      </c>
      <c r="D10097" s="7" t="s">
        <v>28</v>
      </c>
      <c r="E10097" s="7" t="s">
        <v>29</v>
      </c>
      <c r="F10097" s="7" t="s">
        <v>336</v>
      </c>
      <c r="G10097" s="7">
        <v>100.8471</v>
      </c>
      <c r="H10097" s="7"/>
    </row>
    <row r="10098" spans="1:8" x14ac:dyDescent="0.35">
      <c r="A10098" s="7" t="s">
        <v>380</v>
      </c>
      <c r="B10098" s="7" t="s">
        <v>26</v>
      </c>
      <c r="C10098" s="7" t="s">
        <v>27</v>
      </c>
      <c r="D10098" s="7" t="s">
        <v>28</v>
      </c>
      <c r="E10098" s="7" t="s">
        <v>29</v>
      </c>
      <c r="F10098" s="7" t="s">
        <v>337</v>
      </c>
      <c r="G10098" s="7">
        <v>101.3891</v>
      </c>
      <c r="H10098" s="7"/>
    </row>
    <row r="10099" spans="1:8" x14ac:dyDescent="0.35">
      <c r="A10099" s="7" t="s">
        <v>380</v>
      </c>
      <c r="B10099" s="7" t="s">
        <v>26</v>
      </c>
      <c r="C10099" s="7" t="s">
        <v>27</v>
      </c>
      <c r="D10099" s="7" t="s">
        <v>28</v>
      </c>
      <c r="E10099" s="7" t="s">
        <v>29</v>
      </c>
      <c r="F10099" s="7" t="s">
        <v>338</v>
      </c>
      <c r="G10099" s="7">
        <v>101.5453</v>
      </c>
      <c r="H10099" s="7"/>
    </row>
    <row r="10100" spans="1:8" x14ac:dyDescent="0.35">
      <c r="A10100" s="7" t="s">
        <v>380</v>
      </c>
      <c r="B10100" s="7" t="s">
        <v>26</v>
      </c>
      <c r="C10100" s="7" t="s">
        <v>27</v>
      </c>
      <c r="D10100" s="7" t="s">
        <v>28</v>
      </c>
      <c r="E10100" s="7" t="s">
        <v>29</v>
      </c>
      <c r="F10100" s="7" t="s">
        <v>339</v>
      </c>
      <c r="G10100" s="7">
        <v>101.45180000000001</v>
      </c>
      <c r="H10100" s="7"/>
    </row>
    <row r="10101" spans="1:8" x14ac:dyDescent="0.35">
      <c r="A10101" s="7" t="s">
        <v>380</v>
      </c>
      <c r="B10101" s="7" t="s">
        <v>26</v>
      </c>
      <c r="C10101" s="7" t="s">
        <v>27</v>
      </c>
      <c r="D10101" s="7" t="s">
        <v>28</v>
      </c>
      <c r="E10101" s="7" t="s">
        <v>29</v>
      </c>
      <c r="F10101" s="7" t="s">
        <v>340</v>
      </c>
      <c r="G10101" s="7">
        <v>101.3425</v>
      </c>
      <c r="H10101" s="7"/>
    </row>
    <row r="10102" spans="1:8" x14ac:dyDescent="0.35">
      <c r="A10102" s="7" t="s">
        <v>380</v>
      </c>
      <c r="B10102" s="7" t="s">
        <v>26</v>
      </c>
      <c r="C10102" s="7" t="s">
        <v>27</v>
      </c>
      <c r="D10102" s="7" t="s">
        <v>28</v>
      </c>
      <c r="E10102" s="7" t="s">
        <v>29</v>
      </c>
      <c r="F10102" s="7" t="s">
        <v>341</v>
      </c>
      <c r="G10102" s="7">
        <v>101.4174</v>
      </c>
      <c r="H10102" s="7"/>
    </row>
    <row r="10103" spans="1:8" x14ac:dyDescent="0.35">
      <c r="A10103" s="7" t="s">
        <v>380</v>
      </c>
      <c r="B10103" s="7" t="s">
        <v>26</v>
      </c>
      <c r="C10103" s="7" t="s">
        <v>27</v>
      </c>
      <c r="D10103" s="7" t="s">
        <v>28</v>
      </c>
      <c r="E10103" s="7" t="s">
        <v>29</v>
      </c>
      <c r="F10103" s="7" t="s">
        <v>342</v>
      </c>
      <c r="G10103" s="7">
        <v>101.56870000000001</v>
      </c>
      <c r="H10103" s="7"/>
    </row>
    <row r="10104" spans="1:8" x14ac:dyDescent="0.35">
      <c r="A10104" s="7" t="s">
        <v>380</v>
      </c>
      <c r="B10104" s="7" t="s">
        <v>26</v>
      </c>
      <c r="C10104" s="7" t="s">
        <v>27</v>
      </c>
      <c r="D10104" s="7" t="s">
        <v>28</v>
      </c>
      <c r="E10104" s="7" t="s">
        <v>29</v>
      </c>
      <c r="F10104" s="7" t="s">
        <v>343</v>
      </c>
      <c r="G10104" s="7">
        <v>101.5675</v>
      </c>
      <c r="H10104" s="7"/>
    </row>
    <row r="10105" spans="1:8" x14ac:dyDescent="0.35">
      <c r="A10105" s="7" t="s">
        <v>380</v>
      </c>
      <c r="B10105" s="7" t="s">
        <v>26</v>
      </c>
      <c r="C10105" s="7" t="s">
        <v>27</v>
      </c>
      <c r="D10105" s="7" t="s">
        <v>28</v>
      </c>
      <c r="E10105" s="7" t="s">
        <v>29</v>
      </c>
      <c r="F10105" s="7" t="s">
        <v>344</v>
      </c>
      <c r="G10105" s="7">
        <v>101.45059999999999</v>
      </c>
      <c r="H10105" s="7"/>
    </row>
    <row r="10106" spans="1:8" x14ac:dyDescent="0.35">
      <c r="A10106" s="7" t="s">
        <v>380</v>
      </c>
      <c r="B10106" s="7" t="s">
        <v>26</v>
      </c>
      <c r="C10106" s="7" t="s">
        <v>27</v>
      </c>
      <c r="D10106" s="7" t="s">
        <v>28</v>
      </c>
      <c r="E10106" s="7" t="s">
        <v>29</v>
      </c>
      <c r="F10106" s="7" t="s">
        <v>345</v>
      </c>
      <c r="G10106" s="7">
        <v>101.2788</v>
      </c>
      <c r="H10106" s="7"/>
    </row>
    <row r="10107" spans="1:8" x14ac:dyDescent="0.35">
      <c r="A10107" s="7" t="s">
        <v>380</v>
      </c>
      <c r="B10107" s="7" t="s">
        <v>26</v>
      </c>
      <c r="C10107" s="7" t="s">
        <v>27</v>
      </c>
      <c r="D10107" s="7" t="s">
        <v>28</v>
      </c>
      <c r="E10107" s="7" t="s">
        <v>29</v>
      </c>
      <c r="F10107" s="7" t="s">
        <v>346</v>
      </c>
      <c r="G10107" s="7">
        <v>101.1319</v>
      </c>
      <c r="H10107" s="7"/>
    </row>
    <row r="10108" spans="1:8" x14ac:dyDescent="0.35">
      <c r="A10108" s="7" t="s">
        <v>381</v>
      </c>
      <c r="B10108" s="7" t="s">
        <v>26</v>
      </c>
      <c r="C10108" s="7" t="s">
        <v>27</v>
      </c>
      <c r="D10108" s="7" t="s">
        <v>28</v>
      </c>
      <c r="E10108" s="7" t="s">
        <v>29</v>
      </c>
      <c r="F10108" s="7" t="s">
        <v>47</v>
      </c>
      <c r="G10108" s="7">
        <v>87.971879999999999</v>
      </c>
      <c r="H10108" s="7"/>
    </row>
    <row r="10109" spans="1:8" x14ac:dyDescent="0.35">
      <c r="A10109" s="7" t="s">
        <v>381</v>
      </c>
      <c r="B10109" s="7" t="s">
        <v>26</v>
      </c>
      <c r="C10109" s="7" t="s">
        <v>27</v>
      </c>
      <c r="D10109" s="7" t="s">
        <v>28</v>
      </c>
      <c r="E10109" s="7" t="s">
        <v>29</v>
      </c>
      <c r="F10109" s="7" t="s">
        <v>48</v>
      </c>
      <c r="G10109" s="7">
        <v>87.988299999999995</v>
      </c>
      <c r="H10109" s="7"/>
    </row>
    <row r="10110" spans="1:8" x14ac:dyDescent="0.35">
      <c r="A10110" s="7" t="s">
        <v>381</v>
      </c>
      <c r="B10110" s="7" t="s">
        <v>26</v>
      </c>
      <c r="C10110" s="7" t="s">
        <v>27</v>
      </c>
      <c r="D10110" s="7" t="s">
        <v>28</v>
      </c>
      <c r="E10110" s="7" t="s">
        <v>29</v>
      </c>
      <c r="F10110" s="7" t="s">
        <v>49</v>
      </c>
      <c r="G10110" s="7">
        <v>88.029690000000002</v>
      </c>
      <c r="H10110" s="7"/>
    </row>
    <row r="10111" spans="1:8" x14ac:dyDescent="0.35">
      <c r="A10111" s="7" t="s">
        <v>381</v>
      </c>
      <c r="B10111" s="7" t="s">
        <v>26</v>
      </c>
      <c r="C10111" s="7" t="s">
        <v>27</v>
      </c>
      <c r="D10111" s="7" t="s">
        <v>28</v>
      </c>
      <c r="E10111" s="7" t="s">
        <v>29</v>
      </c>
      <c r="F10111" s="7" t="s">
        <v>50</v>
      </c>
      <c r="G10111" s="7">
        <v>88.216560000000001</v>
      </c>
      <c r="H10111" s="7"/>
    </row>
    <row r="10112" spans="1:8" x14ac:dyDescent="0.35">
      <c r="A10112" s="7" t="s">
        <v>381</v>
      </c>
      <c r="B10112" s="7" t="s">
        <v>26</v>
      </c>
      <c r="C10112" s="7" t="s">
        <v>27</v>
      </c>
      <c r="D10112" s="7" t="s">
        <v>28</v>
      </c>
      <c r="E10112" s="7" t="s">
        <v>29</v>
      </c>
      <c r="F10112" s="7" t="s">
        <v>51</v>
      </c>
      <c r="G10112" s="7">
        <v>88.810580000000002</v>
      </c>
      <c r="H10112" s="7"/>
    </row>
    <row r="10113" spans="1:8" x14ac:dyDescent="0.35">
      <c r="A10113" s="7" t="s">
        <v>381</v>
      </c>
      <c r="B10113" s="7" t="s">
        <v>26</v>
      </c>
      <c r="C10113" s="7" t="s">
        <v>27</v>
      </c>
      <c r="D10113" s="7" t="s">
        <v>28</v>
      </c>
      <c r="E10113" s="7" t="s">
        <v>29</v>
      </c>
      <c r="F10113" s="7" t="s">
        <v>52</v>
      </c>
      <c r="G10113" s="7">
        <v>90.143749999999997</v>
      </c>
      <c r="H10113" s="7"/>
    </row>
    <row r="10114" spans="1:8" x14ac:dyDescent="0.35">
      <c r="A10114" s="7" t="s">
        <v>381</v>
      </c>
      <c r="B10114" s="7" t="s">
        <v>26</v>
      </c>
      <c r="C10114" s="7" t="s">
        <v>27</v>
      </c>
      <c r="D10114" s="7" t="s">
        <v>28</v>
      </c>
      <c r="E10114" s="7" t="s">
        <v>29</v>
      </c>
      <c r="F10114" s="7" t="s">
        <v>53</v>
      </c>
      <c r="G10114" s="7">
        <v>92.227400000000003</v>
      </c>
      <c r="H10114" s="7"/>
    </row>
    <row r="10115" spans="1:8" x14ac:dyDescent="0.35">
      <c r="A10115" s="7" t="s">
        <v>381</v>
      </c>
      <c r="B10115" s="7" t="s">
        <v>26</v>
      </c>
      <c r="C10115" s="7" t="s">
        <v>27</v>
      </c>
      <c r="D10115" s="7" t="s">
        <v>28</v>
      </c>
      <c r="E10115" s="7" t="s">
        <v>29</v>
      </c>
      <c r="F10115" s="7" t="s">
        <v>54</v>
      </c>
      <c r="G10115" s="7">
        <v>93.535039999999995</v>
      </c>
      <c r="H10115" s="7"/>
    </row>
    <row r="10116" spans="1:8" x14ac:dyDescent="0.35">
      <c r="A10116" s="7" t="s">
        <v>381</v>
      </c>
      <c r="B10116" s="7" t="s">
        <v>26</v>
      </c>
      <c r="C10116" s="7" t="s">
        <v>27</v>
      </c>
      <c r="D10116" s="7" t="s">
        <v>28</v>
      </c>
      <c r="E10116" s="7" t="s">
        <v>29</v>
      </c>
      <c r="F10116" s="7" t="s">
        <v>55</v>
      </c>
      <c r="G10116" s="7">
        <v>94.081410000000005</v>
      </c>
      <c r="H10116" s="7"/>
    </row>
    <row r="10117" spans="1:8" x14ac:dyDescent="0.35">
      <c r="A10117" s="7" t="s">
        <v>381</v>
      </c>
      <c r="B10117" s="7" t="s">
        <v>26</v>
      </c>
      <c r="C10117" s="7" t="s">
        <v>27</v>
      </c>
      <c r="D10117" s="7" t="s">
        <v>28</v>
      </c>
      <c r="E10117" s="7" t="s">
        <v>29</v>
      </c>
      <c r="F10117" s="7" t="s">
        <v>56</v>
      </c>
      <c r="G10117" s="7">
        <v>94.230930000000001</v>
      </c>
      <c r="H10117" s="7"/>
    </row>
    <row r="10118" spans="1:8" x14ac:dyDescent="0.35">
      <c r="A10118" s="7" t="s">
        <v>381</v>
      </c>
      <c r="B10118" s="7" t="s">
        <v>26</v>
      </c>
      <c r="C10118" s="7" t="s">
        <v>27</v>
      </c>
      <c r="D10118" s="7" t="s">
        <v>28</v>
      </c>
      <c r="E10118" s="7" t="s">
        <v>29</v>
      </c>
      <c r="F10118" s="7" t="s">
        <v>57</v>
      </c>
      <c r="G10118" s="7">
        <v>94.267250000000004</v>
      </c>
      <c r="H10118" s="7"/>
    </row>
    <row r="10119" spans="1:8" x14ac:dyDescent="0.35">
      <c r="A10119" s="7" t="s">
        <v>381</v>
      </c>
      <c r="B10119" s="7" t="s">
        <v>26</v>
      </c>
      <c r="C10119" s="7" t="s">
        <v>27</v>
      </c>
      <c r="D10119" s="7" t="s">
        <v>28</v>
      </c>
      <c r="E10119" s="7" t="s">
        <v>29</v>
      </c>
      <c r="F10119" s="7" t="s">
        <v>58</v>
      </c>
      <c r="G10119" s="7">
        <v>94.3018</v>
      </c>
      <c r="H10119" s="7"/>
    </row>
    <row r="10120" spans="1:8" x14ac:dyDescent="0.35">
      <c r="A10120" s="7" t="s">
        <v>381</v>
      </c>
      <c r="B10120" s="7" t="s">
        <v>26</v>
      </c>
      <c r="C10120" s="7" t="s">
        <v>27</v>
      </c>
      <c r="D10120" s="7" t="s">
        <v>28</v>
      </c>
      <c r="E10120" s="7" t="s">
        <v>29</v>
      </c>
      <c r="F10120" s="7" t="s">
        <v>59</v>
      </c>
      <c r="G10120" s="7">
        <v>94.35351</v>
      </c>
      <c r="H10120" s="7"/>
    </row>
    <row r="10121" spans="1:8" x14ac:dyDescent="0.35">
      <c r="A10121" s="7" t="s">
        <v>381</v>
      </c>
      <c r="B10121" s="7" t="s">
        <v>26</v>
      </c>
      <c r="C10121" s="7" t="s">
        <v>27</v>
      </c>
      <c r="D10121" s="7" t="s">
        <v>28</v>
      </c>
      <c r="E10121" s="7" t="s">
        <v>29</v>
      </c>
      <c r="F10121" s="7" t="s">
        <v>60</v>
      </c>
      <c r="G10121" s="7">
        <v>94.430179999999993</v>
      </c>
      <c r="H10121" s="7"/>
    </row>
    <row r="10122" spans="1:8" x14ac:dyDescent="0.35">
      <c r="A10122" s="7" t="s">
        <v>381</v>
      </c>
      <c r="B10122" s="7" t="s">
        <v>26</v>
      </c>
      <c r="C10122" s="7" t="s">
        <v>27</v>
      </c>
      <c r="D10122" s="7" t="s">
        <v>28</v>
      </c>
      <c r="E10122" s="7" t="s">
        <v>29</v>
      </c>
      <c r="F10122" s="7" t="s">
        <v>61</v>
      </c>
      <c r="G10122" s="7">
        <v>94.534899999999993</v>
      </c>
      <c r="H10122" s="7"/>
    </row>
    <row r="10123" spans="1:8" x14ac:dyDescent="0.35">
      <c r="A10123" s="7" t="s">
        <v>381</v>
      </c>
      <c r="B10123" s="7" t="s">
        <v>26</v>
      </c>
      <c r="C10123" s="7" t="s">
        <v>27</v>
      </c>
      <c r="D10123" s="7" t="s">
        <v>28</v>
      </c>
      <c r="E10123" s="7" t="s">
        <v>29</v>
      </c>
      <c r="F10123" s="7" t="s">
        <v>62</v>
      </c>
      <c r="G10123" s="7">
        <v>94.676280000000006</v>
      </c>
      <c r="H10123" s="7"/>
    </row>
    <row r="10124" spans="1:8" x14ac:dyDescent="0.35">
      <c r="A10124" s="7" t="s">
        <v>381</v>
      </c>
      <c r="B10124" s="7" t="s">
        <v>26</v>
      </c>
      <c r="C10124" s="7" t="s">
        <v>27</v>
      </c>
      <c r="D10124" s="7" t="s">
        <v>28</v>
      </c>
      <c r="E10124" s="7" t="s">
        <v>29</v>
      </c>
      <c r="F10124" s="7" t="s">
        <v>63</v>
      </c>
      <c r="G10124" s="7">
        <v>94.879850000000005</v>
      </c>
      <c r="H10124" s="7"/>
    </row>
    <row r="10125" spans="1:8" x14ac:dyDescent="0.35">
      <c r="A10125" s="7" t="s">
        <v>381</v>
      </c>
      <c r="B10125" s="7" t="s">
        <v>26</v>
      </c>
      <c r="C10125" s="7" t="s">
        <v>27</v>
      </c>
      <c r="D10125" s="7" t="s">
        <v>28</v>
      </c>
      <c r="E10125" s="7" t="s">
        <v>29</v>
      </c>
      <c r="F10125" s="7" t="s">
        <v>64</v>
      </c>
      <c r="G10125" s="7">
        <v>95.133579999999995</v>
      </c>
      <c r="H10125" s="7"/>
    </row>
    <row r="10126" spans="1:8" x14ac:dyDescent="0.35">
      <c r="A10126" s="7" t="s">
        <v>381</v>
      </c>
      <c r="B10126" s="7" t="s">
        <v>26</v>
      </c>
      <c r="C10126" s="7" t="s">
        <v>27</v>
      </c>
      <c r="D10126" s="7" t="s">
        <v>28</v>
      </c>
      <c r="E10126" s="7" t="s">
        <v>29</v>
      </c>
      <c r="F10126" s="7" t="s">
        <v>65</v>
      </c>
      <c r="G10126" s="7">
        <v>95.445449999999994</v>
      </c>
      <c r="H10126" s="7"/>
    </row>
    <row r="10127" spans="1:8" x14ac:dyDescent="0.35">
      <c r="A10127" s="7" t="s">
        <v>381</v>
      </c>
      <c r="B10127" s="7" t="s">
        <v>26</v>
      </c>
      <c r="C10127" s="7" t="s">
        <v>27</v>
      </c>
      <c r="D10127" s="7" t="s">
        <v>28</v>
      </c>
      <c r="E10127" s="7" t="s">
        <v>29</v>
      </c>
      <c r="F10127" s="7" t="s">
        <v>66</v>
      </c>
      <c r="G10127" s="7">
        <v>95.647670000000005</v>
      </c>
      <c r="H10127" s="7"/>
    </row>
    <row r="10128" spans="1:8" x14ac:dyDescent="0.35">
      <c r="A10128" s="7" t="s">
        <v>381</v>
      </c>
      <c r="B10128" s="7" t="s">
        <v>26</v>
      </c>
      <c r="C10128" s="7" t="s">
        <v>27</v>
      </c>
      <c r="D10128" s="7" t="s">
        <v>28</v>
      </c>
      <c r="E10128" s="7" t="s">
        <v>29</v>
      </c>
      <c r="F10128" s="7" t="s">
        <v>67</v>
      </c>
      <c r="G10128" s="7">
        <v>95.751930000000002</v>
      </c>
      <c r="H10128" s="7"/>
    </row>
    <row r="10129" spans="1:8" x14ac:dyDescent="0.35">
      <c r="A10129" s="7" t="s">
        <v>381</v>
      </c>
      <c r="B10129" s="7" t="s">
        <v>26</v>
      </c>
      <c r="C10129" s="7" t="s">
        <v>27</v>
      </c>
      <c r="D10129" s="7" t="s">
        <v>28</v>
      </c>
      <c r="E10129" s="7" t="s">
        <v>29</v>
      </c>
      <c r="F10129" s="7" t="s">
        <v>68</v>
      </c>
      <c r="G10129" s="7">
        <v>95.863159999999993</v>
      </c>
      <c r="H10129" s="7"/>
    </row>
    <row r="10130" spans="1:8" x14ac:dyDescent="0.35">
      <c r="A10130" s="7" t="s">
        <v>381</v>
      </c>
      <c r="B10130" s="7" t="s">
        <v>26</v>
      </c>
      <c r="C10130" s="7" t="s">
        <v>27</v>
      </c>
      <c r="D10130" s="7" t="s">
        <v>28</v>
      </c>
      <c r="E10130" s="7" t="s">
        <v>29</v>
      </c>
      <c r="F10130" s="7" t="s">
        <v>69</v>
      </c>
      <c r="G10130" s="7">
        <v>96.162319999999994</v>
      </c>
      <c r="H10130" s="7"/>
    </row>
    <row r="10131" spans="1:8" x14ac:dyDescent="0.35">
      <c r="A10131" s="7" t="s">
        <v>381</v>
      </c>
      <c r="B10131" s="7" t="s">
        <v>26</v>
      </c>
      <c r="C10131" s="7" t="s">
        <v>27</v>
      </c>
      <c r="D10131" s="7" t="s">
        <v>28</v>
      </c>
      <c r="E10131" s="7" t="s">
        <v>29</v>
      </c>
      <c r="F10131" s="7" t="s">
        <v>70</v>
      </c>
      <c r="G10131" s="7">
        <v>96.853189999999998</v>
      </c>
      <c r="H10131" s="7"/>
    </row>
    <row r="10132" spans="1:8" x14ac:dyDescent="0.35">
      <c r="A10132" s="7" t="s">
        <v>381</v>
      </c>
      <c r="B10132" s="7" t="s">
        <v>26</v>
      </c>
      <c r="C10132" s="7" t="s">
        <v>27</v>
      </c>
      <c r="D10132" s="7" t="s">
        <v>28</v>
      </c>
      <c r="E10132" s="7" t="s">
        <v>29</v>
      </c>
      <c r="F10132" s="7" t="s">
        <v>71</v>
      </c>
      <c r="G10132" s="7">
        <v>97.950159999999997</v>
      </c>
      <c r="H10132" s="7"/>
    </row>
    <row r="10133" spans="1:8" x14ac:dyDescent="0.35">
      <c r="A10133" s="7" t="s">
        <v>381</v>
      </c>
      <c r="B10133" s="7" t="s">
        <v>26</v>
      </c>
      <c r="C10133" s="7" t="s">
        <v>27</v>
      </c>
      <c r="D10133" s="7" t="s">
        <v>28</v>
      </c>
      <c r="E10133" s="7" t="s">
        <v>29</v>
      </c>
      <c r="F10133" s="7" t="s">
        <v>72</v>
      </c>
      <c r="G10133" s="7">
        <v>98.674469999999999</v>
      </c>
      <c r="H10133" s="7"/>
    </row>
    <row r="10134" spans="1:8" x14ac:dyDescent="0.35">
      <c r="A10134" s="7" t="s">
        <v>381</v>
      </c>
      <c r="B10134" s="7" t="s">
        <v>26</v>
      </c>
      <c r="C10134" s="7" t="s">
        <v>27</v>
      </c>
      <c r="D10134" s="7" t="s">
        <v>28</v>
      </c>
      <c r="E10134" s="7" t="s">
        <v>29</v>
      </c>
      <c r="F10134" s="7" t="s">
        <v>73</v>
      </c>
      <c r="G10134" s="7">
        <v>99.025499999999994</v>
      </c>
      <c r="H10134" s="7"/>
    </row>
    <row r="10135" spans="1:8" x14ac:dyDescent="0.35">
      <c r="A10135" s="7" t="s">
        <v>381</v>
      </c>
      <c r="B10135" s="7" t="s">
        <v>26</v>
      </c>
      <c r="C10135" s="7" t="s">
        <v>27</v>
      </c>
      <c r="D10135" s="7" t="s">
        <v>28</v>
      </c>
      <c r="E10135" s="7" t="s">
        <v>29</v>
      </c>
      <c r="F10135" s="7" t="s">
        <v>74</v>
      </c>
      <c r="G10135" s="7">
        <v>99.143559999999994</v>
      </c>
      <c r="H10135" s="7"/>
    </row>
    <row r="10136" spans="1:8" x14ac:dyDescent="0.35">
      <c r="A10136" s="7" t="s">
        <v>381</v>
      </c>
      <c r="B10136" s="7" t="s">
        <v>26</v>
      </c>
      <c r="C10136" s="7" t="s">
        <v>27</v>
      </c>
      <c r="D10136" s="7" t="s">
        <v>28</v>
      </c>
      <c r="E10136" s="7" t="s">
        <v>29</v>
      </c>
      <c r="F10136" s="7" t="s">
        <v>75</v>
      </c>
      <c r="G10136" s="7">
        <v>99.074860000000001</v>
      </c>
      <c r="H10136" s="7"/>
    </row>
    <row r="10137" spans="1:8" x14ac:dyDescent="0.35">
      <c r="A10137" s="7" t="s">
        <v>381</v>
      </c>
      <c r="B10137" s="7" t="s">
        <v>26</v>
      </c>
      <c r="C10137" s="7" t="s">
        <v>27</v>
      </c>
      <c r="D10137" s="7" t="s">
        <v>28</v>
      </c>
      <c r="E10137" s="7" t="s">
        <v>29</v>
      </c>
      <c r="F10137" s="7" t="s">
        <v>76</v>
      </c>
      <c r="G10137" s="7">
        <v>98.769450000000006</v>
      </c>
      <c r="H10137" s="7"/>
    </row>
    <row r="10138" spans="1:8" x14ac:dyDescent="0.35">
      <c r="A10138" s="7" t="s">
        <v>381</v>
      </c>
      <c r="B10138" s="7" t="s">
        <v>26</v>
      </c>
      <c r="C10138" s="7" t="s">
        <v>27</v>
      </c>
      <c r="D10138" s="7" t="s">
        <v>28</v>
      </c>
      <c r="E10138" s="7" t="s">
        <v>29</v>
      </c>
      <c r="F10138" s="7" t="s">
        <v>77</v>
      </c>
      <c r="G10138" s="7">
        <v>98.265940000000001</v>
      </c>
      <c r="H10138" s="7"/>
    </row>
    <row r="10139" spans="1:8" x14ac:dyDescent="0.35">
      <c r="A10139" s="7" t="s">
        <v>381</v>
      </c>
      <c r="B10139" s="7" t="s">
        <v>26</v>
      </c>
      <c r="C10139" s="7" t="s">
        <v>27</v>
      </c>
      <c r="D10139" s="7" t="s">
        <v>28</v>
      </c>
      <c r="E10139" s="7" t="s">
        <v>29</v>
      </c>
      <c r="F10139" s="7" t="s">
        <v>78</v>
      </c>
      <c r="G10139" s="7">
        <v>98.083929999999995</v>
      </c>
      <c r="H10139" s="7"/>
    </row>
    <row r="10140" spans="1:8" x14ac:dyDescent="0.35">
      <c r="A10140" s="7" t="s">
        <v>381</v>
      </c>
      <c r="B10140" s="7" t="s">
        <v>26</v>
      </c>
      <c r="C10140" s="7" t="s">
        <v>27</v>
      </c>
      <c r="D10140" s="7" t="s">
        <v>28</v>
      </c>
      <c r="E10140" s="7" t="s">
        <v>29</v>
      </c>
      <c r="F10140" s="7" t="s">
        <v>79</v>
      </c>
      <c r="G10140" s="7">
        <v>98.277320000000003</v>
      </c>
      <c r="H10140" s="7"/>
    </row>
    <row r="10141" spans="1:8" x14ac:dyDescent="0.35">
      <c r="A10141" s="7" t="s">
        <v>381</v>
      </c>
      <c r="B10141" s="7" t="s">
        <v>26</v>
      </c>
      <c r="C10141" s="7" t="s">
        <v>27</v>
      </c>
      <c r="D10141" s="7" t="s">
        <v>28</v>
      </c>
      <c r="E10141" s="7" t="s">
        <v>29</v>
      </c>
      <c r="F10141" s="7" t="s">
        <v>80</v>
      </c>
      <c r="G10141" s="7">
        <v>98.703320000000005</v>
      </c>
      <c r="H10141" s="7"/>
    </row>
    <row r="10142" spans="1:8" x14ac:dyDescent="0.35">
      <c r="A10142" s="7" t="s">
        <v>381</v>
      </c>
      <c r="B10142" s="7" t="s">
        <v>26</v>
      </c>
      <c r="C10142" s="7" t="s">
        <v>27</v>
      </c>
      <c r="D10142" s="7" t="s">
        <v>28</v>
      </c>
      <c r="E10142" s="7" t="s">
        <v>29</v>
      </c>
      <c r="F10142" s="7" t="s">
        <v>81</v>
      </c>
      <c r="G10142" s="7">
        <v>98.916049999999998</v>
      </c>
      <c r="H10142" s="7"/>
    </row>
    <row r="10143" spans="1:8" x14ac:dyDescent="0.35">
      <c r="A10143" s="7" t="s">
        <v>381</v>
      </c>
      <c r="B10143" s="7" t="s">
        <v>26</v>
      </c>
      <c r="C10143" s="7" t="s">
        <v>27</v>
      </c>
      <c r="D10143" s="7" t="s">
        <v>28</v>
      </c>
      <c r="E10143" s="7" t="s">
        <v>29</v>
      </c>
      <c r="F10143" s="7" t="s">
        <v>82</v>
      </c>
      <c r="G10143" s="7">
        <v>98.755740000000003</v>
      </c>
      <c r="H10143" s="7"/>
    </row>
    <row r="10144" spans="1:8" x14ac:dyDescent="0.35">
      <c r="A10144" s="7" t="s">
        <v>381</v>
      </c>
      <c r="B10144" s="7" t="s">
        <v>26</v>
      </c>
      <c r="C10144" s="7" t="s">
        <v>27</v>
      </c>
      <c r="D10144" s="7" t="s">
        <v>28</v>
      </c>
      <c r="E10144" s="7" t="s">
        <v>29</v>
      </c>
      <c r="F10144" s="7" t="s">
        <v>83</v>
      </c>
      <c r="G10144" s="7">
        <v>98.222989999999996</v>
      </c>
      <c r="H10144" s="7"/>
    </row>
    <row r="10145" spans="1:8" x14ac:dyDescent="0.35">
      <c r="A10145" s="7" t="s">
        <v>381</v>
      </c>
      <c r="B10145" s="7" t="s">
        <v>26</v>
      </c>
      <c r="C10145" s="7" t="s">
        <v>27</v>
      </c>
      <c r="D10145" s="7" t="s">
        <v>28</v>
      </c>
      <c r="E10145" s="7" t="s">
        <v>29</v>
      </c>
      <c r="F10145" s="7" t="s">
        <v>84</v>
      </c>
      <c r="G10145" s="7">
        <v>97.726050000000001</v>
      </c>
      <c r="H10145" s="7"/>
    </row>
    <row r="10146" spans="1:8" x14ac:dyDescent="0.35">
      <c r="A10146" s="7" t="s">
        <v>381</v>
      </c>
      <c r="B10146" s="7" t="s">
        <v>26</v>
      </c>
      <c r="C10146" s="7" t="s">
        <v>27</v>
      </c>
      <c r="D10146" s="7" t="s">
        <v>28</v>
      </c>
      <c r="E10146" s="7" t="s">
        <v>29</v>
      </c>
      <c r="F10146" s="7" t="s">
        <v>85</v>
      </c>
      <c r="G10146" s="7">
        <v>97.134410000000003</v>
      </c>
      <c r="H10146" s="7"/>
    </row>
    <row r="10147" spans="1:8" x14ac:dyDescent="0.35">
      <c r="A10147" s="7" t="s">
        <v>381</v>
      </c>
      <c r="B10147" s="7" t="s">
        <v>26</v>
      </c>
      <c r="C10147" s="7" t="s">
        <v>27</v>
      </c>
      <c r="D10147" s="7" t="s">
        <v>28</v>
      </c>
      <c r="E10147" s="7" t="s">
        <v>29</v>
      </c>
      <c r="F10147" s="7" t="s">
        <v>86</v>
      </c>
      <c r="G10147" s="7">
        <v>96.362729999999999</v>
      </c>
      <c r="H10147" s="7"/>
    </row>
    <row r="10148" spans="1:8" x14ac:dyDescent="0.35">
      <c r="A10148" s="7" t="s">
        <v>381</v>
      </c>
      <c r="B10148" s="7" t="s">
        <v>26</v>
      </c>
      <c r="C10148" s="7" t="s">
        <v>27</v>
      </c>
      <c r="D10148" s="7" t="s">
        <v>28</v>
      </c>
      <c r="E10148" s="7" t="s">
        <v>29</v>
      </c>
      <c r="F10148" s="7" t="s">
        <v>87</v>
      </c>
      <c r="G10148" s="7">
        <v>96.078519999999997</v>
      </c>
      <c r="H10148" s="7"/>
    </row>
    <row r="10149" spans="1:8" x14ac:dyDescent="0.35">
      <c r="A10149" s="7" t="s">
        <v>381</v>
      </c>
      <c r="B10149" s="7" t="s">
        <v>26</v>
      </c>
      <c r="C10149" s="7" t="s">
        <v>27</v>
      </c>
      <c r="D10149" s="7" t="s">
        <v>28</v>
      </c>
      <c r="E10149" s="7" t="s">
        <v>29</v>
      </c>
      <c r="F10149" s="7" t="s">
        <v>88</v>
      </c>
      <c r="G10149" s="7">
        <v>96.298469999999995</v>
      </c>
      <c r="H10149" s="7"/>
    </row>
    <row r="10150" spans="1:8" x14ac:dyDescent="0.35">
      <c r="A10150" s="7" t="s">
        <v>381</v>
      </c>
      <c r="B10150" s="7" t="s">
        <v>26</v>
      </c>
      <c r="C10150" s="7" t="s">
        <v>27</v>
      </c>
      <c r="D10150" s="7" t="s">
        <v>28</v>
      </c>
      <c r="E10150" s="7" t="s">
        <v>29</v>
      </c>
      <c r="F10150" s="7" t="s">
        <v>89</v>
      </c>
      <c r="G10150" s="7">
        <v>96.817719999999994</v>
      </c>
      <c r="H10150" s="7"/>
    </row>
    <row r="10151" spans="1:8" x14ac:dyDescent="0.35">
      <c r="A10151" s="7" t="s">
        <v>381</v>
      </c>
      <c r="B10151" s="7" t="s">
        <v>26</v>
      </c>
      <c r="C10151" s="7" t="s">
        <v>27</v>
      </c>
      <c r="D10151" s="7" t="s">
        <v>28</v>
      </c>
      <c r="E10151" s="7" t="s">
        <v>29</v>
      </c>
      <c r="F10151" s="7" t="s">
        <v>90</v>
      </c>
      <c r="G10151" s="7">
        <v>97.134900000000002</v>
      </c>
      <c r="H10151" s="7"/>
    </row>
    <row r="10152" spans="1:8" x14ac:dyDescent="0.35">
      <c r="A10152" s="7" t="s">
        <v>381</v>
      </c>
      <c r="B10152" s="7" t="s">
        <v>26</v>
      </c>
      <c r="C10152" s="7" t="s">
        <v>27</v>
      </c>
      <c r="D10152" s="7" t="s">
        <v>28</v>
      </c>
      <c r="E10152" s="7" t="s">
        <v>29</v>
      </c>
      <c r="F10152" s="7" t="s">
        <v>91</v>
      </c>
      <c r="G10152" s="7">
        <v>97.151110000000003</v>
      </c>
      <c r="H10152" s="7"/>
    </row>
    <row r="10153" spans="1:8" x14ac:dyDescent="0.35">
      <c r="A10153" s="7" t="s">
        <v>381</v>
      </c>
      <c r="B10153" s="7" t="s">
        <v>26</v>
      </c>
      <c r="C10153" s="7" t="s">
        <v>27</v>
      </c>
      <c r="D10153" s="7" t="s">
        <v>28</v>
      </c>
      <c r="E10153" s="7" t="s">
        <v>29</v>
      </c>
      <c r="F10153" s="7" t="s">
        <v>92</v>
      </c>
      <c r="G10153" s="7">
        <v>96.910659999999993</v>
      </c>
      <c r="H10153" s="7"/>
    </row>
    <row r="10154" spans="1:8" x14ac:dyDescent="0.35">
      <c r="A10154" s="7" t="s">
        <v>381</v>
      </c>
      <c r="B10154" s="7" t="s">
        <v>26</v>
      </c>
      <c r="C10154" s="7" t="s">
        <v>27</v>
      </c>
      <c r="D10154" s="7" t="s">
        <v>28</v>
      </c>
      <c r="E10154" s="7" t="s">
        <v>29</v>
      </c>
      <c r="F10154" s="7" t="s">
        <v>93</v>
      </c>
      <c r="G10154" s="7">
        <v>96.642939999999996</v>
      </c>
      <c r="H10154" s="7"/>
    </row>
    <row r="10155" spans="1:8" x14ac:dyDescent="0.35">
      <c r="A10155" s="7" t="s">
        <v>381</v>
      </c>
      <c r="B10155" s="7" t="s">
        <v>26</v>
      </c>
      <c r="C10155" s="7" t="s">
        <v>27</v>
      </c>
      <c r="D10155" s="7" t="s">
        <v>28</v>
      </c>
      <c r="E10155" s="7" t="s">
        <v>29</v>
      </c>
      <c r="F10155" s="7" t="s">
        <v>94</v>
      </c>
      <c r="G10155" s="7">
        <v>96.306749999999994</v>
      </c>
      <c r="H10155" s="7"/>
    </row>
    <row r="10156" spans="1:8" x14ac:dyDescent="0.35">
      <c r="A10156" s="7" t="s">
        <v>381</v>
      </c>
      <c r="B10156" s="7" t="s">
        <v>26</v>
      </c>
      <c r="C10156" s="7" t="s">
        <v>27</v>
      </c>
      <c r="D10156" s="7" t="s">
        <v>28</v>
      </c>
      <c r="E10156" s="7" t="s">
        <v>29</v>
      </c>
      <c r="F10156" s="7" t="s">
        <v>95</v>
      </c>
      <c r="G10156" s="7">
        <v>95.886989999999997</v>
      </c>
      <c r="H10156" s="7"/>
    </row>
    <row r="10157" spans="1:8" x14ac:dyDescent="0.35">
      <c r="A10157" s="7" t="s">
        <v>381</v>
      </c>
      <c r="B10157" s="7" t="s">
        <v>26</v>
      </c>
      <c r="C10157" s="7" t="s">
        <v>27</v>
      </c>
      <c r="D10157" s="7" t="s">
        <v>28</v>
      </c>
      <c r="E10157" s="7" t="s">
        <v>29</v>
      </c>
      <c r="F10157" s="7" t="s">
        <v>96</v>
      </c>
      <c r="G10157" s="7">
        <v>95.759889999999999</v>
      </c>
      <c r="H10157" s="7"/>
    </row>
    <row r="10158" spans="1:8" x14ac:dyDescent="0.35">
      <c r="A10158" s="7" t="s">
        <v>381</v>
      </c>
      <c r="B10158" s="7" t="s">
        <v>26</v>
      </c>
      <c r="C10158" s="7" t="s">
        <v>27</v>
      </c>
      <c r="D10158" s="7" t="s">
        <v>28</v>
      </c>
      <c r="E10158" s="7" t="s">
        <v>29</v>
      </c>
      <c r="F10158" s="7" t="s">
        <v>97</v>
      </c>
      <c r="G10158" s="7">
        <v>95.952610000000007</v>
      </c>
      <c r="H10158" s="7"/>
    </row>
    <row r="10159" spans="1:8" x14ac:dyDescent="0.35">
      <c r="A10159" s="7" t="s">
        <v>381</v>
      </c>
      <c r="B10159" s="7" t="s">
        <v>26</v>
      </c>
      <c r="C10159" s="7" t="s">
        <v>27</v>
      </c>
      <c r="D10159" s="7" t="s">
        <v>28</v>
      </c>
      <c r="E10159" s="7" t="s">
        <v>29</v>
      </c>
      <c r="F10159" s="7" t="s">
        <v>98</v>
      </c>
      <c r="G10159" s="7">
        <v>96.35736</v>
      </c>
      <c r="H10159" s="7"/>
    </row>
    <row r="10160" spans="1:8" x14ac:dyDescent="0.35">
      <c r="A10160" s="7" t="s">
        <v>381</v>
      </c>
      <c r="B10160" s="7" t="s">
        <v>26</v>
      </c>
      <c r="C10160" s="7" t="s">
        <v>27</v>
      </c>
      <c r="D10160" s="7" t="s">
        <v>28</v>
      </c>
      <c r="E10160" s="7" t="s">
        <v>29</v>
      </c>
      <c r="F10160" s="7" t="s">
        <v>99</v>
      </c>
      <c r="G10160" s="7">
        <v>96.68365</v>
      </c>
      <c r="H10160" s="7"/>
    </row>
    <row r="10161" spans="1:8" x14ac:dyDescent="0.35">
      <c r="A10161" s="7" t="s">
        <v>381</v>
      </c>
      <c r="B10161" s="7" t="s">
        <v>26</v>
      </c>
      <c r="C10161" s="7" t="s">
        <v>27</v>
      </c>
      <c r="D10161" s="7" t="s">
        <v>28</v>
      </c>
      <c r="E10161" s="7" t="s">
        <v>29</v>
      </c>
      <c r="F10161" s="7" t="s">
        <v>100</v>
      </c>
      <c r="G10161" s="7">
        <v>96.92371</v>
      </c>
      <c r="H10161" s="7"/>
    </row>
    <row r="10162" spans="1:8" x14ac:dyDescent="0.35">
      <c r="A10162" s="7" t="s">
        <v>381</v>
      </c>
      <c r="B10162" s="7" t="s">
        <v>26</v>
      </c>
      <c r="C10162" s="7" t="s">
        <v>27</v>
      </c>
      <c r="D10162" s="7" t="s">
        <v>28</v>
      </c>
      <c r="E10162" s="7" t="s">
        <v>29</v>
      </c>
      <c r="F10162" s="7" t="s">
        <v>101</v>
      </c>
      <c r="G10162" s="7">
        <v>97.11318</v>
      </c>
      <c r="H10162" s="7"/>
    </row>
    <row r="10163" spans="1:8" x14ac:dyDescent="0.35">
      <c r="A10163" s="7" t="s">
        <v>381</v>
      </c>
      <c r="B10163" s="7" t="s">
        <v>26</v>
      </c>
      <c r="C10163" s="7" t="s">
        <v>27</v>
      </c>
      <c r="D10163" s="7" t="s">
        <v>28</v>
      </c>
      <c r="E10163" s="7" t="s">
        <v>29</v>
      </c>
      <c r="F10163" s="7" t="s">
        <v>102</v>
      </c>
      <c r="G10163" s="7">
        <v>97.178100000000001</v>
      </c>
      <c r="H10163" s="7"/>
    </row>
    <row r="10164" spans="1:8" x14ac:dyDescent="0.35">
      <c r="A10164" s="7" t="s">
        <v>381</v>
      </c>
      <c r="B10164" s="7" t="s">
        <v>26</v>
      </c>
      <c r="C10164" s="7" t="s">
        <v>27</v>
      </c>
      <c r="D10164" s="7" t="s">
        <v>28</v>
      </c>
      <c r="E10164" s="7" t="s">
        <v>29</v>
      </c>
      <c r="F10164" s="7" t="s">
        <v>103</v>
      </c>
      <c r="G10164" s="7">
        <v>97.122470000000007</v>
      </c>
      <c r="H10164" s="7"/>
    </row>
    <row r="10165" spans="1:8" x14ac:dyDescent="0.35">
      <c r="A10165" s="7" t="s">
        <v>381</v>
      </c>
      <c r="B10165" s="7" t="s">
        <v>26</v>
      </c>
      <c r="C10165" s="7" t="s">
        <v>27</v>
      </c>
      <c r="D10165" s="7" t="s">
        <v>28</v>
      </c>
      <c r="E10165" s="7" t="s">
        <v>29</v>
      </c>
      <c r="F10165" s="7" t="s">
        <v>104</v>
      </c>
      <c r="G10165" s="7">
        <v>96.992339999999999</v>
      </c>
      <c r="H10165" s="7"/>
    </row>
    <row r="10166" spans="1:8" x14ac:dyDescent="0.35">
      <c r="A10166" s="7" t="s">
        <v>381</v>
      </c>
      <c r="B10166" s="7" t="s">
        <v>26</v>
      </c>
      <c r="C10166" s="7" t="s">
        <v>27</v>
      </c>
      <c r="D10166" s="7" t="s">
        <v>28</v>
      </c>
      <c r="E10166" s="7" t="s">
        <v>29</v>
      </c>
      <c r="F10166" s="7" t="s">
        <v>105</v>
      </c>
      <c r="G10166" s="7">
        <v>97.018429999999995</v>
      </c>
      <c r="H10166" s="7"/>
    </row>
    <row r="10167" spans="1:8" x14ac:dyDescent="0.35">
      <c r="A10167" s="7" t="s">
        <v>381</v>
      </c>
      <c r="B10167" s="7" t="s">
        <v>26</v>
      </c>
      <c r="C10167" s="7" t="s">
        <v>27</v>
      </c>
      <c r="D10167" s="7" t="s">
        <v>28</v>
      </c>
      <c r="E10167" s="7" t="s">
        <v>29</v>
      </c>
      <c r="F10167" s="7" t="s">
        <v>106</v>
      </c>
      <c r="G10167" s="7">
        <v>97.253230000000002</v>
      </c>
      <c r="H10167" s="7"/>
    </row>
    <row r="10168" spans="1:8" x14ac:dyDescent="0.35">
      <c r="A10168" s="7" t="s">
        <v>381</v>
      </c>
      <c r="B10168" s="7" t="s">
        <v>26</v>
      </c>
      <c r="C10168" s="7" t="s">
        <v>27</v>
      </c>
      <c r="D10168" s="7" t="s">
        <v>28</v>
      </c>
      <c r="E10168" s="7" t="s">
        <v>29</v>
      </c>
      <c r="F10168" s="7" t="s">
        <v>107</v>
      </c>
      <c r="G10168" s="7">
        <v>97.631889999999999</v>
      </c>
      <c r="H10168" s="7"/>
    </row>
    <row r="10169" spans="1:8" x14ac:dyDescent="0.35">
      <c r="A10169" s="7" t="s">
        <v>381</v>
      </c>
      <c r="B10169" s="7" t="s">
        <v>26</v>
      </c>
      <c r="C10169" s="7" t="s">
        <v>27</v>
      </c>
      <c r="D10169" s="7" t="s">
        <v>28</v>
      </c>
      <c r="E10169" s="7" t="s">
        <v>29</v>
      </c>
      <c r="F10169" s="7" t="s">
        <v>108</v>
      </c>
      <c r="G10169" s="7">
        <v>97.911479999999997</v>
      </c>
      <c r="H10169" s="7"/>
    </row>
    <row r="10170" spans="1:8" x14ac:dyDescent="0.35">
      <c r="A10170" s="7" t="s">
        <v>381</v>
      </c>
      <c r="B10170" s="7" t="s">
        <v>26</v>
      </c>
      <c r="C10170" s="7" t="s">
        <v>27</v>
      </c>
      <c r="D10170" s="7" t="s">
        <v>28</v>
      </c>
      <c r="E10170" s="7" t="s">
        <v>29</v>
      </c>
      <c r="F10170" s="7" t="s">
        <v>109</v>
      </c>
      <c r="G10170" s="7">
        <v>98.104380000000006</v>
      </c>
      <c r="H10170" s="7"/>
    </row>
    <row r="10171" spans="1:8" x14ac:dyDescent="0.35">
      <c r="A10171" s="7" t="s">
        <v>381</v>
      </c>
      <c r="B10171" s="7" t="s">
        <v>26</v>
      </c>
      <c r="C10171" s="7" t="s">
        <v>27</v>
      </c>
      <c r="D10171" s="7" t="s">
        <v>28</v>
      </c>
      <c r="E10171" s="7" t="s">
        <v>29</v>
      </c>
      <c r="F10171" s="7" t="s">
        <v>110</v>
      </c>
      <c r="G10171" s="7">
        <v>98.227789999999999</v>
      </c>
      <c r="H10171" s="7"/>
    </row>
    <row r="10172" spans="1:8" x14ac:dyDescent="0.35">
      <c r="A10172" s="7" t="s">
        <v>381</v>
      </c>
      <c r="B10172" s="7" t="s">
        <v>26</v>
      </c>
      <c r="C10172" s="7" t="s">
        <v>27</v>
      </c>
      <c r="D10172" s="7" t="s">
        <v>28</v>
      </c>
      <c r="E10172" s="7" t="s">
        <v>29</v>
      </c>
      <c r="F10172" s="7" t="s">
        <v>111</v>
      </c>
      <c r="G10172" s="7">
        <v>98.168750000000003</v>
      </c>
      <c r="H10172" s="7"/>
    </row>
    <row r="10173" spans="1:8" x14ac:dyDescent="0.35">
      <c r="A10173" s="7" t="s">
        <v>381</v>
      </c>
      <c r="B10173" s="7" t="s">
        <v>26</v>
      </c>
      <c r="C10173" s="7" t="s">
        <v>27</v>
      </c>
      <c r="D10173" s="7" t="s">
        <v>28</v>
      </c>
      <c r="E10173" s="7" t="s">
        <v>29</v>
      </c>
      <c r="F10173" s="7" t="s">
        <v>112</v>
      </c>
      <c r="G10173" s="7">
        <v>97.792820000000006</v>
      </c>
      <c r="H10173" s="7"/>
    </row>
    <row r="10174" spans="1:8" x14ac:dyDescent="0.35">
      <c r="A10174" s="7" t="s">
        <v>381</v>
      </c>
      <c r="B10174" s="7" t="s">
        <v>26</v>
      </c>
      <c r="C10174" s="7" t="s">
        <v>27</v>
      </c>
      <c r="D10174" s="7" t="s">
        <v>28</v>
      </c>
      <c r="E10174" s="7" t="s">
        <v>29</v>
      </c>
      <c r="F10174" s="7" t="s">
        <v>113</v>
      </c>
      <c r="G10174" s="7">
        <v>97.0321</v>
      </c>
      <c r="H10174" s="7"/>
    </row>
    <row r="10175" spans="1:8" x14ac:dyDescent="0.35">
      <c r="A10175" s="7" t="s">
        <v>381</v>
      </c>
      <c r="B10175" s="7" t="s">
        <v>26</v>
      </c>
      <c r="C10175" s="7" t="s">
        <v>27</v>
      </c>
      <c r="D10175" s="7" t="s">
        <v>28</v>
      </c>
      <c r="E10175" s="7" t="s">
        <v>29</v>
      </c>
      <c r="F10175" s="7" t="s">
        <v>114</v>
      </c>
      <c r="G10175" s="7">
        <v>96.319130000000001</v>
      </c>
      <c r="H10175" s="7"/>
    </row>
    <row r="10176" spans="1:8" x14ac:dyDescent="0.35">
      <c r="A10176" s="7" t="s">
        <v>381</v>
      </c>
      <c r="B10176" s="7" t="s">
        <v>26</v>
      </c>
      <c r="C10176" s="7" t="s">
        <v>27</v>
      </c>
      <c r="D10176" s="7" t="s">
        <v>28</v>
      </c>
      <c r="E10176" s="7" t="s">
        <v>29</v>
      </c>
      <c r="F10176" s="7" t="s">
        <v>115</v>
      </c>
      <c r="G10176" s="7">
        <v>95.462429999999998</v>
      </c>
      <c r="H10176" s="7"/>
    </row>
    <row r="10177" spans="1:8" x14ac:dyDescent="0.35">
      <c r="A10177" s="7" t="s">
        <v>381</v>
      </c>
      <c r="B10177" s="7" t="s">
        <v>26</v>
      </c>
      <c r="C10177" s="7" t="s">
        <v>27</v>
      </c>
      <c r="D10177" s="7" t="s">
        <v>28</v>
      </c>
      <c r="E10177" s="7" t="s">
        <v>29</v>
      </c>
      <c r="F10177" s="7" t="s">
        <v>116</v>
      </c>
      <c r="G10177" s="7">
        <v>94.330380000000005</v>
      </c>
      <c r="H10177" s="7"/>
    </row>
    <row r="10178" spans="1:8" x14ac:dyDescent="0.35">
      <c r="A10178" s="7" t="s">
        <v>381</v>
      </c>
      <c r="B10178" s="7" t="s">
        <v>26</v>
      </c>
      <c r="C10178" s="7" t="s">
        <v>27</v>
      </c>
      <c r="D10178" s="7" t="s">
        <v>28</v>
      </c>
      <c r="E10178" s="7" t="s">
        <v>29</v>
      </c>
      <c r="F10178" s="7" t="s">
        <v>117</v>
      </c>
      <c r="G10178" s="7">
        <v>93.707980000000006</v>
      </c>
      <c r="H10178" s="7"/>
    </row>
    <row r="10179" spans="1:8" x14ac:dyDescent="0.35">
      <c r="A10179" s="7" t="s">
        <v>381</v>
      </c>
      <c r="B10179" s="7" t="s">
        <v>26</v>
      </c>
      <c r="C10179" s="7" t="s">
        <v>27</v>
      </c>
      <c r="D10179" s="7" t="s">
        <v>28</v>
      </c>
      <c r="E10179" s="7" t="s">
        <v>29</v>
      </c>
      <c r="F10179" s="7" t="s">
        <v>118</v>
      </c>
      <c r="G10179" s="7">
        <v>93.615489999999994</v>
      </c>
      <c r="H10179" s="7"/>
    </row>
    <row r="10180" spans="1:8" x14ac:dyDescent="0.35">
      <c r="A10180" s="7" t="s">
        <v>381</v>
      </c>
      <c r="B10180" s="7" t="s">
        <v>26</v>
      </c>
      <c r="C10180" s="7" t="s">
        <v>27</v>
      </c>
      <c r="D10180" s="7" t="s">
        <v>28</v>
      </c>
      <c r="E10180" s="7" t="s">
        <v>29</v>
      </c>
      <c r="F10180" s="7" t="s">
        <v>119</v>
      </c>
      <c r="G10180" s="7">
        <v>93.843779999999995</v>
      </c>
      <c r="H10180" s="7"/>
    </row>
    <row r="10181" spans="1:8" x14ac:dyDescent="0.35">
      <c r="A10181" s="7" t="s">
        <v>381</v>
      </c>
      <c r="B10181" s="7" t="s">
        <v>26</v>
      </c>
      <c r="C10181" s="7" t="s">
        <v>27</v>
      </c>
      <c r="D10181" s="7" t="s">
        <v>28</v>
      </c>
      <c r="E10181" s="7" t="s">
        <v>29</v>
      </c>
      <c r="F10181" s="7" t="s">
        <v>120</v>
      </c>
      <c r="G10181" s="7">
        <v>93.959869999999995</v>
      </c>
      <c r="H10181" s="7"/>
    </row>
    <row r="10182" spans="1:8" x14ac:dyDescent="0.35">
      <c r="A10182" s="7" t="s">
        <v>381</v>
      </c>
      <c r="B10182" s="7" t="s">
        <v>26</v>
      </c>
      <c r="C10182" s="7" t="s">
        <v>27</v>
      </c>
      <c r="D10182" s="7" t="s">
        <v>28</v>
      </c>
      <c r="E10182" s="7" t="s">
        <v>29</v>
      </c>
      <c r="F10182" s="7" t="s">
        <v>121</v>
      </c>
      <c r="G10182" s="7">
        <v>93.861699999999999</v>
      </c>
      <c r="H10182" s="7"/>
    </row>
    <row r="10183" spans="1:8" x14ac:dyDescent="0.35">
      <c r="A10183" s="7" t="s">
        <v>381</v>
      </c>
      <c r="B10183" s="7" t="s">
        <v>26</v>
      </c>
      <c r="C10183" s="7" t="s">
        <v>27</v>
      </c>
      <c r="D10183" s="7" t="s">
        <v>28</v>
      </c>
      <c r="E10183" s="7" t="s">
        <v>29</v>
      </c>
      <c r="F10183" s="7" t="s">
        <v>122</v>
      </c>
      <c r="G10183" s="7">
        <v>93.633049999999997</v>
      </c>
      <c r="H10183" s="7"/>
    </row>
    <row r="10184" spans="1:8" x14ac:dyDescent="0.35">
      <c r="A10184" s="7" t="s">
        <v>381</v>
      </c>
      <c r="B10184" s="7" t="s">
        <v>26</v>
      </c>
      <c r="C10184" s="7" t="s">
        <v>27</v>
      </c>
      <c r="D10184" s="7" t="s">
        <v>28</v>
      </c>
      <c r="E10184" s="7" t="s">
        <v>29</v>
      </c>
      <c r="F10184" s="7" t="s">
        <v>123</v>
      </c>
      <c r="G10184" s="7">
        <v>93.612719999999996</v>
      </c>
      <c r="H10184" s="7"/>
    </row>
    <row r="10185" spans="1:8" x14ac:dyDescent="0.35">
      <c r="A10185" s="7" t="s">
        <v>381</v>
      </c>
      <c r="B10185" s="7" t="s">
        <v>26</v>
      </c>
      <c r="C10185" s="7" t="s">
        <v>27</v>
      </c>
      <c r="D10185" s="7" t="s">
        <v>28</v>
      </c>
      <c r="E10185" s="7" t="s">
        <v>29</v>
      </c>
      <c r="F10185" s="7" t="s">
        <v>124</v>
      </c>
      <c r="G10185" s="7">
        <v>93.956069999999997</v>
      </c>
      <c r="H10185" s="7"/>
    </row>
    <row r="10186" spans="1:8" x14ac:dyDescent="0.35">
      <c r="A10186" s="7" t="s">
        <v>381</v>
      </c>
      <c r="B10186" s="7" t="s">
        <v>26</v>
      </c>
      <c r="C10186" s="7" t="s">
        <v>27</v>
      </c>
      <c r="D10186" s="7" t="s">
        <v>28</v>
      </c>
      <c r="E10186" s="7" t="s">
        <v>29</v>
      </c>
      <c r="F10186" s="7" t="s">
        <v>125</v>
      </c>
      <c r="G10186" s="7">
        <v>94.597329999999999</v>
      </c>
      <c r="H10186" s="7"/>
    </row>
    <row r="10187" spans="1:8" x14ac:dyDescent="0.35">
      <c r="A10187" s="7" t="s">
        <v>381</v>
      </c>
      <c r="B10187" s="7" t="s">
        <v>26</v>
      </c>
      <c r="C10187" s="7" t="s">
        <v>27</v>
      </c>
      <c r="D10187" s="7" t="s">
        <v>28</v>
      </c>
      <c r="E10187" s="7" t="s">
        <v>29</v>
      </c>
      <c r="F10187" s="7" t="s">
        <v>126</v>
      </c>
      <c r="G10187" s="7">
        <v>94.877260000000007</v>
      </c>
      <c r="H10187" s="7"/>
    </row>
    <row r="10188" spans="1:8" x14ac:dyDescent="0.35">
      <c r="A10188" s="7" t="s">
        <v>381</v>
      </c>
      <c r="B10188" s="7" t="s">
        <v>26</v>
      </c>
      <c r="C10188" s="7" t="s">
        <v>27</v>
      </c>
      <c r="D10188" s="7" t="s">
        <v>28</v>
      </c>
      <c r="E10188" s="7" t="s">
        <v>29</v>
      </c>
      <c r="F10188" s="7" t="s">
        <v>127</v>
      </c>
      <c r="G10188" s="7">
        <v>94.67116</v>
      </c>
      <c r="H10188" s="7"/>
    </row>
    <row r="10189" spans="1:8" x14ac:dyDescent="0.35">
      <c r="A10189" s="7" t="s">
        <v>381</v>
      </c>
      <c r="B10189" s="7" t="s">
        <v>26</v>
      </c>
      <c r="C10189" s="7" t="s">
        <v>27</v>
      </c>
      <c r="D10189" s="7" t="s">
        <v>28</v>
      </c>
      <c r="E10189" s="7" t="s">
        <v>29</v>
      </c>
      <c r="F10189" s="7" t="s">
        <v>128</v>
      </c>
      <c r="G10189" s="7">
        <v>94.108890000000002</v>
      </c>
      <c r="H10189" s="7"/>
    </row>
    <row r="10190" spans="1:8" x14ac:dyDescent="0.35">
      <c r="A10190" s="7" t="s">
        <v>381</v>
      </c>
      <c r="B10190" s="7" t="s">
        <v>26</v>
      </c>
      <c r="C10190" s="7" t="s">
        <v>27</v>
      </c>
      <c r="D10190" s="7" t="s">
        <v>28</v>
      </c>
      <c r="E10190" s="7" t="s">
        <v>29</v>
      </c>
      <c r="F10190" s="7" t="s">
        <v>129</v>
      </c>
      <c r="G10190" s="7">
        <v>93.781040000000004</v>
      </c>
      <c r="H10190" s="7"/>
    </row>
    <row r="10191" spans="1:8" x14ac:dyDescent="0.35">
      <c r="A10191" s="7" t="s">
        <v>381</v>
      </c>
      <c r="B10191" s="7" t="s">
        <v>26</v>
      </c>
      <c r="C10191" s="7" t="s">
        <v>27</v>
      </c>
      <c r="D10191" s="7" t="s">
        <v>28</v>
      </c>
      <c r="E10191" s="7" t="s">
        <v>29</v>
      </c>
      <c r="F10191" s="7" t="s">
        <v>130</v>
      </c>
      <c r="G10191" s="7">
        <v>93.821939999999998</v>
      </c>
      <c r="H10191" s="7"/>
    </row>
    <row r="10192" spans="1:8" x14ac:dyDescent="0.35">
      <c r="A10192" s="7" t="s">
        <v>381</v>
      </c>
      <c r="B10192" s="7" t="s">
        <v>26</v>
      </c>
      <c r="C10192" s="7" t="s">
        <v>27</v>
      </c>
      <c r="D10192" s="7" t="s">
        <v>28</v>
      </c>
      <c r="E10192" s="7" t="s">
        <v>29</v>
      </c>
      <c r="F10192" s="7" t="s">
        <v>131</v>
      </c>
      <c r="G10192" s="7">
        <v>94.179479999999998</v>
      </c>
      <c r="H10192" s="7"/>
    </row>
    <row r="10193" spans="1:8" x14ac:dyDescent="0.35">
      <c r="A10193" s="7" t="s">
        <v>381</v>
      </c>
      <c r="B10193" s="7" t="s">
        <v>26</v>
      </c>
      <c r="C10193" s="7" t="s">
        <v>27</v>
      </c>
      <c r="D10193" s="7" t="s">
        <v>28</v>
      </c>
      <c r="E10193" s="7" t="s">
        <v>29</v>
      </c>
      <c r="F10193" s="7" t="s">
        <v>132</v>
      </c>
      <c r="G10193" s="7">
        <v>94.516300000000001</v>
      </c>
      <c r="H10193" s="7"/>
    </row>
    <row r="10194" spans="1:8" x14ac:dyDescent="0.35">
      <c r="A10194" s="7" t="s">
        <v>381</v>
      </c>
      <c r="B10194" s="7" t="s">
        <v>26</v>
      </c>
      <c r="C10194" s="7" t="s">
        <v>27</v>
      </c>
      <c r="D10194" s="7" t="s">
        <v>28</v>
      </c>
      <c r="E10194" s="7" t="s">
        <v>29</v>
      </c>
      <c r="F10194" s="7" t="s">
        <v>133</v>
      </c>
      <c r="G10194" s="7">
        <v>94.867260000000002</v>
      </c>
      <c r="H10194" s="7"/>
    </row>
    <row r="10195" spans="1:8" x14ac:dyDescent="0.35">
      <c r="A10195" s="7" t="s">
        <v>381</v>
      </c>
      <c r="B10195" s="7" t="s">
        <v>26</v>
      </c>
      <c r="C10195" s="7" t="s">
        <v>27</v>
      </c>
      <c r="D10195" s="7" t="s">
        <v>28</v>
      </c>
      <c r="E10195" s="7" t="s">
        <v>29</v>
      </c>
      <c r="F10195" s="7" t="s">
        <v>134</v>
      </c>
      <c r="G10195" s="7">
        <v>95.273750000000007</v>
      </c>
      <c r="H10195" s="7"/>
    </row>
    <row r="10196" spans="1:8" x14ac:dyDescent="0.35">
      <c r="A10196" s="7" t="s">
        <v>381</v>
      </c>
      <c r="B10196" s="7" t="s">
        <v>26</v>
      </c>
      <c r="C10196" s="7" t="s">
        <v>27</v>
      </c>
      <c r="D10196" s="7" t="s">
        <v>28</v>
      </c>
      <c r="E10196" s="7" t="s">
        <v>29</v>
      </c>
      <c r="F10196" s="7" t="s">
        <v>135</v>
      </c>
      <c r="G10196" s="7">
        <v>95.432609999999997</v>
      </c>
      <c r="H10196" s="7"/>
    </row>
    <row r="10197" spans="1:8" x14ac:dyDescent="0.35">
      <c r="A10197" s="7" t="s">
        <v>381</v>
      </c>
      <c r="B10197" s="7" t="s">
        <v>26</v>
      </c>
      <c r="C10197" s="7" t="s">
        <v>27</v>
      </c>
      <c r="D10197" s="7" t="s">
        <v>28</v>
      </c>
      <c r="E10197" s="7" t="s">
        <v>29</v>
      </c>
      <c r="F10197" s="7" t="s">
        <v>136</v>
      </c>
      <c r="G10197" s="7">
        <v>95.275859999999994</v>
      </c>
      <c r="H10197" s="7"/>
    </row>
    <row r="10198" spans="1:8" x14ac:dyDescent="0.35">
      <c r="A10198" s="7" t="s">
        <v>381</v>
      </c>
      <c r="B10198" s="7" t="s">
        <v>26</v>
      </c>
      <c r="C10198" s="7" t="s">
        <v>27</v>
      </c>
      <c r="D10198" s="7" t="s">
        <v>28</v>
      </c>
      <c r="E10198" s="7" t="s">
        <v>29</v>
      </c>
      <c r="F10198" s="7" t="s">
        <v>137</v>
      </c>
      <c r="G10198" s="7">
        <v>94.869789999999995</v>
      </c>
      <c r="H10198" s="7"/>
    </row>
    <row r="10199" spans="1:8" x14ac:dyDescent="0.35">
      <c r="A10199" s="7" t="s">
        <v>381</v>
      </c>
      <c r="B10199" s="7" t="s">
        <v>26</v>
      </c>
      <c r="C10199" s="7" t="s">
        <v>27</v>
      </c>
      <c r="D10199" s="7" t="s">
        <v>28</v>
      </c>
      <c r="E10199" s="7" t="s">
        <v>29</v>
      </c>
      <c r="F10199" s="7" t="s">
        <v>138</v>
      </c>
      <c r="G10199" s="7">
        <v>94.629810000000006</v>
      </c>
      <c r="H10199" s="7"/>
    </row>
    <row r="10200" spans="1:8" x14ac:dyDescent="0.35">
      <c r="A10200" s="7" t="s">
        <v>381</v>
      </c>
      <c r="B10200" s="7" t="s">
        <v>26</v>
      </c>
      <c r="C10200" s="7" t="s">
        <v>27</v>
      </c>
      <c r="D10200" s="7" t="s">
        <v>28</v>
      </c>
      <c r="E10200" s="7" t="s">
        <v>29</v>
      </c>
      <c r="F10200" s="7" t="s">
        <v>139</v>
      </c>
      <c r="G10200" s="7">
        <v>94.624269999999996</v>
      </c>
      <c r="H10200" s="7"/>
    </row>
    <row r="10201" spans="1:8" x14ac:dyDescent="0.35">
      <c r="A10201" s="7" t="s">
        <v>381</v>
      </c>
      <c r="B10201" s="7" t="s">
        <v>26</v>
      </c>
      <c r="C10201" s="7" t="s">
        <v>27</v>
      </c>
      <c r="D10201" s="7" t="s">
        <v>28</v>
      </c>
      <c r="E10201" s="7" t="s">
        <v>29</v>
      </c>
      <c r="F10201" s="7" t="s">
        <v>140</v>
      </c>
      <c r="G10201" s="7">
        <v>94.785470000000004</v>
      </c>
      <c r="H10201" s="7"/>
    </row>
    <row r="10202" spans="1:8" x14ac:dyDescent="0.35">
      <c r="A10202" s="7" t="s">
        <v>381</v>
      </c>
      <c r="B10202" s="7" t="s">
        <v>26</v>
      </c>
      <c r="C10202" s="7" t="s">
        <v>27</v>
      </c>
      <c r="D10202" s="7" t="s">
        <v>28</v>
      </c>
      <c r="E10202" s="7" t="s">
        <v>29</v>
      </c>
      <c r="F10202" s="7" t="s">
        <v>141</v>
      </c>
      <c r="G10202" s="7">
        <v>94.857190000000003</v>
      </c>
      <c r="H10202" s="7"/>
    </row>
    <row r="10203" spans="1:8" x14ac:dyDescent="0.35">
      <c r="A10203" s="7" t="s">
        <v>381</v>
      </c>
      <c r="B10203" s="7" t="s">
        <v>26</v>
      </c>
      <c r="C10203" s="7" t="s">
        <v>27</v>
      </c>
      <c r="D10203" s="7" t="s">
        <v>28</v>
      </c>
      <c r="E10203" s="7" t="s">
        <v>29</v>
      </c>
      <c r="F10203" s="7" t="s">
        <v>142</v>
      </c>
      <c r="G10203" s="7">
        <v>94.987620000000007</v>
      </c>
      <c r="H10203" s="7"/>
    </row>
    <row r="10204" spans="1:8" x14ac:dyDescent="0.35">
      <c r="A10204" s="7" t="s">
        <v>381</v>
      </c>
      <c r="B10204" s="7" t="s">
        <v>26</v>
      </c>
      <c r="C10204" s="7" t="s">
        <v>27</v>
      </c>
      <c r="D10204" s="7" t="s">
        <v>28</v>
      </c>
      <c r="E10204" s="7" t="s">
        <v>29</v>
      </c>
      <c r="F10204" s="7" t="s">
        <v>143</v>
      </c>
      <c r="G10204" s="7">
        <v>95.628600000000006</v>
      </c>
      <c r="H10204" s="7"/>
    </row>
    <row r="10205" spans="1:8" x14ac:dyDescent="0.35">
      <c r="A10205" s="7" t="s">
        <v>381</v>
      </c>
      <c r="B10205" s="7" t="s">
        <v>26</v>
      </c>
      <c r="C10205" s="7" t="s">
        <v>27</v>
      </c>
      <c r="D10205" s="7" t="s">
        <v>28</v>
      </c>
      <c r="E10205" s="7" t="s">
        <v>29</v>
      </c>
      <c r="F10205" s="7" t="s">
        <v>144</v>
      </c>
      <c r="G10205" s="7">
        <v>97.347210000000004</v>
      </c>
      <c r="H10205" s="7"/>
    </row>
    <row r="10206" spans="1:8" x14ac:dyDescent="0.35">
      <c r="A10206" s="7" t="s">
        <v>381</v>
      </c>
      <c r="B10206" s="7" t="s">
        <v>26</v>
      </c>
      <c r="C10206" s="7" t="s">
        <v>27</v>
      </c>
      <c r="D10206" s="7" t="s">
        <v>28</v>
      </c>
      <c r="E10206" s="7" t="s">
        <v>29</v>
      </c>
      <c r="F10206" s="7" t="s">
        <v>145</v>
      </c>
      <c r="G10206" s="7">
        <v>98.908580000000001</v>
      </c>
      <c r="H10206" s="7"/>
    </row>
    <row r="10207" spans="1:8" x14ac:dyDescent="0.35">
      <c r="A10207" s="7" t="s">
        <v>381</v>
      </c>
      <c r="B10207" s="7" t="s">
        <v>26</v>
      </c>
      <c r="C10207" s="7" t="s">
        <v>27</v>
      </c>
      <c r="D10207" s="7" t="s">
        <v>28</v>
      </c>
      <c r="E10207" s="7" t="s">
        <v>29</v>
      </c>
      <c r="F10207" s="7" t="s">
        <v>146</v>
      </c>
      <c r="G10207" s="7">
        <v>100.053</v>
      </c>
      <c r="H10207" s="7"/>
    </row>
    <row r="10208" spans="1:8" x14ac:dyDescent="0.35">
      <c r="A10208" s="7" t="s">
        <v>381</v>
      </c>
      <c r="B10208" s="7" t="s">
        <v>26</v>
      </c>
      <c r="C10208" s="7" t="s">
        <v>27</v>
      </c>
      <c r="D10208" s="7" t="s">
        <v>28</v>
      </c>
      <c r="E10208" s="7" t="s">
        <v>29</v>
      </c>
      <c r="F10208" s="7" t="s">
        <v>147</v>
      </c>
      <c r="G10208" s="7">
        <v>100.74639999999999</v>
      </c>
      <c r="H10208" s="7"/>
    </row>
    <row r="10209" spans="1:8" x14ac:dyDescent="0.35">
      <c r="A10209" s="7" t="s">
        <v>381</v>
      </c>
      <c r="B10209" s="7" t="s">
        <v>26</v>
      </c>
      <c r="C10209" s="7" t="s">
        <v>27</v>
      </c>
      <c r="D10209" s="7" t="s">
        <v>28</v>
      </c>
      <c r="E10209" s="7" t="s">
        <v>29</v>
      </c>
      <c r="F10209" s="7" t="s">
        <v>148</v>
      </c>
      <c r="G10209" s="7">
        <v>100.35550000000001</v>
      </c>
      <c r="H10209" s="7"/>
    </row>
    <row r="10210" spans="1:8" x14ac:dyDescent="0.35">
      <c r="A10210" s="7" t="s">
        <v>381</v>
      </c>
      <c r="B10210" s="7" t="s">
        <v>26</v>
      </c>
      <c r="C10210" s="7" t="s">
        <v>27</v>
      </c>
      <c r="D10210" s="7" t="s">
        <v>28</v>
      </c>
      <c r="E10210" s="7" t="s">
        <v>29</v>
      </c>
      <c r="F10210" s="7" t="s">
        <v>149</v>
      </c>
      <c r="G10210" s="7">
        <v>99.738219999999998</v>
      </c>
      <c r="H10210" s="7"/>
    </row>
    <row r="10211" spans="1:8" x14ac:dyDescent="0.35">
      <c r="A10211" s="7" t="s">
        <v>381</v>
      </c>
      <c r="B10211" s="7" t="s">
        <v>26</v>
      </c>
      <c r="C10211" s="7" t="s">
        <v>27</v>
      </c>
      <c r="D10211" s="7" t="s">
        <v>28</v>
      </c>
      <c r="E10211" s="7" t="s">
        <v>29</v>
      </c>
      <c r="F10211" s="7" t="s">
        <v>150</v>
      </c>
      <c r="G10211" s="7">
        <v>99.401700000000005</v>
      </c>
      <c r="H10211" s="7"/>
    </row>
    <row r="10212" spans="1:8" x14ac:dyDescent="0.35">
      <c r="A10212" s="7" t="s">
        <v>381</v>
      </c>
      <c r="B10212" s="7" t="s">
        <v>26</v>
      </c>
      <c r="C10212" s="7" t="s">
        <v>27</v>
      </c>
      <c r="D10212" s="7" t="s">
        <v>28</v>
      </c>
      <c r="E10212" s="7" t="s">
        <v>29</v>
      </c>
      <c r="F10212" s="7" t="s">
        <v>151</v>
      </c>
      <c r="G10212" s="7">
        <v>99.713279999999997</v>
      </c>
      <c r="H10212" s="7"/>
    </row>
    <row r="10213" spans="1:8" x14ac:dyDescent="0.35">
      <c r="A10213" s="7" t="s">
        <v>381</v>
      </c>
      <c r="B10213" s="7" t="s">
        <v>26</v>
      </c>
      <c r="C10213" s="7" t="s">
        <v>27</v>
      </c>
      <c r="D10213" s="7" t="s">
        <v>28</v>
      </c>
      <c r="E10213" s="7" t="s">
        <v>29</v>
      </c>
      <c r="F10213" s="7" t="s">
        <v>152</v>
      </c>
      <c r="G10213" s="7">
        <v>100.599</v>
      </c>
      <c r="H10213" s="7"/>
    </row>
    <row r="10214" spans="1:8" x14ac:dyDescent="0.35">
      <c r="A10214" s="7" t="s">
        <v>381</v>
      </c>
      <c r="B10214" s="7" t="s">
        <v>26</v>
      </c>
      <c r="C10214" s="7" t="s">
        <v>27</v>
      </c>
      <c r="D10214" s="7" t="s">
        <v>28</v>
      </c>
      <c r="E10214" s="7" t="s">
        <v>29</v>
      </c>
      <c r="F10214" s="7" t="s">
        <v>153</v>
      </c>
      <c r="G10214" s="7">
        <v>101.319</v>
      </c>
      <c r="H10214" s="7"/>
    </row>
    <row r="10215" spans="1:8" x14ac:dyDescent="0.35">
      <c r="A10215" s="7" t="s">
        <v>381</v>
      </c>
      <c r="B10215" s="7" t="s">
        <v>26</v>
      </c>
      <c r="C10215" s="7" t="s">
        <v>27</v>
      </c>
      <c r="D10215" s="7" t="s">
        <v>28</v>
      </c>
      <c r="E10215" s="7" t="s">
        <v>29</v>
      </c>
      <c r="F10215" s="7" t="s">
        <v>154</v>
      </c>
      <c r="G10215" s="7">
        <v>101.7863</v>
      </c>
      <c r="H10215" s="7"/>
    </row>
    <row r="10216" spans="1:8" x14ac:dyDescent="0.35">
      <c r="A10216" s="7" t="s">
        <v>381</v>
      </c>
      <c r="B10216" s="7" t="s">
        <v>26</v>
      </c>
      <c r="C10216" s="7" t="s">
        <v>27</v>
      </c>
      <c r="D10216" s="7" t="s">
        <v>28</v>
      </c>
      <c r="E10216" s="7" t="s">
        <v>29</v>
      </c>
      <c r="F10216" s="7" t="s">
        <v>155</v>
      </c>
      <c r="G10216" s="7">
        <v>102.0783</v>
      </c>
      <c r="H10216" s="7"/>
    </row>
    <row r="10217" spans="1:8" x14ac:dyDescent="0.35">
      <c r="A10217" s="7" t="s">
        <v>381</v>
      </c>
      <c r="B10217" s="7" t="s">
        <v>26</v>
      </c>
      <c r="C10217" s="7" t="s">
        <v>27</v>
      </c>
      <c r="D10217" s="7" t="s">
        <v>28</v>
      </c>
      <c r="E10217" s="7" t="s">
        <v>29</v>
      </c>
      <c r="F10217" s="7" t="s">
        <v>156</v>
      </c>
      <c r="G10217" s="7">
        <v>102.23139999999999</v>
      </c>
      <c r="H10217" s="7"/>
    </row>
    <row r="10218" spans="1:8" x14ac:dyDescent="0.35">
      <c r="A10218" s="7" t="s">
        <v>381</v>
      </c>
      <c r="B10218" s="7" t="s">
        <v>26</v>
      </c>
      <c r="C10218" s="7" t="s">
        <v>27</v>
      </c>
      <c r="D10218" s="7" t="s">
        <v>28</v>
      </c>
      <c r="E10218" s="7" t="s">
        <v>29</v>
      </c>
      <c r="F10218" s="7" t="s">
        <v>157</v>
      </c>
      <c r="G10218" s="7">
        <v>102.32510000000001</v>
      </c>
      <c r="H10218" s="7"/>
    </row>
    <row r="10219" spans="1:8" x14ac:dyDescent="0.35">
      <c r="A10219" s="7" t="s">
        <v>381</v>
      </c>
      <c r="B10219" s="7" t="s">
        <v>26</v>
      </c>
      <c r="C10219" s="7" t="s">
        <v>27</v>
      </c>
      <c r="D10219" s="7" t="s">
        <v>28</v>
      </c>
      <c r="E10219" s="7" t="s">
        <v>29</v>
      </c>
      <c r="F10219" s="7" t="s">
        <v>158</v>
      </c>
      <c r="G10219" s="7">
        <v>102.3586</v>
      </c>
      <c r="H10219" s="7"/>
    </row>
    <row r="10220" spans="1:8" x14ac:dyDescent="0.35">
      <c r="A10220" s="7" t="s">
        <v>381</v>
      </c>
      <c r="B10220" s="7" t="s">
        <v>26</v>
      </c>
      <c r="C10220" s="7" t="s">
        <v>27</v>
      </c>
      <c r="D10220" s="7" t="s">
        <v>28</v>
      </c>
      <c r="E10220" s="7" t="s">
        <v>29</v>
      </c>
      <c r="F10220" s="7" t="s">
        <v>159</v>
      </c>
      <c r="G10220" s="7">
        <v>102.4177</v>
      </c>
      <c r="H10220" s="7"/>
    </row>
    <row r="10221" spans="1:8" x14ac:dyDescent="0.35">
      <c r="A10221" s="7" t="s">
        <v>381</v>
      </c>
      <c r="B10221" s="7" t="s">
        <v>26</v>
      </c>
      <c r="C10221" s="7" t="s">
        <v>27</v>
      </c>
      <c r="D10221" s="7" t="s">
        <v>28</v>
      </c>
      <c r="E10221" s="7" t="s">
        <v>29</v>
      </c>
      <c r="F10221" s="7" t="s">
        <v>160</v>
      </c>
      <c r="G10221" s="7">
        <v>102.64149999999999</v>
      </c>
      <c r="H10221" s="7"/>
    </row>
    <row r="10222" spans="1:8" x14ac:dyDescent="0.35">
      <c r="A10222" s="7" t="s">
        <v>381</v>
      </c>
      <c r="B10222" s="7" t="s">
        <v>26</v>
      </c>
      <c r="C10222" s="7" t="s">
        <v>27</v>
      </c>
      <c r="D10222" s="7" t="s">
        <v>28</v>
      </c>
      <c r="E10222" s="7" t="s">
        <v>29</v>
      </c>
      <c r="F10222" s="7" t="s">
        <v>161</v>
      </c>
      <c r="G10222" s="7">
        <v>102.7281</v>
      </c>
      <c r="H10222" s="7"/>
    </row>
    <row r="10223" spans="1:8" x14ac:dyDescent="0.35">
      <c r="A10223" s="7" t="s">
        <v>381</v>
      </c>
      <c r="B10223" s="7" t="s">
        <v>26</v>
      </c>
      <c r="C10223" s="7" t="s">
        <v>27</v>
      </c>
      <c r="D10223" s="7" t="s">
        <v>28</v>
      </c>
      <c r="E10223" s="7" t="s">
        <v>29</v>
      </c>
      <c r="F10223" s="7" t="s">
        <v>162</v>
      </c>
      <c r="G10223" s="7">
        <v>102.78449999999999</v>
      </c>
      <c r="H10223" s="7"/>
    </row>
    <row r="10224" spans="1:8" x14ac:dyDescent="0.35">
      <c r="A10224" s="7" t="s">
        <v>381</v>
      </c>
      <c r="B10224" s="7" t="s">
        <v>26</v>
      </c>
      <c r="C10224" s="7" t="s">
        <v>27</v>
      </c>
      <c r="D10224" s="7" t="s">
        <v>28</v>
      </c>
      <c r="E10224" s="7" t="s">
        <v>29</v>
      </c>
      <c r="F10224" s="7" t="s">
        <v>163</v>
      </c>
      <c r="G10224" s="7">
        <v>102.833</v>
      </c>
      <c r="H10224" s="7"/>
    </row>
    <row r="10225" spans="1:8" x14ac:dyDescent="0.35">
      <c r="A10225" s="7" t="s">
        <v>381</v>
      </c>
      <c r="B10225" s="7" t="s">
        <v>26</v>
      </c>
      <c r="C10225" s="7" t="s">
        <v>27</v>
      </c>
      <c r="D10225" s="7" t="s">
        <v>28</v>
      </c>
      <c r="E10225" s="7" t="s">
        <v>29</v>
      </c>
      <c r="F10225" s="7" t="s">
        <v>164</v>
      </c>
      <c r="G10225" s="7">
        <v>103.1036</v>
      </c>
      <c r="H10225" s="7"/>
    </row>
    <row r="10226" spans="1:8" x14ac:dyDescent="0.35">
      <c r="A10226" s="7" t="s">
        <v>381</v>
      </c>
      <c r="B10226" s="7" t="s">
        <v>26</v>
      </c>
      <c r="C10226" s="7" t="s">
        <v>27</v>
      </c>
      <c r="D10226" s="7" t="s">
        <v>28</v>
      </c>
      <c r="E10226" s="7" t="s">
        <v>29</v>
      </c>
      <c r="F10226" s="7" t="s">
        <v>165</v>
      </c>
      <c r="G10226" s="7">
        <v>103.3472</v>
      </c>
      <c r="H10226" s="7"/>
    </row>
    <row r="10227" spans="1:8" x14ac:dyDescent="0.35">
      <c r="A10227" s="7" t="s">
        <v>381</v>
      </c>
      <c r="B10227" s="7" t="s">
        <v>26</v>
      </c>
      <c r="C10227" s="7" t="s">
        <v>27</v>
      </c>
      <c r="D10227" s="7" t="s">
        <v>28</v>
      </c>
      <c r="E10227" s="7" t="s">
        <v>29</v>
      </c>
      <c r="F10227" s="7" t="s">
        <v>166</v>
      </c>
      <c r="G10227" s="7">
        <v>103.5223</v>
      </c>
      <c r="H10227" s="7"/>
    </row>
    <row r="10228" spans="1:8" x14ac:dyDescent="0.35">
      <c r="A10228" s="7" t="s">
        <v>381</v>
      </c>
      <c r="B10228" s="7" t="s">
        <v>26</v>
      </c>
      <c r="C10228" s="7" t="s">
        <v>27</v>
      </c>
      <c r="D10228" s="7" t="s">
        <v>28</v>
      </c>
      <c r="E10228" s="7" t="s">
        <v>29</v>
      </c>
      <c r="F10228" s="7" t="s">
        <v>167</v>
      </c>
      <c r="G10228" s="7">
        <v>103.1739</v>
      </c>
      <c r="H10228" s="7"/>
    </row>
    <row r="10229" spans="1:8" x14ac:dyDescent="0.35">
      <c r="A10229" s="7" t="s">
        <v>381</v>
      </c>
      <c r="B10229" s="7" t="s">
        <v>26</v>
      </c>
      <c r="C10229" s="7" t="s">
        <v>27</v>
      </c>
      <c r="D10229" s="7" t="s">
        <v>28</v>
      </c>
      <c r="E10229" s="7" t="s">
        <v>29</v>
      </c>
      <c r="F10229" s="7" t="s">
        <v>168</v>
      </c>
      <c r="G10229" s="7">
        <v>102.535</v>
      </c>
      <c r="H10229" s="7"/>
    </row>
    <row r="10230" spans="1:8" x14ac:dyDescent="0.35">
      <c r="A10230" s="7" t="s">
        <v>381</v>
      </c>
      <c r="B10230" s="7" t="s">
        <v>26</v>
      </c>
      <c r="C10230" s="7" t="s">
        <v>27</v>
      </c>
      <c r="D10230" s="7" t="s">
        <v>28</v>
      </c>
      <c r="E10230" s="7" t="s">
        <v>29</v>
      </c>
      <c r="F10230" s="7" t="s">
        <v>169</v>
      </c>
      <c r="G10230" s="7">
        <v>101.83069999999999</v>
      </c>
      <c r="H10230" s="7"/>
    </row>
    <row r="10231" spans="1:8" x14ac:dyDescent="0.35">
      <c r="A10231" s="7" t="s">
        <v>381</v>
      </c>
      <c r="B10231" s="7" t="s">
        <v>26</v>
      </c>
      <c r="C10231" s="7" t="s">
        <v>27</v>
      </c>
      <c r="D10231" s="7" t="s">
        <v>28</v>
      </c>
      <c r="E10231" s="7" t="s">
        <v>29</v>
      </c>
      <c r="F10231" s="7" t="s">
        <v>170</v>
      </c>
      <c r="G10231" s="7">
        <v>101.30800000000001</v>
      </c>
      <c r="H10231" s="7"/>
    </row>
    <row r="10232" spans="1:8" x14ac:dyDescent="0.35">
      <c r="A10232" s="7" t="s">
        <v>381</v>
      </c>
      <c r="B10232" s="7" t="s">
        <v>26</v>
      </c>
      <c r="C10232" s="7" t="s">
        <v>27</v>
      </c>
      <c r="D10232" s="7" t="s">
        <v>28</v>
      </c>
      <c r="E10232" s="7" t="s">
        <v>29</v>
      </c>
      <c r="F10232" s="7" t="s">
        <v>171</v>
      </c>
      <c r="G10232" s="7">
        <v>101.0121</v>
      </c>
      <c r="H10232" s="7"/>
    </row>
    <row r="10233" spans="1:8" x14ac:dyDescent="0.35">
      <c r="A10233" s="7" t="s">
        <v>381</v>
      </c>
      <c r="B10233" s="7" t="s">
        <v>26</v>
      </c>
      <c r="C10233" s="7" t="s">
        <v>27</v>
      </c>
      <c r="D10233" s="7" t="s">
        <v>28</v>
      </c>
      <c r="E10233" s="7" t="s">
        <v>29</v>
      </c>
      <c r="F10233" s="7" t="s">
        <v>172</v>
      </c>
      <c r="G10233" s="7">
        <v>100.9898</v>
      </c>
      <c r="H10233" s="7"/>
    </row>
    <row r="10234" spans="1:8" x14ac:dyDescent="0.35">
      <c r="A10234" s="7" t="s">
        <v>381</v>
      </c>
      <c r="B10234" s="7" t="s">
        <v>26</v>
      </c>
      <c r="C10234" s="7" t="s">
        <v>27</v>
      </c>
      <c r="D10234" s="7" t="s">
        <v>28</v>
      </c>
      <c r="E10234" s="7" t="s">
        <v>29</v>
      </c>
      <c r="F10234" s="7" t="s">
        <v>173</v>
      </c>
      <c r="G10234" s="7">
        <v>100.86060000000001</v>
      </c>
      <c r="H10234" s="7"/>
    </row>
    <row r="10235" spans="1:8" x14ac:dyDescent="0.35">
      <c r="A10235" s="7" t="s">
        <v>381</v>
      </c>
      <c r="B10235" s="7" t="s">
        <v>26</v>
      </c>
      <c r="C10235" s="7" t="s">
        <v>27</v>
      </c>
      <c r="D10235" s="7" t="s">
        <v>28</v>
      </c>
      <c r="E10235" s="7" t="s">
        <v>29</v>
      </c>
      <c r="F10235" s="7" t="s">
        <v>174</v>
      </c>
      <c r="G10235" s="7">
        <v>100.506</v>
      </c>
      <c r="H10235" s="7"/>
    </row>
    <row r="10236" spans="1:8" x14ac:dyDescent="0.35">
      <c r="A10236" s="7" t="s">
        <v>381</v>
      </c>
      <c r="B10236" s="7" t="s">
        <v>26</v>
      </c>
      <c r="C10236" s="7" t="s">
        <v>27</v>
      </c>
      <c r="D10236" s="7" t="s">
        <v>28</v>
      </c>
      <c r="E10236" s="7" t="s">
        <v>29</v>
      </c>
      <c r="F10236" s="7" t="s">
        <v>175</v>
      </c>
      <c r="G10236" s="7">
        <v>100.1403</v>
      </c>
      <c r="H10236" s="7"/>
    </row>
    <row r="10237" spans="1:8" x14ac:dyDescent="0.35">
      <c r="A10237" s="7" t="s">
        <v>381</v>
      </c>
      <c r="B10237" s="7" t="s">
        <v>26</v>
      </c>
      <c r="C10237" s="7" t="s">
        <v>27</v>
      </c>
      <c r="D10237" s="7" t="s">
        <v>28</v>
      </c>
      <c r="E10237" s="7" t="s">
        <v>29</v>
      </c>
      <c r="F10237" s="7" t="s">
        <v>176</v>
      </c>
      <c r="G10237" s="7">
        <v>100.1728</v>
      </c>
      <c r="H10237" s="7"/>
    </row>
    <row r="10238" spans="1:8" x14ac:dyDescent="0.35">
      <c r="A10238" s="7" t="s">
        <v>381</v>
      </c>
      <c r="B10238" s="7" t="s">
        <v>26</v>
      </c>
      <c r="C10238" s="7" t="s">
        <v>27</v>
      </c>
      <c r="D10238" s="7" t="s">
        <v>28</v>
      </c>
      <c r="E10238" s="7" t="s">
        <v>29</v>
      </c>
      <c r="F10238" s="7" t="s">
        <v>177</v>
      </c>
      <c r="G10238" s="7">
        <v>99.97784</v>
      </c>
      <c r="H10238" s="7"/>
    </row>
    <row r="10239" spans="1:8" x14ac:dyDescent="0.35">
      <c r="A10239" s="7" t="s">
        <v>381</v>
      </c>
      <c r="B10239" s="7" t="s">
        <v>26</v>
      </c>
      <c r="C10239" s="7" t="s">
        <v>27</v>
      </c>
      <c r="D10239" s="7" t="s">
        <v>28</v>
      </c>
      <c r="E10239" s="7" t="s">
        <v>29</v>
      </c>
      <c r="F10239" s="7" t="s">
        <v>178</v>
      </c>
      <c r="G10239" s="7">
        <v>99.747489999999999</v>
      </c>
      <c r="H10239" s="7"/>
    </row>
    <row r="10240" spans="1:8" x14ac:dyDescent="0.35">
      <c r="A10240" s="7" t="s">
        <v>381</v>
      </c>
      <c r="B10240" s="7" t="s">
        <v>26</v>
      </c>
      <c r="C10240" s="7" t="s">
        <v>27</v>
      </c>
      <c r="D10240" s="7" t="s">
        <v>28</v>
      </c>
      <c r="E10240" s="7" t="s">
        <v>29</v>
      </c>
      <c r="F10240" s="7" t="s">
        <v>179</v>
      </c>
      <c r="G10240" s="7">
        <v>99.410579999999996</v>
      </c>
      <c r="H10240" s="7"/>
    </row>
    <row r="10241" spans="1:8" x14ac:dyDescent="0.35">
      <c r="A10241" s="7" t="s">
        <v>381</v>
      </c>
      <c r="B10241" s="7" t="s">
        <v>26</v>
      </c>
      <c r="C10241" s="7" t="s">
        <v>27</v>
      </c>
      <c r="D10241" s="7" t="s">
        <v>28</v>
      </c>
      <c r="E10241" s="7" t="s">
        <v>29</v>
      </c>
      <c r="F10241" s="7" t="s">
        <v>180</v>
      </c>
      <c r="G10241" s="7">
        <v>99.123959999999997</v>
      </c>
      <c r="H10241" s="7"/>
    </row>
    <row r="10242" spans="1:8" x14ac:dyDescent="0.35">
      <c r="A10242" s="7" t="s">
        <v>381</v>
      </c>
      <c r="B10242" s="7" t="s">
        <v>26</v>
      </c>
      <c r="C10242" s="7" t="s">
        <v>27</v>
      </c>
      <c r="D10242" s="7" t="s">
        <v>28</v>
      </c>
      <c r="E10242" s="7" t="s">
        <v>29</v>
      </c>
      <c r="F10242" s="7" t="s">
        <v>181</v>
      </c>
      <c r="G10242" s="7">
        <v>99.377440000000007</v>
      </c>
      <c r="H10242" s="7"/>
    </row>
    <row r="10243" spans="1:8" x14ac:dyDescent="0.35">
      <c r="A10243" s="7" t="s">
        <v>381</v>
      </c>
      <c r="B10243" s="7" t="s">
        <v>26</v>
      </c>
      <c r="C10243" s="7" t="s">
        <v>27</v>
      </c>
      <c r="D10243" s="7" t="s">
        <v>28</v>
      </c>
      <c r="E10243" s="7" t="s">
        <v>29</v>
      </c>
      <c r="F10243" s="7" t="s">
        <v>182</v>
      </c>
      <c r="G10243" s="7">
        <v>99.975170000000006</v>
      </c>
      <c r="H10243" s="7"/>
    </row>
    <row r="10244" spans="1:8" x14ac:dyDescent="0.35">
      <c r="A10244" s="7" t="s">
        <v>381</v>
      </c>
      <c r="B10244" s="7" t="s">
        <v>26</v>
      </c>
      <c r="C10244" s="7" t="s">
        <v>27</v>
      </c>
      <c r="D10244" s="7" t="s">
        <v>28</v>
      </c>
      <c r="E10244" s="7" t="s">
        <v>29</v>
      </c>
      <c r="F10244" s="7" t="s">
        <v>183</v>
      </c>
      <c r="G10244" s="7">
        <v>100.5363</v>
      </c>
      <c r="H10244" s="7"/>
    </row>
    <row r="10245" spans="1:8" x14ac:dyDescent="0.35">
      <c r="A10245" s="7" t="s">
        <v>381</v>
      </c>
      <c r="B10245" s="7" t="s">
        <v>26</v>
      </c>
      <c r="C10245" s="7" t="s">
        <v>27</v>
      </c>
      <c r="D10245" s="7" t="s">
        <v>28</v>
      </c>
      <c r="E10245" s="7" t="s">
        <v>29</v>
      </c>
      <c r="F10245" s="7" t="s">
        <v>184</v>
      </c>
      <c r="G10245" s="7">
        <v>101.0283</v>
      </c>
      <c r="H10245" s="7"/>
    </row>
    <row r="10246" spans="1:8" x14ac:dyDescent="0.35">
      <c r="A10246" s="7" t="s">
        <v>381</v>
      </c>
      <c r="B10246" s="7" t="s">
        <v>26</v>
      </c>
      <c r="C10246" s="7" t="s">
        <v>27</v>
      </c>
      <c r="D10246" s="7" t="s">
        <v>28</v>
      </c>
      <c r="E10246" s="7" t="s">
        <v>29</v>
      </c>
      <c r="F10246" s="7" t="s">
        <v>185</v>
      </c>
      <c r="G10246" s="7">
        <v>101.2932</v>
      </c>
      <c r="H10246" s="7"/>
    </row>
    <row r="10247" spans="1:8" x14ac:dyDescent="0.35">
      <c r="A10247" s="7" t="s">
        <v>381</v>
      </c>
      <c r="B10247" s="7" t="s">
        <v>26</v>
      </c>
      <c r="C10247" s="7" t="s">
        <v>27</v>
      </c>
      <c r="D10247" s="7" t="s">
        <v>28</v>
      </c>
      <c r="E10247" s="7" t="s">
        <v>29</v>
      </c>
      <c r="F10247" s="7" t="s">
        <v>186</v>
      </c>
      <c r="G10247" s="7">
        <v>101.39619999999999</v>
      </c>
      <c r="H10247" s="7"/>
    </row>
    <row r="10248" spans="1:8" x14ac:dyDescent="0.35">
      <c r="A10248" s="7" t="s">
        <v>381</v>
      </c>
      <c r="B10248" s="7" t="s">
        <v>26</v>
      </c>
      <c r="C10248" s="7" t="s">
        <v>27</v>
      </c>
      <c r="D10248" s="7" t="s">
        <v>28</v>
      </c>
      <c r="E10248" s="7" t="s">
        <v>29</v>
      </c>
      <c r="F10248" s="7" t="s">
        <v>187</v>
      </c>
      <c r="G10248" s="7">
        <v>101.1872</v>
      </c>
      <c r="H10248" s="7"/>
    </row>
    <row r="10249" spans="1:8" x14ac:dyDescent="0.35">
      <c r="A10249" s="7" t="s">
        <v>381</v>
      </c>
      <c r="B10249" s="7" t="s">
        <v>26</v>
      </c>
      <c r="C10249" s="7" t="s">
        <v>27</v>
      </c>
      <c r="D10249" s="7" t="s">
        <v>28</v>
      </c>
      <c r="E10249" s="7" t="s">
        <v>29</v>
      </c>
      <c r="F10249" s="7" t="s">
        <v>188</v>
      </c>
      <c r="G10249" s="7">
        <v>101.1837</v>
      </c>
      <c r="H10249" s="7"/>
    </row>
    <row r="10250" spans="1:8" x14ac:dyDescent="0.35">
      <c r="A10250" s="7" t="s">
        <v>381</v>
      </c>
      <c r="B10250" s="7" t="s">
        <v>26</v>
      </c>
      <c r="C10250" s="7" t="s">
        <v>27</v>
      </c>
      <c r="D10250" s="7" t="s">
        <v>28</v>
      </c>
      <c r="E10250" s="7" t="s">
        <v>29</v>
      </c>
      <c r="F10250" s="7" t="s">
        <v>189</v>
      </c>
      <c r="G10250" s="7">
        <v>101.5615</v>
      </c>
      <c r="H10250" s="7"/>
    </row>
    <row r="10251" spans="1:8" x14ac:dyDescent="0.35">
      <c r="A10251" s="7" t="s">
        <v>381</v>
      </c>
      <c r="B10251" s="7" t="s">
        <v>26</v>
      </c>
      <c r="C10251" s="7" t="s">
        <v>27</v>
      </c>
      <c r="D10251" s="7" t="s">
        <v>28</v>
      </c>
      <c r="E10251" s="7" t="s">
        <v>29</v>
      </c>
      <c r="F10251" s="7" t="s">
        <v>190</v>
      </c>
      <c r="G10251" s="7">
        <v>102.1296</v>
      </c>
      <c r="H10251" s="7"/>
    </row>
    <row r="10252" spans="1:8" x14ac:dyDescent="0.35">
      <c r="A10252" s="7" t="s">
        <v>381</v>
      </c>
      <c r="B10252" s="7" t="s">
        <v>26</v>
      </c>
      <c r="C10252" s="7" t="s">
        <v>27</v>
      </c>
      <c r="D10252" s="7" t="s">
        <v>28</v>
      </c>
      <c r="E10252" s="7" t="s">
        <v>29</v>
      </c>
      <c r="F10252" s="7" t="s">
        <v>191</v>
      </c>
      <c r="G10252" s="7">
        <v>102.3288</v>
      </c>
      <c r="H10252" s="7"/>
    </row>
    <row r="10253" spans="1:8" x14ac:dyDescent="0.35">
      <c r="A10253" s="7" t="s">
        <v>381</v>
      </c>
      <c r="B10253" s="7" t="s">
        <v>26</v>
      </c>
      <c r="C10253" s="7" t="s">
        <v>27</v>
      </c>
      <c r="D10253" s="7" t="s">
        <v>28</v>
      </c>
      <c r="E10253" s="7" t="s">
        <v>29</v>
      </c>
      <c r="F10253" s="7" t="s">
        <v>192</v>
      </c>
      <c r="G10253" s="7">
        <v>102.52070000000001</v>
      </c>
      <c r="H10253" s="7"/>
    </row>
    <row r="10254" spans="1:8" x14ac:dyDescent="0.35">
      <c r="A10254" s="7" t="s">
        <v>381</v>
      </c>
      <c r="B10254" s="7" t="s">
        <v>26</v>
      </c>
      <c r="C10254" s="7" t="s">
        <v>27</v>
      </c>
      <c r="D10254" s="7" t="s">
        <v>28</v>
      </c>
      <c r="E10254" s="7" t="s">
        <v>29</v>
      </c>
      <c r="F10254" s="7" t="s">
        <v>193</v>
      </c>
      <c r="G10254" s="7">
        <v>102.8306</v>
      </c>
      <c r="H10254" s="7"/>
    </row>
    <row r="10255" spans="1:8" x14ac:dyDescent="0.35">
      <c r="A10255" s="7" t="s">
        <v>381</v>
      </c>
      <c r="B10255" s="7" t="s">
        <v>26</v>
      </c>
      <c r="C10255" s="7" t="s">
        <v>27</v>
      </c>
      <c r="D10255" s="7" t="s">
        <v>28</v>
      </c>
      <c r="E10255" s="7" t="s">
        <v>29</v>
      </c>
      <c r="F10255" s="7" t="s">
        <v>194</v>
      </c>
      <c r="G10255" s="7">
        <v>103.13</v>
      </c>
      <c r="H10255" s="7"/>
    </row>
    <row r="10256" spans="1:8" x14ac:dyDescent="0.35">
      <c r="A10256" s="7" t="s">
        <v>381</v>
      </c>
      <c r="B10256" s="7" t="s">
        <v>26</v>
      </c>
      <c r="C10256" s="7" t="s">
        <v>27</v>
      </c>
      <c r="D10256" s="7" t="s">
        <v>28</v>
      </c>
      <c r="E10256" s="7" t="s">
        <v>29</v>
      </c>
      <c r="F10256" s="7" t="s">
        <v>195</v>
      </c>
      <c r="G10256" s="7">
        <v>103.0459</v>
      </c>
      <c r="H10256" s="7"/>
    </row>
    <row r="10257" spans="1:8" x14ac:dyDescent="0.35">
      <c r="A10257" s="7" t="s">
        <v>381</v>
      </c>
      <c r="B10257" s="7" t="s">
        <v>26</v>
      </c>
      <c r="C10257" s="7" t="s">
        <v>27</v>
      </c>
      <c r="D10257" s="7" t="s">
        <v>28</v>
      </c>
      <c r="E10257" s="7" t="s">
        <v>29</v>
      </c>
      <c r="F10257" s="7" t="s">
        <v>196</v>
      </c>
      <c r="G10257" s="7">
        <v>103.08240000000001</v>
      </c>
      <c r="H10257" s="7"/>
    </row>
    <row r="10258" spans="1:8" x14ac:dyDescent="0.35">
      <c r="A10258" s="7" t="s">
        <v>381</v>
      </c>
      <c r="B10258" s="7" t="s">
        <v>26</v>
      </c>
      <c r="C10258" s="7" t="s">
        <v>27</v>
      </c>
      <c r="D10258" s="7" t="s">
        <v>28</v>
      </c>
      <c r="E10258" s="7" t="s">
        <v>29</v>
      </c>
      <c r="F10258" s="7" t="s">
        <v>197</v>
      </c>
      <c r="G10258" s="7">
        <v>104.00839999999999</v>
      </c>
      <c r="H10258" s="7"/>
    </row>
    <row r="10259" spans="1:8" x14ac:dyDescent="0.35">
      <c r="A10259" s="7" t="s">
        <v>381</v>
      </c>
      <c r="B10259" s="7" t="s">
        <v>26</v>
      </c>
      <c r="C10259" s="7" t="s">
        <v>27</v>
      </c>
      <c r="D10259" s="7" t="s">
        <v>28</v>
      </c>
      <c r="E10259" s="7" t="s">
        <v>29</v>
      </c>
      <c r="F10259" s="7" t="s">
        <v>198</v>
      </c>
      <c r="G10259" s="7">
        <v>105.0235</v>
      </c>
      <c r="H10259" s="7"/>
    </row>
    <row r="10260" spans="1:8" x14ac:dyDescent="0.35">
      <c r="A10260" s="7" t="s">
        <v>381</v>
      </c>
      <c r="B10260" s="7" t="s">
        <v>26</v>
      </c>
      <c r="C10260" s="7" t="s">
        <v>27</v>
      </c>
      <c r="D10260" s="7" t="s">
        <v>28</v>
      </c>
      <c r="E10260" s="7" t="s">
        <v>29</v>
      </c>
      <c r="F10260" s="7" t="s">
        <v>199</v>
      </c>
      <c r="G10260" s="7">
        <v>105.935</v>
      </c>
      <c r="H10260" s="7"/>
    </row>
    <row r="10261" spans="1:8" x14ac:dyDescent="0.35">
      <c r="A10261" s="7" t="s">
        <v>381</v>
      </c>
      <c r="B10261" s="7" t="s">
        <v>26</v>
      </c>
      <c r="C10261" s="7" t="s">
        <v>27</v>
      </c>
      <c r="D10261" s="7" t="s">
        <v>28</v>
      </c>
      <c r="E10261" s="7" t="s">
        <v>29</v>
      </c>
      <c r="F10261" s="7" t="s">
        <v>200</v>
      </c>
      <c r="G10261" s="7">
        <v>106.5779</v>
      </c>
      <c r="H10261" s="7"/>
    </row>
    <row r="10262" spans="1:8" x14ac:dyDescent="0.35">
      <c r="A10262" s="7" t="s">
        <v>381</v>
      </c>
      <c r="B10262" s="7" t="s">
        <v>26</v>
      </c>
      <c r="C10262" s="7" t="s">
        <v>27</v>
      </c>
      <c r="D10262" s="7" t="s">
        <v>28</v>
      </c>
      <c r="E10262" s="7" t="s">
        <v>29</v>
      </c>
      <c r="F10262" s="7" t="s">
        <v>201</v>
      </c>
      <c r="G10262" s="7">
        <v>106.94759999999999</v>
      </c>
      <c r="H10262" s="7"/>
    </row>
    <row r="10263" spans="1:8" x14ac:dyDescent="0.35">
      <c r="A10263" s="7" t="s">
        <v>381</v>
      </c>
      <c r="B10263" s="7" t="s">
        <v>26</v>
      </c>
      <c r="C10263" s="7" t="s">
        <v>27</v>
      </c>
      <c r="D10263" s="7" t="s">
        <v>28</v>
      </c>
      <c r="E10263" s="7" t="s">
        <v>29</v>
      </c>
      <c r="F10263" s="7" t="s">
        <v>202</v>
      </c>
      <c r="G10263" s="7">
        <v>107.3109</v>
      </c>
      <c r="H10263" s="7"/>
    </row>
    <row r="10264" spans="1:8" x14ac:dyDescent="0.35">
      <c r="A10264" s="7" t="s">
        <v>381</v>
      </c>
      <c r="B10264" s="7" t="s">
        <v>26</v>
      </c>
      <c r="C10264" s="7" t="s">
        <v>27</v>
      </c>
      <c r="D10264" s="7" t="s">
        <v>28</v>
      </c>
      <c r="E10264" s="7" t="s">
        <v>29</v>
      </c>
      <c r="F10264" s="7" t="s">
        <v>203</v>
      </c>
      <c r="G10264" s="7">
        <v>107.6628</v>
      </c>
      <c r="H10264" s="7"/>
    </row>
    <row r="10265" spans="1:8" x14ac:dyDescent="0.35">
      <c r="A10265" s="7" t="s">
        <v>381</v>
      </c>
      <c r="B10265" s="7" t="s">
        <v>26</v>
      </c>
      <c r="C10265" s="7" t="s">
        <v>27</v>
      </c>
      <c r="D10265" s="7" t="s">
        <v>28</v>
      </c>
      <c r="E10265" s="7" t="s">
        <v>29</v>
      </c>
      <c r="F10265" s="7" t="s">
        <v>204</v>
      </c>
      <c r="G10265" s="7">
        <v>107.6527</v>
      </c>
      <c r="H10265" s="7"/>
    </row>
    <row r="10266" spans="1:8" x14ac:dyDescent="0.35">
      <c r="A10266" s="7" t="s">
        <v>381</v>
      </c>
      <c r="B10266" s="7" t="s">
        <v>26</v>
      </c>
      <c r="C10266" s="7" t="s">
        <v>27</v>
      </c>
      <c r="D10266" s="7" t="s">
        <v>28</v>
      </c>
      <c r="E10266" s="7" t="s">
        <v>29</v>
      </c>
      <c r="F10266" s="7" t="s">
        <v>205</v>
      </c>
      <c r="G10266" s="7">
        <v>107.30589999999999</v>
      </c>
      <c r="H10266" s="7"/>
    </row>
    <row r="10267" spans="1:8" x14ac:dyDescent="0.35">
      <c r="A10267" s="7" t="s">
        <v>381</v>
      </c>
      <c r="B10267" s="7" t="s">
        <v>26</v>
      </c>
      <c r="C10267" s="7" t="s">
        <v>27</v>
      </c>
      <c r="D10267" s="7" t="s">
        <v>28</v>
      </c>
      <c r="E10267" s="7" t="s">
        <v>29</v>
      </c>
      <c r="F10267" s="7" t="s">
        <v>206</v>
      </c>
      <c r="G10267" s="7">
        <v>106.91759999999999</v>
      </c>
      <c r="H10267" s="7"/>
    </row>
    <row r="10268" spans="1:8" x14ac:dyDescent="0.35">
      <c r="A10268" s="7" t="s">
        <v>381</v>
      </c>
      <c r="B10268" s="7" t="s">
        <v>26</v>
      </c>
      <c r="C10268" s="7" t="s">
        <v>27</v>
      </c>
      <c r="D10268" s="7" t="s">
        <v>28</v>
      </c>
      <c r="E10268" s="7" t="s">
        <v>29</v>
      </c>
      <c r="F10268" s="7" t="s">
        <v>207</v>
      </c>
      <c r="G10268" s="7">
        <v>106.7907</v>
      </c>
      <c r="H10268" s="7"/>
    </row>
    <row r="10269" spans="1:8" x14ac:dyDescent="0.35">
      <c r="A10269" s="7" t="s">
        <v>381</v>
      </c>
      <c r="B10269" s="7" t="s">
        <v>26</v>
      </c>
      <c r="C10269" s="7" t="s">
        <v>27</v>
      </c>
      <c r="D10269" s="7" t="s">
        <v>28</v>
      </c>
      <c r="E10269" s="7" t="s">
        <v>29</v>
      </c>
      <c r="F10269" s="7" t="s">
        <v>208</v>
      </c>
      <c r="G10269" s="7">
        <v>107.1019</v>
      </c>
      <c r="H10269" s="7"/>
    </row>
    <row r="10270" spans="1:8" x14ac:dyDescent="0.35">
      <c r="A10270" s="7" t="s">
        <v>381</v>
      </c>
      <c r="B10270" s="7" t="s">
        <v>26</v>
      </c>
      <c r="C10270" s="7" t="s">
        <v>27</v>
      </c>
      <c r="D10270" s="7" t="s">
        <v>28</v>
      </c>
      <c r="E10270" s="7" t="s">
        <v>29</v>
      </c>
      <c r="F10270" s="7" t="s">
        <v>209</v>
      </c>
      <c r="G10270" s="7">
        <v>107.3616</v>
      </c>
      <c r="H10270" s="7"/>
    </row>
    <row r="10271" spans="1:8" x14ac:dyDescent="0.35">
      <c r="A10271" s="7" t="s">
        <v>381</v>
      </c>
      <c r="B10271" s="7" t="s">
        <v>26</v>
      </c>
      <c r="C10271" s="7" t="s">
        <v>27</v>
      </c>
      <c r="D10271" s="7" t="s">
        <v>28</v>
      </c>
      <c r="E10271" s="7" t="s">
        <v>29</v>
      </c>
      <c r="F10271" s="7" t="s">
        <v>210</v>
      </c>
      <c r="G10271" s="7">
        <v>107.408</v>
      </c>
      <c r="H10271" s="7"/>
    </row>
    <row r="10272" spans="1:8" x14ac:dyDescent="0.35">
      <c r="A10272" s="7" t="s">
        <v>381</v>
      </c>
      <c r="B10272" s="7" t="s">
        <v>26</v>
      </c>
      <c r="C10272" s="7" t="s">
        <v>27</v>
      </c>
      <c r="D10272" s="7" t="s">
        <v>28</v>
      </c>
      <c r="E10272" s="7" t="s">
        <v>29</v>
      </c>
      <c r="F10272" s="7" t="s">
        <v>211</v>
      </c>
      <c r="G10272" s="7">
        <v>107.4953</v>
      </c>
      <c r="H10272" s="7"/>
    </row>
    <row r="10273" spans="1:8" x14ac:dyDescent="0.35">
      <c r="A10273" s="7" t="s">
        <v>381</v>
      </c>
      <c r="B10273" s="7" t="s">
        <v>26</v>
      </c>
      <c r="C10273" s="7" t="s">
        <v>27</v>
      </c>
      <c r="D10273" s="7" t="s">
        <v>28</v>
      </c>
      <c r="E10273" s="7" t="s">
        <v>29</v>
      </c>
      <c r="F10273" s="7" t="s">
        <v>212</v>
      </c>
      <c r="G10273" s="7">
        <v>107.6093</v>
      </c>
      <c r="H10273" s="7"/>
    </row>
    <row r="10274" spans="1:8" x14ac:dyDescent="0.35">
      <c r="A10274" s="7" t="s">
        <v>381</v>
      </c>
      <c r="B10274" s="7" t="s">
        <v>26</v>
      </c>
      <c r="C10274" s="7" t="s">
        <v>27</v>
      </c>
      <c r="D10274" s="7" t="s">
        <v>28</v>
      </c>
      <c r="E10274" s="7" t="s">
        <v>29</v>
      </c>
      <c r="F10274" s="7" t="s">
        <v>213</v>
      </c>
      <c r="G10274" s="7">
        <v>107.554</v>
      </c>
      <c r="H10274" s="7"/>
    </row>
    <row r="10275" spans="1:8" x14ac:dyDescent="0.35">
      <c r="A10275" s="7" t="s">
        <v>381</v>
      </c>
      <c r="B10275" s="7" t="s">
        <v>26</v>
      </c>
      <c r="C10275" s="7" t="s">
        <v>27</v>
      </c>
      <c r="D10275" s="7" t="s">
        <v>28</v>
      </c>
      <c r="E10275" s="7" t="s">
        <v>29</v>
      </c>
      <c r="F10275" s="7" t="s">
        <v>214</v>
      </c>
      <c r="G10275" s="7">
        <v>107.3018</v>
      </c>
      <c r="H10275" s="7"/>
    </row>
    <row r="10276" spans="1:8" x14ac:dyDescent="0.35">
      <c r="A10276" s="7" t="s">
        <v>381</v>
      </c>
      <c r="B10276" s="7" t="s">
        <v>26</v>
      </c>
      <c r="C10276" s="7" t="s">
        <v>27</v>
      </c>
      <c r="D10276" s="7" t="s">
        <v>28</v>
      </c>
      <c r="E10276" s="7" t="s">
        <v>29</v>
      </c>
      <c r="F10276" s="7" t="s">
        <v>215</v>
      </c>
      <c r="G10276" s="7">
        <v>106.9909</v>
      </c>
      <c r="H10276" s="7"/>
    </row>
    <row r="10277" spans="1:8" x14ac:dyDescent="0.35">
      <c r="A10277" s="7" t="s">
        <v>381</v>
      </c>
      <c r="B10277" s="7" t="s">
        <v>26</v>
      </c>
      <c r="C10277" s="7" t="s">
        <v>27</v>
      </c>
      <c r="D10277" s="7" t="s">
        <v>28</v>
      </c>
      <c r="E10277" s="7" t="s">
        <v>29</v>
      </c>
      <c r="F10277" s="7" t="s">
        <v>216</v>
      </c>
      <c r="G10277" s="7">
        <v>106.45189999999999</v>
      </c>
      <c r="H10277" s="7"/>
    </row>
    <row r="10278" spans="1:8" x14ac:dyDescent="0.35">
      <c r="A10278" s="7" t="s">
        <v>381</v>
      </c>
      <c r="B10278" s="7" t="s">
        <v>26</v>
      </c>
      <c r="C10278" s="7" t="s">
        <v>27</v>
      </c>
      <c r="D10278" s="7" t="s">
        <v>28</v>
      </c>
      <c r="E10278" s="7" t="s">
        <v>29</v>
      </c>
      <c r="F10278" s="7" t="s">
        <v>217</v>
      </c>
      <c r="G10278" s="7">
        <v>105.8963</v>
      </c>
      <c r="H10278" s="7"/>
    </row>
    <row r="10279" spans="1:8" x14ac:dyDescent="0.35">
      <c r="A10279" s="7" t="s">
        <v>381</v>
      </c>
      <c r="B10279" s="7" t="s">
        <v>26</v>
      </c>
      <c r="C10279" s="7" t="s">
        <v>27</v>
      </c>
      <c r="D10279" s="7" t="s">
        <v>28</v>
      </c>
      <c r="E10279" s="7" t="s">
        <v>29</v>
      </c>
      <c r="F10279" s="7" t="s">
        <v>218</v>
      </c>
      <c r="G10279" s="7">
        <v>105.063</v>
      </c>
      <c r="H10279" s="7"/>
    </row>
    <row r="10280" spans="1:8" x14ac:dyDescent="0.35">
      <c r="A10280" s="7" t="s">
        <v>381</v>
      </c>
      <c r="B10280" s="7" t="s">
        <v>26</v>
      </c>
      <c r="C10280" s="7" t="s">
        <v>27</v>
      </c>
      <c r="D10280" s="7" t="s">
        <v>28</v>
      </c>
      <c r="E10280" s="7" t="s">
        <v>29</v>
      </c>
      <c r="F10280" s="7" t="s">
        <v>219</v>
      </c>
      <c r="G10280" s="7">
        <v>104.122</v>
      </c>
      <c r="H10280" s="7"/>
    </row>
    <row r="10281" spans="1:8" x14ac:dyDescent="0.35">
      <c r="A10281" s="7" t="s">
        <v>381</v>
      </c>
      <c r="B10281" s="7" t="s">
        <v>26</v>
      </c>
      <c r="C10281" s="7" t="s">
        <v>27</v>
      </c>
      <c r="D10281" s="7" t="s">
        <v>28</v>
      </c>
      <c r="E10281" s="7" t="s">
        <v>29</v>
      </c>
      <c r="F10281" s="7" t="s">
        <v>220</v>
      </c>
      <c r="G10281" s="7">
        <v>103.3184</v>
      </c>
      <c r="H10281" s="7"/>
    </row>
    <row r="10282" spans="1:8" x14ac:dyDescent="0.35">
      <c r="A10282" s="7" t="s">
        <v>381</v>
      </c>
      <c r="B10282" s="7" t="s">
        <v>26</v>
      </c>
      <c r="C10282" s="7" t="s">
        <v>27</v>
      </c>
      <c r="D10282" s="7" t="s">
        <v>28</v>
      </c>
      <c r="E10282" s="7" t="s">
        <v>29</v>
      </c>
      <c r="F10282" s="7" t="s">
        <v>221</v>
      </c>
      <c r="G10282" s="7">
        <v>102.5508</v>
      </c>
      <c r="H10282" s="7"/>
    </row>
    <row r="10283" spans="1:8" x14ac:dyDescent="0.35">
      <c r="A10283" s="7" t="s">
        <v>381</v>
      </c>
      <c r="B10283" s="7" t="s">
        <v>26</v>
      </c>
      <c r="C10283" s="7" t="s">
        <v>27</v>
      </c>
      <c r="D10283" s="7" t="s">
        <v>28</v>
      </c>
      <c r="E10283" s="7" t="s">
        <v>29</v>
      </c>
      <c r="F10283" s="7" t="s">
        <v>222</v>
      </c>
      <c r="G10283" s="7">
        <v>102.0001</v>
      </c>
      <c r="H10283" s="7"/>
    </row>
    <row r="10284" spans="1:8" x14ac:dyDescent="0.35">
      <c r="A10284" s="7" t="s">
        <v>381</v>
      </c>
      <c r="B10284" s="7" t="s">
        <v>26</v>
      </c>
      <c r="C10284" s="7" t="s">
        <v>27</v>
      </c>
      <c r="D10284" s="7" t="s">
        <v>28</v>
      </c>
      <c r="E10284" s="7" t="s">
        <v>29</v>
      </c>
      <c r="F10284" s="7" t="s">
        <v>223</v>
      </c>
      <c r="G10284" s="7">
        <v>101.47629999999999</v>
      </c>
      <c r="H10284" s="7"/>
    </row>
    <row r="10285" spans="1:8" x14ac:dyDescent="0.35">
      <c r="A10285" s="7" t="s">
        <v>381</v>
      </c>
      <c r="B10285" s="7" t="s">
        <v>26</v>
      </c>
      <c r="C10285" s="7" t="s">
        <v>27</v>
      </c>
      <c r="D10285" s="7" t="s">
        <v>28</v>
      </c>
      <c r="E10285" s="7" t="s">
        <v>29</v>
      </c>
      <c r="F10285" s="7" t="s">
        <v>224</v>
      </c>
      <c r="G10285" s="7">
        <v>100.7953</v>
      </c>
      <c r="H10285" s="7"/>
    </row>
    <row r="10286" spans="1:8" x14ac:dyDescent="0.35">
      <c r="A10286" s="7" t="s">
        <v>381</v>
      </c>
      <c r="B10286" s="7" t="s">
        <v>26</v>
      </c>
      <c r="C10286" s="7" t="s">
        <v>27</v>
      </c>
      <c r="D10286" s="7" t="s">
        <v>28</v>
      </c>
      <c r="E10286" s="7" t="s">
        <v>29</v>
      </c>
      <c r="F10286" s="7" t="s">
        <v>225</v>
      </c>
      <c r="G10286" s="7">
        <v>100.2152</v>
      </c>
      <c r="H10286" s="7"/>
    </row>
    <row r="10287" spans="1:8" x14ac:dyDescent="0.35">
      <c r="A10287" s="7" t="s">
        <v>381</v>
      </c>
      <c r="B10287" s="7" t="s">
        <v>26</v>
      </c>
      <c r="C10287" s="7" t="s">
        <v>27</v>
      </c>
      <c r="D10287" s="7" t="s">
        <v>28</v>
      </c>
      <c r="E10287" s="7" t="s">
        <v>29</v>
      </c>
      <c r="F10287" s="7" t="s">
        <v>226</v>
      </c>
      <c r="G10287" s="7">
        <v>99.899860000000004</v>
      </c>
      <c r="H10287" s="7"/>
    </row>
    <row r="10288" spans="1:8" x14ac:dyDescent="0.35">
      <c r="A10288" s="7" t="s">
        <v>381</v>
      </c>
      <c r="B10288" s="7" t="s">
        <v>26</v>
      </c>
      <c r="C10288" s="7" t="s">
        <v>27</v>
      </c>
      <c r="D10288" s="7" t="s">
        <v>28</v>
      </c>
      <c r="E10288" s="7" t="s">
        <v>29</v>
      </c>
      <c r="F10288" s="7" t="s">
        <v>227</v>
      </c>
      <c r="G10288" s="7">
        <v>99.483140000000006</v>
      </c>
      <c r="H10288" s="7"/>
    </row>
    <row r="10289" spans="1:8" x14ac:dyDescent="0.35">
      <c r="A10289" s="7" t="s">
        <v>381</v>
      </c>
      <c r="B10289" s="7" t="s">
        <v>26</v>
      </c>
      <c r="C10289" s="7" t="s">
        <v>27</v>
      </c>
      <c r="D10289" s="7" t="s">
        <v>28</v>
      </c>
      <c r="E10289" s="7" t="s">
        <v>29</v>
      </c>
      <c r="F10289" s="7" t="s">
        <v>228</v>
      </c>
      <c r="G10289" s="7">
        <v>99.080759999999998</v>
      </c>
      <c r="H10289" s="7"/>
    </row>
    <row r="10290" spans="1:8" x14ac:dyDescent="0.35">
      <c r="A10290" s="7" t="s">
        <v>381</v>
      </c>
      <c r="B10290" s="7" t="s">
        <v>26</v>
      </c>
      <c r="C10290" s="7" t="s">
        <v>27</v>
      </c>
      <c r="D10290" s="7" t="s">
        <v>28</v>
      </c>
      <c r="E10290" s="7" t="s">
        <v>29</v>
      </c>
      <c r="F10290" s="7" t="s">
        <v>229</v>
      </c>
      <c r="G10290" s="7">
        <v>98.865750000000006</v>
      </c>
      <c r="H10290" s="7"/>
    </row>
    <row r="10291" spans="1:8" x14ac:dyDescent="0.35">
      <c r="A10291" s="7" t="s">
        <v>381</v>
      </c>
      <c r="B10291" s="7" t="s">
        <v>26</v>
      </c>
      <c r="C10291" s="7" t="s">
        <v>27</v>
      </c>
      <c r="D10291" s="7" t="s">
        <v>28</v>
      </c>
      <c r="E10291" s="7" t="s">
        <v>29</v>
      </c>
      <c r="F10291" s="7" t="s">
        <v>230</v>
      </c>
      <c r="G10291" s="7">
        <v>98.600740000000002</v>
      </c>
      <c r="H10291" s="7"/>
    </row>
    <row r="10292" spans="1:8" x14ac:dyDescent="0.35">
      <c r="A10292" s="7" t="s">
        <v>381</v>
      </c>
      <c r="B10292" s="7" t="s">
        <v>26</v>
      </c>
      <c r="C10292" s="7" t="s">
        <v>27</v>
      </c>
      <c r="D10292" s="7" t="s">
        <v>28</v>
      </c>
      <c r="E10292" s="7" t="s">
        <v>29</v>
      </c>
      <c r="F10292" s="7" t="s">
        <v>231</v>
      </c>
      <c r="G10292" s="7">
        <v>98.317019999999999</v>
      </c>
      <c r="H10292" s="7"/>
    </row>
    <row r="10293" spans="1:8" x14ac:dyDescent="0.35">
      <c r="A10293" s="7" t="s">
        <v>381</v>
      </c>
      <c r="B10293" s="7" t="s">
        <v>26</v>
      </c>
      <c r="C10293" s="7" t="s">
        <v>27</v>
      </c>
      <c r="D10293" s="7" t="s">
        <v>28</v>
      </c>
      <c r="E10293" s="7" t="s">
        <v>29</v>
      </c>
      <c r="F10293" s="7" t="s">
        <v>232</v>
      </c>
      <c r="G10293" s="7">
        <v>97.709469999999996</v>
      </c>
      <c r="H10293" s="7"/>
    </row>
    <row r="10294" spans="1:8" x14ac:dyDescent="0.35">
      <c r="A10294" s="7" t="s">
        <v>381</v>
      </c>
      <c r="B10294" s="7" t="s">
        <v>26</v>
      </c>
      <c r="C10294" s="7" t="s">
        <v>27</v>
      </c>
      <c r="D10294" s="7" t="s">
        <v>28</v>
      </c>
      <c r="E10294" s="7" t="s">
        <v>29</v>
      </c>
      <c r="F10294" s="7" t="s">
        <v>233</v>
      </c>
      <c r="G10294" s="7">
        <v>96.710229999999996</v>
      </c>
      <c r="H10294" s="7"/>
    </row>
    <row r="10295" spans="1:8" x14ac:dyDescent="0.35">
      <c r="A10295" s="7" t="s">
        <v>381</v>
      </c>
      <c r="B10295" s="7" t="s">
        <v>26</v>
      </c>
      <c r="C10295" s="7" t="s">
        <v>27</v>
      </c>
      <c r="D10295" s="7" t="s">
        <v>28</v>
      </c>
      <c r="E10295" s="7" t="s">
        <v>29</v>
      </c>
      <c r="F10295" s="7" t="s">
        <v>234</v>
      </c>
      <c r="G10295" s="7">
        <v>95.806319999999999</v>
      </c>
      <c r="H10295" s="7"/>
    </row>
    <row r="10296" spans="1:8" x14ac:dyDescent="0.35">
      <c r="A10296" s="7" t="s">
        <v>381</v>
      </c>
      <c r="B10296" s="7" t="s">
        <v>26</v>
      </c>
      <c r="C10296" s="7" t="s">
        <v>27</v>
      </c>
      <c r="D10296" s="7" t="s">
        <v>28</v>
      </c>
      <c r="E10296" s="7" t="s">
        <v>29</v>
      </c>
      <c r="F10296" s="7" t="s">
        <v>235</v>
      </c>
      <c r="G10296" s="7">
        <v>95.18253</v>
      </c>
      <c r="H10296" s="7"/>
    </row>
    <row r="10297" spans="1:8" x14ac:dyDescent="0.35">
      <c r="A10297" s="7" t="s">
        <v>381</v>
      </c>
      <c r="B10297" s="7" t="s">
        <v>26</v>
      </c>
      <c r="C10297" s="7" t="s">
        <v>27</v>
      </c>
      <c r="D10297" s="7" t="s">
        <v>28</v>
      </c>
      <c r="E10297" s="7" t="s">
        <v>29</v>
      </c>
      <c r="F10297" s="7" t="s">
        <v>236</v>
      </c>
      <c r="G10297" s="7">
        <v>94.668239999999997</v>
      </c>
      <c r="H10297" s="7"/>
    </row>
    <row r="10298" spans="1:8" x14ac:dyDescent="0.35">
      <c r="A10298" s="7" t="s">
        <v>381</v>
      </c>
      <c r="B10298" s="7" t="s">
        <v>26</v>
      </c>
      <c r="C10298" s="7" t="s">
        <v>27</v>
      </c>
      <c r="D10298" s="7" t="s">
        <v>28</v>
      </c>
      <c r="E10298" s="7" t="s">
        <v>29</v>
      </c>
      <c r="F10298" s="7" t="s">
        <v>237</v>
      </c>
      <c r="G10298" s="7">
        <v>94.245189999999994</v>
      </c>
      <c r="H10298" s="7"/>
    </row>
    <row r="10299" spans="1:8" x14ac:dyDescent="0.35">
      <c r="A10299" s="7" t="s">
        <v>381</v>
      </c>
      <c r="B10299" s="7" t="s">
        <v>26</v>
      </c>
      <c r="C10299" s="7" t="s">
        <v>27</v>
      </c>
      <c r="D10299" s="7" t="s">
        <v>28</v>
      </c>
      <c r="E10299" s="7" t="s">
        <v>29</v>
      </c>
      <c r="F10299" s="7" t="s">
        <v>238</v>
      </c>
      <c r="G10299" s="7">
        <v>94.184690000000003</v>
      </c>
      <c r="H10299" s="7"/>
    </row>
    <row r="10300" spans="1:8" x14ac:dyDescent="0.35">
      <c r="A10300" s="7" t="s">
        <v>381</v>
      </c>
      <c r="B10300" s="7" t="s">
        <v>26</v>
      </c>
      <c r="C10300" s="7" t="s">
        <v>27</v>
      </c>
      <c r="D10300" s="7" t="s">
        <v>28</v>
      </c>
      <c r="E10300" s="7" t="s">
        <v>29</v>
      </c>
      <c r="F10300" s="7" t="s">
        <v>239</v>
      </c>
      <c r="G10300" s="7">
        <v>94.77458</v>
      </c>
      <c r="H10300" s="7"/>
    </row>
    <row r="10301" spans="1:8" x14ac:dyDescent="0.35">
      <c r="A10301" s="7" t="s">
        <v>381</v>
      </c>
      <c r="B10301" s="7" t="s">
        <v>26</v>
      </c>
      <c r="C10301" s="7" t="s">
        <v>27</v>
      </c>
      <c r="D10301" s="7" t="s">
        <v>28</v>
      </c>
      <c r="E10301" s="7" t="s">
        <v>29</v>
      </c>
      <c r="F10301" s="7" t="s">
        <v>240</v>
      </c>
      <c r="G10301" s="7">
        <v>95.422610000000006</v>
      </c>
      <c r="H10301" s="7"/>
    </row>
    <row r="10302" spans="1:8" x14ac:dyDescent="0.35">
      <c r="A10302" s="7" t="s">
        <v>381</v>
      </c>
      <c r="B10302" s="7" t="s">
        <v>26</v>
      </c>
      <c r="C10302" s="7" t="s">
        <v>27</v>
      </c>
      <c r="D10302" s="7" t="s">
        <v>28</v>
      </c>
      <c r="E10302" s="7" t="s">
        <v>29</v>
      </c>
      <c r="F10302" s="7" t="s">
        <v>241</v>
      </c>
      <c r="G10302" s="7">
        <v>95.80677</v>
      </c>
      <c r="H10302" s="7"/>
    </row>
    <row r="10303" spans="1:8" x14ac:dyDescent="0.35">
      <c r="A10303" s="7" t="s">
        <v>381</v>
      </c>
      <c r="B10303" s="7" t="s">
        <v>26</v>
      </c>
      <c r="C10303" s="7" t="s">
        <v>27</v>
      </c>
      <c r="D10303" s="7" t="s">
        <v>28</v>
      </c>
      <c r="E10303" s="7" t="s">
        <v>29</v>
      </c>
      <c r="F10303" s="7" t="s">
        <v>242</v>
      </c>
      <c r="G10303" s="7">
        <v>96.358469999999997</v>
      </c>
      <c r="H10303" s="7"/>
    </row>
    <row r="10304" spans="1:8" x14ac:dyDescent="0.35">
      <c r="A10304" s="7" t="s">
        <v>381</v>
      </c>
      <c r="B10304" s="7" t="s">
        <v>26</v>
      </c>
      <c r="C10304" s="7" t="s">
        <v>27</v>
      </c>
      <c r="D10304" s="7" t="s">
        <v>28</v>
      </c>
      <c r="E10304" s="7" t="s">
        <v>29</v>
      </c>
      <c r="F10304" s="7" t="s">
        <v>243</v>
      </c>
      <c r="G10304" s="7">
        <v>97.385279999999995</v>
      </c>
      <c r="H10304" s="7"/>
    </row>
    <row r="10305" spans="1:8" x14ac:dyDescent="0.35">
      <c r="A10305" s="7" t="s">
        <v>381</v>
      </c>
      <c r="B10305" s="7" t="s">
        <v>26</v>
      </c>
      <c r="C10305" s="7" t="s">
        <v>27</v>
      </c>
      <c r="D10305" s="7" t="s">
        <v>28</v>
      </c>
      <c r="E10305" s="7" t="s">
        <v>29</v>
      </c>
      <c r="F10305" s="7" t="s">
        <v>244</v>
      </c>
      <c r="G10305" s="7">
        <v>98.635220000000004</v>
      </c>
      <c r="H10305" s="7"/>
    </row>
    <row r="10306" spans="1:8" x14ac:dyDescent="0.35">
      <c r="A10306" s="7" t="s">
        <v>381</v>
      </c>
      <c r="B10306" s="7" t="s">
        <v>26</v>
      </c>
      <c r="C10306" s="7" t="s">
        <v>27</v>
      </c>
      <c r="D10306" s="7" t="s">
        <v>28</v>
      </c>
      <c r="E10306" s="7" t="s">
        <v>29</v>
      </c>
      <c r="F10306" s="7" t="s">
        <v>245</v>
      </c>
      <c r="G10306" s="7">
        <v>99.517150000000001</v>
      </c>
      <c r="H10306" s="7"/>
    </row>
    <row r="10307" spans="1:8" x14ac:dyDescent="0.35">
      <c r="A10307" s="7" t="s">
        <v>381</v>
      </c>
      <c r="B10307" s="7" t="s">
        <v>26</v>
      </c>
      <c r="C10307" s="7" t="s">
        <v>27</v>
      </c>
      <c r="D10307" s="7" t="s">
        <v>28</v>
      </c>
      <c r="E10307" s="7" t="s">
        <v>29</v>
      </c>
      <c r="F10307" s="7" t="s">
        <v>246</v>
      </c>
      <c r="G10307" s="7">
        <v>99.794120000000007</v>
      </c>
      <c r="H10307" s="7"/>
    </row>
    <row r="10308" spans="1:8" x14ac:dyDescent="0.35">
      <c r="A10308" s="7" t="s">
        <v>381</v>
      </c>
      <c r="B10308" s="7" t="s">
        <v>26</v>
      </c>
      <c r="C10308" s="7" t="s">
        <v>27</v>
      </c>
      <c r="D10308" s="7" t="s">
        <v>28</v>
      </c>
      <c r="E10308" s="7" t="s">
        <v>29</v>
      </c>
      <c r="F10308" s="7" t="s">
        <v>247</v>
      </c>
      <c r="G10308" s="7">
        <v>99.687579999999997</v>
      </c>
      <c r="H10308" s="7"/>
    </row>
    <row r="10309" spans="1:8" x14ac:dyDescent="0.35">
      <c r="A10309" s="7" t="s">
        <v>381</v>
      </c>
      <c r="B10309" s="7" t="s">
        <v>26</v>
      </c>
      <c r="C10309" s="7" t="s">
        <v>27</v>
      </c>
      <c r="D10309" s="7" t="s">
        <v>28</v>
      </c>
      <c r="E10309" s="7" t="s">
        <v>29</v>
      </c>
      <c r="F10309" s="7" t="s">
        <v>248</v>
      </c>
      <c r="G10309" s="7">
        <v>99.832390000000004</v>
      </c>
      <c r="H10309" s="7"/>
    </row>
    <row r="10310" spans="1:8" x14ac:dyDescent="0.35">
      <c r="A10310" s="7" t="s">
        <v>381</v>
      </c>
      <c r="B10310" s="7" t="s">
        <v>26</v>
      </c>
      <c r="C10310" s="7" t="s">
        <v>27</v>
      </c>
      <c r="D10310" s="7" t="s">
        <v>28</v>
      </c>
      <c r="E10310" s="7" t="s">
        <v>29</v>
      </c>
      <c r="F10310" s="7" t="s">
        <v>249</v>
      </c>
      <c r="G10310" s="7">
        <v>100.22329999999999</v>
      </c>
      <c r="H10310" s="7"/>
    </row>
    <row r="10311" spans="1:8" x14ac:dyDescent="0.35">
      <c r="A10311" s="7" t="s">
        <v>381</v>
      </c>
      <c r="B10311" s="7" t="s">
        <v>26</v>
      </c>
      <c r="C10311" s="7" t="s">
        <v>27</v>
      </c>
      <c r="D10311" s="7" t="s">
        <v>28</v>
      </c>
      <c r="E10311" s="7" t="s">
        <v>29</v>
      </c>
      <c r="F10311" s="7" t="s">
        <v>250</v>
      </c>
      <c r="G10311" s="7">
        <v>100.76609999999999</v>
      </c>
      <c r="H10311" s="7"/>
    </row>
    <row r="10312" spans="1:8" x14ac:dyDescent="0.35">
      <c r="A10312" s="7" t="s">
        <v>381</v>
      </c>
      <c r="B10312" s="7" t="s">
        <v>26</v>
      </c>
      <c r="C10312" s="7" t="s">
        <v>27</v>
      </c>
      <c r="D10312" s="7" t="s">
        <v>28</v>
      </c>
      <c r="E10312" s="7" t="s">
        <v>29</v>
      </c>
      <c r="F10312" s="7" t="s">
        <v>251</v>
      </c>
      <c r="G10312" s="7">
        <v>101.554</v>
      </c>
      <c r="H10312" s="7"/>
    </row>
    <row r="10313" spans="1:8" x14ac:dyDescent="0.35">
      <c r="A10313" s="7" t="s">
        <v>381</v>
      </c>
      <c r="B10313" s="7" t="s">
        <v>26</v>
      </c>
      <c r="C10313" s="7" t="s">
        <v>27</v>
      </c>
      <c r="D10313" s="7" t="s">
        <v>28</v>
      </c>
      <c r="E10313" s="7" t="s">
        <v>29</v>
      </c>
      <c r="F10313" s="7" t="s">
        <v>252</v>
      </c>
      <c r="G10313" s="7">
        <v>102.4986</v>
      </c>
      <c r="H10313" s="7"/>
    </row>
    <row r="10314" spans="1:8" x14ac:dyDescent="0.35">
      <c r="A10314" s="7" t="s">
        <v>381</v>
      </c>
      <c r="B10314" s="7" t="s">
        <v>26</v>
      </c>
      <c r="C10314" s="7" t="s">
        <v>27</v>
      </c>
      <c r="D10314" s="7" t="s">
        <v>28</v>
      </c>
      <c r="E10314" s="7" t="s">
        <v>29</v>
      </c>
      <c r="F10314" s="7" t="s">
        <v>253</v>
      </c>
      <c r="G10314" s="7">
        <v>103.2383</v>
      </c>
      <c r="H10314" s="7"/>
    </row>
    <row r="10315" spans="1:8" x14ac:dyDescent="0.35">
      <c r="A10315" s="7" t="s">
        <v>381</v>
      </c>
      <c r="B10315" s="7" t="s">
        <v>26</v>
      </c>
      <c r="C10315" s="7" t="s">
        <v>27</v>
      </c>
      <c r="D10315" s="7" t="s">
        <v>28</v>
      </c>
      <c r="E10315" s="7" t="s">
        <v>29</v>
      </c>
      <c r="F10315" s="7" t="s">
        <v>254</v>
      </c>
      <c r="G10315" s="7">
        <v>103.67270000000001</v>
      </c>
      <c r="H10315" s="7"/>
    </row>
    <row r="10316" spans="1:8" x14ac:dyDescent="0.35">
      <c r="A10316" s="7" t="s">
        <v>381</v>
      </c>
      <c r="B10316" s="7" t="s">
        <v>26</v>
      </c>
      <c r="C10316" s="7" t="s">
        <v>27</v>
      </c>
      <c r="D10316" s="7" t="s">
        <v>28</v>
      </c>
      <c r="E10316" s="7" t="s">
        <v>29</v>
      </c>
      <c r="F10316" s="7" t="s">
        <v>255</v>
      </c>
      <c r="G10316" s="7">
        <v>103.83199999999999</v>
      </c>
      <c r="H10316" s="7"/>
    </row>
    <row r="10317" spans="1:8" x14ac:dyDescent="0.35">
      <c r="A10317" s="7" t="s">
        <v>381</v>
      </c>
      <c r="B10317" s="7" t="s">
        <v>26</v>
      </c>
      <c r="C10317" s="7" t="s">
        <v>27</v>
      </c>
      <c r="D10317" s="7" t="s">
        <v>28</v>
      </c>
      <c r="E10317" s="7" t="s">
        <v>29</v>
      </c>
      <c r="F10317" s="7" t="s">
        <v>256</v>
      </c>
      <c r="G10317" s="7">
        <v>103.61709999999999</v>
      </c>
      <c r="H10317" s="7"/>
    </row>
    <row r="10318" spans="1:8" x14ac:dyDescent="0.35">
      <c r="A10318" s="7" t="s">
        <v>381</v>
      </c>
      <c r="B10318" s="7" t="s">
        <v>26</v>
      </c>
      <c r="C10318" s="7" t="s">
        <v>27</v>
      </c>
      <c r="D10318" s="7" t="s">
        <v>28</v>
      </c>
      <c r="E10318" s="7" t="s">
        <v>29</v>
      </c>
      <c r="F10318" s="7" t="s">
        <v>257</v>
      </c>
      <c r="G10318" s="7">
        <v>103.21980000000001</v>
      </c>
      <c r="H10318" s="7"/>
    </row>
    <row r="10319" spans="1:8" x14ac:dyDescent="0.35">
      <c r="A10319" s="7" t="s">
        <v>381</v>
      </c>
      <c r="B10319" s="7" t="s">
        <v>26</v>
      </c>
      <c r="C10319" s="7" t="s">
        <v>27</v>
      </c>
      <c r="D10319" s="7" t="s">
        <v>28</v>
      </c>
      <c r="E10319" s="7" t="s">
        <v>29</v>
      </c>
      <c r="F10319" s="7" t="s">
        <v>258</v>
      </c>
      <c r="G10319" s="7">
        <v>103.07680000000001</v>
      </c>
      <c r="H10319" s="7"/>
    </row>
    <row r="10320" spans="1:8" x14ac:dyDescent="0.35">
      <c r="A10320" s="7" t="s">
        <v>381</v>
      </c>
      <c r="B10320" s="7" t="s">
        <v>26</v>
      </c>
      <c r="C10320" s="7" t="s">
        <v>27</v>
      </c>
      <c r="D10320" s="7" t="s">
        <v>28</v>
      </c>
      <c r="E10320" s="7" t="s">
        <v>29</v>
      </c>
      <c r="F10320" s="7" t="s">
        <v>259</v>
      </c>
      <c r="G10320" s="7">
        <v>103.426</v>
      </c>
      <c r="H10320" s="7"/>
    </row>
    <row r="10321" spans="1:8" x14ac:dyDescent="0.35">
      <c r="A10321" s="7" t="s">
        <v>381</v>
      </c>
      <c r="B10321" s="7" t="s">
        <v>26</v>
      </c>
      <c r="C10321" s="7" t="s">
        <v>27</v>
      </c>
      <c r="D10321" s="7" t="s">
        <v>28</v>
      </c>
      <c r="E10321" s="7" t="s">
        <v>29</v>
      </c>
      <c r="F10321" s="7" t="s">
        <v>260</v>
      </c>
      <c r="G10321" s="7">
        <v>103.95659999999999</v>
      </c>
      <c r="H10321" s="7"/>
    </row>
    <row r="10322" spans="1:8" x14ac:dyDescent="0.35">
      <c r="A10322" s="7" t="s">
        <v>381</v>
      </c>
      <c r="B10322" s="7" t="s">
        <v>26</v>
      </c>
      <c r="C10322" s="7" t="s">
        <v>27</v>
      </c>
      <c r="D10322" s="7" t="s">
        <v>28</v>
      </c>
      <c r="E10322" s="7" t="s">
        <v>29</v>
      </c>
      <c r="F10322" s="7" t="s">
        <v>261</v>
      </c>
      <c r="G10322" s="7">
        <v>104.18470000000001</v>
      </c>
      <c r="H10322" s="7"/>
    </row>
    <row r="10323" spans="1:8" x14ac:dyDescent="0.35">
      <c r="A10323" s="7" t="s">
        <v>381</v>
      </c>
      <c r="B10323" s="7" t="s">
        <v>26</v>
      </c>
      <c r="C10323" s="7" t="s">
        <v>27</v>
      </c>
      <c r="D10323" s="7" t="s">
        <v>28</v>
      </c>
      <c r="E10323" s="7" t="s">
        <v>29</v>
      </c>
      <c r="F10323" s="7" t="s">
        <v>262</v>
      </c>
      <c r="G10323" s="7">
        <v>104.1991</v>
      </c>
      <c r="H10323" s="7"/>
    </row>
    <row r="10324" spans="1:8" x14ac:dyDescent="0.35">
      <c r="A10324" s="7" t="s">
        <v>381</v>
      </c>
      <c r="B10324" s="7" t="s">
        <v>26</v>
      </c>
      <c r="C10324" s="7" t="s">
        <v>27</v>
      </c>
      <c r="D10324" s="7" t="s">
        <v>28</v>
      </c>
      <c r="E10324" s="7" t="s">
        <v>29</v>
      </c>
      <c r="F10324" s="7" t="s">
        <v>263</v>
      </c>
      <c r="G10324" s="7">
        <v>104.02679999999999</v>
      </c>
      <c r="H10324" s="7"/>
    </row>
    <row r="10325" spans="1:8" x14ac:dyDescent="0.35">
      <c r="A10325" s="7" t="s">
        <v>381</v>
      </c>
      <c r="B10325" s="7" t="s">
        <v>26</v>
      </c>
      <c r="C10325" s="7" t="s">
        <v>27</v>
      </c>
      <c r="D10325" s="7" t="s">
        <v>28</v>
      </c>
      <c r="E10325" s="7" t="s">
        <v>29</v>
      </c>
      <c r="F10325" s="7" t="s">
        <v>264</v>
      </c>
      <c r="G10325" s="7">
        <v>103.9091</v>
      </c>
      <c r="H10325" s="7"/>
    </row>
    <row r="10326" spans="1:8" x14ac:dyDescent="0.35">
      <c r="A10326" s="7" t="s">
        <v>381</v>
      </c>
      <c r="B10326" s="7" t="s">
        <v>26</v>
      </c>
      <c r="C10326" s="7" t="s">
        <v>27</v>
      </c>
      <c r="D10326" s="7" t="s">
        <v>28</v>
      </c>
      <c r="E10326" s="7" t="s">
        <v>29</v>
      </c>
      <c r="F10326" s="7" t="s">
        <v>265</v>
      </c>
      <c r="G10326" s="7">
        <v>103.92230000000001</v>
      </c>
      <c r="H10326" s="7"/>
    </row>
    <row r="10327" spans="1:8" x14ac:dyDescent="0.35">
      <c r="A10327" s="7" t="s">
        <v>381</v>
      </c>
      <c r="B10327" s="7" t="s">
        <v>26</v>
      </c>
      <c r="C10327" s="7" t="s">
        <v>27</v>
      </c>
      <c r="D10327" s="7" t="s">
        <v>28</v>
      </c>
      <c r="E10327" s="7" t="s">
        <v>29</v>
      </c>
      <c r="F10327" s="7" t="s">
        <v>266</v>
      </c>
      <c r="G10327" s="7">
        <v>103.8351</v>
      </c>
      <c r="H10327" s="7"/>
    </row>
    <row r="10328" spans="1:8" x14ac:dyDescent="0.35">
      <c r="A10328" s="7" t="s">
        <v>381</v>
      </c>
      <c r="B10328" s="7" t="s">
        <v>26</v>
      </c>
      <c r="C10328" s="7" t="s">
        <v>27</v>
      </c>
      <c r="D10328" s="7" t="s">
        <v>28</v>
      </c>
      <c r="E10328" s="7" t="s">
        <v>29</v>
      </c>
      <c r="F10328" s="7" t="s">
        <v>267</v>
      </c>
      <c r="G10328" s="7">
        <v>103.21040000000001</v>
      </c>
      <c r="H10328" s="7"/>
    </row>
    <row r="10329" spans="1:8" x14ac:dyDescent="0.35">
      <c r="A10329" s="7" t="s">
        <v>381</v>
      </c>
      <c r="B10329" s="7" t="s">
        <v>26</v>
      </c>
      <c r="C10329" s="7" t="s">
        <v>27</v>
      </c>
      <c r="D10329" s="7" t="s">
        <v>28</v>
      </c>
      <c r="E10329" s="7" t="s">
        <v>29</v>
      </c>
      <c r="F10329" s="7" t="s">
        <v>268</v>
      </c>
      <c r="G10329" s="7">
        <v>102.2187</v>
      </c>
      <c r="H10329" s="7"/>
    </row>
    <row r="10330" spans="1:8" x14ac:dyDescent="0.35">
      <c r="A10330" s="7" t="s">
        <v>381</v>
      </c>
      <c r="B10330" s="7" t="s">
        <v>26</v>
      </c>
      <c r="C10330" s="7" t="s">
        <v>27</v>
      </c>
      <c r="D10330" s="7" t="s">
        <v>28</v>
      </c>
      <c r="E10330" s="7" t="s">
        <v>29</v>
      </c>
      <c r="F10330" s="7" t="s">
        <v>269</v>
      </c>
      <c r="G10330" s="7">
        <v>101.1018</v>
      </c>
      <c r="H10330" s="7"/>
    </row>
    <row r="10331" spans="1:8" x14ac:dyDescent="0.35">
      <c r="A10331" s="7" t="s">
        <v>381</v>
      </c>
      <c r="B10331" s="7" t="s">
        <v>26</v>
      </c>
      <c r="C10331" s="7" t="s">
        <v>27</v>
      </c>
      <c r="D10331" s="7" t="s">
        <v>28</v>
      </c>
      <c r="E10331" s="7" t="s">
        <v>29</v>
      </c>
      <c r="F10331" s="7" t="s">
        <v>270</v>
      </c>
      <c r="G10331" s="7">
        <v>100.1206</v>
      </c>
      <c r="H10331" s="7"/>
    </row>
    <row r="10332" spans="1:8" x14ac:dyDescent="0.35">
      <c r="A10332" s="7" t="s">
        <v>381</v>
      </c>
      <c r="B10332" s="7" t="s">
        <v>26</v>
      </c>
      <c r="C10332" s="7" t="s">
        <v>27</v>
      </c>
      <c r="D10332" s="7" t="s">
        <v>28</v>
      </c>
      <c r="E10332" s="7" t="s">
        <v>29</v>
      </c>
      <c r="F10332" s="7" t="s">
        <v>271</v>
      </c>
      <c r="G10332" s="7">
        <v>99.802120000000002</v>
      </c>
      <c r="H10332" s="7"/>
    </row>
    <row r="10333" spans="1:8" x14ac:dyDescent="0.35">
      <c r="A10333" s="7" t="s">
        <v>381</v>
      </c>
      <c r="B10333" s="7" t="s">
        <v>26</v>
      </c>
      <c r="C10333" s="7" t="s">
        <v>27</v>
      </c>
      <c r="D10333" s="7" t="s">
        <v>28</v>
      </c>
      <c r="E10333" s="7" t="s">
        <v>29</v>
      </c>
      <c r="F10333" s="7" t="s">
        <v>272</v>
      </c>
      <c r="G10333" s="7">
        <v>99.919319999999999</v>
      </c>
      <c r="H10333" s="7"/>
    </row>
    <row r="10334" spans="1:8" x14ac:dyDescent="0.35">
      <c r="A10334" s="7" t="s">
        <v>381</v>
      </c>
      <c r="B10334" s="7" t="s">
        <v>26</v>
      </c>
      <c r="C10334" s="7" t="s">
        <v>27</v>
      </c>
      <c r="D10334" s="7" t="s">
        <v>28</v>
      </c>
      <c r="E10334" s="7" t="s">
        <v>29</v>
      </c>
      <c r="F10334" s="7" t="s">
        <v>273</v>
      </c>
      <c r="G10334" s="7">
        <v>100.2444</v>
      </c>
      <c r="H10334" s="7"/>
    </row>
    <row r="10335" spans="1:8" x14ac:dyDescent="0.35">
      <c r="A10335" s="7" t="s">
        <v>381</v>
      </c>
      <c r="B10335" s="7" t="s">
        <v>26</v>
      </c>
      <c r="C10335" s="7" t="s">
        <v>27</v>
      </c>
      <c r="D10335" s="7" t="s">
        <v>28</v>
      </c>
      <c r="E10335" s="7" t="s">
        <v>29</v>
      </c>
      <c r="F10335" s="7" t="s">
        <v>274</v>
      </c>
      <c r="G10335" s="7">
        <v>100.6639</v>
      </c>
      <c r="H10335" s="7"/>
    </row>
    <row r="10336" spans="1:8" x14ac:dyDescent="0.35">
      <c r="A10336" s="7" t="s">
        <v>381</v>
      </c>
      <c r="B10336" s="7" t="s">
        <v>26</v>
      </c>
      <c r="C10336" s="7" t="s">
        <v>27</v>
      </c>
      <c r="D10336" s="7" t="s">
        <v>28</v>
      </c>
      <c r="E10336" s="7" t="s">
        <v>29</v>
      </c>
      <c r="F10336" s="7" t="s">
        <v>275</v>
      </c>
      <c r="G10336" s="7">
        <v>101.1435</v>
      </c>
      <c r="H10336" s="7"/>
    </row>
    <row r="10337" spans="1:8" x14ac:dyDescent="0.35">
      <c r="A10337" s="7" t="s">
        <v>381</v>
      </c>
      <c r="B10337" s="7" t="s">
        <v>26</v>
      </c>
      <c r="C10337" s="7" t="s">
        <v>27</v>
      </c>
      <c r="D10337" s="7" t="s">
        <v>28</v>
      </c>
      <c r="E10337" s="7" t="s">
        <v>29</v>
      </c>
      <c r="F10337" s="7" t="s">
        <v>276</v>
      </c>
      <c r="G10337" s="7">
        <v>101.56950000000001</v>
      </c>
      <c r="H10337" s="7"/>
    </row>
    <row r="10338" spans="1:8" x14ac:dyDescent="0.35">
      <c r="A10338" s="7" t="s">
        <v>381</v>
      </c>
      <c r="B10338" s="7" t="s">
        <v>26</v>
      </c>
      <c r="C10338" s="7" t="s">
        <v>27</v>
      </c>
      <c r="D10338" s="7" t="s">
        <v>28</v>
      </c>
      <c r="E10338" s="7" t="s">
        <v>29</v>
      </c>
      <c r="F10338" s="7" t="s">
        <v>277</v>
      </c>
      <c r="G10338" s="7">
        <v>101.6756</v>
      </c>
      <c r="H10338" s="7"/>
    </row>
    <row r="10339" spans="1:8" x14ac:dyDescent="0.35">
      <c r="A10339" s="7" t="s">
        <v>381</v>
      </c>
      <c r="B10339" s="7" t="s">
        <v>26</v>
      </c>
      <c r="C10339" s="7" t="s">
        <v>27</v>
      </c>
      <c r="D10339" s="7" t="s">
        <v>28</v>
      </c>
      <c r="E10339" s="7" t="s">
        <v>29</v>
      </c>
      <c r="F10339" s="7" t="s">
        <v>278</v>
      </c>
      <c r="G10339" s="7">
        <v>101.6027</v>
      </c>
      <c r="H10339" s="7"/>
    </row>
    <row r="10340" spans="1:8" x14ac:dyDescent="0.35">
      <c r="A10340" s="7" t="s">
        <v>381</v>
      </c>
      <c r="B10340" s="7" t="s">
        <v>26</v>
      </c>
      <c r="C10340" s="7" t="s">
        <v>27</v>
      </c>
      <c r="D10340" s="7" t="s">
        <v>28</v>
      </c>
      <c r="E10340" s="7" t="s">
        <v>29</v>
      </c>
      <c r="F10340" s="7" t="s">
        <v>279</v>
      </c>
      <c r="G10340" s="7">
        <v>101.416</v>
      </c>
      <c r="H10340" s="7"/>
    </row>
    <row r="10341" spans="1:8" x14ac:dyDescent="0.35">
      <c r="A10341" s="7" t="s">
        <v>381</v>
      </c>
      <c r="B10341" s="7" t="s">
        <v>26</v>
      </c>
      <c r="C10341" s="7" t="s">
        <v>27</v>
      </c>
      <c r="D10341" s="7" t="s">
        <v>28</v>
      </c>
      <c r="E10341" s="7" t="s">
        <v>29</v>
      </c>
      <c r="F10341" s="7" t="s">
        <v>280</v>
      </c>
      <c r="G10341" s="7">
        <v>101.0617</v>
      </c>
      <c r="H10341" s="7"/>
    </row>
    <row r="10342" spans="1:8" x14ac:dyDescent="0.35">
      <c r="A10342" s="7" t="s">
        <v>381</v>
      </c>
      <c r="B10342" s="7" t="s">
        <v>26</v>
      </c>
      <c r="C10342" s="7" t="s">
        <v>27</v>
      </c>
      <c r="D10342" s="7" t="s">
        <v>28</v>
      </c>
      <c r="E10342" s="7" t="s">
        <v>29</v>
      </c>
      <c r="F10342" s="7" t="s">
        <v>281</v>
      </c>
      <c r="G10342" s="7">
        <v>100.7278</v>
      </c>
      <c r="H10342" s="7"/>
    </row>
    <row r="10343" spans="1:8" x14ac:dyDescent="0.35">
      <c r="A10343" s="7" t="s">
        <v>381</v>
      </c>
      <c r="B10343" s="7" t="s">
        <v>26</v>
      </c>
      <c r="C10343" s="7" t="s">
        <v>27</v>
      </c>
      <c r="D10343" s="7" t="s">
        <v>28</v>
      </c>
      <c r="E10343" s="7" t="s">
        <v>29</v>
      </c>
      <c r="F10343" s="7" t="s">
        <v>282</v>
      </c>
      <c r="G10343" s="7">
        <v>100.8505</v>
      </c>
      <c r="H10343" s="7"/>
    </row>
    <row r="10344" spans="1:8" x14ac:dyDescent="0.35">
      <c r="A10344" s="7" t="s">
        <v>381</v>
      </c>
      <c r="B10344" s="7" t="s">
        <v>26</v>
      </c>
      <c r="C10344" s="7" t="s">
        <v>27</v>
      </c>
      <c r="D10344" s="7" t="s">
        <v>28</v>
      </c>
      <c r="E10344" s="7" t="s">
        <v>29</v>
      </c>
      <c r="F10344" s="7" t="s">
        <v>283</v>
      </c>
      <c r="G10344" s="7">
        <v>101.5487</v>
      </c>
      <c r="H10344" s="7"/>
    </row>
    <row r="10345" spans="1:8" x14ac:dyDescent="0.35">
      <c r="A10345" s="7" t="s">
        <v>381</v>
      </c>
      <c r="B10345" s="7" t="s">
        <v>26</v>
      </c>
      <c r="C10345" s="7" t="s">
        <v>27</v>
      </c>
      <c r="D10345" s="7" t="s">
        <v>28</v>
      </c>
      <c r="E10345" s="7" t="s">
        <v>29</v>
      </c>
      <c r="F10345" s="7" t="s">
        <v>284</v>
      </c>
      <c r="G10345" s="7">
        <v>102.1824</v>
      </c>
      <c r="H10345" s="7"/>
    </row>
    <row r="10346" spans="1:8" x14ac:dyDescent="0.35">
      <c r="A10346" s="7" t="s">
        <v>381</v>
      </c>
      <c r="B10346" s="7" t="s">
        <v>26</v>
      </c>
      <c r="C10346" s="7" t="s">
        <v>27</v>
      </c>
      <c r="D10346" s="7" t="s">
        <v>28</v>
      </c>
      <c r="E10346" s="7" t="s">
        <v>29</v>
      </c>
      <c r="F10346" s="7" t="s">
        <v>285</v>
      </c>
      <c r="G10346" s="7">
        <v>102.56870000000001</v>
      </c>
      <c r="H10346" s="7"/>
    </row>
    <row r="10347" spans="1:8" x14ac:dyDescent="0.35">
      <c r="A10347" s="7" t="s">
        <v>381</v>
      </c>
      <c r="B10347" s="7" t="s">
        <v>26</v>
      </c>
      <c r="C10347" s="7" t="s">
        <v>27</v>
      </c>
      <c r="D10347" s="7" t="s">
        <v>28</v>
      </c>
      <c r="E10347" s="7" t="s">
        <v>29</v>
      </c>
      <c r="F10347" s="7" t="s">
        <v>286</v>
      </c>
      <c r="G10347" s="7">
        <v>102.8122</v>
      </c>
      <c r="H10347" s="7"/>
    </row>
    <row r="10348" spans="1:8" x14ac:dyDescent="0.35">
      <c r="A10348" s="7" t="s">
        <v>381</v>
      </c>
      <c r="B10348" s="7" t="s">
        <v>26</v>
      </c>
      <c r="C10348" s="7" t="s">
        <v>27</v>
      </c>
      <c r="D10348" s="7" t="s">
        <v>28</v>
      </c>
      <c r="E10348" s="7" t="s">
        <v>29</v>
      </c>
      <c r="F10348" s="7" t="s">
        <v>287</v>
      </c>
      <c r="G10348" s="7">
        <v>102.8895</v>
      </c>
      <c r="H10348" s="7"/>
    </row>
    <row r="10349" spans="1:8" x14ac:dyDescent="0.35">
      <c r="A10349" s="7" t="s">
        <v>381</v>
      </c>
      <c r="B10349" s="7" t="s">
        <v>26</v>
      </c>
      <c r="C10349" s="7" t="s">
        <v>27</v>
      </c>
      <c r="D10349" s="7" t="s">
        <v>28</v>
      </c>
      <c r="E10349" s="7" t="s">
        <v>29</v>
      </c>
      <c r="F10349" s="7" t="s">
        <v>288</v>
      </c>
      <c r="G10349" s="7">
        <v>102.6671</v>
      </c>
      <c r="H10349" s="7"/>
    </row>
    <row r="10350" spans="1:8" x14ac:dyDescent="0.35">
      <c r="A10350" s="7" t="s">
        <v>381</v>
      </c>
      <c r="B10350" s="7" t="s">
        <v>26</v>
      </c>
      <c r="C10350" s="7" t="s">
        <v>27</v>
      </c>
      <c r="D10350" s="7" t="s">
        <v>28</v>
      </c>
      <c r="E10350" s="7" t="s">
        <v>29</v>
      </c>
      <c r="F10350" s="7" t="s">
        <v>289</v>
      </c>
      <c r="G10350" s="7">
        <v>102.2878</v>
      </c>
      <c r="H10350" s="7"/>
    </row>
    <row r="10351" spans="1:8" x14ac:dyDescent="0.35">
      <c r="A10351" s="7" t="s">
        <v>381</v>
      </c>
      <c r="B10351" s="7" t="s">
        <v>26</v>
      </c>
      <c r="C10351" s="7" t="s">
        <v>27</v>
      </c>
      <c r="D10351" s="7" t="s">
        <v>28</v>
      </c>
      <c r="E10351" s="7" t="s">
        <v>29</v>
      </c>
      <c r="F10351" s="7" t="s">
        <v>290</v>
      </c>
      <c r="G10351" s="7">
        <v>102.1324</v>
      </c>
      <c r="H10351" s="7"/>
    </row>
    <row r="10352" spans="1:8" x14ac:dyDescent="0.35">
      <c r="A10352" s="7" t="s">
        <v>381</v>
      </c>
      <c r="B10352" s="7" t="s">
        <v>26</v>
      </c>
      <c r="C10352" s="7" t="s">
        <v>27</v>
      </c>
      <c r="D10352" s="7" t="s">
        <v>28</v>
      </c>
      <c r="E10352" s="7" t="s">
        <v>29</v>
      </c>
      <c r="F10352" s="7" t="s">
        <v>291</v>
      </c>
      <c r="G10352" s="7">
        <v>102.32859999999999</v>
      </c>
      <c r="H10352" s="7"/>
    </row>
    <row r="10353" spans="1:8" x14ac:dyDescent="0.35">
      <c r="A10353" s="7" t="s">
        <v>381</v>
      </c>
      <c r="B10353" s="7" t="s">
        <v>26</v>
      </c>
      <c r="C10353" s="7" t="s">
        <v>27</v>
      </c>
      <c r="D10353" s="7" t="s">
        <v>28</v>
      </c>
      <c r="E10353" s="7" t="s">
        <v>29</v>
      </c>
      <c r="F10353" s="7" t="s">
        <v>292</v>
      </c>
      <c r="G10353" s="7">
        <v>102.70350000000001</v>
      </c>
      <c r="H10353" s="7"/>
    </row>
    <row r="10354" spans="1:8" x14ac:dyDescent="0.35">
      <c r="A10354" s="7" t="s">
        <v>381</v>
      </c>
      <c r="B10354" s="7" t="s">
        <v>26</v>
      </c>
      <c r="C10354" s="7" t="s">
        <v>27</v>
      </c>
      <c r="D10354" s="7" t="s">
        <v>28</v>
      </c>
      <c r="E10354" s="7" t="s">
        <v>29</v>
      </c>
      <c r="F10354" s="7" t="s">
        <v>293</v>
      </c>
      <c r="G10354" s="7">
        <v>103.2543</v>
      </c>
      <c r="H10354" s="7"/>
    </row>
    <row r="10355" spans="1:8" x14ac:dyDescent="0.35">
      <c r="A10355" s="7" t="s">
        <v>381</v>
      </c>
      <c r="B10355" s="7" t="s">
        <v>26</v>
      </c>
      <c r="C10355" s="7" t="s">
        <v>27</v>
      </c>
      <c r="D10355" s="7" t="s">
        <v>28</v>
      </c>
      <c r="E10355" s="7" t="s">
        <v>29</v>
      </c>
      <c r="F10355" s="7" t="s">
        <v>294</v>
      </c>
      <c r="G10355" s="7">
        <v>103.5998</v>
      </c>
      <c r="H10355" s="7"/>
    </row>
    <row r="10356" spans="1:8" x14ac:dyDescent="0.35">
      <c r="A10356" s="7" t="s">
        <v>381</v>
      </c>
      <c r="B10356" s="7" t="s">
        <v>26</v>
      </c>
      <c r="C10356" s="7" t="s">
        <v>27</v>
      </c>
      <c r="D10356" s="7" t="s">
        <v>28</v>
      </c>
      <c r="E10356" s="7" t="s">
        <v>29</v>
      </c>
      <c r="F10356" s="7" t="s">
        <v>295</v>
      </c>
      <c r="G10356" s="7">
        <v>103.6186</v>
      </c>
      <c r="H10356" s="7"/>
    </row>
    <row r="10357" spans="1:8" x14ac:dyDescent="0.35">
      <c r="A10357" s="7" t="s">
        <v>381</v>
      </c>
      <c r="B10357" s="7" t="s">
        <v>26</v>
      </c>
      <c r="C10357" s="7" t="s">
        <v>27</v>
      </c>
      <c r="D10357" s="7" t="s">
        <v>28</v>
      </c>
      <c r="E10357" s="7" t="s">
        <v>29</v>
      </c>
      <c r="F10357" s="7" t="s">
        <v>296</v>
      </c>
      <c r="G10357" s="7">
        <v>103.4802</v>
      </c>
      <c r="H10357" s="7"/>
    </row>
    <row r="10358" spans="1:8" x14ac:dyDescent="0.35">
      <c r="A10358" s="7" t="s">
        <v>381</v>
      </c>
      <c r="B10358" s="7" t="s">
        <v>26</v>
      </c>
      <c r="C10358" s="7" t="s">
        <v>27</v>
      </c>
      <c r="D10358" s="7" t="s">
        <v>28</v>
      </c>
      <c r="E10358" s="7" t="s">
        <v>29</v>
      </c>
      <c r="F10358" s="7" t="s">
        <v>297</v>
      </c>
      <c r="G10358" s="7">
        <v>103.395</v>
      </c>
      <c r="H10358" s="7"/>
    </row>
    <row r="10359" spans="1:8" x14ac:dyDescent="0.35">
      <c r="A10359" s="7" t="s">
        <v>381</v>
      </c>
      <c r="B10359" s="7" t="s">
        <v>26</v>
      </c>
      <c r="C10359" s="7" t="s">
        <v>27</v>
      </c>
      <c r="D10359" s="7" t="s">
        <v>28</v>
      </c>
      <c r="E10359" s="7" t="s">
        <v>29</v>
      </c>
      <c r="F10359" s="7" t="s">
        <v>298</v>
      </c>
      <c r="G10359" s="7">
        <v>103.28789999999999</v>
      </c>
      <c r="H10359" s="7"/>
    </row>
    <row r="10360" spans="1:8" x14ac:dyDescent="0.35">
      <c r="A10360" s="7" t="s">
        <v>381</v>
      </c>
      <c r="B10360" s="7" t="s">
        <v>26</v>
      </c>
      <c r="C10360" s="7" t="s">
        <v>27</v>
      </c>
      <c r="D10360" s="7" t="s">
        <v>28</v>
      </c>
      <c r="E10360" s="7" t="s">
        <v>29</v>
      </c>
      <c r="F10360" s="7" t="s">
        <v>299</v>
      </c>
      <c r="G10360" s="7">
        <v>103.2611</v>
      </c>
      <c r="H10360" s="7"/>
    </row>
    <row r="10361" spans="1:8" x14ac:dyDescent="0.35">
      <c r="A10361" s="7" t="s">
        <v>381</v>
      </c>
      <c r="B10361" s="7" t="s">
        <v>26</v>
      </c>
      <c r="C10361" s="7" t="s">
        <v>27</v>
      </c>
      <c r="D10361" s="7" t="s">
        <v>28</v>
      </c>
      <c r="E10361" s="7" t="s">
        <v>29</v>
      </c>
      <c r="F10361" s="7" t="s">
        <v>300</v>
      </c>
      <c r="G10361" s="7">
        <v>103.2079</v>
      </c>
      <c r="H10361" s="7"/>
    </row>
    <row r="10362" spans="1:8" x14ac:dyDescent="0.35">
      <c r="A10362" s="7" t="s">
        <v>381</v>
      </c>
      <c r="B10362" s="7" t="s">
        <v>26</v>
      </c>
      <c r="C10362" s="7" t="s">
        <v>27</v>
      </c>
      <c r="D10362" s="7" t="s">
        <v>28</v>
      </c>
      <c r="E10362" s="7" t="s">
        <v>29</v>
      </c>
      <c r="F10362" s="7" t="s">
        <v>301</v>
      </c>
      <c r="G10362" s="7">
        <v>103.30329999999999</v>
      </c>
      <c r="H10362" s="7"/>
    </row>
    <row r="10363" spans="1:8" x14ac:dyDescent="0.35">
      <c r="A10363" s="7" t="s">
        <v>381</v>
      </c>
      <c r="B10363" s="7" t="s">
        <v>26</v>
      </c>
      <c r="C10363" s="7" t="s">
        <v>27</v>
      </c>
      <c r="D10363" s="7" t="s">
        <v>28</v>
      </c>
      <c r="E10363" s="7" t="s">
        <v>29</v>
      </c>
      <c r="F10363" s="7" t="s">
        <v>302</v>
      </c>
      <c r="G10363" s="7">
        <v>103.39060000000001</v>
      </c>
      <c r="H10363" s="7"/>
    </row>
    <row r="10364" spans="1:8" x14ac:dyDescent="0.35">
      <c r="A10364" s="7" t="s">
        <v>381</v>
      </c>
      <c r="B10364" s="7" t="s">
        <v>26</v>
      </c>
      <c r="C10364" s="7" t="s">
        <v>27</v>
      </c>
      <c r="D10364" s="7" t="s">
        <v>28</v>
      </c>
      <c r="E10364" s="7" t="s">
        <v>29</v>
      </c>
      <c r="F10364" s="7" t="s">
        <v>303</v>
      </c>
      <c r="G10364" s="7">
        <v>103.26260000000001</v>
      </c>
      <c r="H10364" s="7"/>
    </row>
    <row r="10365" spans="1:8" x14ac:dyDescent="0.35">
      <c r="A10365" s="7" t="s">
        <v>381</v>
      </c>
      <c r="B10365" s="7" t="s">
        <v>26</v>
      </c>
      <c r="C10365" s="7" t="s">
        <v>27</v>
      </c>
      <c r="D10365" s="7" t="s">
        <v>28</v>
      </c>
      <c r="E10365" s="7" t="s">
        <v>29</v>
      </c>
      <c r="F10365" s="7" t="s">
        <v>304</v>
      </c>
      <c r="G10365" s="7">
        <v>103.24160000000001</v>
      </c>
      <c r="H10365" s="7"/>
    </row>
    <row r="10366" spans="1:8" x14ac:dyDescent="0.35">
      <c r="A10366" s="7" t="s">
        <v>381</v>
      </c>
      <c r="B10366" s="7" t="s">
        <v>26</v>
      </c>
      <c r="C10366" s="7" t="s">
        <v>27</v>
      </c>
      <c r="D10366" s="7" t="s">
        <v>28</v>
      </c>
      <c r="E10366" s="7" t="s">
        <v>29</v>
      </c>
      <c r="F10366" s="7" t="s">
        <v>305</v>
      </c>
      <c r="G10366" s="7">
        <v>103.55329999999999</v>
      </c>
      <c r="H10366" s="7"/>
    </row>
    <row r="10367" spans="1:8" x14ac:dyDescent="0.35">
      <c r="A10367" s="7" t="s">
        <v>381</v>
      </c>
      <c r="B10367" s="7" t="s">
        <v>26</v>
      </c>
      <c r="C10367" s="7" t="s">
        <v>27</v>
      </c>
      <c r="D10367" s="7" t="s">
        <v>28</v>
      </c>
      <c r="E10367" s="7" t="s">
        <v>29</v>
      </c>
      <c r="F10367" s="7" t="s">
        <v>306</v>
      </c>
      <c r="G10367" s="7">
        <v>103.85469999999999</v>
      </c>
      <c r="H10367" s="7"/>
    </row>
    <row r="10368" spans="1:8" x14ac:dyDescent="0.35">
      <c r="A10368" s="7" t="s">
        <v>381</v>
      </c>
      <c r="B10368" s="7" t="s">
        <v>26</v>
      </c>
      <c r="C10368" s="7" t="s">
        <v>27</v>
      </c>
      <c r="D10368" s="7" t="s">
        <v>28</v>
      </c>
      <c r="E10368" s="7" t="s">
        <v>29</v>
      </c>
      <c r="F10368" s="7" t="s">
        <v>307</v>
      </c>
      <c r="G10368" s="7">
        <v>103.79259999999999</v>
      </c>
      <c r="H10368" s="7"/>
    </row>
    <row r="10369" spans="1:8" x14ac:dyDescent="0.35">
      <c r="A10369" s="7" t="s">
        <v>381</v>
      </c>
      <c r="B10369" s="7" t="s">
        <v>26</v>
      </c>
      <c r="C10369" s="7" t="s">
        <v>27</v>
      </c>
      <c r="D10369" s="7" t="s">
        <v>28</v>
      </c>
      <c r="E10369" s="7" t="s">
        <v>29</v>
      </c>
      <c r="F10369" s="7" t="s">
        <v>308</v>
      </c>
      <c r="G10369" s="7">
        <v>103.3982</v>
      </c>
      <c r="H10369" s="7"/>
    </row>
    <row r="10370" spans="1:8" x14ac:dyDescent="0.35">
      <c r="A10370" s="7" t="s">
        <v>381</v>
      </c>
      <c r="B10370" s="7" t="s">
        <v>26</v>
      </c>
      <c r="C10370" s="7" t="s">
        <v>27</v>
      </c>
      <c r="D10370" s="7" t="s">
        <v>28</v>
      </c>
      <c r="E10370" s="7" t="s">
        <v>29</v>
      </c>
      <c r="F10370" s="7" t="s">
        <v>309</v>
      </c>
      <c r="G10370" s="7">
        <v>103.0624</v>
      </c>
      <c r="H10370" s="7"/>
    </row>
    <row r="10371" spans="1:8" x14ac:dyDescent="0.35">
      <c r="A10371" s="7" t="s">
        <v>381</v>
      </c>
      <c r="B10371" s="7" t="s">
        <v>26</v>
      </c>
      <c r="C10371" s="7" t="s">
        <v>27</v>
      </c>
      <c r="D10371" s="7" t="s">
        <v>28</v>
      </c>
      <c r="E10371" s="7" t="s">
        <v>29</v>
      </c>
      <c r="F10371" s="7" t="s">
        <v>310</v>
      </c>
      <c r="G10371" s="7">
        <v>103.1176</v>
      </c>
      <c r="H10371" s="7"/>
    </row>
    <row r="10372" spans="1:8" x14ac:dyDescent="0.35">
      <c r="A10372" s="7" t="s">
        <v>381</v>
      </c>
      <c r="B10372" s="7" t="s">
        <v>26</v>
      </c>
      <c r="C10372" s="7" t="s">
        <v>27</v>
      </c>
      <c r="D10372" s="7" t="s">
        <v>28</v>
      </c>
      <c r="E10372" s="7" t="s">
        <v>29</v>
      </c>
      <c r="F10372" s="7" t="s">
        <v>311</v>
      </c>
      <c r="G10372" s="7">
        <v>102.8398</v>
      </c>
      <c r="H10372" s="7"/>
    </row>
    <row r="10373" spans="1:8" x14ac:dyDescent="0.35">
      <c r="A10373" s="7" t="s">
        <v>381</v>
      </c>
      <c r="B10373" s="7" t="s">
        <v>26</v>
      </c>
      <c r="C10373" s="7" t="s">
        <v>27</v>
      </c>
      <c r="D10373" s="7" t="s">
        <v>28</v>
      </c>
      <c r="E10373" s="7" t="s">
        <v>29</v>
      </c>
      <c r="F10373" s="7" t="s">
        <v>312</v>
      </c>
      <c r="G10373" s="7">
        <v>102.3366</v>
      </c>
      <c r="H10373" s="7"/>
    </row>
    <row r="10374" spans="1:8" x14ac:dyDescent="0.35">
      <c r="A10374" s="7" t="s">
        <v>381</v>
      </c>
      <c r="B10374" s="7" t="s">
        <v>26</v>
      </c>
      <c r="C10374" s="7" t="s">
        <v>27</v>
      </c>
      <c r="D10374" s="7" t="s">
        <v>28</v>
      </c>
      <c r="E10374" s="7" t="s">
        <v>29</v>
      </c>
      <c r="F10374" s="7" t="s">
        <v>313</v>
      </c>
      <c r="G10374" s="7">
        <v>102.0996</v>
      </c>
      <c r="H10374" s="7"/>
    </row>
    <row r="10375" spans="1:8" x14ac:dyDescent="0.35">
      <c r="A10375" s="7" t="s">
        <v>381</v>
      </c>
      <c r="B10375" s="7" t="s">
        <v>26</v>
      </c>
      <c r="C10375" s="7" t="s">
        <v>27</v>
      </c>
      <c r="D10375" s="7" t="s">
        <v>28</v>
      </c>
      <c r="E10375" s="7" t="s">
        <v>29</v>
      </c>
      <c r="F10375" s="7" t="s">
        <v>314</v>
      </c>
      <c r="G10375" s="7">
        <v>102.0577</v>
      </c>
      <c r="H10375" s="7"/>
    </row>
    <row r="10376" spans="1:8" x14ac:dyDescent="0.35">
      <c r="A10376" s="7" t="s">
        <v>381</v>
      </c>
      <c r="B10376" s="7" t="s">
        <v>26</v>
      </c>
      <c r="C10376" s="7" t="s">
        <v>27</v>
      </c>
      <c r="D10376" s="7" t="s">
        <v>28</v>
      </c>
      <c r="E10376" s="7" t="s">
        <v>29</v>
      </c>
      <c r="F10376" s="7" t="s">
        <v>315</v>
      </c>
      <c r="G10376" s="7">
        <v>102.24890000000001</v>
      </c>
      <c r="H10376" s="7"/>
    </row>
    <row r="10377" spans="1:8" x14ac:dyDescent="0.35">
      <c r="A10377" s="7" t="s">
        <v>381</v>
      </c>
      <c r="B10377" s="7" t="s">
        <v>26</v>
      </c>
      <c r="C10377" s="7" t="s">
        <v>27</v>
      </c>
      <c r="D10377" s="7" t="s">
        <v>28</v>
      </c>
      <c r="E10377" s="7" t="s">
        <v>29</v>
      </c>
      <c r="F10377" s="7" t="s">
        <v>316</v>
      </c>
      <c r="G10377" s="7">
        <v>102.54340000000001</v>
      </c>
      <c r="H10377" s="7"/>
    </row>
    <row r="10378" spans="1:8" x14ac:dyDescent="0.35">
      <c r="A10378" s="7" t="s">
        <v>381</v>
      </c>
      <c r="B10378" s="7" t="s">
        <v>26</v>
      </c>
      <c r="C10378" s="7" t="s">
        <v>27</v>
      </c>
      <c r="D10378" s="7" t="s">
        <v>28</v>
      </c>
      <c r="E10378" s="7" t="s">
        <v>29</v>
      </c>
      <c r="F10378" s="7" t="s">
        <v>317</v>
      </c>
      <c r="G10378" s="7">
        <v>102.7426</v>
      </c>
      <c r="H10378" s="7"/>
    </row>
    <row r="10379" spans="1:8" x14ac:dyDescent="0.35">
      <c r="A10379" s="7" t="s">
        <v>381</v>
      </c>
      <c r="B10379" s="7" t="s">
        <v>26</v>
      </c>
      <c r="C10379" s="7" t="s">
        <v>27</v>
      </c>
      <c r="D10379" s="7" t="s">
        <v>28</v>
      </c>
      <c r="E10379" s="7" t="s">
        <v>29</v>
      </c>
      <c r="F10379" s="7" t="s">
        <v>318</v>
      </c>
      <c r="G10379" s="7">
        <v>102.7191</v>
      </c>
      <c r="H10379" s="7"/>
    </row>
    <row r="10380" spans="1:8" x14ac:dyDescent="0.35">
      <c r="A10380" s="7" t="s">
        <v>381</v>
      </c>
      <c r="B10380" s="7" t="s">
        <v>26</v>
      </c>
      <c r="C10380" s="7" t="s">
        <v>27</v>
      </c>
      <c r="D10380" s="7" t="s">
        <v>28</v>
      </c>
      <c r="E10380" s="7" t="s">
        <v>29</v>
      </c>
      <c r="F10380" s="7" t="s">
        <v>319</v>
      </c>
      <c r="G10380" s="7">
        <v>102.4211</v>
      </c>
      <c r="H10380" s="7"/>
    </row>
    <row r="10381" spans="1:8" x14ac:dyDescent="0.35">
      <c r="A10381" s="7" t="s">
        <v>381</v>
      </c>
      <c r="B10381" s="7" t="s">
        <v>26</v>
      </c>
      <c r="C10381" s="7" t="s">
        <v>27</v>
      </c>
      <c r="D10381" s="7" t="s">
        <v>28</v>
      </c>
      <c r="E10381" s="7" t="s">
        <v>29</v>
      </c>
      <c r="F10381" s="7" t="s">
        <v>320</v>
      </c>
      <c r="G10381" s="7">
        <v>101.77930000000001</v>
      </c>
      <c r="H10381" s="7"/>
    </row>
    <row r="10382" spans="1:8" x14ac:dyDescent="0.35">
      <c r="A10382" s="7" t="s">
        <v>381</v>
      </c>
      <c r="B10382" s="7" t="s">
        <v>26</v>
      </c>
      <c r="C10382" s="7" t="s">
        <v>27</v>
      </c>
      <c r="D10382" s="7" t="s">
        <v>28</v>
      </c>
      <c r="E10382" s="7" t="s">
        <v>29</v>
      </c>
      <c r="F10382" s="7" t="s">
        <v>321</v>
      </c>
      <c r="G10382" s="7">
        <v>100.88939999999999</v>
      </c>
      <c r="H10382" s="7"/>
    </row>
    <row r="10383" spans="1:8" x14ac:dyDescent="0.35">
      <c r="A10383" s="7" t="s">
        <v>381</v>
      </c>
      <c r="B10383" s="7" t="s">
        <v>26</v>
      </c>
      <c r="C10383" s="7" t="s">
        <v>27</v>
      </c>
      <c r="D10383" s="7" t="s">
        <v>28</v>
      </c>
      <c r="E10383" s="7" t="s">
        <v>29</v>
      </c>
      <c r="F10383" s="7" t="s">
        <v>322</v>
      </c>
      <c r="G10383" s="7">
        <v>100.47969999999999</v>
      </c>
      <c r="H10383" s="7"/>
    </row>
    <row r="10384" spans="1:8" x14ac:dyDescent="0.35">
      <c r="A10384" s="7" t="s">
        <v>381</v>
      </c>
      <c r="B10384" s="7" t="s">
        <v>26</v>
      </c>
      <c r="C10384" s="7" t="s">
        <v>27</v>
      </c>
      <c r="D10384" s="7" t="s">
        <v>28</v>
      </c>
      <c r="E10384" s="7" t="s">
        <v>29</v>
      </c>
      <c r="F10384" s="7" t="s">
        <v>323</v>
      </c>
      <c r="G10384" s="7">
        <v>100.74160000000001</v>
      </c>
      <c r="H10384" s="7"/>
    </row>
    <row r="10385" spans="1:8" x14ac:dyDescent="0.35">
      <c r="A10385" s="7" t="s">
        <v>381</v>
      </c>
      <c r="B10385" s="7" t="s">
        <v>26</v>
      </c>
      <c r="C10385" s="7" t="s">
        <v>27</v>
      </c>
      <c r="D10385" s="7" t="s">
        <v>28</v>
      </c>
      <c r="E10385" s="7" t="s">
        <v>29</v>
      </c>
      <c r="F10385" s="7" t="s">
        <v>324</v>
      </c>
      <c r="G10385" s="7">
        <v>101.3625</v>
      </c>
      <c r="H10385" s="7"/>
    </row>
    <row r="10386" spans="1:8" x14ac:dyDescent="0.35">
      <c r="A10386" s="7" t="s">
        <v>381</v>
      </c>
      <c r="B10386" s="7" t="s">
        <v>26</v>
      </c>
      <c r="C10386" s="7" t="s">
        <v>27</v>
      </c>
      <c r="D10386" s="7" t="s">
        <v>28</v>
      </c>
      <c r="E10386" s="7" t="s">
        <v>29</v>
      </c>
      <c r="F10386" s="7" t="s">
        <v>325</v>
      </c>
      <c r="G10386" s="7">
        <v>101.8725</v>
      </c>
      <c r="H10386" s="7"/>
    </row>
    <row r="10387" spans="1:8" x14ac:dyDescent="0.35">
      <c r="A10387" s="7" t="s">
        <v>381</v>
      </c>
      <c r="B10387" s="7" t="s">
        <v>26</v>
      </c>
      <c r="C10387" s="7" t="s">
        <v>27</v>
      </c>
      <c r="D10387" s="7" t="s">
        <v>28</v>
      </c>
      <c r="E10387" s="7" t="s">
        <v>29</v>
      </c>
      <c r="F10387" s="7" t="s">
        <v>326</v>
      </c>
      <c r="G10387" s="7">
        <v>102.3292</v>
      </c>
      <c r="H10387" s="7"/>
    </row>
    <row r="10388" spans="1:8" x14ac:dyDescent="0.35">
      <c r="A10388" s="7" t="s">
        <v>381</v>
      </c>
      <c r="B10388" s="7" t="s">
        <v>26</v>
      </c>
      <c r="C10388" s="7" t="s">
        <v>27</v>
      </c>
      <c r="D10388" s="7" t="s">
        <v>28</v>
      </c>
      <c r="E10388" s="7" t="s">
        <v>29</v>
      </c>
      <c r="F10388" s="7" t="s">
        <v>327</v>
      </c>
      <c r="G10388" s="7">
        <v>102.6626</v>
      </c>
      <c r="H10388" s="7"/>
    </row>
    <row r="10389" spans="1:8" x14ac:dyDescent="0.35">
      <c r="A10389" s="7" t="s">
        <v>381</v>
      </c>
      <c r="B10389" s="7" t="s">
        <v>26</v>
      </c>
      <c r="C10389" s="7" t="s">
        <v>27</v>
      </c>
      <c r="D10389" s="7" t="s">
        <v>28</v>
      </c>
      <c r="E10389" s="7" t="s">
        <v>29</v>
      </c>
      <c r="F10389" s="7" t="s">
        <v>328</v>
      </c>
      <c r="G10389" s="7">
        <v>102.9721</v>
      </c>
      <c r="H10389" s="7"/>
    </row>
    <row r="10390" spans="1:8" x14ac:dyDescent="0.35">
      <c r="A10390" s="7" t="s">
        <v>381</v>
      </c>
      <c r="B10390" s="7" t="s">
        <v>26</v>
      </c>
      <c r="C10390" s="7" t="s">
        <v>27</v>
      </c>
      <c r="D10390" s="7" t="s">
        <v>28</v>
      </c>
      <c r="E10390" s="7" t="s">
        <v>29</v>
      </c>
      <c r="F10390" s="7" t="s">
        <v>329</v>
      </c>
      <c r="G10390" s="7">
        <v>103.22280000000001</v>
      </c>
      <c r="H10390" s="7"/>
    </row>
    <row r="10391" spans="1:8" x14ac:dyDescent="0.35">
      <c r="A10391" s="7" t="s">
        <v>381</v>
      </c>
      <c r="B10391" s="7" t="s">
        <v>26</v>
      </c>
      <c r="C10391" s="7" t="s">
        <v>27</v>
      </c>
      <c r="D10391" s="7" t="s">
        <v>28</v>
      </c>
      <c r="E10391" s="7" t="s">
        <v>29</v>
      </c>
      <c r="F10391" s="7" t="s">
        <v>330</v>
      </c>
      <c r="G10391" s="7">
        <v>103.3704</v>
      </c>
      <c r="H10391" s="7"/>
    </row>
    <row r="10392" spans="1:8" x14ac:dyDescent="0.35">
      <c r="A10392" s="7" t="s">
        <v>381</v>
      </c>
      <c r="B10392" s="7" t="s">
        <v>26</v>
      </c>
      <c r="C10392" s="7" t="s">
        <v>27</v>
      </c>
      <c r="D10392" s="7" t="s">
        <v>28</v>
      </c>
      <c r="E10392" s="7" t="s">
        <v>29</v>
      </c>
      <c r="F10392" s="7" t="s">
        <v>331</v>
      </c>
      <c r="G10392" s="7">
        <v>103.51690000000001</v>
      </c>
      <c r="H10392" s="7"/>
    </row>
    <row r="10393" spans="1:8" x14ac:dyDescent="0.35">
      <c r="A10393" s="7" t="s">
        <v>381</v>
      </c>
      <c r="B10393" s="7" t="s">
        <v>26</v>
      </c>
      <c r="C10393" s="7" t="s">
        <v>27</v>
      </c>
      <c r="D10393" s="7" t="s">
        <v>28</v>
      </c>
      <c r="E10393" s="7" t="s">
        <v>29</v>
      </c>
      <c r="F10393" s="7" t="s">
        <v>332</v>
      </c>
      <c r="G10393" s="7">
        <v>103.676</v>
      </c>
      <c r="H10393" s="7"/>
    </row>
    <row r="10394" spans="1:8" x14ac:dyDescent="0.35">
      <c r="A10394" s="7" t="s">
        <v>381</v>
      </c>
      <c r="B10394" s="7" t="s">
        <v>26</v>
      </c>
      <c r="C10394" s="7" t="s">
        <v>27</v>
      </c>
      <c r="D10394" s="7" t="s">
        <v>28</v>
      </c>
      <c r="E10394" s="7" t="s">
        <v>29</v>
      </c>
      <c r="F10394" s="7" t="s">
        <v>333</v>
      </c>
      <c r="G10394" s="7">
        <v>103.71339999999999</v>
      </c>
      <c r="H10394" s="7"/>
    </row>
    <row r="10395" spans="1:8" x14ac:dyDescent="0.35">
      <c r="A10395" s="7" t="s">
        <v>381</v>
      </c>
      <c r="B10395" s="7" t="s">
        <v>26</v>
      </c>
      <c r="C10395" s="7" t="s">
        <v>27</v>
      </c>
      <c r="D10395" s="7" t="s">
        <v>28</v>
      </c>
      <c r="E10395" s="7" t="s">
        <v>29</v>
      </c>
      <c r="F10395" s="7" t="s">
        <v>334</v>
      </c>
      <c r="G10395" s="7">
        <v>103.6519</v>
      </c>
      <c r="H10395" s="7"/>
    </row>
    <row r="10396" spans="1:8" x14ac:dyDescent="0.35">
      <c r="A10396" s="7" t="s">
        <v>381</v>
      </c>
      <c r="B10396" s="7" t="s">
        <v>26</v>
      </c>
      <c r="C10396" s="7" t="s">
        <v>27</v>
      </c>
      <c r="D10396" s="7" t="s">
        <v>28</v>
      </c>
      <c r="E10396" s="7" t="s">
        <v>29</v>
      </c>
      <c r="F10396" s="7" t="s">
        <v>335</v>
      </c>
      <c r="G10396" s="7">
        <v>103.605</v>
      </c>
      <c r="H10396" s="7"/>
    </row>
    <row r="10397" spans="1:8" x14ac:dyDescent="0.35">
      <c r="A10397" s="7" t="s">
        <v>381</v>
      </c>
      <c r="B10397" s="7" t="s">
        <v>26</v>
      </c>
      <c r="C10397" s="7" t="s">
        <v>27</v>
      </c>
      <c r="D10397" s="7" t="s">
        <v>28</v>
      </c>
      <c r="E10397" s="7" t="s">
        <v>29</v>
      </c>
      <c r="F10397" s="7" t="s">
        <v>336</v>
      </c>
      <c r="G10397" s="7">
        <v>103.7516</v>
      </c>
      <c r="H10397" s="7"/>
    </row>
    <row r="10398" spans="1:8" x14ac:dyDescent="0.35">
      <c r="A10398" s="7" t="s">
        <v>381</v>
      </c>
      <c r="B10398" s="7" t="s">
        <v>26</v>
      </c>
      <c r="C10398" s="7" t="s">
        <v>27</v>
      </c>
      <c r="D10398" s="7" t="s">
        <v>28</v>
      </c>
      <c r="E10398" s="7" t="s">
        <v>29</v>
      </c>
      <c r="F10398" s="7" t="s">
        <v>337</v>
      </c>
      <c r="G10398" s="7">
        <v>103.97629999999999</v>
      </c>
      <c r="H10398" s="7"/>
    </row>
    <row r="10399" spans="1:8" x14ac:dyDescent="0.35">
      <c r="A10399" s="7" t="s">
        <v>381</v>
      </c>
      <c r="B10399" s="7" t="s">
        <v>26</v>
      </c>
      <c r="C10399" s="7" t="s">
        <v>27</v>
      </c>
      <c r="D10399" s="7" t="s">
        <v>28</v>
      </c>
      <c r="E10399" s="7" t="s">
        <v>29</v>
      </c>
      <c r="F10399" s="7" t="s">
        <v>338</v>
      </c>
      <c r="G10399" s="7">
        <v>104.04219999999999</v>
      </c>
      <c r="H10399" s="7"/>
    </row>
    <row r="10400" spans="1:8" x14ac:dyDescent="0.35">
      <c r="A10400" s="7" t="s">
        <v>381</v>
      </c>
      <c r="B10400" s="7" t="s">
        <v>26</v>
      </c>
      <c r="C10400" s="7" t="s">
        <v>27</v>
      </c>
      <c r="D10400" s="7" t="s">
        <v>28</v>
      </c>
      <c r="E10400" s="7" t="s">
        <v>29</v>
      </c>
      <c r="F10400" s="7" t="s">
        <v>339</v>
      </c>
      <c r="G10400" s="7">
        <v>104.1495</v>
      </c>
      <c r="H10400" s="7"/>
    </row>
    <row r="10401" spans="1:8" x14ac:dyDescent="0.35">
      <c r="A10401" s="7" t="s">
        <v>381</v>
      </c>
      <c r="B10401" s="7" t="s">
        <v>26</v>
      </c>
      <c r="C10401" s="7" t="s">
        <v>27</v>
      </c>
      <c r="D10401" s="7" t="s">
        <v>28</v>
      </c>
      <c r="E10401" s="7" t="s">
        <v>29</v>
      </c>
      <c r="F10401" s="7" t="s">
        <v>340</v>
      </c>
      <c r="G10401" s="7">
        <v>104.2599</v>
      </c>
      <c r="H10401" s="7"/>
    </row>
    <row r="10402" spans="1:8" x14ac:dyDescent="0.35">
      <c r="A10402" s="7" t="s">
        <v>381</v>
      </c>
      <c r="B10402" s="7" t="s">
        <v>26</v>
      </c>
      <c r="C10402" s="7" t="s">
        <v>27</v>
      </c>
      <c r="D10402" s="7" t="s">
        <v>28</v>
      </c>
      <c r="E10402" s="7" t="s">
        <v>29</v>
      </c>
      <c r="F10402" s="7" t="s">
        <v>341</v>
      </c>
      <c r="G10402" s="7">
        <v>104.1349</v>
      </c>
      <c r="H10402" s="7"/>
    </row>
    <row r="10403" spans="1:8" x14ac:dyDescent="0.35">
      <c r="A10403" s="7" t="s">
        <v>381</v>
      </c>
      <c r="B10403" s="7" t="s">
        <v>26</v>
      </c>
      <c r="C10403" s="7" t="s">
        <v>27</v>
      </c>
      <c r="D10403" s="7" t="s">
        <v>28</v>
      </c>
      <c r="E10403" s="7" t="s">
        <v>29</v>
      </c>
      <c r="F10403" s="7" t="s">
        <v>342</v>
      </c>
      <c r="G10403" s="7">
        <v>103.7473</v>
      </c>
      <c r="H10403" s="7"/>
    </row>
    <row r="10404" spans="1:8" x14ac:dyDescent="0.35">
      <c r="A10404" s="7" t="s">
        <v>381</v>
      </c>
      <c r="B10404" s="7" t="s">
        <v>26</v>
      </c>
      <c r="C10404" s="7" t="s">
        <v>27</v>
      </c>
      <c r="D10404" s="7" t="s">
        <v>28</v>
      </c>
      <c r="E10404" s="7" t="s">
        <v>29</v>
      </c>
      <c r="F10404" s="7" t="s">
        <v>343</v>
      </c>
      <c r="G10404" s="7">
        <v>103.1742</v>
      </c>
      <c r="H10404" s="7"/>
    </row>
    <row r="10405" spans="1:8" x14ac:dyDescent="0.35">
      <c r="A10405" s="7" t="s">
        <v>381</v>
      </c>
      <c r="B10405" s="7" t="s">
        <v>26</v>
      </c>
      <c r="C10405" s="7" t="s">
        <v>27</v>
      </c>
      <c r="D10405" s="7" t="s">
        <v>28</v>
      </c>
      <c r="E10405" s="7" t="s">
        <v>29</v>
      </c>
      <c r="F10405" s="7" t="s">
        <v>344</v>
      </c>
      <c r="G10405" s="7">
        <v>102.8103</v>
      </c>
      <c r="H10405" s="7"/>
    </row>
    <row r="10406" spans="1:8" x14ac:dyDescent="0.35">
      <c r="A10406" s="7" t="s">
        <v>381</v>
      </c>
      <c r="B10406" s="7" t="s">
        <v>26</v>
      </c>
      <c r="C10406" s="7" t="s">
        <v>27</v>
      </c>
      <c r="D10406" s="7" t="s">
        <v>28</v>
      </c>
      <c r="E10406" s="7" t="s">
        <v>29</v>
      </c>
      <c r="F10406" s="7" t="s">
        <v>345</v>
      </c>
      <c r="G10406" s="7">
        <v>103.0132</v>
      </c>
      <c r="H10406" s="7"/>
    </row>
    <row r="10407" spans="1:8" x14ac:dyDescent="0.35">
      <c r="A10407" s="7" t="s">
        <v>381</v>
      </c>
      <c r="B10407" s="7" t="s">
        <v>26</v>
      </c>
      <c r="C10407" s="7" t="s">
        <v>27</v>
      </c>
      <c r="D10407" s="7" t="s">
        <v>28</v>
      </c>
      <c r="E10407" s="7" t="s">
        <v>29</v>
      </c>
      <c r="F10407" s="7" t="s">
        <v>346</v>
      </c>
      <c r="G10407" s="7">
        <v>103.6841</v>
      </c>
      <c r="H10407" s="7"/>
    </row>
    <row r="10408" spans="1:8" x14ac:dyDescent="0.35">
      <c r="A10408" s="7" t="s">
        <v>382</v>
      </c>
      <c r="B10408" s="7" t="s">
        <v>26</v>
      </c>
      <c r="C10408" s="7" t="s">
        <v>27</v>
      </c>
      <c r="D10408" s="7" t="s">
        <v>28</v>
      </c>
      <c r="E10408" s="7" t="s">
        <v>29</v>
      </c>
      <c r="F10408" s="7" t="s">
        <v>30</v>
      </c>
      <c r="G10408" s="7">
        <v>99.316320000000005</v>
      </c>
      <c r="H10408" s="7"/>
    </row>
    <row r="10409" spans="1:8" x14ac:dyDescent="0.35">
      <c r="A10409" s="7" t="s">
        <v>382</v>
      </c>
      <c r="B10409" s="7" t="s">
        <v>26</v>
      </c>
      <c r="C10409" s="7" t="s">
        <v>27</v>
      </c>
      <c r="D10409" s="7" t="s">
        <v>28</v>
      </c>
      <c r="E10409" s="7" t="s">
        <v>29</v>
      </c>
      <c r="F10409" s="7" t="s">
        <v>31</v>
      </c>
      <c r="G10409" s="7">
        <v>99.259770000000003</v>
      </c>
      <c r="H10409" s="7"/>
    </row>
    <row r="10410" spans="1:8" x14ac:dyDescent="0.35">
      <c r="A10410" s="7" t="s">
        <v>382</v>
      </c>
      <c r="B10410" s="7" t="s">
        <v>26</v>
      </c>
      <c r="C10410" s="7" t="s">
        <v>27</v>
      </c>
      <c r="D10410" s="7" t="s">
        <v>28</v>
      </c>
      <c r="E10410" s="7" t="s">
        <v>29</v>
      </c>
      <c r="F10410" s="7" t="s">
        <v>32</v>
      </c>
      <c r="G10410" s="7">
        <v>99.255899999999997</v>
      </c>
      <c r="H10410" s="7"/>
    </row>
    <row r="10411" spans="1:8" x14ac:dyDescent="0.35">
      <c r="A10411" s="7" t="s">
        <v>382</v>
      </c>
      <c r="B10411" s="7" t="s">
        <v>26</v>
      </c>
      <c r="C10411" s="7" t="s">
        <v>27</v>
      </c>
      <c r="D10411" s="7" t="s">
        <v>28</v>
      </c>
      <c r="E10411" s="7" t="s">
        <v>29</v>
      </c>
      <c r="F10411" s="7" t="s">
        <v>33</v>
      </c>
      <c r="G10411" s="7">
        <v>99.24436</v>
      </c>
      <c r="H10411" s="7"/>
    </row>
    <row r="10412" spans="1:8" x14ac:dyDescent="0.35">
      <c r="A10412" s="7" t="s">
        <v>382</v>
      </c>
      <c r="B10412" s="7" t="s">
        <v>26</v>
      </c>
      <c r="C10412" s="7" t="s">
        <v>27</v>
      </c>
      <c r="D10412" s="7" t="s">
        <v>28</v>
      </c>
      <c r="E10412" s="7" t="s">
        <v>29</v>
      </c>
      <c r="F10412" s="7" t="s">
        <v>34</v>
      </c>
      <c r="G10412" s="7">
        <v>99.18938</v>
      </c>
      <c r="H10412" s="7"/>
    </row>
    <row r="10413" spans="1:8" x14ac:dyDescent="0.35">
      <c r="A10413" s="7" t="s">
        <v>382</v>
      </c>
      <c r="B10413" s="7" t="s">
        <v>26</v>
      </c>
      <c r="C10413" s="7" t="s">
        <v>27</v>
      </c>
      <c r="D10413" s="7" t="s">
        <v>28</v>
      </c>
      <c r="E10413" s="7" t="s">
        <v>29</v>
      </c>
      <c r="F10413" s="7" t="s">
        <v>35</v>
      </c>
      <c r="G10413" s="7">
        <v>99.139259999999993</v>
      </c>
      <c r="H10413" s="7"/>
    </row>
    <row r="10414" spans="1:8" x14ac:dyDescent="0.35">
      <c r="A10414" s="7" t="s">
        <v>382</v>
      </c>
      <c r="B10414" s="7" t="s">
        <v>26</v>
      </c>
      <c r="C10414" s="7" t="s">
        <v>27</v>
      </c>
      <c r="D10414" s="7" t="s">
        <v>28</v>
      </c>
      <c r="E10414" s="7" t="s">
        <v>29</v>
      </c>
      <c r="F10414" s="7" t="s">
        <v>36</v>
      </c>
      <c r="G10414" s="7">
        <v>99.073459999999997</v>
      </c>
      <c r="H10414" s="7"/>
    </row>
    <row r="10415" spans="1:8" x14ac:dyDescent="0.35">
      <c r="A10415" s="7" t="s">
        <v>382</v>
      </c>
      <c r="B10415" s="7" t="s">
        <v>26</v>
      </c>
      <c r="C10415" s="7" t="s">
        <v>27</v>
      </c>
      <c r="D10415" s="7" t="s">
        <v>28</v>
      </c>
      <c r="E10415" s="7" t="s">
        <v>29</v>
      </c>
      <c r="F10415" s="7" t="s">
        <v>37</v>
      </c>
      <c r="G10415" s="7">
        <v>98.968739999999997</v>
      </c>
      <c r="H10415" s="7"/>
    </row>
    <row r="10416" spans="1:8" x14ac:dyDescent="0.35">
      <c r="A10416" s="7" t="s">
        <v>382</v>
      </c>
      <c r="B10416" s="7" t="s">
        <v>26</v>
      </c>
      <c r="C10416" s="7" t="s">
        <v>27</v>
      </c>
      <c r="D10416" s="7" t="s">
        <v>28</v>
      </c>
      <c r="E10416" s="7" t="s">
        <v>29</v>
      </c>
      <c r="F10416" s="7" t="s">
        <v>38</v>
      </c>
      <c r="G10416" s="7">
        <v>98.816990000000004</v>
      </c>
      <c r="H10416" s="7"/>
    </row>
    <row r="10417" spans="1:8" x14ac:dyDescent="0.35">
      <c r="A10417" s="7" t="s">
        <v>382</v>
      </c>
      <c r="B10417" s="7" t="s">
        <v>26</v>
      </c>
      <c r="C10417" s="7" t="s">
        <v>27</v>
      </c>
      <c r="D10417" s="7" t="s">
        <v>28</v>
      </c>
      <c r="E10417" s="7" t="s">
        <v>29</v>
      </c>
      <c r="F10417" s="7" t="s">
        <v>39</v>
      </c>
      <c r="G10417" s="7">
        <v>98.601990000000001</v>
      </c>
      <c r="H10417" s="7"/>
    </row>
    <row r="10418" spans="1:8" x14ac:dyDescent="0.35">
      <c r="A10418" s="7" t="s">
        <v>382</v>
      </c>
      <c r="B10418" s="7" t="s">
        <v>26</v>
      </c>
      <c r="C10418" s="7" t="s">
        <v>27</v>
      </c>
      <c r="D10418" s="7" t="s">
        <v>28</v>
      </c>
      <c r="E10418" s="7" t="s">
        <v>29</v>
      </c>
      <c r="F10418" s="7" t="s">
        <v>40</v>
      </c>
      <c r="G10418" s="7">
        <v>98.323239999999998</v>
      </c>
      <c r="H10418" s="7"/>
    </row>
    <row r="10419" spans="1:8" x14ac:dyDescent="0.35">
      <c r="A10419" s="7" t="s">
        <v>382</v>
      </c>
      <c r="B10419" s="7" t="s">
        <v>26</v>
      </c>
      <c r="C10419" s="7" t="s">
        <v>27</v>
      </c>
      <c r="D10419" s="7" t="s">
        <v>28</v>
      </c>
      <c r="E10419" s="7" t="s">
        <v>29</v>
      </c>
      <c r="F10419" s="7" t="s">
        <v>41</v>
      </c>
      <c r="G10419" s="7">
        <v>97.987099999999998</v>
      </c>
      <c r="H10419" s="7"/>
    </row>
    <row r="10420" spans="1:8" x14ac:dyDescent="0.35">
      <c r="A10420" s="7" t="s">
        <v>382</v>
      </c>
      <c r="B10420" s="7" t="s">
        <v>26</v>
      </c>
      <c r="C10420" s="7" t="s">
        <v>27</v>
      </c>
      <c r="D10420" s="7" t="s">
        <v>28</v>
      </c>
      <c r="E10420" s="7" t="s">
        <v>29</v>
      </c>
      <c r="F10420" s="7" t="s">
        <v>42</v>
      </c>
      <c r="G10420" s="7">
        <v>97.677620000000005</v>
      </c>
      <c r="H10420" s="7"/>
    </row>
    <row r="10421" spans="1:8" x14ac:dyDescent="0.35">
      <c r="A10421" s="7" t="s">
        <v>382</v>
      </c>
      <c r="B10421" s="7" t="s">
        <v>26</v>
      </c>
      <c r="C10421" s="7" t="s">
        <v>27</v>
      </c>
      <c r="D10421" s="7" t="s">
        <v>28</v>
      </c>
      <c r="E10421" s="7" t="s">
        <v>29</v>
      </c>
      <c r="F10421" s="7" t="s">
        <v>43</v>
      </c>
      <c r="G10421" s="7">
        <v>97.444980000000001</v>
      </c>
      <c r="H10421" s="7"/>
    </row>
    <row r="10422" spans="1:8" x14ac:dyDescent="0.35">
      <c r="A10422" s="7" t="s">
        <v>382</v>
      </c>
      <c r="B10422" s="7" t="s">
        <v>26</v>
      </c>
      <c r="C10422" s="7" t="s">
        <v>27</v>
      </c>
      <c r="D10422" s="7" t="s">
        <v>28</v>
      </c>
      <c r="E10422" s="7" t="s">
        <v>29</v>
      </c>
      <c r="F10422" s="7" t="s">
        <v>44</v>
      </c>
      <c r="G10422" s="7">
        <v>97.343050000000005</v>
      </c>
      <c r="H10422" s="7"/>
    </row>
    <row r="10423" spans="1:8" x14ac:dyDescent="0.35">
      <c r="A10423" s="7" t="s">
        <v>382</v>
      </c>
      <c r="B10423" s="7" t="s">
        <v>26</v>
      </c>
      <c r="C10423" s="7" t="s">
        <v>27</v>
      </c>
      <c r="D10423" s="7" t="s">
        <v>28</v>
      </c>
      <c r="E10423" s="7" t="s">
        <v>29</v>
      </c>
      <c r="F10423" s="7" t="s">
        <v>45</v>
      </c>
      <c r="G10423" s="7">
        <v>97.326260000000005</v>
      </c>
      <c r="H10423" s="7"/>
    </row>
    <row r="10424" spans="1:8" x14ac:dyDescent="0.35">
      <c r="A10424" s="7" t="s">
        <v>382</v>
      </c>
      <c r="B10424" s="7" t="s">
        <v>26</v>
      </c>
      <c r="C10424" s="7" t="s">
        <v>27</v>
      </c>
      <c r="D10424" s="7" t="s">
        <v>28</v>
      </c>
      <c r="E10424" s="7" t="s">
        <v>29</v>
      </c>
      <c r="F10424" s="7" t="s">
        <v>46</v>
      </c>
      <c r="G10424" s="7">
        <v>97.383489999999995</v>
      </c>
      <c r="H10424" s="7"/>
    </row>
    <row r="10425" spans="1:8" x14ac:dyDescent="0.35">
      <c r="A10425" s="7" t="s">
        <v>382</v>
      </c>
      <c r="B10425" s="7" t="s">
        <v>26</v>
      </c>
      <c r="C10425" s="7" t="s">
        <v>27</v>
      </c>
      <c r="D10425" s="7" t="s">
        <v>28</v>
      </c>
      <c r="E10425" s="7" t="s">
        <v>29</v>
      </c>
      <c r="F10425" s="7" t="s">
        <v>47</v>
      </c>
      <c r="G10425" s="7">
        <v>97.522930000000002</v>
      </c>
      <c r="H10425" s="7"/>
    </row>
    <row r="10426" spans="1:8" x14ac:dyDescent="0.35">
      <c r="A10426" s="7" t="s">
        <v>382</v>
      </c>
      <c r="B10426" s="7" t="s">
        <v>26</v>
      </c>
      <c r="C10426" s="7" t="s">
        <v>27</v>
      </c>
      <c r="D10426" s="7" t="s">
        <v>28</v>
      </c>
      <c r="E10426" s="7" t="s">
        <v>29</v>
      </c>
      <c r="F10426" s="7" t="s">
        <v>48</v>
      </c>
      <c r="G10426" s="7">
        <v>97.554839999999999</v>
      </c>
      <c r="H10426" s="7"/>
    </row>
    <row r="10427" spans="1:8" x14ac:dyDescent="0.35">
      <c r="A10427" s="7" t="s">
        <v>382</v>
      </c>
      <c r="B10427" s="7" t="s">
        <v>26</v>
      </c>
      <c r="C10427" s="7" t="s">
        <v>27</v>
      </c>
      <c r="D10427" s="7" t="s">
        <v>28</v>
      </c>
      <c r="E10427" s="7" t="s">
        <v>29</v>
      </c>
      <c r="F10427" s="7" t="s">
        <v>49</v>
      </c>
      <c r="G10427" s="7">
        <v>97.463939999999994</v>
      </c>
      <c r="H10427" s="7"/>
    </row>
    <row r="10428" spans="1:8" x14ac:dyDescent="0.35">
      <c r="A10428" s="7" t="s">
        <v>382</v>
      </c>
      <c r="B10428" s="7" t="s">
        <v>26</v>
      </c>
      <c r="C10428" s="7" t="s">
        <v>27</v>
      </c>
      <c r="D10428" s="7" t="s">
        <v>28</v>
      </c>
      <c r="E10428" s="7" t="s">
        <v>29</v>
      </c>
      <c r="F10428" s="7" t="s">
        <v>50</v>
      </c>
      <c r="G10428" s="7">
        <v>97.3934</v>
      </c>
      <c r="H10428" s="7"/>
    </row>
    <row r="10429" spans="1:8" x14ac:dyDescent="0.35">
      <c r="A10429" s="7" t="s">
        <v>382</v>
      </c>
      <c r="B10429" s="7" t="s">
        <v>26</v>
      </c>
      <c r="C10429" s="7" t="s">
        <v>27</v>
      </c>
      <c r="D10429" s="7" t="s">
        <v>28</v>
      </c>
      <c r="E10429" s="7" t="s">
        <v>29</v>
      </c>
      <c r="F10429" s="7" t="s">
        <v>51</v>
      </c>
      <c r="G10429" s="7">
        <v>97.399979999999999</v>
      </c>
      <c r="H10429" s="7"/>
    </row>
    <row r="10430" spans="1:8" x14ac:dyDescent="0.35">
      <c r="A10430" s="7" t="s">
        <v>382</v>
      </c>
      <c r="B10430" s="7" t="s">
        <v>26</v>
      </c>
      <c r="C10430" s="7" t="s">
        <v>27</v>
      </c>
      <c r="D10430" s="7" t="s">
        <v>28</v>
      </c>
      <c r="E10430" s="7" t="s">
        <v>29</v>
      </c>
      <c r="F10430" s="7" t="s">
        <v>52</v>
      </c>
      <c r="G10430" s="7">
        <v>97.460579999999993</v>
      </c>
      <c r="H10430" s="7"/>
    </row>
    <row r="10431" spans="1:8" x14ac:dyDescent="0.35">
      <c r="A10431" s="7" t="s">
        <v>382</v>
      </c>
      <c r="B10431" s="7" t="s">
        <v>26</v>
      </c>
      <c r="C10431" s="7" t="s">
        <v>27</v>
      </c>
      <c r="D10431" s="7" t="s">
        <v>28</v>
      </c>
      <c r="E10431" s="7" t="s">
        <v>29</v>
      </c>
      <c r="F10431" s="7" t="s">
        <v>53</v>
      </c>
      <c r="G10431" s="7">
        <v>97.465670000000003</v>
      </c>
      <c r="H10431" s="7"/>
    </row>
    <row r="10432" spans="1:8" x14ac:dyDescent="0.35">
      <c r="A10432" s="7" t="s">
        <v>382</v>
      </c>
      <c r="B10432" s="7" t="s">
        <v>26</v>
      </c>
      <c r="C10432" s="7" t="s">
        <v>27</v>
      </c>
      <c r="D10432" s="7" t="s">
        <v>28</v>
      </c>
      <c r="E10432" s="7" t="s">
        <v>29</v>
      </c>
      <c r="F10432" s="7" t="s">
        <v>54</v>
      </c>
      <c r="G10432" s="7">
        <v>97.462490000000003</v>
      </c>
      <c r="H10432" s="7"/>
    </row>
    <row r="10433" spans="1:8" x14ac:dyDescent="0.35">
      <c r="A10433" s="7" t="s">
        <v>382</v>
      </c>
      <c r="B10433" s="7" t="s">
        <v>26</v>
      </c>
      <c r="C10433" s="7" t="s">
        <v>27</v>
      </c>
      <c r="D10433" s="7" t="s">
        <v>28</v>
      </c>
      <c r="E10433" s="7" t="s">
        <v>29</v>
      </c>
      <c r="F10433" s="7" t="s">
        <v>55</v>
      </c>
      <c r="G10433" s="7">
        <v>97.602069999999998</v>
      </c>
      <c r="H10433" s="7"/>
    </row>
    <row r="10434" spans="1:8" x14ac:dyDescent="0.35">
      <c r="A10434" s="7" t="s">
        <v>382</v>
      </c>
      <c r="B10434" s="7" t="s">
        <v>26</v>
      </c>
      <c r="C10434" s="7" t="s">
        <v>27</v>
      </c>
      <c r="D10434" s="7" t="s">
        <v>28</v>
      </c>
      <c r="E10434" s="7" t="s">
        <v>29</v>
      </c>
      <c r="F10434" s="7" t="s">
        <v>56</v>
      </c>
      <c r="G10434" s="7">
        <v>97.85445</v>
      </c>
      <c r="H10434" s="7"/>
    </row>
    <row r="10435" spans="1:8" x14ac:dyDescent="0.35">
      <c r="A10435" s="7" t="s">
        <v>382</v>
      </c>
      <c r="B10435" s="7" t="s">
        <v>26</v>
      </c>
      <c r="C10435" s="7" t="s">
        <v>27</v>
      </c>
      <c r="D10435" s="7" t="s">
        <v>28</v>
      </c>
      <c r="E10435" s="7" t="s">
        <v>29</v>
      </c>
      <c r="F10435" s="7" t="s">
        <v>57</v>
      </c>
      <c r="G10435" s="7">
        <v>98.189049999999995</v>
      </c>
      <c r="H10435" s="7"/>
    </row>
    <row r="10436" spans="1:8" x14ac:dyDescent="0.35">
      <c r="A10436" s="7" t="s">
        <v>382</v>
      </c>
      <c r="B10436" s="7" t="s">
        <v>26</v>
      </c>
      <c r="C10436" s="7" t="s">
        <v>27</v>
      </c>
      <c r="D10436" s="7" t="s">
        <v>28</v>
      </c>
      <c r="E10436" s="7" t="s">
        <v>29</v>
      </c>
      <c r="F10436" s="7" t="s">
        <v>58</v>
      </c>
      <c r="G10436" s="7">
        <v>98.626009999999994</v>
      </c>
      <c r="H10436" s="7"/>
    </row>
    <row r="10437" spans="1:8" x14ac:dyDescent="0.35">
      <c r="A10437" s="7" t="s">
        <v>382</v>
      </c>
      <c r="B10437" s="7" t="s">
        <v>26</v>
      </c>
      <c r="C10437" s="7" t="s">
        <v>27</v>
      </c>
      <c r="D10437" s="7" t="s">
        <v>28</v>
      </c>
      <c r="E10437" s="7" t="s">
        <v>29</v>
      </c>
      <c r="F10437" s="7" t="s">
        <v>59</v>
      </c>
      <c r="G10437" s="7">
        <v>99.157539999999997</v>
      </c>
      <c r="H10437" s="7"/>
    </row>
    <row r="10438" spans="1:8" x14ac:dyDescent="0.35">
      <c r="A10438" s="7" t="s">
        <v>382</v>
      </c>
      <c r="B10438" s="7" t="s">
        <v>26</v>
      </c>
      <c r="C10438" s="7" t="s">
        <v>27</v>
      </c>
      <c r="D10438" s="7" t="s">
        <v>28</v>
      </c>
      <c r="E10438" s="7" t="s">
        <v>29</v>
      </c>
      <c r="F10438" s="7" t="s">
        <v>60</v>
      </c>
      <c r="G10438" s="7">
        <v>99.67868</v>
      </c>
      <c r="H10438" s="7"/>
    </row>
    <row r="10439" spans="1:8" x14ac:dyDescent="0.35">
      <c r="A10439" s="7" t="s">
        <v>382</v>
      </c>
      <c r="B10439" s="7" t="s">
        <v>26</v>
      </c>
      <c r="C10439" s="7" t="s">
        <v>27</v>
      </c>
      <c r="D10439" s="7" t="s">
        <v>28</v>
      </c>
      <c r="E10439" s="7" t="s">
        <v>29</v>
      </c>
      <c r="F10439" s="7" t="s">
        <v>61</v>
      </c>
      <c r="G10439" s="7">
        <v>100.0635</v>
      </c>
      <c r="H10439" s="7"/>
    </row>
    <row r="10440" spans="1:8" x14ac:dyDescent="0.35">
      <c r="A10440" s="7" t="s">
        <v>382</v>
      </c>
      <c r="B10440" s="7" t="s">
        <v>26</v>
      </c>
      <c r="C10440" s="7" t="s">
        <v>27</v>
      </c>
      <c r="D10440" s="7" t="s">
        <v>28</v>
      </c>
      <c r="E10440" s="7" t="s">
        <v>29</v>
      </c>
      <c r="F10440" s="7" t="s">
        <v>62</v>
      </c>
      <c r="G10440" s="7">
        <v>100.2516</v>
      </c>
      <c r="H10440" s="7"/>
    </row>
    <row r="10441" spans="1:8" x14ac:dyDescent="0.35">
      <c r="A10441" s="7" t="s">
        <v>382</v>
      </c>
      <c r="B10441" s="7" t="s">
        <v>26</v>
      </c>
      <c r="C10441" s="7" t="s">
        <v>27</v>
      </c>
      <c r="D10441" s="7" t="s">
        <v>28</v>
      </c>
      <c r="E10441" s="7" t="s">
        <v>29</v>
      </c>
      <c r="F10441" s="7" t="s">
        <v>63</v>
      </c>
      <c r="G10441" s="7">
        <v>100.40689999999999</v>
      </c>
      <c r="H10441" s="7"/>
    </row>
    <row r="10442" spans="1:8" x14ac:dyDescent="0.35">
      <c r="A10442" s="7" t="s">
        <v>382</v>
      </c>
      <c r="B10442" s="7" t="s">
        <v>26</v>
      </c>
      <c r="C10442" s="7" t="s">
        <v>27</v>
      </c>
      <c r="D10442" s="7" t="s">
        <v>28</v>
      </c>
      <c r="E10442" s="7" t="s">
        <v>29</v>
      </c>
      <c r="F10442" s="7" t="s">
        <v>64</v>
      </c>
      <c r="G10442" s="7">
        <v>100.5701</v>
      </c>
      <c r="H10442" s="7"/>
    </row>
    <row r="10443" spans="1:8" x14ac:dyDescent="0.35">
      <c r="A10443" s="7" t="s">
        <v>382</v>
      </c>
      <c r="B10443" s="7" t="s">
        <v>26</v>
      </c>
      <c r="C10443" s="7" t="s">
        <v>27</v>
      </c>
      <c r="D10443" s="7" t="s">
        <v>28</v>
      </c>
      <c r="E10443" s="7" t="s">
        <v>29</v>
      </c>
      <c r="F10443" s="7" t="s">
        <v>65</v>
      </c>
      <c r="G10443" s="7">
        <v>100.61450000000001</v>
      </c>
      <c r="H10443" s="7"/>
    </row>
    <row r="10444" spans="1:8" x14ac:dyDescent="0.35">
      <c r="A10444" s="7" t="s">
        <v>382</v>
      </c>
      <c r="B10444" s="7" t="s">
        <v>26</v>
      </c>
      <c r="C10444" s="7" t="s">
        <v>27</v>
      </c>
      <c r="D10444" s="7" t="s">
        <v>28</v>
      </c>
      <c r="E10444" s="7" t="s">
        <v>29</v>
      </c>
      <c r="F10444" s="7" t="s">
        <v>66</v>
      </c>
      <c r="G10444" s="7">
        <v>100.59529999999999</v>
      </c>
      <c r="H10444" s="7"/>
    </row>
    <row r="10445" spans="1:8" x14ac:dyDescent="0.35">
      <c r="A10445" s="7" t="s">
        <v>382</v>
      </c>
      <c r="B10445" s="7" t="s">
        <v>26</v>
      </c>
      <c r="C10445" s="7" t="s">
        <v>27</v>
      </c>
      <c r="D10445" s="7" t="s">
        <v>28</v>
      </c>
      <c r="E10445" s="7" t="s">
        <v>29</v>
      </c>
      <c r="F10445" s="7" t="s">
        <v>67</v>
      </c>
      <c r="G10445" s="7">
        <v>100.5766</v>
      </c>
      <c r="H10445" s="7"/>
    </row>
    <row r="10446" spans="1:8" x14ac:dyDescent="0.35">
      <c r="A10446" s="7" t="s">
        <v>382</v>
      </c>
      <c r="B10446" s="7" t="s">
        <v>26</v>
      </c>
      <c r="C10446" s="7" t="s">
        <v>27</v>
      </c>
      <c r="D10446" s="7" t="s">
        <v>28</v>
      </c>
      <c r="E10446" s="7" t="s">
        <v>29</v>
      </c>
      <c r="F10446" s="7" t="s">
        <v>68</v>
      </c>
      <c r="G10446" s="7">
        <v>100.5873</v>
      </c>
      <c r="H10446" s="7"/>
    </row>
    <row r="10447" spans="1:8" x14ac:dyDescent="0.35">
      <c r="A10447" s="7" t="s">
        <v>382</v>
      </c>
      <c r="B10447" s="7" t="s">
        <v>26</v>
      </c>
      <c r="C10447" s="7" t="s">
        <v>27</v>
      </c>
      <c r="D10447" s="7" t="s">
        <v>28</v>
      </c>
      <c r="E10447" s="7" t="s">
        <v>29</v>
      </c>
      <c r="F10447" s="7" t="s">
        <v>69</v>
      </c>
      <c r="G10447" s="7">
        <v>100.5913</v>
      </c>
      <c r="H10447" s="7"/>
    </row>
    <row r="10448" spans="1:8" x14ac:dyDescent="0.35">
      <c r="A10448" s="7" t="s">
        <v>382</v>
      </c>
      <c r="B10448" s="7" t="s">
        <v>26</v>
      </c>
      <c r="C10448" s="7" t="s">
        <v>27</v>
      </c>
      <c r="D10448" s="7" t="s">
        <v>28</v>
      </c>
      <c r="E10448" s="7" t="s">
        <v>29</v>
      </c>
      <c r="F10448" s="7" t="s">
        <v>70</v>
      </c>
      <c r="G10448" s="7">
        <v>100.621</v>
      </c>
      <c r="H10448" s="7"/>
    </row>
    <row r="10449" spans="1:8" x14ac:dyDescent="0.35">
      <c r="A10449" s="7" t="s">
        <v>382</v>
      </c>
      <c r="B10449" s="7" t="s">
        <v>26</v>
      </c>
      <c r="C10449" s="7" t="s">
        <v>27</v>
      </c>
      <c r="D10449" s="7" t="s">
        <v>28</v>
      </c>
      <c r="E10449" s="7" t="s">
        <v>29</v>
      </c>
      <c r="F10449" s="7" t="s">
        <v>71</v>
      </c>
      <c r="G10449" s="7">
        <v>100.70910000000001</v>
      </c>
      <c r="H10449" s="7"/>
    </row>
    <row r="10450" spans="1:8" x14ac:dyDescent="0.35">
      <c r="A10450" s="7" t="s">
        <v>382</v>
      </c>
      <c r="B10450" s="7" t="s">
        <v>26</v>
      </c>
      <c r="C10450" s="7" t="s">
        <v>27</v>
      </c>
      <c r="D10450" s="7" t="s">
        <v>28</v>
      </c>
      <c r="E10450" s="7" t="s">
        <v>29</v>
      </c>
      <c r="F10450" s="7" t="s">
        <v>72</v>
      </c>
      <c r="G10450" s="7">
        <v>100.843</v>
      </c>
      <c r="H10450" s="7"/>
    </row>
    <row r="10451" spans="1:8" x14ac:dyDescent="0.35">
      <c r="A10451" s="7" t="s">
        <v>382</v>
      </c>
      <c r="B10451" s="7" t="s">
        <v>26</v>
      </c>
      <c r="C10451" s="7" t="s">
        <v>27</v>
      </c>
      <c r="D10451" s="7" t="s">
        <v>28</v>
      </c>
      <c r="E10451" s="7" t="s">
        <v>29</v>
      </c>
      <c r="F10451" s="7" t="s">
        <v>73</v>
      </c>
      <c r="G10451" s="7">
        <v>100.8772</v>
      </c>
      <c r="H10451" s="7"/>
    </row>
    <row r="10452" spans="1:8" x14ac:dyDescent="0.35">
      <c r="A10452" s="7" t="s">
        <v>382</v>
      </c>
      <c r="B10452" s="7" t="s">
        <v>26</v>
      </c>
      <c r="C10452" s="7" t="s">
        <v>27</v>
      </c>
      <c r="D10452" s="7" t="s">
        <v>28</v>
      </c>
      <c r="E10452" s="7" t="s">
        <v>29</v>
      </c>
      <c r="F10452" s="7" t="s">
        <v>74</v>
      </c>
      <c r="G10452" s="7">
        <v>100.7822</v>
      </c>
      <c r="H10452" s="7"/>
    </row>
    <row r="10453" spans="1:8" x14ac:dyDescent="0.35">
      <c r="A10453" s="7" t="s">
        <v>382</v>
      </c>
      <c r="B10453" s="7" t="s">
        <v>26</v>
      </c>
      <c r="C10453" s="7" t="s">
        <v>27</v>
      </c>
      <c r="D10453" s="7" t="s">
        <v>28</v>
      </c>
      <c r="E10453" s="7" t="s">
        <v>29</v>
      </c>
      <c r="F10453" s="7" t="s">
        <v>75</v>
      </c>
      <c r="G10453" s="7">
        <v>100.5793</v>
      </c>
      <c r="H10453" s="7"/>
    </row>
    <row r="10454" spans="1:8" x14ac:dyDescent="0.35">
      <c r="A10454" s="7" t="s">
        <v>382</v>
      </c>
      <c r="B10454" s="7" t="s">
        <v>26</v>
      </c>
      <c r="C10454" s="7" t="s">
        <v>27</v>
      </c>
      <c r="D10454" s="7" t="s">
        <v>28</v>
      </c>
      <c r="E10454" s="7" t="s">
        <v>29</v>
      </c>
      <c r="F10454" s="7" t="s">
        <v>76</v>
      </c>
      <c r="G10454" s="7">
        <v>100.2911</v>
      </c>
      <c r="H10454" s="7"/>
    </row>
    <row r="10455" spans="1:8" x14ac:dyDescent="0.35">
      <c r="A10455" s="7" t="s">
        <v>382</v>
      </c>
      <c r="B10455" s="7" t="s">
        <v>26</v>
      </c>
      <c r="C10455" s="7" t="s">
        <v>27</v>
      </c>
      <c r="D10455" s="7" t="s">
        <v>28</v>
      </c>
      <c r="E10455" s="7" t="s">
        <v>29</v>
      </c>
      <c r="F10455" s="7" t="s">
        <v>77</v>
      </c>
      <c r="G10455" s="7">
        <v>100.01649999999999</v>
      </c>
      <c r="H10455" s="7"/>
    </row>
    <row r="10456" spans="1:8" x14ac:dyDescent="0.35">
      <c r="A10456" s="7" t="s">
        <v>382</v>
      </c>
      <c r="B10456" s="7" t="s">
        <v>26</v>
      </c>
      <c r="C10456" s="7" t="s">
        <v>27</v>
      </c>
      <c r="D10456" s="7" t="s">
        <v>28</v>
      </c>
      <c r="E10456" s="7" t="s">
        <v>29</v>
      </c>
      <c r="F10456" s="7" t="s">
        <v>78</v>
      </c>
      <c r="G10456" s="7">
        <v>99.787450000000007</v>
      </c>
      <c r="H10456" s="7"/>
    </row>
    <row r="10457" spans="1:8" x14ac:dyDescent="0.35">
      <c r="A10457" s="7" t="s">
        <v>382</v>
      </c>
      <c r="B10457" s="7" t="s">
        <v>26</v>
      </c>
      <c r="C10457" s="7" t="s">
        <v>27</v>
      </c>
      <c r="D10457" s="7" t="s">
        <v>28</v>
      </c>
      <c r="E10457" s="7" t="s">
        <v>29</v>
      </c>
      <c r="F10457" s="7" t="s">
        <v>79</v>
      </c>
      <c r="G10457" s="7">
        <v>99.571529999999996</v>
      </c>
      <c r="H10457" s="7"/>
    </row>
    <row r="10458" spans="1:8" x14ac:dyDescent="0.35">
      <c r="A10458" s="7" t="s">
        <v>382</v>
      </c>
      <c r="B10458" s="7" t="s">
        <v>26</v>
      </c>
      <c r="C10458" s="7" t="s">
        <v>27</v>
      </c>
      <c r="D10458" s="7" t="s">
        <v>28</v>
      </c>
      <c r="E10458" s="7" t="s">
        <v>29</v>
      </c>
      <c r="F10458" s="7" t="s">
        <v>80</v>
      </c>
      <c r="G10458" s="7">
        <v>99.404949999999999</v>
      </c>
      <c r="H10458" s="7"/>
    </row>
    <row r="10459" spans="1:8" x14ac:dyDescent="0.35">
      <c r="A10459" s="7" t="s">
        <v>382</v>
      </c>
      <c r="B10459" s="7" t="s">
        <v>26</v>
      </c>
      <c r="C10459" s="7" t="s">
        <v>27</v>
      </c>
      <c r="D10459" s="7" t="s">
        <v>28</v>
      </c>
      <c r="E10459" s="7" t="s">
        <v>29</v>
      </c>
      <c r="F10459" s="7" t="s">
        <v>81</v>
      </c>
      <c r="G10459" s="7">
        <v>99.272760000000005</v>
      </c>
      <c r="H10459" s="7"/>
    </row>
    <row r="10460" spans="1:8" x14ac:dyDescent="0.35">
      <c r="A10460" s="7" t="s">
        <v>382</v>
      </c>
      <c r="B10460" s="7" t="s">
        <v>26</v>
      </c>
      <c r="C10460" s="7" t="s">
        <v>27</v>
      </c>
      <c r="D10460" s="7" t="s">
        <v>28</v>
      </c>
      <c r="E10460" s="7" t="s">
        <v>29</v>
      </c>
      <c r="F10460" s="7" t="s">
        <v>82</v>
      </c>
      <c r="G10460" s="7">
        <v>99.195430000000002</v>
      </c>
      <c r="H10460" s="7"/>
    </row>
    <row r="10461" spans="1:8" x14ac:dyDescent="0.35">
      <c r="A10461" s="7" t="s">
        <v>382</v>
      </c>
      <c r="B10461" s="7" t="s">
        <v>26</v>
      </c>
      <c r="C10461" s="7" t="s">
        <v>27</v>
      </c>
      <c r="D10461" s="7" t="s">
        <v>28</v>
      </c>
      <c r="E10461" s="7" t="s">
        <v>29</v>
      </c>
      <c r="F10461" s="7" t="s">
        <v>83</v>
      </c>
      <c r="G10461" s="7">
        <v>99.185180000000003</v>
      </c>
      <c r="H10461" s="7"/>
    </row>
    <row r="10462" spans="1:8" x14ac:dyDescent="0.35">
      <c r="A10462" s="7" t="s">
        <v>382</v>
      </c>
      <c r="B10462" s="7" t="s">
        <v>26</v>
      </c>
      <c r="C10462" s="7" t="s">
        <v>27</v>
      </c>
      <c r="D10462" s="7" t="s">
        <v>28</v>
      </c>
      <c r="E10462" s="7" t="s">
        <v>29</v>
      </c>
      <c r="F10462" s="7" t="s">
        <v>84</v>
      </c>
      <c r="G10462" s="7">
        <v>99.243290000000002</v>
      </c>
      <c r="H10462" s="7"/>
    </row>
    <row r="10463" spans="1:8" x14ac:dyDescent="0.35">
      <c r="A10463" s="7" t="s">
        <v>382</v>
      </c>
      <c r="B10463" s="7" t="s">
        <v>26</v>
      </c>
      <c r="C10463" s="7" t="s">
        <v>27</v>
      </c>
      <c r="D10463" s="7" t="s">
        <v>28</v>
      </c>
      <c r="E10463" s="7" t="s">
        <v>29</v>
      </c>
      <c r="F10463" s="7" t="s">
        <v>85</v>
      </c>
      <c r="G10463" s="7">
        <v>99.258470000000003</v>
      </c>
      <c r="H10463" s="7"/>
    </row>
    <row r="10464" spans="1:8" x14ac:dyDescent="0.35">
      <c r="A10464" s="7" t="s">
        <v>382</v>
      </c>
      <c r="B10464" s="7" t="s">
        <v>26</v>
      </c>
      <c r="C10464" s="7" t="s">
        <v>27</v>
      </c>
      <c r="D10464" s="7" t="s">
        <v>28</v>
      </c>
      <c r="E10464" s="7" t="s">
        <v>29</v>
      </c>
      <c r="F10464" s="7" t="s">
        <v>86</v>
      </c>
      <c r="G10464" s="7">
        <v>99.204530000000005</v>
      </c>
      <c r="H10464" s="7"/>
    </row>
    <row r="10465" spans="1:8" x14ac:dyDescent="0.35">
      <c r="A10465" s="7" t="s">
        <v>382</v>
      </c>
      <c r="B10465" s="7" t="s">
        <v>26</v>
      </c>
      <c r="C10465" s="7" t="s">
        <v>27</v>
      </c>
      <c r="D10465" s="7" t="s">
        <v>28</v>
      </c>
      <c r="E10465" s="7" t="s">
        <v>29</v>
      </c>
      <c r="F10465" s="7" t="s">
        <v>87</v>
      </c>
      <c r="G10465" s="7">
        <v>99.173270000000002</v>
      </c>
      <c r="H10465" s="7"/>
    </row>
    <row r="10466" spans="1:8" x14ac:dyDescent="0.35">
      <c r="A10466" s="7" t="s">
        <v>382</v>
      </c>
      <c r="B10466" s="7" t="s">
        <v>26</v>
      </c>
      <c r="C10466" s="7" t="s">
        <v>27</v>
      </c>
      <c r="D10466" s="7" t="s">
        <v>28</v>
      </c>
      <c r="E10466" s="7" t="s">
        <v>29</v>
      </c>
      <c r="F10466" s="7" t="s">
        <v>88</v>
      </c>
      <c r="G10466" s="7">
        <v>99.140540000000001</v>
      </c>
      <c r="H10466" s="7"/>
    </row>
    <row r="10467" spans="1:8" x14ac:dyDescent="0.35">
      <c r="A10467" s="7" t="s">
        <v>382</v>
      </c>
      <c r="B10467" s="7" t="s">
        <v>26</v>
      </c>
      <c r="C10467" s="7" t="s">
        <v>27</v>
      </c>
      <c r="D10467" s="7" t="s">
        <v>28</v>
      </c>
      <c r="E10467" s="7" t="s">
        <v>29</v>
      </c>
      <c r="F10467" s="7" t="s">
        <v>89</v>
      </c>
      <c r="G10467" s="7">
        <v>99.109430000000003</v>
      </c>
      <c r="H10467" s="7"/>
    </row>
    <row r="10468" spans="1:8" x14ac:dyDescent="0.35">
      <c r="A10468" s="7" t="s">
        <v>382</v>
      </c>
      <c r="B10468" s="7" t="s">
        <v>26</v>
      </c>
      <c r="C10468" s="7" t="s">
        <v>27</v>
      </c>
      <c r="D10468" s="7" t="s">
        <v>28</v>
      </c>
      <c r="E10468" s="7" t="s">
        <v>29</v>
      </c>
      <c r="F10468" s="7" t="s">
        <v>90</v>
      </c>
      <c r="G10468" s="7">
        <v>99.094999999999999</v>
      </c>
      <c r="H10468" s="7"/>
    </row>
    <row r="10469" spans="1:8" x14ac:dyDescent="0.35">
      <c r="A10469" s="7" t="s">
        <v>382</v>
      </c>
      <c r="B10469" s="7" t="s">
        <v>26</v>
      </c>
      <c r="C10469" s="7" t="s">
        <v>27</v>
      </c>
      <c r="D10469" s="7" t="s">
        <v>28</v>
      </c>
      <c r="E10469" s="7" t="s">
        <v>29</v>
      </c>
      <c r="F10469" s="7" t="s">
        <v>91</v>
      </c>
      <c r="G10469" s="7">
        <v>99.155469999999994</v>
      </c>
      <c r="H10469" s="7"/>
    </row>
    <row r="10470" spans="1:8" x14ac:dyDescent="0.35">
      <c r="A10470" s="7" t="s">
        <v>382</v>
      </c>
      <c r="B10470" s="7" t="s">
        <v>26</v>
      </c>
      <c r="C10470" s="7" t="s">
        <v>27</v>
      </c>
      <c r="D10470" s="7" t="s">
        <v>28</v>
      </c>
      <c r="E10470" s="7" t="s">
        <v>29</v>
      </c>
      <c r="F10470" s="7" t="s">
        <v>92</v>
      </c>
      <c r="G10470" s="7">
        <v>99.230670000000003</v>
      </c>
      <c r="H10470" s="7"/>
    </row>
    <row r="10471" spans="1:8" x14ac:dyDescent="0.35">
      <c r="A10471" s="7" t="s">
        <v>382</v>
      </c>
      <c r="B10471" s="7" t="s">
        <v>26</v>
      </c>
      <c r="C10471" s="7" t="s">
        <v>27</v>
      </c>
      <c r="D10471" s="7" t="s">
        <v>28</v>
      </c>
      <c r="E10471" s="7" t="s">
        <v>29</v>
      </c>
      <c r="F10471" s="7" t="s">
        <v>93</v>
      </c>
      <c r="G10471" s="7">
        <v>99.257490000000004</v>
      </c>
      <c r="H10471" s="7"/>
    </row>
    <row r="10472" spans="1:8" x14ac:dyDescent="0.35">
      <c r="A10472" s="7" t="s">
        <v>382</v>
      </c>
      <c r="B10472" s="7" t="s">
        <v>26</v>
      </c>
      <c r="C10472" s="7" t="s">
        <v>27</v>
      </c>
      <c r="D10472" s="7" t="s">
        <v>28</v>
      </c>
      <c r="E10472" s="7" t="s">
        <v>29</v>
      </c>
      <c r="F10472" s="7" t="s">
        <v>94</v>
      </c>
      <c r="G10472" s="7">
        <v>99.286619999999999</v>
      </c>
      <c r="H10472" s="7"/>
    </row>
    <row r="10473" spans="1:8" x14ac:dyDescent="0.35">
      <c r="A10473" s="7" t="s">
        <v>382</v>
      </c>
      <c r="B10473" s="7" t="s">
        <v>26</v>
      </c>
      <c r="C10473" s="7" t="s">
        <v>27</v>
      </c>
      <c r="D10473" s="7" t="s">
        <v>28</v>
      </c>
      <c r="E10473" s="7" t="s">
        <v>29</v>
      </c>
      <c r="F10473" s="7" t="s">
        <v>95</v>
      </c>
      <c r="G10473" s="7">
        <v>99.359719999999996</v>
      </c>
      <c r="H10473" s="7"/>
    </row>
    <row r="10474" spans="1:8" x14ac:dyDescent="0.35">
      <c r="A10474" s="7" t="s">
        <v>382</v>
      </c>
      <c r="B10474" s="7" t="s">
        <v>26</v>
      </c>
      <c r="C10474" s="7" t="s">
        <v>27</v>
      </c>
      <c r="D10474" s="7" t="s">
        <v>28</v>
      </c>
      <c r="E10474" s="7" t="s">
        <v>29</v>
      </c>
      <c r="F10474" s="7" t="s">
        <v>96</v>
      </c>
      <c r="G10474" s="7">
        <v>99.496319999999997</v>
      </c>
      <c r="H10474" s="7"/>
    </row>
    <row r="10475" spans="1:8" x14ac:dyDescent="0.35">
      <c r="A10475" s="7" t="s">
        <v>382</v>
      </c>
      <c r="B10475" s="7" t="s">
        <v>26</v>
      </c>
      <c r="C10475" s="7" t="s">
        <v>27</v>
      </c>
      <c r="D10475" s="7" t="s">
        <v>28</v>
      </c>
      <c r="E10475" s="7" t="s">
        <v>29</v>
      </c>
      <c r="F10475" s="7" t="s">
        <v>97</v>
      </c>
      <c r="G10475" s="7">
        <v>99.68468</v>
      </c>
      <c r="H10475" s="7"/>
    </row>
    <row r="10476" spans="1:8" x14ac:dyDescent="0.35">
      <c r="A10476" s="7" t="s">
        <v>382</v>
      </c>
      <c r="B10476" s="7" t="s">
        <v>26</v>
      </c>
      <c r="C10476" s="7" t="s">
        <v>27</v>
      </c>
      <c r="D10476" s="7" t="s">
        <v>28</v>
      </c>
      <c r="E10476" s="7" t="s">
        <v>29</v>
      </c>
      <c r="F10476" s="7" t="s">
        <v>98</v>
      </c>
      <c r="G10476" s="7">
        <v>99.873090000000005</v>
      </c>
      <c r="H10476" s="7"/>
    </row>
    <row r="10477" spans="1:8" x14ac:dyDescent="0.35">
      <c r="A10477" s="7" t="s">
        <v>382</v>
      </c>
      <c r="B10477" s="7" t="s">
        <v>26</v>
      </c>
      <c r="C10477" s="7" t="s">
        <v>27</v>
      </c>
      <c r="D10477" s="7" t="s">
        <v>28</v>
      </c>
      <c r="E10477" s="7" t="s">
        <v>29</v>
      </c>
      <c r="F10477" s="7" t="s">
        <v>99</v>
      </c>
      <c r="G10477" s="7">
        <v>100.0534</v>
      </c>
      <c r="H10477" s="7"/>
    </row>
    <row r="10478" spans="1:8" x14ac:dyDescent="0.35">
      <c r="A10478" s="7" t="s">
        <v>382</v>
      </c>
      <c r="B10478" s="7" t="s">
        <v>26</v>
      </c>
      <c r="C10478" s="7" t="s">
        <v>27</v>
      </c>
      <c r="D10478" s="7" t="s">
        <v>28</v>
      </c>
      <c r="E10478" s="7" t="s">
        <v>29</v>
      </c>
      <c r="F10478" s="7" t="s">
        <v>100</v>
      </c>
      <c r="G10478" s="7">
        <v>100.20059999999999</v>
      </c>
      <c r="H10478" s="7"/>
    </row>
    <row r="10479" spans="1:8" x14ac:dyDescent="0.35">
      <c r="A10479" s="7" t="s">
        <v>382</v>
      </c>
      <c r="B10479" s="7" t="s">
        <v>26</v>
      </c>
      <c r="C10479" s="7" t="s">
        <v>27</v>
      </c>
      <c r="D10479" s="7" t="s">
        <v>28</v>
      </c>
      <c r="E10479" s="7" t="s">
        <v>29</v>
      </c>
      <c r="F10479" s="7" t="s">
        <v>101</v>
      </c>
      <c r="G10479" s="7">
        <v>100.2842</v>
      </c>
      <c r="H10479" s="7"/>
    </row>
    <row r="10480" spans="1:8" x14ac:dyDescent="0.35">
      <c r="A10480" s="7" t="s">
        <v>382</v>
      </c>
      <c r="B10480" s="7" t="s">
        <v>26</v>
      </c>
      <c r="C10480" s="7" t="s">
        <v>27</v>
      </c>
      <c r="D10480" s="7" t="s">
        <v>28</v>
      </c>
      <c r="E10480" s="7" t="s">
        <v>29</v>
      </c>
      <c r="F10480" s="7" t="s">
        <v>102</v>
      </c>
      <c r="G10480" s="7">
        <v>100.313</v>
      </c>
      <c r="H10480" s="7"/>
    </row>
    <row r="10481" spans="1:8" x14ac:dyDescent="0.35">
      <c r="A10481" s="7" t="s">
        <v>382</v>
      </c>
      <c r="B10481" s="7" t="s">
        <v>26</v>
      </c>
      <c r="C10481" s="7" t="s">
        <v>27</v>
      </c>
      <c r="D10481" s="7" t="s">
        <v>28</v>
      </c>
      <c r="E10481" s="7" t="s">
        <v>29</v>
      </c>
      <c r="F10481" s="7" t="s">
        <v>103</v>
      </c>
      <c r="G10481" s="7">
        <v>100.33159999999999</v>
      </c>
      <c r="H10481" s="7"/>
    </row>
    <row r="10482" spans="1:8" x14ac:dyDescent="0.35">
      <c r="A10482" s="7" t="s">
        <v>382</v>
      </c>
      <c r="B10482" s="7" t="s">
        <v>26</v>
      </c>
      <c r="C10482" s="7" t="s">
        <v>27</v>
      </c>
      <c r="D10482" s="7" t="s">
        <v>28</v>
      </c>
      <c r="E10482" s="7" t="s">
        <v>29</v>
      </c>
      <c r="F10482" s="7" t="s">
        <v>104</v>
      </c>
      <c r="G10482" s="7">
        <v>100.3917</v>
      </c>
      <c r="H10482" s="7"/>
    </row>
    <row r="10483" spans="1:8" x14ac:dyDescent="0.35">
      <c r="A10483" s="7" t="s">
        <v>382</v>
      </c>
      <c r="B10483" s="7" t="s">
        <v>26</v>
      </c>
      <c r="C10483" s="7" t="s">
        <v>27</v>
      </c>
      <c r="D10483" s="7" t="s">
        <v>28</v>
      </c>
      <c r="E10483" s="7" t="s">
        <v>29</v>
      </c>
      <c r="F10483" s="7" t="s">
        <v>105</v>
      </c>
      <c r="G10483" s="7">
        <v>100.5171</v>
      </c>
      <c r="H10483" s="7"/>
    </row>
    <row r="10484" spans="1:8" x14ac:dyDescent="0.35">
      <c r="A10484" s="7" t="s">
        <v>382</v>
      </c>
      <c r="B10484" s="7" t="s">
        <v>26</v>
      </c>
      <c r="C10484" s="7" t="s">
        <v>27</v>
      </c>
      <c r="D10484" s="7" t="s">
        <v>28</v>
      </c>
      <c r="E10484" s="7" t="s">
        <v>29</v>
      </c>
      <c r="F10484" s="7" t="s">
        <v>106</v>
      </c>
      <c r="G10484" s="7">
        <v>100.6918</v>
      </c>
      <c r="H10484" s="7"/>
    </row>
    <row r="10485" spans="1:8" x14ac:dyDescent="0.35">
      <c r="A10485" s="7" t="s">
        <v>382</v>
      </c>
      <c r="B10485" s="7" t="s">
        <v>26</v>
      </c>
      <c r="C10485" s="7" t="s">
        <v>27</v>
      </c>
      <c r="D10485" s="7" t="s">
        <v>28</v>
      </c>
      <c r="E10485" s="7" t="s">
        <v>29</v>
      </c>
      <c r="F10485" s="7" t="s">
        <v>107</v>
      </c>
      <c r="G10485" s="7">
        <v>100.86279999999999</v>
      </c>
      <c r="H10485" s="7"/>
    </row>
    <row r="10486" spans="1:8" x14ac:dyDescent="0.35">
      <c r="A10486" s="7" t="s">
        <v>382</v>
      </c>
      <c r="B10486" s="7" t="s">
        <v>26</v>
      </c>
      <c r="C10486" s="7" t="s">
        <v>27</v>
      </c>
      <c r="D10486" s="7" t="s">
        <v>28</v>
      </c>
      <c r="E10486" s="7" t="s">
        <v>29</v>
      </c>
      <c r="F10486" s="7" t="s">
        <v>108</v>
      </c>
      <c r="G10486" s="7">
        <v>101.02070000000001</v>
      </c>
      <c r="H10486" s="7"/>
    </row>
    <row r="10487" spans="1:8" x14ac:dyDescent="0.35">
      <c r="A10487" s="7" t="s">
        <v>382</v>
      </c>
      <c r="B10487" s="7" t="s">
        <v>26</v>
      </c>
      <c r="C10487" s="7" t="s">
        <v>27</v>
      </c>
      <c r="D10487" s="7" t="s">
        <v>28</v>
      </c>
      <c r="E10487" s="7" t="s">
        <v>29</v>
      </c>
      <c r="F10487" s="7" t="s">
        <v>109</v>
      </c>
      <c r="G10487" s="7">
        <v>101.12520000000001</v>
      </c>
      <c r="H10487" s="7"/>
    </row>
    <row r="10488" spans="1:8" x14ac:dyDescent="0.35">
      <c r="A10488" s="7" t="s">
        <v>382</v>
      </c>
      <c r="B10488" s="7" t="s">
        <v>26</v>
      </c>
      <c r="C10488" s="7" t="s">
        <v>27</v>
      </c>
      <c r="D10488" s="7" t="s">
        <v>28</v>
      </c>
      <c r="E10488" s="7" t="s">
        <v>29</v>
      </c>
      <c r="F10488" s="7" t="s">
        <v>110</v>
      </c>
      <c r="G10488" s="7">
        <v>101.2024</v>
      </c>
      <c r="H10488" s="7"/>
    </row>
    <row r="10489" spans="1:8" x14ac:dyDescent="0.35">
      <c r="A10489" s="7" t="s">
        <v>382</v>
      </c>
      <c r="B10489" s="7" t="s">
        <v>26</v>
      </c>
      <c r="C10489" s="7" t="s">
        <v>27</v>
      </c>
      <c r="D10489" s="7" t="s">
        <v>28</v>
      </c>
      <c r="E10489" s="7" t="s">
        <v>29</v>
      </c>
      <c r="F10489" s="7" t="s">
        <v>111</v>
      </c>
      <c r="G10489" s="7">
        <v>101.1931</v>
      </c>
      <c r="H10489" s="7"/>
    </row>
    <row r="10490" spans="1:8" x14ac:dyDescent="0.35">
      <c r="A10490" s="7" t="s">
        <v>382</v>
      </c>
      <c r="B10490" s="7" t="s">
        <v>26</v>
      </c>
      <c r="C10490" s="7" t="s">
        <v>27</v>
      </c>
      <c r="D10490" s="7" t="s">
        <v>28</v>
      </c>
      <c r="E10490" s="7" t="s">
        <v>29</v>
      </c>
      <c r="F10490" s="7" t="s">
        <v>112</v>
      </c>
      <c r="G10490" s="7">
        <v>101.19459999999999</v>
      </c>
      <c r="H10490" s="7"/>
    </row>
    <row r="10491" spans="1:8" x14ac:dyDescent="0.35">
      <c r="A10491" s="7" t="s">
        <v>382</v>
      </c>
      <c r="B10491" s="7" t="s">
        <v>26</v>
      </c>
      <c r="C10491" s="7" t="s">
        <v>27</v>
      </c>
      <c r="D10491" s="7" t="s">
        <v>28</v>
      </c>
      <c r="E10491" s="7" t="s">
        <v>29</v>
      </c>
      <c r="F10491" s="7" t="s">
        <v>113</v>
      </c>
      <c r="G10491" s="7">
        <v>101.26309999999999</v>
      </c>
      <c r="H10491" s="7"/>
    </row>
    <row r="10492" spans="1:8" x14ac:dyDescent="0.35">
      <c r="A10492" s="7" t="s">
        <v>382</v>
      </c>
      <c r="B10492" s="7" t="s">
        <v>26</v>
      </c>
      <c r="C10492" s="7" t="s">
        <v>27</v>
      </c>
      <c r="D10492" s="7" t="s">
        <v>28</v>
      </c>
      <c r="E10492" s="7" t="s">
        <v>29</v>
      </c>
      <c r="F10492" s="7" t="s">
        <v>114</v>
      </c>
      <c r="G10492" s="7">
        <v>101.3631</v>
      </c>
      <c r="H10492" s="7"/>
    </row>
    <row r="10493" spans="1:8" x14ac:dyDescent="0.35">
      <c r="A10493" s="7" t="s">
        <v>382</v>
      </c>
      <c r="B10493" s="7" t="s">
        <v>26</v>
      </c>
      <c r="C10493" s="7" t="s">
        <v>27</v>
      </c>
      <c r="D10493" s="7" t="s">
        <v>28</v>
      </c>
      <c r="E10493" s="7" t="s">
        <v>29</v>
      </c>
      <c r="F10493" s="7" t="s">
        <v>115</v>
      </c>
      <c r="G10493" s="7">
        <v>101.4118</v>
      </c>
      <c r="H10493" s="7"/>
    </row>
    <row r="10494" spans="1:8" x14ac:dyDescent="0.35">
      <c r="A10494" s="7" t="s">
        <v>382</v>
      </c>
      <c r="B10494" s="7" t="s">
        <v>26</v>
      </c>
      <c r="C10494" s="7" t="s">
        <v>27</v>
      </c>
      <c r="D10494" s="7" t="s">
        <v>28</v>
      </c>
      <c r="E10494" s="7" t="s">
        <v>29</v>
      </c>
      <c r="F10494" s="7" t="s">
        <v>116</v>
      </c>
      <c r="G10494" s="7">
        <v>101.4504</v>
      </c>
      <c r="H10494" s="7"/>
    </row>
    <row r="10495" spans="1:8" x14ac:dyDescent="0.35">
      <c r="A10495" s="7" t="s">
        <v>382</v>
      </c>
      <c r="B10495" s="7" t="s">
        <v>26</v>
      </c>
      <c r="C10495" s="7" t="s">
        <v>27</v>
      </c>
      <c r="D10495" s="7" t="s">
        <v>28</v>
      </c>
      <c r="E10495" s="7" t="s">
        <v>29</v>
      </c>
      <c r="F10495" s="7" t="s">
        <v>117</v>
      </c>
      <c r="G10495" s="7">
        <v>101.38760000000001</v>
      </c>
      <c r="H10495" s="7"/>
    </row>
    <row r="10496" spans="1:8" x14ac:dyDescent="0.35">
      <c r="A10496" s="7" t="s">
        <v>382</v>
      </c>
      <c r="B10496" s="7" t="s">
        <v>26</v>
      </c>
      <c r="C10496" s="7" t="s">
        <v>27</v>
      </c>
      <c r="D10496" s="7" t="s">
        <v>28</v>
      </c>
      <c r="E10496" s="7" t="s">
        <v>29</v>
      </c>
      <c r="F10496" s="7" t="s">
        <v>118</v>
      </c>
      <c r="G10496" s="7">
        <v>101.217</v>
      </c>
      <c r="H10496" s="7"/>
    </row>
    <row r="10497" spans="1:8" x14ac:dyDescent="0.35">
      <c r="A10497" s="7" t="s">
        <v>382</v>
      </c>
      <c r="B10497" s="7" t="s">
        <v>26</v>
      </c>
      <c r="C10497" s="7" t="s">
        <v>27</v>
      </c>
      <c r="D10497" s="7" t="s">
        <v>28</v>
      </c>
      <c r="E10497" s="7" t="s">
        <v>29</v>
      </c>
      <c r="F10497" s="7" t="s">
        <v>119</v>
      </c>
      <c r="G10497" s="7">
        <v>101.032</v>
      </c>
      <c r="H10497" s="7"/>
    </row>
    <row r="10498" spans="1:8" x14ac:dyDescent="0.35">
      <c r="A10498" s="7" t="s">
        <v>382</v>
      </c>
      <c r="B10498" s="7" t="s">
        <v>26</v>
      </c>
      <c r="C10498" s="7" t="s">
        <v>27</v>
      </c>
      <c r="D10498" s="7" t="s">
        <v>28</v>
      </c>
      <c r="E10498" s="7" t="s">
        <v>29</v>
      </c>
      <c r="F10498" s="7" t="s">
        <v>120</v>
      </c>
      <c r="G10498" s="7">
        <v>100.95650000000001</v>
      </c>
      <c r="H10498" s="7"/>
    </row>
    <row r="10499" spans="1:8" x14ac:dyDescent="0.35">
      <c r="A10499" s="7" t="s">
        <v>382</v>
      </c>
      <c r="B10499" s="7" t="s">
        <v>26</v>
      </c>
      <c r="C10499" s="7" t="s">
        <v>27</v>
      </c>
      <c r="D10499" s="7" t="s">
        <v>28</v>
      </c>
      <c r="E10499" s="7" t="s">
        <v>29</v>
      </c>
      <c r="F10499" s="7" t="s">
        <v>121</v>
      </c>
      <c r="G10499" s="7">
        <v>100.9776</v>
      </c>
      <c r="H10499" s="7"/>
    </row>
    <row r="10500" spans="1:8" x14ac:dyDescent="0.35">
      <c r="A10500" s="7" t="s">
        <v>382</v>
      </c>
      <c r="B10500" s="7" t="s">
        <v>26</v>
      </c>
      <c r="C10500" s="7" t="s">
        <v>27</v>
      </c>
      <c r="D10500" s="7" t="s">
        <v>28</v>
      </c>
      <c r="E10500" s="7" t="s">
        <v>29</v>
      </c>
      <c r="F10500" s="7" t="s">
        <v>122</v>
      </c>
      <c r="G10500" s="7">
        <v>101.0699</v>
      </c>
      <c r="H10500" s="7"/>
    </row>
    <row r="10501" spans="1:8" x14ac:dyDescent="0.35">
      <c r="A10501" s="7" t="s">
        <v>382</v>
      </c>
      <c r="B10501" s="7" t="s">
        <v>26</v>
      </c>
      <c r="C10501" s="7" t="s">
        <v>27</v>
      </c>
      <c r="D10501" s="7" t="s">
        <v>28</v>
      </c>
      <c r="E10501" s="7" t="s">
        <v>29</v>
      </c>
      <c r="F10501" s="7" t="s">
        <v>123</v>
      </c>
      <c r="G10501" s="7">
        <v>101.1418</v>
      </c>
      <c r="H10501" s="7"/>
    </row>
    <row r="10502" spans="1:8" x14ac:dyDescent="0.35">
      <c r="A10502" s="7" t="s">
        <v>382</v>
      </c>
      <c r="B10502" s="7" t="s">
        <v>26</v>
      </c>
      <c r="C10502" s="7" t="s">
        <v>27</v>
      </c>
      <c r="D10502" s="7" t="s">
        <v>28</v>
      </c>
      <c r="E10502" s="7" t="s">
        <v>29</v>
      </c>
      <c r="F10502" s="7" t="s">
        <v>124</v>
      </c>
      <c r="G10502" s="7">
        <v>101.2312</v>
      </c>
      <c r="H10502" s="7"/>
    </row>
    <row r="10503" spans="1:8" x14ac:dyDescent="0.35">
      <c r="A10503" s="7" t="s">
        <v>382</v>
      </c>
      <c r="B10503" s="7" t="s">
        <v>26</v>
      </c>
      <c r="C10503" s="7" t="s">
        <v>27</v>
      </c>
      <c r="D10503" s="7" t="s">
        <v>28</v>
      </c>
      <c r="E10503" s="7" t="s">
        <v>29</v>
      </c>
      <c r="F10503" s="7" t="s">
        <v>125</v>
      </c>
      <c r="G10503" s="7">
        <v>101.35380000000001</v>
      </c>
      <c r="H10503" s="7"/>
    </row>
    <row r="10504" spans="1:8" x14ac:dyDescent="0.35">
      <c r="A10504" s="7" t="s">
        <v>382</v>
      </c>
      <c r="B10504" s="7" t="s">
        <v>26</v>
      </c>
      <c r="C10504" s="7" t="s">
        <v>27</v>
      </c>
      <c r="D10504" s="7" t="s">
        <v>28</v>
      </c>
      <c r="E10504" s="7" t="s">
        <v>29</v>
      </c>
      <c r="F10504" s="7" t="s">
        <v>126</v>
      </c>
      <c r="G10504" s="7">
        <v>101.4776</v>
      </c>
      <c r="H10504" s="7"/>
    </row>
    <row r="10505" spans="1:8" x14ac:dyDescent="0.35">
      <c r="A10505" s="7" t="s">
        <v>382</v>
      </c>
      <c r="B10505" s="7" t="s">
        <v>26</v>
      </c>
      <c r="C10505" s="7" t="s">
        <v>27</v>
      </c>
      <c r="D10505" s="7" t="s">
        <v>28</v>
      </c>
      <c r="E10505" s="7" t="s">
        <v>29</v>
      </c>
      <c r="F10505" s="7" t="s">
        <v>127</v>
      </c>
      <c r="G10505" s="7">
        <v>101.6079</v>
      </c>
      <c r="H10505" s="7"/>
    </row>
    <row r="10506" spans="1:8" x14ac:dyDescent="0.35">
      <c r="A10506" s="7" t="s">
        <v>382</v>
      </c>
      <c r="B10506" s="7" t="s">
        <v>26</v>
      </c>
      <c r="C10506" s="7" t="s">
        <v>27</v>
      </c>
      <c r="D10506" s="7" t="s">
        <v>28</v>
      </c>
      <c r="E10506" s="7" t="s">
        <v>29</v>
      </c>
      <c r="F10506" s="7" t="s">
        <v>128</v>
      </c>
      <c r="G10506" s="7">
        <v>101.74379999999999</v>
      </c>
      <c r="H10506" s="7"/>
    </row>
    <row r="10507" spans="1:8" x14ac:dyDescent="0.35">
      <c r="A10507" s="7" t="s">
        <v>382</v>
      </c>
      <c r="B10507" s="7" t="s">
        <v>26</v>
      </c>
      <c r="C10507" s="7" t="s">
        <v>27</v>
      </c>
      <c r="D10507" s="7" t="s">
        <v>28</v>
      </c>
      <c r="E10507" s="7" t="s">
        <v>29</v>
      </c>
      <c r="F10507" s="7" t="s">
        <v>129</v>
      </c>
      <c r="G10507" s="7">
        <v>101.828</v>
      </c>
      <c r="H10507" s="7"/>
    </row>
    <row r="10508" spans="1:8" x14ac:dyDescent="0.35">
      <c r="A10508" s="7" t="s">
        <v>382</v>
      </c>
      <c r="B10508" s="7" t="s">
        <v>26</v>
      </c>
      <c r="C10508" s="7" t="s">
        <v>27</v>
      </c>
      <c r="D10508" s="7" t="s">
        <v>28</v>
      </c>
      <c r="E10508" s="7" t="s">
        <v>29</v>
      </c>
      <c r="F10508" s="7" t="s">
        <v>130</v>
      </c>
      <c r="G10508" s="7">
        <v>101.9301</v>
      </c>
      <c r="H10508" s="7"/>
    </row>
    <row r="10509" spans="1:8" x14ac:dyDescent="0.35">
      <c r="A10509" s="7" t="s">
        <v>382</v>
      </c>
      <c r="B10509" s="7" t="s">
        <v>26</v>
      </c>
      <c r="C10509" s="7" t="s">
        <v>27</v>
      </c>
      <c r="D10509" s="7" t="s">
        <v>28</v>
      </c>
      <c r="E10509" s="7" t="s">
        <v>29</v>
      </c>
      <c r="F10509" s="7" t="s">
        <v>131</v>
      </c>
      <c r="G10509" s="7">
        <v>102.0509</v>
      </c>
      <c r="H10509" s="7"/>
    </row>
    <row r="10510" spans="1:8" x14ac:dyDescent="0.35">
      <c r="A10510" s="7" t="s">
        <v>382</v>
      </c>
      <c r="B10510" s="7" t="s">
        <v>26</v>
      </c>
      <c r="C10510" s="7" t="s">
        <v>27</v>
      </c>
      <c r="D10510" s="7" t="s">
        <v>28</v>
      </c>
      <c r="E10510" s="7" t="s">
        <v>29</v>
      </c>
      <c r="F10510" s="7" t="s">
        <v>132</v>
      </c>
      <c r="G10510" s="7">
        <v>102.1322</v>
      </c>
      <c r="H10510" s="7"/>
    </row>
    <row r="10511" spans="1:8" x14ac:dyDescent="0.35">
      <c r="A10511" s="7" t="s">
        <v>382</v>
      </c>
      <c r="B10511" s="7" t="s">
        <v>26</v>
      </c>
      <c r="C10511" s="7" t="s">
        <v>27</v>
      </c>
      <c r="D10511" s="7" t="s">
        <v>28</v>
      </c>
      <c r="E10511" s="7" t="s">
        <v>29</v>
      </c>
      <c r="F10511" s="7" t="s">
        <v>133</v>
      </c>
      <c r="G10511" s="7">
        <v>102.1437</v>
      </c>
      <c r="H10511" s="7"/>
    </row>
    <row r="10512" spans="1:8" x14ac:dyDescent="0.35">
      <c r="A10512" s="7" t="s">
        <v>382</v>
      </c>
      <c r="B10512" s="7" t="s">
        <v>26</v>
      </c>
      <c r="C10512" s="7" t="s">
        <v>27</v>
      </c>
      <c r="D10512" s="7" t="s">
        <v>28</v>
      </c>
      <c r="E10512" s="7" t="s">
        <v>29</v>
      </c>
      <c r="F10512" s="7" t="s">
        <v>134</v>
      </c>
      <c r="G10512" s="7">
        <v>102.1139</v>
      </c>
      <c r="H10512" s="7"/>
    </row>
    <row r="10513" spans="1:8" x14ac:dyDescent="0.35">
      <c r="A10513" s="7" t="s">
        <v>382</v>
      </c>
      <c r="B10513" s="7" t="s">
        <v>26</v>
      </c>
      <c r="C10513" s="7" t="s">
        <v>27</v>
      </c>
      <c r="D10513" s="7" t="s">
        <v>28</v>
      </c>
      <c r="E10513" s="7" t="s">
        <v>29</v>
      </c>
      <c r="F10513" s="7" t="s">
        <v>135</v>
      </c>
      <c r="G10513" s="7">
        <v>102.0063</v>
      </c>
      <c r="H10513" s="7"/>
    </row>
    <row r="10514" spans="1:8" x14ac:dyDescent="0.35">
      <c r="A10514" s="7" t="s">
        <v>382</v>
      </c>
      <c r="B10514" s="7" t="s">
        <v>26</v>
      </c>
      <c r="C10514" s="7" t="s">
        <v>27</v>
      </c>
      <c r="D10514" s="7" t="s">
        <v>28</v>
      </c>
      <c r="E10514" s="7" t="s">
        <v>29</v>
      </c>
      <c r="F10514" s="7" t="s">
        <v>136</v>
      </c>
      <c r="G10514" s="7">
        <v>101.8296</v>
      </c>
      <c r="H10514" s="7"/>
    </row>
    <row r="10515" spans="1:8" x14ac:dyDescent="0.35">
      <c r="A10515" s="7" t="s">
        <v>382</v>
      </c>
      <c r="B10515" s="7" t="s">
        <v>26</v>
      </c>
      <c r="C10515" s="7" t="s">
        <v>27</v>
      </c>
      <c r="D10515" s="7" t="s">
        <v>28</v>
      </c>
      <c r="E10515" s="7" t="s">
        <v>29</v>
      </c>
      <c r="F10515" s="7" t="s">
        <v>137</v>
      </c>
      <c r="G10515" s="7">
        <v>101.777</v>
      </c>
      <c r="H10515" s="7"/>
    </row>
    <row r="10516" spans="1:8" x14ac:dyDescent="0.35">
      <c r="A10516" s="7" t="s">
        <v>382</v>
      </c>
      <c r="B10516" s="7" t="s">
        <v>26</v>
      </c>
      <c r="C10516" s="7" t="s">
        <v>27</v>
      </c>
      <c r="D10516" s="7" t="s">
        <v>28</v>
      </c>
      <c r="E10516" s="7" t="s">
        <v>29</v>
      </c>
      <c r="F10516" s="7" t="s">
        <v>138</v>
      </c>
      <c r="G10516" s="7">
        <v>101.8116</v>
      </c>
      <c r="H10516" s="7"/>
    </row>
    <row r="10517" spans="1:8" x14ac:dyDescent="0.35">
      <c r="A10517" s="7" t="s">
        <v>382</v>
      </c>
      <c r="B10517" s="7" t="s">
        <v>26</v>
      </c>
      <c r="C10517" s="7" t="s">
        <v>27</v>
      </c>
      <c r="D10517" s="7" t="s">
        <v>28</v>
      </c>
      <c r="E10517" s="7" t="s">
        <v>29</v>
      </c>
      <c r="F10517" s="7" t="s">
        <v>139</v>
      </c>
      <c r="G10517" s="7">
        <v>101.8783</v>
      </c>
      <c r="H10517" s="7"/>
    </row>
    <row r="10518" spans="1:8" x14ac:dyDescent="0.35">
      <c r="A10518" s="7" t="s">
        <v>382</v>
      </c>
      <c r="B10518" s="7" t="s">
        <v>26</v>
      </c>
      <c r="C10518" s="7" t="s">
        <v>27</v>
      </c>
      <c r="D10518" s="7" t="s">
        <v>28</v>
      </c>
      <c r="E10518" s="7" t="s">
        <v>29</v>
      </c>
      <c r="F10518" s="7" t="s">
        <v>140</v>
      </c>
      <c r="G10518" s="7">
        <v>101.9016</v>
      </c>
      <c r="H10518" s="7"/>
    </row>
    <row r="10519" spans="1:8" x14ac:dyDescent="0.35">
      <c r="A10519" s="7" t="s">
        <v>382</v>
      </c>
      <c r="B10519" s="7" t="s">
        <v>26</v>
      </c>
      <c r="C10519" s="7" t="s">
        <v>27</v>
      </c>
      <c r="D10519" s="7" t="s">
        <v>28</v>
      </c>
      <c r="E10519" s="7" t="s">
        <v>29</v>
      </c>
      <c r="F10519" s="7" t="s">
        <v>141</v>
      </c>
      <c r="G10519" s="7">
        <v>101.8625</v>
      </c>
      <c r="H10519" s="7"/>
    </row>
    <row r="10520" spans="1:8" x14ac:dyDescent="0.35">
      <c r="A10520" s="7" t="s">
        <v>382</v>
      </c>
      <c r="B10520" s="7" t="s">
        <v>26</v>
      </c>
      <c r="C10520" s="7" t="s">
        <v>27</v>
      </c>
      <c r="D10520" s="7" t="s">
        <v>28</v>
      </c>
      <c r="E10520" s="7" t="s">
        <v>29</v>
      </c>
      <c r="F10520" s="7" t="s">
        <v>142</v>
      </c>
      <c r="G10520" s="7">
        <v>101.8078</v>
      </c>
      <c r="H10520" s="7"/>
    </row>
    <row r="10521" spans="1:8" x14ac:dyDescent="0.35">
      <c r="A10521" s="7" t="s">
        <v>382</v>
      </c>
      <c r="B10521" s="7" t="s">
        <v>26</v>
      </c>
      <c r="C10521" s="7" t="s">
        <v>27</v>
      </c>
      <c r="D10521" s="7" t="s">
        <v>28</v>
      </c>
      <c r="E10521" s="7" t="s">
        <v>29</v>
      </c>
      <c r="F10521" s="7" t="s">
        <v>143</v>
      </c>
      <c r="G10521" s="7">
        <v>101.6966</v>
      </c>
      <c r="H10521" s="7"/>
    </row>
    <row r="10522" spans="1:8" x14ac:dyDescent="0.35">
      <c r="A10522" s="7" t="s">
        <v>382</v>
      </c>
      <c r="B10522" s="7" t="s">
        <v>26</v>
      </c>
      <c r="C10522" s="7" t="s">
        <v>27</v>
      </c>
      <c r="D10522" s="7" t="s">
        <v>28</v>
      </c>
      <c r="E10522" s="7" t="s">
        <v>29</v>
      </c>
      <c r="F10522" s="7" t="s">
        <v>144</v>
      </c>
      <c r="G10522" s="7">
        <v>101.5194</v>
      </c>
      <c r="H10522" s="7"/>
    </row>
    <row r="10523" spans="1:8" x14ac:dyDescent="0.35">
      <c r="A10523" s="7" t="s">
        <v>382</v>
      </c>
      <c r="B10523" s="7" t="s">
        <v>26</v>
      </c>
      <c r="C10523" s="7" t="s">
        <v>27</v>
      </c>
      <c r="D10523" s="7" t="s">
        <v>28</v>
      </c>
      <c r="E10523" s="7" t="s">
        <v>29</v>
      </c>
      <c r="F10523" s="7" t="s">
        <v>145</v>
      </c>
      <c r="G10523" s="7">
        <v>101.2812</v>
      </c>
      <c r="H10523" s="7"/>
    </row>
    <row r="10524" spans="1:8" x14ac:dyDescent="0.35">
      <c r="A10524" s="7" t="s">
        <v>382</v>
      </c>
      <c r="B10524" s="7" t="s">
        <v>26</v>
      </c>
      <c r="C10524" s="7" t="s">
        <v>27</v>
      </c>
      <c r="D10524" s="7" t="s">
        <v>28</v>
      </c>
      <c r="E10524" s="7" t="s">
        <v>29</v>
      </c>
      <c r="F10524" s="7" t="s">
        <v>146</v>
      </c>
      <c r="G10524" s="7">
        <v>100.955</v>
      </c>
      <c r="H10524" s="7"/>
    </row>
    <row r="10525" spans="1:8" x14ac:dyDescent="0.35">
      <c r="A10525" s="7" t="s">
        <v>382</v>
      </c>
      <c r="B10525" s="7" t="s">
        <v>26</v>
      </c>
      <c r="C10525" s="7" t="s">
        <v>27</v>
      </c>
      <c r="D10525" s="7" t="s">
        <v>28</v>
      </c>
      <c r="E10525" s="7" t="s">
        <v>29</v>
      </c>
      <c r="F10525" s="7" t="s">
        <v>147</v>
      </c>
      <c r="G10525" s="7">
        <v>100.6079</v>
      </c>
      <c r="H10525" s="7"/>
    </row>
    <row r="10526" spans="1:8" x14ac:dyDescent="0.35">
      <c r="A10526" s="7" t="s">
        <v>382</v>
      </c>
      <c r="B10526" s="7" t="s">
        <v>26</v>
      </c>
      <c r="C10526" s="7" t="s">
        <v>27</v>
      </c>
      <c r="D10526" s="7" t="s">
        <v>28</v>
      </c>
      <c r="E10526" s="7" t="s">
        <v>29</v>
      </c>
      <c r="F10526" s="7" t="s">
        <v>148</v>
      </c>
      <c r="G10526" s="7">
        <v>100.3276</v>
      </c>
      <c r="H10526" s="7"/>
    </row>
    <row r="10527" spans="1:8" x14ac:dyDescent="0.35">
      <c r="A10527" s="7" t="s">
        <v>382</v>
      </c>
      <c r="B10527" s="7" t="s">
        <v>26</v>
      </c>
      <c r="C10527" s="7" t="s">
        <v>27</v>
      </c>
      <c r="D10527" s="7" t="s">
        <v>28</v>
      </c>
      <c r="E10527" s="7" t="s">
        <v>29</v>
      </c>
      <c r="F10527" s="7" t="s">
        <v>149</v>
      </c>
      <c r="G10527" s="7">
        <v>100.0895</v>
      </c>
      <c r="H10527" s="7"/>
    </row>
    <row r="10528" spans="1:8" x14ac:dyDescent="0.35">
      <c r="A10528" s="7" t="s">
        <v>382</v>
      </c>
      <c r="B10528" s="7" t="s">
        <v>26</v>
      </c>
      <c r="C10528" s="7" t="s">
        <v>27</v>
      </c>
      <c r="D10528" s="7" t="s">
        <v>28</v>
      </c>
      <c r="E10528" s="7" t="s">
        <v>29</v>
      </c>
      <c r="F10528" s="7" t="s">
        <v>150</v>
      </c>
      <c r="G10528" s="7">
        <v>99.97363</v>
      </c>
      <c r="H10528" s="7"/>
    </row>
    <row r="10529" spans="1:8" x14ac:dyDescent="0.35">
      <c r="A10529" s="7" t="s">
        <v>382</v>
      </c>
      <c r="B10529" s="7" t="s">
        <v>26</v>
      </c>
      <c r="C10529" s="7" t="s">
        <v>27</v>
      </c>
      <c r="D10529" s="7" t="s">
        <v>28</v>
      </c>
      <c r="E10529" s="7" t="s">
        <v>29</v>
      </c>
      <c r="F10529" s="7" t="s">
        <v>151</v>
      </c>
      <c r="G10529" s="7">
        <v>100.0502</v>
      </c>
      <c r="H10529" s="7"/>
    </row>
    <row r="10530" spans="1:8" x14ac:dyDescent="0.35">
      <c r="A10530" s="7" t="s">
        <v>382</v>
      </c>
      <c r="B10530" s="7" t="s">
        <v>26</v>
      </c>
      <c r="C10530" s="7" t="s">
        <v>27</v>
      </c>
      <c r="D10530" s="7" t="s">
        <v>28</v>
      </c>
      <c r="E10530" s="7" t="s">
        <v>29</v>
      </c>
      <c r="F10530" s="7" t="s">
        <v>152</v>
      </c>
      <c r="G10530" s="7">
        <v>100.2081</v>
      </c>
      <c r="H10530" s="7"/>
    </row>
    <row r="10531" spans="1:8" x14ac:dyDescent="0.35">
      <c r="A10531" s="7" t="s">
        <v>382</v>
      </c>
      <c r="B10531" s="7" t="s">
        <v>26</v>
      </c>
      <c r="C10531" s="7" t="s">
        <v>27</v>
      </c>
      <c r="D10531" s="7" t="s">
        <v>28</v>
      </c>
      <c r="E10531" s="7" t="s">
        <v>29</v>
      </c>
      <c r="F10531" s="7" t="s">
        <v>153</v>
      </c>
      <c r="G10531" s="7">
        <v>100.36620000000001</v>
      </c>
      <c r="H10531" s="7"/>
    </row>
    <row r="10532" spans="1:8" x14ac:dyDescent="0.35">
      <c r="A10532" s="7" t="s">
        <v>382</v>
      </c>
      <c r="B10532" s="7" t="s">
        <v>26</v>
      </c>
      <c r="C10532" s="7" t="s">
        <v>27</v>
      </c>
      <c r="D10532" s="7" t="s">
        <v>28</v>
      </c>
      <c r="E10532" s="7" t="s">
        <v>29</v>
      </c>
      <c r="F10532" s="7" t="s">
        <v>154</v>
      </c>
      <c r="G10532" s="7">
        <v>100.491</v>
      </c>
      <c r="H10532" s="7"/>
    </row>
    <row r="10533" spans="1:8" x14ac:dyDescent="0.35">
      <c r="A10533" s="7" t="s">
        <v>382</v>
      </c>
      <c r="B10533" s="7" t="s">
        <v>26</v>
      </c>
      <c r="C10533" s="7" t="s">
        <v>27</v>
      </c>
      <c r="D10533" s="7" t="s">
        <v>28</v>
      </c>
      <c r="E10533" s="7" t="s">
        <v>29</v>
      </c>
      <c r="F10533" s="7" t="s">
        <v>155</v>
      </c>
      <c r="G10533" s="7">
        <v>100.5667</v>
      </c>
      <c r="H10533" s="7"/>
    </row>
    <row r="10534" spans="1:8" x14ac:dyDescent="0.35">
      <c r="A10534" s="7" t="s">
        <v>382</v>
      </c>
      <c r="B10534" s="7" t="s">
        <v>26</v>
      </c>
      <c r="C10534" s="7" t="s">
        <v>27</v>
      </c>
      <c r="D10534" s="7" t="s">
        <v>28</v>
      </c>
      <c r="E10534" s="7" t="s">
        <v>29</v>
      </c>
      <c r="F10534" s="7" t="s">
        <v>156</v>
      </c>
      <c r="G10534" s="7">
        <v>100.61450000000001</v>
      </c>
      <c r="H10534" s="7"/>
    </row>
    <row r="10535" spans="1:8" x14ac:dyDescent="0.35">
      <c r="A10535" s="7" t="s">
        <v>382</v>
      </c>
      <c r="B10535" s="7" t="s">
        <v>26</v>
      </c>
      <c r="C10535" s="7" t="s">
        <v>27</v>
      </c>
      <c r="D10535" s="7" t="s">
        <v>28</v>
      </c>
      <c r="E10535" s="7" t="s">
        <v>29</v>
      </c>
      <c r="F10535" s="7" t="s">
        <v>157</v>
      </c>
      <c r="G10535" s="7">
        <v>100.5527</v>
      </c>
      <c r="H10535" s="7"/>
    </row>
    <row r="10536" spans="1:8" x14ac:dyDescent="0.35">
      <c r="A10536" s="7" t="s">
        <v>382</v>
      </c>
      <c r="B10536" s="7" t="s">
        <v>26</v>
      </c>
      <c r="C10536" s="7" t="s">
        <v>27</v>
      </c>
      <c r="D10536" s="7" t="s">
        <v>28</v>
      </c>
      <c r="E10536" s="7" t="s">
        <v>29</v>
      </c>
      <c r="F10536" s="7" t="s">
        <v>158</v>
      </c>
      <c r="G10536" s="7">
        <v>100.4045</v>
      </c>
      <c r="H10536" s="7"/>
    </row>
    <row r="10537" spans="1:8" x14ac:dyDescent="0.35">
      <c r="A10537" s="7" t="s">
        <v>382</v>
      </c>
      <c r="B10537" s="7" t="s">
        <v>26</v>
      </c>
      <c r="C10537" s="7" t="s">
        <v>27</v>
      </c>
      <c r="D10537" s="7" t="s">
        <v>28</v>
      </c>
      <c r="E10537" s="7" t="s">
        <v>29</v>
      </c>
      <c r="F10537" s="7" t="s">
        <v>159</v>
      </c>
      <c r="G10537" s="7">
        <v>100.2486</v>
      </c>
      <c r="H10537" s="7"/>
    </row>
    <row r="10538" spans="1:8" x14ac:dyDescent="0.35">
      <c r="A10538" s="7" t="s">
        <v>382</v>
      </c>
      <c r="B10538" s="7" t="s">
        <v>26</v>
      </c>
      <c r="C10538" s="7" t="s">
        <v>27</v>
      </c>
      <c r="D10538" s="7" t="s">
        <v>28</v>
      </c>
      <c r="E10538" s="7" t="s">
        <v>29</v>
      </c>
      <c r="F10538" s="7" t="s">
        <v>160</v>
      </c>
      <c r="G10538" s="7">
        <v>100.0947</v>
      </c>
      <c r="H10538" s="7"/>
    </row>
    <row r="10539" spans="1:8" x14ac:dyDescent="0.35">
      <c r="A10539" s="7" t="s">
        <v>382</v>
      </c>
      <c r="B10539" s="7" t="s">
        <v>26</v>
      </c>
      <c r="C10539" s="7" t="s">
        <v>27</v>
      </c>
      <c r="D10539" s="7" t="s">
        <v>28</v>
      </c>
      <c r="E10539" s="7" t="s">
        <v>29</v>
      </c>
      <c r="F10539" s="7" t="s">
        <v>161</v>
      </c>
      <c r="G10539" s="7">
        <v>99.816230000000004</v>
      </c>
      <c r="H10539" s="7"/>
    </row>
    <row r="10540" spans="1:8" x14ac:dyDescent="0.35">
      <c r="A10540" s="7" t="s">
        <v>382</v>
      </c>
      <c r="B10540" s="7" t="s">
        <v>26</v>
      </c>
      <c r="C10540" s="7" t="s">
        <v>27</v>
      </c>
      <c r="D10540" s="7" t="s">
        <v>28</v>
      </c>
      <c r="E10540" s="7" t="s">
        <v>29</v>
      </c>
      <c r="F10540" s="7" t="s">
        <v>162</v>
      </c>
      <c r="G10540" s="7">
        <v>99.495739999999998</v>
      </c>
      <c r="H10540" s="7"/>
    </row>
    <row r="10541" spans="1:8" x14ac:dyDescent="0.35">
      <c r="A10541" s="7" t="s">
        <v>382</v>
      </c>
      <c r="B10541" s="7" t="s">
        <v>26</v>
      </c>
      <c r="C10541" s="7" t="s">
        <v>27</v>
      </c>
      <c r="D10541" s="7" t="s">
        <v>28</v>
      </c>
      <c r="E10541" s="7" t="s">
        <v>29</v>
      </c>
      <c r="F10541" s="7" t="s">
        <v>163</v>
      </c>
      <c r="G10541" s="7">
        <v>99.191720000000004</v>
      </c>
      <c r="H10541" s="7"/>
    </row>
    <row r="10542" spans="1:8" x14ac:dyDescent="0.35">
      <c r="A10542" s="7" t="s">
        <v>382</v>
      </c>
      <c r="B10542" s="7" t="s">
        <v>26</v>
      </c>
      <c r="C10542" s="7" t="s">
        <v>27</v>
      </c>
      <c r="D10542" s="7" t="s">
        <v>28</v>
      </c>
      <c r="E10542" s="7" t="s">
        <v>29</v>
      </c>
      <c r="F10542" s="7" t="s">
        <v>164</v>
      </c>
      <c r="G10542" s="7">
        <v>98.971310000000003</v>
      </c>
      <c r="H10542" s="7"/>
    </row>
    <row r="10543" spans="1:8" x14ac:dyDescent="0.35">
      <c r="A10543" s="7" t="s">
        <v>382</v>
      </c>
      <c r="B10543" s="7" t="s">
        <v>26</v>
      </c>
      <c r="C10543" s="7" t="s">
        <v>27</v>
      </c>
      <c r="D10543" s="7" t="s">
        <v>28</v>
      </c>
      <c r="E10543" s="7" t="s">
        <v>29</v>
      </c>
      <c r="F10543" s="7" t="s">
        <v>165</v>
      </c>
      <c r="G10543" s="7">
        <v>98.798479999999998</v>
      </c>
      <c r="H10543" s="7"/>
    </row>
    <row r="10544" spans="1:8" x14ac:dyDescent="0.35">
      <c r="A10544" s="7" t="s">
        <v>382</v>
      </c>
      <c r="B10544" s="7" t="s">
        <v>26</v>
      </c>
      <c r="C10544" s="7" t="s">
        <v>27</v>
      </c>
      <c r="D10544" s="7" t="s">
        <v>28</v>
      </c>
      <c r="E10544" s="7" t="s">
        <v>29</v>
      </c>
      <c r="F10544" s="7" t="s">
        <v>166</v>
      </c>
      <c r="G10544" s="7">
        <v>98.72251</v>
      </c>
      <c r="H10544" s="7"/>
    </row>
    <row r="10545" spans="1:8" x14ac:dyDescent="0.35">
      <c r="A10545" s="7" t="s">
        <v>382</v>
      </c>
      <c r="B10545" s="7" t="s">
        <v>26</v>
      </c>
      <c r="C10545" s="7" t="s">
        <v>27</v>
      </c>
      <c r="D10545" s="7" t="s">
        <v>28</v>
      </c>
      <c r="E10545" s="7" t="s">
        <v>29</v>
      </c>
      <c r="F10545" s="7" t="s">
        <v>167</v>
      </c>
      <c r="G10545" s="7">
        <v>98.794920000000005</v>
      </c>
      <c r="H10545" s="7"/>
    </row>
    <row r="10546" spans="1:8" x14ac:dyDescent="0.35">
      <c r="A10546" s="7" t="s">
        <v>382</v>
      </c>
      <c r="B10546" s="7" t="s">
        <v>26</v>
      </c>
      <c r="C10546" s="7" t="s">
        <v>27</v>
      </c>
      <c r="D10546" s="7" t="s">
        <v>28</v>
      </c>
      <c r="E10546" s="7" t="s">
        <v>29</v>
      </c>
      <c r="F10546" s="7" t="s">
        <v>168</v>
      </c>
      <c r="G10546" s="7">
        <v>98.905590000000004</v>
      </c>
      <c r="H10546" s="7"/>
    </row>
    <row r="10547" spans="1:8" x14ac:dyDescent="0.35">
      <c r="A10547" s="7" t="s">
        <v>382</v>
      </c>
      <c r="B10547" s="7" t="s">
        <v>26</v>
      </c>
      <c r="C10547" s="7" t="s">
        <v>27</v>
      </c>
      <c r="D10547" s="7" t="s">
        <v>28</v>
      </c>
      <c r="E10547" s="7" t="s">
        <v>29</v>
      </c>
      <c r="F10547" s="7" t="s">
        <v>169</v>
      </c>
      <c r="G10547" s="7">
        <v>99.014150000000001</v>
      </c>
      <c r="H10547" s="7"/>
    </row>
    <row r="10548" spans="1:8" x14ac:dyDescent="0.35">
      <c r="A10548" s="7" t="s">
        <v>382</v>
      </c>
      <c r="B10548" s="7" t="s">
        <v>26</v>
      </c>
      <c r="C10548" s="7" t="s">
        <v>27</v>
      </c>
      <c r="D10548" s="7" t="s">
        <v>28</v>
      </c>
      <c r="E10548" s="7" t="s">
        <v>29</v>
      </c>
      <c r="F10548" s="7" t="s">
        <v>170</v>
      </c>
      <c r="G10548" s="7">
        <v>99.087339999999998</v>
      </c>
      <c r="H10548" s="7"/>
    </row>
    <row r="10549" spans="1:8" x14ac:dyDescent="0.35">
      <c r="A10549" s="7" t="s">
        <v>382</v>
      </c>
      <c r="B10549" s="7" t="s">
        <v>26</v>
      </c>
      <c r="C10549" s="7" t="s">
        <v>27</v>
      </c>
      <c r="D10549" s="7" t="s">
        <v>28</v>
      </c>
      <c r="E10549" s="7" t="s">
        <v>29</v>
      </c>
      <c r="F10549" s="7" t="s">
        <v>171</v>
      </c>
      <c r="G10549" s="7">
        <v>99.150310000000005</v>
      </c>
      <c r="H10549" s="7"/>
    </row>
    <row r="10550" spans="1:8" x14ac:dyDescent="0.35">
      <c r="A10550" s="7" t="s">
        <v>382</v>
      </c>
      <c r="B10550" s="7" t="s">
        <v>26</v>
      </c>
      <c r="C10550" s="7" t="s">
        <v>27</v>
      </c>
      <c r="D10550" s="7" t="s">
        <v>28</v>
      </c>
      <c r="E10550" s="7" t="s">
        <v>29</v>
      </c>
      <c r="F10550" s="7" t="s">
        <v>172</v>
      </c>
      <c r="G10550" s="7">
        <v>99.181470000000004</v>
      </c>
      <c r="H10550" s="7"/>
    </row>
    <row r="10551" spans="1:8" x14ac:dyDescent="0.35">
      <c r="A10551" s="7" t="s">
        <v>382</v>
      </c>
      <c r="B10551" s="7" t="s">
        <v>26</v>
      </c>
      <c r="C10551" s="7" t="s">
        <v>27</v>
      </c>
      <c r="D10551" s="7" t="s">
        <v>28</v>
      </c>
      <c r="E10551" s="7" t="s">
        <v>29</v>
      </c>
      <c r="F10551" s="7" t="s">
        <v>173</v>
      </c>
      <c r="G10551" s="7">
        <v>99.193449999999999</v>
      </c>
      <c r="H10551" s="7"/>
    </row>
    <row r="10552" spans="1:8" x14ac:dyDescent="0.35">
      <c r="A10552" s="7" t="s">
        <v>382</v>
      </c>
      <c r="B10552" s="7" t="s">
        <v>26</v>
      </c>
      <c r="C10552" s="7" t="s">
        <v>27</v>
      </c>
      <c r="D10552" s="7" t="s">
        <v>28</v>
      </c>
      <c r="E10552" s="7" t="s">
        <v>29</v>
      </c>
      <c r="F10552" s="7" t="s">
        <v>174</v>
      </c>
      <c r="G10552" s="7">
        <v>99.24991</v>
      </c>
      <c r="H10552" s="7"/>
    </row>
    <row r="10553" spans="1:8" x14ac:dyDescent="0.35">
      <c r="A10553" s="7" t="s">
        <v>382</v>
      </c>
      <c r="B10553" s="7" t="s">
        <v>26</v>
      </c>
      <c r="C10553" s="7" t="s">
        <v>27</v>
      </c>
      <c r="D10553" s="7" t="s">
        <v>28</v>
      </c>
      <c r="E10553" s="7" t="s">
        <v>29</v>
      </c>
      <c r="F10553" s="7" t="s">
        <v>175</v>
      </c>
      <c r="G10553" s="7">
        <v>99.325640000000007</v>
      </c>
      <c r="H10553" s="7"/>
    </row>
    <row r="10554" spans="1:8" x14ac:dyDescent="0.35">
      <c r="A10554" s="7" t="s">
        <v>382</v>
      </c>
      <c r="B10554" s="7" t="s">
        <v>26</v>
      </c>
      <c r="C10554" s="7" t="s">
        <v>27</v>
      </c>
      <c r="D10554" s="7" t="s">
        <v>28</v>
      </c>
      <c r="E10554" s="7" t="s">
        <v>29</v>
      </c>
      <c r="F10554" s="7" t="s">
        <v>176</v>
      </c>
      <c r="G10554" s="7">
        <v>99.441959999999995</v>
      </c>
      <c r="H10554" s="7"/>
    </row>
    <row r="10555" spans="1:8" x14ac:dyDescent="0.35">
      <c r="A10555" s="7" t="s">
        <v>382</v>
      </c>
      <c r="B10555" s="7" t="s">
        <v>26</v>
      </c>
      <c r="C10555" s="7" t="s">
        <v>27</v>
      </c>
      <c r="D10555" s="7" t="s">
        <v>28</v>
      </c>
      <c r="E10555" s="7" t="s">
        <v>29</v>
      </c>
      <c r="F10555" s="7" t="s">
        <v>177</v>
      </c>
      <c r="G10555" s="7">
        <v>99.543049999999994</v>
      </c>
      <c r="H10555" s="7"/>
    </row>
    <row r="10556" spans="1:8" x14ac:dyDescent="0.35">
      <c r="A10556" s="7" t="s">
        <v>382</v>
      </c>
      <c r="B10556" s="7" t="s">
        <v>26</v>
      </c>
      <c r="C10556" s="7" t="s">
        <v>27</v>
      </c>
      <c r="D10556" s="7" t="s">
        <v>28</v>
      </c>
      <c r="E10556" s="7" t="s">
        <v>29</v>
      </c>
      <c r="F10556" s="7" t="s">
        <v>178</v>
      </c>
      <c r="G10556" s="7">
        <v>99.619489999999999</v>
      </c>
      <c r="H10556" s="7"/>
    </row>
    <row r="10557" spans="1:8" x14ac:dyDescent="0.35">
      <c r="A10557" s="7" t="s">
        <v>382</v>
      </c>
      <c r="B10557" s="7" t="s">
        <v>26</v>
      </c>
      <c r="C10557" s="7" t="s">
        <v>27</v>
      </c>
      <c r="D10557" s="7" t="s">
        <v>28</v>
      </c>
      <c r="E10557" s="7" t="s">
        <v>29</v>
      </c>
      <c r="F10557" s="7" t="s">
        <v>179</v>
      </c>
      <c r="G10557" s="7">
        <v>99.65513</v>
      </c>
      <c r="H10557" s="7"/>
    </row>
    <row r="10558" spans="1:8" x14ac:dyDescent="0.35">
      <c r="A10558" s="7" t="s">
        <v>382</v>
      </c>
      <c r="B10558" s="7" t="s">
        <v>26</v>
      </c>
      <c r="C10558" s="7" t="s">
        <v>27</v>
      </c>
      <c r="D10558" s="7" t="s">
        <v>28</v>
      </c>
      <c r="E10558" s="7" t="s">
        <v>29</v>
      </c>
      <c r="F10558" s="7" t="s">
        <v>180</v>
      </c>
      <c r="G10558" s="7">
        <v>99.646590000000003</v>
      </c>
      <c r="H10558" s="7"/>
    </row>
    <row r="10559" spans="1:8" x14ac:dyDescent="0.35">
      <c r="A10559" s="7" t="s">
        <v>382</v>
      </c>
      <c r="B10559" s="7" t="s">
        <v>26</v>
      </c>
      <c r="C10559" s="7" t="s">
        <v>27</v>
      </c>
      <c r="D10559" s="7" t="s">
        <v>28</v>
      </c>
      <c r="E10559" s="7" t="s">
        <v>29</v>
      </c>
      <c r="F10559" s="7" t="s">
        <v>181</v>
      </c>
      <c r="G10559" s="7">
        <v>99.663600000000002</v>
      </c>
      <c r="H10559" s="7"/>
    </row>
    <row r="10560" spans="1:8" x14ac:dyDescent="0.35">
      <c r="A10560" s="7" t="s">
        <v>382</v>
      </c>
      <c r="B10560" s="7" t="s">
        <v>26</v>
      </c>
      <c r="C10560" s="7" t="s">
        <v>27</v>
      </c>
      <c r="D10560" s="7" t="s">
        <v>28</v>
      </c>
      <c r="E10560" s="7" t="s">
        <v>29</v>
      </c>
      <c r="F10560" s="7" t="s">
        <v>182</v>
      </c>
      <c r="G10560" s="7">
        <v>99.665660000000003</v>
      </c>
      <c r="H10560" s="7"/>
    </row>
    <row r="10561" spans="1:8" x14ac:dyDescent="0.35">
      <c r="A10561" s="7" t="s">
        <v>382</v>
      </c>
      <c r="B10561" s="7" t="s">
        <v>26</v>
      </c>
      <c r="C10561" s="7" t="s">
        <v>27</v>
      </c>
      <c r="D10561" s="7" t="s">
        <v>28</v>
      </c>
      <c r="E10561" s="7" t="s">
        <v>29</v>
      </c>
      <c r="F10561" s="7" t="s">
        <v>183</v>
      </c>
      <c r="G10561" s="7">
        <v>99.676829999999995</v>
      </c>
      <c r="H10561" s="7"/>
    </row>
    <row r="10562" spans="1:8" x14ac:dyDescent="0.35">
      <c r="A10562" s="7" t="s">
        <v>382</v>
      </c>
      <c r="B10562" s="7" t="s">
        <v>26</v>
      </c>
      <c r="C10562" s="7" t="s">
        <v>27</v>
      </c>
      <c r="D10562" s="7" t="s">
        <v>28</v>
      </c>
      <c r="E10562" s="7" t="s">
        <v>29</v>
      </c>
      <c r="F10562" s="7" t="s">
        <v>184</v>
      </c>
      <c r="G10562" s="7">
        <v>99.687820000000002</v>
      </c>
      <c r="H10562" s="7"/>
    </row>
    <row r="10563" spans="1:8" x14ac:dyDescent="0.35">
      <c r="A10563" s="7" t="s">
        <v>382</v>
      </c>
      <c r="B10563" s="7" t="s">
        <v>26</v>
      </c>
      <c r="C10563" s="7" t="s">
        <v>27</v>
      </c>
      <c r="D10563" s="7" t="s">
        <v>28</v>
      </c>
      <c r="E10563" s="7" t="s">
        <v>29</v>
      </c>
      <c r="F10563" s="7" t="s">
        <v>185</v>
      </c>
      <c r="G10563" s="7">
        <v>99.660799999999995</v>
      </c>
      <c r="H10563" s="7"/>
    </row>
    <row r="10564" spans="1:8" x14ac:dyDescent="0.35">
      <c r="A10564" s="7" t="s">
        <v>382</v>
      </c>
      <c r="B10564" s="7" t="s">
        <v>26</v>
      </c>
      <c r="C10564" s="7" t="s">
        <v>27</v>
      </c>
      <c r="D10564" s="7" t="s">
        <v>28</v>
      </c>
      <c r="E10564" s="7" t="s">
        <v>29</v>
      </c>
      <c r="F10564" s="7" t="s">
        <v>186</v>
      </c>
      <c r="G10564" s="7">
        <v>99.662310000000005</v>
      </c>
      <c r="H10564" s="7"/>
    </row>
    <row r="10565" spans="1:8" x14ac:dyDescent="0.35">
      <c r="A10565" s="7" t="s">
        <v>382</v>
      </c>
      <c r="B10565" s="7" t="s">
        <v>26</v>
      </c>
      <c r="C10565" s="7" t="s">
        <v>27</v>
      </c>
      <c r="D10565" s="7" t="s">
        <v>28</v>
      </c>
      <c r="E10565" s="7" t="s">
        <v>29</v>
      </c>
      <c r="F10565" s="7" t="s">
        <v>187</v>
      </c>
      <c r="G10565" s="7">
        <v>99.682370000000006</v>
      </c>
      <c r="H10565" s="7"/>
    </row>
    <row r="10566" spans="1:8" x14ac:dyDescent="0.35">
      <c r="A10566" s="7" t="s">
        <v>382</v>
      </c>
      <c r="B10566" s="7" t="s">
        <v>26</v>
      </c>
      <c r="C10566" s="7" t="s">
        <v>27</v>
      </c>
      <c r="D10566" s="7" t="s">
        <v>28</v>
      </c>
      <c r="E10566" s="7" t="s">
        <v>29</v>
      </c>
      <c r="F10566" s="7" t="s">
        <v>188</v>
      </c>
      <c r="G10566" s="7">
        <v>99.712950000000006</v>
      </c>
      <c r="H10566" s="7"/>
    </row>
    <row r="10567" spans="1:8" x14ac:dyDescent="0.35">
      <c r="A10567" s="7" t="s">
        <v>382</v>
      </c>
      <c r="B10567" s="7" t="s">
        <v>26</v>
      </c>
      <c r="C10567" s="7" t="s">
        <v>27</v>
      </c>
      <c r="D10567" s="7" t="s">
        <v>28</v>
      </c>
      <c r="E10567" s="7" t="s">
        <v>29</v>
      </c>
      <c r="F10567" s="7" t="s">
        <v>189</v>
      </c>
      <c r="G10567" s="7">
        <v>99.695970000000003</v>
      </c>
      <c r="H10567" s="7"/>
    </row>
    <row r="10568" spans="1:8" x14ac:dyDescent="0.35">
      <c r="A10568" s="7" t="s">
        <v>382</v>
      </c>
      <c r="B10568" s="7" t="s">
        <v>26</v>
      </c>
      <c r="C10568" s="7" t="s">
        <v>27</v>
      </c>
      <c r="D10568" s="7" t="s">
        <v>28</v>
      </c>
      <c r="E10568" s="7" t="s">
        <v>29</v>
      </c>
      <c r="F10568" s="7" t="s">
        <v>190</v>
      </c>
      <c r="G10568" s="7">
        <v>99.684520000000006</v>
      </c>
      <c r="H10568" s="7"/>
    </row>
    <row r="10569" spans="1:8" x14ac:dyDescent="0.35">
      <c r="A10569" s="7" t="s">
        <v>382</v>
      </c>
      <c r="B10569" s="7" t="s">
        <v>26</v>
      </c>
      <c r="C10569" s="7" t="s">
        <v>27</v>
      </c>
      <c r="D10569" s="7" t="s">
        <v>28</v>
      </c>
      <c r="E10569" s="7" t="s">
        <v>29</v>
      </c>
      <c r="F10569" s="7" t="s">
        <v>191</v>
      </c>
      <c r="G10569" s="7">
        <v>99.684030000000007</v>
      </c>
      <c r="H10569" s="7"/>
    </row>
    <row r="10570" spans="1:8" x14ac:dyDescent="0.35">
      <c r="A10570" s="7" t="s">
        <v>382</v>
      </c>
      <c r="B10570" s="7" t="s">
        <v>26</v>
      </c>
      <c r="C10570" s="7" t="s">
        <v>27</v>
      </c>
      <c r="D10570" s="7" t="s">
        <v>28</v>
      </c>
      <c r="E10570" s="7" t="s">
        <v>29</v>
      </c>
      <c r="F10570" s="7" t="s">
        <v>192</v>
      </c>
      <c r="G10570" s="7">
        <v>99.631690000000006</v>
      </c>
      <c r="H10570" s="7"/>
    </row>
    <row r="10571" spans="1:8" x14ac:dyDescent="0.35">
      <c r="A10571" s="7" t="s">
        <v>382</v>
      </c>
      <c r="B10571" s="7" t="s">
        <v>26</v>
      </c>
      <c r="C10571" s="7" t="s">
        <v>27</v>
      </c>
      <c r="D10571" s="7" t="s">
        <v>28</v>
      </c>
      <c r="E10571" s="7" t="s">
        <v>29</v>
      </c>
      <c r="F10571" s="7" t="s">
        <v>193</v>
      </c>
      <c r="G10571" s="7">
        <v>99.572850000000003</v>
      </c>
      <c r="H10571" s="7"/>
    </row>
    <row r="10572" spans="1:8" x14ac:dyDescent="0.35">
      <c r="A10572" s="7" t="s">
        <v>382</v>
      </c>
      <c r="B10572" s="7" t="s">
        <v>26</v>
      </c>
      <c r="C10572" s="7" t="s">
        <v>27</v>
      </c>
      <c r="D10572" s="7" t="s">
        <v>28</v>
      </c>
      <c r="E10572" s="7" t="s">
        <v>29</v>
      </c>
      <c r="F10572" s="7" t="s">
        <v>194</v>
      </c>
      <c r="G10572" s="7">
        <v>99.537450000000007</v>
      </c>
      <c r="H10572" s="7"/>
    </row>
    <row r="10573" spans="1:8" x14ac:dyDescent="0.35">
      <c r="A10573" s="7" t="s">
        <v>382</v>
      </c>
      <c r="B10573" s="7" t="s">
        <v>26</v>
      </c>
      <c r="C10573" s="7" t="s">
        <v>27</v>
      </c>
      <c r="D10573" s="7" t="s">
        <v>28</v>
      </c>
      <c r="E10573" s="7" t="s">
        <v>29</v>
      </c>
      <c r="F10573" s="7" t="s">
        <v>195</v>
      </c>
      <c r="G10573" s="7">
        <v>99.550889999999995</v>
      </c>
      <c r="H10573" s="7"/>
    </row>
    <row r="10574" spans="1:8" x14ac:dyDescent="0.35">
      <c r="A10574" s="7" t="s">
        <v>382</v>
      </c>
      <c r="B10574" s="7" t="s">
        <v>26</v>
      </c>
      <c r="C10574" s="7" t="s">
        <v>27</v>
      </c>
      <c r="D10574" s="7" t="s">
        <v>28</v>
      </c>
      <c r="E10574" s="7" t="s">
        <v>29</v>
      </c>
      <c r="F10574" s="7" t="s">
        <v>196</v>
      </c>
      <c r="G10574" s="7">
        <v>99.605500000000006</v>
      </c>
      <c r="H10574" s="7"/>
    </row>
    <row r="10575" spans="1:8" x14ac:dyDescent="0.35">
      <c r="A10575" s="7" t="s">
        <v>382</v>
      </c>
      <c r="B10575" s="7" t="s">
        <v>26</v>
      </c>
      <c r="C10575" s="7" t="s">
        <v>27</v>
      </c>
      <c r="D10575" s="7" t="s">
        <v>28</v>
      </c>
      <c r="E10575" s="7" t="s">
        <v>29</v>
      </c>
      <c r="F10575" s="7" t="s">
        <v>197</v>
      </c>
      <c r="G10575" s="7">
        <v>99.695009999999996</v>
      </c>
      <c r="H10575" s="7"/>
    </row>
    <row r="10576" spans="1:8" x14ac:dyDescent="0.35">
      <c r="A10576" s="7" t="s">
        <v>382</v>
      </c>
      <c r="B10576" s="7" t="s">
        <v>26</v>
      </c>
      <c r="C10576" s="7" t="s">
        <v>27</v>
      </c>
      <c r="D10576" s="7" t="s">
        <v>28</v>
      </c>
      <c r="E10576" s="7" t="s">
        <v>29</v>
      </c>
      <c r="F10576" s="7" t="s">
        <v>198</v>
      </c>
      <c r="G10576" s="7">
        <v>99.807990000000004</v>
      </c>
      <c r="H10576" s="7"/>
    </row>
    <row r="10577" spans="1:8" x14ac:dyDescent="0.35">
      <c r="A10577" s="7" t="s">
        <v>382</v>
      </c>
      <c r="B10577" s="7" t="s">
        <v>26</v>
      </c>
      <c r="C10577" s="7" t="s">
        <v>27</v>
      </c>
      <c r="D10577" s="7" t="s">
        <v>28</v>
      </c>
      <c r="E10577" s="7" t="s">
        <v>29</v>
      </c>
      <c r="F10577" s="7" t="s">
        <v>199</v>
      </c>
      <c r="G10577" s="7">
        <v>99.966189999999997</v>
      </c>
      <c r="H10577" s="7"/>
    </row>
    <row r="10578" spans="1:8" x14ac:dyDescent="0.35">
      <c r="A10578" s="7" t="s">
        <v>382</v>
      </c>
      <c r="B10578" s="7" t="s">
        <v>26</v>
      </c>
      <c r="C10578" s="7" t="s">
        <v>27</v>
      </c>
      <c r="D10578" s="7" t="s">
        <v>28</v>
      </c>
      <c r="E10578" s="7" t="s">
        <v>29</v>
      </c>
      <c r="F10578" s="7" t="s">
        <v>200</v>
      </c>
      <c r="G10578" s="7">
        <v>100.0796</v>
      </c>
      <c r="H10578" s="7"/>
    </row>
    <row r="10579" spans="1:8" x14ac:dyDescent="0.35">
      <c r="A10579" s="7" t="s">
        <v>382</v>
      </c>
      <c r="B10579" s="7" t="s">
        <v>26</v>
      </c>
      <c r="C10579" s="7" t="s">
        <v>27</v>
      </c>
      <c r="D10579" s="7" t="s">
        <v>28</v>
      </c>
      <c r="E10579" s="7" t="s">
        <v>29</v>
      </c>
      <c r="F10579" s="7" t="s">
        <v>201</v>
      </c>
      <c r="G10579" s="7">
        <v>100.1241</v>
      </c>
      <c r="H10579" s="7"/>
    </row>
    <row r="10580" spans="1:8" x14ac:dyDescent="0.35">
      <c r="A10580" s="7" t="s">
        <v>382</v>
      </c>
      <c r="B10580" s="7" t="s">
        <v>26</v>
      </c>
      <c r="C10580" s="7" t="s">
        <v>27</v>
      </c>
      <c r="D10580" s="7" t="s">
        <v>28</v>
      </c>
      <c r="E10580" s="7" t="s">
        <v>29</v>
      </c>
      <c r="F10580" s="7" t="s">
        <v>202</v>
      </c>
      <c r="G10580" s="7">
        <v>100.1561</v>
      </c>
      <c r="H10580" s="7"/>
    </row>
    <row r="10581" spans="1:8" x14ac:dyDescent="0.35">
      <c r="A10581" s="7" t="s">
        <v>382</v>
      </c>
      <c r="B10581" s="7" t="s">
        <v>26</v>
      </c>
      <c r="C10581" s="7" t="s">
        <v>27</v>
      </c>
      <c r="D10581" s="7" t="s">
        <v>28</v>
      </c>
      <c r="E10581" s="7" t="s">
        <v>29</v>
      </c>
      <c r="F10581" s="7" t="s">
        <v>203</v>
      </c>
      <c r="G10581" s="7">
        <v>100.25149999999999</v>
      </c>
      <c r="H10581" s="7"/>
    </row>
    <row r="10582" spans="1:8" x14ac:dyDescent="0.35">
      <c r="A10582" s="7" t="s">
        <v>382</v>
      </c>
      <c r="B10582" s="7" t="s">
        <v>26</v>
      </c>
      <c r="C10582" s="7" t="s">
        <v>27</v>
      </c>
      <c r="D10582" s="7" t="s">
        <v>28</v>
      </c>
      <c r="E10582" s="7" t="s">
        <v>29</v>
      </c>
      <c r="F10582" s="7" t="s">
        <v>204</v>
      </c>
      <c r="G10582" s="7">
        <v>100.3785</v>
      </c>
      <c r="H10582" s="7"/>
    </row>
    <row r="10583" spans="1:8" x14ac:dyDescent="0.35">
      <c r="A10583" s="7" t="s">
        <v>382</v>
      </c>
      <c r="B10583" s="7" t="s">
        <v>26</v>
      </c>
      <c r="C10583" s="7" t="s">
        <v>27</v>
      </c>
      <c r="D10583" s="7" t="s">
        <v>28</v>
      </c>
      <c r="E10583" s="7" t="s">
        <v>29</v>
      </c>
      <c r="F10583" s="7" t="s">
        <v>205</v>
      </c>
      <c r="G10583" s="7">
        <v>100.4618</v>
      </c>
      <c r="H10583" s="7"/>
    </row>
    <row r="10584" spans="1:8" x14ac:dyDescent="0.35">
      <c r="A10584" s="7" t="s">
        <v>382</v>
      </c>
      <c r="B10584" s="7" t="s">
        <v>26</v>
      </c>
      <c r="C10584" s="7" t="s">
        <v>27</v>
      </c>
      <c r="D10584" s="7" t="s">
        <v>28</v>
      </c>
      <c r="E10584" s="7" t="s">
        <v>29</v>
      </c>
      <c r="F10584" s="7" t="s">
        <v>206</v>
      </c>
      <c r="G10584" s="7">
        <v>100.51130000000001</v>
      </c>
      <c r="H10584" s="7"/>
    </row>
    <row r="10585" spans="1:8" x14ac:dyDescent="0.35">
      <c r="A10585" s="7" t="s">
        <v>382</v>
      </c>
      <c r="B10585" s="7" t="s">
        <v>26</v>
      </c>
      <c r="C10585" s="7" t="s">
        <v>27</v>
      </c>
      <c r="D10585" s="7" t="s">
        <v>28</v>
      </c>
      <c r="E10585" s="7" t="s">
        <v>29</v>
      </c>
      <c r="F10585" s="7" t="s">
        <v>207</v>
      </c>
      <c r="G10585" s="7">
        <v>100.5231</v>
      </c>
      <c r="H10585" s="7"/>
    </row>
    <row r="10586" spans="1:8" x14ac:dyDescent="0.35">
      <c r="A10586" s="7" t="s">
        <v>382</v>
      </c>
      <c r="B10586" s="7" t="s">
        <v>26</v>
      </c>
      <c r="C10586" s="7" t="s">
        <v>27</v>
      </c>
      <c r="D10586" s="7" t="s">
        <v>28</v>
      </c>
      <c r="E10586" s="7" t="s">
        <v>29</v>
      </c>
      <c r="F10586" s="7" t="s">
        <v>208</v>
      </c>
      <c r="G10586" s="7">
        <v>100.5416</v>
      </c>
      <c r="H10586" s="7"/>
    </row>
    <row r="10587" spans="1:8" x14ac:dyDescent="0.35">
      <c r="A10587" s="7" t="s">
        <v>382</v>
      </c>
      <c r="B10587" s="7" t="s">
        <v>26</v>
      </c>
      <c r="C10587" s="7" t="s">
        <v>27</v>
      </c>
      <c r="D10587" s="7" t="s">
        <v>28</v>
      </c>
      <c r="E10587" s="7" t="s">
        <v>29</v>
      </c>
      <c r="F10587" s="7" t="s">
        <v>209</v>
      </c>
      <c r="G10587" s="7">
        <v>100.56829999999999</v>
      </c>
      <c r="H10587" s="7"/>
    </row>
    <row r="10588" spans="1:8" x14ac:dyDescent="0.35">
      <c r="A10588" s="7" t="s">
        <v>382</v>
      </c>
      <c r="B10588" s="7" t="s">
        <v>26</v>
      </c>
      <c r="C10588" s="7" t="s">
        <v>27</v>
      </c>
      <c r="D10588" s="7" t="s">
        <v>28</v>
      </c>
      <c r="E10588" s="7" t="s">
        <v>29</v>
      </c>
      <c r="F10588" s="7" t="s">
        <v>210</v>
      </c>
      <c r="G10588" s="7">
        <v>100.6383</v>
      </c>
      <c r="H10588" s="7"/>
    </row>
    <row r="10589" spans="1:8" x14ac:dyDescent="0.35">
      <c r="A10589" s="7" t="s">
        <v>382</v>
      </c>
      <c r="B10589" s="7" t="s">
        <v>26</v>
      </c>
      <c r="C10589" s="7" t="s">
        <v>27</v>
      </c>
      <c r="D10589" s="7" t="s">
        <v>28</v>
      </c>
      <c r="E10589" s="7" t="s">
        <v>29</v>
      </c>
      <c r="F10589" s="7" t="s">
        <v>211</v>
      </c>
      <c r="G10589" s="7">
        <v>100.7466</v>
      </c>
      <c r="H10589" s="7"/>
    </row>
    <row r="10590" spans="1:8" x14ac:dyDescent="0.35">
      <c r="A10590" s="7" t="s">
        <v>382</v>
      </c>
      <c r="B10590" s="7" t="s">
        <v>26</v>
      </c>
      <c r="C10590" s="7" t="s">
        <v>27</v>
      </c>
      <c r="D10590" s="7" t="s">
        <v>28</v>
      </c>
      <c r="E10590" s="7" t="s">
        <v>29</v>
      </c>
      <c r="F10590" s="7" t="s">
        <v>212</v>
      </c>
      <c r="G10590" s="7">
        <v>100.85760000000001</v>
      </c>
      <c r="H10590" s="7"/>
    </row>
    <row r="10591" spans="1:8" x14ac:dyDescent="0.35">
      <c r="A10591" s="7" t="s">
        <v>382</v>
      </c>
      <c r="B10591" s="7" t="s">
        <v>26</v>
      </c>
      <c r="C10591" s="7" t="s">
        <v>27</v>
      </c>
      <c r="D10591" s="7" t="s">
        <v>28</v>
      </c>
      <c r="E10591" s="7" t="s">
        <v>29</v>
      </c>
      <c r="F10591" s="7" t="s">
        <v>213</v>
      </c>
      <c r="G10591" s="7">
        <v>100.9727</v>
      </c>
      <c r="H10591" s="7"/>
    </row>
    <row r="10592" spans="1:8" x14ac:dyDescent="0.35">
      <c r="A10592" s="7" t="s">
        <v>382</v>
      </c>
      <c r="B10592" s="7" t="s">
        <v>26</v>
      </c>
      <c r="C10592" s="7" t="s">
        <v>27</v>
      </c>
      <c r="D10592" s="7" t="s">
        <v>28</v>
      </c>
      <c r="E10592" s="7" t="s">
        <v>29</v>
      </c>
      <c r="F10592" s="7" t="s">
        <v>214</v>
      </c>
      <c r="G10592" s="7">
        <v>101.0992</v>
      </c>
      <c r="H10592" s="7"/>
    </row>
    <row r="10593" spans="1:8" x14ac:dyDescent="0.35">
      <c r="A10593" s="7" t="s">
        <v>382</v>
      </c>
      <c r="B10593" s="7" t="s">
        <v>26</v>
      </c>
      <c r="C10593" s="7" t="s">
        <v>27</v>
      </c>
      <c r="D10593" s="7" t="s">
        <v>28</v>
      </c>
      <c r="E10593" s="7" t="s">
        <v>29</v>
      </c>
      <c r="F10593" s="7" t="s">
        <v>215</v>
      </c>
      <c r="G10593" s="7">
        <v>101.2792</v>
      </c>
      <c r="H10593" s="7"/>
    </row>
    <row r="10594" spans="1:8" x14ac:dyDescent="0.35">
      <c r="A10594" s="7" t="s">
        <v>382</v>
      </c>
      <c r="B10594" s="7" t="s">
        <v>26</v>
      </c>
      <c r="C10594" s="7" t="s">
        <v>27</v>
      </c>
      <c r="D10594" s="7" t="s">
        <v>28</v>
      </c>
      <c r="E10594" s="7" t="s">
        <v>29</v>
      </c>
      <c r="F10594" s="7" t="s">
        <v>216</v>
      </c>
      <c r="G10594" s="7">
        <v>101.4794</v>
      </c>
      <c r="H10594" s="7"/>
    </row>
    <row r="10595" spans="1:8" x14ac:dyDescent="0.35">
      <c r="A10595" s="7" t="s">
        <v>382</v>
      </c>
      <c r="B10595" s="7" t="s">
        <v>26</v>
      </c>
      <c r="C10595" s="7" t="s">
        <v>27</v>
      </c>
      <c r="D10595" s="7" t="s">
        <v>28</v>
      </c>
      <c r="E10595" s="7" t="s">
        <v>29</v>
      </c>
      <c r="F10595" s="7" t="s">
        <v>217</v>
      </c>
      <c r="G10595" s="7">
        <v>101.53830000000001</v>
      </c>
      <c r="H10595" s="7"/>
    </row>
    <row r="10596" spans="1:8" x14ac:dyDescent="0.35">
      <c r="A10596" s="7" t="s">
        <v>382</v>
      </c>
      <c r="B10596" s="7" t="s">
        <v>26</v>
      </c>
      <c r="C10596" s="7" t="s">
        <v>27</v>
      </c>
      <c r="D10596" s="7" t="s">
        <v>28</v>
      </c>
      <c r="E10596" s="7" t="s">
        <v>29</v>
      </c>
      <c r="F10596" s="7" t="s">
        <v>218</v>
      </c>
      <c r="G10596" s="7">
        <v>101.4465</v>
      </c>
      <c r="H10596" s="7"/>
    </row>
    <row r="10597" spans="1:8" x14ac:dyDescent="0.35">
      <c r="A10597" s="7" t="s">
        <v>382</v>
      </c>
      <c r="B10597" s="7" t="s">
        <v>26</v>
      </c>
      <c r="C10597" s="7" t="s">
        <v>27</v>
      </c>
      <c r="D10597" s="7" t="s">
        <v>28</v>
      </c>
      <c r="E10597" s="7" t="s">
        <v>29</v>
      </c>
      <c r="F10597" s="7" t="s">
        <v>219</v>
      </c>
      <c r="G10597" s="7">
        <v>101.2075</v>
      </c>
      <c r="H10597" s="7"/>
    </row>
    <row r="10598" spans="1:8" x14ac:dyDescent="0.35">
      <c r="A10598" s="7" t="s">
        <v>382</v>
      </c>
      <c r="B10598" s="7" t="s">
        <v>26</v>
      </c>
      <c r="C10598" s="7" t="s">
        <v>27</v>
      </c>
      <c r="D10598" s="7" t="s">
        <v>28</v>
      </c>
      <c r="E10598" s="7" t="s">
        <v>29</v>
      </c>
      <c r="F10598" s="7" t="s">
        <v>220</v>
      </c>
      <c r="G10598" s="7">
        <v>100.9297</v>
      </c>
      <c r="H10598" s="7"/>
    </row>
    <row r="10599" spans="1:8" x14ac:dyDescent="0.35">
      <c r="A10599" s="7" t="s">
        <v>382</v>
      </c>
      <c r="B10599" s="7" t="s">
        <v>26</v>
      </c>
      <c r="C10599" s="7" t="s">
        <v>27</v>
      </c>
      <c r="D10599" s="7" t="s">
        <v>28</v>
      </c>
      <c r="E10599" s="7" t="s">
        <v>29</v>
      </c>
      <c r="F10599" s="7" t="s">
        <v>221</v>
      </c>
      <c r="G10599" s="7">
        <v>100.6811</v>
      </c>
      <c r="H10599" s="7"/>
    </row>
    <row r="10600" spans="1:8" x14ac:dyDescent="0.35">
      <c r="A10600" s="7" t="s">
        <v>382</v>
      </c>
      <c r="B10600" s="7" t="s">
        <v>26</v>
      </c>
      <c r="C10600" s="7" t="s">
        <v>27</v>
      </c>
      <c r="D10600" s="7" t="s">
        <v>28</v>
      </c>
      <c r="E10600" s="7" t="s">
        <v>29</v>
      </c>
      <c r="F10600" s="7" t="s">
        <v>222</v>
      </c>
      <c r="G10600" s="7">
        <v>100.4477</v>
      </c>
      <c r="H10600" s="7"/>
    </row>
    <row r="10601" spans="1:8" x14ac:dyDescent="0.35">
      <c r="A10601" s="7" t="s">
        <v>382</v>
      </c>
      <c r="B10601" s="7" t="s">
        <v>26</v>
      </c>
      <c r="C10601" s="7" t="s">
        <v>27</v>
      </c>
      <c r="D10601" s="7" t="s">
        <v>28</v>
      </c>
      <c r="E10601" s="7" t="s">
        <v>29</v>
      </c>
      <c r="F10601" s="7" t="s">
        <v>223</v>
      </c>
      <c r="G10601" s="7">
        <v>100.25449999999999</v>
      </c>
      <c r="H10601" s="7"/>
    </row>
    <row r="10602" spans="1:8" x14ac:dyDescent="0.35">
      <c r="A10602" s="7" t="s">
        <v>382</v>
      </c>
      <c r="B10602" s="7" t="s">
        <v>26</v>
      </c>
      <c r="C10602" s="7" t="s">
        <v>27</v>
      </c>
      <c r="D10602" s="7" t="s">
        <v>28</v>
      </c>
      <c r="E10602" s="7" t="s">
        <v>29</v>
      </c>
      <c r="F10602" s="7" t="s">
        <v>224</v>
      </c>
      <c r="G10602" s="7">
        <v>100.0621</v>
      </c>
      <c r="H10602" s="7"/>
    </row>
    <row r="10603" spans="1:8" x14ac:dyDescent="0.35">
      <c r="A10603" s="7" t="s">
        <v>382</v>
      </c>
      <c r="B10603" s="7" t="s">
        <v>26</v>
      </c>
      <c r="C10603" s="7" t="s">
        <v>27</v>
      </c>
      <c r="D10603" s="7" t="s">
        <v>28</v>
      </c>
      <c r="E10603" s="7" t="s">
        <v>29</v>
      </c>
      <c r="F10603" s="7" t="s">
        <v>225</v>
      </c>
      <c r="G10603" s="7">
        <v>99.91283</v>
      </c>
      <c r="H10603" s="7"/>
    </row>
    <row r="10604" spans="1:8" x14ac:dyDescent="0.35">
      <c r="A10604" s="7" t="s">
        <v>382</v>
      </c>
      <c r="B10604" s="7" t="s">
        <v>26</v>
      </c>
      <c r="C10604" s="7" t="s">
        <v>27</v>
      </c>
      <c r="D10604" s="7" t="s">
        <v>28</v>
      </c>
      <c r="E10604" s="7" t="s">
        <v>29</v>
      </c>
      <c r="F10604" s="7" t="s">
        <v>226</v>
      </c>
      <c r="G10604" s="7">
        <v>99.818989999999999</v>
      </c>
      <c r="H10604" s="7"/>
    </row>
    <row r="10605" spans="1:8" x14ac:dyDescent="0.35">
      <c r="A10605" s="7" t="s">
        <v>382</v>
      </c>
      <c r="B10605" s="7" t="s">
        <v>26</v>
      </c>
      <c r="C10605" s="7" t="s">
        <v>27</v>
      </c>
      <c r="D10605" s="7" t="s">
        <v>28</v>
      </c>
      <c r="E10605" s="7" t="s">
        <v>29</v>
      </c>
      <c r="F10605" s="7" t="s">
        <v>227</v>
      </c>
      <c r="G10605" s="7">
        <v>99.720140000000001</v>
      </c>
      <c r="H10605" s="7"/>
    </row>
    <row r="10606" spans="1:8" x14ac:dyDescent="0.35">
      <c r="A10606" s="7" t="s">
        <v>382</v>
      </c>
      <c r="B10606" s="7" t="s">
        <v>26</v>
      </c>
      <c r="C10606" s="7" t="s">
        <v>27</v>
      </c>
      <c r="D10606" s="7" t="s">
        <v>28</v>
      </c>
      <c r="E10606" s="7" t="s">
        <v>29</v>
      </c>
      <c r="F10606" s="7" t="s">
        <v>228</v>
      </c>
      <c r="G10606" s="7">
        <v>99.513080000000002</v>
      </c>
      <c r="H10606" s="7"/>
    </row>
    <row r="10607" spans="1:8" x14ac:dyDescent="0.35">
      <c r="A10607" s="7" t="s">
        <v>382</v>
      </c>
      <c r="B10607" s="7" t="s">
        <v>26</v>
      </c>
      <c r="C10607" s="7" t="s">
        <v>27</v>
      </c>
      <c r="D10607" s="7" t="s">
        <v>28</v>
      </c>
      <c r="E10607" s="7" t="s">
        <v>29</v>
      </c>
      <c r="F10607" s="7" t="s">
        <v>229</v>
      </c>
      <c r="G10607" s="7">
        <v>99.214609999999993</v>
      </c>
      <c r="H10607" s="7"/>
    </row>
    <row r="10608" spans="1:8" x14ac:dyDescent="0.35">
      <c r="A10608" s="7" t="s">
        <v>382</v>
      </c>
      <c r="B10608" s="7" t="s">
        <v>26</v>
      </c>
      <c r="C10608" s="7" t="s">
        <v>27</v>
      </c>
      <c r="D10608" s="7" t="s">
        <v>28</v>
      </c>
      <c r="E10608" s="7" t="s">
        <v>29</v>
      </c>
      <c r="F10608" s="7" t="s">
        <v>230</v>
      </c>
      <c r="G10608" s="7">
        <v>98.912809999999993</v>
      </c>
      <c r="H10608" s="7"/>
    </row>
    <row r="10609" spans="1:8" x14ac:dyDescent="0.35">
      <c r="A10609" s="7" t="s">
        <v>382</v>
      </c>
      <c r="B10609" s="7" t="s">
        <v>26</v>
      </c>
      <c r="C10609" s="7" t="s">
        <v>27</v>
      </c>
      <c r="D10609" s="7" t="s">
        <v>28</v>
      </c>
      <c r="E10609" s="7" t="s">
        <v>29</v>
      </c>
      <c r="F10609" s="7" t="s">
        <v>231</v>
      </c>
      <c r="G10609" s="7">
        <v>98.697599999999994</v>
      </c>
      <c r="H10609" s="7"/>
    </row>
    <row r="10610" spans="1:8" x14ac:dyDescent="0.35">
      <c r="A10610" s="7" t="s">
        <v>382</v>
      </c>
      <c r="B10610" s="7" t="s">
        <v>26</v>
      </c>
      <c r="C10610" s="7" t="s">
        <v>27</v>
      </c>
      <c r="D10610" s="7" t="s">
        <v>28</v>
      </c>
      <c r="E10610" s="7" t="s">
        <v>29</v>
      </c>
      <c r="F10610" s="7" t="s">
        <v>232</v>
      </c>
      <c r="G10610" s="7">
        <v>98.434920000000005</v>
      </c>
      <c r="H10610" s="7"/>
    </row>
    <row r="10611" spans="1:8" x14ac:dyDescent="0.35">
      <c r="A10611" s="7" t="s">
        <v>382</v>
      </c>
      <c r="B10611" s="7" t="s">
        <v>26</v>
      </c>
      <c r="C10611" s="7" t="s">
        <v>27</v>
      </c>
      <c r="D10611" s="7" t="s">
        <v>28</v>
      </c>
      <c r="E10611" s="7" t="s">
        <v>29</v>
      </c>
      <c r="F10611" s="7" t="s">
        <v>233</v>
      </c>
      <c r="G10611" s="7">
        <v>97.981880000000004</v>
      </c>
      <c r="H10611" s="7"/>
    </row>
    <row r="10612" spans="1:8" x14ac:dyDescent="0.35">
      <c r="A10612" s="7" t="s">
        <v>382</v>
      </c>
      <c r="B10612" s="7" t="s">
        <v>26</v>
      </c>
      <c r="C10612" s="7" t="s">
        <v>27</v>
      </c>
      <c r="D10612" s="7" t="s">
        <v>28</v>
      </c>
      <c r="E10612" s="7" t="s">
        <v>29</v>
      </c>
      <c r="F10612" s="7" t="s">
        <v>234</v>
      </c>
      <c r="G10612" s="7">
        <v>97.497439999999997</v>
      </c>
      <c r="H10612" s="7"/>
    </row>
    <row r="10613" spans="1:8" x14ac:dyDescent="0.35">
      <c r="A10613" s="7" t="s">
        <v>382</v>
      </c>
      <c r="B10613" s="7" t="s">
        <v>26</v>
      </c>
      <c r="C10613" s="7" t="s">
        <v>27</v>
      </c>
      <c r="D10613" s="7" t="s">
        <v>28</v>
      </c>
      <c r="E10613" s="7" t="s">
        <v>29</v>
      </c>
      <c r="F10613" s="7" t="s">
        <v>235</v>
      </c>
      <c r="G10613" s="7">
        <v>97.047899999999998</v>
      </c>
      <c r="H10613" s="7"/>
    </row>
    <row r="10614" spans="1:8" x14ac:dyDescent="0.35">
      <c r="A10614" s="7" t="s">
        <v>382</v>
      </c>
      <c r="B10614" s="7" t="s">
        <v>26</v>
      </c>
      <c r="C10614" s="7" t="s">
        <v>27</v>
      </c>
      <c r="D10614" s="7" t="s">
        <v>28</v>
      </c>
      <c r="E10614" s="7" t="s">
        <v>29</v>
      </c>
      <c r="F10614" s="7" t="s">
        <v>236</v>
      </c>
      <c r="G10614" s="7">
        <v>96.755549999999999</v>
      </c>
      <c r="H10614" s="7"/>
    </row>
    <row r="10615" spans="1:8" x14ac:dyDescent="0.35">
      <c r="A10615" s="7" t="s">
        <v>382</v>
      </c>
      <c r="B10615" s="7" t="s">
        <v>26</v>
      </c>
      <c r="C10615" s="7" t="s">
        <v>27</v>
      </c>
      <c r="D10615" s="7" t="s">
        <v>28</v>
      </c>
      <c r="E10615" s="7" t="s">
        <v>29</v>
      </c>
      <c r="F10615" s="7" t="s">
        <v>237</v>
      </c>
      <c r="G10615" s="7">
        <v>96.560590000000005</v>
      </c>
      <c r="H10615" s="7"/>
    </row>
    <row r="10616" spans="1:8" x14ac:dyDescent="0.35">
      <c r="A10616" s="7" t="s">
        <v>382</v>
      </c>
      <c r="B10616" s="7" t="s">
        <v>26</v>
      </c>
      <c r="C10616" s="7" t="s">
        <v>27</v>
      </c>
      <c r="D10616" s="7" t="s">
        <v>28</v>
      </c>
      <c r="E10616" s="7" t="s">
        <v>29</v>
      </c>
      <c r="F10616" s="7" t="s">
        <v>238</v>
      </c>
      <c r="G10616" s="7">
        <v>96.577380000000005</v>
      </c>
      <c r="H10616" s="7"/>
    </row>
    <row r="10617" spans="1:8" x14ac:dyDescent="0.35">
      <c r="A10617" s="7" t="s">
        <v>382</v>
      </c>
      <c r="B10617" s="7" t="s">
        <v>26</v>
      </c>
      <c r="C10617" s="7" t="s">
        <v>27</v>
      </c>
      <c r="D10617" s="7" t="s">
        <v>28</v>
      </c>
      <c r="E10617" s="7" t="s">
        <v>29</v>
      </c>
      <c r="F10617" s="7" t="s">
        <v>239</v>
      </c>
      <c r="G10617" s="7">
        <v>96.889669999999995</v>
      </c>
      <c r="H10617" s="7"/>
    </row>
    <row r="10618" spans="1:8" x14ac:dyDescent="0.35">
      <c r="A10618" s="7" t="s">
        <v>382</v>
      </c>
      <c r="B10618" s="7" t="s">
        <v>26</v>
      </c>
      <c r="C10618" s="7" t="s">
        <v>27</v>
      </c>
      <c r="D10618" s="7" t="s">
        <v>28</v>
      </c>
      <c r="E10618" s="7" t="s">
        <v>29</v>
      </c>
      <c r="F10618" s="7" t="s">
        <v>240</v>
      </c>
      <c r="G10618" s="7">
        <v>97.325940000000003</v>
      </c>
      <c r="H10618" s="7"/>
    </row>
    <row r="10619" spans="1:8" x14ac:dyDescent="0.35">
      <c r="A10619" s="7" t="s">
        <v>382</v>
      </c>
      <c r="B10619" s="7" t="s">
        <v>26</v>
      </c>
      <c r="C10619" s="7" t="s">
        <v>27</v>
      </c>
      <c r="D10619" s="7" t="s">
        <v>28</v>
      </c>
      <c r="E10619" s="7" t="s">
        <v>29</v>
      </c>
      <c r="F10619" s="7" t="s">
        <v>241</v>
      </c>
      <c r="G10619" s="7">
        <v>97.77073</v>
      </c>
      <c r="H10619" s="7"/>
    </row>
    <row r="10620" spans="1:8" x14ac:dyDescent="0.35">
      <c r="A10620" s="7" t="s">
        <v>382</v>
      </c>
      <c r="B10620" s="7" t="s">
        <v>26</v>
      </c>
      <c r="C10620" s="7" t="s">
        <v>27</v>
      </c>
      <c r="D10620" s="7" t="s">
        <v>28</v>
      </c>
      <c r="E10620" s="7" t="s">
        <v>29</v>
      </c>
      <c r="F10620" s="7" t="s">
        <v>242</v>
      </c>
      <c r="G10620" s="7">
        <v>98.144149999999996</v>
      </c>
      <c r="H10620" s="7"/>
    </row>
    <row r="10621" spans="1:8" x14ac:dyDescent="0.35">
      <c r="A10621" s="7" t="s">
        <v>382</v>
      </c>
      <c r="B10621" s="7" t="s">
        <v>26</v>
      </c>
      <c r="C10621" s="7" t="s">
        <v>27</v>
      </c>
      <c r="D10621" s="7" t="s">
        <v>28</v>
      </c>
      <c r="E10621" s="7" t="s">
        <v>29</v>
      </c>
      <c r="F10621" s="7" t="s">
        <v>243</v>
      </c>
      <c r="G10621" s="7">
        <v>98.452860000000001</v>
      </c>
      <c r="H10621" s="7"/>
    </row>
    <row r="10622" spans="1:8" x14ac:dyDescent="0.35">
      <c r="A10622" s="7" t="s">
        <v>382</v>
      </c>
      <c r="B10622" s="7" t="s">
        <v>26</v>
      </c>
      <c r="C10622" s="7" t="s">
        <v>27</v>
      </c>
      <c r="D10622" s="7" t="s">
        <v>28</v>
      </c>
      <c r="E10622" s="7" t="s">
        <v>29</v>
      </c>
      <c r="F10622" s="7" t="s">
        <v>244</v>
      </c>
      <c r="G10622" s="7">
        <v>98.752399999999994</v>
      </c>
      <c r="H10622" s="7"/>
    </row>
    <row r="10623" spans="1:8" x14ac:dyDescent="0.35">
      <c r="A10623" s="7" t="s">
        <v>382</v>
      </c>
      <c r="B10623" s="7" t="s">
        <v>26</v>
      </c>
      <c r="C10623" s="7" t="s">
        <v>27</v>
      </c>
      <c r="D10623" s="7" t="s">
        <v>28</v>
      </c>
      <c r="E10623" s="7" t="s">
        <v>29</v>
      </c>
      <c r="F10623" s="7" t="s">
        <v>245</v>
      </c>
      <c r="G10623" s="7">
        <v>98.98245</v>
      </c>
      <c r="H10623" s="7"/>
    </row>
    <row r="10624" spans="1:8" x14ac:dyDescent="0.35">
      <c r="A10624" s="7" t="s">
        <v>382</v>
      </c>
      <c r="B10624" s="7" t="s">
        <v>26</v>
      </c>
      <c r="C10624" s="7" t="s">
        <v>27</v>
      </c>
      <c r="D10624" s="7" t="s">
        <v>28</v>
      </c>
      <c r="E10624" s="7" t="s">
        <v>29</v>
      </c>
      <c r="F10624" s="7" t="s">
        <v>246</v>
      </c>
      <c r="G10624" s="7">
        <v>99.131039999999999</v>
      </c>
      <c r="H10624" s="7"/>
    </row>
    <row r="10625" spans="1:8" x14ac:dyDescent="0.35">
      <c r="A10625" s="7" t="s">
        <v>382</v>
      </c>
      <c r="B10625" s="7" t="s">
        <v>26</v>
      </c>
      <c r="C10625" s="7" t="s">
        <v>27</v>
      </c>
      <c r="D10625" s="7" t="s">
        <v>28</v>
      </c>
      <c r="E10625" s="7" t="s">
        <v>29</v>
      </c>
      <c r="F10625" s="7" t="s">
        <v>247</v>
      </c>
      <c r="G10625" s="7">
        <v>99.228350000000006</v>
      </c>
      <c r="H10625" s="7"/>
    </row>
    <row r="10626" spans="1:8" x14ac:dyDescent="0.35">
      <c r="A10626" s="7" t="s">
        <v>382</v>
      </c>
      <c r="B10626" s="7" t="s">
        <v>26</v>
      </c>
      <c r="C10626" s="7" t="s">
        <v>27</v>
      </c>
      <c r="D10626" s="7" t="s">
        <v>28</v>
      </c>
      <c r="E10626" s="7" t="s">
        <v>29</v>
      </c>
      <c r="F10626" s="7" t="s">
        <v>248</v>
      </c>
      <c r="G10626" s="7">
        <v>99.246070000000003</v>
      </c>
      <c r="H10626" s="7"/>
    </row>
    <row r="10627" spans="1:8" x14ac:dyDescent="0.35">
      <c r="A10627" s="7" t="s">
        <v>382</v>
      </c>
      <c r="B10627" s="7" t="s">
        <v>26</v>
      </c>
      <c r="C10627" s="7" t="s">
        <v>27</v>
      </c>
      <c r="D10627" s="7" t="s">
        <v>28</v>
      </c>
      <c r="E10627" s="7" t="s">
        <v>29</v>
      </c>
      <c r="F10627" s="7" t="s">
        <v>249</v>
      </c>
      <c r="G10627" s="7">
        <v>99.192059999999998</v>
      </c>
      <c r="H10627" s="7"/>
    </row>
    <row r="10628" spans="1:8" x14ac:dyDescent="0.35">
      <c r="A10628" s="7" t="s">
        <v>382</v>
      </c>
      <c r="B10628" s="7" t="s">
        <v>26</v>
      </c>
      <c r="C10628" s="7" t="s">
        <v>27</v>
      </c>
      <c r="D10628" s="7" t="s">
        <v>28</v>
      </c>
      <c r="E10628" s="7" t="s">
        <v>29</v>
      </c>
      <c r="F10628" s="7" t="s">
        <v>250</v>
      </c>
      <c r="G10628" s="7">
        <v>99.172550000000001</v>
      </c>
      <c r="H10628" s="7"/>
    </row>
    <row r="10629" spans="1:8" x14ac:dyDescent="0.35">
      <c r="A10629" s="7" t="s">
        <v>382</v>
      </c>
      <c r="B10629" s="7" t="s">
        <v>26</v>
      </c>
      <c r="C10629" s="7" t="s">
        <v>27</v>
      </c>
      <c r="D10629" s="7" t="s">
        <v>28</v>
      </c>
      <c r="E10629" s="7" t="s">
        <v>29</v>
      </c>
      <c r="F10629" s="7" t="s">
        <v>251</v>
      </c>
      <c r="G10629" s="7">
        <v>99.190240000000003</v>
      </c>
      <c r="H10629" s="7"/>
    </row>
    <row r="10630" spans="1:8" x14ac:dyDescent="0.35">
      <c r="A10630" s="7" t="s">
        <v>382</v>
      </c>
      <c r="B10630" s="7" t="s">
        <v>26</v>
      </c>
      <c r="C10630" s="7" t="s">
        <v>27</v>
      </c>
      <c r="D10630" s="7" t="s">
        <v>28</v>
      </c>
      <c r="E10630" s="7" t="s">
        <v>29</v>
      </c>
      <c r="F10630" s="7" t="s">
        <v>252</v>
      </c>
      <c r="G10630" s="7">
        <v>99.163889999999995</v>
      </c>
      <c r="H10630" s="7"/>
    </row>
    <row r="10631" spans="1:8" x14ac:dyDescent="0.35">
      <c r="A10631" s="7" t="s">
        <v>382</v>
      </c>
      <c r="B10631" s="7" t="s">
        <v>26</v>
      </c>
      <c r="C10631" s="7" t="s">
        <v>27</v>
      </c>
      <c r="D10631" s="7" t="s">
        <v>28</v>
      </c>
      <c r="E10631" s="7" t="s">
        <v>29</v>
      </c>
      <c r="F10631" s="7" t="s">
        <v>253</v>
      </c>
      <c r="G10631" s="7">
        <v>99.278409999999994</v>
      </c>
      <c r="H10631" s="7"/>
    </row>
    <row r="10632" spans="1:8" x14ac:dyDescent="0.35">
      <c r="A10632" s="7" t="s">
        <v>382</v>
      </c>
      <c r="B10632" s="7" t="s">
        <v>26</v>
      </c>
      <c r="C10632" s="7" t="s">
        <v>27</v>
      </c>
      <c r="D10632" s="7" t="s">
        <v>28</v>
      </c>
      <c r="E10632" s="7" t="s">
        <v>29</v>
      </c>
      <c r="F10632" s="7" t="s">
        <v>254</v>
      </c>
      <c r="G10632" s="7">
        <v>99.563400000000001</v>
      </c>
      <c r="H10632" s="7"/>
    </row>
    <row r="10633" spans="1:8" x14ac:dyDescent="0.35">
      <c r="A10633" s="7" t="s">
        <v>382</v>
      </c>
      <c r="B10633" s="7" t="s">
        <v>26</v>
      </c>
      <c r="C10633" s="7" t="s">
        <v>27</v>
      </c>
      <c r="D10633" s="7" t="s">
        <v>28</v>
      </c>
      <c r="E10633" s="7" t="s">
        <v>29</v>
      </c>
      <c r="F10633" s="7" t="s">
        <v>255</v>
      </c>
      <c r="G10633" s="7">
        <v>99.858649999999997</v>
      </c>
      <c r="H10633" s="7"/>
    </row>
    <row r="10634" spans="1:8" x14ac:dyDescent="0.35">
      <c r="A10634" s="7" t="s">
        <v>382</v>
      </c>
      <c r="B10634" s="7" t="s">
        <v>26</v>
      </c>
      <c r="C10634" s="7" t="s">
        <v>27</v>
      </c>
      <c r="D10634" s="7" t="s">
        <v>28</v>
      </c>
      <c r="E10634" s="7" t="s">
        <v>29</v>
      </c>
      <c r="F10634" s="7" t="s">
        <v>256</v>
      </c>
      <c r="G10634" s="7">
        <v>100.0408</v>
      </c>
      <c r="H10634" s="7"/>
    </row>
    <row r="10635" spans="1:8" x14ac:dyDescent="0.35">
      <c r="A10635" s="7" t="s">
        <v>382</v>
      </c>
      <c r="B10635" s="7" t="s">
        <v>26</v>
      </c>
      <c r="C10635" s="7" t="s">
        <v>27</v>
      </c>
      <c r="D10635" s="7" t="s">
        <v>28</v>
      </c>
      <c r="E10635" s="7" t="s">
        <v>29</v>
      </c>
      <c r="F10635" s="7" t="s">
        <v>257</v>
      </c>
      <c r="G10635" s="7">
        <v>100.1281</v>
      </c>
      <c r="H10635" s="7"/>
    </row>
    <row r="10636" spans="1:8" x14ac:dyDescent="0.35">
      <c r="A10636" s="7" t="s">
        <v>382</v>
      </c>
      <c r="B10636" s="7" t="s">
        <v>26</v>
      </c>
      <c r="C10636" s="7" t="s">
        <v>27</v>
      </c>
      <c r="D10636" s="7" t="s">
        <v>28</v>
      </c>
      <c r="E10636" s="7" t="s">
        <v>29</v>
      </c>
      <c r="F10636" s="7" t="s">
        <v>258</v>
      </c>
      <c r="G10636" s="7">
        <v>100.16160000000001</v>
      </c>
      <c r="H10636" s="7"/>
    </row>
    <row r="10637" spans="1:8" x14ac:dyDescent="0.35">
      <c r="A10637" s="7" t="s">
        <v>382</v>
      </c>
      <c r="B10637" s="7" t="s">
        <v>26</v>
      </c>
      <c r="C10637" s="7" t="s">
        <v>27</v>
      </c>
      <c r="D10637" s="7" t="s">
        <v>28</v>
      </c>
      <c r="E10637" s="7" t="s">
        <v>29</v>
      </c>
      <c r="F10637" s="7" t="s">
        <v>259</v>
      </c>
      <c r="G10637" s="7">
        <v>100.1189</v>
      </c>
      <c r="H10637" s="7"/>
    </row>
    <row r="10638" spans="1:8" x14ac:dyDescent="0.35">
      <c r="A10638" s="7" t="s">
        <v>382</v>
      </c>
      <c r="B10638" s="7" t="s">
        <v>26</v>
      </c>
      <c r="C10638" s="7" t="s">
        <v>27</v>
      </c>
      <c r="D10638" s="7" t="s">
        <v>28</v>
      </c>
      <c r="E10638" s="7" t="s">
        <v>29</v>
      </c>
      <c r="F10638" s="7" t="s">
        <v>260</v>
      </c>
      <c r="G10638" s="7">
        <v>100.10339999999999</v>
      </c>
      <c r="H10638" s="7"/>
    </row>
    <row r="10639" spans="1:8" x14ac:dyDescent="0.35">
      <c r="A10639" s="7" t="s">
        <v>382</v>
      </c>
      <c r="B10639" s="7" t="s">
        <v>26</v>
      </c>
      <c r="C10639" s="7" t="s">
        <v>27</v>
      </c>
      <c r="D10639" s="7" t="s">
        <v>28</v>
      </c>
      <c r="E10639" s="7" t="s">
        <v>29</v>
      </c>
      <c r="F10639" s="7" t="s">
        <v>261</v>
      </c>
      <c r="G10639" s="7">
        <v>100.1319</v>
      </c>
      <c r="H10639" s="7"/>
    </row>
    <row r="10640" spans="1:8" x14ac:dyDescent="0.35">
      <c r="A10640" s="7" t="s">
        <v>382</v>
      </c>
      <c r="B10640" s="7" t="s">
        <v>26</v>
      </c>
      <c r="C10640" s="7" t="s">
        <v>27</v>
      </c>
      <c r="D10640" s="7" t="s">
        <v>28</v>
      </c>
      <c r="E10640" s="7" t="s">
        <v>29</v>
      </c>
      <c r="F10640" s="7" t="s">
        <v>262</v>
      </c>
      <c r="G10640" s="7">
        <v>100.13379999999999</v>
      </c>
      <c r="H10640" s="7"/>
    </row>
    <row r="10641" spans="1:8" x14ac:dyDescent="0.35">
      <c r="A10641" s="7" t="s">
        <v>382</v>
      </c>
      <c r="B10641" s="7" t="s">
        <v>26</v>
      </c>
      <c r="C10641" s="7" t="s">
        <v>27</v>
      </c>
      <c r="D10641" s="7" t="s">
        <v>28</v>
      </c>
      <c r="E10641" s="7" t="s">
        <v>29</v>
      </c>
      <c r="F10641" s="7" t="s">
        <v>263</v>
      </c>
      <c r="G10641" s="7">
        <v>100.1465</v>
      </c>
      <c r="H10641" s="7"/>
    </row>
    <row r="10642" spans="1:8" x14ac:dyDescent="0.35">
      <c r="A10642" s="7" t="s">
        <v>382</v>
      </c>
      <c r="B10642" s="7" t="s">
        <v>26</v>
      </c>
      <c r="C10642" s="7" t="s">
        <v>27</v>
      </c>
      <c r="D10642" s="7" t="s">
        <v>28</v>
      </c>
      <c r="E10642" s="7" t="s">
        <v>29</v>
      </c>
      <c r="F10642" s="7" t="s">
        <v>264</v>
      </c>
      <c r="G10642" s="7">
        <v>100.20180000000001</v>
      </c>
      <c r="H10642" s="7"/>
    </row>
    <row r="10643" spans="1:8" x14ac:dyDescent="0.35">
      <c r="A10643" s="7" t="s">
        <v>382</v>
      </c>
      <c r="B10643" s="7" t="s">
        <v>26</v>
      </c>
      <c r="C10643" s="7" t="s">
        <v>27</v>
      </c>
      <c r="D10643" s="7" t="s">
        <v>28</v>
      </c>
      <c r="E10643" s="7" t="s">
        <v>29</v>
      </c>
      <c r="F10643" s="7" t="s">
        <v>265</v>
      </c>
      <c r="G10643" s="7">
        <v>100.137</v>
      </c>
      <c r="H10643" s="7"/>
    </row>
    <row r="10644" spans="1:8" x14ac:dyDescent="0.35">
      <c r="A10644" s="7" t="s">
        <v>382</v>
      </c>
      <c r="B10644" s="7" t="s">
        <v>26</v>
      </c>
      <c r="C10644" s="7" t="s">
        <v>27</v>
      </c>
      <c r="D10644" s="7" t="s">
        <v>28</v>
      </c>
      <c r="E10644" s="7" t="s">
        <v>29</v>
      </c>
      <c r="F10644" s="7" t="s">
        <v>266</v>
      </c>
      <c r="G10644" s="7">
        <v>99.843519999999998</v>
      </c>
      <c r="H10644" s="7"/>
    </row>
    <row r="10645" spans="1:8" x14ac:dyDescent="0.35">
      <c r="A10645" s="7" t="s">
        <v>382</v>
      </c>
      <c r="B10645" s="7" t="s">
        <v>26</v>
      </c>
      <c r="C10645" s="7" t="s">
        <v>27</v>
      </c>
      <c r="D10645" s="7" t="s">
        <v>28</v>
      </c>
      <c r="E10645" s="7" t="s">
        <v>29</v>
      </c>
      <c r="F10645" s="7" t="s">
        <v>267</v>
      </c>
      <c r="G10645" s="7">
        <v>99.363929999999996</v>
      </c>
      <c r="H10645" s="7"/>
    </row>
    <row r="10646" spans="1:8" x14ac:dyDescent="0.35">
      <c r="A10646" s="7" t="s">
        <v>382</v>
      </c>
      <c r="B10646" s="7" t="s">
        <v>26</v>
      </c>
      <c r="C10646" s="7" t="s">
        <v>27</v>
      </c>
      <c r="D10646" s="7" t="s">
        <v>28</v>
      </c>
      <c r="E10646" s="7" t="s">
        <v>29</v>
      </c>
      <c r="F10646" s="7" t="s">
        <v>268</v>
      </c>
      <c r="G10646" s="7">
        <v>98.945160000000001</v>
      </c>
      <c r="H10646" s="7"/>
    </row>
    <row r="10647" spans="1:8" x14ac:dyDescent="0.35">
      <c r="A10647" s="7" t="s">
        <v>382</v>
      </c>
      <c r="B10647" s="7" t="s">
        <v>26</v>
      </c>
      <c r="C10647" s="7" t="s">
        <v>27</v>
      </c>
      <c r="D10647" s="7" t="s">
        <v>28</v>
      </c>
      <c r="E10647" s="7" t="s">
        <v>29</v>
      </c>
      <c r="F10647" s="7" t="s">
        <v>269</v>
      </c>
      <c r="G10647" s="7">
        <v>98.686779999999999</v>
      </c>
      <c r="H10647" s="7"/>
    </row>
    <row r="10648" spans="1:8" x14ac:dyDescent="0.35">
      <c r="A10648" s="7" t="s">
        <v>382</v>
      </c>
      <c r="B10648" s="7" t="s">
        <v>26</v>
      </c>
      <c r="C10648" s="7" t="s">
        <v>27</v>
      </c>
      <c r="D10648" s="7" t="s">
        <v>28</v>
      </c>
      <c r="E10648" s="7" t="s">
        <v>29</v>
      </c>
      <c r="F10648" s="7" t="s">
        <v>270</v>
      </c>
      <c r="G10648" s="7">
        <v>98.559889999999996</v>
      </c>
      <c r="H10648" s="7"/>
    </row>
    <row r="10649" spans="1:8" x14ac:dyDescent="0.35">
      <c r="A10649" s="7" t="s">
        <v>382</v>
      </c>
      <c r="B10649" s="7" t="s">
        <v>26</v>
      </c>
      <c r="C10649" s="7" t="s">
        <v>27</v>
      </c>
      <c r="D10649" s="7" t="s">
        <v>28</v>
      </c>
      <c r="E10649" s="7" t="s">
        <v>29</v>
      </c>
      <c r="F10649" s="7" t="s">
        <v>271</v>
      </c>
      <c r="G10649" s="7">
        <v>98.52167</v>
      </c>
      <c r="H10649" s="7"/>
    </row>
    <row r="10650" spans="1:8" x14ac:dyDescent="0.35">
      <c r="A10650" s="7" t="s">
        <v>382</v>
      </c>
      <c r="B10650" s="7" t="s">
        <v>26</v>
      </c>
      <c r="C10650" s="7" t="s">
        <v>27</v>
      </c>
      <c r="D10650" s="7" t="s">
        <v>28</v>
      </c>
      <c r="E10650" s="7" t="s">
        <v>29</v>
      </c>
      <c r="F10650" s="7" t="s">
        <v>272</v>
      </c>
      <c r="G10650" s="7">
        <v>98.578190000000006</v>
      </c>
      <c r="H10650" s="7"/>
    </row>
    <row r="10651" spans="1:8" x14ac:dyDescent="0.35">
      <c r="A10651" s="7" t="s">
        <v>382</v>
      </c>
      <c r="B10651" s="7" t="s">
        <v>26</v>
      </c>
      <c r="C10651" s="7" t="s">
        <v>27</v>
      </c>
      <c r="D10651" s="7" t="s">
        <v>28</v>
      </c>
      <c r="E10651" s="7" t="s">
        <v>29</v>
      </c>
      <c r="F10651" s="7" t="s">
        <v>273</v>
      </c>
      <c r="G10651" s="7">
        <v>98.678830000000005</v>
      </c>
      <c r="H10651" s="7"/>
    </row>
    <row r="10652" spans="1:8" x14ac:dyDescent="0.35">
      <c r="A10652" s="7" t="s">
        <v>382</v>
      </c>
      <c r="B10652" s="7" t="s">
        <v>26</v>
      </c>
      <c r="C10652" s="7" t="s">
        <v>27</v>
      </c>
      <c r="D10652" s="7" t="s">
        <v>28</v>
      </c>
      <c r="E10652" s="7" t="s">
        <v>29</v>
      </c>
      <c r="F10652" s="7" t="s">
        <v>274</v>
      </c>
      <c r="G10652" s="7">
        <v>98.771550000000005</v>
      </c>
      <c r="H10652" s="7"/>
    </row>
    <row r="10653" spans="1:8" x14ac:dyDescent="0.35">
      <c r="A10653" s="7" t="s">
        <v>382</v>
      </c>
      <c r="B10653" s="7" t="s">
        <v>26</v>
      </c>
      <c r="C10653" s="7" t="s">
        <v>27</v>
      </c>
      <c r="D10653" s="7" t="s">
        <v>28</v>
      </c>
      <c r="E10653" s="7" t="s">
        <v>29</v>
      </c>
      <c r="F10653" s="7" t="s">
        <v>275</v>
      </c>
      <c r="G10653" s="7">
        <v>98.798360000000002</v>
      </c>
      <c r="H10653" s="7"/>
    </row>
    <row r="10654" spans="1:8" x14ac:dyDescent="0.35">
      <c r="A10654" s="7" t="s">
        <v>382</v>
      </c>
      <c r="B10654" s="7" t="s">
        <v>26</v>
      </c>
      <c r="C10654" s="7" t="s">
        <v>27</v>
      </c>
      <c r="D10654" s="7" t="s">
        <v>28</v>
      </c>
      <c r="E10654" s="7" t="s">
        <v>29</v>
      </c>
      <c r="F10654" s="7" t="s">
        <v>276</v>
      </c>
      <c r="G10654" s="7">
        <v>98.778369999999995</v>
      </c>
      <c r="H10654" s="7"/>
    </row>
    <row r="10655" spans="1:8" x14ac:dyDescent="0.35">
      <c r="A10655" s="7" t="s">
        <v>382</v>
      </c>
      <c r="B10655" s="7" t="s">
        <v>26</v>
      </c>
      <c r="C10655" s="7" t="s">
        <v>27</v>
      </c>
      <c r="D10655" s="7" t="s">
        <v>28</v>
      </c>
      <c r="E10655" s="7" t="s">
        <v>29</v>
      </c>
      <c r="F10655" s="7" t="s">
        <v>277</v>
      </c>
      <c r="G10655" s="7">
        <v>98.65316</v>
      </c>
      <c r="H10655" s="7"/>
    </row>
    <row r="10656" spans="1:8" x14ac:dyDescent="0.35">
      <c r="A10656" s="7" t="s">
        <v>382</v>
      </c>
      <c r="B10656" s="7" t="s">
        <v>26</v>
      </c>
      <c r="C10656" s="7" t="s">
        <v>27</v>
      </c>
      <c r="D10656" s="7" t="s">
        <v>28</v>
      </c>
      <c r="E10656" s="7" t="s">
        <v>29</v>
      </c>
      <c r="F10656" s="7" t="s">
        <v>278</v>
      </c>
      <c r="G10656" s="7">
        <v>98.402609999999996</v>
      </c>
      <c r="H10656" s="7"/>
    </row>
    <row r="10657" spans="1:8" x14ac:dyDescent="0.35">
      <c r="A10657" s="7" t="s">
        <v>382</v>
      </c>
      <c r="B10657" s="7" t="s">
        <v>26</v>
      </c>
      <c r="C10657" s="7" t="s">
        <v>27</v>
      </c>
      <c r="D10657" s="7" t="s">
        <v>28</v>
      </c>
      <c r="E10657" s="7" t="s">
        <v>29</v>
      </c>
      <c r="F10657" s="7" t="s">
        <v>279</v>
      </c>
      <c r="G10657" s="7">
        <v>98.090239999999994</v>
      </c>
      <c r="H10657" s="7"/>
    </row>
    <row r="10658" spans="1:8" x14ac:dyDescent="0.35">
      <c r="A10658" s="7" t="s">
        <v>382</v>
      </c>
      <c r="B10658" s="7" t="s">
        <v>26</v>
      </c>
      <c r="C10658" s="7" t="s">
        <v>27</v>
      </c>
      <c r="D10658" s="7" t="s">
        <v>28</v>
      </c>
      <c r="E10658" s="7" t="s">
        <v>29</v>
      </c>
      <c r="F10658" s="7" t="s">
        <v>280</v>
      </c>
      <c r="G10658" s="7">
        <v>97.857860000000002</v>
      </c>
      <c r="H10658" s="7"/>
    </row>
    <row r="10659" spans="1:8" x14ac:dyDescent="0.35">
      <c r="A10659" s="7" t="s">
        <v>382</v>
      </c>
      <c r="B10659" s="7" t="s">
        <v>26</v>
      </c>
      <c r="C10659" s="7" t="s">
        <v>27</v>
      </c>
      <c r="D10659" s="7" t="s">
        <v>28</v>
      </c>
      <c r="E10659" s="7" t="s">
        <v>29</v>
      </c>
      <c r="F10659" s="7" t="s">
        <v>281</v>
      </c>
      <c r="G10659" s="7">
        <v>97.742230000000006</v>
      </c>
      <c r="H10659" s="7"/>
    </row>
    <row r="10660" spans="1:8" x14ac:dyDescent="0.35">
      <c r="A10660" s="7" t="s">
        <v>382</v>
      </c>
      <c r="B10660" s="7" t="s">
        <v>26</v>
      </c>
      <c r="C10660" s="7" t="s">
        <v>27</v>
      </c>
      <c r="D10660" s="7" t="s">
        <v>28</v>
      </c>
      <c r="E10660" s="7" t="s">
        <v>29</v>
      </c>
      <c r="F10660" s="7" t="s">
        <v>282</v>
      </c>
      <c r="G10660" s="7">
        <v>97.699510000000004</v>
      </c>
      <c r="H10660" s="7"/>
    </row>
    <row r="10661" spans="1:8" x14ac:dyDescent="0.35">
      <c r="A10661" s="7" t="s">
        <v>382</v>
      </c>
      <c r="B10661" s="7" t="s">
        <v>26</v>
      </c>
      <c r="C10661" s="7" t="s">
        <v>27</v>
      </c>
      <c r="D10661" s="7" t="s">
        <v>28</v>
      </c>
      <c r="E10661" s="7" t="s">
        <v>29</v>
      </c>
      <c r="F10661" s="7" t="s">
        <v>283</v>
      </c>
      <c r="G10661" s="7">
        <v>97.768910000000005</v>
      </c>
      <c r="H10661" s="7"/>
    </row>
    <row r="10662" spans="1:8" x14ac:dyDescent="0.35">
      <c r="A10662" s="7" t="s">
        <v>382</v>
      </c>
      <c r="B10662" s="7" t="s">
        <v>26</v>
      </c>
      <c r="C10662" s="7" t="s">
        <v>27</v>
      </c>
      <c r="D10662" s="7" t="s">
        <v>28</v>
      </c>
      <c r="E10662" s="7" t="s">
        <v>29</v>
      </c>
      <c r="F10662" s="7" t="s">
        <v>284</v>
      </c>
      <c r="G10662" s="7">
        <v>97.923479999999998</v>
      </c>
      <c r="H10662" s="7"/>
    </row>
    <row r="10663" spans="1:8" x14ac:dyDescent="0.35">
      <c r="A10663" s="7" t="s">
        <v>382</v>
      </c>
      <c r="B10663" s="7" t="s">
        <v>26</v>
      </c>
      <c r="C10663" s="7" t="s">
        <v>27</v>
      </c>
      <c r="D10663" s="7" t="s">
        <v>28</v>
      </c>
      <c r="E10663" s="7" t="s">
        <v>29</v>
      </c>
      <c r="F10663" s="7" t="s">
        <v>285</v>
      </c>
      <c r="G10663" s="7">
        <v>98.048749999999998</v>
      </c>
      <c r="H10663" s="7"/>
    </row>
    <row r="10664" spans="1:8" x14ac:dyDescent="0.35">
      <c r="A10664" s="7" t="s">
        <v>382</v>
      </c>
      <c r="B10664" s="7" t="s">
        <v>26</v>
      </c>
      <c r="C10664" s="7" t="s">
        <v>27</v>
      </c>
      <c r="D10664" s="7" t="s">
        <v>28</v>
      </c>
      <c r="E10664" s="7" t="s">
        <v>29</v>
      </c>
      <c r="F10664" s="7" t="s">
        <v>286</v>
      </c>
      <c r="G10664" s="7">
        <v>98.155879999999996</v>
      </c>
      <c r="H10664" s="7"/>
    </row>
    <row r="10665" spans="1:8" x14ac:dyDescent="0.35">
      <c r="A10665" s="7" t="s">
        <v>382</v>
      </c>
      <c r="B10665" s="7" t="s">
        <v>26</v>
      </c>
      <c r="C10665" s="7" t="s">
        <v>27</v>
      </c>
      <c r="D10665" s="7" t="s">
        <v>28</v>
      </c>
      <c r="E10665" s="7" t="s">
        <v>29</v>
      </c>
      <c r="F10665" s="7" t="s">
        <v>287</v>
      </c>
      <c r="G10665" s="7">
        <v>98.304400000000001</v>
      </c>
      <c r="H10665" s="7"/>
    </row>
    <row r="10666" spans="1:8" x14ac:dyDescent="0.35">
      <c r="A10666" s="7" t="s">
        <v>382</v>
      </c>
      <c r="B10666" s="7" t="s">
        <v>26</v>
      </c>
      <c r="C10666" s="7" t="s">
        <v>27</v>
      </c>
      <c r="D10666" s="7" t="s">
        <v>28</v>
      </c>
      <c r="E10666" s="7" t="s">
        <v>29</v>
      </c>
      <c r="F10666" s="7" t="s">
        <v>288</v>
      </c>
      <c r="G10666" s="7">
        <v>98.511049999999997</v>
      </c>
      <c r="H10666" s="7"/>
    </row>
    <row r="10667" spans="1:8" x14ac:dyDescent="0.35">
      <c r="A10667" s="7" t="s">
        <v>382</v>
      </c>
      <c r="B10667" s="7" t="s">
        <v>26</v>
      </c>
      <c r="C10667" s="7" t="s">
        <v>27</v>
      </c>
      <c r="D10667" s="7" t="s">
        <v>28</v>
      </c>
      <c r="E10667" s="7" t="s">
        <v>29</v>
      </c>
      <c r="F10667" s="7" t="s">
        <v>289</v>
      </c>
      <c r="G10667" s="7">
        <v>98.809209999999993</v>
      </c>
      <c r="H10667" s="7"/>
    </row>
    <row r="10668" spans="1:8" x14ac:dyDescent="0.35">
      <c r="A10668" s="7" t="s">
        <v>382</v>
      </c>
      <c r="B10668" s="7" t="s">
        <v>26</v>
      </c>
      <c r="C10668" s="7" t="s">
        <v>27</v>
      </c>
      <c r="D10668" s="7" t="s">
        <v>28</v>
      </c>
      <c r="E10668" s="7" t="s">
        <v>29</v>
      </c>
      <c r="F10668" s="7" t="s">
        <v>290</v>
      </c>
      <c r="G10668" s="7">
        <v>99.090130000000002</v>
      </c>
      <c r="H10668" s="7"/>
    </row>
    <row r="10669" spans="1:8" x14ac:dyDescent="0.35">
      <c r="A10669" s="7" t="s">
        <v>382</v>
      </c>
      <c r="B10669" s="7" t="s">
        <v>26</v>
      </c>
      <c r="C10669" s="7" t="s">
        <v>27</v>
      </c>
      <c r="D10669" s="7" t="s">
        <v>28</v>
      </c>
      <c r="E10669" s="7" t="s">
        <v>29</v>
      </c>
      <c r="F10669" s="7" t="s">
        <v>291</v>
      </c>
      <c r="G10669" s="7">
        <v>99.316569999999999</v>
      </c>
      <c r="H10669" s="7"/>
    </row>
    <row r="10670" spans="1:8" x14ac:dyDescent="0.35">
      <c r="A10670" s="7" t="s">
        <v>382</v>
      </c>
      <c r="B10670" s="7" t="s">
        <v>26</v>
      </c>
      <c r="C10670" s="7" t="s">
        <v>27</v>
      </c>
      <c r="D10670" s="7" t="s">
        <v>28</v>
      </c>
      <c r="E10670" s="7" t="s">
        <v>29</v>
      </c>
      <c r="F10670" s="7" t="s">
        <v>292</v>
      </c>
      <c r="G10670" s="7">
        <v>99.449709999999996</v>
      </c>
      <c r="H10670" s="7"/>
    </row>
    <row r="10671" spans="1:8" x14ac:dyDescent="0.35">
      <c r="A10671" s="7" t="s">
        <v>382</v>
      </c>
      <c r="B10671" s="7" t="s">
        <v>26</v>
      </c>
      <c r="C10671" s="7" t="s">
        <v>27</v>
      </c>
      <c r="D10671" s="7" t="s">
        <v>28</v>
      </c>
      <c r="E10671" s="7" t="s">
        <v>29</v>
      </c>
      <c r="F10671" s="7" t="s">
        <v>293</v>
      </c>
      <c r="G10671" s="7">
        <v>99.510599999999997</v>
      </c>
      <c r="H10671" s="7"/>
    </row>
    <row r="10672" spans="1:8" x14ac:dyDescent="0.35">
      <c r="A10672" s="7" t="s">
        <v>382</v>
      </c>
      <c r="B10672" s="7" t="s">
        <v>26</v>
      </c>
      <c r="C10672" s="7" t="s">
        <v>27</v>
      </c>
      <c r="D10672" s="7" t="s">
        <v>28</v>
      </c>
      <c r="E10672" s="7" t="s">
        <v>29</v>
      </c>
      <c r="F10672" s="7" t="s">
        <v>294</v>
      </c>
      <c r="G10672" s="7">
        <v>99.558930000000004</v>
      </c>
      <c r="H10672" s="7"/>
    </row>
    <row r="10673" spans="1:8" x14ac:dyDescent="0.35">
      <c r="A10673" s="7" t="s">
        <v>382</v>
      </c>
      <c r="B10673" s="7" t="s">
        <v>26</v>
      </c>
      <c r="C10673" s="7" t="s">
        <v>27</v>
      </c>
      <c r="D10673" s="7" t="s">
        <v>28</v>
      </c>
      <c r="E10673" s="7" t="s">
        <v>29</v>
      </c>
      <c r="F10673" s="7" t="s">
        <v>295</v>
      </c>
      <c r="G10673" s="7">
        <v>99.696110000000004</v>
      </c>
      <c r="H10673" s="7"/>
    </row>
    <row r="10674" spans="1:8" x14ac:dyDescent="0.35">
      <c r="A10674" s="7" t="s">
        <v>382</v>
      </c>
      <c r="B10674" s="7" t="s">
        <v>26</v>
      </c>
      <c r="C10674" s="7" t="s">
        <v>27</v>
      </c>
      <c r="D10674" s="7" t="s">
        <v>28</v>
      </c>
      <c r="E10674" s="7" t="s">
        <v>29</v>
      </c>
      <c r="F10674" s="7" t="s">
        <v>296</v>
      </c>
      <c r="G10674" s="7">
        <v>99.873019999999997</v>
      </c>
      <c r="H10674" s="7"/>
    </row>
    <row r="10675" spans="1:8" x14ac:dyDescent="0.35">
      <c r="A10675" s="7" t="s">
        <v>382</v>
      </c>
      <c r="B10675" s="7" t="s">
        <v>26</v>
      </c>
      <c r="C10675" s="7" t="s">
        <v>27</v>
      </c>
      <c r="D10675" s="7" t="s">
        <v>28</v>
      </c>
      <c r="E10675" s="7" t="s">
        <v>29</v>
      </c>
      <c r="F10675" s="7" t="s">
        <v>297</v>
      </c>
      <c r="G10675" s="7">
        <v>100.0407</v>
      </c>
      <c r="H10675" s="7"/>
    </row>
    <row r="10676" spans="1:8" x14ac:dyDescent="0.35">
      <c r="A10676" s="7" t="s">
        <v>382</v>
      </c>
      <c r="B10676" s="7" t="s">
        <v>26</v>
      </c>
      <c r="C10676" s="7" t="s">
        <v>27</v>
      </c>
      <c r="D10676" s="7" t="s">
        <v>28</v>
      </c>
      <c r="E10676" s="7" t="s">
        <v>29</v>
      </c>
      <c r="F10676" s="7" t="s">
        <v>298</v>
      </c>
      <c r="G10676" s="7">
        <v>100.2932</v>
      </c>
      <c r="H10676" s="7"/>
    </row>
    <row r="10677" spans="1:8" x14ac:dyDescent="0.35">
      <c r="A10677" s="7" t="s">
        <v>382</v>
      </c>
      <c r="B10677" s="7" t="s">
        <v>26</v>
      </c>
      <c r="C10677" s="7" t="s">
        <v>27</v>
      </c>
      <c r="D10677" s="7" t="s">
        <v>28</v>
      </c>
      <c r="E10677" s="7" t="s">
        <v>29</v>
      </c>
      <c r="F10677" s="7" t="s">
        <v>299</v>
      </c>
      <c r="G10677" s="7">
        <v>100.5081</v>
      </c>
      <c r="H10677" s="7"/>
    </row>
    <row r="10678" spans="1:8" x14ac:dyDescent="0.35">
      <c r="A10678" s="7" t="s">
        <v>382</v>
      </c>
      <c r="B10678" s="7" t="s">
        <v>26</v>
      </c>
      <c r="C10678" s="7" t="s">
        <v>27</v>
      </c>
      <c r="D10678" s="7" t="s">
        <v>28</v>
      </c>
      <c r="E10678" s="7" t="s">
        <v>29</v>
      </c>
      <c r="F10678" s="7" t="s">
        <v>300</v>
      </c>
      <c r="G10678" s="7">
        <v>100.6375</v>
      </c>
      <c r="H10678" s="7"/>
    </row>
    <row r="10679" spans="1:8" x14ac:dyDescent="0.35">
      <c r="A10679" s="7" t="s">
        <v>382</v>
      </c>
      <c r="B10679" s="7" t="s">
        <v>26</v>
      </c>
      <c r="C10679" s="7" t="s">
        <v>27</v>
      </c>
      <c r="D10679" s="7" t="s">
        <v>28</v>
      </c>
      <c r="E10679" s="7" t="s">
        <v>29</v>
      </c>
      <c r="F10679" s="7" t="s">
        <v>301</v>
      </c>
      <c r="G10679" s="7">
        <v>100.62139999999999</v>
      </c>
      <c r="H10679" s="7"/>
    </row>
    <row r="10680" spans="1:8" x14ac:dyDescent="0.35">
      <c r="A10680" s="7" t="s">
        <v>382</v>
      </c>
      <c r="B10680" s="7" t="s">
        <v>26</v>
      </c>
      <c r="C10680" s="7" t="s">
        <v>27</v>
      </c>
      <c r="D10680" s="7" t="s">
        <v>28</v>
      </c>
      <c r="E10680" s="7" t="s">
        <v>29</v>
      </c>
      <c r="F10680" s="7" t="s">
        <v>302</v>
      </c>
      <c r="G10680" s="7">
        <v>100.48180000000001</v>
      </c>
      <c r="H10680" s="7"/>
    </row>
    <row r="10681" spans="1:8" x14ac:dyDescent="0.35">
      <c r="A10681" s="7" t="s">
        <v>382</v>
      </c>
      <c r="B10681" s="7" t="s">
        <v>26</v>
      </c>
      <c r="C10681" s="7" t="s">
        <v>27</v>
      </c>
      <c r="D10681" s="7" t="s">
        <v>28</v>
      </c>
      <c r="E10681" s="7" t="s">
        <v>29</v>
      </c>
      <c r="F10681" s="7" t="s">
        <v>303</v>
      </c>
      <c r="G10681" s="7">
        <v>100.27509999999999</v>
      </c>
      <c r="H10681" s="7"/>
    </row>
    <row r="10682" spans="1:8" x14ac:dyDescent="0.35">
      <c r="A10682" s="7" t="s">
        <v>382</v>
      </c>
      <c r="B10682" s="7" t="s">
        <v>26</v>
      </c>
      <c r="C10682" s="7" t="s">
        <v>27</v>
      </c>
      <c r="D10682" s="7" t="s">
        <v>28</v>
      </c>
      <c r="E10682" s="7" t="s">
        <v>29</v>
      </c>
      <c r="F10682" s="7" t="s">
        <v>304</v>
      </c>
      <c r="G10682" s="7">
        <v>100.1037</v>
      </c>
      <c r="H10682" s="7"/>
    </row>
    <row r="10683" spans="1:8" x14ac:dyDescent="0.35">
      <c r="A10683" s="7" t="s">
        <v>382</v>
      </c>
      <c r="B10683" s="7" t="s">
        <v>26</v>
      </c>
      <c r="C10683" s="7" t="s">
        <v>27</v>
      </c>
      <c r="D10683" s="7" t="s">
        <v>28</v>
      </c>
      <c r="E10683" s="7" t="s">
        <v>29</v>
      </c>
      <c r="F10683" s="7" t="s">
        <v>305</v>
      </c>
      <c r="G10683" s="7">
        <v>100.0347</v>
      </c>
      <c r="H10683" s="7"/>
    </row>
    <row r="10684" spans="1:8" x14ac:dyDescent="0.35">
      <c r="A10684" s="7" t="s">
        <v>382</v>
      </c>
      <c r="B10684" s="7" t="s">
        <v>26</v>
      </c>
      <c r="C10684" s="7" t="s">
        <v>27</v>
      </c>
      <c r="D10684" s="7" t="s">
        <v>28</v>
      </c>
      <c r="E10684" s="7" t="s">
        <v>29</v>
      </c>
      <c r="F10684" s="7" t="s">
        <v>306</v>
      </c>
      <c r="G10684" s="7">
        <v>100.0639</v>
      </c>
      <c r="H10684" s="7"/>
    </row>
    <row r="10685" spans="1:8" x14ac:dyDescent="0.35">
      <c r="A10685" s="7" t="s">
        <v>382</v>
      </c>
      <c r="B10685" s="7" t="s">
        <v>26</v>
      </c>
      <c r="C10685" s="7" t="s">
        <v>27</v>
      </c>
      <c r="D10685" s="7" t="s">
        <v>28</v>
      </c>
      <c r="E10685" s="7" t="s">
        <v>29</v>
      </c>
      <c r="F10685" s="7" t="s">
        <v>307</v>
      </c>
      <c r="G10685" s="7">
        <v>100.23220000000001</v>
      </c>
      <c r="H10685" s="7"/>
    </row>
    <row r="10686" spans="1:8" x14ac:dyDescent="0.35">
      <c r="A10686" s="7" t="s">
        <v>382</v>
      </c>
      <c r="B10686" s="7" t="s">
        <v>26</v>
      </c>
      <c r="C10686" s="7" t="s">
        <v>27</v>
      </c>
      <c r="D10686" s="7" t="s">
        <v>28</v>
      </c>
      <c r="E10686" s="7" t="s">
        <v>29</v>
      </c>
      <c r="F10686" s="7" t="s">
        <v>308</v>
      </c>
      <c r="G10686" s="7">
        <v>100.5325</v>
      </c>
      <c r="H10686" s="7"/>
    </row>
    <row r="10687" spans="1:8" x14ac:dyDescent="0.35">
      <c r="A10687" s="7" t="s">
        <v>382</v>
      </c>
      <c r="B10687" s="7" t="s">
        <v>26</v>
      </c>
      <c r="C10687" s="7" t="s">
        <v>27</v>
      </c>
      <c r="D10687" s="7" t="s">
        <v>28</v>
      </c>
      <c r="E10687" s="7" t="s">
        <v>29</v>
      </c>
      <c r="F10687" s="7" t="s">
        <v>309</v>
      </c>
      <c r="G10687" s="7">
        <v>100.85380000000001</v>
      </c>
      <c r="H10687" s="7"/>
    </row>
    <row r="10688" spans="1:8" x14ac:dyDescent="0.35">
      <c r="A10688" s="7" t="s">
        <v>382</v>
      </c>
      <c r="B10688" s="7" t="s">
        <v>26</v>
      </c>
      <c r="C10688" s="7" t="s">
        <v>27</v>
      </c>
      <c r="D10688" s="7" t="s">
        <v>28</v>
      </c>
      <c r="E10688" s="7" t="s">
        <v>29</v>
      </c>
      <c r="F10688" s="7" t="s">
        <v>310</v>
      </c>
      <c r="G10688" s="7">
        <v>101.0964</v>
      </c>
      <c r="H10688" s="7"/>
    </row>
    <row r="10689" spans="1:8" x14ac:dyDescent="0.35">
      <c r="A10689" s="7" t="s">
        <v>382</v>
      </c>
      <c r="B10689" s="7" t="s">
        <v>26</v>
      </c>
      <c r="C10689" s="7" t="s">
        <v>27</v>
      </c>
      <c r="D10689" s="7" t="s">
        <v>28</v>
      </c>
      <c r="E10689" s="7" t="s">
        <v>29</v>
      </c>
      <c r="F10689" s="7" t="s">
        <v>311</v>
      </c>
      <c r="G10689" s="7">
        <v>101.13809999999999</v>
      </c>
      <c r="H10689" s="7"/>
    </row>
    <row r="10690" spans="1:8" x14ac:dyDescent="0.35">
      <c r="A10690" s="7" t="s">
        <v>382</v>
      </c>
      <c r="B10690" s="7" t="s">
        <v>26</v>
      </c>
      <c r="C10690" s="7" t="s">
        <v>27</v>
      </c>
      <c r="D10690" s="7" t="s">
        <v>28</v>
      </c>
      <c r="E10690" s="7" t="s">
        <v>29</v>
      </c>
      <c r="F10690" s="7" t="s">
        <v>312</v>
      </c>
      <c r="G10690" s="7">
        <v>101.0562</v>
      </c>
      <c r="H10690" s="7"/>
    </row>
    <row r="10691" spans="1:8" x14ac:dyDescent="0.35">
      <c r="A10691" s="7" t="s">
        <v>382</v>
      </c>
      <c r="B10691" s="7" t="s">
        <v>26</v>
      </c>
      <c r="C10691" s="7" t="s">
        <v>27</v>
      </c>
      <c r="D10691" s="7" t="s">
        <v>28</v>
      </c>
      <c r="E10691" s="7" t="s">
        <v>29</v>
      </c>
      <c r="F10691" s="7" t="s">
        <v>313</v>
      </c>
      <c r="G10691" s="7">
        <v>100.941</v>
      </c>
      <c r="H10691" s="7"/>
    </row>
    <row r="10692" spans="1:8" x14ac:dyDescent="0.35">
      <c r="A10692" s="7" t="s">
        <v>382</v>
      </c>
      <c r="B10692" s="7" t="s">
        <v>26</v>
      </c>
      <c r="C10692" s="7" t="s">
        <v>27</v>
      </c>
      <c r="D10692" s="7" t="s">
        <v>28</v>
      </c>
      <c r="E10692" s="7" t="s">
        <v>29</v>
      </c>
      <c r="F10692" s="7" t="s">
        <v>314</v>
      </c>
      <c r="G10692" s="7">
        <v>100.8181</v>
      </c>
      <c r="H10692" s="7"/>
    </row>
    <row r="10693" spans="1:8" x14ac:dyDescent="0.35">
      <c r="A10693" s="7" t="s">
        <v>382</v>
      </c>
      <c r="B10693" s="7" t="s">
        <v>26</v>
      </c>
      <c r="C10693" s="7" t="s">
        <v>27</v>
      </c>
      <c r="D10693" s="7" t="s">
        <v>28</v>
      </c>
      <c r="E10693" s="7" t="s">
        <v>29</v>
      </c>
      <c r="F10693" s="7" t="s">
        <v>315</v>
      </c>
      <c r="G10693" s="7">
        <v>100.7636</v>
      </c>
      <c r="H10693" s="7"/>
    </row>
    <row r="10694" spans="1:8" x14ac:dyDescent="0.35">
      <c r="A10694" s="7" t="s">
        <v>382</v>
      </c>
      <c r="B10694" s="7" t="s">
        <v>26</v>
      </c>
      <c r="C10694" s="7" t="s">
        <v>27</v>
      </c>
      <c r="D10694" s="7" t="s">
        <v>28</v>
      </c>
      <c r="E10694" s="7" t="s">
        <v>29</v>
      </c>
      <c r="F10694" s="7" t="s">
        <v>316</v>
      </c>
      <c r="G10694" s="7">
        <v>100.7555</v>
      </c>
      <c r="H10694" s="7"/>
    </row>
    <row r="10695" spans="1:8" x14ac:dyDescent="0.35">
      <c r="A10695" s="7" t="s">
        <v>382</v>
      </c>
      <c r="B10695" s="7" t="s">
        <v>26</v>
      </c>
      <c r="C10695" s="7" t="s">
        <v>27</v>
      </c>
      <c r="D10695" s="7" t="s">
        <v>28</v>
      </c>
      <c r="E10695" s="7" t="s">
        <v>29</v>
      </c>
      <c r="F10695" s="7" t="s">
        <v>317</v>
      </c>
      <c r="G10695" s="7">
        <v>100.7915</v>
      </c>
      <c r="H10695" s="7"/>
    </row>
    <row r="10696" spans="1:8" x14ac:dyDescent="0.35">
      <c r="A10696" s="7" t="s">
        <v>382</v>
      </c>
      <c r="B10696" s="7" t="s">
        <v>26</v>
      </c>
      <c r="C10696" s="7" t="s">
        <v>27</v>
      </c>
      <c r="D10696" s="7" t="s">
        <v>28</v>
      </c>
      <c r="E10696" s="7" t="s">
        <v>29</v>
      </c>
      <c r="F10696" s="7" t="s">
        <v>318</v>
      </c>
      <c r="G10696" s="7">
        <v>100.8656</v>
      </c>
      <c r="H10696" s="7"/>
    </row>
    <row r="10697" spans="1:8" x14ac:dyDescent="0.35">
      <c r="A10697" s="7" t="s">
        <v>382</v>
      </c>
      <c r="B10697" s="7" t="s">
        <v>26</v>
      </c>
      <c r="C10697" s="7" t="s">
        <v>27</v>
      </c>
      <c r="D10697" s="7" t="s">
        <v>28</v>
      </c>
      <c r="E10697" s="7" t="s">
        <v>29</v>
      </c>
      <c r="F10697" s="7" t="s">
        <v>319</v>
      </c>
      <c r="G10697" s="7">
        <v>100.86799999999999</v>
      </c>
      <c r="H10697" s="7"/>
    </row>
    <row r="10698" spans="1:8" x14ac:dyDescent="0.35">
      <c r="A10698" s="7" t="s">
        <v>382</v>
      </c>
      <c r="B10698" s="7" t="s">
        <v>26</v>
      </c>
      <c r="C10698" s="7" t="s">
        <v>27</v>
      </c>
      <c r="D10698" s="7" t="s">
        <v>28</v>
      </c>
      <c r="E10698" s="7" t="s">
        <v>29</v>
      </c>
      <c r="F10698" s="7" t="s">
        <v>320</v>
      </c>
      <c r="G10698" s="7">
        <v>100.75069999999999</v>
      </c>
      <c r="H10698" s="7"/>
    </row>
    <row r="10699" spans="1:8" x14ac:dyDescent="0.35">
      <c r="A10699" s="7" t="s">
        <v>382</v>
      </c>
      <c r="B10699" s="7" t="s">
        <v>26</v>
      </c>
      <c r="C10699" s="7" t="s">
        <v>27</v>
      </c>
      <c r="D10699" s="7" t="s">
        <v>28</v>
      </c>
      <c r="E10699" s="7" t="s">
        <v>29</v>
      </c>
      <c r="F10699" s="7" t="s">
        <v>321</v>
      </c>
      <c r="G10699" s="7">
        <v>100.5574</v>
      </c>
      <c r="H10699" s="7"/>
    </row>
    <row r="10700" spans="1:8" x14ac:dyDescent="0.35">
      <c r="A10700" s="7" t="s">
        <v>382</v>
      </c>
      <c r="B10700" s="7" t="s">
        <v>26</v>
      </c>
      <c r="C10700" s="7" t="s">
        <v>27</v>
      </c>
      <c r="D10700" s="7" t="s">
        <v>28</v>
      </c>
      <c r="E10700" s="7" t="s">
        <v>29</v>
      </c>
      <c r="F10700" s="7" t="s">
        <v>322</v>
      </c>
      <c r="G10700" s="7">
        <v>100.44459999999999</v>
      </c>
      <c r="H10700" s="7"/>
    </row>
    <row r="10701" spans="1:8" x14ac:dyDescent="0.35">
      <c r="A10701" s="7" t="s">
        <v>382</v>
      </c>
      <c r="B10701" s="7" t="s">
        <v>26</v>
      </c>
      <c r="C10701" s="7" t="s">
        <v>27</v>
      </c>
      <c r="D10701" s="7" t="s">
        <v>28</v>
      </c>
      <c r="E10701" s="7" t="s">
        <v>29</v>
      </c>
      <c r="F10701" s="7" t="s">
        <v>323</v>
      </c>
      <c r="G10701" s="7">
        <v>100.4753</v>
      </c>
      <c r="H10701" s="7"/>
    </row>
    <row r="10702" spans="1:8" x14ac:dyDescent="0.35">
      <c r="A10702" s="7" t="s">
        <v>382</v>
      </c>
      <c r="B10702" s="7" t="s">
        <v>26</v>
      </c>
      <c r="C10702" s="7" t="s">
        <v>27</v>
      </c>
      <c r="D10702" s="7" t="s">
        <v>28</v>
      </c>
      <c r="E10702" s="7" t="s">
        <v>29</v>
      </c>
      <c r="F10702" s="7" t="s">
        <v>324</v>
      </c>
      <c r="G10702" s="7">
        <v>100.5878</v>
      </c>
      <c r="H10702" s="7"/>
    </row>
    <row r="10703" spans="1:8" x14ac:dyDescent="0.35">
      <c r="A10703" s="7" t="s">
        <v>382</v>
      </c>
      <c r="B10703" s="7" t="s">
        <v>26</v>
      </c>
      <c r="C10703" s="7" t="s">
        <v>27</v>
      </c>
      <c r="D10703" s="7" t="s">
        <v>28</v>
      </c>
      <c r="E10703" s="7" t="s">
        <v>29</v>
      </c>
      <c r="F10703" s="7" t="s">
        <v>325</v>
      </c>
      <c r="G10703" s="7">
        <v>100.6289</v>
      </c>
      <c r="H10703" s="7"/>
    </row>
    <row r="10704" spans="1:8" x14ac:dyDescent="0.35">
      <c r="A10704" s="7" t="s">
        <v>382</v>
      </c>
      <c r="B10704" s="7" t="s">
        <v>26</v>
      </c>
      <c r="C10704" s="7" t="s">
        <v>27</v>
      </c>
      <c r="D10704" s="7" t="s">
        <v>28</v>
      </c>
      <c r="E10704" s="7" t="s">
        <v>29</v>
      </c>
      <c r="F10704" s="7" t="s">
        <v>326</v>
      </c>
      <c r="G10704" s="7">
        <v>100.5932</v>
      </c>
      <c r="H10704" s="7"/>
    </row>
    <row r="10705" spans="1:8" x14ac:dyDescent="0.35">
      <c r="A10705" s="7" t="s">
        <v>382</v>
      </c>
      <c r="B10705" s="7" t="s">
        <v>26</v>
      </c>
      <c r="C10705" s="7" t="s">
        <v>27</v>
      </c>
      <c r="D10705" s="7" t="s">
        <v>28</v>
      </c>
      <c r="E10705" s="7" t="s">
        <v>29</v>
      </c>
      <c r="F10705" s="7" t="s">
        <v>327</v>
      </c>
      <c r="G10705" s="7">
        <v>100.5501</v>
      </c>
      <c r="H10705" s="7"/>
    </row>
    <row r="10706" spans="1:8" x14ac:dyDescent="0.35">
      <c r="A10706" s="7" t="s">
        <v>382</v>
      </c>
      <c r="B10706" s="7" t="s">
        <v>26</v>
      </c>
      <c r="C10706" s="7" t="s">
        <v>27</v>
      </c>
      <c r="D10706" s="7" t="s">
        <v>28</v>
      </c>
      <c r="E10706" s="7" t="s">
        <v>29</v>
      </c>
      <c r="F10706" s="7" t="s">
        <v>328</v>
      </c>
      <c r="G10706" s="7">
        <v>100.5677</v>
      </c>
      <c r="H10706" s="7"/>
    </row>
    <row r="10707" spans="1:8" x14ac:dyDescent="0.35">
      <c r="A10707" s="7" t="s">
        <v>382</v>
      </c>
      <c r="B10707" s="7" t="s">
        <v>26</v>
      </c>
      <c r="C10707" s="7" t="s">
        <v>27</v>
      </c>
      <c r="D10707" s="7" t="s">
        <v>28</v>
      </c>
      <c r="E10707" s="7" t="s">
        <v>29</v>
      </c>
      <c r="F10707" s="7" t="s">
        <v>329</v>
      </c>
      <c r="G10707" s="7">
        <v>100.6598</v>
      </c>
      <c r="H10707" s="7"/>
    </row>
    <row r="10708" spans="1:8" x14ac:dyDescent="0.35">
      <c r="A10708" s="7" t="s">
        <v>382</v>
      </c>
      <c r="B10708" s="7" t="s">
        <v>26</v>
      </c>
      <c r="C10708" s="7" t="s">
        <v>27</v>
      </c>
      <c r="D10708" s="7" t="s">
        <v>28</v>
      </c>
      <c r="E10708" s="7" t="s">
        <v>29</v>
      </c>
      <c r="F10708" s="7" t="s">
        <v>330</v>
      </c>
      <c r="G10708" s="7">
        <v>100.8163</v>
      </c>
      <c r="H10708" s="7"/>
    </row>
    <row r="10709" spans="1:8" x14ac:dyDescent="0.35">
      <c r="A10709" s="7" t="s">
        <v>382</v>
      </c>
      <c r="B10709" s="7" t="s">
        <v>26</v>
      </c>
      <c r="C10709" s="7" t="s">
        <v>27</v>
      </c>
      <c r="D10709" s="7" t="s">
        <v>28</v>
      </c>
      <c r="E10709" s="7" t="s">
        <v>29</v>
      </c>
      <c r="F10709" s="7" t="s">
        <v>331</v>
      </c>
      <c r="G10709" s="7">
        <v>100.94289999999999</v>
      </c>
      <c r="H10709" s="7"/>
    </row>
    <row r="10710" spans="1:8" x14ac:dyDescent="0.35">
      <c r="A10710" s="7" t="s">
        <v>382</v>
      </c>
      <c r="B10710" s="7" t="s">
        <v>26</v>
      </c>
      <c r="C10710" s="7" t="s">
        <v>27</v>
      </c>
      <c r="D10710" s="7" t="s">
        <v>28</v>
      </c>
      <c r="E10710" s="7" t="s">
        <v>29</v>
      </c>
      <c r="F10710" s="7" t="s">
        <v>332</v>
      </c>
      <c r="G10710" s="7">
        <v>100.99290000000001</v>
      </c>
      <c r="H10710" s="7"/>
    </row>
    <row r="10711" spans="1:8" x14ac:dyDescent="0.35">
      <c r="A10711" s="7" t="s">
        <v>382</v>
      </c>
      <c r="B10711" s="7" t="s">
        <v>26</v>
      </c>
      <c r="C10711" s="7" t="s">
        <v>27</v>
      </c>
      <c r="D10711" s="7" t="s">
        <v>28</v>
      </c>
      <c r="E10711" s="7" t="s">
        <v>29</v>
      </c>
      <c r="F10711" s="7" t="s">
        <v>333</v>
      </c>
      <c r="G10711" s="7">
        <v>100.99979999999999</v>
      </c>
      <c r="H10711" s="7"/>
    </row>
    <row r="10712" spans="1:8" x14ac:dyDescent="0.35">
      <c r="A10712" s="7" t="s">
        <v>382</v>
      </c>
      <c r="B10712" s="7" t="s">
        <v>26</v>
      </c>
      <c r="C10712" s="7" t="s">
        <v>27</v>
      </c>
      <c r="D10712" s="7" t="s">
        <v>28</v>
      </c>
      <c r="E10712" s="7" t="s">
        <v>29</v>
      </c>
      <c r="F10712" s="7" t="s">
        <v>334</v>
      </c>
      <c r="G10712" s="7">
        <v>101.09220000000001</v>
      </c>
      <c r="H10712" s="7"/>
    </row>
    <row r="10713" spans="1:8" x14ac:dyDescent="0.35">
      <c r="A10713" s="7" t="s">
        <v>382</v>
      </c>
      <c r="B10713" s="7" t="s">
        <v>26</v>
      </c>
      <c r="C10713" s="7" t="s">
        <v>27</v>
      </c>
      <c r="D10713" s="7" t="s">
        <v>28</v>
      </c>
      <c r="E10713" s="7" t="s">
        <v>29</v>
      </c>
      <c r="F10713" s="7" t="s">
        <v>335</v>
      </c>
      <c r="G10713" s="7">
        <v>101.246</v>
      </c>
      <c r="H10713" s="7"/>
    </row>
    <row r="10714" spans="1:8" x14ac:dyDescent="0.35">
      <c r="A10714" s="7" t="s">
        <v>382</v>
      </c>
      <c r="B10714" s="7" t="s">
        <v>26</v>
      </c>
      <c r="C10714" s="7" t="s">
        <v>27</v>
      </c>
      <c r="D10714" s="7" t="s">
        <v>28</v>
      </c>
      <c r="E10714" s="7" t="s">
        <v>29</v>
      </c>
      <c r="F10714" s="7" t="s">
        <v>336</v>
      </c>
      <c r="G10714" s="7">
        <v>101.401</v>
      </c>
      <c r="H10714" s="7"/>
    </row>
    <row r="10715" spans="1:8" x14ac:dyDescent="0.35">
      <c r="A10715" s="7" t="s">
        <v>382</v>
      </c>
      <c r="B10715" s="7" t="s">
        <v>26</v>
      </c>
      <c r="C10715" s="7" t="s">
        <v>27</v>
      </c>
      <c r="D10715" s="7" t="s">
        <v>28</v>
      </c>
      <c r="E10715" s="7" t="s">
        <v>29</v>
      </c>
      <c r="F10715" s="7" t="s">
        <v>337</v>
      </c>
      <c r="G10715" s="7">
        <v>101.5458</v>
      </c>
      <c r="H10715" s="7"/>
    </row>
    <row r="10716" spans="1:8" x14ac:dyDescent="0.35">
      <c r="A10716" s="7" t="s">
        <v>382</v>
      </c>
      <c r="B10716" s="7" t="s">
        <v>26</v>
      </c>
      <c r="C10716" s="7" t="s">
        <v>27</v>
      </c>
      <c r="D10716" s="7" t="s">
        <v>28</v>
      </c>
      <c r="E10716" s="7" t="s">
        <v>29</v>
      </c>
      <c r="F10716" s="7" t="s">
        <v>338</v>
      </c>
      <c r="G10716" s="7">
        <v>101.6117</v>
      </c>
      <c r="H10716" s="7"/>
    </row>
    <row r="10717" spans="1:8" x14ac:dyDescent="0.35">
      <c r="A10717" s="7" t="s">
        <v>382</v>
      </c>
      <c r="B10717" s="7" t="s">
        <v>26</v>
      </c>
      <c r="C10717" s="7" t="s">
        <v>27</v>
      </c>
      <c r="D10717" s="7" t="s">
        <v>28</v>
      </c>
      <c r="E10717" s="7" t="s">
        <v>29</v>
      </c>
      <c r="F10717" s="7" t="s">
        <v>339</v>
      </c>
      <c r="G10717" s="7">
        <v>101.6472</v>
      </c>
      <c r="H10717" s="7"/>
    </row>
    <row r="10718" spans="1:8" x14ac:dyDescent="0.35">
      <c r="A10718" s="7" t="s">
        <v>382</v>
      </c>
      <c r="B10718" s="7" t="s">
        <v>26</v>
      </c>
      <c r="C10718" s="7" t="s">
        <v>27</v>
      </c>
      <c r="D10718" s="7" t="s">
        <v>28</v>
      </c>
      <c r="E10718" s="7" t="s">
        <v>29</v>
      </c>
      <c r="F10718" s="7" t="s">
        <v>340</v>
      </c>
      <c r="G10718" s="7">
        <v>101.6884</v>
      </c>
      <c r="H10718" s="7"/>
    </row>
    <row r="10719" spans="1:8" x14ac:dyDescent="0.35">
      <c r="A10719" s="7" t="s">
        <v>382</v>
      </c>
      <c r="B10719" s="7" t="s">
        <v>26</v>
      </c>
      <c r="C10719" s="7" t="s">
        <v>27</v>
      </c>
      <c r="D10719" s="7" t="s">
        <v>28</v>
      </c>
      <c r="E10719" s="7" t="s">
        <v>29</v>
      </c>
      <c r="F10719" s="7" t="s">
        <v>341</v>
      </c>
      <c r="G10719" s="7">
        <v>101.755</v>
      </c>
      <c r="H10719" s="7"/>
    </row>
    <row r="10720" spans="1:8" x14ac:dyDescent="0.35">
      <c r="A10720" s="7" t="s">
        <v>382</v>
      </c>
      <c r="B10720" s="7" t="s">
        <v>26</v>
      </c>
      <c r="C10720" s="7" t="s">
        <v>27</v>
      </c>
      <c r="D10720" s="7" t="s">
        <v>28</v>
      </c>
      <c r="E10720" s="7" t="s">
        <v>29</v>
      </c>
      <c r="F10720" s="7" t="s">
        <v>342</v>
      </c>
      <c r="G10720" s="7">
        <v>101.858</v>
      </c>
      <c r="H10720" s="7"/>
    </row>
    <row r="10721" spans="1:8" x14ac:dyDescent="0.35">
      <c r="A10721" s="7" t="s">
        <v>382</v>
      </c>
      <c r="B10721" s="7" t="s">
        <v>26</v>
      </c>
      <c r="C10721" s="7" t="s">
        <v>27</v>
      </c>
      <c r="D10721" s="7" t="s">
        <v>28</v>
      </c>
      <c r="E10721" s="7" t="s">
        <v>29</v>
      </c>
      <c r="F10721" s="7" t="s">
        <v>343</v>
      </c>
      <c r="G10721" s="7">
        <v>101.9483</v>
      </c>
      <c r="H10721" s="7"/>
    </row>
    <row r="10722" spans="1:8" x14ac:dyDescent="0.35">
      <c r="A10722" s="7" t="s">
        <v>382</v>
      </c>
      <c r="B10722" s="7" t="s">
        <v>26</v>
      </c>
      <c r="C10722" s="7" t="s">
        <v>27</v>
      </c>
      <c r="D10722" s="7" t="s">
        <v>28</v>
      </c>
      <c r="E10722" s="7" t="s">
        <v>29</v>
      </c>
      <c r="F10722" s="7" t="s">
        <v>344</v>
      </c>
      <c r="G10722" s="7">
        <v>101.9896</v>
      </c>
      <c r="H10722" s="7"/>
    </row>
    <row r="10723" spans="1:8" x14ac:dyDescent="0.35">
      <c r="A10723" s="7" t="s">
        <v>382</v>
      </c>
      <c r="B10723" s="7" t="s">
        <v>26</v>
      </c>
      <c r="C10723" s="7" t="s">
        <v>27</v>
      </c>
      <c r="D10723" s="7" t="s">
        <v>28</v>
      </c>
      <c r="E10723" s="7" t="s">
        <v>29</v>
      </c>
      <c r="F10723" s="7" t="s">
        <v>345</v>
      </c>
      <c r="G10723" s="7">
        <v>101.9487</v>
      </c>
      <c r="H10723" s="7"/>
    </row>
    <row r="10724" spans="1:8" x14ac:dyDescent="0.35">
      <c r="A10724" s="7" t="s">
        <v>382</v>
      </c>
      <c r="B10724" s="7" t="s">
        <v>26</v>
      </c>
      <c r="C10724" s="7" t="s">
        <v>27</v>
      </c>
      <c r="D10724" s="7" t="s">
        <v>28</v>
      </c>
      <c r="E10724" s="7" t="s">
        <v>29</v>
      </c>
      <c r="F10724" s="7" t="s">
        <v>346</v>
      </c>
      <c r="G10724" s="7">
        <v>101.8974</v>
      </c>
      <c r="H10724" s="7"/>
    </row>
    <row r="10725" spans="1:8" x14ac:dyDescent="0.35">
      <c r="A10725" s="7" t="s">
        <v>383</v>
      </c>
      <c r="B10725" s="7" t="s">
        <v>26</v>
      </c>
      <c r="C10725" s="7" t="s">
        <v>27</v>
      </c>
      <c r="D10725" s="7" t="s">
        <v>28</v>
      </c>
      <c r="E10725" s="7" t="s">
        <v>29</v>
      </c>
      <c r="F10725" s="7" t="s">
        <v>262</v>
      </c>
      <c r="G10725" s="7">
        <v>100.1812</v>
      </c>
      <c r="H10725" s="7"/>
    </row>
    <row r="10726" spans="1:8" x14ac:dyDescent="0.35">
      <c r="A10726" s="7" t="s">
        <v>383</v>
      </c>
      <c r="B10726" s="7" t="s">
        <v>26</v>
      </c>
      <c r="C10726" s="7" t="s">
        <v>27</v>
      </c>
      <c r="D10726" s="7" t="s">
        <v>28</v>
      </c>
      <c r="E10726" s="7" t="s">
        <v>29</v>
      </c>
      <c r="F10726" s="7" t="s">
        <v>263</v>
      </c>
      <c r="G10726" s="7">
        <v>100.29810000000001</v>
      </c>
      <c r="H10726" s="7"/>
    </row>
    <row r="10727" spans="1:8" x14ac:dyDescent="0.35">
      <c r="A10727" s="7" t="s">
        <v>383</v>
      </c>
      <c r="B10727" s="7" t="s">
        <v>26</v>
      </c>
      <c r="C10727" s="7" t="s">
        <v>27</v>
      </c>
      <c r="D10727" s="7" t="s">
        <v>28</v>
      </c>
      <c r="E10727" s="7" t="s">
        <v>29</v>
      </c>
      <c r="F10727" s="7" t="s">
        <v>264</v>
      </c>
      <c r="G10727" s="7">
        <v>100.3579</v>
      </c>
      <c r="H10727" s="7"/>
    </row>
    <row r="10728" spans="1:8" x14ac:dyDescent="0.35">
      <c r="A10728" s="7" t="s">
        <v>383</v>
      </c>
      <c r="B10728" s="7" t="s">
        <v>26</v>
      </c>
      <c r="C10728" s="7" t="s">
        <v>27</v>
      </c>
      <c r="D10728" s="7" t="s">
        <v>28</v>
      </c>
      <c r="E10728" s="7" t="s">
        <v>29</v>
      </c>
      <c r="F10728" s="7" t="s">
        <v>265</v>
      </c>
      <c r="G10728" s="7">
        <v>100.3934</v>
      </c>
      <c r="H10728" s="7"/>
    </row>
    <row r="10729" spans="1:8" x14ac:dyDescent="0.35">
      <c r="A10729" s="7" t="s">
        <v>383</v>
      </c>
      <c r="B10729" s="7" t="s">
        <v>26</v>
      </c>
      <c r="C10729" s="7" t="s">
        <v>27</v>
      </c>
      <c r="D10729" s="7" t="s">
        <v>28</v>
      </c>
      <c r="E10729" s="7" t="s">
        <v>29</v>
      </c>
      <c r="F10729" s="7" t="s">
        <v>266</v>
      </c>
      <c r="G10729" s="7">
        <v>100.268</v>
      </c>
      <c r="H10729" s="7"/>
    </row>
    <row r="10730" spans="1:8" x14ac:dyDescent="0.35">
      <c r="A10730" s="7" t="s">
        <v>383</v>
      </c>
      <c r="B10730" s="7" t="s">
        <v>26</v>
      </c>
      <c r="C10730" s="7" t="s">
        <v>27</v>
      </c>
      <c r="D10730" s="7" t="s">
        <v>28</v>
      </c>
      <c r="E10730" s="7" t="s">
        <v>29</v>
      </c>
      <c r="F10730" s="7" t="s">
        <v>267</v>
      </c>
      <c r="G10730" s="7">
        <v>100.0642</v>
      </c>
      <c r="H10730" s="7"/>
    </row>
    <row r="10731" spans="1:8" x14ac:dyDescent="0.35">
      <c r="A10731" s="7" t="s">
        <v>383</v>
      </c>
      <c r="B10731" s="7" t="s">
        <v>26</v>
      </c>
      <c r="C10731" s="7" t="s">
        <v>27</v>
      </c>
      <c r="D10731" s="7" t="s">
        <v>28</v>
      </c>
      <c r="E10731" s="7" t="s">
        <v>29</v>
      </c>
      <c r="F10731" s="7" t="s">
        <v>268</v>
      </c>
      <c r="G10731" s="7">
        <v>100.06140000000001</v>
      </c>
      <c r="H10731" s="7"/>
    </row>
    <row r="10732" spans="1:8" x14ac:dyDescent="0.35">
      <c r="A10732" s="7" t="s">
        <v>383</v>
      </c>
      <c r="B10732" s="7" t="s">
        <v>26</v>
      </c>
      <c r="C10732" s="7" t="s">
        <v>27</v>
      </c>
      <c r="D10732" s="7" t="s">
        <v>28</v>
      </c>
      <c r="E10732" s="7" t="s">
        <v>29</v>
      </c>
      <c r="F10732" s="7" t="s">
        <v>269</v>
      </c>
      <c r="G10732" s="7">
        <v>100.1375</v>
      </c>
      <c r="H10732" s="7"/>
    </row>
    <row r="10733" spans="1:8" x14ac:dyDescent="0.35">
      <c r="A10733" s="7" t="s">
        <v>383</v>
      </c>
      <c r="B10733" s="7" t="s">
        <v>26</v>
      </c>
      <c r="C10733" s="7" t="s">
        <v>27</v>
      </c>
      <c r="D10733" s="7" t="s">
        <v>28</v>
      </c>
      <c r="E10733" s="7" t="s">
        <v>29</v>
      </c>
      <c r="F10733" s="7" t="s">
        <v>270</v>
      </c>
      <c r="G10733" s="7">
        <v>100.1134</v>
      </c>
      <c r="H10733" s="7"/>
    </row>
    <row r="10734" spans="1:8" x14ac:dyDescent="0.35">
      <c r="A10734" s="7" t="s">
        <v>383</v>
      </c>
      <c r="B10734" s="7" t="s">
        <v>26</v>
      </c>
      <c r="C10734" s="7" t="s">
        <v>27</v>
      </c>
      <c r="D10734" s="7" t="s">
        <v>28</v>
      </c>
      <c r="E10734" s="7" t="s">
        <v>29</v>
      </c>
      <c r="F10734" s="7" t="s">
        <v>271</v>
      </c>
      <c r="G10734" s="7">
        <v>100.03189999999999</v>
      </c>
      <c r="H10734" s="7"/>
    </row>
    <row r="10735" spans="1:8" x14ac:dyDescent="0.35">
      <c r="A10735" s="7" t="s">
        <v>383</v>
      </c>
      <c r="B10735" s="7" t="s">
        <v>26</v>
      </c>
      <c r="C10735" s="7" t="s">
        <v>27</v>
      </c>
      <c r="D10735" s="7" t="s">
        <v>28</v>
      </c>
      <c r="E10735" s="7" t="s">
        <v>29</v>
      </c>
      <c r="F10735" s="7" t="s">
        <v>272</v>
      </c>
      <c r="G10735" s="7">
        <v>99.942890000000006</v>
      </c>
      <c r="H10735" s="7"/>
    </row>
    <row r="10736" spans="1:8" x14ac:dyDescent="0.35">
      <c r="A10736" s="7" t="s">
        <v>383</v>
      </c>
      <c r="B10736" s="7" t="s">
        <v>26</v>
      </c>
      <c r="C10736" s="7" t="s">
        <v>27</v>
      </c>
      <c r="D10736" s="7" t="s">
        <v>28</v>
      </c>
      <c r="E10736" s="7" t="s">
        <v>29</v>
      </c>
      <c r="F10736" s="7" t="s">
        <v>273</v>
      </c>
      <c r="G10736" s="7">
        <v>99.868049999999997</v>
      </c>
      <c r="H10736" s="7"/>
    </row>
    <row r="10737" spans="1:8" x14ac:dyDescent="0.35">
      <c r="A10737" s="7" t="s">
        <v>383</v>
      </c>
      <c r="B10737" s="7" t="s">
        <v>26</v>
      </c>
      <c r="C10737" s="7" t="s">
        <v>27</v>
      </c>
      <c r="D10737" s="7" t="s">
        <v>28</v>
      </c>
      <c r="E10737" s="7" t="s">
        <v>29</v>
      </c>
      <c r="F10737" s="7" t="s">
        <v>274</v>
      </c>
      <c r="G10737" s="7">
        <v>99.886920000000003</v>
      </c>
      <c r="H10737" s="7"/>
    </row>
    <row r="10738" spans="1:8" x14ac:dyDescent="0.35">
      <c r="A10738" s="7" t="s">
        <v>383</v>
      </c>
      <c r="B10738" s="7" t="s">
        <v>26</v>
      </c>
      <c r="C10738" s="7" t="s">
        <v>27</v>
      </c>
      <c r="D10738" s="7" t="s">
        <v>28</v>
      </c>
      <c r="E10738" s="7" t="s">
        <v>29</v>
      </c>
      <c r="F10738" s="7" t="s">
        <v>275</v>
      </c>
      <c r="G10738" s="7">
        <v>99.980230000000006</v>
      </c>
      <c r="H10738" s="7"/>
    </row>
    <row r="10739" spans="1:8" x14ac:dyDescent="0.35">
      <c r="A10739" s="7" t="s">
        <v>383</v>
      </c>
      <c r="B10739" s="7" t="s">
        <v>26</v>
      </c>
      <c r="C10739" s="7" t="s">
        <v>27</v>
      </c>
      <c r="D10739" s="7" t="s">
        <v>28</v>
      </c>
      <c r="E10739" s="7" t="s">
        <v>29</v>
      </c>
      <c r="F10739" s="7" t="s">
        <v>276</v>
      </c>
      <c r="G10739" s="7">
        <v>100.0406</v>
      </c>
      <c r="H10739" s="7"/>
    </row>
    <row r="10740" spans="1:8" x14ac:dyDescent="0.35">
      <c r="A10740" s="7" t="s">
        <v>383</v>
      </c>
      <c r="B10740" s="7" t="s">
        <v>26</v>
      </c>
      <c r="C10740" s="7" t="s">
        <v>27</v>
      </c>
      <c r="D10740" s="7" t="s">
        <v>28</v>
      </c>
      <c r="E10740" s="7" t="s">
        <v>29</v>
      </c>
      <c r="F10740" s="7" t="s">
        <v>277</v>
      </c>
      <c r="G10740" s="7">
        <v>99.945899999999995</v>
      </c>
      <c r="H10740" s="7"/>
    </row>
    <row r="10741" spans="1:8" x14ac:dyDescent="0.35">
      <c r="A10741" s="7" t="s">
        <v>383</v>
      </c>
      <c r="B10741" s="7" t="s">
        <v>26</v>
      </c>
      <c r="C10741" s="7" t="s">
        <v>27</v>
      </c>
      <c r="D10741" s="7" t="s">
        <v>28</v>
      </c>
      <c r="E10741" s="7" t="s">
        <v>29</v>
      </c>
      <c r="F10741" s="7" t="s">
        <v>278</v>
      </c>
      <c r="G10741" s="7">
        <v>99.584559999999996</v>
      </c>
      <c r="H10741" s="7"/>
    </row>
    <row r="10742" spans="1:8" x14ac:dyDescent="0.35">
      <c r="A10742" s="7" t="s">
        <v>383</v>
      </c>
      <c r="B10742" s="7" t="s">
        <v>26</v>
      </c>
      <c r="C10742" s="7" t="s">
        <v>27</v>
      </c>
      <c r="D10742" s="7" t="s">
        <v>28</v>
      </c>
      <c r="E10742" s="7" t="s">
        <v>29</v>
      </c>
      <c r="F10742" s="7" t="s">
        <v>279</v>
      </c>
      <c r="G10742" s="7">
        <v>99.09881</v>
      </c>
      <c r="H10742" s="7"/>
    </row>
    <row r="10743" spans="1:8" x14ac:dyDescent="0.35">
      <c r="A10743" s="7" t="s">
        <v>383</v>
      </c>
      <c r="B10743" s="7" t="s">
        <v>26</v>
      </c>
      <c r="C10743" s="7" t="s">
        <v>27</v>
      </c>
      <c r="D10743" s="7" t="s">
        <v>28</v>
      </c>
      <c r="E10743" s="7" t="s">
        <v>29</v>
      </c>
      <c r="F10743" s="7" t="s">
        <v>280</v>
      </c>
      <c r="G10743" s="7">
        <v>98.870559999999998</v>
      </c>
      <c r="H10743" s="7"/>
    </row>
    <row r="10744" spans="1:8" x14ac:dyDescent="0.35">
      <c r="A10744" s="7" t="s">
        <v>383</v>
      </c>
      <c r="B10744" s="7" t="s">
        <v>26</v>
      </c>
      <c r="C10744" s="7" t="s">
        <v>27</v>
      </c>
      <c r="D10744" s="7" t="s">
        <v>28</v>
      </c>
      <c r="E10744" s="7" t="s">
        <v>29</v>
      </c>
      <c r="F10744" s="7" t="s">
        <v>281</v>
      </c>
      <c r="G10744" s="7">
        <v>99.016270000000006</v>
      </c>
      <c r="H10744" s="7"/>
    </row>
    <row r="10745" spans="1:8" x14ac:dyDescent="0.35">
      <c r="A10745" s="7" t="s">
        <v>383</v>
      </c>
      <c r="B10745" s="7" t="s">
        <v>26</v>
      </c>
      <c r="C10745" s="7" t="s">
        <v>27</v>
      </c>
      <c r="D10745" s="7" t="s">
        <v>28</v>
      </c>
      <c r="E10745" s="7" t="s">
        <v>29</v>
      </c>
      <c r="F10745" s="7" t="s">
        <v>282</v>
      </c>
      <c r="G10745" s="7">
        <v>99.27337</v>
      </c>
      <c r="H10745" s="7"/>
    </row>
    <row r="10746" spans="1:8" x14ac:dyDescent="0.35">
      <c r="A10746" s="7" t="s">
        <v>383</v>
      </c>
      <c r="B10746" s="7" t="s">
        <v>26</v>
      </c>
      <c r="C10746" s="7" t="s">
        <v>27</v>
      </c>
      <c r="D10746" s="7" t="s">
        <v>28</v>
      </c>
      <c r="E10746" s="7" t="s">
        <v>29</v>
      </c>
      <c r="F10746" s="7" t="s">
        <v>283</v>
      </c>
      <c r="G10746" s="7">
        <v>99.425550000000001</v>
      </c>
      <c r="H10746" s="7"/>
    </row>
    <row r="10747" spans="1:8" x14ac:dyDescent="0.35">
      <c r="A10747" s="7" t="s">
        <v>383</v>
      </c>
      <c r="B10747" s="7" t="s">
        <v>26</v>
      </c>
      <c r="C10747" s="7" t="s">
        <v>27</v>
      </c>
      <c r="D10747" s="7" t="s">
        <v>28</v>
      </c>
      <c r="E10747" s="7" t="s">
        <v>29</v>
      </c>
      <c r="F10747" s="7" t="s">
        <v>284</v>
      </c>
      <c r="G10747" s="7">
        <v>99.531369999999995</v>
      </c>
      <c r="H10747" s="7"/>
    </row>
    <row r="10748" spans="1:8" x14ac:dyDescent="0.35">
      <c r="A10748" s="7" t="s">
        <v>383</v>
      </c>
      <c r="B10748" s="7" t="s">
        <v>26</v>
      </c>
      <c r="C10748" s="7" t="s">
        <v>27</v>
      </c>
      <c r="D10748" s="7" t="s">
        <v>28</v>
      </c>
      <c r="E10748" s="7" t="s">
        <v>29</v>
      </c>
      <c r="F10748" s="7" t="s">
        <v>285</v>
      </c>
      <c r="G10748" s="7">
        <v>99.610919999999993</v>
      </c>
      <c r="H10748" s="7"/>
    </row>
    <row r="10749" spans="1:8" x14ac:dyDescent="0.35">
      <c r="A10749" s="7" t="s">
        <v>383</v>
      </c>
      <c r="B10749" s="7" t="s">
        <v>26</v>
      </c>
      <c r="C10749" s="7" t="s">
        <v>27</v>
      </c>
      <c r="D10749" s="7" t="s">
        <v>28</v>
      </c>
      <c r="E10749" s="7" t="s">
        <v>29</v>
      </c>
      <c r="F10749" s="7" t="s">
        <v>286</v>
      </c>
      <c r="G10749" s="7">
        <v>99.621390000000005</v>
      </c>
      <c r="H10749" s="7"/>
    </row>
    <row r="10750" spans="1:8" x14ac:dyDescent="0.35">
      <c r="A10750" s="7" t="s">
        <v>383</v>
      </c>
      <c r="B10750" s="7" t="s">
        <v>26</v>
      </c>
      <c r="C10750" s="7" t="s">
        <v>27</v>
      </c>
      <c r="D10750" s="7" t="s">
        <v>28</v>
      </c>
      <c r="E10750" s="7" t="s">
        <v>29</v>
      </c>
      <c r="F10750" s="7" t="s">
        <v>287</v>
      </c>
      <c r="G10750" s="7">
        <v>99.485209999999995</v>
      </c>
      <c r="H10750" s="7"/>
    </row>
    <row r="10751" spans="1:8" x14ac:dyDescent="0.35">
      <c r="A10751" s="7" t="s">
        <v>383</v>
      </c>
      <c r="B10751" s="7" t="s">
        <v>26</v>
      </c>
      <c r="C10751" s="7" t="s">
        <v>27</v>
      </c>
      <c r="D10751" s="7" t="s">
        <v>28</v>
      </c>
      <c r="E10751" s="7" t="s">
        <v>29</v>
      </c>
      <c r="F10751" s="7" t="s">
        <v>288</v>
      </c>
      <c r="G10751" s="7">
        <v>99.164919999999995</v>
      </c>
      <c r="H10751" s="7"/>
    </row>
    <row r="10752" spans="1:8" x14ac:dyDescent="0.35">
      <c r="A10752" s="7" t="s">
        <v>383</v>
      </c>
      <c r="B10752" s="7" t="s">
        <v>26</v>
      </c>
      <c r="C10752" s="7" t="s">
        <v>27</v>
      </c>
      <c r="D10752" s="7" t="s">
        <v>28</v>
      </c>
      <c r="E10752" s="7" t="s">
        <v>29</v>
      </c>
      <c r="F10752" s="7" t="s">
        <v>289</v>
      </c>
      <c r="G10752" s="7">
        <v>98.953940000000003</v>
      </c>
      <c r="H10752" s="7"/>
    </row>
    <row r="10753" spans="1:8" x14ac:dyDescent="0.35">
      <c r="A10753" s="7" t="s">
        <v>383</v>
      </c>
      <c r="B10753" s="7" t="s">
        <v>26</v>
      </c>
      <c r="C10753" s="7" t="s">
        <v>27</v>
      </c>
      <c r="D10753" s="7" t="s">
        <v>28</v>
      </c>
      <c r="E10753" s="7" t="s">
        <v>29</v>
      </c>
      <c r="F10753" s="7" t="s">
        <v>290</v>
      </c>
      <c r="G10753" s="7">
        <v>98.989109999999997</v>
      </c>
      <c r="H10753" s="7"/>
    </row>
    <row r="10754" spans="1:8" x14ac:dyDescent="0.35">
      <c r="A10754" s="7" t="s">
        <v>383</v>
      </c>
      <c r="B10754" s="7" t="s">
        <v>26</v>
      </c>
      <c r="C10754" s="7" t="s">
        <v>27</v>
      </c>
      <c r="D10754" s="7" t="s">
        <v>28</v>
      </c>
      <c r="E10754" s="7" t="s">
        <v>29</v>
      </c>
      <c r="F10754" s="7" t="s">
        <v>291</v>
      </c>
      <c r="G10754" s="7">
        <v>99.149410000000003</v>
      </c>
      <c r="H10754" s="7"/>
    </row>
    <row r="10755" spans="1:8" x14ac:dyDescent="0.35">
      <c r="A10755" s="7" t="s">
        <v>383</v>
      </c>
      <c r="B10755" s="7" t="s">
        <v>26</v>
      </c>
      <c r="C10755" s="7" t="s">
        <v>27</v>
      </c>
      <c r="D10755" s="7" t="s">
        <v>28</v>
      </c>
      <c r="E10755" s="7" t="s">
        <v>29</v>
      </c>
      <c r="F10755" s="7" t="s">
        <v>292</v>
      </c>
      <c r="G10755" s="7">
        <v>99.313360000000003</v>
      </c>
      <c r="H10755" s="7"/>
    </row>
    <row r="10756" spans="1:8" x14ac:dyDescent="0.35">
      <c r="A10756" s="7" t="s">
        <v>383</v>
      </c>
      <c r="B10756" s="7" t="s">
        <v>26</v>
      </c>
      <c r="C10756" s="7" t="s">
        <v>27</v>
      </c>
      <c r="D10756" s="7" t="s">
        <v>28</v>
      </c>
      <c r="E10756" s="7" t="s">
        <v>29</v>
      </c>
      <c r="F10756" s="7" t="s">
        <v>293</v>
      </c>
      <c r="G10756" s="7">
        <v>99.41892</v>
      </c>
      <c r="H10756" s="7"/>
    </row>
    <row r="10757" spans="1:8" x14ac:dyDescent="0.35">
      <c r="A10757" s="7" t="s">
        <v>383</v>
      </c>
      <c r="B10757" s="7" t="s">
        <v>26</v>
      </c>
      <c r="C10757" s="7" t="s">
        <v>27</v>
      </c>
      <c r="D10757" s="7" t="s">
        <v>28</v>
      </c>
      <c r="E10757" s="7" t="s">
        <v>29</v>
      </c>
      <c r="F10757" s="7" t="s">
        <v>294</v>
      </c>
      <c r="G10757" s="7">
        <v>99.380020000000002</v>
      </c>
      <c r="H10757" s="7"/>
    </row>
    <row r="10758" spans="1:8" x14ac:dyDescent="0.35">
      <c r="A10758" s="7" t="s">
        <v>383</v>
      </c>
      <c r="B10758" s="7" t="s">
        <v>26</v>
      </c>
      <c r="C10758" s="7" t="s">
        <v>27</v>
      </c>
      <c r="D10758" s="7" t="s">
        <v>28</v>
      </c>
      <c r="E10758" s="7" t="s">
        <v>29</v>
      </c>
      <c r="F10758" s="7" t="s">
        <v>295</v>
      </c>
      <c r="G10758" s="7">
        <v>99.335989999999995</v>
      </c>
      <c r="H10758" s="7"/>
    </row>
    <row r="10759" spans="1:8" x14ac:dyDescent="0.35">
      <c r="A10759" s="7" t="s">
        <v>383</v>
      </c>
      <c r="B10759" s="7" t="s">
        <v>26</v>
      </c>
      <c r="C10759" s="7" t="s">
        <v>27</v>
      </c>
      <c r="D10759" s="7" t="s">
        <v>28</v>
      </c>
      <c r="E10759" s="7" t="s">
        <v>29</v>
      </c>
      <c r="F10759" s="7" t="s">
        <v>296</v>
      </c>
      <c r="G10759" s="7">
        <v>99.346990000000005</v>
      </c>
      <c r="H10759" s="7"/>
    </row>
    <row r="10760" spans="1:8" x14ac:dyDescent="0.35">
      <c r="A10760" s="7" t="s">
        <v>383</v>
      </c>
      <c r="B10760" s="7" t="s">
        <v>26</v>
      </c>
      <c r="C10760" s="7" t="s">
        <v>27</v>
      </c>
      <c r="D10760" s="7" t="s">
        <v>28</v>
      </c>
      <c r="E10760" s="7" t="s">
        <v>29</v>
      </c>
      <c r="F10760" s="7" t="s">
        <v>297</v>
      </c>
      <c r="G10760" s="7">
        <v>99.452029999999993</v>
      </c>
      <c r="H10760" s="7"/>
    </row>
    <row r="10761" spans="1:8" x14ac:dyDescent="0.35">
      <c r="A10761" s="7" t="s">
        <v>383</v>
      </c>
      <c r="B10761" s="7" t="s">
        <v>26</v>
      </c>
      <c r="C10761" s="7" t="s">
        <v>27</v>
      </c>
      <c r="D10761" s="7" t="s">
        <v>28</v>
      </c>
      <c r="E10761" s="7" t="s">
        <v>29</v>
      </c>
      <c r="F10761" s="7" t="s">
        <v>298</v>
      </c>
      <c r="G10761" s="7">
        <v>99.591350000000006</v>
      </c>
      <c r="H10761" s="7"/>
    </row>
    <row r="10762" spans="1:8" x14ac:dyDescent="0.35">
      <c r="A10762" s="7" t="s">
        <v>383</v>
      </c>
      <c r="B10762" s="7" t="s">
        <v>26</v>
      </c>
      <c r="C10762" s="7" t="s">
        <v>27</v>
      </c>
      <c r="D10762" s="7" t="s">
        <v>28</v>
      </c>
      <c r="E10762" s="7" t="s">
        <v>29</v>
      </c>
      <c r="F10762" s="7" t="s">
        <v>299</v>
      </c>
      <c r="G10762" s="7">
        <v>99.729929999999996</v>
      </c>
      <c r="H10762" s="7"/>
    </row>
    <row r="10763" spans="1:8" x14ac:dyDescent="0.35">
      <c r="A10763" s="7" t="s">
        <v>383</v>
      </c>
      <c r="B10763" s="7" t="s">
        <v>26</v>
      </c>
      <c r="C10763" s="7" t="s">
        <v>27</v>
      </c>
      <c r="D10763" s="7" t="s">
        <v>28</v>
      </c>
      <c r="E10763" s="7" t="s">
        <v>29</v>
      </c>
      <c r="F10763" s="7" t="s">
        <v>300</v>
      </c>
      <c r="G10763" s="7">
        <v>99.742689999999996</v>
      </c>
      <c r="H10763" s="7"/>
    </row>
    <row r="10764" spans="1:8" x14ac:dyDescent="0.35">
      <c r="A10764" s="7" t="s">
        <v>383</v>
      </c>
      <c r="B10764" s="7" t="s">
        <v>26</v>
      </c>
      <c r="C10764" s="7" t="s">
        <v>27</v>
      </c>
      <c r="D10764" s="7" t="s">
        <v>28</v>
      </c>
      <c r="E10764" s="7" t="s">
        <v>29</v>
      </c>
      <c r="F10764" s="7" t="s">
        <v>301</v>
      </c>
      <c r="G10764" s="7">
        <v>99.654730000000001</v>
      </c>
      <c r="H10764" s="7"/>
    </row>
    <row r="10765" spans="1:8" x14ac:dyDescent="0.35">
      <c r="A10765" s="7" t="s">
        <v>383</v>
      </c>
      <c r="B10765" s="7" t="s">
        <v>26</v>
      </c>
      <c r="C10765" s="7" t="s">
        <v>27</v>
      </c>
      <c r="D10765" s="7" t="s">
        <v>28</v>
      </c>
      <c r="E10765" s="7" t="s">
        <v>29</v>
      </c>
      <c r="F10765" s="7" t="s">
        <v>302</v>
      </c>
      <c r="G10765" s="7">
        <v>99.55547</v>
      </c>
      <c r="H10765" s="7"/>
    </row>
    <row r="10766" spans="1:8" x14ac:dyDescent="0.35">
      <c r="A10766" s="7" t="s">
        <v>383</v>
      </c>
      <c r="B10766" s="7" t="s">
        <v>26</v>
      </c>
      <c r="C10766" s="7" t="s">
        <v>27</v>
      </c>
      <c r="D10766" s="7" t="s">
        <v>28</v>
      </c>
      <c r="E10766" s="7" t="s">
        <v>29</v>
      </c>
      <c r="F10766" s="7" t="s">
        <v>303</v>
      </c>
      <c r="G10766" s="7">
        <v>99.522289999999998</v>
      </c>
      <c r="H10766" s="7"/>
    </row>
    <row r="10767" spans="1:8" x14ac:dyDescent="0.35">
      <c r="A10767" s="7" t="s">
        <v>383</v>
      </c>
      <c r="B10767" s="7" t="s">
        <v>26</v>
      </c>
      <c r="C10767" s="7" t="s">
        <v>27</v>
      </c>
      <c r="D10767" s="7" t="s">
        <v>28</v>
      </c>
      <c r="E10767" s="7" t="s">
        <v>29</v>
      </c>
      <c r="F10767" s="7" t="s">
        <v>304</v>
      </c>
      <c r="G10767" s="7">
        <v>99.532359999999997</v>
      </c>
      <c r="H10767" s="7"/>
    </row>
    <row r="10768" spans="1:8" x14ac:dyDescent="0.35">
      <c r="A10768" s="7" t="s">
        <v>383</v>
      </c>
      <c r="B10768" s="7" t="s">
        <v>26</v>
      </c>
      <c r="C10768" s="7" t="s">
        <v>27</v>
      </c>
      <c r="D10768" s="7" t="s">
        <v>28</v>
      </c>
      <c r="E10768" s="7" t="s">
        <v>29</v>
      </c>
      <c r="F10768" s="7" t="s">
        <v>305</v>
      </c>
      <c r="G10768" s="7">
        <v>99.530460000000005</v>
      </c>
      <c r="H10768" s="7"/>
    </row>
    <row r="10769" spans="1:8" x14ac:dyDescent="0.35">
      <c r="A10769" s="7" t="s">
        <v>383</v>
      </c>
      <c r="B10769" s="7" t="s">
        <v>26</v>
      </c>
      <c r="C10769" s="7" t="s">
        <v>27</v>
      </c>
      <c r="D10769" s="7" t="s">
        <v>28</v>
      </c>
      <c r="E10769" s="7" t="s">
        <v>29</v>
      </c>
      <c r="F10769" s="7" t="s">
        <v>306</v>
      </c>
      <c r="G10769" s="7">
        <v>99.523200000000003</v>
      </c>
      <c r="H10769" s="7"/>
    </row>
    <row r="10770" spans="1:8" x14ac:dyDescent="0.35">
      <c r="A10770" s="7" t="s">
        <v>383</v>
      </c>
      <c r="B10770" s="7" t="s">
        <v>26</v>
      </c>
      <c r="C10770" s="7" t="s">
        <v>27</v>
      </c>
      <c r="D10770" s="7" t="s">
        <v>28</v>
      </c>
      <c r="E10770" s="7" t="s">
        <v>29</v>
      </c>
      <c r="F10770" s="7" t="s">
        <v>307</v>
      </c>
      <c r="G10770" s="7">
        <v>99.557060000000007</v>
      </c>
      <c r="H10770" s="7"/>
    </row>
    <row r="10771" spans="1:8" x14ac:dyDescent="0.35">
      <c r="A10771" s="7" t="s">
        <v>383</v>
      </c>
      <c r="B10771" s="7" t="s">
        <v>26</v>
      </c>
      <c r="C10771" s="7" t="s">
        <v>27</v>
      </c>
      <c r="D10771" s="7" t="s">
        <v>28</v>
      </c>
      <c r="E10771" s="7" t="s">
        <v>29</v>
      </c>
      <c r="F10771" s="7" t="s">
        <v>308</v>
      </c>
      <c r="G10771" s="7">
        <v>99.737170000000006</v>
      </c>
      <c r="H10771" s="7"/>
    </row>
    <row r="10772" spans="1:8" x14ac:dyDescent="0.35">
      <c r="A10772" s="7" t="s">
        <v>383</v>
      </c>
      <c r="B10772" s="7" t="s">
        <v>26</v>
      </c>
      <c r="C10772" s="7" t="s">
        <v>27</v>
      </c>
      <c r="D10772" s="7" t="s">
        <v>28</v>
      </c>
      <c r="E10772" s="7" t="s">
        <v>29</v>
      </c>
      <c r="F10772" s="7" t="s">
        <v>309</v>
      </c>
      <c r="G10772" s="7">
        <v>99.949479999999994</v>
      </c>
      <c r="H10772" s="7"/>
    </row>
    <row r="10773" spans="1:8" x14ac:dyDescent="0.35">
      <c r="A10773" s="7" t="s">
        <v>383</v>
      </c>
      <c r="B10773" s="7" t="s">
        <v>26</v>
      </c>
      <c r="C10773" s="7" t="s">
        <v>27</v>
      </c>
      <c r="D10773" s="7" t="s">
        <v>28</v>
      </c>
      <c r="E10773" s="7" t="s">
        <v>29</v>
      </c>
      <c r="F10773" s="7" t="s">
        <v>310</v>
      </c>
      <c r="G10773" s="7">
        <v>100.1284</v>
      </c>
      <c r="H10773" s="7"/>
    </row>
    <row r="10774" spans="1:8" x14ac:dyDescent="0.35">
      <c r="A10774" s="7" t="s">
        <v>383</v>
      </c>
      <c r="B10774" s="7" t="s">
        <v>26</v>
      </c>
      <c r="C10774" s="7" t="s">
        <v>27</v>
      </c>
      <c r="D10774" s="7" t="s">
        <v>28</v>
      </c>
      <c r="E10774" s="7" t="s">
        <v>29</v>
      </c>
      <c r="F10774" s="7" t="s">
        <v>311</v>
      </c>
      <c r="G10774" s="7">
        <v>100.16840000000001</v>
      </c>
      <c r="H10774" s="7"/>
    </row>
    <row r="10775" spans="1:8" x14ac:dyDescent="0.35">
      <c r="A10775" s="7" t="s">
        <v>383</v>
      </c>
      <c r="B10775" s="7" t="s">
        <v>26</v>
      </c>
      <c r="C10775" s="7" t="s">
        <v>27</v>
      </c>
      <c r="D10775" s="7" t="s">
        <v>28</v>
      </c>
      <c r="E10775" s="7" t="s">
        <v>29</v>
      </c>
      <c r="F10775" s="7" t="s">
        <v>312</v>
      </c>
      <c r="G10775" s="7">
        <v>100.0956</v>
      </c>
      <c r="H10775" s="7"/>
    </row>
    <row r="10776" spans="1:8" x14ac:dyDescent="0.35">
      <c r="A10776" s="7" t="s">
        <v>383</v>
      </c>
      <c r="B10776" s="7" t="s">
        <v>26</v>
      </c>
      <c r="C10776" s="7" t="s">
        <v>27</v>
      </c>
      <c r="D10776" s="7" t="s">
        <v>28</v>
      </c>
      <c r="E10776" s="7" t="s">
        <v>29</v>
      </c>
      <c r="F10776" s="7" t="s">
        <v>313</v>
      </c>
      <c r="G10776" s="7">
        <v>100.0947</v>
      </c>
      <c r="H10776" s="7"/>
    </row>
    <row r="10777" spans="1:8" x14ac:dyDescent="0.35">
      <c r="A10777" s="7" t="s">
        <v>383</v>
      </c>
      <c r="B10777" s="7" t="s">
        <v>26</v>
      </c>
      <c r="C10777" s="7" t="s">
        <v>27</v>
      </c>
      <c r="D10777" s="7" t="s">
        <v>28</v>
      </c>
      <c r="E10777" s="7" t="s">
        <v>29</v>
      </c>
      <c r="F10777" s="7" t="s">
        <v>314</v>
      </c>
      <c r="G10777" s="7">
        <v>100.06489999999999</v>
      </c>
      <c r="H10777" s="7"/>
    </row>
    <row r="10778" spans="1:8" x14ac:dyDescent="0.35">
      <c r="A10778" s="7" t="s">
        <v>383</v>
      </c>
      <c r="B10778" s="7" t="s">
        <v>26</v>
      </c>
      <c r="C10778" s="7" t="s">
        <v>27</v>
      </c>
      <c r="D10778" s="7" t="s">
        <v>28</v>
      </c>
      <c r="E10778" s="7" t="s">
        <v>29</v>
      </c>
      <c r="F10778" s="7" t="s">
        <v>315</v>
      </c>
      <c r="G10778" s="7">
        <v>100.0091</v>
      </c>
      <c r="H10778" s="7"/>
    </row>
    <row r="10779" spans="1:8" x14ac:dyDescent="0.35">
      <c r="A10779" s="7" t="s">
        <v>383</v>
      </c>
      <c r="B10779" s="7" t="s">
        <v>26</v>
      </c>
      <c r="C10779" s="7" t="s">
        <v>27</v>
      </c>
      <c r="D10779" s="7" t="s">
        <v>28</v>
      </c>
      <c r="E10779" s="7" t="s">
        <v>29</v>
      </c>
      <c r="F10779" s="7" t="s">
        <v>316</v>
      </c>
      <c r="G10779" s="7">
        <v>99.890690000000006</v>
      </c>
      <c r="H10779" s="7"/>
    </row>
    <row r="10780" spans="1:8" x14ac:dyDescent="0.35">
      <c r="A10780" s="7" t="s">
        <v>383</v>
      </c>
      <c r="B10780" s="7" t="s">
        <v>26</v>
      </c>
      <c r="C10780" s="7" t="s">
        <v>27</v>
      </c>
      <c r="D10780" s="7" t="s">
        <v>28</v>
      </c>
      <c r="E10780" s="7" t="s">
        <v>29</v>
      </c>
      <c r="F10780" s="7" t="s">
        <v>317</v>
      </c>
      <c r="G10780" s="7">
        <v>99.854020000000006</v>
      </c>
      <c r="H10780" s="7"/>
    </row>
    <row r="10781" spans="1:8" x14ac:dyDescent="0.35">
      <c r="A10781" s="7" t="s">
        <v>383</v>
      </c>
      <c r="B10781" s="7" t="s">
        <v>26</v>
      </c>
      <c r="C10781" s="7" t="s">
        <v>27</v>
      </c>
      <c r="D10781" s="7" t="s">
        <v>28</v>
      </c>
      <c r="E10781" s="7" t="s">
        <v>29</v>
      </c>
      <c r="F10781" s="7" t="s">
        <v>318</v>
      </c>
      <c r="G10781" s="7">
        <v>99.99418</v>
      </c>
      <c r="H10781" s="7"/>
    </row>
    <row r="10782" spans="1:8" x14ac:dyDescent="0.35">
      <c r="A10782" s="7" t="s">
        <v>383</v>
      </c>
      <c r="B10782" s="7" t="s">
        <v>26</v>
      </c>
      <c r="C10782" s="7" t="s">
        <v>27</v>
      </c>
      <c r="D10782" s="7" t="s">
        <v>28</v>
      </c>
      <c r="E10782" s="7" t="s">
        <v>29</v>
      </c>
      <c r="F10782" s="7" t="s">
        <v>319</v>
      </c>
      <c r="G10782" s="7">
        <v>100.15470000000001</v>
      </c>
      <c r="H10782" s="7"/>
    </row>
    <row r="10783" spans="1:8" x14ac:dyDescent="0.35">
      <c r="A10783" s="7" t="s">
        <v>383</v>
      </c>
      <c r="B10783" s="7" t="s">
        <v>26</v>
      </c>
      <c r="C10783" s="7" t="s">
        <v>27</v>
      </c>
      <c r="D10783" s="7" t="s">
        <v>28</v>
      </c>
      <c r="E10783" s="7" t="s">
        <v>29</v>
      </c>
      <c r="F10783" s="7" t="s">
        <v>320</v>
      </c>
      <c r="G10783" s="7">
        <v>100.27200000000001</v>
      </c>
      <c r="H10783" s="7"/>
    </row>
    <row r="10784" spans="1:8" x14ac:dyDescent="0.35">
      <c r="A10784" s="7" t="s">
        <v>383</v>
      </c>
      <c r="B10784" s="7" t="s">
        <v>26</v>
      </c>
      <c r="C10784" s="7" t="s">
        <v>27</v>
      </c>
      <c r="D10784" s="7" t="s">
        <v>28</v>
      </c>
      <c r="E10784" s="7" t="s">
        <v>29</v>
      </c>
      <c r="F10784" s="7" t="s">
        <v>321</v>
      </c>
      <c r="G10784" s="7">
        <v>100.34</v>
      </c>
      <c r="H10784" s="7"/>
    </row>
    <row r="10785" spans="1:8" x14ac:dyDescent="0.35">
      <c r="A10785" s="7" t="s">
        <v>383</v>
      </c>
      <c r="B10785" s="7" t="s">
        <v>26</v>
      </c>
      <c r="C10785" s="7" t="s">
        <v>27</v>
      </c>
      <c r="D10785" s="7" t="s">
        <v>28</v>
      </c>
      <c r="E10785" s="7" t="s">
        <v>29</v>
      </c>
      <c r="F10785" s="7" t="s">
        <v>322</v>
      </c>
      <c r="G10785" s="7">
        <v>100.41849999999999</v>
      </c>
      <c r="H10785" s="7"/>
    </row>
    <row r="10786" spans="1:8" x14ac:dyDescent="0.35">
      <c r="A10786" s="7" t="s">
        <v>383</v>
      </c>
      <c r="B10786" s="7" t="s">
        <v>26</v>
      </c>
      <c r="C10786" s="7" t="s">
        <v>27</v>
      </c>
      <c r="D10786" s="7" t="s">
        <v>28</v>
      </c>
      <c r="E10786" s="7" t="s">
        <v>29</v>
      </c>
      <c r="F10786" s="7" t="s">
        <v>323</v>
      </c>
      <c r="G10786" s="7">
        <v>100.4573</v>
      </c>
      <c r="H10786" s="7"/>
    </row>
    <row r="10787" spans="1:8" x14ac:dyDescent="0.35">
      <c r="A10787" s="7" t="s">
        <v>383</v>
      </c>
      <c r="B10787" s="7" t="s">
        <v>26</v>
      </c>
      <c r="C10787" s="7" t="s">
        <v>27</v>
      </c>
      <c r="D10787" s="7" t="s">
        <v>28</v>
      </c>
      <c r="E10787" s="7" t="s">
        <v>29</v>
      </c>
      <c r="F10787" s="7" t="s">
        <v>324</v>
      </c>
      <c r="G10787" s="7">
        <v>100.5137</v>
      </c>
      <c r="H10787" s="7"/>
    </row>
    <row r="10788" spans="1:8" x14ac:dyDescent="0.35">
      <c r="A10788" s="7" t="s">
        <v>383</v>
      </c>
      <c r="B10788" s="7" t="s">
        <v>26</v>
      </c>
      <c r="C10788" s="7" t="s">
        <v>27</v>
      </c>
      <c r="D10788" s="7" t="s">
        <v>28</v>
      </c>
      <c r="E10788" s="7" t="s">
        <v>29</v>
      </c>
      <c r="F10788" s="7" t="s">
        <v>325</v>
      </c>
      <c r="G10788" s="7">
        <v>100.5378</v>
      </c>
      <c r="H10788" s="7"/>
    </row>
    <row r="10789" spans="1:8" x14ac:dyDescent="0.35">
      <c r="A10789" s="7" t="s">
        <v>383</v>
      </c>
      <c r="B10789" s="7" t="s">
        <v>26</v>
      </c>
      <c r="C10789" s="7" t="s">
        <v>27</v>
      </c>
      <c r="D10789" s="7" t="s">
        <v>28</v>
      </c>
      <c r="E10789" s="7" t="s">
        <v>29</v>
      </c>
      <c r="F10789" s="7" t="s">
        <v>326</v>
      </c>
      <c r="G10789" s="7">
        <v>100.5603</v>
      </c>
      <c r="H10789" s="7"/>
    </row>
    <row r="10790" spans="1:8" x14ac:dyDescent="0.35">
      <c r="A10790" s="7" t="s">
        <v>383</v>
      </c>
      <c r="B10790" s="7" t="s">
        <v>26</v>
      </c>
      <c r="C10790" s="7" t="s">
        <v>27</v>
      </c>
      <c r="D10790" s="7" t="s">
        <v>28</v>
      </c>
      <c r="E10790" s="7" t="s">
        <v>29</v>
      </c>
      <c r="F10790" s="7" t="s">
        <v>327</v>
      </c>
      <c r="G10790" s="7">
        <v>100.5257</v>
      </c>
      <c r="H10790" s="7"/>
    </row>
    <row r="10791" spans="1:8" x14ac:dyDescent="0.35">
      <c r="A10791" s="7" t="s">
        <v>383</v>
      </c>
      <c r="B10791" s="7" t="s">
        <v>26</v>
      </c>
      <c r="C10791" s="7" t="s">
        <v>27</v>
      </c>
      <c r="D10791" s="7" t="s">
        <v>28</v>
      </c>
      <c r="E10791" s="7" t="s">
        <v>29</v>
      </c>
      <c r="F10791" s="7" t="s">
        <v>328</v>
      </c>
      <c r="G10791" s="7">
        <v>100.5403</v>
      </c>
      <c r="H10791" s="7"/>
    </row>
    <row r="10792" spans="1:8" x14ac:dyDescent="0.35">
      <c r="A10792" s="7" t="s">
        <v>383</v>
      </c>
      <c r="B10792" s="7" t="s">
        <v>26</v>
      </c>
      <c r="C10792" s="7" t="s">
        <v>27</v>
      </c>
      <c r="D10792" s="7" t="s">
        <v>28</v>
      </c>
      <c r="E10792" s="7" t="s">
        <v>29</v>
      </c>
      <c r="F10792" s="7" t="s">
        <v>329</v>
      </c>
      <c r="G10792" s="7">
        <v>100.6033</v>
      </c>
      <c r="H10792" s="7"/>
    </row>
    <row r="10793" spans="1:8" x14ac:dyDescent="0.35">
      <c r="A10793" s="7" t="s">
        <v>383</v>
      </c>
      <c r="B10793" s="7" t="s">
        <v>26</v>
      </c>
      <c r="C10793" s="7" t="s">
        <v>27</v>
      </c>
      <c r="D10793" s="7" t="s">
        <v>28</v>
      </c>
      <c r="E10793" s="7" t="s">
        <v>29</v>
      </c>
      <c r="F10793" s="7" t="s">
        <v>330</v>
      </c>
      <c r="G10793" s="7">
        <v>100.634</v>
      </c>
      <c r="H10793" s="7"/>
    </row>
    <row r="10794" spans="1:8" x14ac:dyDescent="0.35">
      <c r="A10794" s="7" t="s">
        <v>383</v>
      </c>
      <c r="B10794" s="7" t="s">
        <v>26</v>
      </c>
      <c r="C10794" s="7" t="s">
        <v>27</v>
      </c>
      <c r="D10794" s="7" t="s">
        <v>28</v>
      </c>
      <c r="E10794" s="7" t="s">
        <v>29</v>
      </c>
      <c r="F10794" s="7" t="s">
        <v>331</v>
      </c>
      <c r="G10794" s="7">
        <v>100.59610000000001</v>
      </c>
      <c r="H10794" s="7"/>
    </row>
    <row r="10795" spans="1:8" x14ac:dyDescent="0.35">
      <c r="A10795" s="7" t="s">
        <v>383</v>
      </c>
      <c r="B10795" s="7" t="s">
        <v>26</v>
      </c>
      <c r="C10795" s="7" t="s">
        <v>27</v>
      </c>
      <c r="D10795" s="7" t="s">
        <v>28</v>
      </c>
      <c r="E10795" s="7" t="s">
        <v>29</v>
      </c>
      <c r="F10795" s="7" t="s">
        <v>332</v>
      </c>
      <c r="G10795" s="7">
        <v>100.5316</v>
      </c>
      <c r="H10795" s="7"/>
    </row>
    <row r="10796" spans="1:8" x14ac:dyDescent="0.35">
      <c r="A10796" s="7" t="s">
        <v>383</v>
      </c>
      <c r="B10796" s="7" t="s">
        <v>26</v>
      </c>
      <c r="C10796" s="7" t="s">
        <v>27</v>
      </c>
      <c r="D10796" s="7" t="s">
        <v>28</v>
      </c>
      <c r="E10796" s="7" t="s">
        <v>29</v>
      </c>
      <c r="F10796" s="7" t="s">
        <v>333</v>
      </c>
      <c r="G10796" s="7">
        <v>100.5159</v>
      </c>
      <c r="H10796" s="7"/>
    </row>
    <row r="10797" spans="1:8" x14ac:dyDescent="0.35">
      <c r="A10797" s="7" t="s">
        <v>383</v>
      </c>
      <c r="B10797" s="7" t="s">
        <v>26</v>
      </c>
      <c r="C10797" s="7" t="s">
        <v>27</v>
      </c>
      <c r="D10797" s="7" t="s">
        <v>28</v>
      </c>
      <c r="E10797" s="7" t="s">
        <v>29</v>
      </c>
      <c r="F10797" s="7" t="s">
        <v>334</v>
      </c>
      <c r="G10797" s="7">
        <v>100.61060000000001</v>
      </c>
      <c r="H10797" s="7"/>
    </row>
    <row r="10798" spans="1:8" x14ac:dyDescent="0.35">
      <c r="A10798" s="7" t="s">
        <v>383</v>
      </c>
      <c r="B10798" s="7" t="s">
        <v>26</v>
      </c>
      <c r="C10798" s="7" t="s">
        <v>27</v>
      </c>
      <c r="D10798" s="7" t="s">
        <v>28</v>
      </c>
      <c r="E10798" s="7" t="s">
        <v>29</v>
      </c>
      <c r="F10798" s="7" t="s">
        <v>335</v>
      </c>
      <c r="G10798" s="7">
        <v>100.6833</v>
      </c>
      <c r="H10798" s="7"/>
    </row>
    <row r="10799" spans="1:8" x14ac:dyDescent="0.35">
      <c r="A10799" s="7" t="s">
        <v>383</v>
      </c>
      <c r="B10799" s="7" t="s">
        <v>26</v>
      </c>
      <c r="C10799" s="7" t="s">
        <v>27</v>
      </c>
      <c r="D10799" s="7" t="s">
        <v>28</v>
      </c>
      <c r="E10799" s="7" t="s">
        <v>29</v>
      </c>
      <c r="F10799" s="7" t="s">
        <v>336</v>
      </c>
      <c r="G10799" s="7">
        <v>100.7448</v>
      </c>
      <c r="H10799" s="7"/>
    </row>
    <row r="10800" spans="1:8" x14ac:dyDescent="0.35">
      <c r="A10800" s="7" t="s">
        <v>383</v>
      </c>
      <c r="B10800" s="7" t="s">
        <v>26</v>
      </c>
      <c r="C10800" s="7" t="s">
        <v>27</v>
      </c>
      <c r="D10800" s="7" t="s">
        <v>28</v>
      </c>
      <c r="E10800" s="7" t="s">
        <v>29</v>
      </c>
      <c r="F10800" s="7" t="s">
        <v>337</v>
      </c>
      <c r="G10800" s="7">
        <v>100.7634</v>
      </c>
      <c r="H10800" s="7"/>
    </row>
    <row r="10801" spans="1:8" x14ac:dyDescent="0.35">
      <c r="A10801" s="7" t="s">
        <v>383</v>
      </c>
      <c r="B10801" s="7" t="s">
        <v>26</v>
      </c>
      <c r="C10801" s="7" t="s">
        <v>27</v>
      </c>
      <c r="D10801" s="7" t="s">
        <v>28</v>
      </c>
      <c r="E10801" s="7" t="s">
        <v>29</v>
      </c>
      <c r="F10801" s="7" t="s">
        <v>338</v>
      </c>
      <c r="G10801" s="7">
        <v>100.72450000000001</v>
      </c>
      <c r="H10801" s="7"/>
    </row>
    <row r="10802" spans="1:8" x14ac:dyDescent="0.35">
      <c r="A10802" s="7" t="s">
        <v>383</v>
      </c>
      <c r="B10802" s="7" t="s">
        <v>26</v>
      </c>
      <c r="C10802" s="7" t="s">
        <v>27</v>
      </c>
      <c r="D10802" s="7" t="s">
        <v>28</v>
      </c>
      <c r="E10802" s="7" t="s">
        <v>29</v>
      </c>
      <c r="F10802" s="7" t="s">
        <v>339</v>
      </c>
      <c r="G10802" s="7">
        <v>100.7384</v>
      </c>
      <c r="H10802" s="7"/>
    </row>
    <row r="10803" spans="1:8" x14ac:dyDescent="0.35">
      <c r="A10803" s="7" t="s">
        <v>383</v>
      </c>
      <c r="B10803" s="7" t="s">
        <v>26</v>
      </c>
      <c r="C10803" s="7" t="s">
        <v>27</v>
      </c>
      <c r="D10803" s="7" t="s">
        <v>28</v>
      </c>
      <c r="E10803" s="7" t="s">
        <v>29</v>
      </c>
      <c r="F10803" s="7" t="s">
        <v>340</v>
      </c>
      <c r="G10803" s="7">
        <v>100.76519999999999</v>
      </c>
      <c r="H10803" s="7"/>
    </row>
    <row r="10804" spans="1:8" x14ac:dyDescent="0.35">
      <c r="A10804" s="7" t="s">
        <v>383</v>
      </c>
      <c r="B10804" s="7" t="s">
        <v>26</v>
      </c>
      <c r="C10804" s="7" t="s">
        <v>27</v>
      </c>
      <c r="D10804" s="7" t="s">
        <v>28</v>
      </c>
      <c r="E10804" s="7" t="s">
        <v>29</v>
      </c>
      <c r="F10804" s="7" t="s">
        <v>341</v>
      </c>
      <c r="G10804" s="7">
        <v>100.81229999999999</v>
      </c>
      <c r="H10804" s="7"/>
    </row>
    <row r="10805" spans="1:8" x14ac:dyDescent="0.35">
      <c r="A10805" s="7" t="s">
        <v>383</v>
      </c>
      <c r="B10805" s="7" t="s">
        <v>26</v>
      </c>
      <c r="C10805" s="7" t="s">
        <v>27</v>
      </c>
      <c r="D10805" s="7" t="s">
        <v>28</v>
      </c>
      <c r="E10805" s="7" t="s">
        <v>29</v>
      </c>
      <c r="F10805" s="7" t="s">
        <v>342</v>
      </c>
      <c r="G10805" s="7">
        <v>100.8276</v>
      </c>
      <c r="H10805" s="7"/>
    </row>
    <row r="10806" spans="1:8" x14ac:dyDescent="0.35">
      <c r="A10806" s="7" t="s">
        <v>383</v>
      </c>
      <c r="B10806" s="7" t="s">
        <v>26</v>
      </c>
      <c r="C10806" s="7" t="s">
        <v>27</v>
      </c>
      <c r="D10806" s="7" t="s">
        <v>28</v>
      </c>
      <c r="E10806" s="7" t="s">
        <v>29</v>
      </c>
      <c r="F10806" s="7" t="s">
        <v>343</v>
      </c>
      <c r="G10806" s="7">
        <v>100.85080000000001</v>
      </c>
      <c r="H10806" s="7"/>
    </row>
    <row r="10807" spans="1:8" x14ac:dyDescent="0.35">
      <c r="A10807" s="7" t="s">
        <v>383</v>
      </c>
      <c r="B10807" s="7" t="s">
        <v>26</v>
      </c>
      <c r="C10807" s="7" t="s">
        <v>27</v>
      </c>
      <c r="D10807" s="7" t="s">
        <v>28</v>
      </c>
      <c r="E10807" s="7" t="s">
        <v>29</v>
      </c>
      <c r="F10807" s="7" t="s">
        <v>344</v>
      </c>
      <c r="G10807" s="7">
        <v>100.8657</v>
      </c>
      <c r="H10807" s="7"/>
    </row>
    <row r="10808" spans="1:8" x14ac:dyDescent="0.35">
      <c r="A10808" s="7" t="s">
        <v>383</v>
      </c>
      <c r="B10808" s="7" t="s">
        <v>26</v>
      </c>
      <c r="C10808" s="7" t="s">
        <v>27</v>
      </c>
      <c r="D10808" s="7" t="s">
        <v>28</v>
      </c>
      <c r="E10808" s="7" t="s">
        <v>29</v>
      </c>
      <c r="F10808" s="7" t="s">
        <v>345</v>
      </c>
      <c r="G10808" s="7">
        <v>100.89190000000001</v>
      </c>
      <c r="H10808" s="7"/>
    </row>
    <row r="10809" spans="1:8" x14ac:dyDescent="0.35">
      <c r="A10809" s="7" t="s">
        <v>384</v>
      </c>
      <c r="B10809" s="7" t="s">
        <v>26</v>
      </c>
      <c r="C10809" s="7" t="s">
        <v>27</v>
      </c>
      <c r="D10809" s="7" t="s">
        <v>28</v>
      </c>
      <c r="E10809" s="7" t="s">
        <v>29</v>
      </c>
      <c r="F10809" s="7" t="s">
        <v>114</v>
      </c>
      <c r="G10809" s="7">
        <v>89.665509999999998</v>
      </c>
      <c r="H10809" s="7"/>
    </row>
    <row r="10810" spans="1:8" x14ac:dyDescent="0.35">
      <c r="A10810" s="7" t="s">
        <v>384</v>
      </c>
      <c r="B10810" s="7" t="s">
        <v>26</v>
      </c>
      <c r="C10810" s="7" t="s">
        <v>27</v>
      </c>
      <c r="D10810" s="7" t="s">
        <v>28</v>
      </c>
      <c r="E10810" s="7" t="s">
        <v>29</v>
      </c>
      <c r="F10810" s="7" t="s">
        <v>115</v>
      </c>
      <c r="G10810" s="7">
        <v>90.207049999999995</v>
      </c>
      <c r="H10810" s="7"/>
    </row>
    <row r="10811" spans="1:8" x14ac:dyDescent="0.35">
      <c r="A10811" s="7" t="s">
        <v>384</v>
      </c>
      <c r="B10811" s="7" t="s">
        <v>26</v>
      </c>
      <c r="C10811" s="7" t="s">
        <v>27</v>
      </c>
      <c r="D10811" s="7" t="s">
        <v>28</v>
      </c>
      <c r="E10811" s="7" t="s">
        <v>29</v>
      </c>
      <c r="F10811" s="7" t="s">
        <v>116</v>
      </c>
      <c r="G10811" s="7">
        <v>90.725939999999994</v>
      </c>
      <c r="H10811" s="7"/>
    </row>
    <row r="10812" spans="1:8" x14ac:dyDescent="0.35">
      <c r="A10812" s="7" t="s">
        <v>384</v>
      </c>
      <c r="B10812" s="7" t="s">
        <v>26</v>
      </c>
      <c r="C10812" s="7" t="s">
        <v>27</v>
      </c>
      <c r="D10812" s="7" t="s">
        <v>28</v>
      </c>
      <c r="E10812" s="7" t="s">
        <v>29</v>
      </c>
      <c r="F10812" s="7" t="s">
        <v>117</v>
      </c>
      <c r="G10812" s="7">
        <v>91.173760000000001</v>
      </c>
      <c r="H10812" s="7"/>
    </row>
    <row r="10813" spans="1:8" x14ac:dyDescent="0.35">
      <c r="A10813" s="7" t="s">
        <v>384</v>
      </c>
      <c r="B10813" s="7" t="s">
        <v>26</v>
      </c>
      <c r="C10813" s="7" t="s">
        <v>27</v>
      </c>
      <c r="D10813" s="7" t="s">
        <v>28</v>
      </c>
      <c r="E10813" s="7" t="s">
        <v>29</v>
      </c>
      <c r="F10813" s="7" t="s">
        <v>118</v>
      </c>
      <c r="G10813" s="7">
        <v>91.495850000000004</v>
      </c>
      <c r="H10813" s="7"/>
    </row>
    <row r="10814" spans="1:8" x14ac:dyDescent="0.35">
      <c r="A10814" s="7" t="s">
        <v>384</v>
      </c>
      <c r="B10814" s="7" t="s">
        <v>26</v>
      </c>
      <c r="C10814" s="7" t="s">
        <v>27</v>
      </c>
      <c r="D10814" s="7" t="s">
        <v>28</v>
      </c>
      <c r="E10814" s="7" t="s">
        <v>29</v>
      </c>
      <c r="F10814" s="7" t="s">
        <v>119</v>
      </c>
      <c r="G10814" s="7">
        <v>91.721919999999997</v>
      </c>
      <c r="H10814" s="7"/>
    </row>
    <row r="10815" spans="1:8" x14ac:dyDescent="0.35">
      <c r="A10815" s="7" t="s">
        <v>384</v>
      </c>
      <c r="B10815" s="7" t="s">
        <v>26</v>
      </c>
      <c r="C10815" s="7" t="s">
        <v>27</v>
      </c>
      <c r="D10815" s="7" t="s">
        <v>28</v>
      </c>
      <c r="E10815" s="7" t="s">
        <v>29</v>
      </c>
      <c r="F10815" s="7" t="s">
        <v>120</v>
      </c>
      <c r="G10815" s="7">
        <v>91.874690000000001</v>
      </c>
      <c r="H10815" s="7"/>
    </row>
    <row r="10816" spans="1:8" x14ac:dyDescent="0.35">
      <c r="A10816" s="7" t="s">
        <v>384</v>
      </c>
      <c r="B10816" s="7" t="s">
        <v>26</v>
      </c>
      <c r="C10816" s="7" t="s">
        <v>27</v>
      </c>
      <c r="D10816" s="7" t="s">
        <v>28</v>
      </c>
      <c r="E10816" s="7" t="s">
        <v>29</v>
      </c>
      <c r="F10816" s="7" t="s">
        <v>121</v>
      </c>
      <c r="G10816" s="7">
        <v>91.974590000000006</v>
      </c>
      <c r="H10816" s="7"/>
    </row>
    <row r="10817" spans="1:8" x14ac:dyDescent="0.35">
      <c r="A10817" s="7" t="s">
        <v>384</v>
      </c>
      <c r="B10817" s="7" t="s">
        <v>26</v>
      </c>
      <c r="C10817" s="7" t="s">
        <v>27</v>
      </c>
      <c r="D10817" s="7" t="s">
        <v>28</v>
      </c>
      <c r="E10817" s="7" t="s">
        <v>29</v>
      </c>
      <c r="F10817" s="7" t="s">
        <v>122</v>
      </c>
      <c r="G10817" s="7">
        <v>92.117739999999998</v>
      </c>
      <c r="H10817" s="7"/>
    </row>
    <row r="10818" spans="1:8" x14ac:dyDescent="0.35">
      <c r="A10818" s="7" t="s">
        <v>384</v>
      </c>
      <c r="B10818" s="7" t="s">
        <v>26</v>
      </c>
      <c r="C10818" s="7" t="s">
        <v>27</v>
      </c>
      <c r="D10818" s="7" t="s">
        <v>28</v>
      </c>
      <c r="E10818" s="7" t="s">
        <v>29</v>
      </c>
      <c r="F10818" s="7" t="s">
        <v>123</v>
      </c>
      <c r="G10818" s="7">
        <v>92.452960000000004</v>
      </c>
      <c r="H10818" s="7"/>
    </row>
    <row r="10819" spans="1:8" x14ac:dyDescent="0.35">
      <c r="A10819" s="7" t="s">
        <v>384</v>
      </c>
      <c r="B10819" s="7" t="s">
        <v>26</v>
      </c>
      <c r="C10819" s="7" t="s">
        <v>27</v>
      </c>
      <c r="D10819" s="7" t="s">
        <v>28</v>
      </c>
      <c r="E10819" s="7" t="s">
        <v>29</v>
      </c>
      <c r="F10819" s="7" t="s">
        <v>124</v>
      </c>
      <c r="G10819" s="7">
        <v>93.115549999999999</v>
      </c>
      <c r="H10819" s="7"/>
    </row>
    <row r="10820" spans="1:8" x14ac:dyDescent="0.35">
      <c r="A10820" s="7" t="s">
        <v>384</v>
      </c>
      <c r="B10820" s="7" t="s">
        <v>26</v>
      </c>
      <c r="C10820" s="7" t="s">
        <v>27</v>
      </c>
      <c r="D10820" s="7" t="s">
        <v>28</v>
      </c>
      <c r="E10820" s="7" t="s">
        <v>29</v>
      </c>
      <c r="F10820" s="7" t="s">
        <v>125</v>
      </c>
      <c r="G10820" s="7">
        <v>93.968959999999996</v>
      </c>
      <c r="H10820" s="7"/>
    </row>
    <row r="10821" spans="1:8" x14ac:dyDescent="0.35">
      <c r="A10821" s="7" t="s">
        <v>384</v>
      </c>
      <c r="B10821" s="7" t="s">
        <v>26</v>
      </c>
      <c r="C10821" s="7" t="s">
        <v>27</v>
      </c>
      <c r="D10821" s="7" t="s">
        <v>28</v>
      </c>
      <c r="E10821" s="7" t="s">
        <v>29</v>
      </c>
      <c r="F10821" s="7" t="s">
        <v>126</v>
      </c>
      <c r="G10821" s="7">
        <v>94.865189999999998</v>
      </c>
      <c r="H10821" s="7"/>
    </row>
    <row r="10822" spans="1:8" x14ac:dyDescent="0.35">
      <c r="A10822" s="7" t="s">
        <v>384</v>
      </c>
      <c r="B10822" s="7" t="s">
        <v>26</v>
      </c>
      <c r="C10822" s="7" t="s">
        <v>27</v>
      </c>
      <c r="D10822" s="7" t="s">
        <v>28</v>
      </c>
      <c r="E10822" s="7" t="s">
        <v>29</v>
      </c>
      <c r="F10822" s="7" t="s">
        <v>127</v>
      </c>
      <c r="G10822" s="7">
        <v>95.714470000000006</v>
      </c>
      <c r="H10822" s="7"/>
    </row>
    <row r="10823" spans="1:8" x14ac:dyDescent="0.35">
      <c r="A10823" s="7" t="s">
        <v>384</v>
      </c>
      <c r="B10823" s="7" t="s">
        <v>26</v>
      </c>
      <c r="C10823" s="7" t="s">
        <v>27</v>
      </c>
      <c r="D10823" s="7" t="s">
        <v>28</v>
      </c>
      <c r="E10823" s="7" t="s">
        <v>29</v>
      </c>
      <c r="F10823" s="7" t="s">
        <v>128</v>
      </c>
      <c r="G10823" s="7">
        <v>96.511949999999999</v>
      </c>
      <c r="H10823" s="7"/>
    </row>
    <row r="10824" spans="1:8" x14ac:dyDescent="0.35">
      <c r="A10824" s="7" t="s">
        <v>384</v>
      </c>
      <c r="B10824" s="7" t="s">
        <v>26</v>
      </c>
      <c r="C10824" s="7" t="s">
        <v>27</v>
      </c>
      <c r="D10824" s="7" t="s">
        <v>28</v>
      </c>
      <c r="E10824" s="7" t="s">
        <v>29</v>
      </c>
      <c r="F10824" s="7" t="s">
        <v>129</v>
      </c>
      <c r="G10824" s="7">
        <v>96.115449999999996</v>
      </c>
      <c r="H10824" s="7"/>
    </row>
    <row r="10825" spans="1:8" x14ac:dyDescent="0.35">
      <c r="A10825" s="7" t="s">
        <v>384</v>
      </c>
      <c r="B10825" s="7" t="s">
        <v>26</v>
      </c>
      <c r="C10825" s="7" t="s">
        <v>27</v>
      </c>
      <c r="D10825" s="7" t="s">
        <v>28</v>
      </c>
      <c r="E10825" s="7" t="s">
        <v>29</v>
      </c>
      <c r="F10825" s="7" t="s">
        <v>130</v>
      </c>
      <c r="G10825" s="7">
        <v>96.935000000000002</v>
      </c>
      <c r="H10825" s="7"/>
    </row>
    <row r="10826" spans="1:8" x14ac:dyDescent="0.35">
      <c r="A10826" s="7" t="s">
        <v>384</v>
      </c>
      <c r="B10826" s="7" t="s">
        <v>26</v>
      </c>
      <c r="C10826" s="7" t="s">
        <v>27</v>
      </c>
      <c r="D10826" s="7" t="s">
        <v>28</v>
      </c>
      <c r="E10826" s="7" t="s">
        <v>29</v>
      </c>
      <c r="F10826" s="7" t="s">
        <v>131</v>
      </c>
      <c r="G10826" s="7">
        <v>97.682190000000006</v>
      </c>
      <c r="H10826" s="7"/>
    </row>
    <row r="10827" spans="1:8" x14ac:dyDescent="0.35">
      <c r="A10827" s="7" t="s">
        <v>384</v>
      </c>
      <c r="B10827" s="7" t="s">
        <v>26</v>
      </c>
      <c r="C10827" s="7" t="s">
        <v>27</v>
      </c>
      <c r="D10827" s="7" t="s">
        <v>28</v>
      </c>
      <c r="E10827" s="7" t="s">
        <v>29</v>
      </c>
      <c r="F10827" s="7" t="s">
        <v>132</v>
      </c>
      <c r="G10827" s="7">
        <v>98.214259999999996</v>
      </c>
      <c r="H10827" s="7"/>
    </row>
    <row r="10828" spans="1:8" x14ac:dyDescent="0.35">
      <c r="A10828" s="7" t="s">
        <v>384</v>
      </c>
      <c r="B10828" s="7" t="s">
        <v>26</v>
      </c>
      <c r="C10828" s="7" t="s">
        <v>27</v>
      </c>
      <c r="D10828" s="7" t="s">
        <v>28</v>
      </c>
      <c r="E10828" s="7" t="s">
        <v>29</v>
      </c>
      <c r="F10828" s="7" t="s">
        <v>133</v>
      </c>
      <c r="G10828" s="7">
        <v>98.392330000000001</v>
      </c>
      <c r="H10828" s="7"/>
    </row>
    <row r="10829" spans="1:8" x14ac:dyDescent="0.35">
      <c r="A10829" s="7" t="s">
        <v>384</v>
      </c>
      <c r="B10829" s="7" t="s">
        <v>26</v>
      </c>
      <c r="C10829" s="7" t="s">
        <v>27</v>
      </c>
      <c r="D10829" s="7" t="s">
        <v>28</v>
      </c>
      <c r="E10829" s="7" t="s">
        <v>29</v>
      </c>
      <c r="F10829" s="7" t="s">
        <v>134</v>
      </c>
      <c r="G10829" s="7">
        <v>98.370940000000004</v>
      </c>
      <c r="H10829" s="7"/>
    </row>
    <row r="10830" spans="1:8" x14ac:dyDescent="0.35">
      <c r="A10830" s="7" t="s">
        <v>384</v>
      </c>
      <c r="B10830" s="7" t="s">
        <v>26</v>
      </c>
      <c r="C10830" s="7" t="s">
        <v>27</v>
      </c>
      <c r="D10830" s="7" t="s">
        <v>28</v>
      </c>
      <c r="E10830" s="7" t="s">
        <v>29</v>
      </c>
      <c r="F10830" s="7" t="s">
        <v>135</v>
      </c>
      <c r="G10830" s="7">
        <v>98.317160000000001</v>
      </c>
      <c r="H10830" s="7"/>
    </row>
    <row r="10831" spans="1:8" x14ac:dyDescent="0.35">
      <c r="A10831" s="7" t="s">
        <v>384</v>
      </c>
      <c r="B10831" s="7" t="s">
        <v>26</v>
      </c>
      <c r="C10831" s="7" t="s">
        <v>27</v>
      </c>
      <c r="D10831" s="7" t="s">
        <v>28</v>
      </c>
      <c r="E10831" s="7" t="s">
        <v>29</v>
      </c>
      <c r="F10831" s="7" t="s">
        <v>136</v>
      </c>
      <c r="G10831" s="7">
        <v>98.329369999999997</v>
      </c>
      <c r="H10831" s="7"/>
    </row>
    <row r="10832" spans="1:8" x14ac:dyDescent="0.35">
      <c r="A10832" s="7" t="s">
        <v>384</v>
      </c>
      <c r="B10832" s="7" t="s">
        <v>26</v>
      </c>
      <c r="C10832" s="7" t="s">
        <v>27</v>
      </c>
      <c r="D10832" s="7" t="s">
        <v>28</v>
      </c>
      <c r="E10832" s="7" t="s">
        <v>29</v>
      </c>
      <c r="F10832" s="7" t="s">
        <v>137</v>
      </c>
      <c r="G10832" s="7">
        <v>98.388339999999999</v>
      </c>
      <c r="H10832" s="7"/>
    </row>
    <row r="10833" spans="1:8" x14ac:dyDescent="0.35">
      <c r="A10833" s="7" t="s">
        <v>384</v>
      </c>
      <c r="B10833" s="7" t="s">
        <v>26</v>
      </c>
      <c r="C10833" s="7" t="s">
        <v>27</v>
      </c>
      <c r="D10833" s="7" t="s">
        <v>28</v>
      </c>
      <c r="E10833" s="7" t="s">
        <v>29</v>
      </c>
      <c r="F10833" s="7" t="s">
        <v>138</v>
      </c>
      <c r="G10833" s="7">
        <v>98.447689999999994</v>
      </c>
      <c r="H10833" s="7"/>
    </row>
    <row r="10834" spans="1:8" x14ac:dyDescent="0.35">
      <c r="A10834" s="7" t="s">
        <v>384</v>
      </c>
      <c r="B10834" s="7" t="s">
        <v>26</v>
      </c>
      <c r="C10834" s="7" t="s">
        <v>27</v>
      </c>
      <c r="D10834" s="7" t="s">
        <v>28</v>
      </c>
      <c r="E10834" s="7" t="s">
        <v>29</v>
      </c>
      <c r="F10834" s="7" t="s">
        <v>139</v>
      </c>
      <c r="G10834" s="7">
        <v>98.477649999999997</v>
      </c>
      <c r="H10834" s="7"/>
    </row>
    <row r="10835" spans="1:8" x14ac:dyDescent="0.35">
      <c r="A10835" s="7" t="s">
        <v>384</v>
      </c>
      <c r="B10835" s="7" t="s">
        <v>26</v>
      </c>
      <c r="C10835" s="7" t="s">
        <v>27</v>
      </c>
      <c r="D10835" s="7" t="s">
        <v>28</v>
      </c>
      <c r="E10835" s="7" t="s">
        <v>29</v>
      </c>
      <c r="F10835" s="7" t="s">
        <v>140</v>
      </c>
      <c r="G10835" s="7">
        <v>98.508359999999996</v>
      </c>
      <c r="H10835" s="7"/>
    </row>
    <row r="10836" spans="1:8" x14ac:dyDescent="0.35">
      <c r="A10836" s="7" t="s">
        <v>384</v>
      </c>
      <c r="B10836" s="7" t="s">
        <v>26</v>
      </c>
      <c r="C10836" s="7" t="s">
        <v>27</v>
      </c>
      <c r="D10836" s="7" t="s">
        <v>28</v>
      </c>
      <c r="E10836" s="7" t="s">
        <v>29</v>
      </c>
      <c r="F10836" s="7" t="s">
        <v>141</v>
      </c>
      <c r="G10836" s="7">
        <v>98.599950000000007</v>
      </c>
      <c r="H10836" s="7"/>
    </row>
    <row r="10837" spans="1:8" x14ac:dyDescent="0.35">
      <c r="A10837" s="7" t="s">
        <v>384</v>
      </c>
      <c r="B10837" s="7" t="s">
        <v>26</v>
      </c>
      <c r="C10837" s="7" t="s">
        <v>27</v>
      </c>
      <c r="D10837" s="7" t="s">
        <v>28</v>
      </c>
      <c r="E10837" s="7" t="s">
        <v>29</v>
      </c>
      <c r="F10837" s="7" t="s">
        <v>142</v>
      </c>
      <c r="G10837" s="7">
        <v>98.811769999999996</v>
      </c>
      <c r="H10837" s="7"/>
    </row>
    <row r="10838" spans="1:8" x14ac:dyDescent="0.35">
      <c r="A10838" s="7" t="s">
        <v>384</v>
      </c>
      <c r="B10838" s="7" t="s">
        <v>26</v>
      </c>
      <c r="C10838" s="7" t="s">
        <v>27</v>
      </c>
      <c r="D10838" s="7" t="s">
        <v>28</v>
      </c>
      <c r="E10838" s="7" t="s">
        <v>29</v>
      </c>
      <c r="F10838" s="7" t="s">
        <v>143</v>
      </c>
      <c r="G10838" s="7">
        <v>99.110860000000002</v>
      </c>
      <c r="H10838" s="7"/>
    </row>
    <row r="10839" spans="1:8" x14ac:dyDescent="0.35">
      <c r="A10839" s="7" t="s">
        <v>384</v>
      </c>
      <c r="B10839" s="7" t="s">
        <v>26</v>
      </c>
      <c r="C10839" s="7" t="s">
        <v>27</v>
      </c>
      <c r="D10839" s="7" t="s">
        <v>28</v>
      </c>
      <c r="E10839" s="7" t="s">
        <v>29</v>
      </c>
      <c r="F10839" s="7" t="s">
        <v>144</v>
      </c>
      <c r="G10839" s="7">
        <v>99.468149999999994</v>
      </c>
      <c r="H10839" s="7"/>
    </row>
    <row r="10840" spans="1:8" x14ac:dyDescent="0.35">
      <c r="A10840" s="7" t="s">
        <v>384</v>
      </c>
      <c r="B10840" s="7" t="s">
        <v>26</v>
      </c>
      <c r="C10840" s="7" t="s">
        <v>27</v>
      </c>
      <c r="D10840" s="7" t="s">
        <v>28</v>
      </c>
      <c r="E10840" s="7" t="s">
        <v>29</v>
      </c>
      <c r="F10840" s="7" t="s">
        <v>145</v>
      </c>
      <c r="G10840" s="7">
        <v>99.867500000000007</v>
      </c>
      <c r="H10840" s="7"/>
    </row>
    <row r="10841" spans="1:8" x14ac:dyDescent="0.35">
      <c r="A10841" s="7" t="s">
        <v>384</v>
      </c>
      <c r="B10841" s="7" t="s">
        <v>26</v>
      </c>
      <c r="C10841" s="7" t="s">
        <v>27</v>
      </c>
      <c r="D10841" s="7" t="s">
        <v>28</v>
      </c>
      <c r="E10841" s="7" t="s">
        <v>29</v>
      </c>
      <c r="F10841" s="7" t="s">
        <v>146</v>
      </c>
      <c r="G10841" s="7">
        <v>100.2564</v>
      </c>
      <c r="H10841" s="7"/>
    </row>
    <row r="10842" spans="1:8" x14ac:dyDescent="0.35">
      <c r="A10842" s="7" t="s">
        <v>384</v>
      </c>
      <c r="B10842" s="7" t="s">
        <v>26</v>
      </c>
      <c r="C10842" s="7" t="s">
        <v>27</v>
      </c>
      <c r="D10842" s="7" t="s">
        <v>28</v>
      </c>
      <c r="E10842" s="7" t="s">
        <v>29</v>
      </c>
      <c r="F10842" s="7" t="s">
        <v>147</v>
      </c>
      <c r="G10842" s="7">
        <v>100.5573</v>
      </c>
      <c r="H10842" s="7"/>
    </row>
    <row r="10843" spans="1:8" x14ac:dyDescent="0.35">
      <c r="A10843" s="7" t="s">
        <v>384</v>
      </c>
      <c r="B10843" s="7" t="s">
        <v>26</v>
      </c>
      <c r="C10843" s="7" t="s">
        <v>27</v>
      </c>
      <c r="D10843" s="7" t="s">
        <v>28</v>
      </c>
      <c r="E10843" s="7" t="s">
        <v>29</v>
      </c>
      <c r="F10843" s="7" t="s">
        <v>148</v>
      </c>
      <c r="G10843" s="7">
        <v>100.68980000000001</v>
      </c>
      <c r="H10843" s="7"/>
    </row>
    <row r="10844" spans="1:8" x14ac:dyDescent="0.35">
      <c r="A10844" s="7" t="s">
        <v>384</v>
      </c>
      <c r="B10844" s="7" t="s">
        <v>26</v>
      </c>
      <c r="C10844" s="7" t="s">
        <v>27</v>
      </c>
      <c r="D10844" s="7" t="s">
        <v>28</v>
      </c>
      <c r="E10844" s="7" t="s">
        <v>29</v>
      </c>
      <c r="F10844" s="7" t="s">
        <v>149</v>
      </c>
      <c r="G10844" s="7">
        <v>100.6801</v>
      </c>
      <c r="H10844" s="7"/>
    </row>
    <row r="10845" spans="1:8" x14ac:dyDescent="0.35">
      <c r="A10845" s="7" t="s">
        <v>384</v>
      </c>
      <c r="B10845" s="7" t="s">
        <v>26</v>
      </c>
      <c r="C10845" s="7" t="s">
        <v>27</v>
      </c>
      <c r="D10845" s="7" t="s">
        <v>28</v>
      </c>
      <c r="E10845" s="7" t="s">
        <v>29</v>
      </c>
      <c r="F10845" s="7" t="s">
        <v>150</v>
      </c>
      <c r="G10845" s="7">
        <v>100.5287</v>
      </c>
      <c r="H10845" s="7"/>
    </row>
    <row r="10846" spans="1:8" x14ac:dyDescent="0.35">
      <c r="A10846" s="7" t="s">
        <v>384</v>
      </c>
      <c r="B10846" s="7" t="s">
        <v>26</v>
      </c>
      <c r="C10846" s="7" t="s">
        <v>27</v>
      </c>
      <c r="D10846" s="7" t="s">
        <v>28</v>
      </c>
      <c r="E10846" s="7" t="s">
        <v>29</v>
      </c>
      <c r="F10846" s="7" t="s">
        <v>151</v>
      </c>
      <c r="G10846" s="7">
        <v>100.2204</v>
      </c>
      <c r="H10846" s="7"/>
    </row>
    <row r="10847" spans="1:8" x14ac:dyDescent="0.35">
      <c r="A10847" s="7" t="s">
        <v>384</v>
      </c>
      <c r="B10847" s="7" t="s">
        <v>26</v>
      </c>
      <c r="C10847" s="7" t="s">
        <v>27</v>
      </c>
      <c r="D10847" s="7" t="s">
        <v>28</v>
      </c>
      <c r="E10847" s="7" t="s">
        <v>29</v>
      </c>
      <c r="F10847" s="7" t="s">
        <v>152</v>
      </c>
      <c r="G10847" s="7">
        <v>99.874840000000006</v>
      </c>
      <c r="H10847" s="7"/>
    </row>
    <row r="10848" spans="1:8" x14ac:dyDescent="0.35">
      <c r="A10848" s="7" t="s">
        <v>384</v>
      </c>
      <c r="B10848" s="7" t="s">
        <v>26</v>
      </c>
      <c r="C10848" s="7" t="s">
        <v>27</v>
      </c>
      <c r="D10848" s="7" t="s">
        <v>28</v>
      </c>
      <c r="E10848" s="7" t="s">
        <v>29</v>
      </c>
      <c r="F10848" s="7" t="s">
        <v>153</v>
      </c>
      <c r="G10848" s="7">
        <v>99.644999999999996</v>
      </c>
      <c r="H10848" s="7"/>
    </row>
    <row r="10849" spans="1:8" x14ac:dyDescent="0.35">
      <c r="A10849" s="7" t="s">
        <v>384</v>
      </c>
      <c r="B10849" s="7" t="s">
        <v>26</v>
      </c>
      <c r="C10849" s="7" t="s">
        <v>27</v>
      </c>
      <c r="D10849" s="7" t="s">
        <v>28</v>
      </c>
      <c r="E10849" s="7" t="s">
        <v>29</v>
      </c>
      <c r="F10849" s="7" t="s">
        <v>154</v>
      </c>
      <c r="G10849" s="7">
        <v>99.651439999999994</v>
      </c>
      <c r="H10849" s="7"/>
    </row>
    <row r="10850" spans="1:8" x14ac:dyDescent="0.35">
      <c r="A10850" s="7" t="s">
        <v>384</v>
      </c>
      <c r="B10850" s="7" t="s">
        <v>26</v>
      </c>
      <c r="C10850" s="7" t="s">
        <v>27</v>
      </c>
      <c r="D10850" s="7" t="s">
        <v>28</v>
      </c>
      <c r="E10850" s="7" t="s">
        <v>29</v>
      </c>
      <c r="F10850" s="7" t="s">
        <v>155</v>
      </c>
      <c r="G10850" s="7">
        <v>99.801509999999993</v>
      </c>
      <c r="H10850" s="7"/>
    </row>
    <row r="10851" spans="1:8" x14ac:dyDescent="0.35">
      <c r="A10851" s="7" t="s">
        <v>384</v>
      </c>
      <c r="B10851" s="7" t="s">
        <v>26</v>
      </c>
      <c r="C10851" s="7" t="s">
        <v>27</v>
      </c>
      <c r="D10851" s="7" t="s">
        <v>28</v>
      </c>
      <c r="E10851" s="7" t="s">
        <v>29</v>
      </c>
      <c r="F10851" s="7" t="s">
        <v>156</v>
      </c>
      <c r="G10851" s="7">
        <v>99.988320000000002</v>
      </c>
      <c r="H10851" s="7"/>
    </row>
    <row r="10852" spans="1:8" x14ac:dyDescent="0.35">
      <c r="A10852" s="7" t="s">
        <v>384</v>
      </c>
      <c r="B10852" s="7" t="s">
        <v>26</v>
      </c>
      <c r="C10852" s="7" t="s">
        <v>27</v>
      </c>
      <c r="D10852" s="7" t="s">
        <v>28</v>
      </c>
      <c r="E10852" s="7" t="s">
        <v>29</v>
      </c>
      <c r="F10852" s="7" t="s">
        <v>157</v>
      </c>
      <c r="G10852" s="7">
        <v>100.1461</v>
      </c>
      <c r="H10852" s="7"/>
    </row>
    <row r="10853" spans="1:8" x14ac:dyDescent="0.35">
      <c r="A10853" s="7" t="s">
        <v>384</v>
      </c>
      <c r="B10853" s="7" t="s">
        <v>26</v>
      </c>
      <c r="C10853" s="7" t="s">
        <v>27</v>
      </c>
      <c r="D10853" s="7" t="s">
        <v>28</v>
      </c>
      <c r="E10853" s="7" t="s">
        <v>29</v>
      </c>
      <c r="F10853" s="7" t="s">
        <v>158</v>
      </c>
      <c r="G10853" s="7">
        <v>100.2685</v>
      </c>
      <c r="H10853" s="7"/>
    </row>
    <row r="10854" spans="1:8" x14ac:dyDescent="0.35">
      <c r="A10854" s="7" t="s">
        <v>384</v>
      </c>
      <c r="B10854" s="7" t="s">
        <v>26</v>
      </c>
      <c r="C10854" s="7" t="s">
        <v>27</v>
      </c>
      <c r="D10854" s="7" t="s">
        <v>28</v>
      </c>
      <c r="E10854" s="7" t="s">
        <v>29</v>
      </c>
      <c r="F10854" s="7" t="s">
        <v>159</v>
      </c>
      <c r="G10854" s="7">
        <v>100.3541</v>
      </c>
      <c r="H10854" s="7"/>
    </row>
    <row r="10855" spans="1:8" x14ac:dyDescent="0.35">
      <c r="A10855" s="7" t="s">
        <v>384</v>
      </c>
      <c r="B10855" s="7" t="s">
        <v>26</v>
      </c>
      <c r="C10855" s="7" t="s">
        <v>27</v>
      </c>
      <c r="D10855" s="7" t="s">
        <v>28</v>
      </c>
      <c r="E10855" s="7" t="s">
        <v>29</v>
      </c>
      <c r="F10855" s="7" t="s">
        <v>160</v>
      </c>
      <c r="G10855" s="7">
        <v>100.3858</v>
      </c>
      <c r="H10855" s="7"/>
    </row>
    <row r="10856" spans="1:8" x14ac:dyDescent="0.35">
      <c r="A10856" s="7" t="s">
        <v>384</v>
      </c>
      <c r="B10856" s="7" t="s">
        <v>26</v>
      </c>
      <c r="C10856" s="7" t="s">
        <v>27</v>
      </c>
      <c r="D10856" s="7" t="s">
        <v>28</v>
      </c>
      <c r="E10856" s="7" t="s">
        <v>29</v>
      </c>
      <c r="F10856" s="7" t="s">
        <v>161</v>
      </c>
      <c r="G10856" s="7">
        <v>100.3489</v>
      </c>
      <c r="H10856" s="7"/>
    </row>
    <row r="10857" spans="1:8" x14ac:dyDescent="0.35">
      <c r="A10857" s="7" t="s">
        <v>384</v>
      </c>
      <c r="B10857" s="7" t="s">
        <v>26</v>
      </c>
      <c r="C10857" s="7" t="s">
        <v>27</v>
      </c>
      <c r="D10857" s="7" t="s">
        <v>28</v>
      </c>
      <c r="E10857" s="7" t="s">
        <v>29</v>
      </c>
      <c r="F10857" s="7" t="s">
        <v>162</v>
      </c>
      <c r="G10857" s="7">
        <v>100.1985</v>
      </c>
      <c r="H10857" s="7"/>
    </row>
    <row r="10858" spans="1:8" x14ac:dyDescent="0.35">
      <c r="A10858" s="7" t="s">
        <v>384</v>
      </c>
      <c r="B10858" s="7" t="s">
        <v>26</v>
      </c>
      <c r="C10858" s="7" t="s">
        <v>27</v>
      </c>
      <c r="D10858" s="7" t="s">
        <v>28</v>
      </c>
      <c r="E10858" s="7" t="s">
        <v>29</v>
      </c>
      <c r="F10858" s="7" t="s">
        <v>163</v>
      </c>
      <c r="G10858" s="7">
        <v>99.897049999999993</v>
      </c>
      <c r="H10858" s="7"/>
    </row>
    <row r="10859" spans="1:8" x14ac:dyDescent="0.35">
      <c r="A10859" s="7" t="s">
        <v>384</v>
      </c>
      <c r="B10859" s="7" t="s">
        <v>26</v>
      </c>
      <c r="C10859" s="7" t="s">
        <v>27</v>
      </c>
      <c r="D10859" s="7" t="s">
        <v>28</v>
      </c>
      <c r="E10859" s="7" t="s">
        <v>29</v>
      </c>
      <c r="F10859" s="7" t="s">
        <v>164</v>
      </c>
      <c r="G10859" s="7">
        <v>99.564369999999997</v>
      </c>
      <c r="H10859" s="7"/>
    </row>
    <row r="10860" spans="1:8" x14ac:dyDescent="0.35">
      <c r="A10860" s="7" t="s">
        <v>384</v>
      </c>
      <c r="B10860" s="7" t="s">
        <v>26</v>
      </c>
      <c r="C10860" s="7" t="s">
        <v>27</v>
      </c>
      <c r="D10860" s="7" t="s">
        <v>28</v>
      </c>
      <c r="E10860" s="7" t="s">
        <v>29</v>
      </c>
      <c r="F10860" s="7" t="s">
        <v>165</v>
      </c>
      <c r="G10860" s="7">
        <v>99.368549999999999</v>
      </c>
      <c r="H10860" s="7"/>
    </row>
    <row r="10861" spans="1:8" x14ac:dyDescent="0.35">
      <c r="A10861" s="7" t="s">
        <v>384</v>
      </c>
      <c r="B10861" s="7" t="s">
        <v>26</v>
      </c>
      <c r="C10861" s="7" t="s">
        <v>27</v>
      </c>
      <c r="D10861" s="7" t="s">
        <v>28</v>
      </c>
      <c r="E10861" s="7" t="s">
        <v>29</v>
      </c>
      <c r="F10861" s="7" t="s">
        <v>166</v>
      </c>
      <c r="G10861" s="7">
        <v>99.447770000000006</v>
      </c>
      <c r="H10861" s="7"/>
    </row>
    <row r="10862" spans="1:8" x14ac:dyDescent="0.35">
      <c r="A10862" s="7" t="s">
        <v>384</v>
      </c>
      <c r="B10862" s="7" t="s">
        <v>26</v>
      </c>
      <c r="C10862" s="7" t="s">
        <v>27</v>
      </c>
      <c r="D10862" s="7" t="s">
        <v>28</v>
      </c>
      <c r="E10862" s="7" t="s">
        <v>29</v>
      </c>
      <c r="F10862" s="7" t="s">
        <v>167</v>
      </c>
      <c r="G10862" s="7">
        <v>99.695400000000006</v>
      </c>
      <c r="H10862" s="7"/>
    </row>
    <row r="10863" spans="1:8" x14ac:dyDescent="0.35">
      <c r="A10863" s="7" t="s">
        <v>384</v>
      </c>
      <c r="B10863" s="7" t="s">
        <v>26</v>
      </c>
      <c r="C10863" s="7" t="s">
        <v>27</v>
      </c>
      <c r="D10863" s="7" t="s">
        <v>28</v>
      </c>
      <c r="E10863" s="7" t="s">
        <v>29</v>
      </c>
      <c r="F10863" s="7" t="s">
        <v>168</v>
      </c>
      <c r="G10863" s="7">
        <v>99.988879999999995</v>
      </c>
      <c r="H10863" s="7"/>
    </row>
    <row r="10864" spans="1:8" x14ac:dyDescent="0.35">
      <c r="A10864" s="7" t="s">
        <v>384</v>
      </c>
      <c r="B10864" s="7" t="s">
        <v>26</v>
      </c>
      <c r="C10864" s="7" t="s">
        <v>27</v>
      </c>
      <c r="D10864" s="7" t="s">
        <v>28</v>
      </c>
      <c r="E10864" s="7" t="s">
        <v>29</v>
      </c>
      <c r="F10864" s="7" t="s">
        <v>169</v>
      </c>
      <c r="G10864" s="7">
        <v>100.2501</v>
      </c>
      <c r="H10864" s="7"/>
    </row>
    <row r="10865" spans="1:8" x14ac:dyDescent="0.35">
      <c r="A10865" s="7" t="s">
        <v>384</v>
      </c>
      <c r="B10865" s="7" t="s">
        <v>26</v>
      </c>
      <c r="C10865" s="7" t="s">
        <v>27</v>
      </c>
      <c r="D10865" s="7" t="s">
        <v>28</v>
      </c>
      <c r="E10865" s="7" t="s">
        <v>29</v>
      </c>
      <c r="F10865" s="7" t="s">
        <v>170</v>
      </c>
      <c r="G10865" s="7">
        <v>100.4599</v>
      </c>
      <c r="H10865" s="7"/>
    </row>
    <row r="10866" spans="1:8" x14ac:dyDescent="0.35">
      <c r="A10866" s="7" t="s">
        <v>384</v>
      </c>
      <c r="B10866" s="7" t="s">
        <v>26</v>
      </c>
      <c r="C10866" s="7" t="s">
        <v>27</v>
      </c>
      <c r="D10866" s="7" t="s">
        <v>28</v>
      </c>
      <c r="E10866" s="7" t="s">
        <v>29</v>
      </c>
      <c r="F10866" s="7" t="s">
        <v>171</v>
      </c>
      <c r="G10866" s="7">
        <v>100.6027</v>
      </c>
      <c r="H10866" s="7"/>
    </row>
    <row r="10867" spans="1:8" x14ac:dyDescent="0.35">
      <c r="A10867" s="7" t="s">
        <v>384</v>
      </c>
      <c r="B10867" s="7" t="s">
        <v>26</v>
      </c>
      <c r="C10867" s="7" t="s">
        <v>27</v>
      </c>
      <c r="D10867" s="7" t="s">
        <v>28</v>
      </c>
      <c r="E10867" s="7" t="s">
        <v>29</v>
      </c>
      <c r="F10867" s="7" t="s">
        <v>172</v>
      </c>
      <c r="G10867" s="7">
        <v>100.66119999999999</v>
      </c>
      <c r="H10867" s="7"/>
    </row>
    <row r="10868" spans="1:8" x14ac:dyDescent="0.35">
      <c r="A10868" s="7" t="s">
        <v>384</v>
      </c>
      <c r="B10868" s="7" t="s">
        <v>26</v>
      </c>
      <c r="C10868" s="7" t="s">
        <v>27</v>
      </c>
      <c r="D10868" s="7" t="s">
        <v>28</v>
      </c>
      <c r="E10868" s="7" t="s">
        <v>29</v>
      </c>
      <c r="F10868" s="7" t="s">
        <v>173</v>
      </c>
      <c r="G10868" s="7">
        <v>100.6799</v>
      </c>
      <c r="H10868" s="7"/>
    </row>
    <row r="10869" spans="1:8" x14ac:dyDescent="0.35">
      <c r="A10869" s="7" t="s">
        <v>384</v>
      </c>
      <c r="B10869" s="7" t="s">
        <v>26</v>
      </c>
      <c r="C10869" s="7" t="s">
        <v>27</v>
      </c>
      <c r="D10869" s="7" t="s">
        <v>28</v>
      </c>
      <c r="E10869" s="7" t="s">
        <v>29</v>
      </c>
      <c r="F10869" s="7" t="s">
        <v>174</v>
      </c>
      <c r="G10869" s="7">
        <v>100.706</v>
      </c>
      <c r="H10869" s="7"/>
    </row>
    <row r="10870" spans="1:8" x14ac:dyDescent="0.35">
      <c r="A10870" s="7" t="s">
        <v>384</v>
      </c>
      <c r="B10870" s="7" t="s">
        <v>26</v>
      </c>
      <c r="C10870" s="7" t="s">
        <v>27</v>
      </c>
      <c r="D10870" s="7" t="s">
        <v>28</v>
      </c>
      <c r="E10870" s="7" t="s">
        <v>29</v>
      </c>
      <c r="F10870" s="7" t="s">
        <v>175</v>
      </c>
      <c r="G10870" s="7">
        <v>100.7709</v>
      </c>
      <c r="H10870" s="7"/>
    </row>
    <row r="10871" spans="1:8" x14ac:dyDescent="0.35">
      <c r="A10871" s="7" t="s">
        <v>384</v>
      </c>
      <c r="B10871" s="7" t="s">
        <v>26</v>
      </c>
      <c r="C10871" s="7" t="s">
        <v>27</v>
      </c>
      <c r="D10871" s="7" t="s">
        <v>28</v>
      </c>
      <c r="E10871" s="7" t="s">
        <v>29</v>
      </c>
      <c r="F10871" s="7" t="s">
        <v>176</v>
      </c>
      <c r="G10871" s="7">
        <v>100.8642</v>
      </c>
      <c r="H10871" s="7"/>
    </row>
    <row r="10872" spans="1:8" x14ac:dyDescent="0.35">
      <c r="A10872" s="7" t="s">
        <v>384</v>
      </c>
      <c r="B10872" s="7" t="s">
        <v>26</v>
      </c>
      <c r="C10872" s="7" t="s">
        <v>27</v>
      </c>
      <c r="D10872" s="7" t="s">
        <v>28</v>
      </c>
      <c r="E10872" s="7" t="s">
        <v>29</v>
      </c>
      <c r="F10872" s="7" t="s">
        <v>177</v>
      </c>
      <c r="G10872" s="7">
        <v>100.9712</v>
      </c>
      <c r="H10872" s="7"/>
    </row>
    <row r="10873" spans="1:8" x14ac:dyDescent="0.35">
      <c r="A10873" s="7" t="s">
        <v>384</v>
      </c>
      <c r="B10873" s="7" t="s">
        <v>26</v>
      </c>
      <c r="C10873" s="7" t="s">
        <v>27</v>
      </c>
      <c r="D10873" s="7" t="s">
        <v>28</v>
      </c>
      <c r="E10873" s="7" t="s">
        <v>29</v>
      </c>
      <c r="F10873" s="7" t="s">
        <v>178</v>
      </c>
      <c r="G10873" s="7">
        <v>101.0827</v>
      </c>
      <c r="H10873" s="7"/>
    </row>
    <row r="10874" spans="1:8" x14ac:dyDescent="0.35">
      <c r="A10874" s="7" t="s">
        <v>384</v>
      </c>
      <c r="B10874" s="7" t="s">
        <v>26</v>
      </c>
      <c r="C10874" s="7" t="s">
        <v>27</v>
      </c>
      <c r="D10874" s="7" t="s">
        <v>28</v>
      </c>
      <c r="E10874" s="7" t="s">
        <v>29</v>
      </c>
      <c r="F10874" s="7" t="s">
        <v>179</v>
      </c>
      <c r="G10874" s="7">
        <v>101.1902</v>
      </c>
      <c r="H10874" s="7"/>
    </row>
    <row r="10875" spans="1:8" x14ac:dyDescent="0.35">
      <c r="A10875" s="7" t="s">
        <v>384</v>
      </c>
      <c r="B10875" s="7" t="s">
        <v>26</v>
      </c>
      <c r="C10875" s="7" t="s">
        <v>27</v>
      </c>
      <c r="D10875" s="7" t="s">
        <v>28</v>
      </c>
      <c r="E10875" s="7" t="s">
        <v>29</v>
      </c>
      <c r="F10875" s="7" t="s">
        <v>180</v>
      </c>
      <c r="G10875" s="7">
        <v>101.2775</v>
      </c>
      <c r="H10875" s="7"/>
    </row>
    <row r="10876" spans="1:8" x14ac:dyDescent="0.35">
      <c r="A10876" s="7" t="s">
        <v>384</v>
      </c>
      <c r="B10876" s="7" t="s">
        <v>26</v>
      </c>
      <c r="C10876" s="7" t="s">
        <v>27</v>
      </c>
      <c r="D10876" s="7" t="s">
        <v>28</v>
      </c>
      <c r="E10876" s="7" t="s">
        <v>29</v>
      </c>
      <c r="F10876" s="7" t="s">
        <v>181</v>
      </c>
      <c r="G10876" s="7">
        <v>101.3155</v>
      </c>
      <c r="H10876" s="7"/>
    </row>
    <row r="10877" spans="1:8" x14ac:dyDescent="0.35">
      <c r="A10877" s="7" t="s">
        <v>384</v>
      </c>
      <c r="B10877" s="7" t="s">
        <v>26</v>
      </c>
      <c r="C10877" s="7" t="s">
        <v>27</v>
      </c>
      <c r="D10877" s="7" t="s">
        <v>28</v>
      </c>
      <c r="E10877" s="7" t="s">
        <v>29</v>
      </c>
      <c r="F10877" s="7" t="s">
        <v>182</v>
      </c>
      <c r="G10877" s="7">
        <v>101.2779</v>
      </c>
      <c r="H10877" s="7"/>
    </row>
    <row r="10878" spans="1:8" x14ac:dyDescent="0.35">
      <c r="A10878" s="7" t="s">
        <v>384</v>
      </c>
      <c r="B10878" s="7" t="s">
        <v>26</v>
      </c>
      <c r="C10878" s="7" t="s">
        <v>27</v>
      </c>
      <c r="D10878" s="7" t="s">
        <v>28</v>
      </c>
      <c r="E10878" s="7" t="s">
        <v>29</v>
      </c>
      <c r="F10878" s="7" t="s">
        <v>183</v>
      </c>
      <c r="G10878" s="7">
        <v>101.1032</v>
      </c>
      <c r="H10878" s="7"/>
    </row>
    <row r="10879" spans="1:8" x14ac:dyDescent="0.35">
      <c r="A10879" s="7" t="s">
        <v>384</v>
      </c>
      <c r="B10879" s="7" t="s">
        <v>26</v>
      </c>
      <c r="C10879" s="7" t="s">
        <v>27</v>
      </c>
      <c r="D10879" s="7" t="s">
        <v>28</v>
      </c>
      <c r="E10879" s="7" t="s">
        <v>29</v>
      </c>
      <c r="F10879" s="7" t="s">
        <v>184</v>
      </c>
      <c r="G10879" s="7">
        <v>100.73220000000001</v>
      </c>
      <c r="H10879" s="7"/>
    </row>
    <row r="10880" spans="1:8" x14ac:dyDescent="0.35">
      <c r="A10880" s="7" t="s">
        <v>384</v>
      </c>
      <c r="B10880" s="7" t="s">
        <v>26</v>
      </c>
      <c r="C10880" s="7" t="s">
        <v>27</v>
      </c>
      <c r="D10880" s="7" t="s">
        <v>28</v>
      </c>
      <c r="E10880" s="7" t="s">
        <v>29</v>
      </c>
      <c r="F10880" s="7" t="s">
        <v>185</v>
      </c>
      <c r="G10880" s="7">
        <v>100.2824</v>
      </c>
      <c r="H10880" s="7"/>
    </row>
    <row r="10881" spans="1:8" x14ac:dyDescent="0.35">
      <c r="A10881" s="7" t="s">
        <v>384</v>
      </c>
      <c r="B10881" s="7" t="s">
        <v>26</v>
      </c>
      <c r="C10881" s="7" t="s">
        <v>27</v>
      </c>
      <c r="D10881" s="7" t="s">
        <v>28</v>
      </c>
      <c r="E10881" s="7" t="s">
        <v>29</v>
      </c>
      <c r="F10881" s="7" t="s">
        <v>186</v>
      </c>
      <c r="G10881" s="7">
        <v>99.906199999999998</v>
      </c>
      <c r="H10881" s="7"/>
    </row>
    <row r="10882" spans="1:8" x14ac:dyDescent="0.35">
      <c r="A10882" s="7" t="s">
        <v>384</v>
      </c>
      <c r="B10882" s="7" t="s">
        <v>26</v>
      </c>
      <c r="C10882" s="7" t="s">
        <v>27</v>
      </c>
      <c r="D10882" s="7" t="s">
        <v>28</v>
      </c>
      <c r="E10882" s="7" t="s">
        <v>29</v>
      </c>
      <c r="F10882" s="7" t="s">
        <v>187</v>
      </c>
      <c r="G10882" s="7">
        <v>99.726749999999996</v>
      </c>
      <c r="H10882" s="7"/>
    </row>
    <row r="10883" spans="1:8" x14ac:dyDescent="0.35">
      <c r="A10883" s="7" t="s">
        <v>384</v>
      </c>
      <c r="B10883" s="7" t="s">
        <v>26</v>
      </c>
      <c r="C10883" s="7" t="s">
        <v>27</v>
      </c>
      <c r="D10883" s="7" t="s">
        <v>28</v>
      </c>
      <c r="E10883" s="7" t="s">
        <v>29</v>
      </c>
      <c r="F10883" s="7" t="s">
        <v>188</v>
      </c>
      <c r="G10883" s="7">
        <v>99.700900000000004</v>
      </c>
      <c r="H10883" s="7"/>
    </row>
    <row r="10884" spans="1:8" x14ac:dyDescent="0.35">
      <c r="A10884" s="7" t="s">
        <v>384</v>
      </c>
      <c r="B10884" s="7" t="s">
        <v>26</v>
      </c>
      <c r="C10884" s="7" t="s">
        <v>27</v>
      </c>
      <c r="D10884" s="7" t="s">
        <v>28</v>
      </c>
      <c r="E10884" s="7" t="s">
        <v>29</v>
      </c>
      <c r="F10884" s="7" t="s">
        <v>189</v>
      </c>
      <c r="G10884" s="7">
        <v>99.798649999999995</v>
      </c>
      <c r="H10884" s="7"/>
    </row>
    <row r="10885" spans="1:8" x14ac:dyDescent="0.35">
      <c r="A10885" s="7" t="s">
        <v>384</v>
      </c>
      <c r="B10885" s="7" t="s">
        <v>26</v>
      </c>
      <c r="C10885" s="7" t="s">
        <v>27</v>
      </c>
      <c r="D10885" s="7" t="s">
        <v>28</v>
      </c>
      <c r="E10885" s="7" t="s">
        <v>29</v>
      </c>
      <c r="F10885" s="7" t="s">
        <v>190</v>
      </c>
      <c r="G10885" s="7">
        <v>100.02889999999999</v>
      </c>
      <c r="H10885" s="7"/>
    </row>
    <row r="10886" spans="1:8" x14ac:dyDescent="0.35">
      <c r="A10886" s="7" t="s">
        <v>384</v>
      </c>
      <c r="B10886" s="7" t="s">
        <v>26</v>
      </c>
      <c r="C10886" s="7" t="s">
        <v>27</v>
      </c>
      <c r="D10886" s="7" t="s">
        <v>28</v>
      </c>
      <c r="E10886" s="7" t="s">
        <v>29</v>
      </c>
      <c r="F10886" s="7" t="s">
        <v>191</v>
      </c>
      <c r="G10886" s="7">
        <v>100.3419</v>
      </c>
      <c r="H10886" s="7"/>
    </row>
    <row r="10887" spans="1:8" x14ac:dyDescent="0.35">
      <c r="A10887" s="7" t="s">
        <v>384</v>
      </c>
      <c r="B10887" s="7" t="s">
        <v>26</v>
      </c>
      <c r="C10887" s="7" t="s">
        <v>27</v>
      </c>
      <c r="D10887" s="7" t="s">
        <v>28</v>
      </c>
      <c r="E10887" s="7" t="s">
        <v>29</v>
      </c>
      <c r="F10887" s="7" t="s">
        <v>192</v>
      </c>
      <c r="G10887" s="7">
        <v>100.7068</v>
      </c>
      <c r="H10887" s="7"/>
    </row>
    <row r="10888" spans="1:8" x14ac:dyDescent="0.35">
      <c r="A10888" s="7" t="s">
        <v>384</v>
      </c>
      <c r="B10888" s="7" t="s">
        <v>26</v>
      </c>
      <c r="C10888" s="7" t="s">
        <v>27</v>
      </c>
      <c r="D10888" s="7" t="s">
        <v>28</v>
      </c>
      <c r="E10888" s="7" t="s">
        <v>29</v>
      </c>
      <c r="F10888" s="7" t="s">
        <v>193</v>
      </c>
      <c r="G10888" s="7">
        <v>101.10680000000001</v>
      </c>
      <c r="H10888" s="7"/>
    </row>
    <row r="10889" spans="1:8" x14ac:dyDescent="0.35">
      <c r="A10889" s="7" t="s">
        <v>384</v>
      </c>
      <c r="B10889" s="7" t="s">
        <v>26</v>
      </c>
      <c r="C10889" s="7" t="s">
        <v>27</v>
      </c>
      <c r="D10889" s="7" t="s">
        <v>28</v>
      </c>
      <c r="E10889" s="7" t="s">
        <v>29</v>
      </c>
      <c r="F10889" s="7" t="s">
        <v>194</v>
      </c>
      <c r="G10889" s="7">
        <v>101.4824</v>
      </c>
      <c r="H10889" s="7"/>
    </row>
    <row r="10890" spans="1:8" x14ac:dyDescent="0.35">
      <c r="A10890" s="7" t="s">
        <v>384</v>
      </c>
      <c r="B10890" s="7" t="s">
        <v>26</v>
      </c>
      <c r="C10890" s="7" t="s">
        <v>27</v>
      </c>
      <c r="D10890" s="7" t="s">
        <v>28</v>
      </c>
      <c r="E10890" s="7" t="s">
        <v>29</v>
      </c>
      <c r="F10890" s="7" t="s">
        <v>195</v>
      </c>
      <c r="G10890" s="7">
        <v>101.7422</v>
      </c>
      <c r="H10890" s="7"/>
    </row>
    <row r="10891" spans="1:8" x14ac:dyDescent="0.35">
      <c r="A10891" s="7" t="s">
        <v>384</v>
      </c>
      <c r="B10891" s="7" t="s">
        <v>26</v>
      </c>
      <c r="C10891" s="7" t="s">
        <v>27</v>
      </c>
      <c r="D10891" s="7" t="s">
        <v>28</v>
      </c>
      <c r="E10891" s="7" t="s">
        <v>29</v>
      </c>
      <c r="F10891" s="7" t="s">
        <v>196</v>
      </c>
      <c r="G10891" s="7">
        <v>101.798</v>
      </c>
      <c r="H10891" s="7"/>
    </row>
    <row r="10892" spans="1:8" x14ac:dyDescent="0.35">
      <c r="A10892" s="7" t="s">
        <v>384</v>
      </c>
      <c r="B10892" s="7" t="s">
        <v>26</v>
      </c>
      <c r="C10892" s="7" t="s">
        <v>27</v>
      </c>
      <c r="D10892" s="7" t="s">
        <v>28</v>
      </c>
      <c r="E10892" s="7" t="s">
        <v>29</v>
      </c>
      <c r="F10892" s="7" t="s">
        <v>197</v>
      </c>
      <c r="G10892" s="7">
        <v>101.7158</v>
      </c>
      <c r="H10892" s="7"/>
    </row>
    <row r="10893" spans="1:8" x14ac:dyDescent="0.35">
      <c r="A10893" s="7" t="s">
        <v>384</v>
      </c>
      <c r="B10893" s="7" t="s">
        <v>26</v>
      </c>
      <c r="C10893" s="7" t="s">
        <v>27</v>
      </c>
      <c r="D10893" s="7" t="s">
        <v>28</v>
      </c>
      <c r="E10893" s="7" t="s">
        <v>29</v>
      </c>
      <c r="F10893" s="7" t="s">
        <v>198</v>
      </c>
      <c r="G10893" s="7">
        <v>101.55719999999999</v>
      </c>
      <c r="H10893" s="7"/>
    </row>
    <row r="10894" spans="1:8" x14ac:dyDescent="0.35">
      <c r="A10894" s="7" t="s">
        <v>384</v>
      </c>
      <c r="B10894" s="7" t="s">
        <v>26</v>
      </c>
      <c r="C10894" s="7" t="s">
        <v>27</v>
      </c>
      <c r="D10894" s="7" t="s">
        <v>28</v>
      </c>
      <c r="E10894" s="7" t="s">
        <v>29</v>
      </c>
      <c r="F10894" s="7" t="s">
        <v>199</v>
      </c>
      <c r="G10894" s="7">
        <v>101.3588</v>
      </c>
      <c r="H10894" s="7"/>
    </row>
    <row r="10895" spans="1:8" x14ac:dyDescent="0.35">
      <c r="A10895" s="7" t="s">
        <v>384</v>
      </c>
      <c r="B10895" s="7" t="s">
        <v>26</v>
      </c>
      <c r="C10895" s="7" t="s">
        <v>27</v>
      </c>
      <c r="D10895" s="7" t="s">
        <v>28</v>
      </c>
      <c r="E10895" s="7" t="s">
        <v>29</v>
      </c>
      <c r="F10895" s="7" t="s">
        <v>200</v>
      </c>
      <c r="G10895" s="7">
        <v>101.1884</v>
      </c>
      <c r="H10895" s="7"/>
    </row>
    <row r="10896" spans="1:8" x14ac:dyDescent="0.35">
      <c r="A10896" s="7" t="s">
        <v>384</v>
      </c>
      <c r="B10896" s="7" t="s">
        <v>26</v>
      </c>
      <c r="C10896" s="7" t="s">
        <v>27</v>
      </c>
      <c r="D10896" s="7" t="s">
        <v>28</v>
      </c>
      <c r="E10896" s="7" t="s">
        <v>29</v>
      </c>
      <c r="F10896" s="7" t="s">
        <v>201</v>
      </c>
      <c r="G10896" s="7">
        <v>101.1378</v>
      </c>
      <c r="H10896" s="7"/>
    </row>
    <row r="10897" spans="1:8" x14ac:dyDescent="0.35">
      <c r="A10897" s="7" t="s">
        <v>384</v>
      </c>
      <c r="B10897" s="7" t="s">
        <v>26</v>
      </c>
      <c r="C10897" s="7" t="s">
        <v>27</v>
      </c>
      <c r="D10897" s="7" t="s">
        <v>28</v>
      </c>
      <c r="E10897" s="7" t="s">
        <v>29</v>
      </c>
      <c r="F10897" s="7" t="s">
        <v>202</v>
      </c>
      <c r="G10897" s="7">
        <v>101.2877</v>
      </c>
      <c r="H10897" s="7"/>
    </row>
    <row r="10898" spans="1:8" x14ac:dyDescent="0.35">
      <c r="A10898" s="7" t="s">
        <v>384</v>
      </c>
      <c r="B10898" s="7" t="s">
        <v>26</v>
      </c>
      <c r="C10898" s="7" t="s">
        <v>27</v>
      </c>
      <c r="D10898" s="7" t="s">
        <v>28</v>
      </c>
      <c r="E10898" s="7" t="s">
        <v>29</v>
      </c>
      <c r="F10898" s="7" t="s">
        <v>203</v>
      </c>
      <c r="G10898" s="7">
        <v>101.5535</v>
      </c>
      <c r="H10898" s="7"/>
    </row>
    <row r="10899" spans="1:8" x14ac:dyDescent="0.35">
      <c r="A10899" s="7" t="s">
        <v>384</v>
      </c>
      <c r="B10899" s="7" t="s">
        <v>26</v>
      </c>
      <c r="C10899" s="7" t="s">
        <v>27</v>
      </c>
      <c r="D10899" s="7" t="s">
        <v>28</v>
      </c>
      <c r="E10899" s="7" t="s">
        <v>29</v>
      </c>
      <c r="F10899" s="7" t="s">
        <v>204</v>
      </c>
      <c r="G10899" s="7">
        <v>101.8429</v>
      </c>
      <c r="H10899" s="7"/>
    </row>
    <row r="10900" spans="1:8" x14ac:dyDescent="0.35">
      <c r="A10900" s="7" t="s">
        <v>384</v>
      </c>
      <c r="B10900" s="7" t="s">
        <v>26</v>
      </c>
      <c r="C10900" s="7" t="s">
        <v>27</v>
      </c>
      <c r="D10900" s="7" t="s">
        <v>28</v>
      </c>
      <c r="E10900" s="7" t="s">
        <v>29</v>
      </c>
      <c r="F10900" s="7" t="s">
        <v>205</v>
      </c>
      <c r="G10900" s="7">
        <v>102.0981</v>
      </c>
      <c r="H10900" s="7"/>
    </row>
    <row r="10901" spans="1:8" x14ac:dyDescent="0.35">
      <c r="A10901" s="7" t="s">
        <v>384</v>
      </c>
      <c r="B10901" s="7" t="s">
        <v>26</v>
      </c>
      <c r="C10901" s="7" t="s">
        <v>27</v>
      </c>
      <c r="D10901" s="7" t="s">
        <v>28</v>
      </c>
      <c r="E10901" s="7" t="s">
        <v>29</v>
      </c>
      <c r="F10901" s="7" t="s">
        <v>206</v>
      </c>
      <c r="G10901" s="7">
        <v>102.3151</v>
      </c>
      <c r="H10901" s="7"/>
    </row>
    <row r="10902" spans="1:8" x14ac:dyDescent="0.35">
      <c r="A10902" s="7" t="s">
        <v>384</v>
      </c>
      <c r="B10902" s="7" t="s">
        <v>26</v>
      </c>
      <c r="C10902" s="7" t="s">
        <v>27</v>
      </c>
      <c r="D10902" s="7" t="s">
        <v>28</v>
      </c>
      <c r="E10902" s="7" t="s">
        <v>29</v>
      </c>
      <c r="F10902" s="7" t="s">
        <v>207</v>
      </c>
      <c r="G10902" s="7">
        <v>102.4933</v>
      </c>
      <c r="H10902" s="7"/>
    </row>
    <row r="10903" spans="1:8" x14ac:dyDescent="0.35">
      <c r="A10903" s="7" t="s">
        <v>384</v>
      </c>
      <c r="B10903" s="7" t="s">
        <v>26</v>
      </c>
      <c r="C10903" s="7" t="s">
        <v>27</v>
      </c>
      <c r="D10903" s="7" t="s">
        <v>28</v>
      </c>
      <c r="E10903" s="7" t="s">
        <v>29</v>
      </c>
      <c r="F10903" s="7" t="s">
        <v>208</v>
      </c>
      <c r="G10903" s="7">
        <v>102.62439999999999</v>
      </c>
      <c r="H10903" s="7"/>
    </row>
    <row r="10904" spans="1:8" x14ac:dyDescent="0.35">
      <c r="A10904" s="7" t="s">
        <v>384</v>
      </c>
      <c r="B10904" s="7" t="s">
        <v>26</v>
      </c>
      <c r="C10904" s="7" t="s">
        <v>27</v>
      </c>
      <c r="D10904" s="7" t="s">
        <v>28</v>
      </c>
      <c r="E10904" s="7" t="s">
        <v>29</v>
      </c>
      <c r="F10904" s="7" t="s">
        <v>209</v>
      </c>
      <c r="G10904" s="7">
        <v>102.7187</v>
      </c>
      <c r="H10904" s="7"/>
    </row>
    <row r="10905" spans="1:8" x14ac:dyDescent="0.35">
      <c r="A10905" s="7" t="s">
        <v>384</v>
      </c>
      <c r="B10905" s="7" t="s">
        <v>26</v>
      </c>
      <c r="C10905" s="7" t="s">
        <v>27</v>
      </c>
      <c r="D10905" s="7" t="s">
        <v>28</v>
      </c>
      <c r="E10905" s="7" t="s">
        <v>29</v>
      </c>
      <c r="F10905" s="7" t="s">
        <v>210</v>
      </c>
      <c r="G10905" s="7">
        <v>102.7777</v>
      </c>
      <c r="H10905" s="7"/>
    </row>
    <row r="10906" spans="1:8" x14ac:dyDescent="0.35">
      <c r="A10906" s="7" t="s">
        <v>384</v>
      </c>
      <c r="B10906" s="7" t="s">
        <v>26</v>
      </c>
      <c r="C10906" s="7" t="s">
        <v>27</v>
      </c>
      <c r="D10906" s="7" t="s">
        <v>28</v>
      </c>
      <c r="E10906" s="7" t="s">
        <v>29</v>
      </c>
      <c r="F10906" s="7" t="s">
        <v>211</v>
      </c>
      <c r="G10906" s="7">
        <v>102.8021</v>
      </c>
      <c r="H10906" s="7"/>
    </row>
    <row r="10907" spans="1:8" x14ac:dyDescent="0.35">
      <c r="A10907" s="7" t="s">
        <v>384</v>
      </c>
      <c r="B10907" s="7" t="s">
        <v>26</v>
      </c>
      <c r="C10907" s="7" t="s">
        <v>27</v>
      </c>
      <c r="D10907" s="7" t="s">
        <v>28</v>
      </c>
      <c r="E10907" s="7" t="s">
        <v>29</v>
      </c>
      <c r="F10907" s="7" t="s">
        <v>212</v>
      </c>
      <c r="G10907" s="7">
        <v>102.83499999999999</v>
      </c>
      <c r="H10907" s="7"/>
    </row>
    <row r="10908" spans="1:8" x14ac:dyDescent="0.35">
      <c r="A10908" s="7" t="s">
        <v>384</v>
      </c>
      <c r="B10908" s="7" t="s">
        <v>26</v>
      </c>
      <c r="C10908" s="7" t="s">
        <v>27</v>
      </c>
      <c r="D10908" s="7" t="s">
        <v>28</v>
      </c>
      <c r="E10908" s="7" t="s">
        <v>29</v>
      </c>
      <c r="F10908" s="7" t="s">
        <v>213</v>
      </c>
      <c r="G10908" s="7">
        <v>102.9383</v>
      </c>
      <c r="H10908" s="7"/>
    </row>
    <row r="10909" spans="1:8" x14ac:dyDescent="0.35">
      <c r="A10909" s="7" t="s">
        <v>384</v>
      </c>
      <c r="B10909" s="7" t="s">
        <v>26</v>
      </c>
      <c r="C10909" s="7" t="s">
        <v>27</v>
      </c>
      <c r="D10909" s="7" t="s">
        <v>28</v>
      </c>
      <c r="E10909" s="7" t="s">
        <v>29</v>
      </c>
      <c r="F10909" s="7" t="s">
        <v>214</v>
      </c>
      <c r="G10909" s="7">
        <v>103.15940000000001</v>
      </c>
      <c r="H10909" s="7"/>
    </row>
    <row r="10910" spans="1:8" x14ac:dyDescent="0.35">
      <c r="A10910" s="7" t="s">
        <v>384</v>
      </c>
      <c r="B10910" s="7" t="s">
        <v>26</v>
      </c>
      <c r="C10910" s="7" t="s">
        <v>27</v>
      </c>
      <c r="D10910" s="7" t="s">
        <v>28</v>
      </c>
      <c r="E10910" s="7" t="s">
        <v>29</v>
      </c>
      <c r="F10910" s="7" t="s">
        <v>215</v>
      </c>
      <c r="G10910" s="7">
        <v>103.4278</v>
      </c>
      <c r="H10910" s="7"/>
    </row>
    <row r="10911" spans="1:8" x14ac:dyDescent="0.35">
      <c r="A10911" s="7" t="s">
        <v>384</v>
      </c>
      <c r="B10911" s="7" t="s">
        <v>26</v>
      </c>
      <c r="C10911" s="7" t="s">
        <v>27</v>
      </c>
      <c r="D10911" s="7" t="s">
        <v>28</v>
      </c>
      <c r="E10911" s="7" t="s">
        <v>29</v>
      </c>
      <c r="F10911" s="7" t="s">
        <v>216</v>
      </c>
      <c r="G10911" s="7">
        <v>103.6421</v>
      </c>
      <c r="H10911" s="7"/>
    </row>
    <row r="10912" spans="1:8" x14ac:dyDescent="0.35">
      <c r="A10912" s="7" t="s">
        <v>384</v>
      </c>
      <c r="B10912" s="7" t="s">
        <v>26</v>
      </c>
      <c r="C10912" s="7" t="s">
        <v>27</v>
      </c>
      <c r="D10912" s="7" t="s">
        <v>28</v>
      </c>
      <c r="E10912" s="7" t="s">
        <v>29</v>
      </c>
      <c r="F10912" s="7" t="s">
        <v>217</v>
      </c>
      <c r="G10912" s="7">
        <v>103.7101</v>
      </c>
      <c r="H10912" s="7"/>
    </row>
    <row r="10913" spans="1:8" x14ac:dyDescent="0.35">
      <c r="A10913" s="7" t="s">
        <v>384</v>
      </c>
      <c r="B10913" s="7" t="s">
        <v>26</v>
      </c>
      <c r="C10913" s="7" t="s">
        <v>27</v>
      </c>
      <c r="D10913" s="7" t="s">
        <v>28</v>
      </c>
      <c r="E10913" s="7" t="s">
        <v>29</v>
      </c>
      <c r="F10913" s="7" t="s">
        <v>218</v>
      </c>
      <c r="G10913" s="7">
        <v>103.6418</v>
      </c>
      <c r="H10913" s="7"/>
    </row>
    <row r="10914" spans="1:8" x14ac:dyDescent="0.35">
      <c r="A10914" s="7" t="s">
        <v>384</v>
      </c>
      <c r="B10914" s="7" t="s">
        <v>26</v>
      </c>
      <c r="C10914" s="7" t="s">
        <v>27</v>
      </c>
      <c r="D10914" s="7" t="s">
        <v>28</v>
      </c>
      <c r="E10914" s="7" t="s">
        <v>29</v>
      </c>
      <c r="F10914" s="7" t="s">
        <v>219</v>
      </c>
      <c r="G10914" s="7">
        <v>103.4307</v>
      </c>
      <c r="H10914" s="7"/>
    </row>
    <row r="10915" spans="1:8" x14ac:dyDescent="0.35">
      <c r="A10915" s="7" t="s">
        <v>384</v>
      </c>
      <c r="B10915" s="7" t="s">
        <v>26</v>
      </c>
      <c r="C10915" s="7" t="s">
        <v>27</v>
      </c>
      <c r="D10915" s="7" t="s">
        <v>28</v>
      </c>
      <c r="E10915" s="7" t="s">
        <v>29</v>
      </c>
      <c r="F10915" s="7" t="s">
        <v>220</v>
      </c>
      <c r="G10915" s="7">
        <v>103.0707</v>
      </c>
      <c r="H10915" s="7"/>
    </row>
    <row r="10916" spans="1:8" x14ac:dyDescent="0.35">
      <c r="A10916" s="7" t="s">
        <v>384</v>
      </c>
      <c r="B10916" s="7" t="s">
        <v>26</v>
      </c>
      <c r="C10916" s="7" t="s">
        <v>27</v>
      </c>
      <c r="D10916" s="7" t="s">
        <v>28</v>
      </c>
      <c r="E10916" s="7" t="s">
        <v>29</v>
      </c>
      <c r="F10916" s="7" t="s">
        <v>221</v>
      </c>
      <c r="G10916" s="7">
        <v>102.71550000000001</v>
      </c>
      <c r="H10916" s="7"/>
    </row>
    <row r="10917" spans="1:8" x14ac:dyDescent="0.35">
      <c r="A10917" s="7" t="s">
        <v>384</v>
      </c>
      <c r="B10917" s="7" t="s">
        <v>26</v>
      </c>
      <c r="C10917" s="7" t="s">
        <v>27</v>
      </c>
      <c r="D10917" s="7" t="s">
        <v>28</v>
      </c>
      <c r="E10917" s="7" t="s">
        <v>29</v>
      </c>
      <c r="F10917" s="7" t="s">
        <v>222</v>
      </c>
      <c r="G10917" s="7">
        <v>102.57640000000001</v>
      </c>
      <c r="H10917" s="7"/>
    </row>
    <row r="10918" spans="1:8" x14ac:dyDescent="0.35">
      <c r="A10918" s="7" t="s">
        <v>384</v>
      </c>
      <c r="B10918" s="7" t="s">
        <v>26</v>
      </c>
      <c r="C10918" s="7" t="s">
        <v>27</v>
      </c>
      <c r="D10918" s="7" t="s">
        <v>28</v>
      </c>
      <c r="E10918" s="7" t="s">
        <v>29</v>
      </c>
      <c r="F10918" s="7" t="s">
        <v>223</v>
      </c>
      <c r="G10918" s="7">
        <v>102.81619999999999</v>
      </c>
      <c r="H10918" s="7"/>
    </row>
    <row r="10919" spans="1:8" x14ac:dyDescent="0.35">
      <c r="A10919" s="7" t="s">
        <v>384</v>
      </c>
      <c r="B10919" s="7" t="s">
        <v>26</v>
      </c>
      <c r="C10919" s="7" t="s">
        <v>27</v>
      </c>
      <c r="D10919" s="7" t="s">
        <v>28</v>
      </c>
      <c r="E10919" s="7" t="s">
        <v>29</v>
      </c>
      <c r="F10919" s="7" t="s">
        <v>224</v>
      </c>
      <c r="G10919" s="7">
        <v>103.2253</v>
      </c>
      <c r="H10919" s="7"/>
    </row>
    <row r="10920" spans="1:8" x14ac:dyDescent="0.35">
      <c r="A10920" s="7" t="s">
        <v>384</v>
      </c>
      <c r="B10920" s="7" t="s">
        <v>26</v>
      </c>
      <c r="C10920" s="7" t="s">
        <v>27</v>
      </c>
      <c r="D10920" s="7" t="s">
        <v>28</v>
      </c>
      <c r="E10920" s="7" t="s">
        <v>29</v>
      </c>
      <c r="F10920" s="7" t="s">
        <v>225</v>
      </c>
      <c r="G10920" s="7">
        <v>103.53700000000001</v>
      </c>
      <c r="H10920" s="7"/>
    </row>
    <row r="10921" spans="1:8" x14ac:dyDescent="0.35">
      <c r="A10921" s="7" t="s">
        <v>384</v>
      </c>
      <c r="B10921" s="7" t="s">
        <v>26</v>
      </c>
      <c r="C10921" s="7" t="s">
        <v>27</v>
      </c>
      <c r="D10921" s="7" t="s">
        <v>28</v>
      </c>
      <c r="E10921" s="7" t="s">
        <v>29</v>
      </c>
      <c r="F10921" s="7" t="s">
        <v>226</v>
      </c>
      <c r="G10921" s="7">
        <v>103.57259999999999</v>
      </c>
      <c r="H10921" s="7"/>
    </row>
    <row r="10922" spans="1:8" x14ac:dyDescent="0.35">
      <c r="A10922" s="7" t="s">
        <v>384</v>
      </c>
      <c r="B10922" s="7" t="s">
        <v>26</v>
      </c>
      <c r="C10922" s="7" t="s">
        <v>27</v>
      </c>
      <c r="D10922" s="7" t="s">
        <v>28</v>
      </c>
      <c r="E10922" s="7" t="s">
        <v>29</v>
      </c>
      <c r="F10922" s="7" t="s">
        <v>227</v>
      </c>
      <c r="G10922" s="7">
        <v>103.4847</v>
      </c>
      <c r="H10922" s="7"/>
    </row>
    <row r="10923" spans="1:8" x14ac:dyDescent="0.35">
      <c r="A10923" s="7" t="s">
        <v>384</v>
      </c>
      <c r="B10923" s="7" t="s">
        <v>26</v>
      </c>
      <c r="C10923" s="7" t="s">
        <v>27</v>
      </c>
      <c r="D10923" s="7" t="s">
        <v>28</v>
      </c>
      <c r="E10923" s="7" t="s">
        <v>29</v>
      </c>
      <c r="F10923" s="7" t="s">
        <v>228</v>
      </c>
      <c r="G10923" s="7">
        <v>103.4743</v>
      </c>
      <c r="H10923" s="7"/>
    </row>
    <row r="10924" spans="1:8" x14ac:dyDescent="0.35">
      <c r="A10924" s="7" t="s">
        <v>384</v>
      </c>
      <c r="B10924" s="7" t="s">
        <v>26</v>
      </c>
      <c r="C10924" s="7" t="s">
        <v>27</v>
      </c>
      <c r="D10924" s="7" t="s">
        <v>28</v>
      </c>
      <c r="E10924" s="7" t="s">
        <v>29</v>
      </c>
      <c r="F10924" s="7" t="s">
        <v>229</v>
      </c>
      <c r="G10924" s="7">
        <v>103.63330000000001</v>
      </c>
      <c r="H10924" s="7"/>
    </row>
    <row r="10925" spans="1:8" x14ac:dyDescent="0.35">
      <c r="A10925" s="7" t="s">
        <v>384</v>
      </c>
      <c r="B10925" s="7" t="s">
        <v>26</v>
      </c>
      <c r="C10925" s="7" t="s">
        <v>27</v>
      </c>
      <c r="D10925" s="7" t="s">
        <v>28</v>
      </c>
      <c r="E10925" s="7" t="s">
        <v>29</v>
      </c>
      <c r="F10925" s="7" t="s">
        <v>230</v>
      </c>
      <c r="G10925" s="7">
        <v>103.7073</v>
      </c>
      <c r="H10925" s="7"/>
    </row>
    <row r="10926" spans="1:8" x14ac:dyDescent="0.35">
      <c r="A10926" s="7" t="s">
        <v>384</v>
      </c>
      <c r="B10926" s="7" t="s">
        <v>26</v>
      </c>
      <c r="C10926" s="7" t="s">
        <v>27</v>
      </c>
      <c r="D10926" s="7" t="s">
        <v>28</v>
      </c>
      <c r="E10926" s="7" t="s">
        <v>29</v>
      </c>
      <c r="F10926" s="7" t="s">
        <v>231</v>
      </c>
      <c r="G10926" s="7">
        <v>103.2456</v>
      </c>
      <c r="H10926" s="7"/>
    </row>
    <row r="10927" spans="1:8" x14ac:dyDescent="0.35">
      <c r="A10927" s="7" t="s">
        <v>384</v>
      </c>
      <c r="B10927" s="7" t="s">
        <v>26</v>
      </c>
      <c r="C10927" s="7" t="s">
        <v>27</v>
      </c>
      <c r="D10927" s="7" t="s">
        <v>28</v>
      </c>
      <c r="E10927" s="7" t="s">
        <v>29</v>
      </c>
      <c r="F10927" s="7" t="s">
        <v>232</v>
      </c>
      <c r="G10927" s="7">
        <v>101.83499999999999</v>
      </c>
      <c r="H10927" s="7"/>
    </row>
    <row r="10928" spans="1:8" x14ac:dyDescent="0.35">
      <c r="A10928" s="7" t="s">
        <v>384</v>
      </c>
      <c r="B10928" s="7" t="s">
        <v>26</v>
      </c>
      <c r="C10928" s="7" t="s">
        <v>27</v>
      </c>
      <c r="D10928" s="7" t="s">
        <v>28</v>
      </c>
      <c r="E10928" s="7" t="s">
        <v>29</v>
      </c>
      <c r="F10928" s="7" t="s">
        <v>233</v>
      </c>
      <c r="G10928" s="7">
        <v>99.869290000000007</v>
      </c>
      <c r="H10928" s="7"/>
    </row>
    <row r="10929" spans="1:8" x14ac:dyDescent="0.35">
      <c r="A10929" s="7" t="s">
        <v>384</v>
      </c>
      <c r="B10929" s="7" t="s">
        <v>26</v>
      </c>
      <c r="C10929" s="7" t="s">
        <v>27</v>
      </c>
      <c r="D10929" s="7" t="s">
        <v>28</v>
      </c>
      <c r="E10929" s="7" t="s">
        <v>29</v>
      </c>
      <c r="F10929" s="7" t="s">
        <v>234</v>
      </c>
      <c r="G10929" s="7">
        <v>97.803880000000007</v>
      </c>
      <c r="H10929" s="7"/>
    </row>
    <row r="10930" spans="1:8" x14ac:dyDescent="0.35">
      <c r="A10930" s="7" t="s">
        <v>384</v>
      </c>
      <c r="B10930" s="7" t="s">
        <v>26</v>
      </c>
      <c r="C10930" s="7" t="s">
        <v>27</v>
      </c>
      <c r="D10930" s="7" t="s">
        <v>28</v>
      </c>
      <c r="E10930" s="7" t="s">
        <v>29</v>
      </c>
      <c r="F10930" s="7" t="s">
        <v>235</v>
      </c>
      <c r="G10930" s="7">
        <v>95.964590000000001</v>
      </c>
      <c r="H10930" s="7"/>
    </row>
    <row r="10931" spans="1:8" x14ac:dyDescent="0.35">
      <c r="A10931" s="7" t="s">
        <v>384</v>
      </c>
      <c r="B10931" s="7" t="s">
        <v>26</v>
      </c>
      <c r="C10931" s="7" t="s">
        <v>27</v>
      </c>
      <c r="D10931" s="7" t="s">
        <v>28</v>
      </c>
      <c r="E10931" s="7" t="s">
        <v>29</v>
      </c>
      <c r="F10931" s="7" t="s">
        <v>236</v>
      </c>
      <c r="G10931" s="7">
        <v>94.456829999999997</v>
      </c>
      <c r="H10931" s="7"/>
    </row>
    <row r="10932" spans="1:8" x14ac:dyDescent="0.35">
      <c r="A10932" s="7" t="s">
        <v>384</v>
      </c>
      <c r="B10932" s="7" t="s">
        <v>26</v>
      </c>
      <c r="C10932" s="7" t="s">
        <v>27</v>
      </c>
      <c r="D10932" s="7" t="s">
        <v>28</v>
      </c>
      <c r="E10932" s="7" t="s">
        <v>29</v>
      </c>
      <c r="F10932" s="7" t="s">
        <v>237</v>
      </c>
      <c r="G10932" s="7">
        <v>93.464479999999995</v>
      </c>
      <c r="H10932" s="7"/>
    </row>
    <row r="10933" spans="1:8" x14ac:dyDescent="0.35">
      <c r="A10933" s="7" t="s">
        <v>384</v>
      </c>
      <c r="B10933" s="7" t="s">
        <v>26</v>
      </c>
      <c r="C10933" s="7" t="s">
        <v>27</v>
      </c>
      <c r="D10933" s="7" t="s">
        <v>28</v>
      </c>
      <c r="E10933" s="7" t="s">
        <v>29</v>
      </c>
      <c r="F10933" s="7" t="s">
        <v>238</v>
      </c>
      <c r="G10933" s="7">
        <v>93.217399999999998</v>
      </c>
      <c r="H10933" s="7"/>
    </row>
    <row r="10934" spans="1:8" x14ac:dyDescent="0.35">
      <c r="A10934" s="7" t="s">
        <v>384</v>
      </c>
      <c r="B10934" s="7" t="s">
        <v>26</v>
      </c>
      <c r="C10934" s="7" t="s">
        <v>27</v>
      </c>
      <c r="D10934" s="7" t="s">
        <v>28</v>
      </c>
      <c r="E10934" s="7" t="s">
        <v>29</v>
      </c>
      <c r="F10934" s="7" t="s">
        <v>239</v>
      </c>
      <c r="G10934" s="7">
        <v>93.443380000000005</v>
      </c>
      <c r="H10934" s="7"/>
    </row>
    <row r="10935" spans="1:8" x14ac:dyDescent="0.35">
      <c r="A10935" s="7" t="s">
        <v>384</v>
      </c>
      <c r="B10935" s="7" t="s">
        <v>26</v>
      </c>
      <c r="C10935" s="7" t="s">
        <v>27</v>
      </c>
      <c r="D10935" s="7" t="s">
        <v>28</v>
      </c>
      <c r="E10935" s="7" t="s">
        <v>29</v>
      </c>
      <c r="F10935" s="7" t="s">
        <v>240</v>
      </c>
      <c r="G10935" s="7">
        <v>93.923320000000004</v>
      </c>
      <c r="H10935" s="7"/>
    </row>
    <row r="10936" spans="1:8" x14ac:dyDescent="0.35">
      <c r="A10936" s="7" t="s">
        <v>384</v>
      </c>
      <c r="B10936" s="7" t="s">
        <v>26</v>
      </c>
      <c r="C10936" s="7" t="s">
        <v>27</v>
      </c>
      <c r="D10936" s="7" t="s">
        <v>28</v>
      </c>
      <c r="E10936" s="7" t="s">
        <v>29</v>
      </c>
      <c r="F10936" s="7" t="s">
        <v>241</v>
      </c>
      <c r="G10936" s="7">
        <v>94.573319999999995</v>
      </c>
      <c r="H10936" s="7"/>
    </row>
    <row r="10937" spans="1:8" x14ac:dyDescent="0.35">
      <c r="A10937" s="7" t="s">
        <v>384</v>
      </c>
      <c r="B10937" s="7" t="s">
        <v>26</v>
      </c>
      <c r="C10937" s="7" t="s">
        <v>27</v>
      </c>
      <c r="D10937" s="7" t="s">
        <v>28</v>
      </c>
      <c r="E10937" s="7" t="s">
        <v>29</v>
      </c>
      <c r="F10937" s="7" t="s">
        <v>242</v>
      </c>
      <c r="G10937" s="7">
        <v>95.272760000000005</v>
      </c>
      <c r="H10937" s="7"/>
    </row>
    <row r="10938" spans="1:8" x14ac:dyDescent="0.35">
      <c r="A10938" s="7" t="s">
        <v>384</v>
      </c>
      <c r="B10938" s="7" t="s">
        <v>26</v>
      </c>
      <c r="C10938" s="7" t="s">
        <v>27</v>
      </c>
      <c r="D10938" s="7" t="s">
        <v>28</v>
      </c>
      <c r="E10938" s="7" t="s">
        <v>29</v>
      </c>
      <c r="F10938" s="7" t="s">
        <v>243</v>
      </c>
      <c r="G10938" s="7">
        <v>95.933179999999993</v>
      </c>
      <c r="H10938" s="7"/>
    </row>
    <row r="10939" spans="1:8" x14ac:dyDescent="0.35">
      <c r="A10939" s="7" t="s">
        <v>384</v>
      </c>
      <c r="B10939" s="7" t="s">
        <v>26</v>
      </c>
      <c r="C10939" s="7" t="s">
        <v>27</v>
      </c>
      <c r="D10939" s="7" t="s">
        <v>28</v>
      </c>
      <c r="E10939" s="7" t="s">
        <v>29</v>
      </c>
      <c r="F10939" s="7" t="s">
        <v>244</v>
      </c>
      <c r="G10939" s="7">
        <v>96.517610000000005</v>
      </c>
      <c r="H10939" s="7"/>
    </row>
    <row r="10940" spans="1:8" x14ac:dyDescent="0.35">
      <c r="A10940" s="7" t="s">
        <v>384</v>
      </c>
      <c r="B10940" s="7" t="s">
        <v>26</v>
      </c>
      <c r="C10940" s="7" t="s">
        <v>27</v>
      </c>
      <c r="D10940" s="7" t="s">
        <v>28</v>
      </c>
      <c r="E10940" s="7" t="s">
        <v>29</v>
      </c>
      <c r="F10940" s="7" t="s">
        <v>245</v>
      </c>
      <c r="G10940" s="7">
        <v>97.098979999999997</v>
      </c>
      <c r="H10940" s="7"/>
    </row>
    <row r="10941" spans="1:8" x14ac:dyDescent="0.35">
      <c r="A10941" s="7" t="s">
        <v>384</v>
      </c>
      <c r="B10941" s="7" t="s">
        <v>26</v>
      </c>
      <c r="C10941" s="7" t="s">
        <v>27</v>
      </c>
      <c r="D10941" s="7" t="s">
        <v>28</v>
      </c>
      <c r="E10941" s="7" t="s">
        <v>29</v>
      </c>
      <c r="F10941" s="7" t="s">
        <v>246</v>
      </c>
      <c r="G10941" s="7">
        <v>97.789180000000002</v>
      </c>
      <c r="H10941" s="7"/>
    </row>
    <row r="10942" spans="1:8" x14ac:dyDescent="0.35">
      <c r="A10942" s="7" t="s">
        <v>384</v>
      </c>
      <c r="B10942" s="7" t="s">
        <v>26</v>
      </c>
      <c r="C10942" s="7" t="s">
        <v>27</v>
      </c>
      <c r="D10942" s="7" t="s">
        <v>28</v>
      </c>
      <c r="E10942" s="7" t="s">
        <v>29</v>
      </c>
      <c r="F10942" s="7" t="s">
        <v>247</v>
      </c>
      <c r="G10942" s="7">
        <v>98.671059999999997</v>
      </c>
      <c r="H10942" s="7"/>
    </row>
    <row r="10943" spans="1:8" x14ac:dyDescent="0.35">
      <c r="A10943" s="7" t="s">
        <v>384</v>
      </c>
      <c r="B10943" s="7" t="s">
        <v>26</v>
      </c>
      <c r="C10943" s="7" t="s">
        <v>27</v>
      </c>
      <c r="D10943" s="7" t="s">
        <v>28</v>
      </c>
      <c r="E10943" s="7" t="s">
        <v>29</v>
      </c>
      <c r="F10943" s="7" t="s">
        <v>248</v>
      </c>
      <c r="G10943" s="7">
        <v>99.621709999999993</v>
      </c>
      <c r="H10943" s="7"/>
    </row>
    <row r="10944" spans="1:8" x14ac:dyDescent="0.35">
      <c r="A10944" s="7" t="s">
        <v>384</v>
      </c>
      <c r="B10944" s="7" t="s">
        <v>26</v>
      </c>
      <c r="C10944" s="7" t="s">
        <v>27</v>
      </c>
      <c r="D10944" s="7" t="s">
        <v>28</v>
      </c>
      <c r="E10944" s="7" t="s">
        <v>29</v>
      </c>
      <c r="F10944" s="7" t="s">
        <v>249</v>
      </c>
      <c r="G10944" s="7">
        <v>100.4575</v>
      </c>
      <c r="H10944" s="7"/>
    </row>
    <row r="10945" spans="1:8" x14ac:dyDescent="0.35">
      <c r="A10945" s="7" t="s">
        <v>384</v>
      </c>
      <c r="B10945" s="7" t="s">
        <v>26</v>
      </c>
      <c r="C10945" s="7" t="s">
        <v>27</v>
      </c>
      <c r="D10945" s="7" t="s">
        <v>28</v>
      </c>
      <c r="E10945" s="7" t="s">
        <v>29</v>
      </c>
      <c r="F10945" s="7" t="s">
        <v>250</v>
      </c>
      <c r="G10945" s="7">
        <v>101.01009999999999</v>
      </c>
      <c r="H10945" s="7"/>
    </row>
    <row r="10946" spans="1:8" x14ac:dyDescent="0.35">
      <c r="A10946" s="7" t="s">
        <v>384</v>
      </c>
      <c r="B10946" s="7" t="s">
        <v>26</v>
      </c>
      <c r="C10946" s="7" t="s">
        <v>27</v>
      </c>
      <c r="D10946" s="7" t="s">
        <v>28</v>
      </c>
      <c r="E10946" s="7" t="s">
        <v>29</v>
      </c>
      <c r="F10946" s="7" t="s">
        <v>251</v>
      </c>
      <c r="G10946" s="7">
        <v>101.3181</v>
      </c>
      <c r="H10946" s="7"/>
    </row>
    <row r="10947" spans="1:8" x14ac:dyDescent="0.35">
      <c r="A10947" s="7" t="s">
        <v>384</v>
      </c>
      <c r="B10947" s="7" t="s">
        <v>26</v>
      </c>
      <c r="C10947" s="7" t="s">
        <v>27</v>
      </c>
      <c r="D10947" s="7" t="s">
        <v>28</v>
      </c>
      <c r="E10947" s="7" t="s">
        <v>29</v>
      </c>
      <c r="F10947" s="7" t="s">
        <v>252</v>
      </c>
      <c r="G10947" s="7">
        <v>101.3818</v>
      </c>
      <c r="H10947" s="7"/>
    </row>
    <row r="10948" spans="1:8" x14ac:dyDescent="0.35">
      <c r="A10948" s="7" t="s">
        <v>384</v>
      </c>
      <c r="B10948" s="7" t="s">
        <v>26</v>
      </c>
      <c r="C10948" s="7" t="s">
        <v>27</v>
      </c>
      <c r="D10948" s="7" t="s">
        <v>28</v>
      </c>
      <c r="E10948" s="7" t="s">
        <v>29</v>
      </c>
      <c r="F10948" s="7" t="s">
        <v>253</v>
      </c>
      <c r="G10948" s="7">
        <v>101.16370000000001</v>
      </c>
      <c r="H10948" s="7"/>
    </row>
    <row r="10949" spans="1:8" x14ac:dyDescent="0.35">
      <c r="A10949" s="7" t="s">
        <v>384</v>
      </c>
      <c r="B10949" s="7" t="s">
        <v>26</v>
      </c>
      <c r="C10949" s="7" t="s">
        <v>27</v>
      </c>
      <c r="D10949" s="7" t="s">
        <v>28</v>
      </c>
      <c r="E10949" s="7" t="s">
        <v>29</v>
      </c>
      <c r="F10949" s="7" t="s">
        <v>254</v>
      </c>
      <c r="G10949" s="7">
        <v>100.8329</v>
      </c>
      <c r="H10949" s="7"/>
    </row>
    <row r="10950" spans="1:8" x14ac:dyDescent="0.35">
      <c r="A10950" s="7" t="s">
        <v>384</v>
      </c>
      <c r="B10950" s="7" t="s">
        <v>26</v>
      </c>
      <c r="C10950" s="7" t="s">
        <v>27</v>
      </c>
      <c r="D10950" s="7" t="s">
        <v>28</v>
      </c>
      <c r="E10950" s="7" t="s">
        <v>29</v>
      </c>
      <c r="F10950" s="7" t="s">
        <v>255</v>
      </c>
      <c r="G10950" s="7">
        <v>100.5722</v>
      </c>
      <c r="H10950" s="7"/>
    </row>
    <row r="10951" spans="1:8" x14ac:dyDescent="0.35">
      <c r="A10951" s="7" t="s">
        <v>384</v>
      </c>
      <c r="B10951" s="7" t="s">
        <v>26</v>
      </c>
      <c r="C10951" s="7" t="s">
        <v>27</v>
      </c>
      <c r="D10951" s="7" t="s">
        <v>28</v>
      </c>
      <c r="E10951" s="7" t="s">
        <v>29</v>
      </c>
      <c r="F10951" s="7" t="s">
        <v>256</v>
      </c>
      <c r="G10951" s="7">
        <v>100.498</v>
      </c>
      <c r="H10951" s="7"/>
    </row>
    <row r="10952" spans="1:8" x14ac:dyDescent="0.35">
      <c r="A10952" s="7" t="s">
        <v>384</v>
      </c>
      <c r="B10952" s="7" t="s">
        <v>26</v>
      </c>
      <c r="C10952" s="7" t="s">
        <v>27</v>
      </c>
      <c r="D10952" s="7" t="s">
        <v>28</v>
      </c>
      <c r="E10952" s="7" t="s">
        <v>29</v>
      </c>
      <c r="F10952" s="7" t="s">
        <v>257</v>
      </c>
      <c r="G10952" s="7">
        <v>100.51090000000001</v>
      </c>
      <c r="H10952" s="7"/>
    </row>
    <row r="10953" spans="1:8" x14ac:dyDescent="0.35">
      <c r="A10953" s="7" t="s">
        <v>384</v>
      </c>
      <c r="B10953" s="7" t="s">
        <v>26</v>
      </c>
      <c r="C10953" s="7" t="s">
        <v>27</v>
      </c>
      <c r="D10953" s="7" t="s">
        <v>28</v>
      </c>
      <c r="E10953" s="7" t="s">
        <v>29</v>
      </c>
      <c r="F10953" s="7" t="s">
        <v>258</v>
      </c>
      <c r="G10953" s="7">
        <v>100.4718</v>
      </c>
      <c r="H10953" s="7"/>
    </row>
    <row r="10954" spans="1:8" x14ac:dyDescent="0.35">
      <c r="A10954" s="7" t="s">
        <v>384</v>
      </c>
      <c r="B10954" s="7" t="s">
        <v>26</v>
      </c>
      <c r="C10954" s="7" t="s">
        <v>27</v>
      </c>
      <c r="D10954" s="7" t="s">
        <v>28</v>
      </c>
      <c r="E10954" s="7" t="s">
        <v>29</v>
      </c>
      <c r="F10954" s="7" t="s">
        <v>259</v>
      </c>
      <c r="G10954" s="7">
        <v>100.2923</v>
      </c>
      <c r="H10954" s="7"/>
    </row>
    <row r="10955" spans="1:8" x14ac:dyDescent="0.35">
      <c r="A10955" s="7" t="s">
        <v>384</v>
      </c>
      <c r="B10955" s="7" t="s">
        <v>26</v>
      </c>
      <c r="C10955" s="7" t="s">
        <v>27</v>
      </c>
      <c r="D10955" s="7" t="s">
        <v>28</v>
      </c>
      <c r="E10955" s="7" t="s">
        <v>29</v>
      </c>
      <c r="F10955" s="7" t="s">
        <v>260</v>
      </c>
      <c r="G10955" s="7">
        <v>100.0762</v>
      </c>
      <c r="H10955" s="7"/>
    </row>
    <row r="10956" spans="1:8" x14ac:dyDescent="0.35">
      <c r="A10956" s="7" t="s">
        <v>384</v>
      </c>
      <c r="B10956" s="7" t="s">
        <v>26</v>
      </c>
      <c r="C10956" s="7" t="s">
        <v>27</v>
      </c>
      <c r="D10956" s="7" t="s">
        <v>28</v>
      </c>
      <c r="E10956" s="7" t="s">
        <v>29</v>
      </c>
      <c r="F10956" s="7" t="s">
        <v>261</v>
      </c>
      <c r="G10956" s="7">
        <v>99.99091</v>
      </c>
      <c r="H10956" s="7"/>
    </row>
    <row r="10957" spans="1:8" x14ac:dyDescent="0.35">
      <c r="A10957" s="7" t="s">
        <v>384</v>
      </c>
      <c r="B10957" s="7" t="s">
        <v>26</v>
      </c>
      <c r="C10957" s="7" t="s">
        <v>27</v>
      </c>
      <c r="D10957" s="7" t="s">
        <v>28</v>
      </c>
      <c r="E10957" s="7" t="s">
        <v>29</v>
      </c>
      <c r="F10957" s="7" t="s">
        <v>262</v>
      </c>
      <c r="G10957" s="7">
        <v>100.1756</v>
      </c>
      <c r="H10957" s="7"/>
    </row>
    <row r="10958" spans="1:8" x14ac:dyDescent="0.35">
      <c r="A10958" s="7" t="s">
        <v>384</v>
      </c>
      <c r="B10958" s="7" t="s">
        <v>26</v>
      </c>
      <c r="C10958" s="7" t="s">
        <v>27</v>
      </c>
      <c r="D10958" s="7" t="s">
        <v>28</v>
      </c>
      <c r="E10958" s="7" t="s">
        <v>29</v>
      </c>
      <c r="F10958" s="7" t="s">
        <v>263</v>
      </c>
      <c r="G10958" s="7">
        <v>100.5184</v>
      </c>
      <c r="H10958" s="7"/>
    </row>
    <row r="10959" spans="1:8" x14ac:dyDescent="0.35">
      <c r="A10959" s="7" t="s">
        <v>384</v>
      </c>
      <c r="B10959" s="7" t="s">
        <v>26</v>
      </c>
      <c r="C10959" s="7" t="s">
        <v>27</v>
      </c>
      <c r="D10959" s="7" t="s">
        <v>28</v>
      </c>
      <c r="E10959" s="7" t="s">
        <v>29</v>
      </c>
      <c r="F10959" s="7" t="s">
        <v>264</v>
      </c>
      <c r="G10959" s="7">
        <v>100.8824</v>
      </c>
      <c r="H10959" s="7"/>
    </row>
    <row r="10960" spans="1:8" x14ac:dyDescent="0.35">
      <c r="A10960" s="7" t="s">
        <v>384</v>
      </c>
      <c r="B10960" s="7" t="s">
        <v>26</v>
      </c>
      <c r="C10960" s="7" t="s">
        <v>27</v>
      </c>
      <c r="D10960" s="7" t="s">
        <v>28</v>
      </c>
      <c r="E10960" s="7" t="s">
        <v>29</v>
      </c>
      <c r="F10960" s="7" t="s">
        <v>265</v>
      </c>
      <c r="G10960" s="7">
        <v>101.1739</v>
      </c>
      <c r="H10960" s="7"/>
    </row>
    <row r="10961" spans="1:8" x14ac:dyDescent="0.35">
      <c r="A10961" s="7" t="s">
        <v>384</v>
      </c>
      <c r="B10961" s="7" t="s">
        <v>26</v>
      </c>
      <c r="C10961" s="7" t="s">
        <v>27</v>
      </c>
      <c r="D10961" s="7" t="s">
        <v>28</v>
      </c>
      <c r="E10961" s="7" t="s">
        <v>29</v>
      </c>
      <c r="F10961" s="7" t="s">
        <v>266</v>
      </c>
      <c r="G10961" s="7">
        <v>101.3888</v>
      </c>
      <c r="H10961" s="7"/>
    </row>
    <row r="10962" spans="1:8" x14ac:dyDescent="0.35">
      <c r="A10962" s="7" t="s">
        <v>384</v>
      </c>
      <c r="B10962" s="7" t="s">
        <v>26</v>
      </c>
      <c r="C10962" s="7" t="s">
        <v>27</v>
      </c>
      <c r="D10962" s="7" t="s">
        <v>28</v>
      </c>
      <c r="E10962" s="7" t="s">
        <v>29</v>
      </c>
      <c r="F10962" s="7" t="s">
        <v>267</v>
      </c>
      <c r="G10962" s="7">
        <v>101.5265</v>
      </c>
      <c r="H10962" s="7"/>
    </row>
    <row r="10963" spans="1:8" x14ac:dyDescent="0.35">
      <c r="A10963" s="7" t="s">
        <v>384</v>
      </c>
      <c r="B10963" s="7" t="s">
        <v>26</v>
      </c>
      <c r="C10963" s="7" t="s">
        <v>27</v>
      </c>
      <c r="D10963" s="7" t="s">
        <v>28</v>
      </c>
      <c r="E10963" s="7" t="s">
        <v>29</v>
      </c>
      <c r="F10963" s="7" t="s">
        <v>268</v>
      </c>
      <c r="G10963" s="7">
        <v>101.5806</v>
      </c>
      <c r="H10963" s="7"/>
    </row>
    <row r="10964" spans="1:8" x14ac:dyDescent="0.35">
      <c r="A10964" s="7" t="s">
        <v>384</v>
      </c>
      <c r="B10964" s="7" t="s">
        <v>26</v>
      </c>
      <c r="C10964" s="7" t="s">
        <v>27</v>
      </c>
      <c r="D10964" s="7" t="s">
        <v>28</v>
      </c>
      <c r="E10964" s="7" t="s">
        <v>29</v>
      </c>
      <c r="F10964" s="7" t="s">
        <v>269</v>
      </c>
      <c r="G10964" s="7">
        <v>101.6063</v>
      </c>
      <c r="H10964" s="7"/>
    </row>
    <row r="10965" spans="1:8" x14ac:dyDescent="0.35">
      <c r="A10965" s="7" t="s">
        <v>384</v>
      </c>
      <c r="B10965" s="7" t="s">
        <v>26</v>
      </c>
      <c r="C10965" s="7" t="s">
        <v>27</v>
      </c>
      <c r="D10965" s="7" t="s">
        <v>28</v>
      </c>
      <c r="E10965" s="7" t="s">
        <v>29</v>
      </c>
      <c r="F10965" s="7" t="s">
        <v>270</v>
      </c>
      <c r="G10965" s="7">
        <v>101.6666</v>
      </c>
      <c r="H10965" s="7"/>
    </row>
    <row r="10966" spans="1:8" x14ac:dyDescent="0.35">
      <c r="A10966" s="7" t="s">
        <v>384</v>
      </c>
      <c r="B10966" s="7" t="s">
        <v>26</v>
      </c>
      <c r="C10966" s="7" t="s">
        <v>27</v>
      </c>
      <c r="D10966" s="7" t="s">
        <v>28</v>
      </c>
      <c r="E10966" s="7" t="s">
        <v>29</v>
      </c>
      <c r="F10966" s="7" t="s">
        <v>271</v>
      </c>
      <c r="G10966" s="7">
        <v>101.8065</v>
      </c>
      <c r="H10966" s="7"/>
    </row>
    <row r="10967" spans="1:8" x14ac:dyDescent="0.35">
      <c r="A10967" s="7" t="s">
        <v>384</v>
      </c>
      <c r="B10967" s="7" t="s">
        <v>26</v>
      </c>
      <c r="C10967" s="7" t="s">
        <v>27</v>
      </c>
      <c r="D10967" s="7" t="s">
        <v>28</v>
      </c>
      <c r="E10967" s="7" t="s">
        <v>29</v>
      </c>
      <c r="F10967" s="7" t="s">
        <v>272</v>
      </c>
      <c r="G10967" s="7">
        <v>101.99250000000001</v>
      </c>
      <c r="H10967" s="7"/>
    </row>
    <row r="10968" spans="1:8" x14ac:dyDescent="0.35">
      <c r="A10968" s="7" t="s">
        <v>384</v>
      </c>
      <c r="B10968" s="7" t="s">
        <v>26</v>
      </c>
      <c r="C10968" s="7" t="s">
        <v>27</v>
      </c>
      <c r="D10968" s="7" t="s">
        <v>28</v>
      </c>
      <c r="E10968" s="7" t="s">
        <v>29</v>
      </c>
      <c r="F10968" s="7" t="s">
        <v>273</v>
      </c>
      <c r="G10968" s="7">
        <v>102.1785</v>
      </c>
      <c r="H10968" s="7"/>
    </row>
    <row r="10969" spans="1:8" x14ac:dyDescent="0.35">
      <c r="A10969" s="7" t="s">
        <v>384</v>
      </c>
      <c r="B10969" s="7" t="s">
        <v>26</v>
      </c>
      <c r="C10969" s="7" t="s">
        <v>27</v>
      </c>
      <c r="D10969" s="7" t="s">
        <v>28</v>
      </c>
      <c r="E10969" s="7" t="s">
        <v>29</v>
      </c>
      <c r="F10969" s="7" t="s">
        <v>274</v>
      </c>
      <c r="G10969" s="7">
        <v>102.32470000000001</v>
      </c>
      <c r="H10969" s="7"/>
    </row>
    <row r="10970" spans="1:8" x14ac:dyDescent="0.35">
      <c r="A10970" s="7" t="s">
        <v>384</v>
      </c>
      <c r="B10970" s="7" t="s">
        <v>26</v>
      </c>
      <c r="C10970" s="7" t="s">
        <v>27</v>
      </c>
      <c r="D10970" s="7" t="s">
        <v>28</v>
      </c>
      <c r="E10970" s="7" t="s">
        <v>29</v>
      </c>
      <c r="F10970" s="7" t="s">
        <v>275</v>
      </c>
      <c r="G10970" s="7">
        <v>102.4174</v>
      </c>
      <c r="H10970" s="7"/>
    </row>
    <row r="10971" spans="1:8" x14ac:dyDescent="0.35">
      <c r="A10971" s="7" t="s">
        <v>384</v>
      </c>
      <c r="B10971" s="7" t="s">
        <v>26</v>
      </c>
      <c r="C10971" s="7" t="s">
        <v>27</v>
      </c>
      <c r="D10971" s="7" t="s">
        <v>28</v>
      </c>
      <c r="E10971" s="7" t="s">
        <v>29</v>
      </c>
      <c r="F10971" s="7" t="s">
        <v>276</v>
      </c>
      <c r="G10971" s="7">
        <v>102.42529999999999</v>
      </c>
      <c r="H10971" s="7"/>
    </row>
    <row r="10972" spans="1:8" x14ac:dyDescent="0.35">
      <c r="A10972" s="7" t="s">
        <v>384</v>
      </c>
      <c r="B10972" s="7" t="s">
        <v>26</v>
      </c>
      <c r="C10972" s="7" t="s">
        <v>27</v>
      </c>
      <c r="D10972" s="7" t="s">
        <v>28</v>
      </c>
      <c r="E10972" s="7" t="s">
        <v>29</v>
      </c>
      <c r="F10972" s="7" t="s">
        <v>277</v>
      </c>
      <c r="G10972" s="7">
        <v>102.3092</v>
      </c>
      <c r="H10972" s="7"/>
    </row>
    <row r="10973" spans="1:8" x14ac:dyDescent="0.35">
      <c r="A10973" s="7" t="s">
        <v>384</v>
      </c>
      <c r="B10973" s="7" t="s">
        <v>26</v>
      </c>
      <c r="C10973" s="7" t="s">
        <v>27</v>
      </c>
      <c r="D10973" s="7" t="s">
        <v>28</v>
      </c>
      <c r="E10973" s="7" t="s">
        <v>29</v>
      </c>
      <c r="F10973" s="7" t="s">
        <v>278</v>
      </c>
      <c r="G10973" s="7">
        <v>102.11750000000001</v>
      </c>
      <c r="H10973" s="7"/>
    </row>
    <row r="10974" spans="1:8" x14ac:dyDescent="0.35">
      <c r="A10974" s="7" t="s">
        <v>384</v>
      </c>
      <c r="B10974" s="7" t="s">
        <v>26</v>
      </c>
      <c r="C10974" s="7" t="s">
        <v>27</v>
      </c>
      <c r="D10974" s="7" t="s">
        <v>28</v>
      </c>
      <c r="E10974" s="7" t="s">
        <v>29</v>
      </c>
      <c r="F10974" s="7" t="s">
        <v>279</v>
      </c>
      <c r="G10974" s="7">
        <v>101.89619999999999</v>
      </c>
      <c r="H10974" s="7"/>
    </row>
    <row r="10975" spans="1:8" x14ac:dyDescent="0.35">
      <c r="A10975" s="7" t="s">
        <v>384</v>
      </c>
      <c r="B10975" s="7" t="s">
        <v>26</v>
      </c>
      <c r="C10975" s="7" t="s">
        <v>27</v>
      </c>
      <c r="D10975" s="7" t="s">
        <v>28</v>
      </c>
      <c r="E10975" s="7" t="s">
        <v>29</v>
      </c>
      <c r="F10975" s="7" t="s">
        <v>280</v>
      </c>
      <c r="G10975" s="7">
        <v>101.6755</v>
      </c>
      <c r="H10975" s="7"/>
    </row>
    <row r="10976" spans="1:8" x14ac:dyDescent="0.35">
      <c r="A10976" s="7" t="s">
        <v>384</v>
      </c>
      <c r="B10976" s="7" t="s">
        <v>26</v>
      </c>
      <c r="C10976" s="7" t="s">
        <v>27</v>
      </c>
      <c r="D10976" s="7" t="s">
        <v>28</v>
      </c>
      <c r="E10976" s="7" t="s">
        <v>29</v>
      </c>
      <c r="F10976" s="7" t="s">
        <v>281</v>
      </c>
      <c r="G10976" s="7">
        <v>101.48569999999999</v>
      </c>
      <c r="H10976" s="7"/>
    </row>
    <row r="10977" spans="1:8" x14ac:dyDescent="0.35">
      <c r="A10977" s="7" t="s">
        <v>384</v>
      </c>
      <c r="B10977" s="7" t="s">
        <v>26</v>
      </c>
      <c r="C10977" s="7" t="s">
        <v>27</v>
      </c>
      <c r="D10977" s="7" t="s">
        <v>28</v>
      </c>
      <c r="E10977" s="7" t="s">
        <v>29</v>
      </c>
      <c r="F10977" s="7" t="s">
        <v>282</v>
      </c>
      <c r="G10977" s="7">
        <v>101.37260000000001</v>
      </c>
      <c r="H10977" s="7"/>
    </row>
    <row r="10978" spans="1:8" x14ac:dyDescent="0.35">
      <c r="A10978" s="7" t="s">
        <v>384</v>
      </c>
      <c r="B10978" s="7" t="s">
        <v>26</v>
      </c>
      <c r="C10978" s="7" t="s">
        <v>27</v>
      </c>
      <c r="D10978" s="7" t="s">
        <v>28</v>
      </c>
      <c r="E10978" s="7" t="s">
        <v>29</v>
      </c>
      <c r="F10978" s="7" t="s">
        <v>283</v>
      </c>
      <c r="G10978" s="7">
        <v>101.3819</v>
      </c>
      <c r="H10978" s="7"/>
    </row>
    <row r="10979" spans="1:8" x14ac:dyDescent="0.35">
      <c r="A10979" s="7" t="s">
        <v>384</v>
      </c>
      <c r="B10979" s="7" t="s">
        <v>26</v>
      </c>
      <c r="C10979" s="7" t="s">
        <v>27</v>
      </c>
      <c r="D10979" s="7" t="s">
        <v>28</v>
      </c>
      <c r="E10979" s="7" t="s">
        <v>29</v>
      </c>
      <c r="F10979" s="7" t="s">
        <v>284</v>
      </c>
      <c r="G10979" s="7">
        <v>101.467</v>
      </c>
      <c r="H10979" s="7"/>
    </row>
    <row r="10980" spans="1:8" x14ac:dyDescent="0.35">
      <c r="A10980" s="7" t="s">
        <v>384</v>
      </c>
      <c r="B10980" s="7" t="s">
        <v>26</v>
      </c>
      <c r="C10980" s="7" t="s">
        <v>27</v>
      </c>
      <c r="D10980" s="7" t="s">
        <v>28</v>
      </c>
      <c r="E10980" s="7" t="s">
        <v>29</v>
      </c>
      <c r="F10980" s="7" t="s">
        <v>285</v>
      </c>
      <c r="G10980" s="7">
        <v>101.5823</v>
      </c>
      <c r="H10980" s="7"/>
    </row>
    <row r="10981" spans="1:8" x14ac:dyDescent="0.35">
      <c r="A10981" s="7" t="s">
        <v>384</v>
      </c>
      <c r="B10981" s="7" t="s">
        <v>26</v>
      </c>
      <c r="C10981" s="7" t="s">
        <v>27</v>
      </c>
      <c r="D10981" s="7" t="s">
        <v>28</v>
      </c>
      <c r="E10981" s="7" t="s">
        <v>29</v>
      </c>
      <c r="F10981" s="7" t="s">
        <v>286</v>
      </c>
      <c r="G10981" s="7">
        <v>101.7007</v>
      </c>
      <c r="H10981" s="7"/>
    </row>
    <row r="10982" spans="1:8" x14ac:dyDescent="0.35">
      <c r="A10982" s="7" t="s">
        <v>384</v>
      </c>
      <c r="B10982" s="7" t="s">
        <v>26</v>
      </c>
      <c r="C10982" s="7" t="s">
        <v>27</v>
      </c>
      <c r="D10982" s="7" t="s">
        <v>28</v>
      </c>
      <c r="E10982" s="7" t="s">
        <v>29</v>
      </c>
      <c r="F10982" s="7" t="s">
        <v>287</v>
      </c>
      <c r="G10982" s="7">
        <v>101.8009</v>
      </c>
      <c r="H10982" s="7"/>
    </row>
    <row r="10983" spans="1:8" x14ac:dyDescent="0.35">
      <c r="A10983" s="7" t="s">
        <v>384</v>
      </c>
      <c r="B10983" s="7" t="s">
        <v>26</v>
      </c>
      <c r="C10983" s="7" t="s">
        <v>27</v>
      </c>
      <c r="D10983" s="7" t="s">
        <v>28</v>
      </c>
      <c r="E10983" s="7" t="s">
        <v>29</v>
      </c>
      <c r="F10983" s="7" t="s">
        <v>288</v>
      </c>
      <c r="G10983" s="7">
        <v>101.8519</v>
      </c>
      <c r="H10983" s="7"/>
    </row>
    <row r="10984" spans="1:8" x14ac:dyDescent="0.35">
      <c r="A10984" s="7" t="s">
        <v>384</v>
      </c>
      <c r="B10984" s="7" t="s">
        <v>26</v>
      </c>
      <c r="C10984" s="7" t="s">
        <v>27</v>
      </c>
      <c r="D10984" s="7" t="s">
        <v>28</v>
      </c>
      <c r="E10984" s="7" t="s">
        <v>29</v>
      </c>
      <c r="F10984" s="7" t="s">
        <v>289</v>
      </c>
      <c r="G10984" s="7">
        <v>101.8158</v>
      </c>
      <c r="H10984" s="7"/>
    </row>
    <row r="10985" spans="1:8" x14ac:dyDescent="0.35">
      <c r="A10985" s="7" t="s">
        <v>384</v>
      </c>
      <c r="B10985" s="7" t="s">
        <v>26</v>
      </c>
      <c r="C10985" s="7" t="s">
        <v>27</v>
      </c>
      <c r="D10985" s="7" t="s">
        <v>28</v>
      </c>
      <c r="E10985" s="7" t="s">
        <v>29</v>
      </c>
      <c r="F10985" s="7" t="s">
        <v>290</v>
      </c>
      <c r="G10985" s="7">
        <v>101.6986</v>
      </c>
      <c r="H10985" s="7"/>
    </row>
    <row r="10986" spans="1:8" x14ac:dyDescent="0.35">
      <c r="A10986" s="7" t="s">
        <v>384</v>
      </c>
      <c r="B10986" s="7" t="s">
        <v>26</v>
      </c>
      <c r="C10986" s="7" t="s">
        <v>27</v>
      </c>
      <c r="D10986" s="7" t="s">
        <v>28</v>
      </c>
      <c r="E10986" s="7" t="s">
        <v>29</v>
      </c>
      <c r="F10986" s="7" t="s">
        <v>291</v>
      </c>
      <c r="G10986" s="7">
        <v>101.4846</v>
      </c>
      <c r="H10986" s="7"/>
    </row>
    <row r="10987" spans="1:8" x14ac:dyDescent="0.35">
      <c r="A10987" s="7" t="s">
        <v>384</v>
      </c>
      <c r="B10987" s="7" t="s">
        <v>26</v>
      </c>
      <c r="C10987" s="7" t="s">
        <v>27</v>
      </c>
      <c r="D10987" s="7" t="s">
        <v>28</v>
      </c>
      <c r="E10987" s="7" t="s">
        <v>29</v>
      </c>
      <c r="F10987" s="7" t="s">
        <v>292</v>
      </c>
      <c r="G10987" s="7">
        <v>101.15009999999999</v>
      </c>
      <c r="H10987" s="7"/>
    </row>
    <row r="10988" spans="1:8" x14ac:dyDescent="0.35">
      <c r="A10988" s="7" t="s">
        <v>384</v>
      </c>
      <c r="B10988" s="7" t="s">
        <v>26</v>
      </c>
      <c r="C10988" s="7" t="s">
        <v>27</v>
      </c>
      <c r="D10988" s="7" t="s">
        <v>28</v>
      </c>
      <c r="E10988" s="7" t="s">
        <v>29</v>
      </c>
      <c r="F10988" s="7" t="s">
        <v>293</v>
      </c>
      <c r="G10988" s="7">
        <v>100.7753</v>
      </c>
      <c r="H10988" s="7"/>
    </row>
    <row r="10989" spans="1:8" x14ac:dyDescent="0.35">
      <c r="A10989" s="7" t="s">
        <v>384</v>
      </c>
      <c r="B10989" s="7" t="s">
        <v>26</v>
      </c>
      <c r="C10989" s="7" t="s">
        <v>27</v>
      </c>
      <c r="D10989" s="7" t="s">
        <v>28</v>
      </c>
      <c r="E10989" s="7" t="s">
        <v>29</v>
      </c>
      <c r="F10989" s="7" t="s">
        <v>294</v>
      </c>
      <c r="G10989" s="7">
        <v>100.4678</v>
      </c>
      <c r="H10989" s="7"/>
    </row>
    <row r="10990" spans="1:8" x14ac:dyDescent="0.35">
      <c r="A10990" s="7" t="s">
        <v>384</v>
      </c>
      <c r="B10990" s="7" t="s">
        <v>26</v>
      </c>
      <c r="C10990" s="7" t="s">
        <v>27</v>
      </c>
      <c r="D10990" s="7" t="s">
        <v>28</v>
      </c>
      <c r="E10990" s="7" t="s">
        <v>29</v>
      </c>
      <c r="F10990" s="7" t="s">
        <v>295</v>
      </c>
      <c r="G10990" s="7">
        <v>100.32640000000001</v>
      </c>
      <c r="H10990" s="7"/>
    </row>
    <row r="10991" spans="1:8" x14ac:dyDescent="0.35">
      <c r="A10991" s="7" t="s">
        <v>384</v>
      </c>
      <c r="B10991" s="7" t="s">
        <v>26</v>
      </c>
      <c r="C10991" s="7" t="s">
        <v>27</v>
      </c>
      <c r="D10991" s="7" t="s">
        <v>28</v>
      </c>
      <c r="E10991" s="7" t="s">
        <v>29</v>
      </c>
      <c r="F10991" s="7" t="s">
        <v>296</v>
      </c>
      <c r="G10991" s="7">
        <v>100.3382</v>
      </c>
      <c r="H10991" s="7"/>
    </row>
    <row r="10992" spans="1:8" x14ac:dyDescent="0.35">
      <c r="A10992" s="7" t="s">
        <v>384</v>
      </c>
      <c r="B10992" s="7" t="s">
        <v>26</v>
      </c>
      <c r="C10992" s="7" t="s">
        <v>27</v>
      </c>
      <c r="D10992" s="7" t="s">
        <v>28</v>
      </c>
      <c r="E10992" s="7" t="s">
        <v>29</v>
      </c>
      <c r="F10992" s="7" t="s">
        <v>297</v>
      </c>
      <c r="G10992" s="7">
        <v>100.5202</v>
      </c>
      <c r="H10992" s="7"/>
    </row>
    <row r="10993" spans="1:8" x14ac:dyDescent="0.35">
      <c r="A10993" s="7" t="s">
        <v>384</v>
      </c>
      <c r="B10993" s="7" t="s">
        <v>26</v>
      </c>
      <c r="C10993" s="7" t="s">
        <v>27</v>
      </c>
      <c r="D10993" s="7" t="s">
        <v>28</v>
      </c>
      <c r="E10993" s="7" t="s">
        <v>29</v>
      </c>
      <c r="F10993" s="7" t="s">
        <v>298</v>
      </c>
      <c r="G10993" s="7">
        <v>100.90689999999999</v>
      </c>
      <c r="H10993" s="7"/>
    </row>
    <row r="10994" spans="1:8" x14ac:dyDescent="0.35">
      <c r="A10994" s="7" t="s">
        <v>384</v>
      </c>
      <c r="B10994" s="7" t="s">
        <v>26</v>
      </c>
      <c r="C10994" s="7" t="s">
        <v>27</v>
      </c>
      <c r="D10994" s="7" t="s">
        <v>28</v>
      </c>
      <c r="E10994" s="7" t="s">
        <v>29</v>
      </c>
      <c r="F10994" s="7" t="s">
        <v>299</v>
      </c>
      <c r="G10994" s="7">
        <v>101.3686</v>
      </c>
      <c r="H10994" s="7"/>
    </row>
    <row r="10995" spans="1:8" x14ac:dyDescent="0.35">
      <c r="A10995" s="7" t="s">
        <v>384</v>
      </c>
      <c r="B10995" s="7" t="s">
        <v>26</v>
      </c>
      <c r="C10995" s="7" t="s">
        <v>27</v>
      </c>
      <c r="D10995" s="7" t="s">
        <v>28</v>
      </c>
      <c r="E10995" s="7" t="s">
        <v>29</v>
      </c>
      <c r="F10995" s="7" t="s">
        <v>300</v>
      </c>
      <c r="G10995" s="7">
        <v>101.7383</v>
      </c>
      <c r="H10995" s="7"/>
    </row>
    <row r="10996" spans="1:8" x14ac:dyDescent="0.35">
      <c r="A10996" s="7" t="s">
        <v>384</v>
      </c>
      <c r="B10996" s="7" t="s">
        <v>26</v>
      </c>
      <c r="C10996" s="7" t="s">
        <v>27</v>
      </c>
      <c r="D10996" s="7" t="s">
        <v>28</v>
      </c>
      <c r="E10996" s="7" t="s">
        <v>29</v>
      </c>
      <c r="F10996" s="7" t="s">
        <v>301</v>
      </c>
      <c r="G10996" s="7">
        <v>101.8633</v>
      </c>
      <c r="H10996" s="7"/>
    </row>
    <row r="10997" spans="1:8" x14ac:dyDescent="0.35">
      <c r="A10997" s="7" t="s">
        <v>384</v>
      </c>
      <c r="B10997" s="7" t="s">
        <v>26</v>
      </c>
      <c r="C10997" s="7" t="s">
        <v>27</v>
      </c>
      <c r="D10997" s="7" t="s">
        <v>28</v>
      </c>
      <c r="E10997" s="7" t="s">
        <v>29</v>
      </c>
      <c r="F10997" s="7" t="s">
        <v>302</v>
      </c>
      <c r="G10997" s="7">
        <v>101.7488</v>
      </c>
      <c r="H10997" s="7"/>
    </row>
    <row r="10998" spans="1:8" x14ac:dyDescent="0.35">
      <c r="A10998" s="7" t="s">
        <v>384</v>
      </c>
      <c r="B10998" s="7" t="s">
        <v>26</v>
      </c>
      <c r="C10998" s="7" t="s">
        <v>27</v>
      </c>
      <c r="D10998" s="7" t="s">
        <v>28</v>
      </c>
      <c r="E10998" s="7" t="s">
        <v>29</v>
      </c>
      <c r="F10998" s="7" t="s">
        <v>303</v>
      </c>
      <c r="G10998" s="7">
        <v>101.3304</v>
      </c>
      <c r="H10998" s="7"/>
    </row>
    <row r="10999" spans="1:8" x14ac:dyDescent="0.35">
      <c r="A10999" s="7" t="s">
        <v>384</v>
      </c>
      <c r="B10999" s="7" t="s">
        <v>26</v>
      </c>
      <c r="C10999" s="7" t="s">
        <v>27</v>
      </c>
      <c r="D10999" s="7" t="s">
        <v>28</v>
      </c>
      <c r="E10999" s="7" t="s">
        <v>29</v>
      </c>
      <c r="F10999" s="7" t="s">
        <v>304</v>
      </c>
      <c r="G10999" s="7">
        <v>100.48560000000001</v>
      </c>
      <c r="H10999" s="7"/>
    </row>
    <row r="11000" spans="1:8" x14ac:dyDescent="0.35">
      <c r="A11000" s="7" t="s">
        <v>384</v>
      </c>
      <c r="B11000" s="7" t="s">
        <v>26</v>
      </c>
      <c r="C11000" s="7" t="s">
        <v>27</v>
      </c>
      <c r="D11000" s="7" t="s">
        <v>28</v>
      </c>
      <c r="E11000" s="7" t="s">
        <v>29</v>
      </c>
      <c r="F11000" s="7" t="s">
        <v>305</v>
      </c>
      <c r="G11000" s="7">
        <v>99.350189999999998</v>
      </c>
      <c r="H11000" s="7"/>
    </row>
    <row r="11001" spans="1:8" x14ac:dyDescent="0.35">
      <c r="A11001" s="7" t="s">
        <v>384</v>
      </c>
      <c r="B11001" s="7" t="s">
        <v>26</v>
      </c>
      <c r="C11001" s="7" t="s">
        <v>27</v>
      </c>
      <c r="D11001" s="7" t="s">
        <v>28</v>
      </c>
      <c r="E11001" s="7" t="s">
        <v>29</v>
      </c>
      <c r="F11001" s="7" t="s">
        <v>306</v>
      </c>
      <c r="G11001" s="7">
        <v>98.032600000000002</v>
      </c>
      <c r="H11001" s="7"/>
    </row>
    <row r="11002" spans="1:8" x14ac:dyDescent="0.35">
      <c r="A11002" s="7" t="s">
        <v>384</v>
      </c>
      <c r="B11002" s="7" t="s">
        <v>26</v>
      </c>
      <c r="C11002" s="7" t="s">
        <v>27</v>
      </c>
      <c r="D11002" s="7" t="s">
        <v>28</v>
      </c>
      <c r="E11002" s="7" t="s">
        <v>29</v>
      </c>
      <c r="F11002" s="7" t="s">
        <v>307</v>
      </c>
      <c r="G11002" s="7">
        <v>96.620410000000007</v>
      </c>
      <c r="H11002" s="7"/>
    </row>
    <row r="11003" spans="1:8" x14ac:dyDescent="0.35">
      <c r="A11003" s="7" t="s">
        <v>384</v>
      </c>
      <c r="B11003" s="7" t="s">
        <v>26</v>
      </c>
      <c r="C11003" s="7" t="s">
        <v>27</v>
      </c>
      <c r="D11003" s="7" t="s">
        <v>28</v>
      </c>
      <c r="E11003" s="7" t="s">
        <v>29</v>
      </c>
      <c r="F11003" s="7" t="s">
        <v>308</v>
      </c>
      <c r="G11003" s="7">
        <v>95.368099999999998</v>
      </c>
      <c r="H11003" s="7"/>
    </row>
    <row r="11004" spans="1:8" x14ac:dyDescent="0.35">
      <c r="A11004" s="7" t="s">
        <v>384</v>
      </c>
      <c r="B11004" s="7" t="s">
        <v>26</v>
      </c>
      <c r="C11004" s="7" t="s">
        <v>27</v>
      </c>
      <c r="D11004" s="7" t="s">
        <v>28</v>
      </c>
      <c r="E11004" s="7" t="s">
        <v>29</v>
      </c>
      <c r="F11004" s="7" t="s">
        <v>309</v>
      </c>
      <c r="G11004" s="7">
        <v>94.671639999999996</v>
      </c>
      <c r="H11004" s="7"/>
    </row>
    <row r="11005" spans="1:8" x14ac:dyDescent="0.35">
      <c r="A11005" s="7" t="s">
        <v>384</v>
      </c>
      <c r="B11005" s="7" t="s">
        <v>26</v>
      </c>
      <c r="C11005" s="7" t="s">
        <v>27</v>
      </c>
      <c r="D11005" s="7" t="s">
        <v>28</v>
      </c>
      <c r="E11005" s="7" t="s">
        <v>29</v>
      </c>
      <c r="F11005" s="7" t="s">
        <v>310</v>
      </c>
      <c r="G11005" s="7">
        <v>94.883160000000004</v>
      </c>
      <c r="H11005" s="7"/>
    </row>
    <row r="11006" spans="1:8" x14ac:dyDescent="0.35">
      <c r="A11006" s="7" t="s">
        <v>384</v>
      </c>
      <c r="B11006" s="7" t="s">
        <v>26</v>
      </c>
      <c r="C11006" s="7" t="s">
        <v>27</v>
      </c>
      <c r="D11006" s="7" t="s">
        <v>28</v>
      </c>
      <c r="E11006" s="7" t="s">
        <v>29</v>
      </c>
      <c r="F11006" s="7" t="s">
        <v>311</v>
      </c>
      <c r="G11006" s="7">
        <v>95.569820000000007</v>
      </c>
      <c r="H11006" s="7"/>
    </row>
    <row r="11007" spans="1:8" x14ac:dyDescent="0.35">
      <c r="A11007" s="7" t="s">
        <v>384</v>
      </c>
      <c r="B11007" s="7" t="s">
        <v>26</v>
      </c>
      <c r="C11007" s="7" t="s">
        <v>27</v>
      </c>
      <c r="D11007" s="7" t="s">
        <v>28</v>
      </c>
      <c r="E11007" s="7" t="s">
        <v>29</v>
      </c>
      <c r="F11007" s="7" t="s">
        <v>312</v>
      </c>
      <c r="G11007" s="7">
        <v>96.226389999999995</v>
      </c>
      <c r="H11007" s="7"/>
    </row>
    <row r="11008" spans="1:8" x14ac:dyDescent="0.35">
      <c r="A11008" s="7" t="s">
        <v>384</v>
      </c>
      <c r="B11008" s="7" t="s">
        <v>26</v>
      </c>
      <c r="C11008" s="7" t="s">
        <v>27</v>
      </c>
      <c r="D11008" s="7" t="s">
        <v>28</v>
      </c>
      <c r="E11008" s="7" t="s">
        <v>29</v>
      </c>
      <c r="F11008" s="7" t="s">
        <v>313</v>
      </c>
      <c r="G11008" s="7">
        <v>96.512889999999999</v>
      </c>
      <c r="H11008" s="7"/>
    </row>
    <row r="11009" spans="1:8" x14ac:dyDescent="0.35">
      <c r="A11009" s="7" t="s">
        <v>384</v>
      </c>
      <c r="B11009" s="7" t="s">
        <v>26</v>
      </c>
      <c r="C11009" s="7" t="s">
        <v>27</v>
      </c>
      <c r="D11009" s="7" t="s">
        <v>28</v>
      </c>
      <c r="E11009" s="7" t="s">
        <v>29</v>
      </c>
      <c r="F11009" s="7" t="s">
        <v>314</v>
      </c>
      <c r="G11009" s="7">
        <v>96.522170000000003</v>
      </c>
      <c r="H11009" s="7"/>
    </row>
    <row r="11010" spans="1:8" x14ac:dyDescent="0.35">
      <c r="A11010" s="7" t="s">
        <v>384</v>
      </c>
      <c r="B11010" s="7" t="s">
        <v>26</v>
      </c>
      <c r="C11010" s="7" t="s">
        <v>27</v>
      </c>
      <c r="D11010" s="7" t="s">
        <v>28</v>
      </c>
      <c r="E11010" s="7" t="s">
        <v>29</v>
      </c>
      <c r="F11010" s="7" t="s">
        <v>315</v>
      </c>
      <c r="G11010" s="7">
        <v>96.390690000000006</v>
      </c>
      <c r="H11010" s="7"/>
    </row>
    <row r="11011" spans="1:8" x14ac:dyDescent="0.35">
      <c r="A11011" s="7" t="s">
        <v>384</v>
      </c>
      <c r="B11011" s="7" t="s">
        <v>26</v>
      </c>
      <c r="C11011" s="7" t="s">
        <v>27</v>
      </c>
      <c r="D11011" s="7" t="s">
        <v>28</v>
      </c>
      <c r="E11011" s="7" t="s">
        <v>29</v>
      </c>
      <c r="F11011" s="7" t="s">
        <v>316</v>
      </c>
      <c r="G11011" s="7">
        <v>96.186610000000002</v>
      </c>
      <c r="H11011" s="7"/>
    </row>
    <row r="11012" spans="1:8" x14ac:dyDescent="0.35">
      <c r="A11012" s="7" t="s">
        <v>384</v>
      </c>
      <c r="B11012" s="7" t="s">
        <v>26</v>
      </c>
      <c r="C11012" s="7" t="s">
        <v>27</v>
      </c>
      <c r="D11012" s="7" t="s">
        <v>28</v>
      </c>
      <c r="E11012" s="7" t="s">
        <v>29</v>
      </c>
      <c r="F11012" s="7" t="s">
        <v>317</v>
      </c>
      <c r="G11012" s="7">
        <v>95.938519999999997</v>
      </c>
      <c r="H11012" s="7"/>
    </row>
    <row r="11013" spans="1:8" x14ac:dyDescent="0.35">
      <c r="A11013" s="7" t="s">
        <v>384</v>
      </c>
      <c r="B11013" s="7" t="s">
        <v>26</v>
      </c>
      <c r="C11013" s="7" t="s">
        <v>27</v>
      </c>
      <c r="D11013" s="7" t="s">
        <v>28</v>
      </c>
      <c r="E11013" s="7" t="s">
        <v>29</v>
      </c>
      <c r="F11013" s="7" t="s">
        <v>318</v>
      </c>
      <c r="G11013" s="7">
        <v>95.634200000000007</v>
      </c>
      <c r="H11013" s="7"/>
    </row>
    <row r="11014" spans="1:8" x14ac:dyDescent="0.35">
      <c r="A11014" s="7" t="s">
        <v>384</v>
      </c>
      <c r="B11014" s="7" t="s">
        <v>26</v>
      </c>
      <c r="C11014" s="7" t="s">
        <v>27</v>
      </c>
      <c r="D11014" s="7" t="s">
        <v>28</v>
      </c>
      <c r="E11014" s="7" t="s">
        <v>29</v>
      </c>
      <c r="F11014" s="7" t="s">
        <v>319</v>
      </c>
      <c r="G11014" s="7">
        <v>95.263310000000004</v>
      </c>
      <c r="H11014" s="7"/>
    </row>
    <row r="11015" spans="1:8" x14ac:dyDescent="0.35">
      <c r="A11015" s="7" t="s">
        <v>384</v>
      </c>
      <c r="B11015" s="7" t="s">
        <v>26</v>
      </c>
      <c r="C11015" s="7" t="s">
        <v>27</v>
      </c>
      <c r="D11015" s="7" t="s">
        <v>28</v>
      </c>
      <c r="E11015" s="7" t="s">
        <v>29</v>
      </c>
      <c r="F11015" s="7" t="s">
        <v>320</v>
      </c>
      <c r="G11015" s="7">
        <v>94.916300000000007</v>
      </c>
      <c r="H11015" s="7"/>
    </row>
    <row r="11016" spans="1:8" x14ac:dyDescent="0.35">
      <c r="A11016" s="7" t="s">
        <v>384</v>
      </c>
      <c r="B11016" s="7" t="s">
        <v>26</v>
      </c>
      <c r="C11016" s="7" t="s">
        <v>27</v>
      </c>
      <c r="D11016" s="7" t="s">
        <v>28</v>
      </c>
      <c r="E11016" s="7" t="s">
        <v>29</v>
      </c>
      <c r="F11016" s="7" t="s">
        <v>321</v>
      </c>
      <c r="G11016" s="7">
        <v>94.744630000000001</v>
      </c>
      <c r="H11016" s="7"/>
    </row>
    <row r="11017" spans="1:8" x14ac:dyDescent="0.35">
      <c r="A11017" s="7" t="s">
        <v>384</v>
      </c>
      <c r="B11017" s="7" t="s">
        <v>26</v>
      </c>
      <c r="C11017" s="7" t="s">
        <v>27</v>
      </c>
      <c r="D11017" s="7" t="s">
        <v>28</v>
      </c>
      <c r="E11017" s="7" t="s">
        <v>29</v>
      </c>
      <c r="F11017" s="7" t="s">
        <v>322</v>
      </c>
      <c r="G11017" s="7">
        <v>94.896940000000001</v>
      </c>
      <c r="H11017" s="7"/>
    </row>
    <row r="11018" spans="1:8" x14ac:dyDescent="0.35">
      <c r="A11018" s="7" t="s">
        <v>384</v>
      </c>
      <c r="B11018" s="7" t="s">
        <v>26</v>
      </c>
      <c r="C11018" s="7" t="s">
        <v>27</v>
      </c>
      <c r="D11018" s="7" t="s">
        <v>28</v>
      </c>
      <c r="E11018" s="7" t="s">
        <v>29</v>
      </c>
      <c r="F11018" s="7" t="s">
        <v>323</v>
      </c>
      <c r="G11018" s="7">
        <v>95.280050000000003</v>
      </c>
      <c r="H11018" s="7"/>
    </row>
    <row r="11019" spans="1:8" x14ac:dyDescent="0.35">
      <c r="A11019" s="7" t="s">
        <v>384</v>
      </c>
      <c r="B11019" s="7" t="s">
        <v>26</v>
      </c>
      <c r="C11019" s="7" t="s">
        <v>27</v>
      </c>
      <c r="D11019" s="7" t="s">
        <v>28</v>
      </c>
      <c r="E11019" s="7" t="s">
        <v>29</v>
      </c>
      <c r="F11019" s="7" t="s">
        <v>324</v>
      </c>
      <c r="G11019" s="7">
        <v>95.817310000000006</v>
      </c>
      <c r="H11019" s="7"/>
    </row>
    <row r="11020" spans="1:8" x14ac:dyDescent="0.35">
      <c r="A11020" s="7" t="s">
        <v>384</v>
      </c>
      <c r="B11020" s="7" t="s">
        <v>26</v>
      </c>
      <c r="C11020" s="7" t="s">
        <v>27</v>
      </c>
      <c r="D11020" s="7" t="s">
        <v>28</v>
      </c>
      <c r="E11020" s="7" t="s">
        <v>29</v>
      </c>
      <c r="F11020" s="7" t="s">
        <v>325</v>
      </c>
      <c r="G11020" s="7">
        <v>96.476299999999995</v>
      </c>
      <c r="H11020" s="7"/>
    </row>
    <row r="11021" spans="1:8" x14ac:dyDescent="0.35">
      <c r="A11021" s="7" t="s">
        <v>384</v>
      </c>
      <c r="B11021" s="7" t="s">
        <v>26</v>
      </c>
      <c r="C11021" s="7" t="s">
        <v>27</v>
      </c>
      <c r="D11021" s="7" t="s">
        <v>28</v>
      </c>
      <c r="E11021" s="7" t="s">
        <v>29</v>
      </c>
      <c r="F11021" s="7" t="s">
        <v>326</v>
      </c>
      <c r="G11021" s="7">
        <v>97.142330000000001</v>
      </c>
      <c r="H11021" s="7"/>
    </row>
    <row r="11022" spans="1:8" x14ac:dyDescent="0.35">
      <c r="A11022" s="7" t="s">
        <v>384</v>
      </c>
      <c r="B11022" s="7" t="s">
        <v>26</v>
      </c>
      <c r="C11022" s="7" t="s">
        <v>27</v>
      </c>
      <c r="D11022" s="7" t="s">
        <v>28</v>
      </c>
      <c r="E11022" s="7" t="s">
        <v>29</v>
      </c>
      <c r="F11022" s="7" t="s">
        <v>327</v>
      </c>
      <c r="G11022" s="7">
        <v>97.678229999999999</v>
      </c>
      <c r="H11022" s="7"/>
    </row>
    <row r="11023" spans="1:8" x14ac:dyDescent="0.35">
      <c r="A11023" s="7" t="s">
        <v>384</v>
      </c>
      <c r="B11023" s="7" t="s">
        <v>26</v>
      </c>
      <c r="C11023" s="7" t="s">
        <v>27</v>
      </c>
      <c r="D11023" s="7" t="s">
        <v>28</v>
      </c>
      <c r="E11023" s="7" t="s">
        <v>29</v>
      </c>
      <c r="F11023" s="7" t="s">
        <v>328</v>
      </c>
      <c r="G11023" s="7">
        <v>97.977159999999998</v>
      </c>
      <c r="H11023" s="7"/>
    </row>
    <row r="11024" spans="1:8" x14ac:dyDescent="0.35">
      <c r="A11024" s="7" t="s">
        <v>384</v>
      </c>
      <c r="B11024" s="7" t="s">
        <v>26</v>
      </c>
      <c r="C11024" s="7" t="s">
        <v>27</v>
      </c>
      <c r="D11024" s="7" t="s">
        <v>28</v>
      </c>
      <c r="E11024" s="7" t="s">
        <v>29</v>
      </c>
      <c r="F11024" s="7" t="s">
        <v>329</v>
      </c>
      <c r="G11024" s="7">
        <v>98.145520000000005</v>
      </c>
      <c r="H11024" s="7"/>
    </row>
    <row r="11025" spans="1:8" x14ac:dyDescent="0.35">
      <c r="A11025" s="7" t="s">
        <v>384</v>
      </c>
      <c r="B11025" s="7" t="s">
        <v>26</v>
      </c>
      <c r="C11025" s="7" t="s">
        <v>27</v>
      </c>
      <c r="D11025" s="7" t="s">
        <v>28</v>
      </c>
      <c r="E11025" s="7" t="s">
        <v>29</v>
      </c>
      <c r="F11025" s="7" t="s">
        <v>330</v>
      </c>
      <c r="G11025" s="7">
        <v>98.306740000000005</v>
      </c>
      <c r="H11025" s="7"/>
    </row>
    <row r="11026" spans="1:8" x14ac:dyDescent="0.35">
      <c r="A11026" s="7" t="s">
        <v>384</v>
      </c>
      <c r="B11026" s="7" t="s">
        <v>26</v>
      </c>
      <c r="C11026" s="7" t="s">
        <v>27</v>
      </c>
      <c r="D11026" s="7" t="s">
        <v>28</v>
      </c>
      <c r="E11026" s="7" t="s">
        <v>29</v>
      </c>
      <c r="F11026" s="7" t="s">
        <v>331</v>
      </c>
      <c r="G11026" s="7">
        <v>98.535550000000001</v>
      </c>
      <c r="H11026" s="7"/>
    </row>
    <row r="11027" spans="1:8" x14ac:dyDescent="0.35">
      <c r="A11027" s="7" t="s">
        <v>384</v>
      </c>
      <c r="B11027" s="7" t="s">
        <v>26</v>
      </c>
      <c r="C11027" s="7" t="s">
        <v>27</v>
      </c>
      <c r="D11027" s="7" t="s">
        <v>28</v>
      </c>
      <c r="E11027" s="7" t="s">
        <v>29</v>
      </c>
      <c r="F11027" s="7" t="s">
        <v>332</v>
      </c>
      <c r="G11027" s="7">
        <v>98.799539999999993</v>
      </c>
      <c r="H11027" s="7"/>
    </row>
    <row r="11028" spans="1:8" x14ac:dyDescent="0.35">
      <c r="A11028" s="7" t="s">
        <v>384</v>
      </c>
      <c r="B11028" s="7" t="s">
        <v>26</v>
      </c>
      <c r="C11028" s="7" t="s">
        <v>27</v>
      </c>
      <c r="D11028" s="7" t="s">
        <v>28</v>
      </c>
      <c r="E11028" s="7" t="s">
        <v>29</v>
      </c>
      <c r="F11028" s="7" t="s">
        <v>333</v>
      </c>
      <c r="G11028" s="7">
        <v>99.038290000000003</v>
      </c>
      <c r="H11028" s="7"/>
    </row>
    <row r="11029" spans="1:8" x14ac:dyDescent="0.35">
      <c r="A11029" s="7" t="s">
        <v>384</v>
      </c>
      <c r="B11029" s="7" t="s">
        <v>26</v>
      </c>
      <c r="C11029" s="7" t="s">
        <v>27</v>
      </c>
      <c r="D11029" s="7" t="s">
        <v>28</v>
      </c>
      <c r="E11029" s="7" t="s">
        <v>29</v>
      </c>
      <c r="F11029" s="7" t="s">
        <v>334</v>
      </c>
      <c r="G11029" s="7">
        <v>99.207599999999999</v>
      </c>
      <c r="H11029" s="7"/>
    </row>
    <row r="11030" spans="1:8" x14ac:dyDescent="0.35">
      <c r="A11030" s="7" t="s">
        <v>384</v>
      </c>
      <c r="B11030" s="7" t="s">
        <v>26</v>
      </c>
      <c r="C11030" s="7" t="s">
        <v>27</v>
      </c>
      <c r="D11030" s="7" t="s">
        <v>28</v>
      </c>
      <c r="E11030" s="7" t="s">
        <v>29</v>
      </c>
      <c r="F11030" s="7" t="s">
        <v>335</v>
      </c>
      <c r="G11030" s="7">
        <v>99.34863</v>
      </c>
      <c r="H11030" s="7"/>
    </row>
    <row r="11031" spans="1:8" x14ac:dyDescent="0.35">
      <c r="A11031" s="7" t="s">
        <v>384</v>
      </c>
      <c r="B11031" s="7" t="s">
        <v>26</v>
      </c>
      <c r="C11031" s="7" t="s">
        <v>27</v>
      </c>
      <c r="D11031" s="7" t="s">
        <v>28</v>
      </c>
      <c r="E11031" s="7" t="s">
        <v>29</v>
      </c>
      <c r="F11031" s="7" t="s">
        <v>336</v>
      </c>
      <c r="G11031" s="7">
        <v>99.521450000000002</v>
      </c>
      <c r="H11031" s="7"/>
    </row>
    <row r="11032" spans="1:8" x14ac:dyDescent="0.35">
      <c r="A11032" s="7" t="s">
        <v>384</v>
      </c>
      <c r="B11032" s="7" t="s">
        <v>26</v>
      </c>
      <c r="C11032" s="7" t="s">
        <v>27</v>
      </c>
      <c r="D11032" s="7" t="s">
        <v>28</v>
      </c>
      <c r="E11032" s="7" t="s">
        <v>29</v>
      </c>
      <c r="F11032" s="7" t="s">
        <v>337</v>
      </c>
      <c r="G11032" s="7">
        <v>99.766570000000002</v>
      </c>
      <c r="H11032" s="7"/>
    </row>
    <row r="11033" spans="1:8" x14ac:dyDescent="0.35">
      <c r="A11033" s="7" t="s">
        <v>384</v>
      </c>
      <c r="B11033" s="7" t="s">
        <v>26</v>
      </c>
      <c r="C11033" s="7" t="s">
        <v>27</v>
      </c>
      <c r="D11033" s="7" t="s">
        <v>28</v>
      </c>
      <c r="E11033" s="7" t="s">
        <v>29</v>
      </c>
      <c r="F11033" s="7" t="s">
        <v>338</v>
      </c>
      <c r="G11033" s="7">
        <v>100.03489999999999</v>
      </c>
      <c r="H11033" s="7"/>
    </row>
    <row r="11034" spans="1:8" x14ac:dyDescent="0.35">
      <c r="A11034" s="7" t="s">
        <v>384</v>
      </c>
      <c r="B11034" s="7" t="s">
        <v>26</v>
      </c>
      <c r="C11034" s="7" t="s">
        <v>27</v>
      </c>
      <c r="D11034" s="7" t="s">
        <v>28</v>
      </c>
      <c r="E11034" s="7" t="s">
        <v>29</v>
      </c>
      <c r="F11034" s="7" t="s">
        <v>339</v>
      </c>
      <c r="G11034" s="7">
        <v>100.25060000000001</v>
      </c>
      <c r="H11034" s="7"/>
    </row>
    <row r="11035" spans="1:8" x14ac:dyDescent="0.35">
      <c r="A11035" s="7" t="s">
        <v>384</v>
      </c>
      <c r="B11035" s="7" t="s">
        <v>26</v>
      </c>
      <c r="C11035" s="7" t="s">
        <v>27</v>
      </c>
      <c r="D11035" s="7" t="s">
        <v>28</v>
      </c>
      <c r="E11035" s="7" t="s">
        <v>29</v>
      </c>
      <c r="F11035" s="7" t="s">
        <v>340</v>
      </c>
      <c r="G11035" s="7">
        <v>100.351</v>
      </c>
      <c r="H11035" s="7"/>
    </row>
    <row r="11036" spans="1:8" x14ac:dyDescent="0.35">
      <c r="A11036" s="7" t="s">
        <v>384</v>
      </c>
      <c r="B11036" s="7" t="s">
        <v>26</v>
      </c>
      <c r="C11036" s="7" t="s">
        <v>27</v>
      </c>
      <c r="D11036" s="7" t="s">
        <v>28</v>
      </c>
      <c r="E11036" s="7" t="s">
        <v>29</v>
      </c>
      <c r="F11036" s="7" t="s">
        <v>341</v>
      </c>
      <c r="G11036" s="7">
        <v>100.37860000000001</v>
      </c>
      <c r="H11036" s="7"/>
    </row>
    <row r="11037" spans="1:8" x14ac:dyDescent="0.35">
      <c r="A11037" s="7" t="s">
        <v>384</v>
      </c>
      <c r="B11037" s="7" t="s">
        <v>26</v>
      </c>
      <c r="C11037" s="7" t="s">
        <v>27</v>
      </c>
      <c r="D11037" s="7" t="s">
        <v>28</v>
      </c>
      <c r="E11037" s="7" t="s">
        <v>29</v>
      </c>
      <c r="F11037" s="7" t="s">
        <v>342</v>
      </c>
      <c r="G11037" s="7">
        <v>100.3811</v>
      </c>
      <c r="H11037" s="7"/>
    </row>
    <row r="11038" spans="1:8" x14ac:dyDescent="0.35">
      <c r="A11038" s="7" t="s">
        <v>385</v>
      </c>
      <c r="B11038" s="7" t="s">
        <v>26</v>
      </c>
      <c r="C11038" s="7" t="s">
        <v>27</v>
      </c>
      <c r="D11038" s="7" t="s">
        <v>28</v>
      </c>
      <c r="E11038" s="7" t="s">
        <v>29</v>
      </c>
      <c r="F11038" s="7" t="s">
        <v>144</v>
      </c>
      <c r="G11038" s="7">
        <v>100.8502</v>
      </c>
      <c r="H11038" s="7"/>
    </row>
    <row r="11039" spans="1:8" x14ac:dyDescent="0.35">
      <c r="A11039" s="7" t="s">
        <v>385</v>
      </c>
      <c r="B11039" s="7" t="s">
        <v>26</v>
      </c>
      <c r="C11039" s="7" t="s">
        <v>27</v>
      </c>
      <c r="D11039" s="7" t="s">
        <v>28</v>
      </c>
      <c r="E11039" s="7" t="s">
        <v>29</v>
      </c>
      <c r="F11039" s="7" t="s">
        <v>145</v>
      </c>
      <c r="G11039" s="7">
        <v>101.319</v>
      </c>
      <c r="H11039" s="7"/>
    </row>
    <row r="11040" spans="1:8" x14ac:dyDescent="0.35">
      <c r="A11040" s="7" t="s">
        <v>385</v>
      </c>
      <c r="B11040" s="7" t="s">
        <v>26</v>
      </c>
      <c r="C11040" s="7" t="s">
        <v>27</v>
      </c>
      <c r="D11040" s="7" t="s">
        <v>28</v>
      </c>
      <c r="E11040" s="7" t="s">
        <v>29</v>
      </c>
      <c r="F11040" s="7" t="s">
        <v>146</v>
      </c>
      <c r="G11040" s="7">
        <v>101.42400000000001</v>
      </c>
      <c r="H11040" s="7"/>
    </row>
    <row r="11041" spans="1:8" x14ac:dyDescent="0.35">
      <c r="A11041" s="7" t="s">
        <v>385</v>
      </c>
      <c r="B11041" s="7" t="s">
        <v>26</v>
      </c>
      <c r="C11041" s="7" t="s">
        <v>27</v>
      </c>
      <c r="D11041" s="7" t="s">
        <v>28</v>
      </c>
      <c r="E11041" s="7" t="s">
        <v>29</v>
      </c>
      <c r="F11041" s="7" t="s">
        <v>147</v>
      </c>
      <c r="G11041" s="7">
        <v>101.49760000000001</v>
      </c>
      <c r="H11041" s="7"/>
    </row>
    <row r="11042" spans="1:8" x14ac:dyDescent="0.35">
      <c r="A11042" s="7" t="s">
        <v>385</v>
      </c>
      <c r="B11042" s="7" t="s">
        <v>26</v>
      </c>
      <c r="C11042" s="7" t="s">
        <v>27</v>
      </c>
      <c r="D11042" s="7" t="s">
        <v>28</v>
      </c>
      <c r="E11042" s="7" t="s">
        <v>29</v>
      </c>
      <c r="F11042" s="7" t="s">
        <v>148</v>
      </c>
      <c r="G11042" s="7">
        <v>101.7212</v>
      </c>
      <c r="H11042" s="7"/>
    </row>
    <row r="11043" spans="1:8" x14ac:dyDescent="0.35">
      <c r="A11043" s="7" t="s">
        <v>385</v>
      </c>
      <c r="B11043" s="7" t="s">
        <v>26</v>
      </c>
      <c r="C11043" s="7" t="s">
        <v>27</v>
      </c>
      <c r="D11043" s="7" t="s">
        <v>28</v>
      </c>
      <c r="E11043" s="7" t="s">
        <v>29</v>
      </c>
      <c r="F11043" s="7" t="s">
        <v>149</v>
      </c>
      <c r="G11043" s="7">
        <v>101.8766</v>
      </c>
      <c r="H11043" s="7"/>
    </row>
    <row r="11044" spans="1:8" x14ac:dyDescent="0.35">
      <c r="A11044" s="7" t="s">
        <v>385</v>
      </c>
      <c r="B11044" s="7" t="s">
        <v>26</v>
      </c>
      <c r="C11044" s="7" t="s">
        <v>27</v>
      </c>
      <c r="D11044" s="7" t="s">
        <v>28</v>
      </c>
      <c r="E11044" s="7" t="s">
        <v>29</v>
      </c>
      <c r="F11044" s="7" t="s">
        <v>150</v>
      </c>
      <c r="G11044" s="7">
        <v>101.77760000000001</v>
      </c>
      <c r="H11044" s="7"/>
    </row>
    <row r="11045" spans="1:8" x14ac:dyDescent="0.35">
      <c r="A11045" s="7" t="s">
        <v>385</v>
      </c>
      <c r="B11045" s="7" t="s">
        <v>26</v>
      </c>
      <c r="C11045" s="7" t="s">
        <v>27</v>
      </c>
      <c r="D11045" s="7" t="s">
        <v>28</v>
      </c>
      <c r="E11045" s="7" t="s">
        <v>29</v>
      </c>
      <c r="F11045" s="7" t="s">
        <v>151</v>
      </c>
      <c r="G11045" s="7">
        <v>101.5955</v>
      </c>
      <c r="H11045" s="7"/>
    </row>
    <row r="11046" spans="1:8" x14ac:dyDescent="0.35">
      <c r="A11046" s="7" t="s">
        <v>385</v>
      </c>
      <c r="B11046" s="7" t="s">
        <v>26</v>
      </c>
      <c r="C11046" s="7" t="s">
        <v>27</v>
      </c>
      <c r="D11046" s="7" t="s">
        <v>28</v>
      </c>
      <c r="E11046" s="7" t="s">
        <v>29</v>
      </c>
      <c r="F11046" s="7" t="s">
        <v>152</v>
      </c>
      <c r="G11046" s="7">
        <v>101.47750000000001</v>
      </c>
      <c r="H11046" s="7"/>
    </row>
    <row r="11047" spans="1:8" x14ac:dyDescent="0.35">
      <c r="A11047" s="7" t="s">
        <v>385</v>
      </c>
      <c r="B11047" s="7" t="s">
        <v>26</v>
      </c>
      <c r="C11047" s="7" t="s">
        <v>27</v>
      </c>
      <c r="D11047" s="7" t="s">
        <v>28</v>
      </c>
      <c r="E11047" s="7" t="s">
        <v>29</v>
      </c>
      <c r="F11047" s="7" t="s">
        <v>153</v>
      </c>
      <c r="G11047" s="7">
        <v>101.379</v>
      </c>
      <c r="H11047" s="7"/>
    </row>
    <row r="11048" spans="1:8" x14ac:dyDescent="0.35">
      <c r="A11048" s="7" t="s">
        <v>385</v>
      </c>
      <c r="B11048" s="7" t="s">
        <v>26</v>
      </c>
      <c r="C11048" s="7" t="s">
        <v>27</v>
      </c>
      <c r="D11048" s="7" t="s">
        <v>28</v>
      </c>
      <c r="E11048" s="7" t="s">
        <v>29</v>
      </c>
      <c r="F11048" s="7" t="s">
        <v>154</v>
      </c>
      <c r="G11048" s="7">
        <v>101.4436</v>
      </c>
      <c r="H11048" s="7"/>
    </row>
    <row r="11049" spans="1:8" x14ac:dyDescent="0.35">
      <c r="A11049" s="7" t="s">
        <v>385</v>
      </c>
      <c r="B11049" s="7" t="s">
        <v>26</v>
      </c>
      <c r="C11049" s="7" t="s">
        <v>27</v>
      </c>
      <c r="D11049" s="7" t="s">
        <v>28</v>
      </c>
      <c r="E11049" s="7" t="s">
        <v>29</v>
      </c>
      <c r="F11049" s="7" t="s">
        <v>155</v>
      </c>
      <c r="G11049" s="7">
        <v>101.3158</v>
      </c>
      <c r="H11049" s="7"/>
    </row>
    <row r="11050" spans="1:8" x14ac:dyDescent="0.35">
      <c r="A11050" s="7" t="s">
        <v>385</v>
      </c>
      <c r="B11050" s="7" t="s">
        <v>26</v>
      </c>
      <c r="C11050" s="7" t="s">
        <v>27</v>
      </c>
      <c r="D11050" s="7" t="s">
        <v>28</v>
      </c>
      <c r="E11050" s="7" t="s">
        <v>29</v>
      </c>
      <c r="F11050" s="7" t="s">
        <v>156</v>
      </c>
      <c r="G11050" s="7">
        <v>101.1245</v>
      </c>
      <c r="H11050" s="7"/>
    </row>
    <row r="11051" spans="1:8" x14ac:dyDescent="0.35">
      <c r="A11051" s="7" t="s">
        <v>385</v>
      </c>
      <c r="B11051" s="7" t="s">
        <v>26</v>
      </c>
      <c r="C11051" s="7" t="s">
        <v>27</v>
      </c>
      <c r="D11051" s="7" t="s">
        <v>28</v>
      </c>
      <c r="E11051" s="7" t="s">
        <v>29</v>
      </c>
      <c r="F11051" s="7" t="s">
        <v>157</v>
      </c>
      <c r="G11051" s="7">
        <v>101.0428</v>
      </c>
      <c r="H11051" s="7"/>
    </row>
    <row r="11052" spans="1:8" x14ac:dyDescent="0.35">
      <c r="A11052" s="7" t="s">
        <v>385</v>
      </c>
      <c r="B11052" s="7" t="s">
        <v>26</v>
      </c>
      <c r="C11052" s="7" t="s">
        <v>27</v>
      </c>
      <c r="D11052" s="7" t="s">
        <v>28</v>
      </c>
      <c r="E11052" s="7" t="s">
        <v>29</v>
      </c>
      <c r="F11052" s="7" t="s">
        <v>158</v>
      </c>
      <c r="G11052" s="7">
        <v>101.17359999999999</v>
      </c>
      <c r="H11052" s="7"/>
    </row>
    <row r="11053" spans="1:8" x14ac:dyDescent="0.35">
      <c r="A11053" s="7" t="s">
        <v>385</v>
      </c>
      <c r="B11053" s="7" t="s">
        <v>26</v>
      </c>
      <c r="C11053" s="7" t="s">
        <v>27</v>
      </c>
      <c r="D11053" s="7" t="s">
        <v>28</v>
      </c>
      <c r="E11053" s="7" t="s">
        <v>29</v>
      </c>
      <c r="F11053" s="7" t="s">
        <v>159</v>
      </c>
      <c r="G11053" s="7">
        <v>101.58759999999999</v>
      </c>
      <c r="H11053" s="7"/>
    </row>
    <row r="11054" spans="1:8" x14ac:dyDescent="0.35">
      <c r="A11054" s="7" t="s">
        <v>385</v>
      </c>
      <c r="B11054" s="7" t="s">
        <v>26</v>
      </c>
      <c r="C11054" s="7" t="s">
        <v>27</v>
      </c>
      <c r="D11054" s="7" t="s">
        <v>28</v>
      </c>
      <c r="E11054" s="7" t="s">
        <v>29</v>
      </c>
      <c r="F11054" s="7" t="s">
        <v>160</v>
      </c>
      <c r="G11054" s="7">
        <v>101.79940000000001</v>
      </c>
      <c r="H11054" s="7"/>
    </row>
    <row r="11055" spans="1:8" x14ac:dyDescent="0.35">
      <c r="A11055" s="7" t="s">
        <v>385</v>
      </c>
      <c r="B11055" s="7" t="s">
        <v>26</v>
      </c>
      <c r="C11055" s="7" t="s">
        <v>27</v>
      </c>
      <c r="D11055" s="7" t="s">
        <v>28</v>
      </c>
      <c r="E11055" s="7" t="s">
        <v>29</v>
      </c>
      <c r="F11055" s="7" t="s">
        <v>161</v>
      </c>
      <c r="G11055" s="7">
        <v>101.9259</v>
      </c>
      <c r="H11055" s="7"/>
    </row>
    <row r="11056" spans="1:8" x14ac:dyDescent="0.35">
      <c r="A11056" s="7" t="s">
        <v>385</v>
      </c>
      <c r="B11056" s="7" t="s">
        <v>26</v>
      </c>
      <c r="C11056" s="7" t="s">
        <v>27</v>
      </c>
      <c r="D11056" s="7" t="s">
        <v>28</v>
      </c>
      <c r="E11056" s="7" t="s">
        <v>29</v>
      </c>
      <c r="F11056" s="7" t="s">
        <v>162</v>
      </c>
      <c r="G11056" s="7">
        <v>102.03830000000001</v>
      </c>
      <c r="H11056" s="7"/>
    </row>
    <row r="11057" spans="1:8" x14ac:dyDescent="0.35">
      <c r="A11057" s="7" t="s">
        <v>385</v>
      </c>
      <c r="B11057" s="7" t="s">
        <v>26</v>
      </c>
      <c r="C11057" s="7" t="s">
        <v>27</v>
      </c>
      <c r="D11057" s="7" t="s">
        <v>28</v>
      </c>
      <c r="E11057" s="7" t="s">
        <v>29</v>
      </c>
      <c r="F11057" s="7" t="s">
        <v>163</v>
      </c>
      <c r="G11057" s="7">
        <v>101.81659999999999</v>
      </c>
      <c r="H11057" s="7"/>
    </row>
    <row r="11058" spans="1:8" x14ac:dyDescent="0.35">
      <c r="A11058" s="7" t="s">
        <v>385</v>
      </c>
      <c r="B11058" s="7" t="s">
        <v>26</v>
      </c>
      <c r="C11058" s="7" t="s">
        <v>27</v>
      </c>
      <c r="D11058" s="7" t="s">
        <v>28</v>
      </c>
      <c r="E11058" s="7" t="s">
        <v>29</v>
      </c>
      <c r="F11058" s="7" t="s">
        <v>164</v>
      </c>
      <c r="G11058" s="7">
        <v>101.5299</v>
      </c>
      <c r="H11058" s="7"/>
    </row>
    <row r="11059" spans="1:8" x14ac:dyDescent="0.35">
      <c r="A11059" s="7" t="s">
        <v>385</v>
      </c>
      <c r="B11059" s="7" t="s">
        <v>26</v>
      </c>
      <c r="C11059" s="7" t="s">
        <v>27</v>
      </c>
      <c r="D11059" s="7" t="s">
        <v>28</v>
      </c>
      <c r="E11059" s="7" t="s">
        <v>29</v>
      </c>
      <c r="F11059" s="7" t="s">
        <v>165</v>
      </c>
      <c r="G11059" s="7">
        <v>101.47150000000001</v>
      </c>
      <c r="H11059" s="7"/>
    </row>
    <row r="11060" spans="1:8" x14ac:dyDescent="0.35">
      <c r="A11060" s="7" t="s">
        <v>385</v>
      </c>
      <c r="B11060" s="7" t="s">
        <v>26</v>
      </c>
      <c r="C11060" s="7" t="s">
        <v>27</v>
      </c>
      <c r="D11060" s="7" t="s">
        <v>28</v>
      </c>
      <c r="E11060" s="7" t="s">
        <v>29</v>
      </c>
      <c r="F11060" s="7" t="s">
        <v>166</v>
      </c>
      <c r="G11060" s="7">
        <v>101.5462</v>
      </c>
      <c r="H11060" s="7"/>
    </row>
    <row r="11061" spans="1:8" x14ac:dyDescent="0.35">
      <c r="A11061" s="7" t="s">
        <v>385</v>
      </c>
      <c r="B11061" s="7" t="s">
        <v>26</v>
      </c>
      <c r="C11061" s="7" t="s">
        <v>27</v>
      </c>
      <c r="D11061" s="7" t="s">
        <v>28</v>
      </c>
      <c r="E11061" s="7" t="s">
        <v>29</v>
      </c>
      <c r="F11061" s="7" t="s">
        <v>167</v>
      </c>
      <c r="G11061" s="7">
        <v>101.72239999999999</v>
      </c>
      <c r="H11061" s="7"/>
    </row>
    <row r="11062" spans="1:8" x14ac:dyDescent="0.35">
      <c r="A11062" s="7" t="s">
        <v>385</v>
      </c>
      <c r="B11062" s="7" t="s">
        <v>26</v>
      </c>
      <c r="C11062" s="7" t="s">
        <v>27</v>
      </c>
      <c r="D11062" s="7" t="s">
        <v>28</v>
      </c>
      <c r="E11062" s="7" t="s">
        <v>29</v>
      </c>
      <c r="F11062" s="7" t="s">
        <v>168</v>
      </c>
      <c r="G11062" s="7">
        <v>101.6514</v>
      </c>
      <c r="H11062" s="7"/>
    </row>
    <row r="11063" spans="1:8" x14ac:dyDescent="0.35">
      <c r="A11063" s="7" t="s">
        <v>385</v>
      </c>
      <c r="B11063" s="7" t="s">
        <v>26</v>
      </c>
      <c r="C11063" s="7" t="s">
        <v>27</v>
      </c>
      <c r="D11063" s="7" t="s">
        <v>28</v>
      </c>
      <c r="E11063" s="7" t="s">
        <v>29</v>
      </c>
      <c r="F11063" s="7" t="s">
        <v>169</v>
      </c>
      <c r="G11063" s="7">
        <v>101.2338</v>
      </c>
      <c r="H11063" s="7"/>
    </row>
    <row r="11064" spans="1:8" x14ac:dyDescent="0.35">
      <c r="A11064" s="7" t="s">
        <v>385</v>
      </c>
      <c r="B11064" s="7" t="s">
        <v>26</v>
      </c>
      <c r="C11064" s="7" t="s">
        <v>27</v>
      </c>
      <c r="D11064" s="7" t="s">
        <v>28</v>
      </c>
      <c r="E11064" s="7" t="s">
        <v>29</v>
      </c>
      <c r="F11064" s="7" t="s">
        <v>170</v>
      </c>
      <c r="G11064" s="7">
        <v>100.86539999999999</v>
      </c>
      <c r="H11064" s="7"/>
    </row>
    <row r="11065" spans="1:8" x14ac:dyDescent="0.35">
      <c r="A11065" s="7" t="s">
        <v>385</v>
      </c>
      <c r="B11065" s="7" t="s">
        <v>26</v>
      </c>
      <c r="C11065" s="7" t="s">
        <v>27</v>
      </c>
      <c r="D11065" s="7" t="s">
        <v>28</v>
      </c>
      <c r="E11065" s="7" t="s">
        <v>29</v>
      </c>
      <c r="F11065" s="7" t="s">
        <v>171</v>
      </c>
      <c r="G11065" s="7">
        <v>100.5003</v>
      </c>
      <c r="H11065" s="7"/>
    </row>
    <row r="11066" spans="1:8" x14ac:dyDescent="0.35">
      <c r="A11066" s="7" t="s">
        <v>385</v>
      </c>
      <c r="B11066" s="7" t="s">
        <v>26</v>
      </c>
      <c r="C11066" s="7" t="s">
        <v>27</v>
      </c>
      <c r="D11066" s="7" t="s">
        <v>28</v>
      </c>
      <c r="E11066" s="7" t="s">
        <v>29</v>
      </c>
      <c r="F11066" s="7" t="s">
        <v>172</v>
      </c>
      <c r="G11066" s="7">
        <v>100.7186</v>
      </c>
      <c r="H11066" s="7"/>
    </row>
    <row r="11067" spans="1:8" x14ac:dyDescent="0.35">
      <c r="A11067" s="7" t="s">
        <v>385</v>
      </c>
      <c r="B11067" s="7" t="s">
        <v>26</v>
      </c>
      <c r="C11067" s="7" t="s">
        <v>27</v>
      </c>
      <c r="D11067" s="7" t="s">
        <v>28</v>
      </c>
      <c r="E11067" s="7" t="s">
        <v>29</v>
      </c>
      <c r="F11067" s="7" t="s">
        <v>173</v>
      </c>
      <c r="G11067" s="7">
        <v>100.9936</v>
      </c>
      <c r="H11067" s="7"/>
    </row>
    <row r="11068" spans="1:8" x14ac:dyDescent="0.35">
      <c r="A11068" s="7" t="s">
        <v>385</v>
      </c>
      <c r="B11068" s="7" t="s">
        <v>26</v>
      </c>
      <c r="C11068" s="7" t="s">
        <v>27</v>
      </c>
      <c r="D11068" s="7" t="s">
        <v>28</v>
      </c>
      <c r="E11068" s="7" t="s">
        <v>29</v>
      </c>
      <c r="F11068" s="7" t="s">
        <v>174</v>
      </c>
      <c r="G11068" s="7">
        <v>101.00360000000001</v>
      </c>
      <c r="H11068" s="7"/>
    </row>
    <row r="11069" spans="1:8" x14ac:dyDescent="0.35">
      <c r="A11069" s="7" t="s">
        <v>385</v>
      </c>
      <c r="B11069" s="7" t="s">
        <v>26</v>
      </c>
      <c r="C11069" s="7" t="s">
        <v>27</v>
      </c>
      <c r="D11069" s="7" t="s">
        <v>28</v>
      </c>
      <c r="E11069" s="7" t="s">
        <v>29</v>
      </c>
      <c r="F11069" s="7" t="s">
        <v>175</v>
      </c>
      <c r="G11069" s="7">
        <v>100.6619</v>
      </c>
      <c r="H11069" s="7"/>
    </row>
    <row r="11070" spans="1:8" x14ac:dyDescent="0.35">
      <c r="A11070" s="7" t="s">
        <v>385</v>
      </c>
      <c r="B11070" s="7" t="s">
        <v>26</v>
      </c>
      <c r="C11070" s="7" t="s">
        <v>27</v>
      </c>
      <c r="D11070" s="7" t="s">
        <v>28</v>
      </c>
      <c r="E11070" s="7" t="s">
        <v>29</v>
      </c>
      <c r="F11070" s="7" t="s">
        <v>176</v>
      </c>
      <c r="G11070" s="7">
        <v>99.758089999999996</v>
      </c>
      <c r="H11070" s="7"/>
    </row>
    <row r="11071" spans="1:8" x14ac:dyDescent="0.35">
      <c r="A11071" s="7" t="s">
        <v>385</v>
      </c>
      <c r="B11071" s="7" t="s">
        <v>26</v>
      </c>
      <c r="C11071" s="7" t="s">
        <v>27</v>
      </c>
      <c r="D11071" s="7" t="s">
        <v>28</v>
      </c>
      <c r="E11071" s="7" t="s">
        <v>29</v>
      </c>
      <c r="F11071" s="7" t="s">
        <v>177</v>
      </c>
      <c r="G11071" s="7">
        <v>98.735910000000004</v>
      </c>
      <c r="H11071" s="7"/>
    </row>
    <row r="11072" spans="1:8" x14ac:dyDescent="0.35">
      <c r="A11072" s="7" t="s">
        <v>385</v>
      </c>
      <c r="B11072" s="7" t="s">
        <v>26</v>
      </c>
      <c r="C11072" s="7" t="s">
        <v>27</v>
      </c>
      <c r="D11072" s="7" t="s">
        <v>28</v>
      </c>
      <c r="E11072" s="7" t="s">
        <v>29</v>
      </c>
      <c r="F11072" s="7" t="s">
        <v>178</v>
      </c>
      <c r="G11072" s="7">
        <v>98.068330000000003</v>
      </c>
      <c r="H11072" s="7"/>
    </row>
    <row r="11073" spans="1:8" x14ac:dyDescent="0.35">
      <c r="A11073" s="7" t="s">
        <v>385</v>
      </c>
      <c r="B11073" s="7" t="s">
        <v>26</v>
      </c>
      <c r="C11073" s="7" t="s">
        <v>27</v>
      </c>
      <c r="D11073" s="7" t="s">
        <v>28</v>
      </c>
      <c r="E11073" s="7" t="s">
        <v>29</v>
      </c>
      <c r="F11073" s="7" t="s">
        <v>179</v>
      </c>
      <c r="G11073" s="7">
        <v>98.274500000000003</v>
      </c>
      <c r="H11073" s="7"/>
    </row>
    <row r="11074" spans="1:8" x14ac:dyDescent="0.35">
      <c r="A11074" s="7" t="s">
        <v>385</v>
      </c>
      <c r="B11074" s="7" t="s">
        <v>26</v>
      </c>
      <c r="C11074" s="7" t="s">
        <v>27</v>
      </c>
      <c r="D11074" s="7" t="s">
        <v>28</v>
      </c>
      <c r="E11074" s="7" t="s">
        <v>29</v>
      </c>
      <c r="F11074" s="7" t="s">
        <v>180</v>
      </c>
      <c r="G11074" s="7">
        <v>98.927040000000005</v>
      </c>
      <c r="H11074" s="7"/>
    </row>
    <row r="11075" spans="1:8" x14ac:dyDescent="0.35">
      <c r="A11075" s="7" t="s">
        <v>385</v>
      </c>
      <c r="B11075" s="7" t="s">
        <v>26</v>
      </c>
      <c r="C11075" s="7" t="s">
        <v>27</v>
      </c>
      <c r="D11075" s="7" t="s">
        <v>28</v>
      </c>
      <c r="E11075" s="7" t="s">
        <v>29</v>
      </c>
      <c r="F11075" s="7" t="s">
        <v>181</v>
      </c>
      <c r="G11075" s="7">
        <v>99.931470000000004</v>
      </c>
      <c r="H11075" s="7"/>
    </row>
    <row r="11076" spans="1:8" x14ac:dyDescent="0.35">
      <c r="A11076" s="7" t="s">
        <v>385</v>
      </c>
      <c r="B11076" s="7" t="s">
        <v>26</v>
      </c>
      <c r="C11076" s="7" t="s">
        <v>27</v>
      </c>
      <c r="D11076" s="7" t="s">
        <v>28</v>
      </c>
      <c r="E11076" s="7" t="s">
        <v>29</v>
      </c>
      <c r="F11076" s="7" t="s">
        <v>182</v>
      </c>
      <c r="G11076" s="7">
        <v>100.65519999999999</v>
      </c>
      <c r="H11076" s="7"/>
    </row>
    <row r="11077" spans="1:8" x14ac:dyDescent="0.35">
      <c r="A11077" s="7" t="s">
        <v>385</v>
      </c>
      <c r="B11077" s="7" t="s">
        <v>26</v>
      </c>
      <c r="C11077" s="7" t="s">
        <v>27</v>
      </c>
      <c r="D11077" s="7" t="s">
        <v>28</v>
      </c>
      <c r="E11077" s="7" t="s">
        <v>29</v>
      </c>
      <c r="F11077" s="7" t="s">
        <v>183</v>
      </c>
      <c r="G11077" s="7">
        <v>100.7581</v>
      </c>
      <c r="H11077" s="7"/>
    </row>
    <row r="11078" spans="1:8" x14ac:dyDescent="0.35">
      <c r="A11078" s="7" t="s">
        <v>385</v>
      </c>
      <c r="B11078" s="7" t="s">
        <v>26</v>
      </c>
      <c r="C11078" s="7" t="s">
        <v>27</v>
      </c>
      <c r="D11078" s="7" t="s">
        <v>28</v>
      </c>
      <c r="E11078" s="7" t="s">
        <v>29</v>
      </c>
      <c r="F11078" s="7" t="s">
        <v>184</v>
      </c>
      <c r="G11078" s="7">
        <v>100.1683</v>
      </c>
      <c r="H11078" s="7"/>
    </row>
    <row r="11079" spans="1:8" x14ac:dyDescent="0.35">
      <c r="A11079" s="7" t="s">
        <v>385</v>
      </c>
      <c r="B11079" s="7" t="s">
        <v>26</v>
      </c>
      <c r="C11079" s="7" t="s">
        <v>27</v>
      </c>
      <c r="D11079" s="7" t="s">
        <v>28</v>
      </c>
      <c r="E11079" s="7" t="s">
        <v>29</v>
      </c>
      <c r="F11079" s="7" t="s">
        <v>185</v>
      </c>
      <c r="G11079" s="7">
        <v>99.459339999999997</v>
      </c>
      <c r="H11079" s="7"/>
    </row>
    <row r="11080" spans="1:8" x14ac:dyDescent="0.35">
      <c r="A11080" s="7" t="s">
        <v>385</v>
      </c>
      <c r="B11080" s="7" t="s">
        <v>26</v>
      </c>
      <c r="C11080" s="7" t="s">
        <v>27</v>
      </c>
      <c r="D11080" s="7" t="s">
        <v>28</v>
      </c>
      <c r="E11080" s="7" t="s">
        <v>29</v>
      </c>
      <c r="F11080" s="7" t="s">
        <v>186</v>
      </c>
      <c r="G11080" s="7">
        <v>99.217070000000007</v>
      </c>
      <c r="H11080" s="7"/>
    </row>
    <row r="11081" spans="1:8" x14ac:dyDescent="0.35">
      <c r="A11081" s="7" t="s">
        <v>385</v>
      </c>
      <c r="B11081" s="7" t="s">
        <v>26</v>
      </c>
      <c r="C11081" s="7" t="s">
        <v>27</v>
      </c>
      <c r="D11081" s="7" t="s">
        <v>28</v>
      </c>
      <c r="E11081" s="7" t="s">
        <v>29</v>
      </c>
      <c r="F11081" s="7" t="s">
        <v>187</v>
      </c>
      <c r="G11081" s="7">
        <v>99.568569999999994</v>
      </c>
      <c r="H11081" s="7"/>
    </row>
    <row r="11082" spans="1:8" x14ac:dyDescent="0.35">
      <c r="A11082" s="7" t="s">
        <v>385</v>
      </c>
      <c r="B11082" s="7" t="s">
        <v>26</v>
      </c>
      <c r="C11082" s="7" t="s">
        <v>27</v>
      </c>
      <c r="D11082" s="7" t="s">
        <v>28</v>
      </c>
      <c r="E11082" s="7" t="s">
        <v>29</v>
      </c>
      <c r="F11082" s="7" t="s">
        <v>188</v>
      </c>
      <c r="G11082" s="7">
        <v>100.337</v>
      </c>
      <c r="H11082" s="7"/>
    </row>
    <row r="11083" spans="1:8" x14ac:dyDescent="0.35">
      <c r="A11083" s="7" t="s">
        <v>385</v>
      </c>
      <c r="B11083" s="7" t="s">
        <v>26</v>
      </c>
      <c r="C11083" s="7" t="s">
        <v>27</v>
      </c>
      <c r="D11083" s="7" t="s">
        <v>28</v>
      </c>
      <c r="E11083" s="7" t="s">
        <v>29</v>
      </c>
      <c r="F11083" s="7" t="s">
        <v>189</v>
      </c>
      <c r="G11083" s="7">
        <v>101.1711</v>
      </c>
      <c r="H11083" s="7"/>
    </row>
    <row r="11084" spans="1:8" x14ac:dyDescent="0.35">
      <c r="A11084" s="7" t="s">
        <v>385</v>
      </c>
      <c r="B11084" s="7" t="s">
        <v>26</v>
      </c>
      <c r="C11084" s="7" t="s">
        <v>27</v>
      </c>
      <c r="D11084" s="7" t="s">
        <v>28</v>
      </c>
      <c r="E11084" s="7" t="s">
        <v>29</v>
      </c>
      <c r="F11084" s="7" t="s">
        <v>190</v>
      </c>
      <c r="G11084" s="7">
        <v>101.4751</v>
      </c>
      <c r="H11084" s="7"/>
    </row>
    <row r="11085" spans="1:8" x14ac:dyDescent="0.35">
      <c r="A11085" s="7" t="s">
        <v>385</v>
      </c>
      <c r="B11085" s="7" t="s">
        <v>26</v>
      </c>
      <c r="C11085" s="7" t="s">
        <v>27</v>
      </c>
      <c r="D11085" s="7" t="s">
        <v>28</v>
      </c>
      <c r="E11085" s="7" t="s">
        <v>29</v>
      </c>
      <c r="F11085" s="7" t="s">
        <v>191</v>
      </c>
      <c r="G11085" s="7">
        <v>101.32340000000001</v>
      </c>
      <c r="H11085" s="7"/>
    </row>
    <row r="11086" spans="1:8" x14ac:dyDescent="0.35">
      <c r="A11086" s="7" t="s">
        <v>385</v>
      </c>
      <c r="B11086" s="7" t="s">
        <v>26</v>
      </c>
      <c r="C11086" s="7" t="s">
        <v>27</v>
      </c>
      <c r="D11086" s="7" t="s">
        <v>28</v>
      </c>
      <c r="E11086" s="7" t="s">
        <v>29</v>
      </c>
      <c r="F11086" s="7" t="s">
        <v>192</v>
      </c>
      <c r="G11086" s="7">
        <v>101.19929999999999</v>
      </c>
      <c r="H11086" s="7"/>
    </row>
    <row r="11087" spans="1:8" x14ac:dyDescent="0.35">
      <c r="A11087" s="7" t="s">
        <v>385</v>
      </c>
      <c r="B11087" s="7" t="s">
        <v>26</v>
      </c>
      <c r="C11087" s="7" t="s">
        <v>27</v>
      </c>
      <c r="D11087" s="7" t="s">
        <v>28</v>
      </c>
      <c r="E11087" s="7" t="s">
        <v>29</v>
      </c>
      <c r="F11087" s="7" t="s">
        <v>193</v>
      </c>
      <c r="G11087" s="7">
        <v>100.83669999999999</v>
      </c>
      <c r="H11087" s="7"/>
    </row>
    <row r="11088" spans="1:8" x14ac:dyDescent="0.35">
      <c r="A11088" s="7" t="s">
        <v>385</v>
      </c>
      <c r="B11088" s="7" t="s">
        <v>26</v>
      </c>
      <c r="C11088" s="7" t="s">
        <v>27</v>
      </c>
      <c r="D11088" s="7" t="s">
        <v>28</v>
      </c>
      <c r="E11088" s="7" t="s">
        <v>29</v>
      </c>
      <c r="F11088" s="7" t="s">
        <v>194</v>
      </c>
      <c r="G11088" s="7">
        <v>100.5669</v>
      </c>
      <c r="H11088" s="7"/>
    </row>
    <row r="11089" spans="1:8" x14ac:dyDescent="0.35">
      <c r="A11089" s="7" t="s">
        <v>385</v>
      </c>
      <c r="B11089" s="7" t="s">
        <v>26</v>
      </c>
      <c r="C11089" s="7" t="s">
        <v>27</v>
      </c>
      <c r="D11089" s="7" t="s">
        <v>28</v>
      </c>
      <c r="E11089" s="7" t="s">
        <v>29</v>
      </c>
      <c r="F11089" s="7" t="s">
        <v>195</v>
      </c>
      <c r="G11089" s="7">
        <v>100.633</v>
      </c>
      <c r="H11089" s="7"/>
    </row>
    <row r="11090" spans="1:8" x14ac:dyDescent="0.35">
      <c r="A11090" s="7" t="s">
        <v>385</v>
      </c>
      <c r="B11090" s="7" t="s">
        <v>26</v>
      </c>
      <c r="C11090" s="7" t="s">
        <v>27</v>
      </c>
      <c r="D11090" s="7" t="s">
        <v>28</v>
      </c>
      <c r="E11090" s="7" t="s">
        <v>29</v>
      </c>
      <c r="F11090" s="7" t="s">
        <v>196</v>
      </c>
      <c r="G11090" s="7">
        <v>100.8043</v>
      </c>
      <c r="H11090" s="7"/>
    </row>
    <row r="11091" spans="1:8" x14ac:dyDescent="0.35">
      <c r="A11091" s="7" t="s">
        <v>385</v>
      </c>
      <c r="B11091" s="7" t="s">
        <v>26</v>
      </c>
      <c r="C11091" s="7" t="s">
        <v>27</v>
      </c>
      <c r="D11091" s="7" t="s">
        <v>28</v>
      </c>
      <c r="E11091" s="7" t="s">
        <v>29</v>
      </c>
      <c r="F11091" s="7" t="s">
        <v>197</v>
      </c>
      <c r="G11091" s="7">
        <v>101.2713</v>
      </c>
      <c r="H11091" s="7"/>
    </row>
    <row r="11092" spans="1:8" x14ac:dyDescent="0.35">
      <c r="A11092" s="7" t="s">
        <v>385</v>
      </c>
      <c r="B11092" s="7" t="s">
        <v>26</v>
      </c>
      <c r="C11092" s="7" t="s">
        <v>27</v>
      </c>
      <c r="D11092" s="7" t="s">
        <v>28</v>
      </c>
      <c r="E11092" s="7" t="s">
        <v>29</v>
      </c>
      <c r="F11092" s="7" t="s">
        <v>198</v>
      </c>
      <c r="G11092" s="7">
        <v>101.9939</v>
      </c>
      <c r="H11092" s="7"/>
    </row>
    <row r="11093" spans="1:8" x14ac:dyDescent="0.35">
      <c r="A11093" s="7" t="s">
        <v>385</v>
      </c>
      <c r="B11093" s="7" t="s">
        <v>26</v>
      </c>
      <c r="C11093" s="7" t="s">
        <v>27</v>
      </c>
      <c r="D11093" s="7" t="s">
        <v>28</v>
      </c>
      <c r="E11093" s="7" t="s">
        <v>29</v>
      </c>
      <c r="F11093" s="7" t="s">
        <v>199</v>
      </c>
      <c r="G11093" s="7">
        <v>102.67140000000001</v>
      </c>
      <c r="H11093" s="7"/>
    </row>
    <row r="11094" spans="1:8" x14ac:dyDescent="0.35">
      <c r="A11094" s="7" t="s">
        <v>385</v>
      </c>
      <c r="B11094" s="7" t="s">
        <v>26</v>
      </c>
      <c r="C11094" s="7" t="s">
        <v>27</v>
      </c>
      <c r="D11094" s="7" t="s">
        <v>28</v>
      </c>
      <c r="E11094" s="7" t="s">
        <v>29</v>
      </c>
      <c r="F11094" s="7" t="s">
        <v>200</v>
      </c>
      <c r="G11094" s="7">
        <v>103.2867</v>
      </c>
      <c r="H11094" s="7"/>
    </row>
    <row r="11095" spans="1:8" x14ac:dyDescent="0.35">
      <c r="A11095" s="7" t="s">
        <v>385</v>
      </c>
      <c r="B11095" s="7" t="s">
        <v>26</v>
      </c>
      <c r="C11095" s="7" t="s">
        <v>27</v>
      </c>
      <c r="D11095" s="7" t="s">
        <v>28</v>
      </c>
      <c r="E11095" s="7" t="s">
        <v>29</v>
      </c>
      <c r="F11095" s="7" t="s">
        <v>201</v>
      </c>
      <c r="G11095" s="7">
        <v>103.69119999999999</v>
      </c>
      <c r="H11095" s="7"/>
    </row>
    <row r="11096" spans="1:8" x14ac:dyDescent="0.35">
      <c r="A11096" s="7" t="s">
        <v>385</v>
      </c>
      <c r="B11096" s="7" t="s">
        <v>26</v>
      </c>
      <c r="C11096" s="7" t="s">
        <v>27</v>
      </c>
      <c r="D11096" s="7" t="s">
        <v>28</v>
      </c>
      <c r="E11096" s="7" t="s">
        <v>29</v>
      </c>
      <c r="F11096" s="7" t="s">
        <v>202</v>
      </c>
      <c r="G11096" s="7">
        <v>104.1255</v>
      </c>
      <c r="H11096" s="7"/>
    </row>
    <row r="11097" spans="1:8" x14ac:dyDescent="0.35">
      <c r="A11097" s="7" t="s">
        <v>385</v>
      </c>
      <c r="B11097" s="7" t="s">
        <v>26</v>
      </c>
      <c r="C11097" s="7" t="s">
        <v>27</v>
      </c>
      <c r="D11097" s="7" t="s">
        <v>28</v>
      </c>
      <c r="E11097" s="7" t="s">
        <v>29</v>
      </c>
      <c r="F11097" s="7" t="s">
        <v>203</v>
      </c>
      <c r="G11097" s="7">
        <v>104.3343</v>
      </c>
      <c r="H11097" s="7"/>
    </row>
    <row r="11098" spans="1:8" x14ac:dyDescent="0.35">
      <c r="A11098" s="7" t="s">
        <v>385</v>
      </c>
      <c r="B11098" s="7" t="s">
        <v>26</v>
      </c>
      <c r="C11098" s="7" t="s">
        <v>27</v>
      </c>
      <c r="D11098" s="7" t="s">
        <v>28</v>
      </c>
      <c r="E11098" s="7" t="s">
        <v>29</v>
      </c>
      <c r="F11098" s="7" t="s">
        <v>204</v>
      </c>
      <c r="G11098" s="7">
        <v>104.6177</v>
      </c>
      <c r="H11098" s="7"/>
    </row>
    <row r="11099" spans="1:8" x14ac:dyDescent="0.35">
      <c r="A11099" s="7" t="s">
        <v>385</v>
      </c>
      <c r="B11099" s="7" t="s">
        <v>26</v>
      </c>
      <c r="C11099" s="7" t="s">
        <v>27</v>
      </c>
      <c r="D11099" s="7" t="s">
        <v>28</v>
      </c>
      <c r="E11099" s="7" t="s">
        <v>29</v>
      </c>
      <c r="F11099" s="7" t="s">
        <v>205</v>
      </c>
      <c r="G11099" s="7">
        <v>104.8792</v>
      </c>
      <c r="H11099" s="7"/>
    </row>
    <row r="11100" spans="1:8" x14ac:dyDescent="0.35">
      <c r="A11100" s="7" t="s">
        <v>385</v>
      </c>
      <c r="B11100" s="7" t="s">
        <v>26</v>
      </c>
      <c r="C11100" s="7" t="s">
        <v>27</v>
      </c>
      <c r="D11100" s="7" t="s">
        <v>28</v>
      </c>
      <c r="E11100" s="7" t="s">
        <v>29</v>
      </c>
      <c r="F11100" s="7" t="s">
        <v>206</v>
      </c>
      <c r="G11100" s="7">
        <v>105.1733</v>
      </c>
      <c r="H11100" s="7"/>
    </row>
    <row r="11101" spans="1:8" x14ac:dyDescent="0.35">
      <c r="A11101" s="7" t="s">
        <v>385</v>
      </c>
      <c r="B11101" s="7" t="s">
        <v>26</v>
      </c>
      <c r="C11101" s="7" t="s">
        <v>27</v>
      </c>
      <c r="D11101" s="7" t="s">
        <v>28</v>
      </c>
      <c r="E11101" s="7" t="s">
        <v>29</v>
      </c>
      <c r="F11101" s="7" t="s">
        <v>207</v>
      </c>
      <c r="G11101" s="7">
        <v>105.5746</v>
      </c>
      <c r="H11101" s="7"/>
    </row>
    <row r="11102" spans="1:8" x14ac:dyDescent="0.35">
      <c r="A11102" s="7" t="s">
        <v>385</v>
      </c>
      <c r="B11102" s="7" t="s">
        <v>26</v>
      </c>
      <c r="C11102" s="7" t="s">
        <v>27</v>
      </c>
      <c r="D11102" s="7" t="s">
        <v>28</v>
      </c>
      <c r="E11102" s="7" t="s">
        <v>29</v>
      </c>
      <c r="F11102" s="7" t="s">
        <v>208</v>
      </c>
      <c r="G11102" s="7">
        <v>106.0581</v>
      </c>
      <c r="H11102" s="7"/>
    </row>
    <row r="11103" spans="1:8" x14ac:dyDescent="0.35">
      <c r="A11103" s="7" t="s">
        <v>385</v>
      </c>
      <c r="B11103" s="7" t="s">
        <v>26</v>
      </c>
      <c r="C11103" s="7" t="s">
        <v>27</v>
      </c>
      <c r="D11103" s="7" t="s">
        <v>28</v>
      </c>
      <c r="E11103" s="7" t="s">
        <v>29</v>
      </c>
      <c r="F11103" s="7" t="s">
        <v>209</v>
      </c>
      <c r="G11103" s="7">
        <v>105.79300000000001</v>
      </c>
      <c r="H11103" s="7"/>
    </row>
    <row r="11104" spans="1:8" x14ac:dyDescent="0.35">
      <c r="A11104" s="7" t="s">
        <v>385</v>
      </c>
      <c r="B11104" s="7" t="s">
        <v>26</v>
      </c>
      <c r="C11104" s="7" t="s">
        <v>27</v>
      </c>
      <c r="D11104" s="7" t="s">
        <v>28</v>
      </c>
      <c r="E11104" s="7" t="s">
        <v>29</v>
      </c>
      <c r="F11104" s="7" t="s">
        <v>210</v>
      </c>
      <c r="G11104" s="7">
        <v>105.3673</v>
      </c>
      <c r="H11104" s="7"/>
    </row>
    <row r="11105" spans="1:8" x14ac:dyDescent="0.35">
      <c r="A11105" s="7" t="s">
        <v>385</v>
      </c>
      <c r="B11105" s="7" t="s">
        <v>26</v>
      </c>
      <c r="C11105" s="7" t="s">
        <v>27</v>
      </c>
      <c r="D11105" s="7" t="s">
        <v>28</v>
      </c>
      <c r="E11105" s="7" t="s">
        <v>29</v>
      </c>
      <c r="F11105" s="7" t="s">
        <v>211</v>
      </c>
      <c r="G11105" s="7">
        <v>104.9563</v>
      </c>
      <c r="H11105" s="7"/>
    </row>
    <row r="11106" spans="1:8" x14ac:dyDescent="0.35">
      <c r="A11106" s="7" t="s">
        <v>385</v>
      </c>
      <c r="B11106" s="7" t="s">
        <v>26</v>
      </c>
      <c r="C11106" s="7" t="s">
        <v>27</v>
      </c>
      <c r="D11106" s="7" t="s">
        <v>28</v>
      </c>
      <c r="E11106" s="7" t="s">
        <v>29</v>
      </c>
      <c r="F11106" s="7" t="s">
        <v>212</v>
      </c>
      <c r="G11106" s="7">
        <v>104.66030000000001</v>
      </c>
      <c r="H11106" s="7"/>
    </row>
    <row r="11107" spans="1:8" x14ac:dyDescent="0.35">
      <c r="A11107" s="7" t="s">
        <v>385</v>
      </c>
      <c r="B11107" s="7" t="s">
        <v>26</v>
      </c>
      <c r="C11107" s="7" t="s">
        <v>27</v>
      </c>
      <c r="D11107" s="7" t="s">
        <v>28</v>
      </c>
      <c r="E11107" s="7" t="s">
        <v>29</v>
      </c>
      <c r="F11107" s="7" t="s">
        <v>213</v>
      </c>
      <c r="G11107" s="7">
        <v>104.3918</v>
      </c>
      <c r="H11107" s="7"/>
    </row>
    <row r="11108" spans="1:8" x14ac:dyDescent="0.35">
      <c r="A11108" s="7" t="s">
        <v>385</v>
      </c>
      <c r="B11108" s="7" t="s">
        <v>26</v>
      </c>
      <c r="C11108" s="7" t="s">
        <v>27</v>
      </c>
      <c r="D11108" s="7" t="s">
        <v>28</v>
      </c>
      <c r="E11108" s="7" t="s">
        <v>29</v>
      </c>
      <c r="F11108" s="7" t="s">
        <v>214</v>
      </c>
      <c r="G11108" s="7">
        <v>104.25830000000001</v>
      </c>
      <c r="H11108" s="7"/>
    </row>
    <row r="11109" spans="1:8" x14ac:dyDescent="0.35">
      <c r="A11109" s="7" t="s">
        <v>385</v>
      </c>
      <c r="B11109" s="7" t="s">
        <v>26</v>
      </c>
      <c r="C11109" s="7" t="s">
        <v>27</v>
      </c>
      <c r="D11109" s="7" t="s">
        <v>28</v>
      </c>
      <c r="E11109" s="7" t="s">
        <v>29</v>
      </c>
      <c r="F11109" s="7" t="s">
        <v>215</v>
      </c>
      <c r="G11109" s="7">
        <v>104.2637</v>
      </c>
      <c r="H11109" s="7"/>
    </row>
    <row r="11110" spans="1:8" x14ac:dyDescent="0.35">
      <c r="A11110" s="7" t="s">
        <v>385</v>
      </c>
      <c r="B11110" s="7" t="s">
        <v>26</v>
      </c>
      <c r="C11110" s="7" t="s">
        <v>27</v>
      </c>
      <c r="D11110" s="7" t="s">
        <v>28</v>
      </c>
      <c r="E11110" s="7" t="s">
        <v>29</v>
      </c>
      <c r="F11110" s="7" t="s">
        <v>216</v>
      </c>
      <c r="G11110" s="7">
        <v>104.4843</v>
      </c>
      <c r="H11110" s="7"/>
    </row>
    <row r="11111" spans="1:8" x14ac:dyDescent="0.35">
      <c r="A11111" s="7" t="s">
        <v>385</v>
      </c>
      <c r="B11111" s="7" t="s">
        <v>26</v>
      </c>
      <c r="C11111" s="7" t="s">
        <v>27</v>
      </c>
      <c r="D11111" s="7" t="s">
        <v>28</v>
      </c>
      <c r="E11111" s="7" t="s">
        <v>29</v>
      </c>
      <c r="F11111" s="7" t="s">
        <v>217</v>
      </c>
      <c r="G11111" s="7">
        <v>104.8023</v>
      </c>
      <c r="H11111" s="7"/>
    </row>
    <row r="11112" spans="1:8" x14ac:dyDescent="0.35">
      <c r="A11112" s="7" t="s">
        <v>385</v>
      </c>
      <c r="B11112" s="7" t="s">
        <v>26</v>
      </c>
      <c r="C11112" s="7" t="s">
        <v>27</v>
      </c>
      <c r="D11112" s="7" t="s">
        <v>28</v>
      </c>
      <c r="E11112" s="7" t="s">
        <v>29</v>
      </c>
      <c r="F11112" s="7" t="s">
        <v>218</v>
      </c>
      <c r="G11112" s="7">
        <v>104.5971</v>
      </c>
      <c r="H11112" s="7"/>
    </row>
    <row r="11113" spans="1:8" x14ac:dyDescent="0.35">
      <c r="A11113" s="7" t="s">
        <v>385</v>
      </c>
      <c r="B11113" s="7" t="s">
        <v>26</v>
      </c>
      <c r="C11113" s="7" t="s">
        <v>27</v>
      </c>
      <c r="D11113" s="7" t="s">
        <v>28</v>
      </c>
      <c r="E11113" s="7" t="s">
        <v>29</v>
      </c>
      <c r="F11113" s="7" t="s">
        <v>219</v>
      </c>
      <c r="G11113" s="7">
        <v>104.0008</v>
      </c>
      <c r="H11113" s="7"/>
    </row>
    <row r="11114" spans="1:8" x14ac:dyDescent="0.35">
      <c r="A11114" s="7" t="s">
        <v>385</v>
      </c>
      <c r="B11114" s="7" t="s">
        <v>26</v>
      </c>
      <c r="C11114" s="7" t="s">
        <v>27</v>
      </c>
      <c r="D11114" s="7" t="s">
        <v>28</v>
      </c>
      <c r="E11114" s="7" t="s">
        <v>29</v>
      </c>
      <c r="F11114" s="7" t="s">
        <v>220</v>
      </c>
      <c r="G11114" s="7">
        <v>103.2727</v>
      </c>
      <c r="H11114" s="7"/>
    </row>
    <row r="11115" spans="1:8" x14ac:dyDescent="0.35">
      <c r="A11115" s="7" t="s">
        <v>385</v>
      </c>
      <c r="B11115" s="7" t="s">
        <v>26</v>
      </c>
      <c r="C11115" s="7" t="s">
        <v>27</v>
      </c>
      <c r="D11115" s="7" t="s">
        <v>28</v>
      </c>
      <c r="E11115" s="7" t="s">
        <v>29</v>
      </c>
      <c r="F11115" s="7" t="s">
        <v>221</v>
      </c>
      <c r="G11115" s="7">
        <v>102.39109999999999</v>
      </c>
      <c r="H11115" s="7"/>
    </row>
    <row r="11116" spans="1:8" x14ac:dyDescent="0.35">
      <c r="A11116" s="7" t="s">
        <v>385</v>
      </c>
      <c r="B11116" s="7" t="s">
        <v>26</v>
      </c>
      <c r="C11116" s="7" t="s">
        <v>27</v>
      </c>
      <c r="D11116" s="7" t="s">
        <v>28</v>
      </c>
      <c r="E11116" s="7" t="s">
        <v>29</v>
      </c>
      <c r="F11116" s="7" t="s">
        <v>222</v>
      </c>
      <c r="G11116" s="7">
        <v>101.3879</v>
      </c>
      <c r="H11116" s="7"/>
    </row>
    <row r="11117" spans="1:8" x14ac:dyDescent="0.35">
      <c r="A11117" s="7" t="s">
        <v>385</v>
      </c>
      <c r="B11117" s="7" t="s">
        <v>26</v>
      </c>
      <c r="C11117" s="7" t="s">
        <v>27</v>
      </c>
      <c r="D11117" s="7" t="s">
        <v>28</v>
      </c>
      <c r="E11117" s="7" t="s">
        <v>29</v>
      </c>
      <c r="F11117" s="7" t="s">
        <v>223</v>
      </c>
      <c r="G11117" s="7">
        <v>100.5746</v>
      </c>
      <c r="H11117" s="7"/>
    </row>
    <row r="11118" spans="1:8" x14ac:dyDescent="0.35">
      <c r="A11118" s="7" t="s">
        <v>385</v>
      </c>
      <c r="B11118" s="7" t="s">
        <v>26</v>
      </c>
      <c r="C11118" s="7" t="s">
        <v>27</v>
      </c>
      <c r="D11118" s="7" t="s">
        <v>28</v>
      </c>
      <c r="E11118" s="7" t="s">
        <v>29</v>
      </c>
      <c r="F11118" s="7" t="s">
        <v>224</v>
      </c>
      <c r="G11118" s="7">
        <v>99.667259999999999</v>
      </c>
      <c r="H11118" s="7"/>
    </row>
    <row r="11119" spans="1:8" x14ac:dyDescent="0.35">
      <c r="A11119" s="7" t="s">
        <v>385</v>
      </c>
      <c r="B11119" s="7" t="s">
        <v>26</v>
      </c>
      <c r="C11119" s="7" t="s">
        <v>27</v>
      </c>
      <c r="D11119" s="7" t="s">
        <v>28</v>
      </c>
      <c r="E11119" s="7" t="s">
        <v>29</v>
      </c>
      <c r="F11119" s="7" t="s">
        <v>225</v>
      </c>
      <c r="G11119" s="7">
        <v>98.992450000000005</v>
      </c>
      <c r="H11119" s="7"/>
    </row>
    <row r="11120" spans="1:8" x14ac:dyDescent="0.35">
      <c r="A11120" s="7" t="s">
        <v>385</v>
      </c>
      <c r="B11120" s="7" t="s">
        <v>26</v>
      </c>
      <c r="C11120" s="7" t="s">
        <v>27</v>
      </c>
      <c r="D11120" s="7" t="s">
        <v>28</v>
      </c>
      <c r="E11120" s="7" t="s">
        <v>29</v>
      </c>
      <c r="F11120" s="7" t="s">
        <v>226</v>
      </c>
      <c r="G11120" s="7">
        <v>98.297579999999996</v>
      </c>
      <c r="H11120" s="7"/>
    </row>
    <row r="11121" spans="1:8" x14ac:dyDescent="0.35">
      <c r="A11121" s="7" t="s">
        <v>385</v>
      </c>
      <c r="B11121" s="7" t="s">
        <v>26</v>
      </c>
      <c r="C11121" s="7" t="s">
        <v>27</v>
      </c>
      <c r="D11121" s="7" t="s">
        <v>28</v>
      </c>
      <c r="E11121" s="7" t="s">
        <v>29</v>
      </c>
      <c r="F11121" s="7" t="s">
        <v>227</v>
      </c>
      <c r="G11121" s="7">
        <v>97.381900000000002</v>
      </c>
      <c r="H11121" s="7"/>
    </row>
    <row r="11122" spans="1:8" x14ac:dyDescent="0.35">
      <c r="A11122" s="7" t="s">
        <v>385</v>
      </c>
      <c r="B11122" s="7" t="s">
        <v>26</v>
      </c>
      <c r="C11122" s="7" t="s">
        <v>27</v>
      </c>
      <c r="D11122" s="7" t="s">
        <v>28</v>
      </c>
      <c r="E11122" s="7" t="s">
        <v>29</v>
      </c>
      <c r="F11122" s="7" t="s">
        <v>228</v>
      </c>
      <c r="G11122" s="7">
        <v>96.660340000000005</v>
      </c>
      <c r="H11122" s="7"/>
    </row>
    <row r="11123" spans="1:8" x14ac:dyDescent="0.35">
      <c r="A11123" s="7" t="s">
        <v>385</v>
      </c>
      <c r="B11123" s="7" t="s">
        <v>26</v>
      </c>
      <c r="C11123" s="7" t="s">
        <v>27</v>
      </c>
      <c r="D11123" s="7" t="s">
        <v>28</v>
      </c>
      <c r="E11123" s="7" t="s">
        <v>29</v>
      </c>
      <c r="F11123" s="7" t="s">
        <v>229</v>
      </c>
      <c r="G11123" s="7">
        <v>96.112939999999995</v>
      </c>
      <c r="H11123" s="7"/>
    </row>
    <row r="11124" spans="1:8" x14ac:dyDescent="0.35">
      <c r="A11124" s="7" t="s">
        <v>385</v>
      </c>
      <c r="B11124" s="7" t="s">
        <v>26</v>
      </c>
      <c r="C11124" s="7" t="s">
        <v>27</v>
      </c>
      <c r="D11124" s="7" t="s">
        <v>28</v>
      </c>
      <c r="E11124" s="7" t="s">
        <v>29</v>
      </c>
      <c r="F11124" s="7" t="s">
        <v>230</v>
      </c>
      <c r="G11124" s="7">
        <v>95.831620000000001</v>
      </c>
      <c r="H11124" s="7"/>
    </row>
    <row r="11125" spans="1:8" x14ac:dyDescent="0.35">
      <c r="A11125" s="7" t="s">
        <v>385</v>
      </c>
      <c r="B11125" s="7" t="s">
        <v>26</v>
      </c>
      <c r="C11125" s="7" t="s">
        <v>27</v>
      </c>
      <c r="D11125" s="7" t="s">
        <v>28</v>
      </c>
      <c r="E11125" s="7" t="s">
        <v>29</v>
      </c>
      <c r="F11125" s="7" t="s">
        <v>231</v>
      </c>
      <c r="G11125" s="7">
        <v>95.213089999999994</v>
      </c>
      <c r="H11125" s="7"/>
    </row>
    <row r="11126" spans="1:8" x14ac:dyDescent="0.35">
      <c r="A11126" s="7" t="s">
        <v>385</v>
      </c>
      <c r="B11126" s="7" t="s">
        <v>26</v>
      </c>
      <c r="C11126" s="7" t="s">
        <v>27</v>
      </c>
      <c r="D11126" s="7" t="s">
        <v>28</v>
      </c>
      <c r="E11126" s="7" t="s">
        <v>29</v>
      </c>
      <c r="F11126" s="7" t="s">
        <v>232</v>
      </c>
      <c r="G11126" s="7">
        <v>93.982929999999996</v>
      </c>
      <c r="H11126" s="7"/>
    </row>
    <row r="11127" spans="1:8" x14ac:dyDescent="0.35">
      <c r="A11127" s="7" t="s">
        <v>385</v>
      </c>
      <c r="B11127" s="7" t="s">
        <v>26</v>
      </c>
      <c r="C11127" s="7" t="s">
        <v>27</v>
      </c>
      <c r="D11127" s="7" t="s">
        <v>28</v>
      </c>
      <c r="E11127" s="7" t="s">
        <v>29</v>
      </c>
      <c r="F11127" s="7" t="s">
        <v>233</v>
      </c>
      <c r="G11127" s="7">
        <v>92.289829999999995</v>
      </c>
      <c r="H11127" s="7"/>
    </row>
    <row r="11128" spans="1:8" x14ac:dyDescent="0.35">
      <c r="A11128" s="7" t="s">
        <v>385</v>
      </c>
      <c r="B11128" s="7" t="s">
        <v>26</v>
      </c>
      <c r="C11128" s="7" t="s">
        <v>27</v>
      </c>
      <c r="D11128" s="7" t="s">
        <v>28</v>
      </c>
      <c r="E11128" s="7" t="s">
        <v>29</v>
      </c>
      <c r="F11128" s="7" t="s">
        <v>234</v>
      </c>
      <c r="G11128" s="7">
        <v>89.882090000000005</v>
      </c>
      <c r="H11128" s="7"/>
    </row>
    <row r="11129" spans="1:8" x14ac:dyDescent="0.35">
      <c r="A11129" s="7" t="s">
        <v>385</v>
      </c>
      <c r="B11129" s="7" t="s">
        <v>26</v>
      </c>
      <c r="C11129" s="7" t="s">
        <v>27</v>
      </c>
      <c r="D11129" s="7" t="s">
        <v>28</v>
      </c>
      <c r="E11129" s="7" t="s">
        <v>29</v>
      </c>
      <c r="F11129" s="7" t="s">
        <v>235</v>
      </c>
      <c r="G11129" s="7">
        <v>86.926860000000005</v>
      </c>
      <c r="H11129" s="7"/>
    </row>
    <row r="11130" spans="1:8" x14ac:dyDescent="0.35">
      <c r="A11130" s="7" t="s">
        <v>385</v>
      </c>
      <c r="B11130" s="7" t="s">
        <v>26</v>
      </c>
      <c r="C11130" s="7" t="s">
        <v>27</v>
      </c>
      <c r="D11130" s="7" t="s">
        <v>28</v>
      </c>
      <c r="E11130" s="7" t="s">
        <v>29</v>
      </c>
      <c r="F11130" s="7" t="s">
        <v>236</v>
      </c>
      <c r="G11130" s="7">
        <v>84.84487</v>
      </c>
      <c r="H11130" s="7"/>
    </row>
    <row r="11131" spans="1:8" x14ac:dyDescent="0.35">
      <c r="A11131" s="7" t="s">
        <v>385</v>
      </c>
      <c r="B11131" s="7" t="s">
        <v>26</v>
      </c>
      <c r="C11131" s="7" t="s">
        <v>27</v>
      </c>
      <c r="D11131" s="7" t="s">
        <v>28</v>
      </c>
      <c r="E11131" s="7" t="s">
        <v>29</v>
      </c>
      <c r="F11131" s="7" t="s">
        <v>237</v>
      </c>
      <c r="G11131" s="7">
        <v>84.459350000000001</v>
      </c>
      <c r="H11131" s="7"/>
    </row>
    <row r="11132" spans="1:8" x14ac:dyDescent="0.35">
      <c r="A11132" s="7" t="s">
        <v>385</v>
      </c>
      <c r="B11132" s="7" t="s">
        <v>26</v>
      </c>
      <c r="C11132" s="7" t="s">
        <v>27</v>
      </c>
      <c r="D11132" s="7" t="s">
        <v>28</v>
      </c>
      <c r="E11132" s="7" t="s">
        <v>29</v>
      </c>
      <c r="F11132" s="7" t="s">
        <v>238</v>
      </c>
      <c r="G11132" s="7">
        <v>85.674760000000006</v>
      </c>
      <c r="H11132" s="7"/>
    </row>
    <row r="11133" spans="1:8" x14ac:dyDescent="0.35">
      <c r="A11133" s="7" t="s">
        <v>385</v>
      </c>
      <c r="B11133" s="7" t="s">
        <v>26</v>
      </c>
      <c r="C11133" s="7" t="s">
        <v>27</v>
      </c>
      <c r="D11133" s="7" t="s">
        <v>28</v>
      </c>
      <c r="E11133" s="7" t="s">
        <v>29</v>
      </c>
      <c r="F11133" s="7" t="s">
        <v>239</v>
      </c>
      <c r="G11133" s="7">
        <v>87.469120000000004</v>
      </c>
      <c r="H11133" s="7"/>
    </row>
    <row r="11134" spans="1:8" x14ac:dyDescent="0.35">
      <c r="A11134" s="7" t="s">
        <v>385</v>
      </c>
      <c r="B11134" s="7" t="s">
        <v>26</v>
      </c>
      <c r="C11134" s="7" t="s">
        <v>27</v>
      </c>
      <c r="D11134" s="7" t="s">
        <v>28</v>
      </c>
      <c r="E11134" s="7" t="s">
        <v>29</v>
      </c>
      <c r="F11134" s="7" t="s">
        <v>240</v>
      </c>
      <c r="G11134" s="7">
        <v>87.727249999999998</v>
      </c>
      <c r="H11134" s="7"/>
    </row>
    <row r="11135" spans="1:8" x14ac:dyDescent="0.35">
      <c r="A11135" s="7" t="s">
        <v>385</v>
      </c>
      <c r="B11135" s="7" t="s">
        <v>26</v>
      </c>
      <c r="C11135" s="7" t="s">
        <v>27</v>
      </c>
      <c r="D11135" s="7" t="s">
        <v>28</v>
      </c>
      <c r="E11135" s="7" t="s">
        <v>29</v>
      </c>
      <c r="F11135" s="7" t="s">
        <v>241</v>
      </c>
      <c r="G11135" s="7">
        <v>86.034300000000002</v>
      </c>
      <c r="H11135" s="7"/>
    </row>
    <row r="11136" spans="1:8" x14ac:dyDescent="0.35">
      <c r="A11136" s="7" t="s">
        <v>385</v>
      </c>
      <c r="B11136" s="7" t="s">
        <v>26</v>
      </c>
      <c r="C11136" s="7" t="s">
        <v>27</v>
      </c>
      <c r="D11136" s="7" t="s">
        <v>28</v>
      </c>
      <c r="E11136" s="7" t="s">
        <v>29</v>
      </c>
      <c r="F11136" s="7" t="s">
        <v>242</v>
      </c>
      <c r="G11136" s="7">
        <v>84.378879999999995</v>
      </c>
      <c r="H11136" s="7"/>
    </row>
    <row r="11137" spans="1:8" x14ac:dyDescent="0.35">
      <c r="A11137" s="7" t="s">
        <v>385</v>
      </c>
      <c r="B11137" s="7" t="s">
        <v>26</v>
      </c>
      <c r="C11137" s="7" t="s">
        <v>27</v>
      </c>
      <c r="D11137" s="7" t="s">
        <v>28</v>
      </c>
      <c r="E11137" s="7" t="s">
        <v>29</v>
      </c>
      <c r="F11137" s="7" t="s">
        <v>243</v>
      </c>
      <c r="G11137" s="7">
        <v>83.777500000000003</v>
      </c>
      <c r="H11137" s="7"/>
    </row>
    <row r="11138" spans="1:8" x14ac:dyDescent="0.35">
      <c r="A11138" s="7" t="s">
        <v>385</v>
      </c>
      <c r="B11138" s="7" t="s">
        <v>26</v>
      </c>
      <c r="C11138" s="7" t="s">
        <v>27</v>
      </c>
      <c r="D11138" s="7" t="s">
        <v>28</v>
      </c>
      <c r="E11138" s="7" t="s">
        <v>29</v>
      </c>
      <c r="F11138" s="7" t="s">
        <v>244</v>
      </c>
      <c r="G11138" s="7">
        <v>83.920010000000005</v>
      </c>
      <c r="H11138" s="7"/>
    </row>
    <row r="11139" spans="1:8" x14ac:dyDescent="0.35">
      <c r="A11139" s="7" t="s">
        <v>385</v>
      </c>
      <c r="B11139" s="7" t="s">
        <v>26</v>
      </c>
      <c r="C11139" s="7" t="s">
        <v>27</v>
      </c>
      <c r="D11139" s="7" t="s">
        <v>28</v>
      </c>
      <c r="E11139" s="7" t="s">
        <v>29</v>
      </c>
      <c r="F11139" s="7" t="s">
        <v>245</v>
      </c>
      <c r="G11139" s="7">
        <v>84.251679999999993</v>
      </c>
      <c r="H11139" s="7"/>
    </row>
    <row r="11140" spans="1:8" x14ac:dyDescent="0.35">
      <c r="A11140" s="7" t="s">
        <v>385</v>
      </c>
      <c r="B11140" s="7" t="s">
        <v>26</v>
      </c>
      <c r="C11140" s="7" t="s">
        <v>27</v>
      </c>
      <c r="D11140" s="7" t="s">
        <v>28</v>
      </c>
      <c r="E11140" s="7" t="s">
        <v>29</v>
      </c>
      <c r="F11140" s="7" t="s">
        <v>246</v>
      </c>
      <c r="G11140" s="7">
        <v>85.010409999999993</v>
      </c>
      <c r="H11140" s="7"/>
    </row>
    <row r="11141" spans="1:8" x14ac:dyDescent="0.35">
      <c r="A11141" s="7" t="s">
        <v>385</v>
      </c>
      <c r="B11141" s="7" t="s">
        <v>26</v>
      </c>
      <c r="C11141" s="7" t="s">
        <v>27</v>
      </c>
      <c r="D11141" s="7" t="s">
        <v>28</v>
      </c>
      <c r="E11141" s="7" t="s">
        <v>29</v>
      </c>
      <c r="F11141" s="7" t="s">
        <v>247</v>
      </c>
      <c r="G11141" s="7">
        <v>86.239639999999994</v>
      </c>
      <c r="H11141" s="7"/>
    </row>
    <row r="11142" spans="1:8" x14ac:dyDescent="0.35">
      <c r="A11142" s="7" t="s">
        <v>385</v>
      </c>
      <c r="B11142" s="7" t="s">
        <v>26</v>
      </c>
      <c r="C11142" s="7" t="s">
        <v>27</v>
      </c>
      <c r="D11142" s="7" t="s">
        <v>28</v>
      </c>
      <c r="E11142" s="7" t="s">
        <v>29</v>
      </c>
      <c r="F11142" s="7" t="s">
        <v>248</v>
      </c>
      <c r="G11142" s="7">
        <v>88.515240000000006</v>
      </c>
      <c r="H11142" s="7"/>
    </row>
    <row r="11143" spans="1:8" x14ac:dyDescent="0.35">
      <c r="A11143" s="7" t="s">
        <v>385</v>
      </c>
      <c r="B11143" s="7" t="s">
        <v>26</v>
      </c>
      <c r="C11143" s="7" t="s">
        <v>27</v>
      </c>
      <c r="D11143" s="7" t="s">
        <v>28</v>
      </c>
      <c r="E11143" s="7" t="s">
        <v>29</v>
      </c>
      <c r="F11143" s="7" t="s">
        <v>249</v>
      </c>
      <c r="G11143" s="7">
        <v>90.580179999999999</v>
      </c>
      <c r="H11143" s="7"/>
    </row>
    <row r="11144" spans="1:8" x14ac:dyDescent="0.35">
      <c r="A11144" s="7" t="s">
        <v>385</v>
      </c>
      <c r="B11144" s="7" t="s">
        <v>26</v>
      </c>
      <c r="C11144" s="7" t="s">
        <v>27</v>
      </c>
      <c r="D11144" s="7" t="s">
        <v>28</v>
      </c>
      <c r="E11144" s="7" t="s">
        <v>29</v>
      </c>
      <c r="F11144" s="7" t="s">
        <v>250</v>
      </c>
      <c r="G11144" s="7">
        <v>92.224940000000004</v>
      </c>
      <c r="H11144" s="7"/>
    </row>
    <row r="11145" spans="1:8" x14ac:dyDescent="0.35">
      <c r="A11145" s="7" t="s">
        <v>385</v>
      </c>
      <c r="B11145" s="7" t="s">
        <v>26</v>
      </c>
      <c r="C11145" s="7" t="s">
        <v>27</v>
      </c>
      <c r="D11145" s="7" t="s">
        <v>28</v>
      </c>
      <c r="E11145" s="7" t="s">
        <v>29</v>
      </c>
      <c r="F11145" s="7" t="s">
        <v>251</v>
      </c>
      <c r="G11145" s="7">
        <v>93.18374</v>
      </c>
      <c r="H11145" s="7"/>
    </row>
    <row r="11146" spans="1:8" x14ac:dyDescent="0.35">
      <c r="A11146" s="7" t="s">
        <v>385</v>
      </c>
      <c r="B11146" s="7" t="s">
        <v>26</v>
      </c>
      <c r="C11146" s="7" t="s">
        <v>27</v>
      </c>
      <c r="D11146" s="7" t="s">
        <v>28</v>
      </c>
      <c r="E11146" s="7" t="s">
        <v>29</v>
      </c>
      <c r="F11146" s="7" t="s">
        <v>252</v>
      </c>
      <c r="G11146" s="7">
        <v>94.067790000000002</v>
      </c>
      <c r="H11146" s="7"/>
    </row>
    <row r="11147" spans="1:8" x14ac:dyDescent="0.35">
      <c r="A11147" s="7" t="s">
        <v>385</v>
      </c>
      <c r="B11147" s="7" t="s">
        <v>26</v>
      </c>
      <c r="C11147" s="7" t="s">
        <v>27</v>
      </c>
      <c r="D11147" s="7" t="s">
        <v>28</v>
      </c>
      <c r="E11147" s="7" t="s">
        <v>29</v>
      </c>
      <c r="F11147" s="7" t="s">
        <v>253</v>
      </c>
      <c r="G11147" s="7">
        <v>94.619979999999998</v>
      </c>
      <c r="H11147" s="7"/>
    </row>
    <row r="11148" spans="1:8" x14ac:dyDescent="0.35">
      <c r="A11148" s="7" t="s">
        <v>385</v>
      </c>
      <c r="B11148" s="7" t="s">
        <v>26</v>
      </c>
      <c r="C11148" s="7" t="s">
        <v>27</v>
      </c>
      <c r="D11148" s="7" t="s">
        <v>28</v>
      </c>
      <c r="E11148" s="7" t="s">
        <v>29</v>
      </c>
      <c r="F11148" s="7" t="s">
        <v>254</v>
      </c>
      <c r="G11148" s="7">
        <v>94.840770000000006</v>
      </c>
      <c r="H11148" s="7"/>
    </row>
    <row r="11149" spans="1:8" x14ac:dyDescent="0.35">
      <c r="A11149" s="7" t="s">
        <v>385</v>
      </c>
      <c r="B11149" s="7" t="s">
        <v>26</v>
      </c>
      <c r="C11149" s="7" t="s">
        <v>27</v>
      </c>
      <c r="D11149" s="7" t="s">
        <v>28</v>
      </c>
      <c r="E11149" s="7" t="s">
        <v>29</v>
      </c>
      <c r="F11149" s="7" t="s">
        <v>255</v>
      </c>
      <c r="G11149" s="7">
        <v>95.222470000000001</v>
      </c>
      <c r="H11149" s="7"/>
    </row>
    <row r="11150" spans="1:8" x14ac:dyDescent="0.35">
      <c r="A11150" s="7" t="s">
        <v>385</v>
      </c>
      <c r="B11150" s="7" t="s">
        <v>26</v>
      </c>
      <c r="C11150" s="7" t="s">
        <v>27</v>
      </c>
      <c r="D11150" s="7" t="s">
        <v>28</v>
      </c>
      <c r="E11150" s="7" t="s">
        <v>29</v>
      </c>
      <c r="F11150" s="7" t="s">
        <v>256</v>
      </c>
      <c r="G11150" s="7">
        <v>95.654619999999994</v>
      </c>
      <c r="H11150" s="7"/>
    </row>
    <row r="11151" spans="1:8" x14ac:dyDescent="0.35">
      <c r="A11151" s="7" t="s">
        <v>385</v>
      </c>
      <c r="B11151" s="7" t="s">
        <v>26</v>
      </c>
      <c r="C11151" s="7" t="s">
        <v>27</v>
      </c>
      <c r="D11151" s="7" t="s">
        <v>28</v>
      </c>
      <c r="E11151" s="7" t="s">
        <v>29</v>
      </c>
      <c r="F11151" s="7" t="s">
        <v>257</v>
      </c>
      <c r="G11151" s="7">
        <v>96.221990000000005</v>
      </c>
      <c r="H11151" s="7"/>
    </row>
    <row r="11152" spans="1:8" x14ac:dyDescent="0.35">
      <c r="A11152" s="7" t="s">
        <v>385</v>
      </c>
      <c r="B11152" s="7" t="s">
        <v>26</v>
      </c>
      <c r="C11152" s="7" t="s">
        <v>27</v>
      </c>
      <c r="D11152" s="7" t="s">
        <v>28</v>
      </c>
      <c r="E11152" s="7" t="s">
        <v>29</v>
      </c>
      <c r="F11152" s="7" t="s">
        <v>258</v>
      </c>
      <c r="G11152" s="7">
        <v>96.379170000000002</v>
      </c>
      <c r="H11152" s="7"/>
    </row>
    <row r="11153" spans="1:8" x14ac:dyDescent="0.35">
      <c r="A11153" s="7" t="s">
        <v>385</v>
      </c>
      <c r="B11153" s="7" t="s">
        <v>26</v>
      </c>
      <c r="C11153" s="7" t="s">
        <v>27</v>
      </c>
      <c r="D11153" s="7" t="s">
        <v>28</v>
      </c>
      <c r="E11153" s="7" t="s">
        <v>29</v>
      </c>
      <c r="F11153" s="7" t="s">
        <v>259</v>
      </c>
      <c r="G11153" s="7">
        <v>96.305760000000006</v>
      </c>
      <c r="H11153" s="7"/>
    </row>
    <row r="11154" spans="1:8" x14ac:dyDescent="0.35">
      <c r="A11154" s="7" t="s">
        <v>385</v>
      </c>
      <c r="B11154" s="7" t="s">
        <v>26</v>
      </c>
      <c r="C11154" s="7" t="s">
        <v>27</v>
      </c>
      <c r="D11154" s="7" t="s">
        <v>28</v>
      </c>
      <c r="E11154" s="7" t="s">
        <v>29</v>
      </c>
      <c r="F11154" s="7" t="s">
        <v>260</v>
      </c>
      <c r="G11154" s="7">
        <v>96.355999999999995</v>
      </c>
      <c r="H11154" s="7"/>
    </row>
    <row r="11155" spans="1:8" x14ac:dyDescent="0.35">
      <c r="A11155" s="7" t="s">
        <v>385</v>
      </c>
      <c r="B11155" s="7" t="s">
        <v>26</v>
      </c>
      <c r="C11155" s="7" t="s">
        <v>27</v>
      </c>
      <c r="D11155" s="7" t="s">
        <v>28</v>
      </c>
      <c r="E11155" s="7" t="s">
        <v>29</v>
      </c>
      <c r="F11155" s="7" t="s">
        <v>261</v>
      </c>
      <c r="G11155" s="7">
        <v>96.083389999999994</v>
      </c>
      <c r="H11155" s="7"/>
    </row>
    <row r="11156" spans="1:8" x14ac:dyDescent="0.35">
      <c r="A11156" s="7" t="s">
        <v>385</v>
      </c>
      <c r="B11156" s="7" t="s">
        <v>26</v>
      </c>
      <c r="C11156" s="7" t="s">
        <v>27</v>
      </c>
      <c r="D11156" s="7" t="s">
        <v>28</v>
      </c>
      <c r="E11156" s="7" t="s">
        <v>29</v>
      </c>
      <c r="F11156" s="7" t="s">
        <v>262</v>
      </c>
      <c r="G11156" s="7">
        <v>95.588800000000006</v>
      </c>
      <c r="H11156" s="7"/>
    </row>
    <row r="11157" spans="1:8" x14ac:dyDescent="0.35">
      <c r="A11157" s="7" t="s">
        <v>385</v>
      </c>
      <c r="B11157" s="7" t="s">
        <v>26</v>
      </c>
      <c r="C11157" s="7" t="s">
        <v>27</v>
      </c>
      <c r="D11157" s="7" t="s">
        <v>28</v>
      </c>
      <c r="E11157" s="7" t="s">
        <v>29</v>
      </c>
      <c r="F11157" s="7" t="s">
        <v>263</v>
      </c>
      <c r="G11157" s="7">
        <v>95.268680000000003</v>
      </c>
      <c r="H11157" s="7"/>
    </row>
    <row r="11158" spans="1:8" x14ac:dyDescent="0.35">
      <c r="A11158" s="7" t="s">
        <v>385</v>
      </c>
      <c r="B11158" s="7" t="s">
        <v>26</v>
      </c>
      <c r="C11158" s="7" t="s">
        <v>27</v>
      </c>
      <c r="D11158" s="7" t="s">
        <v>28</v>
      </c>
      <c r="E11158" s="7" t="s">
        <v>29</v>
      </c>
      <c r="F11158" s="7" t="s">
        <v>264</v>
      </c>
      <c r="G11158" s="7">
        <v>95.916399999999996</v>
      </c>
      <c r="H11158" s="7"/>
    </row>
    <row r="11159" spans="1:8" x14ac:dyDescent="0.35">
      <c r="A11159" s="7" t="s">
        <v>385</v>
      </c>
      <c r="B11159" s="7" t="s">
        <v>26</v>
      </c>
      <c r="C11159" s="7" t="s">
        <v>27</v>
      </c>
      <c r="D11159" s="7" t="s">
        <v>28</v>
      </c>
      <c r="E11159" s="7" t="s">
        <v>29</v>
      </c>
      <c r="F11159" s="7" t="s">
        <v>265</v>
      </c>
      <c r="G11159" s="7">
        <v>97.119870000000006</v>
      </c>
      <c r="H11159" s="7"/>
    </row>
    <row r="11160" spans="1:8" x14ac:dyDescent="0.35">
      <c r="A11160" s="7" t="s">
        <v>385</v>
      </c>
      <c r="B11160" s="7" t="s">
        <v>26</v>
      </c>
      <c r="C11160" s="7" t="s">
        <v>27</v>
      </c>
      <c r="D11160" s="7" t="s">
        <v>28</v>
      </c>
      <c r="E11160" s="7" t="s">
        <v>29</v>
      </c>
      <c r="F11160" s="7" t="s">
        <v>266</v>
      </c>
      <c r="G11160" s="7">
        <v>98.143069999999994</v>
      </c>
      <c r="H11160" s="7"/>
    </row>
    <row r="11161" spans="1:8" x14ac:dyDescent="0.35">
      <c r="A11161" s="7" t="s">
        <v>385</v>
      </c>
      <c r="B11161" s="7" t="s">
        <v>26</v>
      </c>
      <c r="C11161" s="7" t="s">
        <v>27</v>
      </c>
      <c r="D11161" s="7" t="s">
        <v>28</v>
      </c>
      <c r="E11161" s="7" t="s">
        <v>29</v>
      </c>
      <c r="F11161" s="7" t="s">
        <v>267</v>
      </c>
      <c r="G11161" s="7">
        <v>98.907300000000006</v>
      </c>
      <c r="H11161" s="7"/>
    </row>
    <row r="11162" spans="1:8" x14ac:dyDescent="0.35">
      <c r="A11162" s="7" t="s">
        <v>385</v>
      </c>
      <c r="B11162" s="7" t="s">
        <v>26</v>
      </c>
      <c r="C11162" s="7" t="s">
        <v>27</v>
      </c>
      <c r="D11162" s="7" t="s">
        <v>28</v>
      </c>
      <c r="E11162" s="7" t="s">
        <v>29</v>
      </c>
      <c r="F11162" s="7" t="s">
        <v>268</v>
      </c>
      <c r="G11162" s="7">
        <v>99.099040000000002</v>
      </c>
      <c r="H11162" s="7"/>
    </row>
    <row r="11163" spans="1:8" x14ac:dyDescent="0.35">
      <c r="A11163" s="7" t="s">
        <v>385</v>
      </c>
      <c r="B11163" s="7" t="s">
        <v>26</v>
      </c>
      <c r="C11163" s="7" t="s">
        <v>27</v>
      </c>
      <c r="D11163" s="7" t="s">
        <v>28</v>
      </c>
      <c r="E11163" s="7" t="s">
        <v>29</v>
      </c>
      <c r="F11163" s="7" t="s">
        <v>269</v>
      </c>
      <c r="G11163" s="7">
        <v>98.847679999999997</v>
      </c>
      <c r="H11163" s="7"/>
    </row>
    <row r="11164" spans="1:8" x14ac:dyDescent="0.35">
      <c r="A11164" s="7" t="s">
        <v>385</v>
      </c>
      <c r="B11164" s="7" t="s">
        <v>26</v>
      </c>
      <c r="C11164" s="7" t="s">
        <v>27</v>
      </c>
      <c r="D11164" s="7" t="s">
        <v>28</v>
      </c>
      <c r="E11164" s="7" t="s">
        <v>29</v>
      </c>
      <c r="F11164" s="7" t="s">
        <v>270</v>
      </c>
      <c r="G11164" s="7">
        <v>98.752210000000005</v>
      </c>
      <c r="H11164" s="7"/>
    </row>
    <row r="11165" spans="1:8" x14ac:dyDescent="0.35">
      <c r="A11165" s="7" t="s">
        <v>385</v>
      </c>
      <c r="B11165" s="7" t="s">
        <v>26</v>
      </c>
      <c r="C11165" s="7" t="s">
        <v>27</v>
      </c>
      <c r="D11165" s="7" t="s">
        <v>28</v>
      </c>
      <c r="E11165" s="7" t="s">
        <v>29</v>
      </c>
      <c r="F11165" s="7" t="s">
        <v>271</v>
      </c>
      <c r="G11165" s="7">
        <v>99.040260000000004</v>
      </c>
      <c r="H11165" s="7"/>
    </row>
    <row r="11166" spans="1:8" x14ac:dyDescent="0.35">
      <c r="A11166" s="7" t="s">
        <v>385</v>
      </c>
      <c r="B11166" s="7" t="s">
        <v>26</v>
      </c>
      <c r="C11166" s="7" t="s">
        <v>27</v>
      </c>
      <c r="D11166" s="7" t="s">
        <v>28</v>
      </c>
      <c r="E11166" s="7" t="s">
        <v>29</v>
      </c>
      <c r="F11166" s="7" t="s">
        <v>272</v>
      </c>
      <c r="G11166" s="7">
        <v>99.663539999999998</v>
      </c>
      <c r="H11166" s="7"/>
    </row>
    <row r="11167" spans="1:8" x14ac:dyDescent="0.35">
      <c r="A11167" s="7" t="s">
        <v>385</v>
      </c>
      <c r="B11167" s="7" t="s">
        <v>26</v>
      </c>
      <c r="C11167" s="7" t="s">
        <v>27</v>
      </c>
      <c r="D11167" s="7" t="s">
        <v>28</v>
      </c>
      <c r="E11167" s="7" t="s">
        <v>29</v>
      </c>
      <c r="F11167" s="7" t="s">
        <v>273</v>
      </c>
      <c r="G11167" s="7">
        <v>100.0972</v>
      </c>
      <c r="H11167" s="7"/>
    </row>
    <row r="11168" spans="1:8" x14ac:dyDescent="0.35">
      <c r="A11168" s="7" t="s">
        <v>385</v>
      </c>
      <c r="B11168" s="7" t="s">
        <v>26</v>
      </c>
      <c r="C11168" s="7" t="s">
        <v>27</v>
      </c>
      <c r="D11168" s="7" t="s">
        <v>28</v>
      </c>
      <c r="E11168" s="7" t="s">
        <v>29</v>
      </c>
      <c r="F11168" s="7" t="s">
        <v>274</v>
      </c>
      <c r="G11168" s="7">
        <v>99.546639999999996</v>
      </c>
      <c r="H11168" s="7"/>
    </row>
    <row r="11169" spans="1:8" x14ac:dyDescent="0.35">
      <c r="A11169" s="7" t="s">
        <v>385</v>
      </c>
      <c r="B11169" s="7" t="s">
        <v>26</v>
      </c>
      <c r="C11169" s="7" t="s">
        <v>27</v>
      </c>
      <c r="D11169" s="7" t="s">
        <v>28</v>
      </c>
      <c r="E11169" s="7" t="s">
        <v>29</v>
      </c>
      <c r="F11169" s="7" t="s">
        <v>275</v>
      </c>
      <c r="G11169" s="7">
        <v>99.092089999999999</v>
      </c>
      <c r="H11169" s="7"/>
    </row>
    <row r="11170" spans="1:8" x14ac:dyDescent="0.35">
      <c r="A11170" s="7" t="s">
        <v>385</v>
      </c>
      <c r="B11170" s="7" t="s">
        <v>26</v>
      </c>
      <c r="C11170" s="7" t="s">
        <v>27</v>
      </c>
      <c r="D11170" s="7" t="s">
        <v>28</v>
      </c>
      <c r="E11170" s="7" t="s">
        <v>29</v>
      </c>
      <c r="F11170" s="7" t="s">
        <v>276</v>
      </c>
      <c r="G11170" s="7">
        <v>99.398740000000004</v>
      </c>
      <c r="H11170" s="7"/>
    </row>
    <row r="11171" spans="1:8" x14ac:dyDescent="0.35">
      <c r="A11171" s="7" t="s">
        <v>385</v>
      </c>
      <c r="B11171" s="7" t="s">
        <v>26</v>
      </c>
      <c r="C11171" s="7" t="s">
        <v>27</v>
      </c>
      <c r="D11171" s="7" t="s">
        <v>28</v>
      </c>
      <c r="E11171" s="7" t="s">
        <v>29</v>
      </c>
      <c r="F11171" s="7" t="s">
        <v>277</v>
      </c>
      <c r="G11171" s="7">
        <v>100.3849</v>
      </c>
      <c r="H11171" s="7"/>
    </row>
    <row r="11172" spans="1:8" x14ac:dyDescent="0.35">
      <c r="A11172" s="7" t="s">
        <v>385</v>
      </c>
      <c r="B11172" s="7" t="s">
        <v>26</v>
      </c>
      <c r="C11172" s="7" t="s">
        <v>27</v>
      </c>
      <c r="D11172" s="7" t="s">
        <v>28</v>
      </c>
      <c r="E11172" s="7" t="s">
        <v>29</v>
      </c>
      <c r="F11172" s="7" t="s">
        <v>278</v>
      </c>
      <c r="G11172" s="7">
        <v>100.9592</v>
      </c>
      <c r="H11172" s="7"/>
    </row>
    <row r="11173" spans="1:8" x14ac:dyDescent="0.35">
      <c r="A11173" s="7" t="s">
        <v>385</v>
      </c>
      <c r="B11173" s="7" t="s">
        <v>26</v>
      </c>
      <c r="C11173" s="7" t="s">
        <v>27</v>
      </c>
      <c r="D11173" s="7" t="s">
        <v>28</v>
      </c>
      <c r="E11173" s="7" t="s">
        <v>29</v>
      </c>
      <c r="F11173" s="7" t="s">
        <v>279</v>
      </c>
      <c r="G11173" s="7">
        <v>101.3548</v>
      </c>
      <c r="H11173" s="7"/>
    </row>
    <row r="11174" spans="1:8" x14ac:dyDescent="0.35">
      <c r="A11174" s="7" t="s">
        <v>385</v>
      </c>
      <c r="B11174" s="7" t="s">
        <v>26</v>
      </c>
      <c r="C11174" s="7" t="s">
        <v>27</v>
      </c>
      <c r="D11174" s="7" t="s">
        <v>28</v>
      </c>
      <c r="E11174" s="7" t="s">
        <v>29</v>
      </c>
      <c r="F11174" s="7" t="s">
        <v>280</v>
      </c>
      <c r="G11174" s="7">
        <v>101.6378</v>
      </c>
      <c r="H11174" s="7"/>
    </row>
    <row r="11175" spans="1:8" x14ac:dyDescent="0.35">
      <c r="A11175" s="7" t="s">
        <v>385</v>
      </c>
      <c r="B11175" s="7" t="s">
        <v>26</v>
      </c>
      <c r="C11175" s="7" t="s">
        <v>27</v>
      </c>
      <c r="D11175" s="7" t="s">
        <v>28</v>
      </c>
      <c r="E11175" s="7" t="s">
        <v>29</v>
      </c>
      <c r="F11175" s="7" t="s">
        <v>281</v>
      </c>
      <c r="G11175" s="7">
        <v>102.0108</v>
      </c>
      <c r="H11175" s="7"/>
    </row>
    <row r="11176" spans="1:8" x14ac:dyDescent="0.35">
      <c r="A11176" s="7" t="s">
        <v>385</v>
      </c>
      <c r="B11176" s="7" t="s">
        <v>26</v>
      </c>
      <c r="C11176" s="7" t="s">
        <v>27</v>
      </c>
      <c r="D11176" s="7" t="s">
        <v>28</v>
      </c>
      <c r="E11176" s="7" t="s">
        <v>29</v>
      </c>
      <c r="F11176" s="7" t="s">
        <v>282</v>
      </c>
      <c r="G11176" s="7">
        <v>102.4859</v>
      </c>
      <c r="H11176" s="7"/>
    </row>
    <row r="11177" spans="1:8" x14ac:dyDescent="0.35">
      <c r="A11177" s="7" t="s">
        <v>385</v>
      </c>
      <c r="B11177" s="7" t="s">
        <v>26</v>
      </c>
      <c r="C11177" s="7" t="s">
        <v>27</v>
      </c>
      <c r="D11177" s="7" t="s">
        <v>28</v>
      </c>
      <c r="E11177" s="7" t="s">
        <v>29</v>
      </c>
      <c r="F11177" s="7" t="s">
        <v>283</v>
      </c>
      <c r="G11177" s="7">
        <v>102.9926</v>
      </c>
      <c r="H11177" s="7"/>
    </row>
    <row r="11178" spans="1:8" x14ac:dyDescent="0.35">
      <c r="A11178" s="7" t="s">
        <v>385</v>
      </c>
      <c r="B11178" s="7" t="s">
        <v>26</v>
      </c>
      <c r="C11178" s="7" t="s">
        <v>27</v>
      </c>
      <c r="D11178" s="7" t="s">
        <v>28</v>
      </c>
      <c r="E11178" s="7" t="s">
        <v>29</v>
      </c>
      <c r="F11178" s="7" t="s">
        <v>284</v>
      </c>
      <c r="G11178" s="7">
        <v>102.9902</v>
      </c>
      <c r="H11178" s="7"/>
    </row>
    <row r="11179" spans="1:8" x14ac:dyDescent="0.35">
      <c r="A11179" s="7" t="s">
        <v>385</v>
      </c>
      <c r="B11179" s="7" t="s">
        <v>26</v>
      </c>
      <c r="C11179" s="7" t="s">
        <v>27</v>
      </c>
      <c r="D11179" s="7" t="s">
        <v>28</v>
      </c>
      <c r="E11179" s="7" t="s">
        <v>29</v>
      </c>
      <c r="F11179" s="7" t="s">
        <v>285</v>
      </c>
      <c r="G11179" s="7">
        <v>102.66500000000001</v>
      </c>
      <c r="H11179" s="7"/>
    </row>
    <row r="11180" spans="1:8" x14ac:dyDescent="0.35">
      <c r="A11180" s="7" t="s">
        <v>385</v>
      </c>
      <c r="B11180" s="7" t="s">
        <v>26</v>
      </c>
      <c r="C11180" s="7" t="s">
        <v>27</v>
      </c>
      <c r="D11180" s="7" t="s">
        <v>28</v>
      </c>
      <c r="E11180" s="7" t="s">
        <v>29</v>
      </c>
      <c r="F11180" s="7" t="s">
        <v>286</v>
      </c>
      <c r="G11180" s="7">
        <v>102.6266</v>
      </c>
      <c r="H11180" s="7"/>
    </row>
    <row r="11181" spans="1:8" x14ac:dyDescent="0.35">
      <c r="A11181" s="7" t="s">
        <v>385</v>
      </c>
      <c r="B11181" s="7" t="s">
        <v>26</v>
      </c>
      <c r="C11181" s="7" t="s">
        <v>27</v>
      </c>
      <c r="D11181" s="7" t="s">
        <v>28</v>
      </c>
      <c r="E11181" s="7" t="s">
        <v>29</v>
      </c>
      <c r="F11181" s="7" t="s">
        <v>287</v>
      </c>
      <c r="G11181" s="7">
        <v>102.6606</v>
      </c>
      <c r="H11181" s="7"/>
    </row>
    <row r="11182" spans="1:8" x14ac:dyDescent="0.35">
      <c r="A11182" s="7" t="s">
        <v>385</v>
      </c>
      <c r="B11182" s="7" t="s">
        <v>26</v>
      </c>
      <c r="C11182" s="7" t="s">
        <v>27</v>
      </c>
      <c r="D11182" s="7" t="s">
        <v>28</v>
      </c>
      <c r="E11182" s="7" t="s">
        <v>29</v>
      </c>
      <c r="F11182" s="7" t="s">
        <v>288</v>
      </c>
      <c r="G11182" s="7">
        <v>102.5532</v>
      </c>
      <c r="H11182" s="7"/>
    </row>
    <row r="11183" spans="1:8" x14ac:dyDescent="0.35">
      <c r="A11183" s="7" t="s">
        <v>385</v>
      </c>
      <c r="B11183" s="7" t="s">
        <v>26</v>
      </c>
      <c r="C11183" s="7" t="s">
        <v>27</v>
      </c>
      <c r="D11183" s="7" t="s">
        <v>28</v>
      </c>
      <c r="E11183" s="7" t="s">
        <v>29</v>
      </c>
      <c r="F11183" s="7" t="s">
        <v>289</v>
      </c>
      <c r="G11183" s="7">
        <v>102.27549999999999</v>
      </c>
      <c r="H11183" s="7"/>
    </row>
    <row r="11184" spans="1:8" x14ac:dyDescent="0.35">
      <c r="A11184" s="7" t="s">
        <v>385</v>
      </c>
      <c r="B11184" s="7" t="s">
        <v>26</v>
      </c>
      <c r="C11184" s="7" t="s">
        <v>27</v>
      </c>
      <c r="D11184" s="7" t="s">
        <v>28</v>
      </c>
      <c r="E11184" s="7" t="s">
        <v>29</v>
      </c>
      <c r="F11184" s="7" t="s">
        <v>290</v>
      </c>
      <c r="G11184" s="7">
        <v>101.61069999999999</v>
      </c>
      <c r="H11184" s="7"/>
    </row>
    <row r="11185" spans="1:8" x14ac:dyDescent="0.35">
      <c r="A11185" s="7" t="s">
        <v>385</v>
      </c>
      <c r="B11185" s="7" t="s">
        <v>26</v>
      </c>
      <c r="C11185" s="7" t="s">
        <v>27</v>
      </c>
      <c r="D11185" s="7" t="s">
        <v>28</v>
      </c>
      <c r="E11185" s="7" t="s">
        <v>29</v>
      </c>
      <c r="F11185" s="7" t="s">
        <v>291</v>
      </c>
      <c r="G11185" s="7">
        <v>100.91240000000001</v>
      </c>
      <c r="H11185" s="7"/>
    </row>
    <row r="11186" spans="1:8" x14ac:dyDescent="0.35">
      <c r="A11186" s="7" t="s">
        <v>385</v>
      </c>
      <c r="B11186" s="7" t="s">
        <v>26</v>
      </c>
      <c r="C11186" s="7" t="s">
        <v>27</v>
      </c>
      <c r="D11186" s="7" t="s">
        <v>28</v>
      </c>
      <c r="E11186" s="7" t="s">
        <v>29</v>
      </c>
      <c r="F11186" s="7" t="s">
        <v>292</v>
      </c>
      <c r="G11186" s="7">
        <v>100.7638</v>
      </c>
      <c r="H11186" s="7"/>
    </row>
    <row r="11187" spans="1:8" x14ac:dyDescent="0.35">
      <c r="A11187" s="7" t="s">
        <v>385</v>
      </c>
      <c r="B11187" s="7" t="s">
        <v>26</v>
      </c>
      <c r="C11187" s="7" t="s">
        <v>27</v>
      </c>
      <c r="D11187" s="7" t="s">
        <v>28</v>
      </c>
      <c r="E11187" s="7" t="s">
        <v>29</v>
      </c>
      <c r="F11187" s="7" t="s">
        <v>293</v>
      </c>
      <c r="G11187" s="7">
        <v>100.92910000000001</v>
      </c>
      <c r="H11187" s="7"/>
    </row>
    <row r="11188" spans="1:8" x14ac:dyDescent="0.35">
      <c r="A11188" s="7" t="s">
        <v>385</v>
      </c>
      <c r="B11188" s="7" t="s">
        <v>26</v>
      </c>
      <c r="C11188" s="7" t="s">
        <v>27</v>
      </c>
      <c r="D11188" s="7" t="s">
        <v>28</v>
      </c>
      <c r="E11188" s="7" t="s">
        <v>29</v>
      </c>
      <c r="F11188" s="7" t="s">
        <v>294</v>
      </c>
      <c r="G11188" s="7">
        <v>101.4627</v>
      </c>
      <c r="H11188" s="7"/>
    </row>
    <row r="11189" spans="1:8" x14ac:dyDescent="0.35">
      <c r="A11189" s="7" t="s">
        <v>385</v>
      </c>
      <c r="B11189" s="7" t="s">
        <v>26</v>
      </c>
      <c r="C11189" s="7" t="s">
        <v>27</v>
      </c>
      <c r="D11189" s="7" t="s">
        <v>28</v>
      </c>
      <c r="E11189" s="7" t="s">
        <v>29</v>
      </c>
      <c r="F11189" s="7" t="s">
        <v>295</v>
      </c>
      <c r="G11189" s="7">
        <v>102.19499999999999</v>
      </c>
      <c r="H11189" s="7"/>
    </row>
    <row r="11190" spans="1:8" x14ac:dyDescent="0.35">
      <c r="A11190" s="7" t="s">
        <v>385</v>
      </c>
      <c r="B11190" s="7" t="s">
        <v>26</v>
      </c>
      <c r="C11190" s="7" t="s">
        <v>27</v>
      </c>
      <c r="D11190" s="7" t="s">
        <v>28</v>
      </c>
      <c r="E11190" s="7" t="s">
        <v>29</v>
      </c>
      <c r="F11190" s="7" t="s">
        <v>296</v>
      </c>
      <c r="G11190" s="7">
        <v>102.4601</v>
      </c>
      <c r="H11190" s="7"/>
    </row>
    <row r="11191" spans="1:8" x14ac:dyDescent="0.35">
      <c r="A11191" s="7" t="s">
        <v>385</v>
      </c>
      <c r="B11191" s="7" t="s">
        <v>26</v>
      </c>
      <c r="C11191" s="7" t="s">
        <v>27</v>
      </c>
      <c r="D11191" s="7" t="s">
        <v>28</v>
      </c>
      <c r="E11191" s="7" t="s">
        <v>29</v>
      </c>
      <c r="F11191" s="7" t="s">
        <v>297</v>
      </c>
      <c r="G11191" s="7">
        <v>102.4616</v>
      </c>
      <c r="H11191" s="7"/>
    </row>
    <row r="11192" spans="1:8" x14ac:dyDescent="0.35">
      <c r="A11192" s="7" t="s">
        <v>385</v>
      </c>
      <c r="B11192" s="7" t="s">
        <v>26</v>
      </c>
      <c r="C11192" s="7" t="s">
        <v>27</v>
      </c>
      <c r="D11192" s="7" t="s">
        <v>28</v>
      </c>
      <c r="E11192" s="7" t="s">
        <v>29</v>
      </c>
      <c r="F11192" s="7" t="s">
        <v>298</v>
      </c>
      <c r="G11192" s="7">
        <v>102.78870000000001</v>
      </c>
      <c r="H11192" s="7"/>
    </row>
    <row r="11193" spans="1:8" x14ac:dyDescent="0.35">
      <c r="A11193" s="7" t="s">
        <v>385</v>
      </c>
      <c r="B11193" s="7" t="s">
        <v>26</v>
      </c>
      <c r="C11193" s="7" t="s">
        <v>27</v>
      </c>
      <c r="D11193" s="7" t="s">
        <v>28</v>
      </c>
      <c r="E11193" s="7" t="s">
        <v>29</v>
      </c>
      <c r="F11193" s="7" t="s">
        <v>299</v>
      </c>
      <c r="G11193" s="7">
        <v>103.2787</v>
      </c>
      <c r="H11193" s="7"/>
    </row>
    <row r="11194" spans="1:8" x14ac:dyDescent="0.35">
      <c r="A11194" s="7" t="s">
        <v>385</v>
      </c>
      <c r="B11194" s="7" t="s">
        <v>26</v>
      </c>
      <c r="C11194" s="7" t="s">
        <v>27</v>
      </c>
      <c r="D11194" s="7" t="s">
        <v>28</v>
      </c>
      <c r="E11194" s="7" t="s">
        <v>29</v>
      </c>
      <c r="F11194" s="7" t="s">
        <v>300</v>
      </c>
      <c r="G11194" s="7">
        <v>103.4761</v>
      </c>
      <c r="H11194" s="7"/>
    </row>
    <row r="11195" spans="1:8" x14ac:dyDescent="0.35">
      <c r="A11195" s="7" t="s">
        <v>385</v>
      </c>
      <c r="B11195" s="7" t="s">
        <v>26</v>
      </c>
      <c r="C11195" s="7" t="s">
        <v>27</v>
      </c>
      <c r="D11195" s="7" t="s">
        <v>28</v>
      </c>
      <c r="E11195" s="7" t="s">
        <v>29</v>
      </c>
      <c r="F11195" s="7" t="s">
        <v>301</v>
      </c>
      <c r="G11195" s="7">
        <v>103.4105</v>
      </c>
      <c r="H11195" s="7"/>
    </row>
    <row r="11196" spans="1:8" x14ac:dyDescent="0.35">
      <c r="A11196" s="7" t="s">
        <v>385</v>
      </c>
      <c r="B11196" s="7" t="s">
        <v>26</v>
      </c>
      <c r="C11196" s="7" t="s">
        <v>27</v>
      </c>
      <c r="D11196" s="7" t="s">
        <v>28</v>
      </c>
      <c r="E11196" s="7" t="s">
        <v>29</v>
      </c>
      <c r="F11196" s="7" t="s">
        <v>302</v>
      </c>
      <c r="G11196" s="7">
        <v>103.1798</v>
      </c>
      <c r="H11196" s="7"/>
    </row>
    <row r="11197" spans="1:8" x14ac:dyDescent="0.35">
      <c r="A11197" s="7" t="s">
        <v>385</v>
      </c>
      <c r="B11197" s="7" t="s">
        <v>26</v>
      </c>
      <c r="C11197" s="7" t="s">
        <v>27</v>
      </c>
      <c r="D11197" s="7" t="s">
        <v>28</v>
      </c>
      <c r="E11197" s="7" t="s">
        <v>29</v>
      </c>
      <c r="F11197" s="7" t="s">
        <v>303</v>
      </c>
      <c r="G11197" s="7">
        <v>102.4483</v>
      </c>
      <c r="H11197" s="7"/>
    </row>
    <row r="11198" spans="1:8" x14ac:dyDescent="0.35">
      <c r="A11198" s="7" t="s">
        <v>385</v>
      </c>
      <c r="B11198" s="7" t="s">
        <v>26</v>
      </c>
      <c r="C11198" s="7" t="s">
        <v>27</v>
      </c>
      <c r="D11198" s="7" t="s">
        <v>28</v>
      </c>
      <c r="E11198" s="7" t="s">
        <v>29</v>
      </c>
      <c r="F11198" s="7" t="s">
        <v>304</v>
      </c>
      <c r="G11198" s="7">
        <v>102.07559999999999</v>
      </c>
      <c r="H11198" s="7"/>
    </row>
    <row r="11199" spans="1:8" x14ac:dyDescent="0.35">
      <c r="A11199" s="7" t="s">
        <v>385</v>
      </c>
      <c r="B11199" s="7" t="s">
        <v>26</v>
      </c>
      <c r="C11199" s="7" t="s">
        <v>27</v>
      </c>
      <c r="D11199" s="7" t="s">
        <v>28</v>
      </c>
      <c r="E11199" s="7" t="s">
        <v>29</v>
      </c>
      <c r="F11199" s="7" t="s">
        <v>305</v>
      </c>
      <c r="G11199" s="7">
        <v>102.4011</v>
      </c>
      <c r="H11199" s="7"/>
    </row>
    <row r="11200" spans="1:8" x14ac:dyDescent="0.35">
      <c r="A11200" s="7" t="s">
        <v>385</v>
      </c>
      <c r="B11200" s="7" t="s">
        <v>26</v>
      </c>
      <c r="C11200" s="7" t="s">
        <v>27</v>
      </c>
      <c r="D11200" s="7" t="s">
        <v>28</v>
      </c>
      <c r="E11200" s="7" t="s">
        <v>29</v>
      </c>
      <c r="F11200" s="7" t="s">
        <v>306</v>
      </c>
      <c r="G11200" s="7">
        <v>102.9615</v>
      </c>
      <c r="H11200" s="7"/>
    </row>
    <row r="11201" spans="1:8" x14ac:dyDescent="0.35">
      <c r="A11201" s="7" t="s">
        <v>385</v>
      </c>
      <c r="B11201" s="7" t="s">
        <v>26</v>
      </c>
      <c r="C11201" s="7" t="s">
        <v>27</v>
      </c>
      <c r="D11201" s="7" t="s">
        <v>28</v>
      </c>
      <c r="E11201" s="7" t="s">
        <v>29</v>
      </c>
      <c r="F11201" s="7" t="s">
        <v>307</v>
      </c>
      <c r="G11201" s="7">
        <v>103.301</v>
      </c>
      <c r="H11201" s="7"/>
    </row>
    <row r="11202" spans="1:8" x14ac:dyDescent="0.35">
      <c r="A11202" s="7" t="s">
        <v>385</v>
      </c>
      <c r="B11202" s="7" t="s">
        <v>26</v>
      </c>
      <c r="C11202" s="7" t="s">
        <v>27</v>
      </c>
      <c r="D11202" s="7" t="s">
        <v>28</v>
      </c>
      <c r="E11202" s="7" t="s">
        <v>29</v>
      </c>
      <c r="F11202" s="7" t="s">
        <v>308</v>
      </c>
      <c r="G11202" s="7">
        <v>103.4161</v>
      </c>
      <c r="H11202" s="7"/>
    </row>
    <row r="11203" spans="1:8" x14ac:dyDescent="0.35">
      <c r="A11203" s="7" t="s">
        <v>385</v>
      </c>
      <c r="B11203" s="7" t="s">
        <v>26</v>
      </c>
      <c r="C11203" s="7" t="s">
        <v>27</v>
      </c>
      <c r="D11203" s="7" t="s">
        <v>28</v>
      </c>
      <c r="E11203" s="7" t="s">
        <v>29</v>
      </c>
      <c r="F11203" s="7" t="s">
        <v>309</v>
      </c>
      <c r="G11203" s="7">
        <v>103.7658</v>
      </c>
      <c r="H11203" s="7"/>
    </row>
    <row r="11204" spans="1:8" x14ac:dyDescent="0.35">
      <c r="A11204" s="7" t="s">
        <v>385</v>
      </c>
      <c r="B11204" s="7" t="s">
        <v>26</v>
      </c>
      <c r="C11204" s="7" t="s">
        <v>27</v>
      </c>
      <c r="D11204" s="7" t="s">
        <v>28</v>
      </c>
      <c r="E11204" s="7" t="s">
        <v>29</v>
      </c>
      <c r="F11204" s="7" t="s">
        <v>310</v>
      </c>
      <c r="G11204" s="7">
        <v>104.4131</v>
      </c>
      <c r="H11204" s="7"/>
    </row>
    <row r="11205" spans="1:8" x14ac:dyDescent="0.35">
      <c r="A11205" s="7" t="s">
        <v>385</v>
      </c>
      <c r="B11205" s="7" t="s">
        <v>26</v>
      </c>
      <c r="C11205" s="7" t="s">
        <v>27</v>
      </c>
      <c r="D11205" s="7" t="s">
        <v>28</v>
      </c>
      <c r="E11205" s="7" t="s">
        <v>29</v>
      </c>
      <c r="F11205" s="7" t="s">
        <v>311</v>
      </c>
      <c r="G11205" s="7">
        <v>104.7197</v>
      </c>
      <c r="H11205" s="7"/>
    </row>
    <row r="11206" spans="1:8" x14ac:dyDescent="0.35">
      <c r="A11206" s="7" t="s">
        <v>385</v>
      </c>
      <c r="B11206" s="7" t="s">
        <v>26</v>
      </c>
      <c r="C11206" s="7" t="s">
        <v>27</v>
      </c>
      <c r="D11206" s="7" t="s">
        <v>28</v>
      </c>
      <c r="E11206" s="7" t="s">
        <v>29</v>
      </c>
      <c r="F11206" s="7" t="s">
        <v>312</v>
      </c>
      <c r="G11206" s="7">
        <v>104.4461</v>
      </c>
      <c r="H11206" s="7"/>
    </row>
    <row r="11207" spans="1:8" x14ac:dyDescent="0.35">
      <c r="A11207" s="7" t="s">
        <v>385</v>
      </c>
      <c r="B11207" s="7" t="s">
        <v>26</v>
      </c>
      <c r="C11207" s="7" t="s">
        <v>27</v>
      </c>
      <c r="D11207" s="7" t="s">
        <v>28</v>
      </c>
      <c r="E11207" s="7" t="s">
        <v>29</v>
      </c>
      <c r="F11207" s="7" t="s">
        <v>313</v>
      </c>
      <c r="G11207" s="7">
        <v>103.9254</v>
      </c>
      <c r="H11207" s="7"/>
    </row>
    <row r="11208" spans="1:8" x14ac:dyDescent="0.35">
      <c r="A11208" s="7" t="s">
        <v>385</v>
      </c>
      <c r="B11208" s="7" t="s">
        <v>26</v>
      </c>
      <c r="C11208" s="7" t="s">
        <v>27</v>
      </c>
      <c r="D11208" s="7" t="s">
        <v>28</v>
      </c>
      <c r="E11208" s="7" t="s">
        <v>29</v>
      </c>
      <c r="F11208" s="7" t="s">
        <v>314</v>
      </c>
      <c r="G11208" s="7">
        <v>103.68210000000001</v>
      </c>
      <c r="H11208" s="7"/>
    </row>
    <row r="11209" spans="1:8" x14ac:dyDescent="0.35">
      <c r="A11209" s="7" t="s">
        <v>385</v>
      </c>
      <c r="B11209" s="7" t="s">
        <v>26</v>
      </c>
      <c r="C11209" s="7" t="s">
        <v>27</v>
      </c>
      <c r="D11209" s="7" t="s">
        <v>28</v>
      </c>
      <c r="E11209" s="7" t="s">
        <v>29</v>
      </c>
      <c r="F11209" s="7" t="s">
        <v>315</v>
      </c>
      <c r="G11209" s="7">
        <v>103.3793</v>
      </c>
      <c r="H11209" s="7"/>
    </row>
    <row r="11210" spans="1:8" x14ac:dyDescent="0.35">
      <c r="A11210" s="7" t="s">
        <v>385</v>
      </c>
      <c r="B11210" s="7" t="s">
        <v>26</v>
      </c>
      <c r="C11210" s="7" t="s">
        <v>27</v>
      </c>
      <c r="D11210" s="7" t="s">
        <v>28</v>
      </c>
      <c r="E11210" s="7" t="s">
        <v>29</v>
      </c>
      <c r="F11210" s="7" t="s">
        <v>316</v>
      </c>
      <c r="G11210" s="7">
        <v>102.98</v>
      </c>
      <c r="H11210" s="7"/>
    </row>
    <row r="11211" spans="1:8" x14ac:dyDescent="0.35">
      <c r="A11211" s="7" t="s">
        <v>385</v>
      </c>
      <c r="B11211" s="7" t="s">
        <v>26</v>
      </c>
      <c r="C11211" s="7" t="s">
        <v>27</v>
      </c>
      <c r="D11211" s="7" t="s">
        <v>28</v>
      </c>
      <c r="E11211" s="7" t="s">
        <v>29</v>
      </c>
      <c r="F11211" s="7" t="s">
        <v>317</v>
      </c>
      <c r="G11211" s="7">
        <v>103.0492</v>
      </c>
      <c r="H11211" s="7"/>
    </row>
    <row r="11212" spans="1:8" x14ac:dyDescent="0.35">
      <c r="A11212" s="7" t="s">
        <v>385</v>
      </c>
      <c r="B11212" s="7" t="s">
        <v>26</v>
      </c>
      <c r="C11212" s="7" t="s">
        <v>27</v>
      </c>
      <c r="D11212" s="7" t="s">
        <v>28</v>
      </c>
      <c r="E11212" s="7" t="s">
        <v>29</v>
      </c>
      <c r="F11212" s="7" t="s">
        <v>318</v>
      </c>
      <c r="G11212" s="7">
        <v>103.188</v>
      </c>
      <c r="H11212" s="7"/>
    </row>
    <row r="11213" spans="1:8" x14ac:dyDescent="0.35">
      <c r="A11213" s="7" t="s">
        <v>385</v>
      </c>
      <c r="B11213" s="7" t="s">
        <v>26</v>
      </c>
      <c r="C11213" s="7" t="s">
        <v>27</v>
      </c>
      <c r="D11213" s="7" t="s">
        <v>28</v>
      </c>
      <c r="E11213" s="7" t="s">
        <v>29</v>
      </c>
      <c r="F11213" s="7" t="s">
        <v>319</v>
      </c>
      <c r="G11213" s="7">
        <v>103.3616</v>
      </c>
      <c r="H11213" s="7"/>
    </row>
    <row r="11214" spans="1:8" x14ac:dyDescent="0.35">
      <c r="A11214" s="7" t="s">
        <v>385</v>
      </c>
      <c r="B11214" s="7" t="s">
        <v>26</v>
      </c>
      <c r="C11214" s="7" t="s">
        <v>27</v>
      </c>
      <c r="D11214" s="7" t="s">
        <v>28</v>
      </c>
      <c r="E11214" s="7" t="s">
        <v>29</v>
      </c>
      <c r="F11214" s="7" t="s">
        <v>320</v>
      </c>
      <c r="G11214" s="7">
        <v>103.49890000000001</v>
      </c>
      <c r="H11214" s="7"/>
    </row>
    <row r="11215" spans="1:8" x14ac:dyDescent="0.35">
      <c r="A11215" s="7" t="s">
        <v>385</v>
      </c>
      <c r="B11215" s="7" t="s">
        <v>26</v>
      </c>
      <c r="C11215" s="7" t="s">
        <v>27</v>
      </c>
      <c r="D11215" s="7" t="s">
        <v>28</v>
      </c>
      <c r="E11215" s="7" t="s">
        <v>29</v>
      </c>
      <c r="F11215" s="7" t="s">
        <v>321</v>
      </c>
      <c r="G11215" s="7">
        <v>103.5373</v>
      </c>
      <c r="H11215" s="7"/>
    </row>
    <row r="11216" spans="1:8" x14ac:dyDescent="0.35">
      <c r="A11216" s="7" t="s">
        <v>385</v>
      </c>
      <c r="B11216" s="7" t="s">
        <v>26</v>
      </c>
      <c r="C11216" s="7" t="s">
        <v>27</v>
      </c>
      <c r="D11216" s="7" t="s">
        <v>28</v>
      </c>
      <c r="E11216" s="7" t="s">
        <v>29</v>
      </c>
      <c r="F11216" s="7" t="s">
        <v>322</v>
      </c>
      <c r="G11216" s="7">
        <v>103.37269999999999</v>
      </c>
      <c r="H11216" s="7"/>
    </row>
    <row r="11217" spans="1:8" x14ac:dyDescent="0.35">
      <c r="A11217" s="7" t="s">
        <v>385</v>
      </c>
      <c r="B11217" s="7" t="s">
        <v>26</v>
      </c>
      <c r="C11217" s="7" t="s">
        <v>27</v>
      </c>
      <c r="D11217" s="7" t="s">
        <v>28</v>
      </c>
      <c r="E11217" s="7" t="s">
        <v>29</v>
      </c>
      <c r="F11217" s="7" t="s">
        <v>323</v>
      </c>
      <c r="G11217" s="7">
        <v>103.3458</v>
      </c>
      <c r="H11217" s="7"/>
    </row>
    <row r="11218" spans="1:8" x14ac:dyDescent="0.35">
      <c r="A11218" s="7" t="s">
        <v>385</v>
      </c>
      <c r="B11218" s="7" t="s">
        <v>26</v>
      </c>
      <c r="C11218" s="7" t="s">
        <v>27</v>
      </c>
      <c r="D11218" s="7" t="s">
        <v>28</v>
      </c>
      <c r="E11218" s="7" t="s">
        <v>29</v>
      </c>
      <c r="F11218" s="7" t="s">
        <v>324</v>
      </c>
      <c r="G11218" s="7">
        <v>103.3135</v>
      </c>
      <c r="H11218" s="7"/>
    </row>
    <row r="11219" spans="1:8" x14ac:dyDescent="0.35">
      <c r="A11219" s="7" t="s">
        <v>385</v>
      </c>
      <c r="B11219" s="7" t="s">
        <v>26</v>
      </c>
      <c r="C11219" s="7" t="s">
        <v>27</v>
      </c>
      <c r="D11219" s="7" t="s">
        <v>28</v>
      </c>
      <c r="E11219" s="7" t="s">
        <v>29</v>
      </c>
      <c r="F11219" s="7" t="s">
        <v>325</v>
      </c>
      <c r="G11219" s="7">
        <v>103.2884</v>
      </c>
      <c r="H11219" s="7"/>
    </row>
    <row r="11220" spans="1:8" x14ac:dyDescent="0.35">
      <c r="A11220" s="7" t="s">
        <v>385</v>
      </c>
      <c r="B11220" s="7" t="s">
        <v>26</v>
      </c>
      <c r="C11220" s="7" t="s">
        <v>27</v>
      </c>
      <c r="D11220" s="7" t="s">
        <v>28</v>
      </c>
      <c r="E11220" s="7" t="s">
        <v>29</v>
      </c>
      <c r="F11220" s="7" t="s">
        <v>326</v>
      </c>
      <c r="G11220" s="7">
        <v>103.2522</v>
      </c>
      <c r="H11220" s="7"/>
    </row>
    <row r="11221" spans="1:8" x14ac:dyDescent="0.35">
      <c r="A11221" s="7" t="s">
        <v>385</v>
      </c>
      <c r="B11221" s="7" t="s">
        <v>26</v>
      </c>
      <c r="C11221" s="7" t="s">
        <v>27</v>
      </c>
      <c r="D11221" s="7" t="s">
        <v>28</v>
      </c>
      <c r="E11221" s="7" t="s">
        <v>29</v>
      </c>
      <c r="F11221" s="7" t="s">
        <v>327</v>
      </c>
      <c r="G11221" s="7">
        <v>103.13720000000001</v>
      </c>
      <c r="H11221" s="7"/>
    </row>
    <row r="11222" spans="1:8" x14ac:dyDescent="0.35">
      <c r="A11222" s="7" t="s">
        <v>385</v>
      </c>
      <c r="B11222" s="7" t="s">
        <v>26</v>
      </c>
      <c r="C11222" s="7" t="s">
        <v>27</v>
      </c>
      <c r="D11222" s="7" t="s">
        <v>28</v>
      </c>
      <c r="E11222" s="7" t="s">
        <v>29</v>
      </c>
      <c r="F11222" s="7" t="s">
        <v>328</v>
      </c>
      <c r="G11222" s="7">
        <v>102.8623</v>
      </c>
      <c r="H11222" s="7"/>
    </row>
    <row r="11223" spans="1:8" x14ac:dyDescent="0.35">
      <c r="A11223" s="7" t="s">
        <v>385</v>
      </c>
      <c r="B11223" s="7" t="s">
        <v>26</v>
      </c>
      <c r="C11223" s="7" t="s">
        <v>27</v>
      </c>
      <c r="D11223" s="7" t="s">
        <v>28</v>
      </c>
      <c r="E11223" s="7" t="s">
        <v>29</v>
      </c>
      <c r="F11223" s="7" t="s">
        <v>329</v>
      </c>
      <c r="G11223" s="7">
        <v>101.96769999999999</v>
      </c>
      <c r="H11223" s="7"/>
    </row>
    <row r="11224" spans="1:8" x14ac:dyDescent="0.35">
      <c r="A11224" s="7" t="s">
        <v>385</v>
      </c>
      <c r="B11224" s="7" t="s">
        <v>26</v>
      </c>
      <c r="C11224" s="7" t="s">
        <v>27</v>
      </c>
      <c r="D11224" s="7" t="s">
        <v>28</v>
      </c>
      <c r="E11224" s="7" t="s">
        <v>29</v>
      </c>
      <c r="F11224" s="7" t="s">
        <v>330</v>
      </c>
      <c r="G11224" s="7">
        <v>100.8944</v>
      </c>
      <c r="H11224" s="7"/>
    </row>
    <row r="11225" spans="1:8" x14ac:dyDescent="0.35">
      <c r="A11225" s="7" t="s">
        <v>385</v>
      </c>
      <c r="B11225" s="7" t="s">
        <v>26</v>
      </c>
      <c r="C11225" s="7" t="s">
        <v>27</v>
      </c>
      <c r="D11225" s="7" t="s">
        <v>28</v>
      </c>
      <c r="E11225" s="7" t="s">
        <v>29</v>
      </c>
      <c r="F11225" s="7" t="s">
        <v>331</v>
      </c>
      <c r="G11225" s="7">
        <v>99.869420000000005</v>
      </c>
      <c r="H11225" s="7"/>
    </row>
    <row r="11226" spans="1:8" x14ac:dyDescent="0.35">
      <c r="A11226" s="7" t="s">
        <v>385</v>
      </c>
      <c r="B11226" s="7" t="s">
        <v>26</v>
      </c>
      <c r="C11226" s="7" t="s">
        <v>27</v>
      </c>
      <c r="D11226" s="7" t="s">
        <v>28</v>
      </c>
      <c r="E11226" s="7" t="s">
        <v>29</v>
      </c>
      <c r="F11226" s="7" t="s">
        <v>332</v>
      </c>
      <c r="G11226" s="7">
        <v>99.585229999999996</v>
      </c>
      <c r="H11226" s="7"/>
    </row>
    <row r="11227" spans="1:8" x14ac:dyDescent="0.35">
      <c r="A11227" s="7" t="s">
        <v>385</v>
      </c>
      <c r="B11227" s="7" t="s">
        <v>26</v>
      </c>
      <c r="C11227" s="7" t="s">
        <v>27</v>
      </c>
      <c r="D11227" s="7" t="s">
        <v>28</v>
      </c>
      <c r="E11227" s="7" t="s">
        <v>29</v>
      </c>
      <c r="F11227" s="7" t="s">
        <v>333</v>
      </c>
      <c r="G11227" s="7">
        <v>99.909319999999994</v>
      </c>
      <c r="H11227" s="7"/>
    </row>
    <row r="11228" spans="1:8" x14ac:dyDescent="0.35">
      <c r="A11228" s="7" t="s">
        <v>385</v>
      </c>
      <c r="B11228" s="7" t="s">
        <v>26</v>
      </c>
      <c r="C11228" s="7" t="s">
        <v>27</v>
      </c>
      <c r="D11228" s="7" t="s">
        <v>28</v>
      </c>
      <c r="E11228" s="7" t="s">
        <v>29</v>
      </c>
      <c r="F11228" s="7" t="s">
        <v>334</v>
      </c>
      <c r="G11228" s="7">
        <v>100.6052</v>
      </c>
      <c r="H11228" s="7"/>
    </row>
    <row r="11229" spans="1:8" x14ac:dyDescent="0.35">
      <c r="A11229" s="7" t="s">
        <v>385</v>
      </c>
      <c r="B11229" s="7" t="s">
        <v>26</v>
      </c>
      <c r="C11229" s="7" t="s">
        <v>27</v>
      </c>
      <c r="D11229" s="7" t="s">
        <v>28</v>
      </c>
      <c r="E11229" s="7" t="s">
        <v>29</v>
      </c>
      <c r="F11229" s="7" t="s">
        <v>335</v>
      </c>
      <c r="G11229" s="7">
        <v>101.3579</v>
      </c>
      <c r="H11229" s="7"/>
    </row>
    <row r="11230" spans="1:8" x14ac:dyDescent="0.35">
      <c r="A11230" s="7" t="s">
        <v>385</v>
      </c>
      <c r="B11230" s="7" t="s">
        <v>26</v>
      </c>
      <c r="C11230" s="7" t="s">
        <v>27</v>
      </c>
      <c r="D11230" s="7" t="s">
        <v>28</v>
      </c>
      <c r="E11230" s="7" t="s">
        <v>29</v>
      </c>
      <c r="F11230" s="7" t="s">
        <v>336</v>
      </c>
      <c r="G11230" s="7">
        <v>102.1704</v>
      </c>
      <c r="H11230" s="7"/>
    </row>
    <row r="11231" spans="1:8" x14ac:dyDescent="0.35">
      <c r="A11231" s="7" t="s">
        <v>385</v>
      </c>
      <c r="B11231" s="7" t="s">
        <v>26</v>
      </c>
      <c r="C11231" s="7" t="s">
        <v>27</v>
      </c>
      <c r="D11231" s="7" t="s">
        <v>28</v>
      </c>
      <c r="E11231" s="7" t="s">
        <v>29</v>
      </c>
      <c r="F11231" s="7" t="s">
        <v>337</v>
      </c>
      <c r="G11231" s="7">
        <v>103.1788</v>
      </c>
      <c r="H11231" s="7"/>
    </row>
    <row r="11232" spans="1:8" x14ac:dyDescent="0.35">
      <c r="A11232" s="7" t="s">
        <v>385</v>
      </c>
      <c r="B11232" s="7" t="s">
        <v>26</v>
      </c>
      <c r="C11232" s="7" t="s">
        <v>27</v>
      </c>
      <c r="D11232" s="7" t="s">
        <v>28</v>
      </c>
      <c r="E11232" s="7" t="s">
        <v>29</v>
      </c>
      <c r="F11232" s="7" t="s">
        <v>338</v>
      </c>
      <c r="G11232" s="7">
        <v>103.9277</v>
      </c>
      <c r="H11232" s="7"/>
    </row>
    <row r="11233" spans="1:8" x14ac:dyDescent="0.35">
      <c r="A11233" s="7" t="s">
        <v>385</v>
      </c>
      <c r="B11233" s="7" t="s">
        <v>26</v>
      </c>
      <c r="C11233" s="7" t="s">
        <v>27</v>
      </c>
      <c r="D11233" s="7" t="s">
        <v>28</v>
      </c>
      <c r="E11233" s="7" t="s">
        <v>29</v>
      </c>
      <c r="F11233" s="7" t="s">
        <v>339</v>
      </c>
      <c r="G11233" s="7">
        <v>103.93429999999999</v>
      </c>
      <c r="H11233" s="7"/>
    </row>
    <row r="11234" spans="1:8" x14ac:dyDescent="0.35">
      <c r="A11234" s="7" t="s">
        <v>385</v>
      </c>
      <c r="B11234" s="7" t="s">
        <v>26</v>
      </c>
      <c r="C11234" s="7" t="s">
        <v>27</v>
      </c>
      <c r="D11234" s="7" t="s">
        <v>28</v>
      </c>
      <c r="E11234" s="7" t="s">
        <v>29</v>
      </c>
      <c r="F11234" s="7" t="s">
        <v>340</v>
      </c>
      <c r="G11234" s="7">
        <v>103.7311</v>
      </c>
      <c r="H11234" s="7"/>
    </row>
    <row r="11235" spans="1:8" x14ac:dyDescent="0.35">
      <c r="A11235" s="7" t="s">
        <v>385</v>
      </c>
      <c r="B11235" s="7" t="s">
        <v>26</v>
      </c>
      <c r="C11235" s="7" t="s">
        <v>27</v>
      </c>
      <c r="D11235" s="7" t="s">
        <v>28</v>
      </c>
      <c r="E11235" s="7" t="s">
        <v>29</v>
      </c>
      <c r="F11235" s="7" t="s">
        <v>341</v>
      </c>
      <c r="G11235" s="7">
        <v>103.4611</v>
      </c>
      <c r="H11235" s="7"/>
    </row>
    <row r="11236" spans="1:8" x14ac:dyDescent="0.35">
      <c r="A11236" s="7" t="s">
        <v>385</v>
      </c>
      <c r="B11236" s="7" t="s">
        <v>26</v>
      </c>
      <c r="C11236" s="7" t="s">
        <v>27</v>
      </c>
      <c r="D11236" s="7" t="s">
        <v>28</v>
      </c>
      <c r="E11236" s="7" t="s">
        <v>29</v>
      </c>
      <c r="F11236" s="7" t="s">
        <v>342</v>
      </c>
      <c r="G11236" s="7">
        <v>103.518</v>
      </c>
      <c r="H11236" s="7"/>
    </row>
    <row r="11237" spans="1:8" x14ac:dyDescent="0.35">
      <c r="A11237" s="7" t="s">
        <v>385</v>
      </c>
      <c r="B11237" s="7" t="s">
        <v>26</v>
      </c>
      <c r="C11237" s="7" t="s">
        <v>27</v>
      </c>
      <c r="D11237" s="7" t="s">
        <v>28</v>
      </c>
      <c r="E11237" s="7" t="s">
        <v>29</v>
      </c>
      <c r="F11237" s="7" t="s">
        <v>343</v>
      </c>
      <c r="G11237" s="7">
        <v>104.0296</v>
      </c>
      <c r="H11237" s="7"/>
    </row>
    <row r="11238" spans="1:8" x14ac:dyDescent="0.35">
      <c r="A11238" s="7" t="s">
        <v>385</v>
      </c>
      <c r="B11238" s="7" t="s">
        <v>26</v>
      </c>
      <c r="C11238" s="7" t="s">
        <v>27</v>
      </c>
      <c r="D11238" s="7" t="s">
        <v>28</v>
      </c>
      <c r="E11238" s="7" t="s">
        <v>29</v>
      </c>
      <c r="F11238" s="7" t="s">
        <v>344</v>
      </c>
      <c r="G11238" s="7">
        <v>104.53870000000001</v>
      </c>
      <c r="H11238" s="7"/>
    </row>
    <row r="11239" spans="1:8" x14ac:dyDescent="0.35">
      <c r="A11239" s="7" t="s">
        <v>385</v>
      </c>
      <c r="B11239" s="7" t="s">
        <v>26</v>
      </c>
      <c r="C11239" s="7" t="s">
        <v>27</v>
      </c>
      <c r="D11239" s="7" t="s">
        <v>28</v>
      </c>
      <c r="E11239" s="7" t="s">
        <v>29</v>
      </c>
      <c r="F11239" s="7" t="s">
        <v>345</v>
      </c>
      <c r="G11239" s="7">
        <v>103.92870000000001</v>
      </c>
      <c r="H11239" s="7"/>
    </row>
    <row r="11240" spans="1:8" x14ac:dyDescent="0.35">
      <c r="A11240" s="7" t="s">
        <v>385</v>
      </c>
      <c r="B11240" s="7" t="s">
        <v>26</v>
      </c>
      <c r="C11240" s="7" t="s">
        <v>27</v>
      </c>
      <c r="D11240" s="7" t="s">
        <v>28</v>
      </c>
      <c r="E11240" s="7" t="s">
        <v>29</v>
      </c>
      <c r="F11240" s="7" t="s">
        <v>346</v>
      </c>
      <c r="G11240" s="7">
        <v>103.1478</v>
      </c>
      <c r="H11240" s="7"/>
    </row>
  </sheetData>
  <autoFilter ref="A1:H11240" xr:uid="{7EAE3459-3DA9-4EFC-8147-EFADA9479EE9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UI Datathon Development</vt:lpstr>
      <vt:lpstr>Niteesh's data</vt:lpstr>
      <vt:lpstr>Sreenath's data</vt:lpstr>
      <vt:lpstr>LOWE'S GROSS PROFIT</vt:lpstr>
      <vt:lpstr>Home Depot Gross Profit</vt:lpstr>
      <vt:lpstr>Existing home Sales</vt:lpstr>
      <vt:lpstr>Houses for sale</vt:lpstr>
      <vt:lpstr>New house sales</vt:lpstr>
      <vt:lpstr>House starts</vt:lpstr>
      <vt:lpstr>PSR</vt:lpstr>
      <vt:lpstr>BLS Data Series</vt:lpstr>
      <vt:lpstr>CCI_USA</vt:lpstr>
      <vt:lpstr>Income Tax </vt:lpstr>
      <vt:lpstr>Retail Sales</vt:lpstr>
      <vt:lpstr>CCI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Narayan, Anand (Synchrony Financial)</dc:creator>
  <cp:lastModifiedBy>Triveni Putti</cp:lastModifiedBy>
  <dcterms:created xsi:type="dcterms:W3CDTF">2018-04-14T02:02:37Z</dcterms:created>
  <dcterms:modified xsi:type="dcterms:W3CDTF">2018-04-15T03:57:30Z</dcterms:modified>
</cp:coreProperties>
</file>